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ba20\Desktop\Operations\"/>
    </mc:Choice>
  </mc:AlternateContent>
  <xr:revisionPtr revIDLastSave="0" documentId="13_ncr:1_{96016331-4AAB-444A-9FDB-9CB0CB4EAA35}" xr6:coauthVersionLast="47" xr6:coauthVersionMax="47" xr10:uidLastSave="{00000000-0000-0000-0000-000000000000}"/>
  <bookViews>
    <workbookView xWindow="-108" yWindow="-108" windowWidth="23256" windowHeight="12576" activeTab="9" xr2:uid="{00000000-000D-0000-FFFF-FFFF00000000}"/>
  </bookViews>
  <sheets>
    <sheet name="Arr" sheetId="1" r:id="rId1"/>
    <sheet name="Dep" sheetId="2" r:id="rId2"/>
    <sheet name="ACtypes" sheetId="3" r:id="rId3"/>
    <sheet name="GatesTypes" sheetId="4" r:id="rId4"/>
    <sheet name="Output" sheetId="5" r:id="rId5"/>
    <sheet name="Sheet1" sheetId="13" r:id="rId6"/>
    <sheet name="Chart1" sheetId="6" r:id="rId7"/>
    <sheet name="test3" sheetId="16" r:id="rId8"/>
    <sheet name="test2" sheetId="15" r:id="rId9"/>
    <sheet name="test" sheetId="14" r:id="rId10"/>
    <sheet name="gatecap" sheetId="9" r:id="rId11"/>
    <sheet name="gatecap_C_O1000" sheetId="12" r:id="rId12"/>
    <sheet name="gatecap_C_C1000" sheetId="11" r:id="rId13"/>
    <sheet name="gatecap_C_T1000" sheetId="10" r:id="rId14"/>
  </sheets>
  <functionGroups builtInGroupCount="19"/>
  <definedNames>
    <definedName name="_xlnm._FilterDatabase" localSheetId="0" hidden="1">Arr!$A$1:$AH$500</definedName>
    <definedName name="_xlnm._FilterDatabase" localSheetId="1" hidden="1">Dep!$A$1:$M$1</definedName>
    <definedName name="_xlnm._FilterDatabase" localSheetId="10" hidden="1">gatecap!$A$1:$F$6434</definedName>
    <definedName name="_xlnm._FilterDatabase" localSheetId="12" hidden="1">gatecap_C_C1000!$A$1:$F$6434</definedName>
    <definedName name="_xlnm._FilterDatabase" localSheetId="11" hidden="1">gatecap_C_O1000!$A$1:$F$764</definedName>
    <definedName name="_xlnm._FilterDatabase" localSheetId="13" hidden="1">gatecap_C_T1000!$A$1:$F$6434</definedName>
    <definedName name="_xlnm._FilterDatabase" localSheetId="9" hidden="1">test!$A$1:$B$1</definedName>
    <definedName name="_xlnm._FilterDatabase" localSheetId="8" hidden="1">test2!$A$1:$B$1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" i="1" l="1"/>
  <c r="E6" i="14"/>
  <c r="E5" i="14"/>
  <c r="AC2" i="1"/>
  <c r="F633" i="10" l="1"/>
  <c r="E633" i="10"/>
  <c r="D633" i="10"/>
  <c r="F632" i="10"/>
  <c r="E632" i="10"/>
  <c r="D632" i="10"/>
  <c r="F631" i="10"/>
  <c r="E631" i="10"/>
  <c r="D631" i="10"/>
  <c r="F630" i="10"/>
  <c r="E630" i="10"/>
  <c r="D630" i="10"/>
  <c r="F629" i="10"/>
  <c r="E629" i="10"/>
  <c r="D629" i="10"/>
  <c r="F628" i="10"/>
  <c r="E628" i="10"/>
  <c r="D628" i="10"/>
  <c r="F627" i="10"/>
  <c r="E627" i="10"/>
  <c r="D627" i="10"/>
  <c r="F626" i="10"/>
  <c r="E626" i="10"/>
  <c r="D626" i="10"/>
  <c r="F625" i="10"/>
  <c r="E625" i="10"/>
  <c r="D625" i="10"/>
  <c r="F624" i="10"/>
  <c r="E624" i="10"/>
  <c r="D624" i="10"/>
  <c r="F623" i="10"/>
  <c r="E623" i="10"/>
  <c r="D623" i="10"/>
  <c r="F622" i="10"/>
  <c r="E622" i="10"/>
  <c r="D622" i="10"/>
  <c r="F621" i="10"/>
  <c r="E621" i="10"/>
  <c r="D621" i="10"/>
  <c r="F620" i="10"/>
  <c r="E620" i="10"/>
  <c r="D620" i="10"/>
  <c r="F619" i="10"/>
  <c r="E619" i="10"/>
  <c r="D619" i="10"/>
  <c r="F618" i="10"/>
  <c r="E618" i="10"/>
  <c r="D618" i="10"/>
  <c r="F617" i="10"/>
  <c r="E617" i="10"/>
  <c r="D617" i="10"/>
  <c r="F616" i="10"/>
  <c r="E616" i="10"/>
  <c r="D616" i="10"/>
  <c r="F615" i="10"/>
  <c r="E615" i="10"/>
  <c r="D615" i="10"/>
  <c r="F614" i="10"/>
  <c r="E614" i="10"/>
  <c r="D614" i="10"/>
  <c r="F613" i="10"/>
  <c r="E613" i="10"/>
  <c r="D613" i="10"/>
  <c r="F612" i="10"/>
  <c r="E612" i="10"/>
  <c r="D612" i="10"/>
  <c r="F611" i="10"/>
  <c r="E611" i="10"/>
  <c r="D611" i="10"/>
  <c r="F610" i="10"/>
  <c r="E610" i="10"/>
  <c r="D610" i="10"/>
  <c r="F609" i="10"/>
  <c r="E609" i="10"/>
  <c r="D609" i="10"/>
  <c r="F608" i="10"/>
  <c r="E608" i="10"/>
  <c r="D608" i="10"/>
  <c r="F607" i="10"/>
  <c r="E607" i="10"/>
  <c r="D607" i="10"/>
  <c r="F606" i="10"/>
  <c r="E606" i="10"/>
  <c r="D606" i="10"/>
  <c r="F605" i="10"/>
  <c r="E605" i="10"/>
  <c r="D605" i="10"/>
  <c r="F604" i="10"/>
  <c r="E604" i="10"/>
  <c r="D604" i="10"/>
  <c r="F603" i="10"/>
  <c r="E603" i="10"/>
  <c r="D603" i="10"/>
  <c r="F602" i="10"/>
  <c r="E602" i="10"/>
  <c r="D602" i="10"/>
  <c r="F601" i="10"/>
  <c r="E601" i="10"/>
  <c r="D601" i="10"/>
  <c r="F600" i="10"/>
  <c r="E600" i="10"/>
  <c r="D600" i="10"/>
  <c r="F599" i="10"/>
  <c r="E599" i="10"/>
  <c r="D599" i="10"/>
  <c r="F598" i="10"/>
  <c r="E598" i="10"/>
  <c r="D598" i="10"/>
  <c r="F597" i="10"/>
  <c r="E597" i="10"/>
  <c r="D597" i="10"/>
  <c r="F596" i="10"/>
  <c r="E596" i="10"/>
  <c r="D596" i="10"/>
  <c r="F595" i="10"/>
  <c r="E595" i="10"/>
  <c r="D595" i="10"/>
  <c r="F594" i="10"/>
  <c r="E594" i="10"/>
  <c r="D594" i="10"/>
  <c r="F593" i="10"/>
  <c r="E593" i="10"/>
  <c r="D593" i="10"/>
  <c r="F592" i="10"/>
  <c r="E592" i="10"/>
  <c r="D592" i="10"/>
  <c r="F591" i="10"/>
  <c r="E591" i="10"/>
  <c r="D591" i="10"/>
  <c r="F590" i="10"/>
  <c r="E590" i="10"/>
  <c r="D590" i="10"/>
  <c r="F589" i="10"/>
  <c r="E589" i="10"/>
  <c r="D589" i="10"/>
  <c r="F588" i="10"/>
  <c r="E588" i="10"/>
  <c r="D588" i="10"/>
  <c r="F587" i="10"/>
  <c r="E587" i="10"/>
  <c r="D587" i="10"/>
  <c r="F586" i="10"/>
  <c r="E586" i="10"/>
  <c r="D586" i="10"/>
  <c r="F585" i="10"/>
  <c r="E585" i="10"/>
  <c r="D585" i="10"/>
  <c r="F584" i="10"/>
  <c r="E584" i="10"/>
  <c r="D584" i="10"/>
  <c r="F583" i="10"/>
  <c r="E583" i="10"/>
  <c r="D583" i="10"/>
  <c r="F582" i="10"/>
  <c r="E582" i="10"/>
  <c r="D582" i="10"/>
  <c r="F581" i="10"/>
  <c r="E581" i="10"/>
  <c r="D581" i="10"/>
  <c r="F580" i="10"/>
  <c r="E580" i="10"/>
  <c r="D580" i="10"/>
  <c r="F579" i="10"/>
  <c r="E579" i="10"/>
  <c r="D579" i="10"/>
  <c r="F578" i="10"/>
  <c r="E578" i="10"/>
  <c r="D578" i="10"/>
  <c r="F577" i="10"/>
  <c r="E577" i="10"/>
  <c r="D577" i="10"/>
  <c r="F576" i="10"/>
  <c r="E576" i="10"/>
  <c r="D576" i="10"/>
  <c r="F575" i="10"/>
  <c r="E575" i="10"/>
  <c r="D575" i="10"/>
  <c r="F574" i="10"/>
  <c r="E574" i="10"/>
  <c r="D574" i="10"/>
  <c r="F573" i="10"/>
  <c r="E573" i="10"/>
  <c r="D573" i="10"/>
  <c r="F572" i="10"/>
  <c r="E572" i="10"/>
  <c r="D572" i="10"/>
  <c r="F571" i="10"/>
  <c r="E571" i="10"/>
  <c r="D571" i="10"/>
  <c r="F570" i="10"/>
  <c r="E570" i="10"/>
  <c r="D570" i="10"/>
  <c r="F569" i="10"/>
  <c r="E569" i="10"/>
  <c r="D569" i="10"/>
  <c r="F568" i="10"/>
  <c r="E568" i="10"/>
  <c r="D568" i="10"/>
  <c r="F567" i="10"/>
  <c r="E567" i="10"/>
  <c r="D567" i="10"/>
  <c r="F566" i="10"/>
  <c r="E566" i="10"/>
  <c r="D566" i="10"/>
  <c r="F565" i="10"/>
  <c r="E565" i="10"/>
  <c r="D565" i="10"/>
  <c r="F564" i="10"/>
  <c r="E564" i="10"/>
  <c r="D564" i="10"/>
  <c r="F563" i="10"/>
  <c r="E563" i="10"/>
  <c r="D563" i="10"/>
  <c r="F562" i="10"/>
  <c r="E562" i="10"/>
  <c r="D562" i="10"/>
  <c r="F561" i="10"/>
  <c r="E561" i="10"/>
  <c r="D561" i="10"/>
  <c r="F560" i="10"/>
  <c r="E560" i="10"/>
  <c r="D560" i="10"/>
  <c r="F559" i="10"/>
  <c r="E559" i="10"/>
  <c r="D559" i="10"/>
  <c r="F558" i="10"/>
  <c r="E558" i="10"/>
  <c r="D558" i="10"/>
  <c r="F557" i="10"/>
  <c r="E557" i="10"/>
  <c r="D557" i="10"/>
  <c r="F556" i="10"/>
  <c r="E556" i="10"/>
  <c r="D556" i="10"/>
  <c r="F555" i="10"/>
  <c r="E555" i="10"/>
  <c r="D555" i="10"/>
  <c r="F554" i="10"/>
  <c r="E554" i="10"/>
  <c r="D554" i="10"/>
  <c r="F553" i="10"/>
  <c r="E553" i="10"/>
  <c r="D553" i="10"/>
  <c r="F552" i="10"/>
  <c r="E552" i="10"/>
  <c r="D552" i="10"/>
  <c r="F551" i="10"/>
  <c r="E551" i="10"/>
  <c r="D551" i="10"/>
  <c r="F550" i="10"/>
  <c r="E550" i="10"/>
  <c r="D550" i="10"/>
  <c r="F549" i="10"/>
  <c r="E549" i="10"/>
  <c r="D549" i="10"/>
  <c r="F548" i="10"/>
  <c r="E548" i="10"/>
  <c r="D548" i="10"/>
  <c r="F547" i="10"/>
  <c r="E547" i="10"/>
  <c r="D547" i="10"/>
  <c r="F546" i="10"/>
  <c r="E546" i="10"/>
  <c r="D546" i="10"/>
  <c r="F545" i="10"/>
  <c r="E545" i="10"/>
  <c r="D545" i="10"/>
  <c r="F544" i="10"/>
  <c r="E544" i="10"/>
  <c r="D544" i="10"/>
  <c r="F543" i="10"/>
  <c r="E543" i="10"/>
  <c r="D543" i="10"/>
  <c r="F542" i="10"/>
  <c r="E542" i="10"/>
  <c r="D542" i="10"/>
  <c r="F541" i="10"/>
  <c r="E541" i="10"/>
  <c r="D541" i="10"/>
  <c r="F540" i="10"/>
  <c r="E540" i="10"/>
  <c r="D540" i="10"/>
  <c r="F539" i="10"/>
  <c r="E539" i="10"/>
  <c r="D539" i="10"/>
  <c r="F538" i="10"/>
  <c r="E538" i="10"/>
  <c r="D538" i="10"/>
  <c r="F537" i="10"/>
  <c r="E537" i="10"/>
  <c r="D537" i="10"/>
  <c r="F536" i="10"/>
  <c r="E536" i="10"/>
  <c r="D536" i="10"/>
  <c r="F535" i="10"/>
  <c r="E535" i="10"/>
  <c r="D535" i="10"/>
  <c r="F534" i="10"/>
  <c r="E534" i="10"/>
  <c r="D534" i="10"/>
  <c r="F533" i="10"/>
  <c r="E533" i="10"/>
  <c r="D533" i="10"/>
  <c r="F532" i="10"/>
  <c r="E532" i="10"/>
  <c r="D532" i="10"/>
  <c r="F531" i="10"/>
  <c r="E531" i="10"/>
  <c r="D531" i="10"/>
  <c r="F530" i="10"/>
  <c r="E530" i="10"/>
  <c r="D530" i="10"/>
  <c r="F529" i="10"/>
  <c r="E529" i="10"/>
  <c r="D529" i="10"/>
  <c r="F528" i="10"/>
  <c r="E528" i="10"/>
  <c r="D528" i="10"/>
  <c r="F527" i="10"/>
  <c r="E527" i="10"/>
  <c r="D527" i="10"/>
  <c r="F526" i="10"/>
  <c r="E526" i="10"/>
  <c r="D526" i="10"/>
  <c r="F525" i="10"/>
  <c r="E525" i="10"/>
  <c r="D525" i="10"/>
  <c r="F524" i="10"/>
  <c r="E524" i="10"/>
  <c r="D524" i="10"/>
  <c r="F523" i="10"/>
  <c r="E523" i="10"/>
  <c r="D523" i="10"/>
  <c r="F522" i="10"/>
  <c r="E522" i="10"/>
  <c r="D522" i="10"/>
  <c r="F521" i="10"/>
  <c r="E521" i="10"/>
  <c r="D521" i="10"/>
  <c r="F520" i="10"/>
  <c r="E520" i="10"/>
  <c r="D520" i="10"/>
  <c r="F519" i="10"/>
  <c r="E519" i="10"/>
  <c r="D519" i="10"/>
  <c r="F518" i="10"/>
  <c r="E518" i="10"/>
  <c r="D518" i="10"/>
  <c r="F517" i="10"/>
  <c r="E517" i="10"/>
  <c r="D517" i="10"/>
  <c r="F516" i="10"/>
  <c r="E516" i="10"/>
  <c r="D516" i="10"/>
  <c r="F515" i="10"/>
  <c r="E515" i="10"/>
  <c r="D515" i="10"/>
  <c r="F514" i="10"/>
  <c r="E514" i="10"/>
  <c r="D514" i="10"/>
  <c r="F513" i="10"/>
  <c r="E513" i="10"/>
  <c r="D513" i="10"/>
  <c r="F512" i="10"/>
  <c r="E512" i="10"/>
  <c r="D512" i="10"/>
  <c r="F511" i="10"/>
  <c r="E511" i="10"/>
  <c r="D511" i="10"/>
  <c r="F510" i="10"/>
  <c r="E510" i="10"/>
  <c r="D510" i="10"/>
  <c r="F509" i="10"/>
  <c r="E509" i="10"/>
  <c r="D509" i="10"/>
  <c r="F508" i="10"/>
  <c r="E508" i="10"/>
  <c r="D508" i="10"/>
  <c r="F507" i="10"/>
  <c r="E507" i="10"/>
  <c r="D507" i="10"/>
  <c r="F506" i="10"/>
  <c r="E506" i="10"/>
  <c r="D506" i="10"/>
  <c r="F505" i="10"/>
  <c r="E505" i="10"/>
  <c r="D505" i="10"/>
  <c r="F504" i="10"/>
  <c r="E504" i="10"/>
  <c r="D504" i="10"/>
  <c r="F503" i="10"/>
  <c r="E503" i="10"/>
  <c r="D503" i="10"/>
  <c r="F502" i="10"/>
  <c r="E502" i="10"/>
  <c r="D502" i="10"/>
  <c r="F501" i="10"/>
  <c r="E501" i="10"/>
  <c r="D501" i="10"/>
  <c r="F500" i="10"/>
  <c r="E500" i="10"/>
  <c r="D500" i="10"/>
  <c r="F499" i="10"/>
  <c r="E499" i="10"/>
  <c r="D499" i="10"/>
  <c r="F498" i="10"/>
  <c r="E498" i="10"/>
  <c r="D498" i="10"/>
  <c r="F497" i="10"/>
  <c r="E497" i="10"/>
  <c r="D497" i="10"/>
  <c r="F496" i="10"/>
  <c r="E496" i="10"/>
  <c r="D496" i="10"/>
  <c r="F495" i="10"/>
  <c r="E495" i="10"/>
  <c r="D495" i="10"/>
  <c r="F494" i="10"/>
  <c r="E494" i="10"/>
  <c r="D494" i="10"/>
  <c r="F493" i="10"/>
  <c r="E493" i="10"/>
  <c r="D493" i="10"/>
  <c r="F492" i="10"/>
  <c r="E492" i="10"/>
  <c r="D492" i="10"/>
  <c r="F491" i="10"/>
  <c r="E491" i="10"/>
  <c r="D491" i="10"/>
  <c r="F490" i="10"/>
  <c r="E490" i="10"/>
  <c r="D490" i="10"/>
  <c r="F489" i="10"/>
  <c r="E489" i="10"/>
  <c r="D489" i="10"/>
  <c r="F488" i="10"/>
  <c r="E488" i="10"/>
  <c r="D488" i="10"/>
  <c r="F487" i="10"/>
  <c r="E487" i="10"/>
  <c r="D487" i="10"/>
  <c r="F486" i="10"/>
  <c r="E486" i="10"/>
  <c r="D486" i="10"/>
  <c r="F485" i="10"/>
  <c r="E485" i="10"/>
  <c r="D485" i="10"/>
  <c r="F484" i="10"/>
  <c r="E484" i="10"/>
  <c r="D484" i="10"/>
  <c r="F483" i="10"/>
  <c r="E483" i="10"/>
  <c r="D483" i="10"/>
  <c r="F482" i="10"/>
  <c r="E482" i="10"/>
  <c r="D482" i="10"/>
  <c r="F481" i="10"/>
  <c r="E481" i="10"/>
  <c r="D481" i="10"/>
  <c r="F480" i="10"/>
  <c r="E480" i="10"/>
  <c r="D480" i="10"/>
  <c r="F479" i="10"/>
  <c r="E479" i="10"/>
  <c r="D479" i="10"/>
  <c r="F478" i="10"/>
  <c r="E478" i="10"/>
  <c r="D478" i="10"/>
  <c r="F477" i="10"/>
  <c r="E477" i="10"/>
  <c r="D477" i="10"/>
  <c r="F476" i="10"/>
  <c r="E476" i="10"/>
  <c r="D476" i="10"/>
  <c r="F475" i="10"/>
  <c r="E475" i="10"/>
  <c r="D475" i="10"/>
  <c r="F474" i="10"/>
  <c r="E474" i="10"/>
  <c r="D474" i="10"/>
  <c r="F473" i="10"/>
  <c r="E473" i="10"/>
  <c r="D473" i="10"/>
  <c r="F472" i="10"/>
  <c r="E472" i="10"/>
  <c r="D472" i="10"/>
  <c r="F471" i="10"/>
  <c r="E471" i="10"/>
  <c r="D471" i="10"/>
  <c r="F470" i="10"/>
  <c r="E470" i="10"/>
  <c r="D470" i="10"/>
  <c r="F469" i="10"/>
  <c r="E469" i="10"/>
  <c r="D469" i="10"/>
  <c r="F468" i="10"/>
  <c r="E468" i="10"/>
  <c r="D468" i="10"/>
  <c r="F467" i="10"/>
  <c r="E467" i="10"/>
  <c r="D467" i="10"/>
  <c r="F466" i="10"/>
  <c r="E466" i="10"/>
  <c r="D466" i="10"/>
  <c r="F465" i="10"/>
  <c r="E465" i="10"/>
  <c r="D465" i="10"/>
  <c r="F464" i="10"/>
  <c r="E464" i="10"/>
  <c r="D464" i="10"/>
  <c r="F463" i="10"/>
  <c r="E463" i="10"/>
  <c r="D463" i="10"/>
  <c r="F462" i="10"/>
  <c r="E462" i="10"/>
  <c r="D462" i="10"/>
  <c r="F461" i="10"/>
  <c r="E461" i="10"/>
  <c r="D461" i="10"/>
  <c r="F460" i="10"/>
  <c r="E460" i="10"/>
  <c r="D460" i="10"/>
  <c r="F459" i="10"/>
  <c r="E459" i="10"/>
  <c r="D459" i="10"/>
  <c r="F458" i="10"/>
  <c r="E458" i="10"/>
  <c r="D458" i="10"/>
  <c r="F457" i="10"/>
  <c r="E457" i="10"/>
  <c r="D457" i="10"/>
  <c r="F456" i="10"/>
  <c r="E456" i="10"/>
  <c r="D456" i="10"/>
  <c r="F455" i="10"/>
  <c r="E455" i="10"/>
  <c r="D455" i="10"/>
  <c r="F454" i="10"/>
  <c r="E454" i="10"/>
  <c r="D454" i="10"/>
  <c r="F453" i="10"/>
  <c r="E453" i="10"/>
  <c r="D453" i="10"/>
  <c r="F452" i="10"/>
  <c r="E452" i="10"/>
  <c r="D452" i="10"/>
  <c r="F451" i="10"/>
  <c r="E451" i="10"/>
  <c r="D451" i="10"/>
  <c r="F450" i="10"/>
  <c r="E450" i="10"/>
  <c r="D450" i="10"/>
  <c r="F449" i="10"/>
  <c r="E449" i="10"/>
  <c r="D449" i="10"/>
  <c r="F448" i="10"/>
  <c r="E448" i="10"/>
  <c r="D448" i="10"/>
  <c r="F447" i="10"/>
  <c r="E447" i="10"/>
  <c r="D447" i="10"/>
  <c r="F446" i="10"/>
  <c r="E446" i="10"/>
  <c r="D446" i="10"/>
  <c r="F445" i="10"/>
  <c r="E445" i="10"/>
  <c r="D445" i="10"/>
  <c r="F444" i="10"/>
  <c r="E444" i="10"/>
  <c r="D444" i="10"/>
  <c r="F443" i="10"/>
  <c r="E443" i="10"/>
  <c r="D443" i="10"/>
  <c r="F442" i="10"/>
  <c r="E442" i="10"/>
  <c r="D442" i="10"/>
  <c r="F441" i="10"/>
  <c r="E441" i="10"/>
  <c r="D441" i="10"/>
  <c r="F440" i="10"/>
  <c r="E440" i="10"/>
  <c r="D440" i="10"/>
  <c r="F439" i="10"/>
  <c r="E439" i="10"/>
  <c r="D439" i="10"/>
  <c r="F438" i="10"/>
  <c r="E438" i="10"/>
  <c r="D438" i="10"/>
  <c r="F437" i="10"/>
  <c r="E437" i="10"/>
  <c r="D437" i="10"/>
  <c r="F436" i="10"/>
  <c r="E436" i="10"/>
  <c r="D436" i="10"/>
  <c r="F435" i="10"/>
  <c r="E435" i="10"/>
  <c r="D435" i="10"/>
  <c r="F434" i="10"/>
  <c r="E434" i="10"/>
  <c r="D434" i="10"/>
  <c r="F433" i="10"/>
  <c r="E433" i="10"/>
  <c r="D433" i="10"/>
  <c r="F432" i="10"/>
  <c r="E432" i="10"/>
  <c r="D432" i="10"/>
  <c r="F431" i="10"/>
  <c r="E431" i="10"/>
  <c r="D431" i="10"/>
  <c r="F430" i="10"/>
  <c r="E430" i="10"/>
  <c r="D430" i="10"/>
  <c r="F429" i="10"/>
  <c r="E429" i="10"/>
  <c r="D429" i="10"/>
  <c r="F428" i="10"/>
  <c r="E428" i="10"/>
  <c r="D428" i="10"/>
  <c r="F427" i="10"/>
  <c r="E427" i="10"/>
  <c r="D427" i="10"/>
  <c r="F426" i="10"/>
  <c r="E426" i="10"/>
  <c r="D426" i="10"/>
  <c r="F425" i="10"/>
  <c r="E425" i="10"/>
  <c r="D425" i="10"/>
  <c r="F424" i="10"/>
  <c r="E424" i="10"/>
  <c r="D424" i="10"/>
  <c r="F423" i="10"/>
  <c r="E423" i="10"/>
  <c r="D423" i="10"/>
  <c r="F422" i="10"/>
  <c r="E422" i="10"/>
  <c r="D422" i="10"/>
  <c r="F421" i="10"/>
  <c r="E421" i="10"/>
  <c r="D421" i="10"/>
  <c r="F420" i="10"/>
  <c r="E420" i="10"/>
  <c r="D420" i="10"/>
  <c r="F419" i="10"/>
  <c r="E419" i="10"/>
  <c r="D419" i="10"/>
  <c r="F418" i="10"/>
  <c r="E418" i="10"/>
  <c r="D418" i="10"/>
  <c r="F417" i="10"/>
  <c r="E417" i="10"/>
  <c r="D417" i="10"/>
  <c r="F416" i="10"/>
  <c r="E416" i="10"/>
  <c r="D416" i="10"/>
  <c r="F415" i="10"/>
  <c r="E415" i="10"/>
  <c r="D415" i="10"/>
  <c r="F414" i="10"/>
  <c r="E414" i="10"/>
  <c r="D414" i="10"/>
  <c r="F413" i="10"/>
  <c r="E413" i="10"/>
  <c r="D413" i="10"/>
  <c r="F412" i="10"/>
  <c r="E412" i="10"/>
  <c r="D412" i="10"/>
  <c r="F411" i="10"/>
  <c r="E411" i="10"/>
  <c r="D411" i="10"/>
  <c r="F410" i="10"/>
  <c r="E410" i="10"/>
  <c r="D410" i="10"/>
  <c r="F409" i="10"/>
  <c r="E409" i="10"/>
  <c r="D409" i="10"/>
  <c r="F408" i="10"/>
  <c r="E408" i="10"/>
  <c r="D408" i="10"/>
  <c r="F407" i="10"/>
  <c r="E407" i="10"/>
  <c r="D407" i="10"/>
  <c r="F406" i="10"/>
  <c r="E406" i="10"/>
  <c r="D406" i="10"/>
  <c r="F405" i="10"/>
  <c r="E405" i="10"/>
  <c r="D405" i="10"/>
  <c r="F404" i="10"/>
  <c r="E404" i="10"/>
  <c r="D404" i="10"/>
  <c r="F403" i="10"/>
  <c r="E403" i="10"/>
  <c r="D403" i="10"/>
  <c r="F402" i="10"/>
  <c r="E402" i="10"/>
  <c r="D402" i="10"/>
  <c r="F401" i="10"/>
  <c r="E401" i="10"/>
  <c r="D401" i="10"/>
  <c r="F400" i="10"/>
  <c r="E400" i="10"/>
  <c r="D400" i="10"/>
  <c r="F399" i="10"/>
  <c r="E399" i="10"/>
  <c r="D399" i="10"/>
  <c r="F398" i="10"/>
  <c r="E398" i="10"/>
  <c r="D398" i="10"/>
  <c r="F397" i="10"/>
  <c r="E397" i="10"/>
  <c r="D397" i="10"/>
  <c r="F396" i="10"/>
  <c r="E396" i="10"/>
  <c r="D396" i="10"/>
  <c r="F395" i="10"/>
  <c r="E395" i="10"/>
  <c r="D395" i="10"/>
  <c r="F394" i="10"/>
  <c r="E394" i="10"/>
  <c r="D394" i="10"/>
  <c r="F393" i="10"/>
  <c r="E393" i="10"/>
  <c r="D393" i="10"/>
  <c r="F392" i="10"/>
  <c r="E392" i="10"/>
  <c r="D392" i="10"/>
  <c r="F391" i="10"/>
  <c r="E391" i="10"/>
  <c r="D391" i="10"/>
  <c r="F390" i="10"/>
  <c r="E390" i="10"/>
  <c r="D390" i="10"/>
  <c r="F389" i="10"/>
  <c r="E389" i="10"/>
  <c r="D389" i="10"/>
  <c r="F388" i="10"/>
  <c r="E388" i="10"/>
  <c r="D388" i="10"/>
  <c r="F387" i="10"/>
  <c r="E387" i="10"/>
  <c r="D387" i="10"/>
  <c r="F386" i="10"/>
  <c r="E386" i="10"/>
  <c r="D386" i="10"/>
  <c r="F385" i="10"/>
  <c r="E385" i="10"/>
  <c r="D385" i="10"/>
  <c r="F384" i="10"/>
  <c r="E384" i="10"/>
  <c r="D384" i="10"/>
  <c r="F383" i="10"/>
  <c r="E383" i="10"/>
  <c r="D383" i="10"/>
  <c r="F382" i="10"/>
  <c r="E382" i="10"/>
  <c r="D382" i="10"/>
  <c r="F381" i="10"/>
  <c r="E381" i="10"/>
  <c r="D381" i="10"/>
  <c r="F380" i="10"/>
  <c r="E380" i="10"/>
  <c r="D380" i="10"/>
  <c r="F379" i="10"/>
  <c r="E379" i="10"/>
  <c r="D379" i="10"/>
  <c r="F378" i="10"/>
  <c r="E378" i="10"/>
  <c r="D378" i="10"/>
  <c r="F377" i="10"/>
  <c r="E377" i="10"/>
  <c r="D377" i="10"/>
  <c r="F376" i="10"/>
  <c r="E376" i="10"/>
  <c r="D376" i="10"/>
  <c r="F375" i="10"/>
  <c r="E375" i="10"/>
  <c r="D375" i="10"/>
  <c r="F374" i="10"/>
  <c r="E374" i="10"/>
  <c r="D374" i="10"/>
  <c r="F373" i="10"/>
  <c r="E373" i="10"/>
  <c r="D373" i="10"/>
  <c r="F372" i="10"/>
  <c r="E372" i="10"/>
  <c r="D372" i="10"/>
  <c r="F371" i="10"/>
  <c r="E371" i="10"/>
  <c r="D371" i="10"/>
  <c r="F370" i="10"/>
  <c r="E370" i="10"/>
  <c r="D370" i="10"/>
  <c r="F369" i="10"/>
  <c r="E369" i="10"/>
  <c r="D369" i="10"/>
  <c r="F368" i="10"/>
  <c r="E368" i="10"/>
  <c r="D368" i="10"/>
  <c r="F367" i="10"/>
  <c r="E367" i="10"/>
  <c r="D367" i="10"/>
  <c r="F366" i="10"/>
  <c r="E366" i="10"/>
  <c r="D366" i="10"/>
  <c r="F365" i="10"/>
  <c r="E365" i="10"/>
  <c r="D365" i="10"/>
  <c r="F364" i="10"/>
  <c r="E364" i="10"/>
  <c r="D364" i="10"/>
  <c r="F363" i="10"/>
  <c r="E363" i="10"/>
  <c r="D363" i="10"/>
  <c r="F362" i="10"/>
  <c r="E362" i="10"/>
  <c r="D362" i="10"/>
  <c r="F361" i="10"/>
  <c r="E361" i="10"/>
  <c r="D361" i="10"/>
  <c r="F360" i="10"/>
  <c r="E360" i="10"/>
  <c r="D360" i="10"/>
  <c r="F359" i="10"/>
  <c r="E359" i="10"/>
  <c r="D359" i="10"/>
  <c r="F358" i="10"/>
  <c r="E358" i="10"/>
  <c r="D358" i="10"/>
  <c r="F357" i="10"/>
  <c r="E357" i="10"/>
  <c r="D357" i="10"/>
  <c r="F356" i="10"/>
  <c r="E356" i="10"/>
  <c r="D356" i="10"/>
  <c r="F355" i="10"/>
  <c r="E355" i="10"/>
  <c r="D355" i="10"/>
  <c r="F354" i="10"/>
  <c r="E354" i="10"/>
  <c r="D354" i="10"/>
  <c r="F353" i="10"/>
  <c r="E353" i="10"/>
  <c r="D353" i="10"/>
  <c r="F352" i="10"/>
  <c r="E352" i="10"/>
  <c r="D352" i="10"/>
  <c r="F351" i="10"/>
  <c r="E351" i="10"/>
  <c r="D351" i="10"/>
  <c r="F350" i="10"/>
  <c r="E350" i="10"/>
  <c r="D350" i="10"/>
  <c r="F349" i="10"/>
  <c r="E349" i="10"/>
  <c r="D349" i="10"/>
  <c r="F348" i="10"/>
  <c r="E348" i="10"/>
  <c r="D348" i="10"/>
  <c r="F347" i="10"/>
  <c r="E347" i="10"/>
  <c r="D347" i="10"/>
  <c r="F346" i="10"/>
  <c r="E346" i="10"/>
  <c r="D346" i="10"/>
  <c r="F345" i="10"/>
  <c r="E345" i="10"/>
  <c r="D345" i="10"/>
  <c r="F344" i="10"/>
  <c r="E344" i="10"/>
  <c r="D344" i="10"/>
  <c r="F343" i="10"/>
  <c r="E343" i="10"/>
  <c r="D343" i="10"/>
  <c r="F342" i="10"/>
  <c r="E342" i="10"/>
  <c r="D342" i="10"/>
  <c r="F341" i="10"/>
  <c r="E341" i="10"/>
  <c r="D341" i="10"/>
  <c r="F340" i="10"/>
  <c r="E340" i="10"/>
  <c r="D340" i="10"/>
  <c r="F339" i="10"/>
  <c r="E339" i="10"/>
  <c r="D339" i="10"/>
  <c r="F338" i="10"/>
  <c r="E338" i="10"/>
  <c r="D338" i="10"/>
  <c r="F337" i="10"/>
  <c r="E337" i="10"/>
  <c r="D337" i="10"/>
  <c r="F336" i="10"/>
  <c r="E336" i="10"/>
  <c r="D336" i="10"/>
  <c r="F335" i="10"/>
  <c r="E335" i="10"/>
  <c r="D335" i="10"/>
  <c r="F334" i="10"/>
  <c r="E334" i="10"/>
  <c r="D334" i="10"/>
  <c r="F333" i="10"/>
  <c r="E333" i="10"/>
  <c r="D333" i="10"/>
  <c r="F332" i="10"/>
  <c r="E332" i="10"/>
  <c r="D332" i="10"/>
  <c r="F331" i="10"/>
  <c r="E331" i="10"/>
  <c r="D331" i="10"/>
  <c r="F330" i="10"/>
  <c r="E330" i="10"/>
  <c r="D330" i="10"/>
  <c r="F329" i="10"/>
  <c r="E329" i="10"/>
  <c r="D329" i="10"/>
  <c r="F328" i="10"/>
  <c r="E328" i="10"/>
  <c r="D328" i="10"/>
  <c r="F327" i="10"/>
  <c r="E327" i="10"/>
  <c r="D327" i="10"/>
  <c r="F326" i="10"/>
  <c r="E326" i="10"/>
  <c r="D326" i="10"/>
  <c r="F325" i="10"/>
  <c r="E325" i="10"/>
  <c r="D325" i="10"/>
  <c r="F324" i="10"/>
  <c r="E324" i="10"/>
  <c r="D324" i="10"/>
  <c r="F323" i="10"/>
  <c r="E323" i="10"/>
  <c r="D323" i="10"/>
  <c r="F322" i="10"/>
  <c r="E322" i="10"/>
  <c r="D322" i="10"/>
  <c r="F321" i="10"/>
  <c r="E321" i="10"/>
  <c r="D321" i="10"/>
  <c r="F320" i="10"/>
  <c r="E320" i="10"/>
  <c r="D320" i="10"/>
  <c r="F319" i="10"/>
  <c r="E319" i="10"/>
  <c r="D319" i="10"/>
  <c r="F318" i="10"/>
  <c r="E318" i="10"/>
  <c r="D318" i="10"/>
  <c r="F317" i="10"/>
  <c r="E317" i="10"/>
  <c r="D317" i="10"/>
  <c r="F316" i="10"/>
  <c r="E316" i="10"/>
  <c r="D316" i="10"/>
  <c r="F315" i="10"/>
  <c r="E315" i="10"/>
  <c r="D315" i="10"/>
  <c r="F314" i="10"/>
  <c r="E314" i="10"/>
  <c r="D314" i="10"/>
  <c r="F313" i="10"/>
  <c r="E313" i="10"/>
  <c r="D313" i="10"/>
  <c r="F312" i="10"/>
  <c r="E312" i="10"/>
  <c r="D312" i="10"/>
  <c r="F311" i="10"/>
  <c r="E311" i="10"/>
  <c r="D311" i="10"/>
  <c r="F310" i="10"/>
  <c r="E310" i="10"/>
  <c r="D310" i="10"/>
  <c r="F309" i="10"/>
  <c r="E309" i="10"/>
  <c r="D309" i="10"/>
  <c r="F308" i="10"/>
  <c r="E308" i="10"/>
  <c r="D308" i="10"/>
  <c r="F307" i="10"/>
  <c r="E307" i="10"/>
  <c r="D307" i="10"/>
  <c r="F306" i="10"/>
  <c r="E306" i="10"/>
  <c r="D306" i="10"/>
  <c r="F305" i="10"/>
  <c r="E305" i="10"/>
  <c r="D305" i="10"/>
  <c r="F304" i="10"/>
  <c r="E304" i="10"/>
  <c r="D304" i="10"/>
  <c r="F303" i="10"/>
  <c r="E303" i="10"/>
  <c r="D303" i="10"/>
  <c r="F302" i="10"/>
  <c r="E302" i="10"/>
  <c r="D302" i="10"/>
  <c r="F301" i="10"/>
  <c r="E301" i="10"/>
  <c r="D301" i="10"/>
  <c r="F300" i="10"/>
  <c r="E300" i="10"/>
  <c r="D300" i="10"/>
  <c r="F299" i="10"/>
  <c r="E299" i="10"/>
  <c r="D299" i="10"/>
  <c r="F298" i="10"/>
  <c r="E298" i="10"/>
  <c r="D298" i="10"/>
  <c r="F297" i="10"/>
  <c r="E297" i="10"/>
  <c r="D297" i="10"/>
  <c r="F296" i="10"/>
  <c r="E296" i="10"/>
  <c r="D296" i="10"/>
  <c r="F295" i="10"/>
  <c r="E295" i="10"/>
  <c r="D295" i="10"/>
  <c r="F294" i="10"/>
  <c r="E294" i="10"/>
  <c r="D294" i="10"/>
  <c r="F293" i="10"/>
  <c r="E293" i="10"/>
  <c r="D293" i="10"/>
  <c r="F292" i="10"/>
  <c r="E292" i="10"/>
  <c r="D292" i="10"/>
  <c r="F291" i="10"/>
  <c r="E291" i="10"/>
  <c r="D291" i="10"/>
  <c r="F290" i="10"/>
  <c r="E290" i="10"/>
  <c r="D290" i="10"/>
  <c r="F289" i="10"/>
  <c r="E289" i="10"/>
  <c r="D289" i="10"/>
  <c r="F288" i="10"/>
  <c r="E288" i="10"/>
  <c r="D288" i="10"/>
  <c r="F287" i="10"/>
  <c r="E287" i="10"/>
  <c r="D287" i="10"/>
  <c r="F286" i="10"/>
  <c r="E286" i="10"/>
  <c r="D286" i="10"/>
  <c r="F285" i="10"/>
  <c r="E285" i="10"/>
  <c r="D285" i="10"/>
  <c r="F284" i="10"/>
  <c r="E284" i="10"/>
  <c r="D284" i="10"/>
  <c r="F283" i="10"/>
  <c r="E283" i="10"/>
  <c r="D283" i="10"/>
  <c r="F282" i="10"/>
  <c r="E282" i="10"/>
  <c r="D282" i="10"/>
  <c r="F281" i="10"/>
  <c r="E281" i="10"/>
  <c r="D281" i="10"/>
  <c r="F280" i="10"/>
  <c r="E280" i="10"/>
  <c r="D280" i="10"/>
  <c r="F279" i="10"/>
  <c r="E279" i="10"/>
  <c r="D279" i="10"/>
  <c r="F278" i="10"/>
  <c r="E278" i="10"/>
  <c r="D278" i="10"/>
  <c r="F277" i="10"/>
  <c r="E277" i="10"/>
  <c r="D277" i="10"/>
  <c r="F276" i="10"/>
  <c r="E276" i="10"/>
  <c r="D276" i="10"/>
  <c r="F275" i="10"/>
  <c r="E275" i="10"/>
  <c r="D275" i="10"/>
  <c r="F274" i="10"/>
  <c r="E274" i="10"/>
  <c r="D274" i="10"/>
  <c r="F273" i="10"/>
  <c r="E273" i="10"/>
  <c r="D273" i="10"/>
  <c r="F272" i="10"/>
  <c r="E272" i="10"/>
  <c r="D272" i="10"/>
  <c r="F271" i="10"/>
  <c r="E271" i="10"/>
  <c r="D271" i="10"/>
  <c r="F270" i="10"/>
  <c r="E270" i="10"/>
  <c r="D270" i="10"/>
  <c r="F269" i="10"/>
  <c r="E269" i="10"/>
  <c r="D269" i="10"/>
  <c r="F268" i="10"/>
  <c r="E268" i="10"/>
  <c r="D268" i="10"/>
  <c r="F267" i="10"/>
  <c r="E267" i="10"/>
  <c r="D267" i="10"/>
  <c r="F266" i="10"/>
  <c r="E266" i="10"/>
  <c r="D266" i="10"/>
  <c r="F265" i="10"/>
  <c r="E265" i="10"/>
  <c r="D265" i="10"/>
  <c r="F264" i="10"/>
  <c r="E264" i="10"/>
  <c r="D264" i="10"/>
  <c r="F263" i="10"/>
  <c r="E263" i="10"/>
  <c r="D263" i="10"/>
  <c r="F262" i="10"/>
  <c r="E262" i="10"/>
  <c r="D262" i="10"/>
  <c r="F261" i="10"/>
  <c r="E261" i="10"/>
  <c r="D261" i="10"/>
  <c r="F260" i="10"/>
  <c r="E260" i="10"/>
  <c r="D260" i="10"/>
  <c r="F259" i="10"/>
  <c r="E259" i="10"/>
  <c r="D259" i="10"/>
  <c r="F258" i="10"/>
  <c r="E258" i="10"/>
  <c r="D258" i="10"/>
  <c r="F257" i="10"/>
  <c r="E257" i="10"/>
  <c r="D257" i="10"/>
  <c r="F256" i="10"/>
  <c r="E256" i="10"/>
  <c r="D256" i="10"/>
  <c r="F255" i="10"/>
  <c r="E255" i="10"/>
  <c r="D255" i="10"/>
  <c r="F254" i="10"/>
  <c r="E254" i="10"/>
  <c r="D254" i="10"/>
  <c r="F253" i="10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E249" i="10"/>
  <c r="D249" i="10"/>
  <c r="F248" i="10"/>
  <c r="E248" i="10"/>
  <c r="D248" i="10"/>
  <c r="F247" i="10"/>
  <c r="E247" i="10"/>
  <c r="D247" i="10"/>
  <c r="F246" i="10"/>
  <c r="E246" i="10"/>
  <c r="D246" i="10"/>
  <c r="F245" i="10"/>
  <c r="E245" i="10"/>
  <c r="D245" i="10"/>
  <c r="F244" i="10"/>
  <c r="E244" i="10"/>
  <c r="D244" i="10"/>
  <c r="F243" i="10"/>
  <c r="E243" i="10"/>
  <c r="D243" i="10"/>
  <c r="F242" i="10"/>
  <c r="E242" i="10"/>
  <c r="D242" i="10"/>
  <c r="F241" i="10"/>
  <c r="E241" i="10"/>
  <c r="D241" i="10"/>
  <c r="F240" i="10"/>
  <c r="E240" i="10"/>
  <c r="D240" i="10"/>
  <c r="F239" i="10"/>
  <c r="E239" i="10"/>
  <c r="D239" i="10"/>
  <c r="F238" i="10"/>
  <c r="E238" i="10"/>
  <c r="D238" i="10"/>
  <c r="F237" i="10"/>
  <c r="E237" i="10"/>
  <c r="D237" i="10"/>
  <c r="F236" i="10"/>
  <c r="E236" i="10"/>
  <c r="D236" i="10"/>
  <c r="F235" i="10"/>
  <c r="E235" i="10"/>
  <c r="D235" i="10"/>
  <c r="F234" i="10"/>
  <c r="E234" i="10"/>
  <c r="D234" i="10"/>
  <c r="F233" i="10"/>
  <c r="E233" i="10"/>
  <c r="D233" i="10"/>
  <c r="F232" i="10"/>
  <c r="E232" i="10"/>
  <c r="D232" i="10"/>
  <c r="F231" i="10"/>
  <c r="E231" i="10"/>
  <c r="D231" i="10"/>
  <c r="F230" i="10"/>
  <c r="E230" i="10"/>
  <c r="D230" i="10"/>
  <c r="F229" i="10"/>
  <c r="E229" i="10"/>
  <c r="D229" i="10"/>
  <c r="F228" i="10"/>
  <c r="E228" i="10"/>
  <c r="D228" i="10"/>
  <c r="F227" i="10"/>
  <c r="E227" i="10"/>
  <c r="D227" i="10"/>
  <c r="F226" i="10"/>
  <c r="E226" i="10"/>
  <c r="D226" i="10"/>
  <c r="F225" i="10"/>
  <c r="E225" i="10"/>
  <c r="D225" i="10"/>
  <c r="F224" i="10"/>
  <c r="E224" i="10"/>
  <c r="D224" i="10"/>
  <c r="F223" i="10"/>
  <c r="E223" i="10"/>
  <c r="D223" i="10"/>
  <c r="F222" i="10"/>
  <c r="E222" i="10"/>
  <c r="D222" i="10"/>
  <c r="F221" i="10"/>
  <c r="E221" i="10"/>
  <c r="D221" i="10"/>
  <c r="F220" i="10"/>
  <c r="E220" i="10"/>
  <c r="D220" i="10"/>
  <c r="F219" i="10"/>
  <c r="E219" i="10"/>
  <c r="D219" i="10"/>
  <c r="F218" i="10"/>
  <c r="E218" i="10"/>
  <c r="D218" i="10"/>
  <c r="F217" i="10"/>
  <c r="E217" i="10"/>
  <c r="D217" i="10"/>
  <c r="F216" i="10"/>
  <c r="E216" i="10"/>
  <c r="D216" i="10"/>
  <c r="F215" i="10"/>
  <c r="E215" i="10"/>
  <c r="D215" i="10"/>
  <c r="F214" i="10"/>
  <c r="E214" i="10"/>
  <c r="D214" i="10"/>
  <c r="F213" i="10"/>
  <c r="E213" i="10"/>
  <c r="D213" i="10"/>
  <c r="F212" i="10"/>
  <c r="E212" i="10"/>
  <c r="D212" i="10"/>
  <c r="F211" i="10"/>
  <c r="E211" i="10"/>
  <c r="D211" i="10"/>
  <c r="F210" i="10"/>
  <c r="E210" i="10"/>
  <c r="D210" i="10"/>
  <c r="F209" i="10"/>
  <c r="E209" i="10"/>
  <c r="D209" i="10"/>
  <c r="F208" i="10"/>
  <c r="E208" i="10"/>
  <c r="D208" i="10"/>
  <c r="F207" i="10"/>
  <c r="E207" i="10"/>
  <c r="D207" i="10"/>
  <c r="F206" i="10"/>
  <c r="E206" i="10"/>
  <c r="D206" i="10"/>
  <c r="F205" i="10"/>
  <c r="E205" i="10"/>
  <c r="D205" i="10"/>
  <c r="F204" i="10"/>
  <c r="E204" i="10"/>
  <c r="D204" i="10"/>
  <c r="F203" i="10"/>
  <c r="E203" i="10"/>
  <c r="D203" i="10"/>
  <c r="F202" i="10"/>
  <c r="E202" i="10"/>
  <c r="D202" i="10"/>
  <c r="F201" i="10"/>
  <c r="E201" i="10"/>
  <c r="D201" i="10"/>
  <c r="F200" i="10"/>
  <c r="E200" i="10"/>
  <c r="D200" i="10"/>
  <c r="F199" i="10"/>
  <c r="E199" i="10"/>
  <c r="D199" i="10"/>
  <c r="F198" i="10"/>
  <c r="E198" i="10"/>
  <c r="D198" i="10"/>
  <c r="F197" i="10"/>
  <c r="E197" i="10"/>
  <c r="D197" i="10"/>
  <c r="F196" i="10"/>
  <c r="E196" i="10"/>
  <c r="D196" i="10"/>
  <c r="F195" i="10"/>
  <c r="E195" i="10"/>
  <c r="D195" i="10"/>
  <c r="F194" i="10"/>
  <c r="E194" i="10"/>
  <c r="D194" i="10"/>
  <c r="F193" i="10"/>
  <c r="E193" i="10"/>
  <c r="D193" i="10"/>
  <c r="F192" i="10"/>
  <c r="E192" i="10"/>
  <c r="D192" i="10"/>
  <c r="F191" i="10"/>
  <c r="E191" i="10"/>
  <c r="D191" i="10"/>
  <c r="F190" i="10"/>
  <c r="E190" i="10"/>
  <c r="D190" i="10"/>
  <c r="F189" i="10"/>
  <c r="E189" i="10"/>
  <c r="D189" i="10"/>
  <c r="F188" i="10"/>
  <c r="E188" i="10"/>
  <c r="D188" i="10"/>
  <c r="F187" i="10"/>
  <c r="E187" i="10"/>
  <c r="D187" i="10"/>
  <c r="F186" i="10"/>
  <c r="E186" i="10"/>
  <c r="D186" i="10"/>
  <c r="F185" i="10"/>
  <c r="E185" i="10"/>
  <c r="D185" i="10"/>
  <c r="F184" i="10"/>
  <c r="E184" i="10"/>
  <c r="D184" i="10"/>
  <c r="F183" i="10"/>
  <c r="E183" i="10"/>
  <c r="D183" i="10"/>
  <c r="F182" i="10"/>
  <c r="E182" i="10"/>
  <c r="D182" i="10"/>
  <c r="F181" i="10"/>
  <c r="E181" i="10"/>
  <c r="D181" i="10"/>
  <c r="F180" i="10"/>
  <c r="E180" i="10"/>
  <c r="D180" i="10"/>
  <c r="F179" i="10"/>
  <c r="E179" i="10"/>
  <c r="D179" i="10"/>
  <c r="F178" i="10"/>
  <c r="E178" i="10"/>
  <c r="D178" i="10"/>
  <c r="F177" i="10"/>
  <c r="E177" i="10"/>
  <c r="D177" i="10"/>
  <c r="F176" i="10"/>
  <c r="E176" i="10"/>
  <c r="D176" i="10"/>
  <c r="F175" i="10"/>
  <c r="E175" i="10"/>
  <c r="D175" i="10"/>
  <c r="F174" i="10"/>
  <c r="E174" i="10"/>
  <c r="D174" i="10"/>
  <c r="F173" i="10"/>
  <c r="E173" i="10"/>
  <c r="D173" i="10"/>
  <c r="F172" i="10"/>
  <c r="E172" i="10"/>
  <c r="D172" i="10"/>
  <c r="F171" i="10"/>
  <c r="E171" i="10"/>
  <c r="D171" i="10"/>
  <c r="F170" i="10"/>
  <c r="E170" i="10"/>
  <c r="D170" i="10"/>
  <c r="F169" i="10"/>
  <c r="E169" i="10"/>
  <c r="D169" i="10"/>
  <c r="F168" i="10"/>
  <c r="E168" i="10"/>
  <c r="D168" i="10"/>
  <c r="F167" i="10"/>
  <c r="E167" i="10"/>
  <c r="D167" i="10"/>
  <c r="F166" i="10"/>
  <c r="E166" i="10"/>
  <c r="D166" i="10"/>
  <c r="F165" i="10"/>
  <c r="E165" i="10"/>
  <c r="D165" i="10"/>
  <c r="F164" i="10"/>
  <c r="E164" i="10"/>
  <c r="D164" i="10"/>
  <c r="F163" i="10"/>
  <c r="E163" i="10"/>
  <c r="D163" i="10"/>
  <c r="F162" i="10"/>
  <c r="E162" i="10"/>
  <c r="D162" i="10"/>
  <c r="F161" i="10"/>
  <c r="E161" i="10"/>
  <c r="D161" i="10"/>
  <c r="F160" i="10"/>
  <c r="E160" i="10"/>
  <c r="D160" i="10"/>
  <c r="F159" i="10"/>
  <c r="E159" i="10"/>
  <c r="D159" i="10"/>
  <c r="F158" i="10"/>
  <c r="E158" i="10"/>
  <c r="D158" i="10"/>
  <c r="F157" i="10"/>
  <c r="E157" i="10"/>
  <c r="D157" i="10"/>
  <c r="F156" i="10"/>
  <c r="E156" i="10"/>
  <c r="D156" i="10"/>
  <c r="F155" i="10"/>
  <c r="E155" i="10"/>
  <c r="D155" i="10"/>
  <c r="F154" i="10"/>
  <c r="E154" i="10"/>
  <c r="D154" i="10"/>
  <c r="F153" i="10"/>
  <c r="E153" i="10"/>
  <c r="D153" i="10"/>
  <c r="F152" i="10"/>
  <c r="E152" i="10"/>
  <c r="D152" i="10"/>
  <c r="F151" i="10"/>
  <c r="E151" i="10"/>
  <c r="D151" i="10"/>
  <c r="F150" i="10"/>
  <c r="E150" i="10"/>
  <c r="D150" i="10"/>
  <c r="F149" i="10"/>
  <c r="E149" i="10"/>
  <c r="D149" i="10"/>
  <c r="F148" i="10"/>
  <c r="E148" i="10"/>
  <c r="D148" i="10"/>
  <c r="F147" i="10"/>
  <c r="E147" i="10"/>
  <c r="D147" i="10"/>
  <c r="F146" i="10"/>
  <c r="E146" i="10"/>
  <c r="D146" i="10"/>
  <c r="F145" i="10"/>
  <c r="E145" i="10"/>
  <c r="D145" i="10"/>
  <c r="F144" i="10"/>
  <c r="E144" i="10"/>
  <c r="D144" i="10"/>
  <c r="F143" i="10"/>
  <c r="E143" i="10"/>
  <c r="D143" i="10"/>
  <c r="F142" i="10"/>
  <c r="E142" i="10"/>
  <c r="D142" i="10"/>
  <c r="F141" i="10"/>
  <c r="E141" i="10"/>
  <c r="D141" i="10"/>
  <c r="F140" i="10"/>
  <c r="E140" i="10"/>
  <c r="D140" i="10"/>
  <c r="F139" i="10"/>
  <c r="E139" i="10"/>
  <c r="D139" i="10"/>
  <c r="F138" i="10"/>
  <c r="E138" i="10"/>
  <c r="D138" i="10"/>
  <c r="F137" i="10"/>
  <c r="E137" i="10"/>
  <c r="D137" i="10"/>
  <c r="F136" i="10"/>
  <c r="E136" i="10"/>
  <c r="D136" i="10"/>
  <c r="F135" i="10"/>
  <c r="E135" i="10"/>
  <c r="D135" i="10"/>
  <c r="F134" i="10"/>
  <c r="E134" i="10"/>
  <c r="D134" i="10"/>
  <c r="F133" i="10"/>
  <c r="E133" i="10"/>
  <c r="D133" i="10"/>
  <c r="F132" i="10"/>
  <c r="E132" i="10"/>
  <c r="D132" i="10"/>
  <c r="F131" i="10"/>
  <c r="E131" i="10"/>
  <c r="D131" i="10"/>
  <c r="F130" i="10"/>
  <c r="E130" i="10"/>
  <c r="D130" i="10"/>
  <c r="F129" i="10"/>
  <c r="E129" i="10"/>
  <c r="D129" i="10"/>
  <c r="F128" i="10"/>
  <c r="E128" i="10"/>
  <c r="D128" i="10"/>
  <c r="F127" i="10"/>
  <c r="E127" i="10"/>
  <c r="D127" i="10"/>
  <c r="F126" i="10"/>
  <c r="E126" i="10"/>
  <c r="D126" i="10"/>
  <c r="F125" i="10"/>
  <c r="E125" i="10"/>
  <c r="D125" i="10"/>
  <c r="F124" i="10"/>
  <c r="E124" i="10"/>
  <c r="D124" i="10"/>
  <c r="F123" i="10"/>
  <c r="E123" i="10"/>
  <c r="D123" i="10"/>
  <c r="F122" i="10"/>
  <c r="E122" i="10"/>
  <c r="D122" i="10"/>
  <c r="F121" i="10"/>
  <c r="E121" i="10"/>
  <c r="D121" i="10"/>
  <c r="F120" i="10"/>
  <c r="E120" i="10"/>
  <c r="D120" i="10"/>
  <c r="F119" i="10"/>
  <c r="E119" i="10"/>
  <c r="D119" i="10"/>
  <c r="F118" i="10"/>
  <c r="E118" i="10"/>
  <c r="D118" i="10"/>
  <c r="F117" i="10"/>
  <c r="E117" i="10"/>
  <c r="D117" i="10"/>
  <c r="F116" i="10"/>
  <c r="E116" i="10"/>
  <c r="D116" i="10"/>
  <c r="F115" i="10"/>
  <c r="E115" i="10"/>
  <c r="D115" i="10"/>
  <c r="F114" i="10"/>
  <c r="E114" i="10"/>
  <c r="D114" i="10"/>
  <c r="F113" i="10"/>
  <c r="E113" i="10"/>
  <c r="D113" i="10"/>
  <c r="F112" i="10"/>
  <c r="E112" i="10"/>
  <c r="D112" i="10"/>
  <c r="F111" i="10"/>
  <c r="E111" i="10"/>
  <c r="D111" i="10"/>
  <c r="F110" i="10"/>
  <c r="E110" i="10"/>
  <c r="D110" i="10"/>
  <c r="F109" i="10"/>
  <c r="E109" i="10"/>
  <c r="D109" i="10"/>
  <c r="F108" i="10"/>
  <c r="E108" i="10"/>
  <c r="D108" i="10"/>
  <c r="F107" i="10"/>
  <c r="E107" i="10"/>
  <c r="D107" i="10"/>
  <c r="F106" i="10"/>
  <c r="E106" i="10"/>
  <c r="D106" i="10"/>
  <c r="F105" i="10"/>
  <c r="E105" i="10"/>
  <c r="D105" i="10"/>
  <c r="F104" i="10"/>
  <c r="E104" i="10"/>
  <c r="D104" i="10"/>
  <c r="F103" i="10"/>
  <c r="E103" i="10"/>
  <c r="D103" i="10"/>
  <c r="F102" i="10"/>
  <c r="E102" i="10"/>
  <c r="D102" i="10"/>
  <c r="F101" i="10"/>
  <c r="E101" i="10"/>
  <c r="D101" i="10"/>
  <c r="F100" i="10"/>
  <c r="E100" i="10"/>
  <c r="D100" i="10"/>
  <c r="F99" i="10"/>
  <c r="E99" i="10"/>
  <c r="D99" i="10"/>
  <c r="F98" i="10"/>
  <c r="E98" i="10"/>
  <c r="D98" i="10"/>
  <c r="F97" i="10"/>
  <c r="E97" i="10"/>
  <c r="D97" i="10"/>
  <c r="F96" i="10"/>
  <c r="E96" i="10"/>
  <c r="D96" i="10"/>
  <c r="F95" i="10"/>
  <c r="E95" i="10"/>
  <c r="D95" i="10"/>
  <c r="F94" i="10"/>
  <c r="E94" i="10"/>
  <c r="D94" i="10"/>
  <c r="F93" i="10"/>
  <c r="E93" i="10"/>
  <c r="D93" i="10"/>
  <c r="F92" i="10"/>
  <c r="E92" i="10"/>
  <c r="D92" i="10"/>
  <c r="F91" i="10"/>
  <c r="E91" i="10"/>
  <c r="D91" i="10"/>
  <c r="F90" i="10"/>
  <c r="E90" i="10"/>
  <c r="D90" i="10"/>
  <c r="F89" i="10"/>
  <c r="E89" i="10"/>
  <c r="D89" i="10"/>
  <c r="F88" i="10"/>
  <c r="E88" i="10"/>
  <c r="D88" i="10"/>
  <c r="F87" i="10"/>
  <c r="E87" i="10"/>
  <c r="D87" i="10"/>
  <c r="F86" i="10"/>
  <c r="E86" i="10"/>
  <c r="D86" i="10"/>
  <c r="F85" i="10"/>
  <c r="E85" i="10"/>
  <c r="D85" i="10"/>
  <c r="F84" i="10"/>
  <c r="E84" i="10"/>
  <c r="D84" i="10"/>
  <c r="F83" i="10"/>
  <c r="E83" i="10"/>
  <c r="D83" i="10"/>
  <c r="F82" i="10"/>
  <c r="E82" i="10"/>
  <c r="D82" i="10"/>
  <c r="F81" i="10"/>
  <c r="E81" i="10"/>
  <c r="D81" i="10"/>
  <c r="F80" i="10"/>
  <c r="E80" i="10"/>
  <c r="D80" i="10"/>
  <c r="F79" i="10"/>
  <c r="E79" i="10"/>
  <c r="D79" i="10"/>
  <c r="F78" i="10"/>
  <c r="E78" i="10"/>
  <c r="D78" i="10"/>
  <c r="F77" i="10"/>
  <c r="E77" i="10"/>
  <c r="D77" i="10"/>
  <c r="F76" i="10"/>
  <c r="E76" i="10"/>
  <c r="D76" i="10"/>
  <c r="F75" i="10"/>
  <c r="E75" i="10"/>
  <c r="D75" i="10"/>
  <c r="F74" i="10"/>
  <c r="E74" i="10"/>
  <c r="D74" i="10"/>
  <c r="F73" i="10"/>
  <c r="E73" i="10"/>
  <c r="D73" i="10"/>
  <c r="F72" i="10"/>
  <c r="E72" i="10"/>
  <c r="D72" i="10"/>
  <c r="F71" i="10"/>
  <c r="E71" i="10"/>
  <c r="D71" i="10"/>
  <c r="F70" i="10"/>
  <c r="E70" i="10"/>
  <c r="D70" i="10"/>
  <c r="F69" i="10"/>
  <c r="E69" i="10"/>
  <c r="D69" i="10"/>
  <c r="F68" i="10"/>
  <c r="E68" i="10"/>
  <c r="D68" i="10"/>
  <c r="F67" i="10"/>
  <c r="E67" i="10"/>
  <c r="D67" i="10"/>
  <c r="F66" i="10"/>
  <c r="E66" i="10"/>
  <c r="D66" i="10"/>
  <c r="F65" i="10"/>
  <c r="E65" i="10"/>
  <c r="D65" i="10"/>
  <c r="F64" i="10"/>
  <c r="E64" i="10"/>
  <c r="D64" i="10"/>
  <c r="F63" i="10"/>
  <c r="E63" i="10"/>
  <c r="D63" i="10"/>
  <c r="F62" i="10"/>
  <c r="E62" i="10"/>
  <c r="D62" i="10"/>
  <c r="F61" i="10"/>
  <c r="E61" i="10"/>
  <c r="D61" i="10"/>
  <c r="F60" i="10"/>
  <c r="E60" i="10"/>
  <c r="D60" i="10"/>
  <c r="F59" i="10"/>
  <c r="E59" i="10"/>
  <c r="D59" i="10"/>
  <c r="F58" i="10"/>
  <c r="E58" i="10"/>
  <c r="D58" i="10"/>
  <c r="F57" i="10"/>
  <c r="E57" i="10"/>
  <c r="D57" i="10"/>
  <c r="F56" i="10"/>
  <c r="E56" i="10"/>
  <c r="D56" i="10"/>
  <c r="F55" i="10"/>
  <c r="E55" i="10"/>
  <c r="D55" i="10"/>
  <c r="F54" i="10"/>
  <c r="E54" i="10"/>
  <c r="D54" i="10"/>
  <c r="F53" i="10"/>
  <c r="E53" i="10"/>
  <c r="D53" i="10"/>
  <c r="F52" i="10"/>
  <c r="E52" i="10"/>
  <c r="D52" i="10"/>
  <c r="F51" i="10"/>
  <c r="E51" i="10"/>
  <c r="D51" i="10"/>
  <c r="F50" i="10"/>
  <c r="E50" i="10"/>
  <c r="D50" i="10"/>
  <c r="F49" i="10"/>
  <c r="E49" i="10"/>
  <c r="D49" i="10"/>
  <c r="F48" i="10"/>
  <c r="E48" i="10"/>
  <c r="D48" i="10"/>
  <c r="F47" i="10"/>
  <c r="E47" i="10"/>
  <c r="D47" i="10"/>
  <c r="F46" i="10"/>
  <c r="E46" i="10"/>
  <c r="D46" i="10"/>
  <c r="F45" i="10"/>
  <c r="E45" i="10"/>
  <c r="D45" i="10"/>
  <c r="F44" i="10"/>
  <c r="E44" i="10"/>
  <c r="D44" i="10"/>
  <c r="F43" i="10"/>
  <c r="E43" i="10"/>
  <c r="D43" i="10"/>
  <c r="F42" i="10"/>
  <c r="E42" i="10"/>
  <c r="D42" i="10"/>
  <c r="F41" i="10"/>
  <c r="E41" i="10"/>
  <c r="D41" i="10"/>
  <c r="F40" i="10"/>
  <c r="E40" i="10"/>
  <c r="D40" i="10"/>
  <c r="F39" i="10"/>
  <c r="E39" i="10"/>
  <c r="D39" i="10"/>
  <c r="F38" i="10"/>
  <c r="E38" i="10"/>
  <c r="D38" i="10"/>
  <c r="F37" i="10"/>
  <c r="E37" i="10"/>
  <c r="D37" i="10"/>
  <c r="F36" i="10"/>
  <c r="E36" i="10"/>
  <c r="D36" i="10"/>
  <c r="F35" i="10"/>
  <c r="E35" i="10"/>
  <c r="D35" i="10"/>
  <c r="F34" i="10"/>
  <c r="E34" i="10"/>
  <c r="D34" i="10"/>
  <c r="F33" i="10"/>
  <c r="E33" i="10"/>
  <c r="D33" i="10"/>
  <c r="F32" i="10"/>
  <c r="E32" i="10"/>
  <c r="D32" i="10"/>
  <c r="F31" i="10"/>
  <c r="E31" i="10"/>
  <c r="D31" i="10"/>
  <c r="F30" i="10"/>
  <c r="E30" i="10"/>
  <c r="D30" i="10"/>
  <c r="F29" i="10"/>
  <c r="E29" i="10"/>
  <c r="D29" i="10"/>
  <c r="F28" i="10"/>
  <c r="E28" i="10"/>
  <c r="D28" i="10"/>
  <c r="F27" i="10"/>
  <c r="E27" i="10"/>
  <c r="D27" i="10"/>
  <c r="F26" i="10"/>
  <c r="E26" i="10"/>
  <c r="D26" i="10"/>
  <c r="F25" i="10"/>
  <c r="E25" i="10"/>
  <c r="D25" i="10"/>
  <c r="F24" i="10"/>
  <c r="E24" i="10"/>
  <c r="D24" i="10"/>
  <c r="F23" i="10"/>
  <c r="E23" i="10"/>
  <c r="D23" i="10"/>
  <c r="F22" i="10"/>
  <c r="E22" i="10"/>
  <c r="D22" i="10"/>
  <c r="F21" i="10"/>
  <c r="E21" i="10"/>
  <c r="D21" i="10"/>
  <c r="F20" i="10"/>
  <c r="E20" i="10"/>
  <c r="D20" i="10"/>
  <c r="F19" i="10"/>
  <c r="E19" i="10"/>
  <c r="D19" i="10"/>
  <c r="F18" i="10"/>
  <c r="E18" i="10"/>
  <c r="D18" i="10"/>
  <c r="F17" i="10"/>
  <c r="E17" i="10"/>
  <c r="D17" i="10"/>
  <c r="F16" i="10"/>
  <c r="E16" i="10"/>
  <c r="D16" i="10"/>
  <c r="F15" i="10"/>
  <c r="E15" i="10"/>
  <c r="D15" i="10"/>
  <c r="F14" i="10"/>
  <c r="E14" i="10"/>
  <c r="D14" i="10"/>
  <c r="F13" i="10"/>
  <c r="E13" i="10"/>
  <c r="D13" i="10"/>
  <c r="F12" i="10"/>
  <c r="E12" i="10"/>
  <c r="D12" i="10"/>
  <c r="F11" i="10"/>
  <c r="E11" i="10"/>
  <c r="D11" i="10"/>
  <c r="F10" i="10"/>
  <c r="E10" i="10"/>
  <c r="D10" i="10"/>
  <c r="F9" i="10"/>
  <c r="E9" i="10"/>
  <c r="D9" i="10"/>
  <c r="F8" i="10"/>
  <c r="E8" i="10"/>
  <c r="D8" i="10"/>
  <c r="F7" i="10"/>
  <c r="E7" i="10"/>
  <c r="D7" i="10"/>
  <c r="F6" i="10"/>
  <c r="E6" i="10"/>
  <c r="D6" i="10"/>
  <c r="F5" i="10"/>
  <c r="E5" i="10"/>
  <c r="D5" i="10"/>
  <c r="F4" i="10"/>
  <c r="E4" i="10"/>
  <c r="D4" i="10"/>
  <c r="F3" i="10"/>
  <c r="E3" i="10"/>
  <c r="D3" i="10"/>
  <c r="F629" i="11"/>
  <c r="E629" i="11"/>
  <c r="D629" i="11"/>
  <c r="F628" i="11"/>
  <c r="E628" i="11"/>
  <c r="D628" i="11"/>
  <c r="F627" i="11"/>
  <c r="E627" i="11"/>
  <c r="D627" i="11"/>
  <c r="F626" i="11"/>
  <c r="E626" i="11"/>
  <c r="D626" i="11"/>
  <c r="F625" i="11"/>
  <c r="E625" i="11"/>
  <c r="D625" i="11"/>
  <c r="F624" i="11"/>
  <c r="E624" i="11"/>
  <c r="D624" i="11"/>
  <c r="F623" i="11"/>
  <c r="E623" i="11"/>
  <c r="D623" i="11"/>
  <c r="F622" i="11"/>
  <c r="E622" i="11"/>
  <c r="D622" i="11"/>
  <c r="F621" i="11"/>
  <c r="E621" i="11"/>
  <c r="D621" i="11"/>
  <c r="F620" i="11"/>
  <c r="E620" i="11"/>
  <c r="D620" i="11"/>
  <c r="F619" i="11"/>
  <c r="E619" i="11"/>
  <c r="D619" i="11"/>
  <c r="F618" i="11"/>
  <c r="E618" i="11"/>
  <c r="D618" i="11"/>
  <c r="F617" i="11"/>
  <c r="E617" i="11"/>
  <c r="D617" i="11"/>
  <c r="F616" i="11"/>
  <c r="E616" i="11"/>
  <c r="D616" i="11"/>
  <c r="F615" i="11"/>
  <c r="E615" i="11"/>
  <c r="D615" i="11"/>
  <c r="F614" i="11"/>
  <c r="E614" i="11"/>
  <c r="D614" i="11"/>
  <c r="F613" i="11"/>
  <c r="E613" i="11"/>
  <c r="D613" i="11"/>
  <c r="F612" i="11"/>
  <c r="E612" i="11"/>
  <c r="D612" i="11"/>
  <c r="F611" i="11"/>
  <c r="E611" i="11"/>
  <c r="D611" i="11"/>
  <c r="F610" i="11"/>
  <c r="E610" i="11"/>
  <c r="D610" i="11"/>
  <c r="F609" i="11"/>
  <c r="E609" i="11"/>
  <c r="D609" i="11"/>
  <c r="F608" i="11"/>
  <c r="E608" i="11"/>
  <c r="D608" i="11"/>
  <c r="F607" i="11"/>
  <c r="E607" i="11"/>
  <c r="D607" i="11"/>
  <c r="F606" i="11"/>
  <c r="E606" i="11"/>
  <c r="D606" i="11"/>
  <c r="F605" i="11"/>
  <c r="E605" i="11"/>
  <c r="D605" i="11"/>
  <c r="F604" i="11"/>
  <c r="E604" i="11"/>
  <c r="D604" i="11"/>
  <c r="F603" i="11"/>
  <c r="E603" i="11"/>
  <c r="D603" i="11"/>
  <c r="F602" i="11"/>
  <c r="E602" i="11"/>
  <c r="D602" i="11"/>
  <c r="F601" i="11"/>
  <c r="E601" i="11"/>
  <c r="D601" i="11"/>
  <c r="F600" i="11"/>
  <c r="E600" i="11"/>
  <c r="D600" i="11"/>
  <c r="F599" i="11"/>
  <c r="E599" i="11"/>
  <c r="D599" i="11"/>
  <c r="F598" i="11"/>
  <c r="E598" i="11"/>
  <c r="D598" i="11"/>
  <c r="F597" i="11"/>
  <c r="E597" i="11"/>
  <c r="D597" i="11"/>
  <c r="F596" i="11"/>
  <c r="E596" i="11"/>
  <c r="D596" i="11"/>
  <c r="F595" i="11"/>
  <c r="E595" i="11"/>
  <c r="D595" i="11"/>
  <c r="F594" i="11"/>
  <c r="E594" i="11"/>
  <c r="D594" i="11"/>
  <c r="F593" i="11"/>
  <c r="E593" i="11"/>
  <c r="D593" i="11"/>
  <c r="F592" i="11"/>
  <c r="E592" i="11"/>
  <c r="D592" i="11"/>
  <c r="F591" i="11"/>
  <c r="E591" i="11"/>
  <c r="D591" i="11"/>
  <c r="F590" i="11"/>
  <c r="E590" i="11"/>
  <c r="D590" i="11"/>
  <c r="F589" i="11"/>
  <c r="E589" i="11"/>
  <c r="D589" i="11"/>
  <c r="F588" i="11"/>
  <c r="E588" i="11"/>
  <c r="D588" i="11"/>
  <c r="F587" i="11"/>
  <c r="E587" i="11"/>
  <c r="D587" i="11"/>
  <c r="F586" i="11"/>
  <c r="E586" i="11"/>
  <c r="D586" i="11"/>
  <c r="F585" i="11"/>
  <c r="E585" i="11"/>
  <c r="D585" i="11"/>
  <c r="F584" i="11"/>
  <c r="E584" i="11"/>
  <c r="D584" i="11"/>
  <c r="F583" i="11"/>
  <c r="E583" i="11"/>
  <c r="D583" i="11"/>
  <c r="F582" i="11"/>
  <c r="E582" i="11"/>
  <c r="D582" i="11"/>
  <c r="F581" i="11"/>
  <c r="E581" i="11"/>
  <c r="D581" i="11"/>
  <c r="F580" i="11"/>
  <c r="E580" i="11"/>
  <c r="D580" i="11"/>
  <c r="F579" i="11"/>
  <c r="E579" i="11"/>
  <c r="D579" i="11"/>
  <c r="F578" i="11"/>
  <c r="E578" i="11"/>
  <c r="D578" i="11"/>
  <c r="F577" i="11"/>
  <c r="E577" i="11"/>
  <c r="D577" i="11"/>
  <c r="F576" i="11"/>
  <c r="E576" i="11"/>
  <c r="D576" i="11"/>
  <c r="F575" i="11"/>
  <c r="E575" i="11"/>
  <c r="D575" i="11"/>
  <c r="F574" i="11"/>
  <c r="E574" i="11"/>
  <c r="D574" i="11"/>
  <c r="F573" i="11"/>
  <c r="E573" i="11"/>
  <c r="D573" i="11"/>
  <c r="F572" i="11"/>
  <c r="E572" i="11"/>
  <c r="D572" i="11"/>
  <c r="F571" i="11"/>
  <c r="E571" i="11"/>
  <c r="D571" i="11"/>
  <c r="F570" i="11"/>
  <c r="E570" i="11"/>
  <c r="D570" i="11"/>
  <c r="F569" i="11"/>
  <c r="E569" i="11"/>
  <c r="D569" i="11"/>
  <c r="F568" i="11"/>
  <c r="E568" i="11"/>
  <c r="D568" i="11"/>
  <c r="F567" i="11"/>
  <c r="E567" i="11"/>
  <c r="D567" i="11"/>
  <c r="F566" i="11"/>
  <c r="E566" i="11"/>
  <c r="D566" i="11"/>
  <c r="F565" i="11"/>
  <c r="E565" i="11"/>
  <c r="D565" i="11"/>
  <c r="F564" i="11"/>
  <c r="E564" i="11"/>
  <c r="D564" i="11"/>
  <c r="F563" i="11"/>
  <c r="E563" i="11"/>
  <c r="D563" i="11"/>
  <c r="F562" i="11"/>
  <c r="E562" i="11"/>
  <c r="D562" i="11"/>
  <c r="F561" i="11"/>
  <c r="E561" i="11"/>
  <c r="D561" i="11"/>
  <c r="F560" i="11"/>
  <c r="E560" i="11"/>
  <c r="D560" i="11"/>
  <c r="F559" i="11"/>
  <c r="E559" i="11"/>
  <c r="D559" i="11"/>
  <c r="F558" i="11"/>
  <c r="E558" i="11"/>
  <c r="D558" i="11"/>
  <c r="F557" i="11"/>
  <c r="E557" i="11"/>
  <c r="D557" i="11"/>
  <c r="F556" i="11"/>
  <c r="E556" i="11"/>
  <c r="D556" i="11"/>
  <c r="F555" i="11"/>
  <c r="E555" i="11"/>
  <c r="D555" i="11"/>
  <c r="F554" i="11"/>
  <c r="E554" i="11"/>
  <c r="D554" i="11"/>
  <c r="F553" i="11"/>
  <c r="E553" i="11"/>
  <c r="D553" i="11"/>
  <c r="F552" i="11"/>
  <c r="E552" i="11"/>
  <c r="D552" i="11"/>
  <c r="F551" i="11"/>
  <c r="E551" i="11"/>
  <c r="D551" i="11"/>
  <c r="F550" i="11"/>
  <c r="E550" i="11"/>
  <c r="D550" i="11"/>
  <c r="F549" i="11"/>
  <c r="E549" i="11"/>
  <c r="D549" i="11"/>
  <c r="F548" i="11"/>
  <c r="E548" i="11"/>
  <c r="D548" i="11"/>
  <c r="F547" i="11"/>
  <c r="E547" i="11"/>
  <c r="D547" i="11"/>
  <c r="F546" i="11"/>
  <c r="E546" i="11"/>
  <c r="D546" i="11"/>
  <c r="F545" i="11"/>
  <c r="E545" i="11"/>
  <c r="D545" i="11"/>
  <c r="F544" i="11"/>
  <c r="E544" i="11"/>
  <c r="D544" i="11"/>
  <c r="F543" i="11"/>
  <c r="E543" i="11"/>
  <c r="D543" i="11"/>
  <c r="F542" i="11"/>
  <c r="E542" i="11"/>
  <c r="D542" i="11"/>
  <c r="F541" i="11"/>
  <c r="E541" i="11"/>
  <c r="D541" i="11"/>
  <c r="F540" i="11"/>
  <c r="E540" i="11"/>
  <c r="D540" i="11"/>
  <c r="F539" i="11"/>
  <c r="E539" i="11"/>
  <c r="D539" i="11"/>
  <c r="F538" i="11"/>
  <c r="E538" i="11"/>
  <c r="D538" i="11"/>
  <c r="F537" i="11"/>
  <c r="E537" i="11"/>
  <c r="D537" i="11"/>
  <c r="F536" i="11"/>
  <c r="E536" i="11"/>
  <c r="D536" i="11"/>
  <c r="F535" i="11"/>
  <c r="E535" i="11"/>
  <c r="D535" i="11"/>
  <c r="F534" i="11"/>
  <c r="E534" i="11"/>
  <c r="D534" i="11"/>
  <c r="F533" i="11"/>
  <c r="E533" i="11"/>
  <c r="D533" i="11"/>
  <c r="F532" i="11"/>
  <c r="E532" i="11"/>
  <c r="D532" i="11"/>
  <c r="F531" i="11"/>
  <c r="E531" i="11"/>
  <c r="D531" i="11"/>
  <c r="F530" i="11"/>
  <c r="E530" i="11"/>
  <c r="D530" i="11"/>
  <c r="F529" i="11"/>
  <c r="E529" i="11"/>
  <c r="D529" i="11"/>
  <c r="F528" i="11"/>
  <c r="E528" i="11"/>
  <c r="D528" i="11"/>
  <c r="F527" i="11"/>
  <c r="E527" i="11"/>
  <c r="D527" i="11"/>
  <c r="F526" i="11"/>
  <c r="E526" i="11"/>
  <c r="D526" i="11"/>
  <c r="F525" i="11"/>
  <c r="E525" i="11"/>
  <c r="D525" i="11"/>
  <c r="F524" i="11"/>
  <c r="E524" i="11"/>
  <c r="D524" i="11"/>
  <c r="F523" i="11"/>
  <c r="E523" i="11"/>
  <c r="D523" i="11"/>
  <c r="F522" i="11"/>
  <c r="E522" i="11"/>
  <c r="D522" i="11"/>
  <c r="F521" i="11"/>
  <c r="E521" i="11"/>
  <c r="D521" i="11"/>
  <c r="F520" i="11"/>
  <c r="E520" i="11"/>
  <c r="D520" i="11"/>
  <c r="F519" i="11"/>
  <c r="E519" i="11"/>
  <c r="D519" i="11"/>
  <c r="F518" i="11"/>
  <c r="E518" i="11"/>
  <c r="D518" i="11"/>
  <c r="F517" i="11"/>
  <c r="E517" i="11"/>
  <c r="D517" i="11"/>
  <c r="F516" i="11"/>
  <c r="E516" i="11"/>
  <c r="D516" i="11"/>
  <c r="F515" i="11"/>
  <c r="E515" i="11"/>
  <c r="D515" i="11"/>
  <c r="F514" i="11"/>
  <c r="E514" i="11"/>
  <c r="D514" i="11"/>
  <c r="F513" i="11"/>
  <c r="E513" i="11"/>
  <c r="D513" i="11"/>
  <c r="F512" i="11"/>
  <c r="E512" i="11"/>
  <c r="D512" i="11"/>
  <c r="F511" i="11"/>
  <c r="E511" i="11"/>
  <c r="D511" i="11"/>
  <c r="F510" i="11"/>
  <c r="E510" i="11"/>
  <c r="D510" i="11"/>
  <c r="F509" i="11"/>
  <c r="E509" i="11"/>
  <c r="D509" i="11"/>
  <c r="F508" i="11"/>
  <c r="E508" i="11"/>
  <c r="D508" i="11"/>
  <c r="F507" i="11"/>
  <c r="E507" i="11"/>
  <c r="D507" i="11"/>
  <c r="F506" i="11"/>
  <c r="E506" i="11"/>
  <c r="D506" i="11"/>
  <c r="F505" i="11"/>
  <c r="E505" i="11"/>
  <c r="D505" i="11"/>
  <c r="F504" i="11"/>
  <c r="E504" i="11"/>
  <c r="D504" i="11"/>
  <c r="F503" i="11"/>
  <c r="E503" i="11"/>
  <c r="D503" i="11"/>
  <c r="F502" i="11"/>
  <c r="E502" i="11"/>
  <c r="D502" i="11"/>
  <c r="F501" i="11"/>
  <c r="E501" i="11"/>
  <c r="D501" i="11"/>
  <c r="F500" i="11"/>
  <c r="E500" i="11"/>
  <c r="D500" i="11"/>
  <c r="F499" i="11"/>
  <c r="E499" i="11"/>
  <c r="D499" i="11"/>
  <c r="F498" i="11"/>
  <c r="E498" i="11"/>
  <c r="D498" i="11"/>
  <c r="F497" i="11"/>
  <c r="E497" i="11"/>
  <c r="D497" i="11"/>
  <c r="F496" i="11"/>
  <c r="E496" i="11"/>
  <c r="D496" i="11"/>
  <c r="F495" i="11"/>
  <c r="E495" i="11"/>
  <c r="D495" i="11"/>
  <c r="F494" i="11"/>
  <c r="E494" i="11"/>
  <c r="D494" i="11"/>
  <c r="F493" i="11"/>
  <c r="E493" i="11"/>
  <c r="D493" i="11"/>
  <c r="F492" i="11"/>
  <c r="E492" i="11"/>
  <c r="D492" i="11"/>
  <c r="F491" i="11"/>
  <c r="E491" i="11"/>
  <c r="D491" i="11"/>
  <c r="F490" i="11"/>
  <c r="E490" i="11"/>
  <c r="D490" i="11"/>
  <c r="F489" i="11"/>
  <c r="E489" i="11"/>
  <c r="D489" i="11"/>
  <c r="F488" i="11"/>
  <c r="E488" i="11"/>
  <c r="D488" i="11"/>
  <c r="F487" i="11"/>
  <c r="E487" i="11"/>
  <c r="D487" i="11"/>
  <c r="F486" i="11"/>
  <c r="E486" i="11"/>
  <c r="D486" i="11"/>
  <c r="F485" i="11"/>
  <c r="E485" i="11"/>
  <c r="D485" i="11"/>
  <c r="F484" i="11"/>
  <c r="E484" i="11"/>
  <c r="D484" i="11"/>
  <c r="F483" i="11"/>
  <c r="E483" i="11"/>
  <c r="D483" i="11"/>
  <c r="F482" i="11"/>
  <c r="E482" i="11"/>
  <c r="D482" i="11"/>
  <c r="F481" i="11"/>
  <c r="E481" i="11"/>
  <c r="D481" i="11"/>
  <c r="F480" i="11"/>
  <c r="E480" i="11"/>
  <c r="D480" i="11"/>
  <c r="F479" i="11"/>
  <c r="E479" i="11"/>
  <c r="D479" i="11"/>
  <c r="F478" i="11"/>
  <c r="E478" i="11"/>
  <c r="D478" i="11"/>
  <c r="F477" i="11"/>
  <c r="E477" i="11"/>
  <c r="D477" i="11"/>
  <c r="F476" i="11"/>
  <c r="E476" i="11"/>
  <c r="D476" i="11"/>
  <c r="F475" i="11"/>
  <c r="E475" i="11"/>
  <c r="D475" i="11"/>
  <c r="F474" i="11"/>
  <c r="E474" i="11"/>
  <c r="D474" i="11"/>
  <c r="F473" i="11"/>
  <c r="E473" i="11"/>
  <c r="D473" i="11"/>
  <c r="F472" i="11"/>
  <c r="E472" i="11"/>
  <c r="D472" i="11"/>
  <c r="F471" i="11"/>
  <c r="E471" i="11"/>
  <c r="D471" i="11"/>
  <c r="F470" i="11"/>
  <c r="E470" i="11"/>
  <c r="D470" i="11"/>
  <c r="F469" i="11"/>
  <c r="E469" i="11"/>
  <c r="D469" i="11"/>
  <c r="F468" i="11"/>
  <c r="E468" i="11"/>
  <c r="D468" i="11"/>
  <c r="F467" i="11"/>
  <c r="E467" i="11"/>
  <c r="D467" i="11"/>
  <c r="F466" i="11"/>
  <c r="E466" i="11"/>
  <c r="D466" i="11"/>
  <c r="F465" i="11"/>
  <c r="E465" i="11"/>
  <c r="D465" i="11"/>
  <c r="F464" i="11"/>
  <c r="E464" i="11"/>
  <c r="D464" i="11"/>
  <c r="F463" i="11"/>
  <c r="E463" i="11"/>
  <c r="D463" i="11"/>
  <c r="F462" i="11"/>
  <c r="E462" i="11"/>
  <c r="D462" i="11"/>
  <c r="F461" i="11"/>
  <c r="E461" i="11"/>
  <c r="D461" i="11"/>
  <c r="F460" i="11"/>
  <c r="E460" i="11"/>
  <c r="D460" i="11"/>
  <c r="F459" i="11"/>
  <c r="E459" i="11"/>
  <c r="D459" i="11"/>
  <c r="F458" i="11"/>
  <c r="E458" i="11"/>
  <c r="D458" i="11"/>
  <c r="F457" i="11"/>
  <c r="E457" i="11"/>
  <c r="D457" i="11"/>
  <c r="F456" i="11"/>
  <c r="E456" i="11"/>
  <c r="D456" i="11"/>
  <c r="F455" i="11"/>
  <c r="E455" i="11"/>
  <c r="D455" i="11"/>
  <c r="F454" i="11"/>
  <c r="E454" i="11"/>
  <c r="D454" i="11"/>
  <c r="F453" i="11"/>
  <c r="E453" i="11"/>
  <c r="D453" i="11"/>
  <c r="F452" i="11"/>
  <c r="E452" i="11"/>
  <c r="D452" i="11"/>
  <c r="F451" i="11"/>
  <c r="E451" i="11"/>
  <c r="D451" i="11"/>
  <c r="F450" i="11"/>
  <c r="E450" i="11"/>
  <c r="D450" i="11"/>
  <c r="F449" i="11"/>
  <c r="E449" i="11"/>
  <c r="D449" i="11"/>
  <c r="F448" i="11"/>
  <c r="E448" i="11"/>
  <c r="D448" i="11"/>
  <c r="F447" i="11"/>
  <c r="E447" i="11"/>
  <c r="D447" i="11"/>
  <c r="F446" i="11"/>
  <c r="E446" i="11"/>
  <c r="D446" i="11"/>
  <c r="F445" i="11"/>
  <c r="E445" i="11"/>
  <c r="D445" i="11"/>
  <c r="F444" i="11"/>
  <c r="E444" i="11"/>
  <c r="D444" i="11"/>
  <c r="F443" i="11"/>
  <c r="E443" i="11"/>
  <c r="D443" i="11"/>
  <c r="F442" i="11"/>
  <c r="E442" i="11"/>
  <c r="D442" i="11"/>
  <c r="F441" i="11"/>
  <c r="E441" i="11"/>
  <c r="D441" i="11"/>
  <c r="F440" i="11"/>
  <c r="E440" i="11"/>
  <c r="D440" i="11"/>
  <c r="F439" i="11"/>
  <c r="E439" i="11"/>
  <c r="D439" i="11"/>
  <c r="F438" i="11"/>
  <c r="E438" i="11"/>
  <c r="D438" i="11"/>
  <c r="F437" i="11"/>
  <c r="E437" i="11"/>
  <c r="D437" i="11"/>
  <c r="F436" i="11"/>
  <c r="E436" i="11"/>
  <c r="D436" i="11"/>
  <c r="F435" i="11"/>
  <c r="E435" i="11"/>
  <c r="D435" i="11"/>
  <c r="F434" i="11"/>
  <c r="E434" i="11"/>
  <c r="D434" i="11"/>
  <c r="F433" i="11"/>
  <c r="E433" i="11"/>
  <c r="D433" i="11"/>
  <c r="F432" i="11"/>
  <c r="E432" i="11"/>
  <c r="D432" i="11"/>
  <c r="F431" i="11"/>
  <c r="E431" i="11"/>
  <c r="D431" i="11"/>
  <c r="F430" i="11"/>
  <c r="E430" i="11"/>
  <c r="D430" i="11"/>
  <c r="F429" i="11"/>
  <c r="E429" i="11"/>
  <c r="D429" i="11"/>
  <c r="F428" i="11"/>
  <c r="E428" i="11"/>
  <c r="D428" i="11"/>
  <c r="F427" i="11"/>
  <c r="E427" i="11"/>
  <c r="D427" i="11"/>
  <c r="F426" i="11"/>
  <c r="E426" i="11"/>
  <c r="D426" i="11"/>
  <c r="F425" i="11"/>
  <c r="E425" i="11"/>
  <c r="D425" i="11"/>
  <c r="F424" i="11"/>
  <c r="E424" i="11"/>
  <c r="D424" i="11"/>
  <c r="F423" i="11"/>
  <c r="E423" i="11"/>
  <c r="D423" i="11"/>
  <c r="F422" i="11"/>
  <c r="E422" i="11"/>
  <c r="D422" i="11"/>
  <c r="F421" i="11"/>
  <c r="E421" i="11"/>
  <c r="D421" i="11"/>
  <c r="F420" i="11"/>
  <c r="E420" i="11"/>
  <c r="D420" i="11"/>
  <c r="F419" i="11"/>
  <c r="E419" i="11"/>
  <c r="D419" i="11"/>
  <c r="F418" i="11"/>
  <c r="E418" i="11"/>
  <c r="D418" i="11"/>
  <c r="F417" i="11"/>
  <c r="E417" i="11"/>
  <c r="D417" i="11"/>
  <c r="F416" i="11"/>
  <c r="E416" i="11"/>
  <c r="D416" i="11"/>
  <c r="F415" i="11"/>
  <c r="E415" i="11"/>
  <c r="D415" i="11"/>
  <c r="F414" i="11"/>
  <c r="E414" i="11"/>
  <c r="D414" i="11"/>
  <c r="F413" i="11"/>
  <c r="E413" i="11"/>
  <c r="D413" i="11"/>
  <c r="F412" i="11"/>
  <c r="E412" i="11"/>
  <c r="D412" i="11"/>
  <c r="F411" i="11"/>
  <c r="E411" i="11"/>
  <c r="D411" i="11"/>
  <c r="F410" i="11"/>
  <c r="E410" i="11"/>
  <c r="D410" i="11"/>
  <c r="F409" i="11"/>
  <c r="E409" i="11"/>
  <c r="D409" i="11"/>
  <c r="F408" i="11"/>
  <c r="E408" i="11"/>
  <c r="D408" i="11"/>
  <c r="F407" i="11"/>
  <c r="E407" i="11"/>
  <c r="D407" i="11"/>
  <c r="F406" i="11"/>
  <c r="E406" i="11"/>
  <c r="D406" i="11"/>
  <c r="F405" i="11"/>
  <c r="E405" i="11"/>
  <c r="D405" i="11"/>
  <c r="F404" i="11"/>
  <c r="E404" i="11"/>
  <c r="D404" i="11"/>
  <c r="F403" i="11"/>
  <c r="E403" i="11"/>
  <c r="D403" i="11"/>
  <c r="F402" i="11"/>
  <c r="E402" i="11"/>
  <c r="D402" i="11"/>
  <c r="F401" i="11"/>
  <c r="E401" i="11"/>
  <c r="D401" i="11"/>
  <c r="F400" i="11"/>
  <c r="E400" i="11"/>
  <c r="D400" i="11"/>
  <c r="F399" i="11"/>
  <c r="E399" i="11"/>
  <c r="D399" i="11"/>
  <c r="F398" i="11"/>
  <c r="E398" i="11"/>
  <c r="D398" i="11"/>
  <c r="F397" i="11"/>
  <c r="E397" i="11"/>
  <c r="D397" i="11"/>
  <c r="F396" i="11"/>
  <c r="E396" i="11"/>
  <c r="D396" i="11"/>
  <c r="F395" i="11"/>
  <c r="E395" i="11"/>
  <c r="D395" i="11"/>
  <c r="F394" i="11"/>
  <c r="E394" i="11"/>
  <c r="D394" i="11"/>
  <c r="F393" i="11"/>
  <c r="E393" i="11"/>
  <c r="D393" i="11"/>
  <c r="F392" i="11"/>
  <c r="E392" i="11"/>
  <c r="D392" i="11"/>
  <c r="F391" i="11"/>
  <c r="E391" i="11"/>
  <c r="D391" i="11"/>
  <c r="F390" i="11"/>
  <c r="E390" i="11"/>
  <c r="D390" i="11"/>
  <c r="F389" i="11"/>
  <c r="E389" i="11"/>
  <c r="D389" i="11"/>
  <c r="F388" i="11"/>
  <c r="E388" i="11"/>
  <c r="D388" i="11"/>
  <c r="F387" i="11"/>
  <c r="E387" i="11"/>
  <c r="D387" i="11"/>
  <c r="F386" i="11"/>
  <c r="E386" i="11"/>
  <c r="D386" i="11"/>
  <c r="F385" i="11"/>
  <c r="E385" i="11"/>
  <c r="D385" i="11"/>
  <c r="F384" i="11"/>
  <c r="E384" i="11"/>
  <c r="D384" i="11"/>
  <c r="F383" i="11"/>
  <c r="E383" i="11"/>
  <c r="D383" i="11"/>
  <c r="F382" i="11"/>
  <c r="E382" i="11"/>
  <c r="D382" i="11"/>
  <c r="F381" i="11"/>
  <c r="E381" i="11"/>
  <c r="D381" i="11"/>
  <c r="F380" i="11"/>
  <c r="E380" i="11"/>
  <c r="D380" i="11"/>
  <c r="F379" i="11"/>
  <c r="E379" i="11"/>
  <c r="D379" i="11"/>
  <c r="F378" i="11"/>
  <c r="E378" i="11"/>
  <c r="D378" i="11"/>
  <c r="F377" i="11"/>
  <c r="E377" i="11"/>
  <c r="D377" i="11"/>
  <c r="F376" i="11"/>
  <c r="E376" i="11"/>
  <c r="D376" i="11"/>
  <c r="F375" i="11"/>
  <c r="E375" i="11"/>
  <c r="D375" i="11"/>
  <c r="F374" i="11"/>
  <c r="E374" i="11"/>
  <c r="D374" i="11"/>
  <c r="F373" i="11"/>
  <c r="E373" i="11"/>
  <c r="D373" i="11"/>
  <c r="F372" i="11"/>
  <c r="E372" i="11"/>
  <c r="D372" i="11"/>
  <c r="F371" i="11"/>
  <c r="E371" i="11"/>
  <c r="D371" i="11"/>
  <c r="F370" i="11"/>
  <c r="E370" i="11"/>
  <c r="D370" i="11"/>
  <c r="F369" i="11"/>
  <c r="E369" i="11"/>
  <c r="D369" i="11"/>
  <c r="F368" i="11"/>
  <c r="E368" i="11"/>
  <c r="D368" i="11"/>
  <c r="F367" i="11"/>
  <c r="E367" i="11"/>
  <c r="D367" i="11"/>
  <c r="F366" i="11"/>
  <c r="E366" i="11"/>
  <c r="D366" i="11"/>
  <c r="F365" i="11"/>
  <c r="E365" i="11"/>
  <c r="D365" i="11"/>
  <c r="F364" i="11"/>
  <c r="E364" i="11"/>
  <c r="D364" i="11"/>
  <c r="F363" i="11"/>
  <c r="E363" i="11"/>
  <c r="D363" i="11"/>
  <c r="F362" i="11"/>
  <c r="E362" i="11"/>
  <c r="D362" i="11"/>
  <c r="F361" i="11"/>
  <c r="E361" i="11"/>
  <c r="D361" i="11"/>
  <c r="F360" i="11"/>
  <c r="E360" i="11"/>
  <c r="D360" i="11"/>
  <c r="F359" i="11"/>
  <c r="E359" i="11"/>
  <c r="D359" i="11"/>
  <c r="F358" i="11"/>
  <c r="E358" i="11"/>
  <c r="D358" i="11"/>
  <c r="F357" i="11"/>
  <c r="E357" i="11"/>
  <c r="D357" i="11"/>
  <c r="F356" i="11"/>
  <c r="E356" i="11"/>
  <c r="D356" i="11"/>
  <c r="F355" i="11"/>
  <c r="E355" i="11"/>
  <c r="D355" i="11"/>
  <c r="F354" i="11"/>
  <c r="E354" i="11"/>
  <c r="D354" i="11"/>
  <c r="F353" i="11"/>
  <c r="E353" i="11"/>
  <c r="D353" i="11"/>
  <c r="F352" i="11"/>
  <c r="E352" i="11"/>
  <c r="D352" i="11"/>
  <c r="F351" i="11"/>
  <c r="E351" i="11"/>
  <c r="D351" i="11"/>
  <c r="F350" i="11"/>
  <c r="E350" i="11"/>
  <c r="D350" i="11"/>
  <c r="F349" i="11"/>
  <c r="E349" i="11"/>
  <c r="D349" i="11"/>
  <c r="F348" i="11"/>
  <c r="E348" i="11"/>
  <c r="D348" i="11"/>
  <c r="F347" i="11"/>
  <c r="E347" i="11"/>
  <c r="D347" i="11"/>
  <c r="F346" i="11"/>
  <c r="E346" i="11"/>
  <c r="D346" i="11"/>
  <c r="F345" i="11"/>
  <c r="E345" i="11"/>
  <c r="D345" i="11"/>
  <c r="F344" i="11"/>
  <c r="E344" i="11"/>
  <c r="D344" i="11"/>
  <c r="F343" i="11"/>
  <c r="E343" i="11"/>
  <c r="D343" i="11"/>
  <c r="F342" i="11"/>
  <c r="E342" i="11"/>
  <c r="D342" i="11"/>
  <c r="F341" i="11"/>
  <c r="E341" i="11"/>
  <c r="D341" i="11"/>
  <c r="F340" i="11"/>
  <c r="E340" i="11"/>
  <c r="D340" i="11"/>
  <c r="F339" i="11"/>
  <c r="E339" i="11"/>
  <c r="D339" i="11"/>
  <c r="F338" i="11"/>
  <c r="E338" i="11"/>
  <c r="D338" i="11"/>
  <c r="F337" i="11"/>
  <c r="E337" i="11"/>
  <c r="D337" i="11"/>
  <c r="F336" i="11"/>
  <c r="E336" i="11"/>
  <c r="D336" i="11"/>
  <c r="F335" i="11"/>
  <c r="E335" i="11"/>
  <c r="D335" i="11"/>
  <c r="F334" i="11"/>
  <c r="E334" i="11"/>
  <c r="D334" i="11"/>
  <c r="F333" i="11"/>
  <c r="E333" i="11"/>
  <c r="D333" i="11"/>
  <c r="F332" i="11"/>
  <c r="E332" i="11"/>
  <c r="D332" i="11"/>
  <c r="F331" i="11"/>
  <c r="E331" i="11"/>
  <c r="D331" i="11"/>
  <c r="F330" i="11"/>
  <c r="E330" i="11"/>
  <c r="D330" i="11"/>
  <c r="F329" i="11"/>
  <c r="E329" i="11"/>
  <c r="D329" i="11"/>
  <c r="F328" i="11"/>
  <c r="E328" i="11"/>
  <c r="D328" i="11"/>
  <c r="F327" i="11"/>
  <c r="E327" i="11"/>
  <c r="D327" i="11"/>
  <c r="F326" i="11"/>
  <c r="E326" i="11"/>
  <c r="D326" i="11"/>
  <c r="F325" i="11"/>
  <c r="E325" i="11"/>
  <c r="D325" i="11"/>
  <c r="F324" i="11"/>
  <c r="E324" i="11"/>
  <c r="D324" i="11"/>
  <c r="F323" i="11"/>
  <c r="E323" i="11"/>
  <c r="D323" i="11"/>
  <c r="F322" i="11"/>
  <c r="E322" i="11"/>
  <c r="D322" i="11"/>
  <c r="F321" i="11"/>
  <c r="E321" i="11"/>
  <c r="D321" i="11"/>
  <c r="F320" i="11"/>
  <c r="E320" i="11"/>
  <c r="D320" i="11"/>
  <c r="F319" i="11"/>
  <c r="E319" i="11"/>
  <c r="D319" i="11"/>
  <c r="F318" i="11"/>
  <c r="E318" i="11"/>
  <c r="D318" i="11"/>
  <c r="F317" i="11"/>
  <c r="E317" i="11"/>
  <c r="D317" i="11"/>
  <c r="F316" i="11"/>
  <c r="E316" i="11"/>
  <c r="D316" i="11"/>
  <c r="F315" i="11"/>
  <c r="E315" i="11"/>
  <c r="D315" i="11"/>
  <c r="F314" i="11"/>
  <c r="E314" i="11"/>
  <c r="D314" i="11"/>
  <c r="F313" i="11"/>
  <c r="E313" i="11"/>
  <c r="D313" i="11"/>
  <c r="F312" i="11"/>
  <c r="E312" i="11"/>
  <c r="D312" i="11"/>
  <c r="F311" i="11"/>
  <c r="E311" i="11"/>
  <c r="D311" i="11"/>
  <c r="F310" i="11"/>
  <c r="E310" i="11"/>
  <c r="D310" i="11"/>
  <c r="F309" i="11"/>
  <c r="E309" i="11"/>
  <c r="D309" i="11"/>
  <c r="F308" i="11"/>
  <c r="E308" i="11"/>
  <c r="D308" i="11"/>
  <c r="F307" i="11"/>
  <c r="E307" i="11"/>
  <c r="D307" i="11"/>
  <c r="F306" i="11"/>
  <c r="E306" i="11"/>
  <c r="D306" i="11"/>
  <c r="F305" i="11"/>
  <c r="E305" i="11"/>
  <c r="D305" i="11"/>
  <c r="F304" i="11"/>
  <c r="E304" i="11"/>
  <c r="D304" i="11"/>
  <c r="F303" i="11"/>
  <c r="E303" i="11"/>
  <c r="D303" i="11"/>
  <c r="F302" i="11"/>
  <c r="E302" i="11"/>
  <c r="D302" i="11"/>
  <c r="F301" i="11"/>
  <c r="E301" i="11"/>
  <c r="D301" i="11"/>
  <c r="F300" i="11"/>
  <c r="E300" i="11"/>
  <c r="D300" i="11"/>
  <c r="F299" i="11"/>
  <c r="E299" i="11"/>
  <c r="D299" i="11"/>
  <c r="F298" i="11"/>
  <c r="E298" i="11"/>
  <c r="D298" i="11"/>
  <c r="F297" i="11"/>
  <c r="E297" i="11"/>
  <c r="D297" i="11"/>
  <c r="F296" i="11"/>
  <c r="E296" i="11"/>
  <c r="D296" i="11"/>
  <c r="F295" i="11"/>
  <c r="E295" i="11"/>
  <c r="D295" i="11"/>
  <c r="F294" i="11"/>
  <c r="E294" i="11"/>
  <c r="D294" i="11"/>
  <c r="F293" i="11"/>
  <c r="E293" i="11"/>
  <c r="D293" i="11"/>
  <c r="F292" i="11"/>
  <c r="E292" i="11"/>
  <c r="D292" i="11"/>
  <c r="F291" i="11"/>
  <c r="E291" i="11"/>
  <c r="D291" i="11"/>
  <c r="F290" i="11"/>
  <c r="E290" i="11"/>
  <c r="D290" i="11"/>
  <c r="F289" i="11"/>
  <c r="E289" i="11"/>
  <c r="D289" i="11"/>
  <c r="F288" i="11"/>
  <c r="E288" i="11"/>
  <c r="D288" i="11"/>
  <c r="F287" i="11"/>
  <c r="E287" i="11"/>
  <c r="D287" i="11"/>
  <c r="F286" i="11"/>
  <c r="E286" i="11"/>
  <c r="D286" i="11"/>
  <c r="F285" i="11"/>
  <c r="E285" i="11"/>
  <c r="D285" i="11"/>
  <c r="F284" i="11"/>
  <c r="E284" i="11"/>
  <c r="D284" i="11"/>
  <c r="F283" i="11"/>
  <c r="E283" i="11"/>
  <c r="D283" i="11"/>
  <c r="F282" i="11"/>
  <c r="E282" i="11"/>
  <c r="D282" i="11"/>
  <c r="F281" i="11"/>
  <c r="E281" i="11"/>
  <c r="D281" i="11"/>
  <c r="F280" i="11"/>
  <c r="E280" i="11"/>
  <c r="D280" i="11"/>
  <c r="F279" i="11"/>
  <c r="E279" i="11"/>
  <c r="D279" i="11"/>
  <c r="F278" i="11"/>
  <c r="E278" i="11"/>
  <c r="D278" i="11"/>
  <c r="F277" i="11"/>
  <c r="E277" i="11"/>
  <c r="D277" i="11"/>
  <c r="F276" i="11"/>
  <c r="E276" i="11"/>
  <c r="D276" i="11"/>
  <c r="F275" i="11"/>
  <c r="E275" i="11"/>
  <c r="D275" i="11"/>
  <c r="F274" i="11"/>
  <c r="E274" i="11"/>
  <c r="D274" i="11"/>
  <c r="F273" i="11"/>
  <c r="E273" i="11"/>
  <c r="D273" i="11"/>
  <c r="F272" i="11"/>
  <c r="E272" i="11"/>
  <c r="D272" i="11"/>
  <c r="F271" i="11"/>
  <c r="E271" i="11"/>
  <c r="D271" i="11"/>
  <c r="F270" i="11"/>
  <c r="E270" i="11"/>
  <c r="D270" i="11"/>
  <c r="F269" i="11"/>
  <c r="E269" i="11"/>
  <c r="D269" i="11"/>
  <c r="F268" i="11"/>
  <c r="E268" i="11"/>
  <c r="D268" i="11"/>
  <c r="F267" i="11"/>
  <c r="E267" i="11"/>
  <c r="D267" i="11"/>
  <c r="F266" i="11"/>
  <c r="E266" i="11"/>
  <c r="D266" i="11"/>
  <c r="F265" i="11"/>
  <c r="E265" i="11"/>
  <c r="D265" i="11"/>
  <c r="F264" i="11"/>
  <c r="E264" i="11"/>
  <c r="D264" i="11"/>
  <c r="F263" i="11"/>
  <c r="E263" i="11"/>
  <c r="D263" i="11"/>
  <c r="F262" i="11"/>
  <c r="E262" i="11"/>
  <c r="D262" i="11"/>
  <c r="F261" i="11"/>
  <c r="E261" i="11"/>
  <c r="D261" i="11"/>
  <c r="F260" i="11"/>
  <c r="E260" i="11"/>
  <c r="D260" i="11"/>
  <c r="F259" i="11"/>
  <c r="E259" i="11"/>
  <c r="D259" i="11"/>
  <c r="F258" i="11"/>
  <c r="E258" i="11"/>
  <c r="D258" i="11"/>
  <c r="F257" i="11"/>
  <c r="E257" i="11"/>
  <c r="D257" i="11"/>
  <c r="F256" i="11"/>
  <c r="E256" i="11"/>
  <c r="D256" i="11"/>
  <c r="F255" i="11"/>
  <c r="E255" i="11"/>
  <c r="D255" i="11"/>
  <c r="F254" i="11"/>
  <c r="E254" i="11"/>
  <c r="D254" i="11"/>
  <c r="F253" i="11"/>
  <c r="E253" i="11"/>
  <c r="D253" i="11"/>
  <c r="F252" i="11"/>
  <c r="E252" i="11"/>
  <c r="D252" i="11"/>
  <c r="F251" i="11"/>
  <c r="E251" i="11"/>
  <c r="D251" i="11"/>
  <c r="F250" i="11"/>
  <c r="E250" i="11"/>
  <c r="D250" i="11"/>
  <c r="F249" i="11"/>
  <c r="E249" i="11"/>
  <c r="D249" i="11"/>
  <c r="F248" i="11"/>
  <c r="E248" i="11"/>
  <c r="D248" i="11"/>
  <c r="F247" i="11"/>
  <c r="E247" i="11"/>
  <c r="D247" i="11"/>
  <c r="F246" i="11"/>
  <c r="E246" i="11"/>
  <c r="D246" i="11"/>
  <c r="F245" i="11"/>
  <c r="E245" i="11"/>
  <c r="D245" i="11"/>
  <c r="F244" i="11"/>
  <c r="E244" i="11"/>
  <c r="D244" i="11"/>
  <c r="F243" i="11"/>
  <c r="E243" i="11"/>
  <c r="D243" i="11"/>
  <c r="F242" i="11"/>
  <c r="E242" i="11"/>
  <c r="D242" i="11"/>
  <c r="F241" i="11"/>
  <c r="E241" i="11"/>
  <c r="D241" i="11"/>
  <c r="F240" i="11"/>
  <c r="E240" i="11"/>
  <c r="D240" i="11"/>
  <c r="F239" i="11"/>
  <c r="E239" i="11"/>
  <c r="D239" i="11"/>
  <c r="F238" i="11"/>
  <c r="E238" i="11"/>
  <c r="D238" i="11"/>
  <c r="F237" i="11"/>
  <c r="E237" i="11"/>
  <c r="D237" i="11"/>
  <c r="F236" i="11"/>
  <c r="E236" i="11"/>
  <c r="D236" i="11"/>
  <c r="F235" i="11"/>
  <c r="E235" i="11"/>
  <c r="D235" i="11"/>
  <c r="F234" i="11"/>
  <c r="E234" i="11"/>
  <c r="D234" i="11"/>
  <c r="F233" i="11"/>
  <c r="E233" i="11"/>
  <c r="D233" i="11"/>
  <c r="F232" i="11"/>
  <c r="E232" i="11"/>
  <c r="D232" i="11"/>
  <c r="F231" i="11"/>
  <c r="E231" i="11"/>
  <c r="D231" i="11"/>
  <c r="F230" i="11"/>
  <c r="E230" i="11"/>
  <c r="D230" i="11"/>
  <c r="F229" i="11"/>
  <c r="E229" i="11"/>
  <c r="D229" i="11"/>
  <c r="F228" i="11"/>
  <c r="E228" i="11"/>
  <c r="D228" i="11"/>
  <c r="F227" i="11"/>
  <c r="E227" i="11"/>
  <c r="D227" i="11"/>
  <c r="F226" i="11"/>
  <c r="E226" i="11"/>
  <c r="D226" i="11"/>
  <c r="F225" i="11"/>
  <c r="E225" i="11"/>
  <c r="D225" i="11"/>
  <c r="F224" i="11"/>
  <c r="E224" i="11"/>
  <c r="D224" i="11"/>
  <c r="F223" i="11"/>
  <c r="E223" i="11"/>
  <c r="D223" i="11"/>
  <c r="F222" i="11"/>
  <c r="E222" i="11"/>
  <c r="D222" i="11"/>
  <c r="F221" i="11"/>
  <c r="E221" i="11"/>
  <c r="D221" i="11"/>
  <c r="F220" i="11"/>
  <c r="E220" i="11"/>
  <c r="D220" i="11"/>
  <c r="F219" i="11"/>
  <c r="E219" i="11"/>
  <c r="D219" i="11"/>
  <c r="F218" i="11"/>
  <c r="E218" i="11"/>
  <c r="D218" i="11"/>
  <c r="F217" i="11"/>
  <c r="E217" i="11"/>
  <c r="D217" i="11"/>
  <c r="F216" i="11"/>
  <c r="E216" i="11"/>
  <c r="D216" i="11"/>
  <c r="F215" i="11"/>
  <c r="E215" i="11"/>
  <c r="D215" i="11"/>
  <c r="F214" i="11"/>
  <c r="E214" i="11"/>
  <c r="D214" i="11"/>
  <c r="F213" i="11"/>
  <c r="E213" i="11"/>
  <c r="D213" i="11"/>
  <c r="F212" i="11"/>
  <c r="E212" i="11"/>
  <c r="D212" i="11"/>
  <c r="F211" i="11"/>
  <c r="E211" i="11"/>
  <c r="D211" i="11"/>
  <c r="F210" i="11"/>
  <c r="E210" i="11"/>
  <c r="D210" i="11"/>
  <c r="F209" i="11"/>
  <c r="E209" i="11"/>
  <c r="D209" i="11"/>
  <c r="F208" i="11"/>
  <c r="E208" i="11"/>
  <c r="D208" i="11"/>
  <c r="F207" i="11"/>
  <c r="E207" i="11"/>
  <c r="D207" i="11"/>
  <c r="F206" i="11"/>
  <c r="E206" i="11"/>
  <c r="D206" i="11"/>
  <c r="F205" i="11"/>
  <c r="E205" i="11"/>
  <c r="D205" i="11"/>
  <c r="F204" i="11"/>
  <c r="E204" i="11"/>
  <c r="D204" i="11"/>
  <c r="F203" i="11"/>
  <c r="E203" i="11"/>
  <c r="D203" i="11"/>
  <c r="F202" i="11"/>
  <c r="E202" i="11"/>
  <c r="D202" i="11"/>
  <c r="F201" i="11"/>
  <c r="E201" i="11"/>
  <c r="D201" i="11"/>
  <c r="F200" i="11"/>
  <c r="E200" i="11"/>
  <c r="D200" i="11"/>
  <c r="F199" i="11"/>
  <c r="E199" i="11"/>
  <c r="D199" i="11"/>
  <c r="F198" i="11"/>
  <c r="E198" i="11"/>
  <c r="D198" i="11"/>
  <c r="F197" i="11"/>
  <c r="E197" i="11"/>
  <c r="D197" i="11"/>
  <c r="F196" i="11"/>
  <c r="E196" i="11"/>
  <c r="D196" i="11"/>
  <c r="F195" i="11"/>
  <c r="E195" i="11"/>
  <c r="D195" i="11"/>
  <c r="F194" i="11"/>
  <c r="E194" i="11"/>
  <c r="D194" i="11"/>
  <c r="F193" i="11"/>
  <c r="E193" i="11"/>
  <c r="D193" i="11"/>
  <c r="F192" i="11"/>
  <c r="E192" i="11"/>
  <c r="D192" i="11"/>
  <c r="F191" i="11"/>
  <c r="E191" i="11"/>
  <c r="D191" i="11"/>
  <c r="F190" i="11"/>
  <c r="E190" i="11"/>
  <c r="D190" i="11"/>
  <c r="F189" i="11"/>
  <c r="E189" i="11"/>
  <c r="D189" i="11"/>
  <c r="F188" i="11"/>
  <c r="E188" i="11"/>
  <c r="D188" i="11"/>
  <c r="F187" i="11"/>
  <c r="E187" i="11"/>
  <c r="D187" i="11"/>
  <c r="F186" i="11"/>
  <c r="E186" i="11"/>
  <c r="D186" i="11"/>
  <c r="F185" i="11"/>
  <c r="E185" i="11"/>
  <c r="D185" i="11"/>
  <c r="F184" i="11"/>
  <c r="E184" i="11"/>
  <c r="D184" i="11"/>
  <c r="F183" i="11"/>
  <c r="E183" i="11"/>
  <c r="D183" i="11"/>
  <c r="F182" i="11"/>
  <c r="E182" i="11"/>
  <c r="D182" i="11"/>
  <c r="F181" i="11"/>
  <c r="E181" i="11"/>
  <c r="D181" i="11"/>
  <c r="F180" i="11"/>
  <c r="E180" i="11"/>
  <c r="D180" i="11"/>
  <c r="F179" i="11"/>
  <c r="E179" i="11"/>
  <c r="D179" i="11"/>
  <c r="F178" i="11"/>
  <c r="E178" i="11"/>
  <c r="D178" i="11"/>
  <c r="F177" i="11"/>
  <c r="E177" i="11"/>
  <c r="D177" i="11"/>
  <c r="F176" i="11"/>
  <c r="E176" i="11"/>
  <c r="D176" i="11"/>
  <c r="F175" i="11"/>
  <c r="E175" i="11"/>
  <c r="D175" i="11"/>
  <c r="F174" i="11"/>
  <c r="E174" i="11"/>
  <c r="D174" i="11"/>
  <c r="F173" i="11"/>
  <c r="E173" i="11"/>
  <c r="D173" i="11"/>
  <c r="F172" i="11"/>
  <c r="E172" i="11"/>
  <c r="D172" i="11"/>
  <c r="F171" i="11"/>
  <c r="E171" i="11"/>
  <c r="D171" i="11"/>
  <c r="F170" i="11"/>
  <c r="E170" i="11"/>
  <c r="D170" i="11"/>
  <c r="F169" i="11"/>
  <c r="E169" i="11"/>
  <c r="D169" i="11"/>
  <c r="F168" i="11"/>
  <c r="E168" i="11"/>
  <c r="D168" i="11"/>
  <c r="F167" i="11"/>
  <c r="E167" i="11"/>
  <c r="D167" i="11"/>
  <c r="F166" i="11"/>
  <c r="E166" i="11"/>
  <c r="D166" i="11"/>
  <c r="F165" i="11"/>
  <c r="E165" i="11"/>
  <c r="D165" i="11"/>
  <c r="F164" i="11"/>
  <c r="E164" i="11"/>
  <c r="D164" i="11"/>
  <c r="F163" i="11"/>
  <c r="E163" i="11"/>
  <c r="D163" i="11"/>
  <c r="F162" i="11"/>
  <c r="E162" i="11"/>
  <c r="D162" i="11"/>
  <c r="F161" i="11"/>
  <c r="E161" i="11"/>
  <c r="D161" i="11"/>
  <c r="F160" i="11"/>
  <c r="E160" i="11"/>
  <c r="D160" i="11"/>
  <c r="F159" i="11"/>
  <c r="E159" i="11"/>
  <c r="D159" i="11"/>
  <c r="F158" i="11"/>
  <c r="E158" i="11"/>
  <c r="D158" i="11"/>
  <c r="F157" i="11"/>
  <c r="E157" i="11"/>
  <c r="D157" i="11"/>
  <c r="F156" i="11"/>
  <c r="E156" i="11"/>
  <c r="D156" i="11"/>
  <c r="F155" i="11"/>
  <c r="E155" i="11"/>
  <c r="D155" i="11"/>
  <c r="F154" i="11"/>
  <c r="E154" i="11"/>
  <c r="D154" i="11"/>
  <c r="F153" i="11"/>
  <c r="E153" i="11"/>
  <c r="D153" i="11"/>
  <c r="F152" i="11"/>
  <c r="E152" i="11"/>
  <c r="D152" i="11"/>
  <c r="F151" i="11"/>
  <c r="E151" i="11"/>
  <c r="D151" i="11"/>
  <c r="F150" i="11"/>
  <c r="E150" i="11"/>
  <c r="D150" i="11"/>
  <c r="F149" i="11"/>
  <c r="E149" i="11"/>
  <c r="D149" i="11"/>
  <c r="F148" i="11"/>
  <c r="E148" i="11"/>
  <c r="D148" i="11"/>
  <c r="F147" i="11"/>
  <c r="E147" i="11"/>
  <c r="D147" i="11"/>
  <c r="F146" i="11"/>
  <c r="E146" i="11"/>
  <c r="D146" i="11"/>
  <c r="F145" i="11"/>
  <c r="E145" i="11"/>
  <c r="D145" i="11"/>
  <c r="F144" i="11"/>
  <c r="E144" i="11"/>
  <c r="D144" i="11"/>
  <c r="F143" i="11"/>
  <c r="E143" i="11"/>
  <c r="D143" i="11"/>
  <c r="F142" i="11"/>
  <c r="E142" i="11"/>
  <c r="D142" i="11"/>
  <c r="F141" i="11"/>
  <c r="E141" i="11"/>
  <c r="D141" i="11"/>
  <c r="F140" i="11"/>
  <c r="E140" i="11"/>
  <c r="D140" i="11"/>
  <c r="F139" i="11"/>
  <c r="E139" i="11"/>
  <c r="D139" i="11"/>
  <c r="F138" i="11"/>
  <c r="E138" i="11"/>
  <c r="D138" i="11"/>
  <c r="F137" i="11"/>
  <c r="E137" i="11"/>
  <c r="D137" i="11"/>
  <c r="F136" i="11"/>
  <c r="E136" i="11"/>
  <c r="D136" i="11"/>
  <c r="F135" i="11"/>
  <c r="E135" i="11"/>
  <c r="D135" i="11"/>
  <c r="F134" i="11"/>
  <c r="E134" i="11"/>
  <c r="D134" i="11"/>
  <c r="F133" i="11"/>
  <c r="E133" i="11"/>
  <c r="D133" i="11"/>
  <c r="F132" i="11"/>
  <c r="E132" i="11"/>
  <c r="D132" i="11"/>
  <c r="F131" i="11"/>
  <c r="E131" i="11"/>
  <c r="D131" i="11"/>
  <c r="F130" i="11"/>
  <c r="E130" i="11"/>
  <c r="D130" i="11"/>
  <c r="F129" i="11"/>
  <c r="E129" i="11"/>
  <c r="D129" i="11"/>
  <c r="F128" i="11"/>
  <c r="E128" i="11"/>
  <c r="D128" i="11"/>
  <c r="F127" i="11"/>
  <c r="E127" i="11"/>
  <c r="D127" i="11"/>
  <c r="F126" i="11"/>
  <c r="E126" i="11"/>
  <c r="D126" i="11"/>
  <c r="F125" i="11"/>
  <c r="E125" i="11"/>
  <c r="D125" i="11"/>
  <c r="F124" i="11"/>
  <c r="E124" i="11"/>
  <c r="D124" i="11"/>
  <c r="F123" i="11"/>
  <c r="E123" i="11"/>
  <c r="D123" i="11"/>
  <c r="F122" i="11"/>
  <c r="E122" i="11"/>
  <c r="D122" i="11"/>
  <c r="F121" i="11"/>
  <c r="E121" i="11"/>
  <c r="D121" i="11"/>
  <c r="F120" i="11"/>
  <c r="E120" i="11"/>
  <c r="D120" i="11"/>
  <c r="F119" i="11"/>
  <c r="E119" i="11"/>
  <c r="D119" i="11"/>
  <c r="F118" i="11"/>
  <c r="E118" i="11"/>
  <c r="D118" i="11"/>
  <c r="F117" i="11"/>
  <c r="E117" i="11"/>
  <c r="D117" i="11"/>
  <c r="F116" i="11"/>
  <c r="E116" i="11"/>
  <c r="D116" i="11"/>
  <c r="F115" i="11"/>
  <c r="E115" i="11"/>
  <c r="D115" i="11"/>
  <c r="F114" i="11"/>
  <c r="E114" i="11"/>
  <c r="D114" i="11"/>
  <c r="F113" i="11"/>
  <c r="E113" i="11"/>
  <c r="D113" i="11"/>
  <c r="F112" i="11"/>
  <c r="E112" i="11"/>
  <c r="D112" i="11"/>
  <c r="F111" i="11"/>
  <c r="E111" i="11"/>
  <c r="D111" i="11"/>
  <c r="F110" i="11"/>
  <c r="E110" i="11"/>
  <c r="D110" i="11"/>
  <c r="F109" i="11"/>
  <c r="E109" i="11"/>
  <c r="D109" i="11"/>
  <c r="F108" i="11"/>
  <c r="E108" i="11"/>
  <c r="D108" i="11"/>
  <c r="F107" i="11"/>
  <c r="E107" i="11"/>
  <c r="D107" i="11"/>
  <c r="F106" i="11"/>
  <c r="E106" i="11"/>
  <c r="D106" i="11"/>
  <c r="F105" i="11"/>
  <c r="E105" i="11"/>
  <c r="D105" i="11"/>
  <c r="F104" i="11"/>
  <c r="E104" i="11"/>
  <c r="D104" i="11"/>
  <c r="F103" i="11"/>
  <c r="E103" i="11"/>
  <c r="D103" i="11"/>
  <c r="F102" i="11"/>
  <c r="E102" i="11"/>
  <c r="D102" i="11"/>
  <c r="F101" i="11"/>
  <c r="E101" i="11"/>
  <c r="D101" i="11"/>
  <c r="F100" i="11"/>
  <c r="E100" i="11"/>
  <c r="D100" i="11"/>
  <c r="F99" i="11"/>
  <c r="E99" i="11"/>
  <c r="D99" i="11"/>
  <c r="F98" i="11"/>
  <c r="E98" i="11"/>
  <c r="D98" i="11"/>
  <c r="F97" i="11"/>
  <c r="E97" i="11"/>
  <c r="D97" i="11"/>
  <c r="F96" i="11"/>
  <c r="E96" i="11"/>
  <c r="D96" i="11"/>
  <c r="F95" i="11"/>
  <c r="E95" i="11"/>
  <c r="D95" i="11"/>
  <c r="F94" i="11"/>
  <c r="E94" i="11"/>
  <c r="D94" i="11"/>
  <c r="F93" i="11"/>
  <c r="E93" i="11"/>
  <c r="D93" i="11"/>
  <c r="F92" i="11"/>
  <c r="E92" i="11"/>
  <c r="D92" i="11"/>
  <c r="F91" i="11"/>
  <c r="E91" i="11"/>
  <c r="D91" i="11"/>
  <c r="F90" i="11"/>
  <c r="E90" i="11"/>
  <c r="D90" i="11"/>
  <c r="F89" i="11"/>
  <c r="E89" i="11"/>
  <c r="D89" i="11"/>
  <c r="F88" i="11"/>
  <c r="E88" i="11"/>
  <c r="D88" i="11"/>
  <c r="F87" i="11"/>
  <c r="E87" i="11"/>
  <c r="D87" i="11"/>
  <c r="F86" i="11"/>
  <c r="E86" i="11"/>
  <c r="D86" i="11"/>
  <c r="F85" i="11"/>
  <c r="E85" i="11"/>
  <c r="D85" i="11"/>
  <c r="F84" i="11"/>
  <c r="E84" i="11"/>
  <c r="D84" i="11"/>
  <c r="F83" i="11"/>
  <c r="E83" i="11"/>
  <c r="D83" i="11"/>
  <c r="F82" i="11"/>
  <c r="E82" i="11"/>
  <c r="D82" i="11"/>
  <c r="F81" i="11"/>
  <c r="E81" i="11"/>
  <c r="D81" i="11"/>
  <c r="F80" i="11"/>
  <c r="E80" i="11"/>
  <c r="D80" i="11"/>
  <c r="F79" i="11"/>
  <c r="E79" i="11"/>
  <c r="D79" i="11"/>
  <c r="F78" i="11"/>
  <c r="E78" i="11"/>
  <c r="D78" i="11"/>
  <c r="F77" i="11"/>
  <c r="E77" i="11"/>
  <c r="D77" i="11"/>
  <c r="F76" i="11"/>
  <c r="E76" i="11"/>
  <c r="D76" i="11"/>
  <c r="F75" i="11"/>
  <c r="E75" i="11"/>
  <c r="D75" i="11"/>
  <c r="F74" i="11"/>
  <c r="E74" i="11"/>
  <c r="D74" i="11"/>
  <c r="F73" i="11"/>
  <c r="E73" i="11"/>
  <c r="D73" i="11"/>
  <c r="F72" i="11"/>
  <c r="E72" i="11"/>
  <c r="D72" i="11"/>
  <c r="F71" i="11"/>
  <c r="E71" i="11"/>
  <c r="D71" i="11"/>
  <c r="F70" i="11"/>
  <c r="E70" i="11"/>
  <c r="D70" i="11"/>
  <c r="F69" i="11"/>
  <c r="E69" i="11"/>
  <c r="D69" i="11"/>
  <c r="F68" i="11"/>
  <c r="E68" i="11"/>
  <c r="D68" i="11"/>
  <c r="F67" i="11"/>
  <c r="E67" i="11"/>
  <c r="D67" i="11"/>
  <c r="F66" i="11"/>
  <c r="E66" i="11"/>
  <c r="D66" i="11"/>
  <c r="F65" i="11"/>
  <c r="E65" i="11"/>
  <c r="D65" i="11"/>
  <c r="F64" i="11"/>
  <c r="E64" i="11"/>
  <c r="D64" i="11"/>
  <c r="F63" i="11"/>
  <c r="E63" i="11"/>
  <c r="D63" i="11"/>
  <c r="F62" i="11"/>
  <c r="E62" i="11"/>
  <c r="D62" i="11"/>
  <c r="F61" i="11"/>
  <c r="E61" i="11"/>
  <c r="D61" i="11"/>
  <c r="F60" i="11"/>
  <c r="E60" i="11"/>
  <c r="D60" i="11"/>
  <c r="F59" i="11"/>
  <c r="E59" i="11"/>
  <c r="D59" i="11"/>
  <c r="F58" i="11"/>
  <c r="E58" i="11"/>
  <c r="D58" i="11"/>
  <c r="F57" i="11"/>
  <c r="E57" i="11"/>
  <c r="D57" i="11"/>
  <c r="F56" i="11"/>
  <c r="E56" i="11"/>
  <c r="D56" i="11"/>
  <c r="F55" i="11"/>
  <c r="E55" i="11"/>
  <c r="D55" i="11"/>
  <c r="F54" i="11"/>
  <c r="E54" i="11"/>
  <c r="D54" i="11"/>
  <c r="F53" i="11"/>
  <c r="E53" i="11"/>
  <c r="D53" i="11"/>
  <c r="F52" i="11"/>
  <c r="E52" i="11"/>
  <c r="D52" i="11"/>
  <c r="F51" i="11"/>
  <c r="E51" i="11"/>
  <c r="D51" i="11"/>
  <c r="F50" i="11"/>
  <c r="E50" i="11"/>
  <c r="D50" i="11"/>
  <c r="F49" i="11"/>
  <c r="E49" i="11"/>
  <c r="D49" i="11"/>
  <c r="F48" i="11"/>
  <c r="E48" i="11"/>
  <c r="D48" i="11"/>
  <c r="F47" i="11"/>
  <c r="E47" i="11"/>
  <c r="D47" i="11"/>
  <c r="F46" i="11"/>
  <c r="E46" i="11"/>
  <c r="D46" i="11"/>
  <c r="F45" i="11"/>
  <c r="E45" i="11"/>
  <c r="D45" i="11"/>
  <c r="F44" i="11"/>
  <c r="E44" i="11"/>
  <c r="D44" i="11"/>
  <c r="F43" i="11"/>
  <c r="E43" i="11"/>
  <c r="D43" i="11"/>
  <c r="F42" i="11"/>
  <c r="E42" i="11"/>
  <c r="D42" i="11"/>
  <c r="F41" i="11"/>
  <c r="E41" i="11"/>
  <c r="D41" i="11"/>
  <c r="F40" i="11"/>
  <c r="E40" i="11"/>
  <c r="D40" i="11"/>
  <c r="F39" i="11"/>
  <c r="E39" i="11"/>
  <c r="D39" i="11"/>
  <c r="F38" i="11"/>
  <c r="E38" i="11"/>
  <c r="D38" i="11"/>
  <c r="F37" i="11"/>
  <c r="E37" i="11"/>
  <c r="D37" i="11"/>
  <c r="F36" i="11"/>
  <c r="E36" i="11"/>
  <c r="D36" i="11"/>
  <c r="F35" i="11"/>
  <c r="E35" i="11"/>
  <c r="D35" i="11"/>
  <c r="F34" i="11"/>
  <c r="E34" i="11"/>
  <c r="D34" i="11"/>
  <c r="F33" i="11"/>
  <c r="E33" i="11"/>
  <c r="D33" i="11"/>
  <c r="F32" i="11"/>
  <c r="E32" i="11"/>
  <c r="D32" i="11"/>
  <c r="F31" i="11"/>
  <c r="E31" i="11"/>
  <c r="D31" i="11"/>
  <c r="F30" i="11"/>
  <c r="E30" i="11"/>
  <c r="D30" i="11"/>
  <c r="F29" i="11"/>
  <c r="E29" i="11"/>
  <c r="D29" i="11"/>
  <c r="F28" i="11"/>
  <c r="E28" i="11"/>
  <c r="D28" i="11"/>
  <c r="F27" i="11"/>
  <c r="E27" i="11"/>
  <c r="D27" i="11"/>
  <c r="F26" i="11"/>
  <c r="E26" i="11"/>
  <c r="D26" i="11"/>
  <c r="F25" i="11"/>
  <c r="E25" i="11"/>
  <c r="D25" i="11"/>
  <c r="F24" i="11"/>
  <c r="E24" i="11"/>
  <c r="D24" i="11"/>
  <c r="F23" i="11"/>
  <c r="E23" i="11"/>
  <c r="D23" i="11"/>
  <c r="F22" i="11"/>
  <c r="E22" i="11"/>
  <c r="D22" i="11"/>
  <c r="F21" i="11"/>
  <c r="E21" i="11"/>
  <c r="D21" i="11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F13" i="11"/>
  <c r="E13" i="11"/>
  <c r="D13" i="11"/>
  <c r="F12" i="11"/>
  <c r="E12" i="11"/>
  <c r="D12" i="11"/>
  <c r="F11" i="11"/>
  <c r="E11" i="11"/>
  <c r="D11" i="11"/>
  <c r="F10" i="11"/>
  <c r="E10" i="11"/>
  <c r="D10" i="11"/>
  <c r="F9" i="11"/>
  <c r="E9" i="11"/>
  <c r="D9" i="11"/>
  <c r="F8" i="11"/>
  <c r="E8" i="11"/>
  <c r="D8" i="11"/>
  <c r="F7" i="11"/>
  <c r="E7" i="11"/>
  <c r="D7" i="11"/>
  <c r="F6" i="11"/>
  <c r="E6" i="11"/>
  <c r="D6" i="11"/>
  <c r="F5" i="11"/>
  <c r="E5" i="11"/>
  <c r="D5" i="11"/>
  <c r="F4" i="11"/>
  <c r="E4" i="11"/>
  <c r="D4" i="11"/>
  <c r="F3" i="11"/>
  <c r="E3" i="11"/>
  <c r="D3" i="11"/>
  <c r="F764" i="12"/>
  <c r="E764" i="12"/>
  <c r="D764" i="12"/>
  <c r="F763" i="12"/>
  <c r="E763" i="12"/>
  <c r="D763" i="12"/>
  <c r="F762" i="12"/>
  <c r="E762" i="12"/>
  <c r="D762" i="12"/>
  <c r="F761" i="12"/>
  <c r="E761" i="12"/>
  <c r="D761" i="12"/>
  <c r="F760" i="12"/>
  <c r="E760" i="12"/>
  <c r="D760" i="12"/>
  <c r="F759" i="12"/>
  <c r="E759" i="12"/>
  <c r="D759" i="12"/>
  <c r="F758" i="12"/>
  <c r="E758" i="12"/>
  <c r="D758" i="12"/>
  <c r="F757" i="12"/>
  <c r="E757" i="12"/>
  <c r="D757" i="12"/>
  <c r="F756" i="12"/>
  <c r="E756" i="12"/>
  <c r="D756" i="12"/>
  <c r="F755" i="12"/>
  <c r="E755" i="12"/>
  <c r="D755" i="12"/>
  <c r="F754" i="12"/>
  <c r="E754" i="12"/>
  <c r="D754" i="12"/>
  <c r="F753" i="12"/>
  <c r="E753" i="12"/>
  <c r="D753" i="12"/>
  <c r="F752" i="12"/>
  <c r="E752" i="12"/>
  <c r="D752" i="12"/>
  <c r="F751" i="12"/>
  <c r="E751" i="12"/>
  <c r="D751" i="12"/>
  <c r="F750" i="12"/>
  <c r="E750" i="12"/>
  <c r="D750" i="12"/>
  <c r="F749" i="12"/>
  <c r="E749" i="12"/>
  <c r="D749" i="12"/>
  <c r="F748" i="12"/>
  <c r="E748" i="12"/>
  <c r="D748" i="12"/>
  <c r="F747" i="12"/>
  <c r="E747" i="12"/>
  <c r="D747" i="12"/>
  <c r="F746" i="12"/>
  <c r="E746" i="12"/>
  <c r="D746" i="12"/>
  <c r="F745" i="12"/>
  <c r="E745" i="12"/>
  <c r="D745" i="12"/>
  <c r="F744" i="12"/>
  <c r="E744" i="12"/>
  <c r="D744" i="12"/>
  <c r="F743" i="12"/>
  <c r="E743" i="12"/>
  <c r="D743" i="12"/>
  <c r="F742" i="12"/>
  <c r="E742" i="12"/>
  <c r="D742" i="12"/>
  <c r="F741" i="12"/>
  <c r="E741" i="12"/>
  <c r="D741" i="12"/>
  <c r="F740" i="12"/>
  <c r="E740" i="12"/>
  <c r="D740" i="12"/>
  <c r="F739" i="12"/>
  <c r="E739" i="12"/>
  <c r="D739" i="12"/>
  <c r="F738" i="12"/>
  <c r="E738" i="12"/>
  <c r="D738" i="12"/>
  <c r="F737" i="12"/>
  <c r="E737" i="12"/>
  <c r="D737" i="12"/>
  <c r="F736" i="12"/>
  <c r="E736" i="12"/>
  <c r="D736" i="12"/>
  <c r="F735" i="12"/>
  <c r="E735" i="12"/>
  <c r="D735" i="12"/>
  <c r="F734" i="12"/>
  <c r="E734" i="12"/>
  <c r="D734" i="12"/>
  <c r="F733" i="12"/>
  <c r="E733" i="12"/>
  <c r="D733" i="12"/>
  <c r="F732" i="12"/>
  <c r="E732" i="12"/>
  <c r="D732" i="12"/>
  <c r="F731" i="12"/>
  <c r="E731" i="12"/>
  <c r="D731" i="12"/>
  <c r="F730" i="12"/>
  <c r="E730" i="12"/>
  <c r="D730" i="12"/>
  <c r="F729" i="12"/>
  <c r="E729" i="12"/>
  <c r="D729" i="12"/>
  <c r="F728" i="12"/>
  <c r="E728" i="12"/>
  <c r="D728" i="12"/>
  <c r="F727" i="12"/>
  <c r="E727" i="12"/>
  <c r="D727" i="12"/>
  <c r="F726" i="12"/>
  <c r="E726" i="12"/>
  <c r="D726" i="12"/>
  <c r="F725" i="12"/>
  <c r="E725" i="12"/>
  <c r="D725" i="12"/>
  <c r="F724" i="12"/>
  <c r="E724" i="12"/>
  <c r="D724" i="12"/>
  <c r="F723" i="12"/>
  <c r="E723" i="12"/>
  <c r="D723" i="12"/>
  <c r="F722" i="12"/>
  <c r="E722" i="12"/>
  <c r="D722" i="12"/>
  <c r="F721" i="12"/>
  <c r="E721" i="12"/>
  <c r="D721" i="12"/>
  <c r="F720" i="12"/>
  <c r="E720" i="12"/>
  <c r="D720" i="12"/>
  <c r="F719" i="12"/>
  <c r="E719" i="12"/>
  <c r="D719" i="12"/>
  <c r="F718" i="12"/>
  <c r="E718" i="12"/>
  <c r="D718" i="12"/>
  <c r="F717" i="12"/>
  <c r="E717" i="12"/>
  <c r="D717" i="12"/>
  <c r="F716" i="12"/>
  <c r="E716" i="12"/>
  <c r="D716" i="12"/>
  <c r="F715" i="12"/>
  <c r="E715" i="12"/>
  <c r="D715" i="12"/>
  <c r="F714" i="12"/>
  <c r="E714" i="12"/>
  <c r="D714" i="12"/>
  <c r="F713" i="12"/>
  <c r="E713" i="12"/>
  <c r="D713" i="12"/>
  <c r="F712" i="12"/>
  <c r="E712" i="12"/>
  <c r="D712" i="12"/>
  <c r="F711" i="12"/>
  <c r="E711" i="12"/>
  <c r="D711" i="12"/>
  <c r="F710" i="12"/>
  <c r="E710" i="12"/>
  <c r="D710" i="12"/>
  <c r="F709" i="12"/>
  <c r="E709" i="12"/>
  <c r="D709" i="12"/>
  <c r="F708" i="12"/>
  <c r="E708" i="12"/>
  <c r="D708" i="12"/>
  <c r="F707" i="12"/>
  <c r="E707" i="12"/>
  <c r="D707" i="12"/>
  <c r="F706" i="12"/>
  <c r="E706" i="12"/>
  <c r="D706" i="12"/>
  <c r="F705" i="12"/>
  <c r="E705" i="12"/>
  <c r="D705" i="12"/>
  <c r="F704" i="12"/>
  <c r="E704" i="12"/>
  <c r="D704" i="12"/>
  <c r="F703" i="12"/>
  <c r="E703" i="12"/>
  <c r="D703" i="12"/>
  <c r="F702" i="12"/>
  <c r="E702" i="12"/>
  <c r="D702" i="12"/>
  <c r="F701" i="12"/>
  <c r="E701" i="12"/>
  <c r="D701" i="12"/>
  <c r="F700" i="12"/>
  <c r="E700" i="12"/>
  <c r="D700" i="12"/>
  <c r="F699" i="12"/>
  <c r="E699" i="12"/>
  <c r="D699" i="12"/>
  <c r="F698" i="12"/>
  <c r="E698" i="12"/>
  <c r="D698" i="12"/>
  <c r="F697" i="12"/>
  <c r="E697" i="12"/>
  <c r="D697" i="12"/>
  <c r="F696" i="12"/>
  <c r="E696" i="12"/>
  <c r="D696" i="12"/>
  <c r="F695" i="12"/>
  <c r="E695" i="12"/>
  <c r="D695" i="12"/>
  <c r="F694" i="12"/>
  <c r="E694" i="12"/>
  <c r="D694" i="12"/>
  <c r="F693" i="12"/>
  <c r="E693" i="12"/>
  <c r="D693" i="12"/>
  <c r="F692" i="12"/>
  <c r="E692" i="12"/>
  <c r="D692" i="12"/>
  <c r="F691" i="12"/>
  <c r="E691" i="12"/>
  <c r="D691" i="12"/>
  <c r="F690" i="12"/>
  <c r="E690" i="12"/>
  <c r="D690" i="12"/>
  <c r="F689" i="12"/>
  <c r="E689" i="12"/>
  <c r="D689" i="12"/>
  <c r="F688" i="12"/>
  <c r="E688" i="12"/>
  <c r="D688" i="12"/>
  <c r="F687" i="12"/>
  <c r="E687" i="12"/>
  <c r="D687" i="12"/>
  <c r="F686" i="12"/>
  <c r="E686" i="12"/>
  <c r="D686" i="12"/>
  <c r="F685" i="12"/>
  <c r="E685" i="12"/>
  <c r="D685" i="12"/>
  <c r="F684" i="12"/>
  <c r="E684" i="12"/>
  <c r="D684" i="12"/>
  <c r="F683" i="12"/>
  <c r="E683" i="12"/>
  <c r="D683" i="12"/>
  <c r="F682" i="12"/>
  <c r="E682" i="12"/>
  <c r="D682" i="12"/>
  <c r="F681" i="12"/>
  <c r="E681" i="12"/>
  <c r="D681" i="12"/>
  <c r="F680" i="12"/>
  <c r="E680" i="12"/>
  <c r="D680" i="12"/>
  <c r="F679" i="12"/>
  <c r="E679" i="12"/>
  <c r="D679" i="12"/>
  <c r="F678" i="12"/>
  <c r="E678" i="12"/>
  <c r="D678" i="12"/>
  <c r="F677" i="12"/>
  <c r="E677" i="12"/>
  <c r="D677" i="12"/>
  <c r="F676" i="12"/>
  <c r="E676" i="12"/>
  <c r="D676" i="12"/>
  <c r="F675" i="12"/>
  <c r="E675" i="12"/>
  <c r="D675" i="12"/>
  <c r="F674" i="12"/>
  <c r="E674" i="12"/>
  <c r="D674" i="12"/>
  <c r="F673" i="12"/>
  <c r="E673" i="12"/>
  <c r="D673" i="12"/>
  <c r="F672" i="12"/>
  <c r="E672" i="12"/>
  <c r="D672" i="12"/>
  <c r="F671" i="12"/>
  <c r="E671" i="12"/>
  <c r="D671" i="12"/>
  <c r="F670" i="12"/>
  <c r="E670" i="12"/>
  <c r="D670" i="12"/>
  <c r="F669" i="12"/>
  <c r="E669" i="12"/>
  <c r="D669" i="12"/>
  <c r="F668" i="12"/>
  <c r="E668" i="12"/>
  <c r="D668" i="12"/>
  <c r="F667" i="12"/>
  <c r="E667" i="12"/>
  <c r="D667" i="12"/>
  <c r="F666" i="12"/>
  <c r="E666" i="12"/>
  <c r="D666" i="12"/>
  <c r="F665" i="12"/>
  <c r="E665" i="12"/>
  <c r="D665" i="12"/>
  <c r="F664" i="12"/>
  <c r="E664" i="12"/>
  <c r="D664" i="12"/>
  <c r="F663" i="12"/>
  <c r="E663" i="12"/>
  <c r="D663" i="12"/>
  <c r="F662" i="12"/>
  <c r="E662" i="12"/>
  <c r="D662" i="12"/>
  <c r="F661" i="12"/>
  <c r="E661" i="12"/>
  <c r="D661" i="12"/>
  <c r="F660" i="12"/>
  <c r="E660" i="12"/>
  <c r="D660" i="12"/>
  <c r="F659" i="12"/>
  <c r="E659" i="12"/>
  <c r="D659" i="12"/>
  <c r="F658" i="12"/>
  <c r="E658" i="12"/>
  <c r="D658" i="12"/>
  <c r="F657" i="12"/>
  <c r="E657" i="12"/>
  <c r="D657" i="12"/>
  <c r="F656" i="12"/>
  <c r="E656" i="12"/>
  <c r="D656" i="12"/>
  <c r="F655" i="12"/>
  <c r="E655" i="12"/>
  <c r="D655" i="12"/>
  <c r="F654" i="12"/>
  <c r="E654" i="12"/>
  <c r="D654" i="12"/>
  <c r="F653" i="12"/>
  <c r="E653" i="12"/>
  <c r="D653" i="12"/>
  <c r="F652" i="12"/>
  <c r="E652" i="12"/>
  <c r="D652" i="12"/>
  <c r="F651" i="12"/>
  <c r="E651" i="12"/>
  <c r="D651" i="12"/>
  <c r="F650" i="12"/>
  <c r="E650" i="12"/>
  <c r="D650" i="12"/>
  <c r="F649" i="12"/>
  <c r="E649" i="12"/>
  <c r="D649" i="12"/>
  <c r="F648" i="12"/>
  <c r="E648" i="12"/>
  <c r="D648" i="12"/>
  <c r="F647" i="12"/>
  <c r="E647" i="12"/>
  <c r="D647" i="12"/>
  <c r="F646" i="12"/>
  <c r="E646" i="12"/>
  <c r="D646" i="12"/>
  <c r="F645" i="12"/>
  <c r="E645" i="12"/>
  <c r="D645" i="12"/>
  <c r="F644" i="12"/>
  <c r="E644" i="12"/>
  <c r="D644" i="12"/>
  <c r="F643" i="12"/>
  <c r="E643" i="12"/>
  <c r="D643" i="12"/>
  <c r="F642" i="12"/>
  <c r="E642" i="12"/>
  <c r="D642" i="12"/>
  <c r="F641" i="12"/>
  <c r="E641" i="12"/>
  <c r="D641" i="12"/>
  <c r="F640" i="12"/>
  <c r="E640" i="12"/>
  <c r="D640" i="12"/>
  <c r="F639" i="12"/>
  <c r="E639" i="12"/>
  <c r="D639" i="12"/>
  <c r="F638" i="12"/>
  <c r="E638" i="12"/>
  <c r="D638" i="12"/>
  <c r="F637" i="12"/>
  <c r="E637" i="12"/>
  <c r="D637" i="12"/>
  <c r="F636" i="12"/>
  <c r="E636" i="12"/>
  <c r="D636" i="12"/>
  <c r="F635" i="12"/>
  <c r="E635" i="12"/>
  <c r="D635" i="12"/>
  <c r="F634" i="12"/>
  <c r="E634" i="12"/>
  <c r="D634" i="12"/>
  <c r="F633" i="12"/>
  <c r="E633" i="12"/>
  <c r="D633" i="12"/>
  <c r="F632" i="12"/>
  <c r="E632" i="12"/>
  <c r="D632" i="12"/>
  <c r="F631" i="12"/>
  <c r="E631" i="12"/>
  <c r="D631" i="12"/>
  <c r="F630" i="12"/>
  <c r="E630" i="12"/>
  <c r="D630" i="12"/>
  <c r="F629" i="12"/>
  <c r="E629" i="12"/>
  <c r="D629" i="12"/>
  <c r="F628" i="12"/>
  <c r="E628" i="12"/>
  <c r="D628" i="12"/>
  <c r="F627" i="12"/>
  <c r="E627" i="12"/>
  <c r="D627" i="12"/>
  <c r="F626" i="12"/>
  <c r="E626" i="12"/>
  <c r="D626" i="12"/>
  <c r="F625" i="12"/>
  <c r="E625" i="12"/>
  <c r="D625" i="12"/>
  <c r="F624" i="12"/>
  <c r="E624" i="12"/>
  <c r="D624" i="12"/>
  <c r="F623" i="12"/>
  <c r="E623" i="12"/>
  <c r="D623" i="12"/>
  <c r="F622" i="12"/>
  <c r="E622" i="12"/>
  <c r="D622" i="12"/>
  <c r="F621" i="12"/>
  <c r="E621" i="12"/>
  <c r="D621" i="12"/>
  <c r="F620" i="12"/>
  <c r="E620" i="12"/>
  <c r="D620" i="12"/>
  <c r="F619" i="12"/>
  <c r="E619" i="12"/>
  <c r="D619" i="12"/>
  <c r="F618" i="12"/>
  <c r="E618" i="12"/>
  <c r="D618" i="12"/>
  <c r="F617" i="12"/>
  <c r="E617" i="12"/>
  <c r="D617" i="12"/>
  <c r="F616" i="12"/>
  <c r="E616" i="12"/>
  <c r="D616" i="12"/>
  <c r="F615" i="12"/>
  <c r="E615" i="12"/>
  <c r="D615" i="12"/>
  <c r="F614" i="12"/>
  <c r="E614" i="12"/>
  <c r="D614" i="12"/>
  <c r="F613" i="12"/>
  <c r="E613" i="12"/>
  <c r="D613" i="12"/>
  <c r="F612" i="12"/>
  <c r="E612" i="12"/>
  <c r="D612" i="12"/>
  <c r="F611" i="12"/>
  <c r="E611" i="12"/>
  <c r="D611" i="12"/>
  <c r="F610" i="12"/>
  <c r="E610" i="12"/>
  <c r="D610" i="12"/>
  <c r="F609" i="12"/>
  <c r="E609" i="12"/>
  <c r="D609" i="12"/>
  <c r="F608" i="12"/>
  <c r="E608" i="12"/>
  <c r="D608" i="12"/>
  <c r="F607" i="12"/>
  <c r="E607" i="12"/>
  <c r="D607" i="12"/>
  <c r="F606" i="12"/>
  <c r="E606" i="12"/>
  <c r="D606" i="12"/>
  <c r="F605" i="12"/>
  <c r="E605" i="12"/>
  <c r="D605" i="12"/>
  <c r="F604" i="12"/>
  <c r="E604" i="12"/>
  <c r="D604" i="12"/>
  <c r="F603" i="12"/>
  <c r="E603" i="12"/>
  <c r="D603" i="12"/>
  <c r="F602" i="12"/>
  <c r="E602" i="12"/>
  <c r="D602" i="12"/>
  <c r="F601" i="12"/>
  <c r="E601" i="12"/>
  <c r="D601" i="12"/>
  <c r="F600" i="12"/>
  <c r="E600" i="12"/>
  <c r="D600" i="12"/>
  <c r="F599" i="12"/>
  <c r="E599" i="12"/>
  <c r="D599" i="12"/>
  <c r="F598" i="12"/>
  <c r="E598" i="12"/>
  <c r="D598" i="12"/>
  <c r="F597" i="12"/>
  <c r="E597" i="12"/>
  <c r="D597" i="12"/>
  <c r="F596" i="12"/>
  <c r="E596" i="12"/>
  <c r="D596" i="12"/>
  <c r="F595" i="12"/>
  <c r="E595" i="12"/>
  <c r="D595" i="12"/>
  <c r="F594" i="12"/>
  <c r="E594" i="12"/>
  <c r="D594" i="12"/>
  <c r="F593" i="12"/>
  <c r="E593" i="12"/>
  <c r="D593" i="12"/>
  <c r="F592" i="12"/>
  <c r="E592" i="12"/>
  <c r="D592" i="12"/>
  <c r="F591" i="12"/>
  <c r="E591" i="12"/>
  <c r="D591" i="12"/>
  <c r="F590" i="12"/>
  <c r="E590" i="12"/>
  <c r="D590" i="12"/>
  <c r="F589" i="12"/>
  <c r="E589" i="12"/>
  <c r="D589" i="12"/>
  <c r="F588" i="12"/>
  <c r="E588" i="12"/>
  <c r="D588" i="12"/>
  <c r="F587" i="12"/>
  <c r="E587" i="12"/>
  <c r="D587" i="12"/>
  <c r="F586" i="12"/>
  <c r="E586" i="12"/>
  <c r="D586" i="12"/>
  <c r="F585" i="12"/>
  <c r="E585" i="12"/>
  <c r="D585" i="12"/>
  <c r="F584" i="12"/>
  <c r="E584" i="12"/>
  <c r="D584" i="12"/>
  <c r="F583" i="12"/>
  <c r="E583" i="12"/>
  <c r="D583" i="12"/>
  <c r="F582" i="12"/>
  <c r="E582" i="12"/>
  <c r="D582" i="12"/>
  <c r="F581" i="12"/>
  <c r="E581" i="12"/>
  <c r="D581" i="12"/>
  <c r="F580" i="12"/>
  <c r="E580" i="12"/>
  <c r="D580" i="12"/>
  <c r="F579" i="12"/>
  <c r="E579" i="12"/>
  <c r="D579" i="12"/>
  <c r="F578" i="12"/>
  <c r="E578" i="12"/>
  <c r="D578" i="12"/>
  <c r="F577" i="12"/>
  <c r="E577" i="12"/>
  <c r="D577" i="12"/>
  <c r="F576" i="12"/>
  <c r="E576" i="12"/>
  <c r="D576" i="12"/>
  <c r="F575" i="12"/>
  <c r="E575" i="12"/>
  <c r="D575" i="12"/>
  <c r="F574" i="12"/>
  <c r="E574" i="12"/>
  <c r="D574" i="12"/>
  <c r="F573" i="12"/>
  <c r="E573" i="12"/>
  <c r="D573" i="12"/>
  <c r="F572" i="12"/>
  <c r="E572" i="12"/>
  <c r="D572" i="12"/>
  <c r="F571" i="12"/>
  <c r="E571" i="12"/>
  <c r="D571" i="12"/>
  <c r="F570" i="12"/>
  <c r="E570" i="12"/>
  <c r="D570" i="12"/>
  <c r="F569" i="12"/>
  <c r="E569" i="12"/>
  <c r="D569" i="12"/>
  <c r="F568" i="12"/>
  <c r="E568" i="12"/>
  <c r="D568" i="12"/>
  <c r="F567" i="12"/>
  <c r="E567" i="12"/>
  <c r="D567" i="12"/>
  <c r="F566" i="12"/>
  <c r="E566" i="12"/>
  <c r="D566" i="12"/>
  <c r="F565" i="12"/>
  <c r="E565" i="12"/>
  <c r="D565" i="12"/>
  <c r="F564" i="12"/>
  <c r="E564" i="12"/>
  <c r="D564" i="12"/>
  <c r="F563" i="12"/>
  <c r="E563" i="12"/>
  <c r="D563" i="12"/>
  <c r="F562" i="12"/>
  <c r="E562" i="12"/>
  <c r="D562" i="12"/>
  <c r="F561" i="12"/>
  <c r="E561" i="12"/>
  <c r="D561" i="12"/>
  <c r="F560" i="12"/>
  <c r="E560" i="12"/>
  <c r="D560" i="12"/>
  <c r="F559" i="12"/>
  <c r="E559" i="12"/>
  <c r="D559" i="12"/>
  <c r="F558" i="12"/>
  <c r="E558" i="12"/>
  <c r="D558" i="12"/>
  <c r="F557" i="12"/>
  <c r="E557" i="12"/>
  <c r="D557" i="12"/>
  <c r="F556" i="12"/>
  <c r="E556" i="12"/>
  <c r="D556" i="12"/>
  <c r="F555" i="12"/>
  <c r="E555" i="12"/>
  <c r="D555" i="12"/>
  <c r="F554" i="12"/>
  <c r="E554" i="12"/>
  <c r="D554" i="12"/>
  <c r="F553" i="12"/>
  <c r="E553" i="12"/>
  <c r="D553" i="12"/>
  <c r="F552" i="12"/>
  <c r="E552" i="12"/>
  <c r="D552" i="12"/>
  <c r="F551" i="12"/>
  <c r="E551" i="12"/>
  <c r="D551" i="12"/>
  <c r="F550" i="12"/>
  <c r="E550" i="12"/>
  <c r="D550" i="12"/>
  <c r="F549" i="12"/>
  <c r="E549" i="12"/>
  <c r="D549" i="12"/>
  <c r="F548" i="12"/>
  <c r="E548" i="12"/>
  <c r="D548" i="12"/>
  <c r="F547" i="12"/>
  <c r="E547" i="12"/>
  <c r="D547" i="12"/>
  <c r="F546" i="12"/>
  <c r="E546" i="12"/>
  <c r="D546" i="12"/>
  <c r="F545" i="12"/>
  <c r="E545" i="12"/>
  <c r="D545" i="12"/>
  <c r="F544" i="12"/>
  <c r="E544" i="12"/>
  <c r="D544" i="12"/>
  <c r="F543" i="12"/>
  <c r="E543" i="12"/>
  <c r="D543" i="12"/>
  <c r="F542" i="12"/>
  <c r="E542" i="12"/>
  <c r="D542" i="12"/>
  <c r="F541" i="12"/>
  <c r="E541" i="12"/>
  <c r="D541" i="12"/>
  <c r="F540" i="12"/>
  <c r="E540" i="12"/>
  <c r="D540" i="12"/>
  <c r="F539" i="12"/>
  <c r="E539" i="12"/>
  <c r="D539" i="12"/>
  <c r="F538" i="12"/>
  <c r="E538" i="12"/>
  <c r="D538" i="12"/>
  <c r="F537" i="12"/>
  <c r="E537" i="12"/>
  <c r="D537" i="12"/>
  <c r="F536" i="12"/>
  <c r="E536" i="12"/>
  <c r="D536" i="12"/>
  <c r="F535" i="12"/>
  <c r="E535" i="12"/>
  <c r="D535" i="12"/>
  <c r="F534" i="12"/>
  <c r="E534" i="12"/>
  <c r="D534" i="12"/>
  <c r="F533" i="12"/>
  <c r="E533" i="12"/>
  <c r="D533" i="12"/>
  <c r="F532" i="12"/>
  <c r="E532" i="12"/>
  <c r="D532" i="12"/>
  <c r="F531" i="12"/>
  <c r="E531" i="12"/>
  <c r="D531" i="12"/>
  <c r="F530" i="12"/>
  <c r="E530" i="12"/>
  <c r="D530" i="12"/>
  <c r="F529" i="12"/>
  <c r="E529" i="12"/>
  <c r="D529" i="12"/>
  <c r="F528" i="12"/>
  <c r="E528" i="12"/>
  <c r="D528" i="12"/>
  <c r="F527" i="12"/>
  <c r="E527" i="12"/>
  <c r="D527" i="12"/>
  <c r="F526" i="12"/>
  <c r="E526" i="12"/>
  <c r="D526" i="12"/>
  <c r="F525" i="12"/>
  <c r="E525" i="12"/>
  <c r="D525" i="12"/>
  <c r="F524" i="12"/>
  <c r="E524" i="12"/>
  <c r="D524" i="12"/>
  <c r="F523" i="12"/>
  <c r="E523" i="12"/>
  <c r="D523" i="12"/>
  <c r="F522" i="12"/>
  <c r="E522" i="12"/>
  <c r="D522" i="12"/>
  <c r="F521" i="12"/>
  <c r="E521" i="12"/>
  <c r="D521" i="12"/>
  <c r="F520" i="12"/>
  <c r="E520" i="12"/>
  <c r="D520" i="12"/>
  <c r="F519" i="12"/>
  <c r="E519" i="12"/>
  <c r="D519" i="12"/>
  <c r="F518" i="12"/>
  <c r="E518" i="12"/>
  <c r="D518" i="12"/>
  <c r="F517" i="12"/>
  <c r="E517" i="12"/>
  <c r="D517" i="12"/>
  <c r="F516" i="12"/>
  <c r="E516" i="12"/>
  <c r="D516" i="12"/>
  <c r="F515" i="12"/>
  <c r="E515" i="12"/>
  <c r="D515" i="12"/>
  <c r="F514" i="12"/>
  <c r="E514" i="12"/>
  <c r="D514" i="12"/>
  <c r="F513" i="12"/>
  <c r="E513" i="12"/>
  <c r="D513" i="12"/>
  <c r="F512" i="12"/>
  <c r="E512" i="12"/>
  <c r="D512" i="12"/>
  <c r="F511" i="12"/>
  <c r="E511" i="12"/>
  <c r="D511" i="12"/>
  <c r="F510" i="12"/>
  <c r="E510" i="12"/>
  <c r="D510" i="12"/>
  <c r="F509" i="12"/>
  <c r="E509" i="12"/>
  <c r="D509" i="12"/>
  <c r="F508" i="12"/>
  <c r="E508" i="12"/>
  <c r="D508" i="12"/>
  <c r="F507" i="12"/>
  <c r="E507" i="12"/>
  <c r="D507" i="12"/>
  <c r="F506" i="12"/>
  <c r="E506" i="12"/>
  <c r="D506" i="12"/>
  <c r="F505" i="12"/>
  <c r="E505" i="12"/>
  <c r="D505" i="12"/>
  <c r="F504" i="12"/>
  <c r="E504" i="12"/>
  <c r="D504" i="12"/>
  <c r="F503" i="12"/>
  <c r="E503" i="12"/>
  <c r="D503" i="12"/>
  <c r="F502" i="12"/>
  <c r="E502" i="12"/>
  <c r="D502" i="12"/>
  <c r="F501" i="12"/>
  <c r="E501" i="12"/>
  <c r="D501" i="12"/>
  <c r="F500" i="12"/>
  <c r="E500" i="12"/>
  <c r="D500" i="12"/>
  <c r="F499" i="12"/>
  <c r="E499" i="12"/>
  <c r="D499" i="12"/>
  <c r="F498" i="12"/>
  <c r="E498" i="12"/>
  <c r="D498" i="12"/>
  <c r="F497" i="12"/>
  <c r="E497" i="12"/>
  <c r="D497" i="12"/>
  <c r="F496" i="12"/>
  <c r="E496" i="12"/>
  <c r="D496" i="12"/>
  <c r="F495" i="12"/>
  <c r="E495" i="12"/>
  <c r="D495" i="12"/>
  <c r="F494" i="12"/>
  <c r="E494" i="12"/>
  <c r="D494" i="12"/>
  <c r="F493" i="12"/>
  <c r="E493" i="12"/>
  <c r="D493" i="12"/>
  <c r="F492" i="12"/>
  <c r="E492" i="12"/>
  <c r="D492" i="12"/>
  <c r="F491" i="12"/>
  <c r="E491" i="12"/>
  <c r="D491" i="12"/>
  <c r="F490" i="12"/>
  <c r="E490" i="12"/>
  <c r="D490" i="12"/>
  <c r="F489" i="12"/>
  <c r="E489" i="12"/>
  <c r="D489" i="12"/>
  <c r="F488" i="12"/>
  <c r="E488" i="12"/>
  <c r="D488" i="12"/>
  <c r="F487" i="12"/>
  <c r="E487" i="12"/>
  <c r="D487" i="12"/>
  <c r="F486" i="12"/>
  <c r="E486" i="12"/>
  <c r="D486" i="12"/>
  <c r="F485" i="12"/>
  <c r="E485" i="12"/>
  <c r="D485" i="12"/>
  <c r="F484" i="12"/>
  <c r="E484" i="12"/>
  <c r="D484" i="12"/>
  <c r="F483" i="12"/>
  <c r="E483" i="12"/>
  <c r="D483" i="12"/>
  <c r="F482" i="12"/>
  <c r="E482" i="12"/>
  <c r="D482" i="12"/>
  <c r="F481" i="12"/>
  <c r="E481" i="12"/>
  <c r="D481" i="12"/>
  <c r="F480" i="12"/>
  <c r="E480" i="12"/>
  <c r="D480" i="12"/>
  <c r="F479" i="12"/>
  <c r="E479" i="12"/>
  <c r="D479" i="12"/>
  <c r="F478" i="12"/>
  <c r="E478" i="12"/>
  <c r="D478" i="12"/>
  <c r="F477" i="12"/>
  <c r="E477" i="12"/>
  <c r="D477" i="12"/>
  <c r="F476" i="12"/>
  <c r="E476" i="12"/>
  <c r="D476" i="12"/>
  <c r="F475" i="12"/>
  <c r="E475" i="12"/>
  <c r="D475" i="12"/>
  <c r="F474" i="12"/>
  <c r="E474" i="12"/>
  <c r="D474" i="12"/>
  <c r="F473" i="12"/>
  <c r="E473" i="12"/>
  <c r="D473" i="12"/>
  <c r="F472" i="12"/>
  <c r="E472" i="12"/>
  <c r="D472" i="12"/>
  <c r="F471" i="12"/>
  <c r="E471" i="12"/>
  <c r="D471" i="12"/>
  <c r="F470" i="12"/>
  <c r="E470" i="12"/>
  <c r="D470" i="12"/>
  <c r="F469" i="12"/>
  <c r="E469" i="12"/>
  <c r="D469" i="12"/>
  <c r="F468" i="12"/>
  <c r="E468" i="12"/>
  <c r="D468" i="12"/>
  <c r="F467" i="12"/>
  <c r="E467" i="12"/>
  <c r="D467" i="12"/>
  <c r="F466" i="12"/>
  <c r="E466" i="12"/>
  <c r="D466" i="12"/>
  <c r="F465" i="12"/>
  <c r="E465" i="12"/>
  <c r="D465" i="12"/>
  <c r="F464" i="12"/>
  <c r="E464" i="12"/>
  <c r="D464" i="12"/>
  <c r="F463" i="12"/>
  <c r="E463" i="12"/>
  <c r="D463" i="12"/>
  <c r="F462" i="12"/>
  <c r="E462" i="12"/>
  <c r="D462" i="12"/>
  <c r="F461" i="12"/>
  <c r="E461" i="12"/>
  <c r="D461" i="12"/>
  <c r="F460" i="12"/>
  <c r="E460" i="12"/>
  <c r="D460" i="12"/>
  <c r="F459" i="12"/>
  <c r="E459" i="12"/>
  <c r="D459" i="12"/>
  <c r="F458" i="12"/>
  <c r="E458" i="12"/>
  <c r="D458" i="12"/>
  <c r="F457" i="12"/>
  <c r="E457" i="12"/>
  <c r="D457" i="12"/>
  <c r="F456" i="12"/>
  <c r="E456" i="12"/>
  <c r="D456" i="12"/>
  <c r="F455" i="12"/>
  <c r="E455" i="12"/>
  <c r="D455" i="12"/>
  <c r="F454" i="12"/>
  <c r="E454" i="12"/>
  <c r="D454" i="12"/>
  <c r="F453" i="12"/>
  <c r="E453" i="12"/>
  <c r="D453" i="12"/>
  <c r="F452" i="12"/>
  <c r="E452" i="12"/>
  <c r="D452" i="12"/>
  <c r="F451" i="12"/>
  <c r="E451" i="12"/>
  <c r="D451" i="12"/>
  <c r="F450" i="12"/>
  <c r="E450" i="12"/>
  <c r="D450" i="12"/>
  <c r="F449" i="12"/>
  <c r="E449" i="12"/>
  <c r="D449" i="12"/>
  <c r="F448" i="12"/>
  <c r="E448" i="12"/>
  <c r="D448" i="12"/>
  <c r="F447" i="12"/>
  <c r="E447" i="12"/>
  <c r="D447" i="12"/>
  <c r="F446" i="12"/>
  <c r="E446" i="12"/>
  <c r="D446" i="12"/>
  <c r="F445" i="12"/>
  <c r="E445" i="12"/>
  <c r="D445" i="12"/>
  <c r="F444" i="12"/>
  <c r="E444" i="12"/>
  <c r="D444" i="12"/>
  <c r="F443" i="12"/>
  <c r="E443" i="12"/>
  <c r="D443" i="12"/>
  <c r="F442" i="12"/>
  <c r="E442" i="12"/>
  <c r="D442" i="12"/>
  <c r="F441" i="12"/>
  <c r="E441" i="12"/>
  <c r="D441" i="12"/>
  <c r="F440" i="12"/>
  <c r="E440" i="12"/>
  <c r="D440" i="12"/>
  <c r="F439" i="12"/>
  <c r="E439" i="12"/>
  <c r="D439" i="12"/>
  <c r="F438" i="12"/>
  <c r="E438" i="12"/>
  <c r="D438" i="12"/>
  <c r="F437" i="12"/>
  <c r="E437" i="12"/>
  <c r="D437" i="12"/>
  <c r="F436" i="12"/>
  <c r="E436" i="12"/>
  <c r="D436" i="12"/>
  <c r="F435" i="12"/>
  <c r="E435" i="12"/>
  <c r="D435" i="12"/>
  <c r="F434" i="12"/>
  <c r="E434" i="12"/>
  <c r="D434" i="12"/>
  <c r="F433" i="12"/>
  <c r="E433" i="12"/>
  <c r="D433" i="12"/>
  <c r="F432" i="12"/>
  <c r="E432" i="12"/>
  <c r="D432" i="12"/>
  <c r="F431" i="12"/>
  <c r="E431" i="12"/>
  <c r="D431" i="12"/>
  <c r="F430" i="12"/>
  <c r="E430" i="12"/>
  <c r="D430" i="12"/>
  <c r="F429" i="12"/>
  <c r="E429" i="12"/>
  <c r="D429" i="12"/>
  <c r="F428" i="12"/>
  <c r="E428" i="12"/>
  <c r="D428" i="12"/>
  <c r="F427" i="12"/>
  <c r="E427" i="12"/>
  <c r="D427" i="12"/>
  <c r="F426" i="12"/>
  <c r="E426" i="12"/>
  <c r="D426" i="12"/>
  <c r="F425" i="12"/>
  <c r="E425" i="12"/>
  <c r="D425" i="12"/>
  <c r="F424" i="12"/>
  <c r="E424" i="12"/>
  <c r="D424" i="12"/>
  <c r="F423" i="12"/>
  <c r="E423" i="12"/>
  <c r="D423" i="12"/>
  <c r="F422" i="12"/>
  <c r="E422" i="12"/>
  <c r="D422" i="12"/>
  <c r="F421" i="12"/>
  <c r="E421" i="12"/>
  <c r="D421" i="12"/>
  <c r="F420" i="12"/>
  <c r="E420" i="12"/>
  <c r="D420" i="12"/>
  <c r="F419" i="12"/>
  <c r="E419" i="12"/>
  <c r="D419" i="12"/>
  <c r="F418" i="12"/>
  <c r="E418" i="12"/>
  <c r="D418" i="12"/>
  <c r="F417" i="12"/>
  <c r="E417" i="12"/>
  <c r="D417" i="12"/>
  <c r="F416" i="12"/>
  <c r="E416" i="12"/>
  <c r="D416" i="12"/>
  <c r="F415" i="12"/>
  <c r="E415" i="12"/>
  <c r="D415" i="12"/>
  <c r="F414" i="12"/>
  <c r="E414" i="12"/>
  <c r="D414" i="12"/>
  <c r="F413" i="12"/>
  <c r="E413" i="12"/>
  <c r="D413" i="12"/>
  <c r="F412" i="12"/>
  <c r="E412" i="12"/>
  <c r="D412" i="12"/>
  <c r="F411" i="12"/>
  <c r="E411" i="12"/>
  <c r="D411" i="12"/>
  <c r="F410" i="12"/>
  <c r="E410" i="12"/>
  <c r="D410" i="12"/>
  <c r="F409" i="12"/>
  <c r="E409" i="12"/>
  <c r="D409" i="12"/>
  <c r="F408" i="12"/>
  <c r="E408" i="12"/>
  <c r="D408" i="12"/>
  <c r="F407" i="12"/>
  <c r="E407" i="12"/>
  <c r="D407" i="12"/>
  <c r="F406" i="12"/>
  <c r="E406" i="12"/>
  <c r="D406" i="12"/>
  <c r="F405" i="12"/>
  <c r="E405" i="12"/>
  <c r="D405" i="12"/>
  <c r="F404" i="12"/>
  <c r="E404" i="12"/>
  <c r="D404" i="12"/>
  <c r="F403" i="12"/>
  <c r="E403" i="12"/>
  <c r="D403" i="12"/>
  <c r="F402" i="12"/>
  <c r="E402" i="12"/>
  <c r="D402" i="12"/>
  <c r="F401" i="12"/>
  <c r="E401" i="12"/>
  <c r="D401" i="12"/>
  <c r="F400" i="12"/>
  <c r="E400" i="12"/>
  <c r="D400" i="12"/>
  <c r="F399" i="12"/>
  <c r="E399" i="12"/>
  <c r="D399" i="12"/>
  <c r="F398" i="12"/>
  <c r="E398" i="12"/>
  <c r="D398" i="12"/>
  <c r="F397" i="12"/>
  <c r="E397" i="12"/>
  <c r="D397" i="12"/>
  <c r="F396" i="12"/>
  <c r="E396" i="12"/>
  <c r="D396" i="12"/>
  <c r="F395" i="12"/>
  <c r="E395" i="12"/>
  <c r="D395" i="12"/>
  <c r="F394" i="12"/>
  <c r="E394" i="12"/>
  <c r="D394" i="12"/>
  <c r="F393" i="12"/>
  <c r="E393" i="12"/>
  <c r="D393" i="12"/>
  <c r="F392" i="12"/>
  <c r="E392" i="12"/>
  <c r="D392" i="12"/>
  <c r="F391" i="12"/>
  <c r="E391" i="12"/>
  <c r="D391" i="12"/>
  <c r="F390" i="12"/>
  <c r="E390" i="12"/>
  <c r="D390" i="12"/>
  <c r="F389" i="12"/>
  <c r="E389" i="12"/>
  <c r="D389" i="12"/>
  <c r="F388" i="12"/>
  <c r="E388" i="12"/>
  <c r="D388" i="12"/>
  <c r="F387" i="12"/>
  <c r="E387" i="12"/>
  <c r="D387" i="12"/>
  <c r="F386" i="12"/>
  <c r="E386" i="12"/>
  <c r="D386" i="12"/>
  <c r="F385" i="12"/>
  <c r="E385" i="12"/>
  <c r="D385" i="12"/>
  <c r="F384" i="12"/>
  <c r="E384" i="12"/>
  <c r="D384" i="12"/>
  <c r="F383" i="12"/>
  <c r="E383" i="12"/>
  <c r="D383" i="12"/>
  <c r="F382" i="12"/>
  <c r="E382" i="12"/>
  <c r="D382" i="12"/>
  <c r="F381" i="12"/>
  <c r="E381" i="12"/>
  <c r="D381" i="12"/>
  <c r="F380" i="12"/>
  <c r="E380" i="12"/>
  <c r="D380" i="12"/>
  <c r="F379" i="12"/>
  <c r="E379" i="12"/>
  <c r="D379" i="12"/>
  <c r="F378" i="12"/>
  <c r="E378" i="12"/>
  <c r="D378" i="12"/>
  <c r="F377" i="12"/>
  <c r="E377" i="12"/>
  <c r="D377" i="12"/>
  <c r="F376" i="12"/>
  <c r="E376" i="12"/>
  <c r="D376" i="12"/>
  <c r="F375" i="12"/>
  <c r="E375" i="12"/>
  <c r="D375" i="12"/>
  <c r="F374" i="12"/>
  <c r="E374" i="12"/>
  <c r="D374" i="12"/>
  <c r="F373" i="12"/>
  <c r="E373" i="12"/>
  <c r="D373" i="12"/>
  <c r="F372" i="12"/>
  <c r="E372" i="12"/>
  <c r="D372" i="12"/>
  <c r="F371" i="12"/>
  <c r="E371" i="12"/>
  <c r="D371" i="12"/>
  <c r="F370" i="12"/>
  <c r="E370" i="12"/>
  <c r="D370" i="12"/>
  <c r="F369" i="12"/>
  <c r="E369" i="12"/>
  <c r="D369" i="12"/>
  <c r="F368" i="12"/>
  <c r="E368" i="12"/>
  <c r="D368" i="12"/>
  <c r="F367" i="12"/>
  <c r="E367" i="12"/>
  <c r="D367" i="12"/>
  <c r="F366" i="12"/>
  <c r="E366" i="12"/>
  <c r="D366" i="12"/>
  <c r="F365" i="12"/>
  <c r="E365" i="12"/>
  <c r="D365" i="12"/>
  <c r="F364" i="12"/>
  <c r="E364" i="12"/>
  <c r="D364" i="12"/>
  <c r="F363" i="12"/>
  <c r="E363" i="12"/>
  <c r="D363" i="12"/>
  <c r="F362" i="12"/>
  <c r="E362" i="12"/>
  <c r="D362" i="12"/>
  <c r="F361" i="12"/>
  <c r="E361" i="12"/>
  <c r="D361" i="12"/>
  <c r="F360" i="12"/>
  <c r="E360" i="12"/>
  <c r="D360" i="12"/>
  <c r="F359" i="12"/>
  <c r="E359" i="12"/>
  <c r="D359" i="12"/>
  <c r="F358" i="12"/>
  <c r="E358" i="12"/>
  <c r="D358" i="12"/>
  <c r="F357" i="12"/>
  <c r="E357" i="12"/>
  <c r="D357" i="12"/>
  <c r="F356" i="12"/>
  <c r="E356" i="12"/>
  <c r="D356" i="12"/>
  <c r="F355" i="12"/>
  <c r="E355" i="12"/>
  <c r="D355" i="12"/>
  <c r="F354" i="12"/>
  <c r="E354" i="12"/>
  <c r="D354" i="12"/>
  <c r="F353" i="12"/>
  <c r="E353" i="12"/>
  <c r="D353" i="12"/>
  <c r="F352" i="12"/>
  <c r="E352" i="12"/>
  <c r="D352" i="12"/>
  <c r="F351" i="12"/>
  <c r="E351" i="12"/>
  <c r="D351" i="12"/>
  <c r="F350" i="12"/>
  <c r="E350" i="12"/>
  <c r="D350" i="12"/>
  <c r="F349" i="12"/>
  <c r="E349" i="12"/>
  <c r="D349" i="12"/>
  <c r="F348" i="12"/>
  <c r="E348" i="12"/>
  <c r="D348" i="12"/>
  <c r="F347" i="12"/>
  <c r="E347" i="12"/>
  <c r="D347" i="12"/>
  <c r="F346" i="12"/>
  <c r="E346" i="12"/>
  <c r="D346" i="12"/>
  <c r="F345" i="12"/>
  <c r="E345" i="12"/>
  <c r="D345" i="12"/>
  <c r="F344" i="12"/>
  <c r="E344" i="12"/>
  <c r="D344" i="12"/>
  <c r="F343" i="12"/>
  <c r="E343" i="12"/>
  <c r="D343" i="12"/>
  <c r="F342" i="12"/>
  <c r="E342" i="12"/>
  <c r="D342" i="12"/>
  <c r="F341" i="12"/>
  <c r="E341" i="12"/>
  <c r="D341" i="12"/>
  <c r="F340" i="12"/>
  <c r="E340" i="12"/>
  <c r="D340" i="12"/>
  <c r="F339" i="12"/>
  <c r="E339" i="12"/>
  <c r="D339" i="12"/>
  <c r="F338" i="12"/>
  <c r="E338" i="12"/>
  <c r="D338" i="12"/>
  <c r="F337" i="12"/>
  <c r="E337" i="12"/>
  <c r="D337" i="12"/>
  <c r="F336" i="12"/>
  <c r="E336" i="12"/>
  <c r="D336" i="12"/>
  <c r="F335" i="12"/>
  <c r="E335" i="12"/>
  <c r="D335" i="12"/>
  <c r="F334" i="12"/>
  <c r="E334" i="12"/>
  <c r="D334" i="12"/>
  <c r="F333" i="12"/>
  <c r="E333" i="12"/>
  <c r="D333" i="12"/>
  <c r="F332" i="12"/>
  <c r="E332" i="12"/>
  <c r="D332" i="12"/>
  <c r="F331" i="12"/>
  <c r="E331" i="12"/>
  <c r="D331" i="12"/>
  <c r="F330" i="12"/>
  <c r="E330" i="12"/>
  <c r="D330" i="12"/>
  <c r="F329" i="12"/>
  <c r="E329" i="12"/>
  <c r="D329" i="12"/>
  <c r="F328" i="12"/>
  <c r="E328" i="12"/>
  <c r="D328" i="12"/>
  <c r="F327" i="12"/>
  <c r="E327" i="12"/>
  <c r="D327" i="12"/>
  <c r="F326" i="12"/>
  <c r="E326" i="12"/>
  <c r="D326" i="12"/>
  <c r="F325" i="12"/>
  <c r="E325" i="12"/>
  <c r="D325" i="12"/>
  <c r="F324" i="12"/>
  <c r="E324" i="12"/>
  <c r="D324" i="12"/>
  <c r="F323" i="12"/>
  <c r="E323" i="12"/>
  <c r="D323" i="12"/>
  <c r="F322" i="12"/>
  <c r="E322" i="12"/>
  <c r="D322" i="12"/>
  <c r="F321" i="12"/>
  <c r="E321" i="12"/>
  <c r="D321" i="12"/>
  <c r="F320" i="12"/>
  <c r="E320" i="12"/>
  <c r="D320" i="12"/>
  <c r="F319" i="12"/>
  <c r="E319" i="12"/>
  <c r="D319" i="12"/>
  <c r="F318" i="12"/>
  <c r="E318" i="12"/>
  <c r="D318" i="12"/>
  <c r="F317" i="12"/>
  <c r="E317" i="12"/>
  <c r="D317" i="12"/>
  <c r="F316" i="12"/>
  <c r="E316" i="12"/>
  <c r="D316" i="12"/>
  <c r="F315" i="12"/>
  <c r="E315" i="12"/>
  <c r="D315" i="12"/>
  <c r="F314" i="12"/>
  <c r="E314" i="12"/>
  <c r="D314" i="12"/>
  <c r="F313" i="12"/>
  <c r="E313" i="12"/>
  <c r="D313" i="12"/>
  <c r="F312" i="12"/>
  <c r="E312" i="12"/>
  <c r="D312" i="12"/>
  <c r="F311" i="12"/>
  <c r="E311" i="12"/>
  <c r="D311" i="12"/>
  <c r="F310" i="12"/>
  <c r="E310" i="12"/>
  <c r="D310" i="12"/>
  <c r="F309" i="12"/>
  <c r="E309" i="12"/>
  <c r="D309" i="12"/>
  <c r="F308" i="12"/>
  <c r="E308" i="12"/>
  <c r="D308" i="12"/>
  <c r="F307" i="12"/>
  <c r="E307" i="12"/>
  <c r="D307" i="12"/>
  <c r="F306" i="12"/>
  <c r="E306" i="12"/>
  <c r="D306" i="12"/>
  <c r="F305" i="12"/>
  <c r="E305" i="12"/>
  <c r="D305" i="12"/>
  <c r="F304" i="12"/>
  <c r="E304" i="12"/>
  <c r="D304" i="12"/>
  <c r="F303" i="12"/>
  <c r="E303" i="12"/>
  <c r="D303" i="12"/>
  <c r="F302" i="12"/>
  <c r="E302" i="12"/>
  <c r="D302" i="12"/>
  <c r="F301" i="12"/>
  <c r="E301" i="12"/>
  <c r="D301" i="12"/>
  <c r="F300" i="12"/>
  <c r="E300" i="12"/>
  <c r="D300" i="12"/>
  <c r="F299" i="12"/>
  <c r="E299" i="12"/>
  <c r="D299" i="12"/>
  <c r="F298" i="12"/>
  <c r="E298" i="12"/>
  <c r="D298" i="12"/>
  <c r="F297" i="12"/>
  <c r="E297" i="12"/>
  <c r="D297" i="12"/>
  <c r="F296" i="12"/>
  <c r="E296" i="12"/>
  <c r="D296" i="12"/>
  <c r="F295" i="12"/>
  <c r="E295" i="12"/>
  <c r="D295" i="12"/>
  <c r="F294" i="12"/>
  <c r="E294" i="12"/>
  <c r="D294" i="12"/>
  <c r="F293" i="12"/>
  <c r="E293" i="12"/>
  <c r="D293" i="12"/>
  <c r="F292" i="12"/>
  <c r="E292" i="12"/>
  <c r="D292" i="12"/>
  <c r="F291" i="12"/>
  <c r="E291" i="12"/>
  <c r="D291" i="12"/>
  <c r="F290" i="12"/>
  <c r="E290" i="12"/>
  <c r="D290" i="12"/>
  <c r="F289" i="12"/>
  <c r="E289" i="12"/>
  <c r="D289" i="12"/>
  <c r="F288" i="12"/>
  <c r="E288" i="12"/>
  <c r="D288" i="12"/>
  <c r="F287" i="12"/>
  <c r="E287" i="12"/>
  <c r="D287" i="12"/>
  <c r="F286" i="12"/>
  <c r="E286" i="12"/>
  <c r="D286" i="12"/>
  <c r="F285" i="12"/>
  <c r="E285" i="12"/>
  <c r="D285" i="12"/>
  <c r="F284" i="12"/>
  <c r="E284" i="12"/>
  <c r="D284" i="12"/>
  <c r="F283" i="12"/>
  <c r="E283" i="12"/>
  <c r="D283" i="12"/>
  <c r="F282" i="12"/>
  <c r="E282" i="12"/>
  <c r="D282" i="12"/>
  <c r="F281" i="12"/>
  <c r="E281" i="12"/>
  <c r="D281" i="12"/>
  <c r="F280" i="12"/>
  <c r="E280" i="12"/>
  <c r="D280" i="12"/>
  <c r="F279" i="12"/>
  <c r="E279" i="12"/>
  <c r="D279" i="12"/>
  <c r="F278" i="12"/>
  <c r="E278" i="12"/>
  <c r="D278" i="12"/>
  <c r="F277" i="12"/>
  <c r="E277" i="12"/>
  <c r="D277" i="12"/>
  <c r="F276" i="12"/>
  <c r="E276" i="12"/>
  <c r="D276" i="12"/>
  <c r="F275" i="12"/>
  <c r="E275" i="12"/>
  <c r="D275" i="12"/>
  <c r="F274" i="12"/>
  <c r="E274" i="12"/>
  <c r="D274" i="12"/>
  <c r="F273" i="12"/>
  <c r="E273" i="12"/>
  <c r="D273" i="12"/>
  <c r="F272" i="12"/>
  <c r="E272" i="12"/>
  <c r="D272" i="12"/>
  <c r="F271" i="12"/>
  <c r="E271" i="12"/>
  <c r="D271" i="12"/>
  <c r="F270" i="12"/>
  <c r="E270" i="12"/>
  <c r="D270" i="12"/>
  <c r="F269" i="12"/>
  <c r="E269" i="12"/>
  <c r="D269" i="12"/>
  <c r="F268" i="12"/>
  <c r="E268" i="12"/>
  <c r="D268" i="12"/>
  <c r="F267" i="12"/>
  <c r="E267" i="12"/>
  <c r="D267" i="12"/>
  <c r="F266" i="12"/>
  <c r="E266" i="12"/>
  <c r="D266" i="12"/>
  <c r="F265" i="12"/>
  <c r="E265" i="12"/>
  <c r="D265" i="12"/>
  <c r="F264" i="12"/>
  <c r="E264" i="12"/>
  <c r="D264" i="12"/>
  <c r="F263" i="12"/>
  <c r="E263" i="12"/>
  <c r="D263" i="12"/>
  <c r="F262" i="12"/>
  <c r="E262" i="12"/>
  <c r="D262" i="12"/>
  <c r="F261" i="12"/>
  <c r="E261" i="12"/>
  <c r="D261" i="12"/>
  <c r="F260" i="12"/>
  <c r="E260" i="12"/>
  <c r="D260" i="12"/>
  <c r="F259" i="12"/>
  <c r="E259" i="12"/>
  <c r="D259" i="12"/>
  <c r="F258" i="12"/>
  <c r="E258" i="12"/>
  <c r="D258" i="12"/>
  <c r="F257" i="12"/>
  <c r="E257" i="12"/>
  <c r="D257" i="12"/>
  <c r="F256" i="12"/>
  <c r="E256" i="12"/>
  <c r="D256" i="12"/>
  <c r="F255" i="12"/>
  <c r="E255" i="12"/>
  <c r="D255" i="12"/>
  <c r="F254" i="12"/>
  <c r="E254" i="12"/>
  <c r="D254" i="12"/>
  <c r="F253" i="12"/>
  <c r="E253" i="12"/>
  <c r="D253" i="12"/>
  <c r="F252" i="12"/>
  <c r="E252" i="12"/>
  <c r="D252" i="12"/>
  <c r="F251" i="12"/>
  <c r="E251" i="12"/>
  <c r="D251" i="12"/>
  <c r="F250" i="12"/>
  <c r="E250" i="12"/>
  <c r="D250" i="12"/>
  <c r="F249" i="12"/>
  <c r="E249" i="12"/>
  <c r="D249" i="12"/>
  <c r="F248" i="12"/>
  <c r="E248" i="12"/>
  <c r="D248" i="12"/>
  <c r="F247" i="12"/>
  <c r="E247" i="12"/>
  <c r="D247" i="12"/>
  <c r="F246" i="12"/>
  <c r="E246" i="12"/>
  <c r="D246" i="12"/>
  <c r="F245" i="12"/>
  <c r="E245" i="12"/>
  <c r="D245" i="12"/>
  <c r="F244" i="12"/>
  <c r="E244" i="12"/>
  <c r="D244" i="12"/>
  <c r="F243" i="12"/>
  <c r="E243" i="12"/>
  <c r="D243" i="12"/>
  <c r="F242" i="12"/>
  <c r="E242" i="12"/>
  <c r="D242" i="12"/>
  <c r="F241" i="12"/>
  <c r="E241" i="12"/>
  <c r="D241" i="12"/>
  <c r="F240" i="12"/>
  <c r="E240" i="12"/>
  <c r="D240" i="12"/>
  <c r="F239" i="12"/>
  <c r="E239" i="12"/>
  <c r="D239" i="12"/>
  <c r="F238" i="12"/>
  <c r="E238" i="12"/>
  <c r="D238" i="12"/>
  <c r="F237" i="12"/>
  <c r="E237" i="12"/>
  <c r="D237" i="12"/>
  <c r="F236" i="12"/>
  <c r="E236" i="12"/>
  <c r="D236" i="12"/>
  <c r="F235" i="12"/>
  <c r="E235" i="12"/>
  <c r="D235" i="12"/>
  <c r="F234" i="12"/>
  <c r="E234" i="12"/>
  <c r="D234" i="12"/>
  <c r="F233" i="12"/>
  <c r="E233" i="12"/>
  <c r="D233" i="12"/>
  <c r="F232" i="12"/>
  <c r="E232" i="12"/>
  <c r="D232" i="12"/>
  <c r="F231" i="12"/>
  <c r="E231" i="12"/>
  <c r="D231" i="12"/>
  <c r="F230" i="12"/>
  <c r="E230" i="12"/>
  <c r="D230" i="12"/>
  <c r="F229" i="12"/>
  <c r="E229" i="12"/>
  <c r="D229" i="12"/>
  <c r="F228" i="12"/>
  <c r="E228" i="12"/>
  <c r="D228" i="12"/>
  <c r="F227" i="12"/>
  <c r="E227" i="12"/>
  <c r="D227" i="12"/>
  <c r="F226" i="12"/>
  <c r="E226" i="12"/>
  <c r="D226" i="12"/>
  <c r="F225" i="12"/>
  <c r="E225" i="12"/>
  <c r="D225" i="12"/>
  <c r="F224" i="12"/>
  <c r="E224" i="12"/>
  <c r="D224" i="12"/>
  <c r="F223" i="12"/>
  <c r="E223" i="12"/>
  <c r="D223" i="12"/>
  <c r="F222" i="12"/>
  <c r="E222" i="12"/>
  <c r="D222" i="12"/>
  <c r="F221" i="12"/>
  <c r="E221" i="12"/>
  <c r="D221" i="12"/>
  <c r="F220" i="12"/>
  <c r="E220" i="12"/>
  <c r="D220" i="12"/>
  <c r="F219" i="12"/>
  <c r="E219" i="12"/>
  <c r="D219" i="12"/>
  <c r="F218" i="12"/>
  <c r="E218" i="12"/>
  <c r="D218" i="12"/>
  <c r="F217" i="12"/>
  <c r="E217" i="12"/>
  <c r="D217" i="12"/>
  <c r="F216" i="12"/>
  <c r="E216" i="12"/>
  <c r="D216" i="12"/>
  <c r="F215" i="12"/>
  <c r="E215" i="12"/>
  <c r="D215" i="12"/>
  <c r="F214" i="12"/>
  <c r="E214" i="12"/>
  <c r="D214" i="12"/>
  <c r="F213" i="12"/>
  <c r="E213" i="12"/>
  <c r="D213" i="12"/>
  <c r="F212" i="12"/>
  <c r="E212" i="12"/>
  <c r="D212" i="12"/>
  <c r="F211" i="12"/>
  <c r="E211" i="12"/>
  <c r="D211" i="12"/>
  <c r="F210" i="12"/>
  <c r="E210" i="12"/>
  <c r="D210" i="12"/>
  <c r="F209" i="12"/>
  <c r="E209" i="12"/>
  <c r="D209" i="12"/>
  <c r="F208" i="12"/>
  <c r="E208" i="12"/>
  <c r="D208" i="12"/>
  <c r="F207" i="12"/>
  <c r="E207" i="12"/>
  <c r="D207" i="12"/>
  <c r="F206" i="12"/>
  <c r="E206" i="12"/>
  <c r="D206" i="12"/>
  <c r="F205" i="12"/>
  <c r="E205" i="12"/>
  <c r="D205" i="12"/>
  <c r="F204" i="12"/>
  <c r="E204" i="12"/>
  <c r="D204" i="12"/>
  <c r="F203" i="12"/>
  <c r="E203" i="12"/>
  <c r="D203" i="12"/>
  <c r="F202" i="12"/>
  <c r="E202" i="12"/>
  <c r="D202" i="12"/>
  <c r="F201" i="12"/>
  <c r="E201" i="12"/>
  <c r="D201" i="12"/>
  <c r="F200" i="12"/>
  <c r="E200" i="12"/>
  <c r="D200" i="12"/>
  <c r="F199" i="12"/>
  <c r="E199" i="12"/>
  <c r="D199" i="12"/>
  <c r="F198" i="12"/>
  <c r="E198" i="12"/>
  <c r="D198" i="12"/>
  <c r="F197" i="12"/>
  <c r="E197" i="12"/>
  <c r="D197" i="12"/>
  <c r="F196" i="12"/>
  <c r="E196" i="12"/>
  <c r="D196" i="12"/>
  <c r="F195" i="12"/>
  <c r="E195" i="12"/>
  <c r="D195" i="12"/>
  <c r="F194" i="12"/>
  <c r="E194" i="12"/>
  <c r="D194" i="12"/>
  <c r="F193" i="12"/>
  <c r="E193" i="12"/>
  <c r="D193" i="12"/>
  <c r="F192" i="12"/>
  <c r="E192" i="12"/>
  <c r="D192" i="12"/>
  <c r="F191" i="12"/>
  <c r="E191" i="12"/>
  <c r="D191" i="12"/>
  <c r="F190" i="12"/>
  <c r="E190" i="12"/>
  <c r="D190" i="12"/>
  <c r="F189" i="12"/>
  <c r="E189" i="12"/>
  <c r="D189" i="12"/>
  <c r="F188" i="12"/>
  <c r="E188" i="12"/>
  <c r="D188" i="12"/>
  <c r="F187" i="12"/>
  <c r="E187" i="12"/>
  <c r="D187" i="12"/>
  <c r="F186" i="12"/>
  <c r="E186" i="12"/>
  <c r="D186" i="12"/>
  <c r="F185" i="12"/>
  <c r="E185" i="12"/>
  <c r="D185" i="12"/>
  <c r="F184" i="12"/>
  <c r="E184" i="12"/>
  <c r="D184" i="12"/>
  <c r="F183" i="12"/>
  <c r="E183" i="12"/>
  <c r="D183" i="12"/>
  <c r="F182" i="12"/>
  <c r="E182" i="12"/>
  <c r="D182" i="12"/>
  <c r="F181" i="12"/>
  <c r="E181" i="12"/>
  <c r="D181" i="12"/>
  <c r="F180" i="12"/>
  <c r="E180" i="12"/>
  <c r="D180" i="12"/>
  <c r="F179" i="12"/>
  <c r="E179" i="12"/>
  <c r="D179" i="12"/>
  <c r="F178" i="12"/>
  <c r="E178" i="12"/>
  <c r="D178" i="12"/>
  <c r="F177" i="12"/>
  <c r="E177" i="12"/>
  <c r="D177" i="12"/>
  <c r="F176" i="12"/>
  <c r="E176" i="12"/>
  <c r="D176" i="12"/>
  <c r="F175" i="12"/>
  <c r="E175" i="12"/>
  <c r="D175" i="12"/>
  <c r="F174" i="12"/>
  <c r="E174" i="12"/>
  <c r="D174" i="12"/>
  <c r="F173" i="12"/>
  <c r="E173" i="12"/>
  <c r="D173" i="12"/>
  <c r="F172" i="12"/>
  <c r="E172" i="12"/>
  <c r="D172" i="12"/>
  <c r="F171" i="12"/>
  <c r="E171" i="12"/>
  <c r="D171" i="12"/>
  <c r="F170" i="12"/>
  <c r="E170" i="12"/>
  <c r="D170" i="12"/>
  <c r="F169" i="12"/>
  <c r="E169" i="12"/>
  <c r="D169" i="12"/>
  <c r="F168" i="12"/>
  <c r="E168" i="12"/>
  <c r="D168" i="12"/>
  <c r="F167" i="12"/>
  <c r="E167" i="12"/>
  <c r="D167" i="12"/>
  <c r="F166" i="12"/>
  <c r="E166" i="12"/>
  <c r="D166" i="12"/>
  <c r="F165" i="12"/>
  <c r="E165" i="12"/>
  <c r="D165" i="12"/>
  <c r="F164" i="12"/>
  <c r="E164" i="12"/>
  <c r="D164" i="12"/>
  <c r="F163" i="12"/>
  <c r="E163" i="12"/>
  <c r="D163" i="12"/>
  <c r="F162" i="12"/>
  <c r="E162" i="12"/>
  <c r="D162" i="12"/>
  <c r="F161" i="12"/>
  <c r="E161" i="12"/>
  <c r="D161" i="12"/>
  <c r="F160" i="12"/>
  <c r="E160" i="12"/>
  <c r="D160" i="12"/>
  <c r="F159" i="12"/>
  <c r="E159" i="12"/>
  <c r="D159" i="12"/>
  <c r="F158" i="12"/>
  <c r="E158" i="12"/>
  <c r="D158" i="12"/>
  <c r="F157" i="12"/>
  <c r="E157" i="12"/>
  <c r="D157" i="12"/>
  <c r="F156" i="12"/>
  <c r="E156" i="12"/>
  <c r="D156" i="12"/>
  <c r="F155" i="12"/>
  <c r="E155" i="12"/>
  <c r="D155" i="12"/>
  <c r="F154" i="12"/>
  <c r="E154" i="12"/>
  <c r="D154" i="12"/>
  <c r="F153" i="12"/>
  <c r="E153" i="12"/>
  <c r="D153" i="12"/>
  <c r="F152" i="12"/>
  <c r="E152" i="12"/>
  <c r="D152" i="12"/>
  <c r="F151" i="12"/>
  <c r="E151" i="12"/>
  <c r="D151" i="12"/>
  <c r="F150" i="12"/>
  <c r="E150" i="12"/>
  <c r="D150" i="12"/>
  <c r="F149" i="12"/>
  <c r="E149" i="12"/>
  <c r="D149" i="12"/>
  <c r="F148" i="12"/>
  <c r="E148" i="12"/>
  <c r="D148" i="12"/>
  <c r="F147" i="12"/>
  <c r="E147" i="12"/>
  <c r="D147" i="12"/>
  <c r="F146" i="12"/>
  <c r="E146" i="12"/>
  <c r="D146" i="12"/>
  <c r="F145" i="12"/>
  <c r="E145" i="12"/>
  <c r="D145" i="12"/>
  <c r="F144" i="12"/>
  <c r="E144" i="12"/>
  <c r="D144" i="12"/>
  <c r="F143" i="12"/>
  <c r="E143" i="12"/>
  <c r="D143" i="12"/>
  <c r="F142" i="12"/>
  <c r="E142" i="12"/>
  <c r="D142" i="12"/>
  <c r="F141" i="12"/>
  <c r="E141" i="12"/>
  <c r="D141" i="12"/>
  <c r="F140" i="12"/>
  <c r="E140" i="12"/>
  <c r="D140" i="12"/>
  <c r="F139" i="12"/>
  <c r="E139" i="12"/>
  <c r="D139" i="12"/>
  <c r="F138" i="12"/>
  <c r="E138" i="12"/>
  <c r="D138" i="12"/>
  <c r="F137" i="12"/>
  <c r="E137" i="12"/>
  <c r="D137" i="12"/>
  <c r="F136" i="12"/>
  <c r="E136" i="12"/>
  <c r="D136" i="12"/>
  <c r="F135" i="12"/>
  <c r="E135" i="12"/>
  <c r="D135" i="12"/>
  <c r="F134" i="12"/>
  <c r="E134" i="12"/>
  <c r="D134" i="12"/>
  <c r="F133" i="12"/>
  <c r="E133" i="12"/>
  <c r="D133" i="12"/>
  <c r="F132" i="12"/>
  <c r="E132" i="12"/>
  <c r="D132" i="12"/>
  <c r="F131" i="12"/>
  <c r="E131" i="12"/>
  <c r="D131" i="12"/>
  <c r="F130" i="12"/>
  <c r="E130" i="12"/>
  <c r="D130" i="12"/>
  <c r="F129" i="12"/>
  <c r="E129" i="12"/>
  <c r="D129" i="12"/>
  <c r="F128" i="12"/>
  <c r="E128" i="12"/>
  <c r="D128" i="12"/>
  <c r="F127" i="12"/>
  <c r="E127" i="12"/>
  <c r="D127" i="12"/>
  <c r="F126" i="12"/>
  <c r="E126" i="12"/>
  <c r="D126" i="12"/>
  <c r="F125" i="12"/>
  <c r="E125" i="12"/>
  <c r="D125" i="12"/>
  <c r="F124" i="12"/>
  <c r="E124" i="12"/>
  <c r="D124" i="12"/>
  <c r="F123" i="12"/>
  <c r="E123" i="12"/>
  <c r="D123" i="12"/>
  <c r="F122" i="12"/>
  <c r="E122" i="12"/>
  <c r="D122" i="12"/>
  <c r="F121" i="12"/>
  <c r="E121" i="12"/>
  <c r="D121" i="12"/>
  <c r="F120" i="12"/>
  <c r="E120" i="12"/>
  <c r="D120" i="12"/>
  <c r="F119" i="12"/>
  <c r="E119" i="12"/>
  <c r="D119" i="12"/>
  <c r="F118" i="12"/>
  <c r="E118" i="12"/>
  <c r="D118" i="12"/>
  <c r="F117" i="12"/>
  <c r="E117" i="12"/>
  <c r="D117" i="12"/>
  <c r="F116" i="12"/>
  <c r="E116" i="12"/>
  <c r="D116" i="12"/>
  <c r="F115" i="12"/>
  <c r="E115" i="12"/>
  <c r="D115" i="12"/>
  <c r="F114" i="12"/>
  <c r="E114" i="12"/>
  <c r="D114" i="12"/>
  <c r="F113" i="12"/>
  <c r="E113" i="12"/>
  <c r="D113" i="12"/>
  <c r="F112" i="12"/>
  <c r="E112" i="12"/>
  <c r="D112" i="12"/>
  <c r="F111" i="12"/>
  <c r="E111" i="12"/>
  <c r="D111" i="12"/>
  <c r="F110" i="12"/>
  <c r="E110" i="12"/>
  <c r="D110" i="12"/>
  <c r="F109" i="12"/>
  <c r="E109" i="12"/>
  <c r="D109" i="12"/>
  <c r="F108" i="12"/>
  <c r="E108" i="12"/>
  <c r="D108" i="12"/>
  <c r="F107" i="12"/>
  <c r="E107" i="12"/>
  <c r="D107" i="12"/>
  <c r="F106" i="12"/>
  <c r="E106" i="12"/>
  <c r="D106" i="12"/>
  <c r="F105" i="12"/>
  <c r="E105" i="12"/>
  <c r="D105" i="12"/>
  <c r="F104" i="12"/>
  <c r="E104" i="12"/>
  <c r="D104" i="12"/>
  <c r="F103" i="12"/>
  <c r="E103" i="12"/>
  <c r="D103" i="12"/>
  <c r="F102" i="12"/>
  <c r="E102" i="12"/>
  <c r="D102" i="12"/>
  <c r="F101" i="12"/>
  <c r="E101" i="12"/>
  <c r="D101" i="12"/>
  <c r="F100" i="12"/>
  <c r="E100" i="12"/>
  <c r="D100" i="12"/>
  <c r="F99" i="12"/>
  <c r="E99" i="12"/>
  <c r="D99" i="12"/>
  <c r="F98" i="12"/>
  <c r="E98" i="12"/>
  <c r="D98" i="12"/>
  <c r="F97" i="12"/>
  <c r="E97" i="12"/>
  <c r="D97" i="12"/>
  <c r="F96" i="12"/>
  <c r="E96" i="12"/>
  <c r="D96" i="12"/>
  <c r="F95" i="12"/>
  <c r="E95" i="12"/>
  <c r="D95" i="12"/>
  <c r="F94" i="12"/>
  <c r="E94" i="12"/>
  <c r="D94" i="12"/>
  <c r="F93" i="12"/>
  <c r="E93" i="12"/>
  <c r="D93" i="12"/>
  <c r="F92" i="12"/>
  <c r="E92" i="12"/>
  <c r="D92" i="12"/>
  <c r="F91" i="12"/>
  <c r="E91" i="12"/>
  <c r="D91" i="12"/>
  <c r="F90" i="12"/>
  <c r="E90" i="12"/>
  <c r="D90" i="12"/>
  <c r="F89" i="12"/>
  <c r="E89" i="12"/>
  <c r="D89" i="12"/>
  <c r="F88" i="12"/>
  <c r="E88" i="12"/>
  <c r="D88" i="12"/>
  <c r="F87" i="12"/>
  <c r="E87" i="12"/>
  <c r="D87" i="12"/>
  <c r="F86" i="12"/>
  <c r="E86" i="12"/>
  <c r="D86" i="12"/>
  <c r="F85" i="12"/>
  <c r="E85" i="12"/>
  <c r="D85" i="12"/>
  <c r="F84" i="12"/>
  <c r="E84" i="12"/>
  <c r="D84" i="12"/>
  <c r="F83" i="12"/>
  <c r="E83" i="12"/>
  <c r="D83" i="12"/>
  <c r="F82" i="12"/>
  <c r="E82" i="12"/>
  <c r="D82" i="12"/>
  <c r="F81" i="12"/>
  <c r="E81" i="12"/>
  <c r="D81" i="12"/>
  <c r="F80" i="12"/>
  <c r="E80" i="12"/>
  <c r="D80" i="12"/>
  <c r="F79" i="12"/>
  <c r="E79" i="12"/>
  <c r="D79" i="12"/>
  <c r="F78" i="12"/>
  <c r="E78" i="12"/>
  <c r="D78" i="12"/>
  <c r="F77" i="12"/>
  <c r="E77" i="12"/>
  <c r="D77" i="12"/>
  <c r="F76" i="12"/>
  <c r="E76" i="12"/>
  <c r="D76" i="12"/>
  <c r="F75" i="12"/>
  <c r="E75" i="12"/>
  <c r="D75" i="12"/>
  <c r="F74" i="12"/>
  <c r="E74" i="12"/>
  <c r="D74" i="12"/>
  <c r="F73" i="12"/>
  <c r="E73" i="12"/>
  <c r="D73" i="12"/>
  <c r="F72" i="12"/>
  <c r="E72" i="12"/>
  <c r="D72" i="12"/>
  <c r="F71" i="12"/>
  <c r="E71" i="12"/>
  <c r="D71" i="12"/>
  <c r="F70" i="12"/>
  <c r="E70" i="12"/>
  <c r="D70" i="12"/>
  <c r="F69" i="12"/>
  <c r="E69" i="12"/>
  <c r="D69" i="12"/>
  <c r="F68" i="12"/>
  <c r="E68" i="12"/>
  <c r="D68" i="12"/>
  <c r="F67" i="12"/>
  <c r="E67" i="12"/>
  <c r="D67" i="12"/>
  <c r="F66" i="12"/>
  <c r="E66" i="12"/>
  <c r="D66" i="12"/>
  <c r="F65" i="12"/>
  <c r="E65" i="12"/>
  <c r="D65" i="12"/>
  <c r="F64" i="12"/>
  <c r="E64" i="12"/>
  <c r="D64" i="12"/>
  <c r="F63" i="12"/>
  <c r="E63" i="12"/>
  <c r="D63" i="12"/>
  <c r="F62" i="12"/>
  <c r="E62" i="12"/>
  <c r="D62" i="12"/>
  <c r="F61" i="12"/>
  <c r="E61" i="12"/>
  <c r="D61" i="12"/>
  <c r="F60" i="12"/>
  <c r="E60" i="12"/>
  <c r="D60" i="12"/>
  <c r="F59" i="12"/>
  <c r="E59" i="12"/>
  <c r="D59" i="12"/>
  <c r="F58" i="12"/>
  <c r="E58" i="12"/>
  <c r="D58" i="12"/>
  <c r="F57" i="12"/>
  <c r="E57" i="12"/>
  <c r="D57" i="12"/>
  <c r="F56" i="12"/>
  <c r="E56" i="12"/>
  <c r="D56" i="12"/>
  <c r="F55" i="12"/>
  <c r="E55" i="12"/>
  <c r="D55" i="12"/>
  <c r="F54" i="12"/>
  <c r="E54" i="12"/>
  <c r="D54" i="12"/>
  <c r="F53" i="12"/>
  <c r="E53" i="12"/>
  <c r="D53" i="12"/>
  <c r="F52" i="12"/>
  <c r="E52" i="12"/>
  <c r="D52" i="12"/>
  <c r="F51" i="12"/>
  <c r="E51" i="12"/>
  <c r="D51" i="12"/>
  <c r="F50" i="12"/>
  <c r="E50" i="12"/>
  <c r="D50" i="12"/>
  <c r="F49" i="12"/>
  <c r="E49" i="12"/>
  <c r="D49" i="12"/>
  <c r="F48" i="12"/>
  <c r="E48" i="12"/>
  <c r="D48" i="12"/>
  <c r="F47" i="12"/>
  <c r="E47" i="12"/>
  <c r="D47" i="12"/>
  <c r="F46" i="12"/>
  <c r="E46" i="12"/>
  <c r="D46" i="12"/>
  <c r="F45" i="12"/>
  <c r="E45" i="12"/>
  <c r="D45" i="12"/>
  <c r="F44" i="12"/>
  <c r="E44" i="12"/>
  <c r="D44" i="12"/>
  <c r="F43" i="12"/>
  <c r="E43" i="12"/>
  <c r="D43" i="12"/>
  <c r="F42" i="12"/>
  <c r="E42" i="12"/>
  <c r="D42" i="12"/>
  <c r="F41" i="12"/>
  <c r="E41" i="12"/>
  <c r="D41" i="12"/>
  <c r="F40" i="12"/>
  <c r="E40" i="12"/>
  <c r="D40" i="12"/>
  <c r="F39" i="12"/>
  <c r="E39" i="12"/>
  <c r="D39" i="12"/>
  <c r="F38" i="12"/>
  <c r="E38" i="12"/>
  <c r="D38" i="12"/>
  <c r="F37" i="12"/>
  <c r="E37" i="12"/>
  <c r="D37" i="12"/>
  <c r="F36" i="12"/>
  <c r="E36" i="12"/>
  <c r="D36" i="12"/>
  <c r="F35" i="12"/>
  <c r="E35" i="12"/>
  <c r="D35" i="12"/>
  <c r="F34" i="12"/>
  <c r="E34" i="12"/>
  <c r="D34" i="12"/>
  <c r="F33" i="12"/>
  <c r="E33" i="12"/>
  <c r="D33" i="12"/>
  <c r="F32" i="12"/>
  <c r="E32" i="12"/>
  <c r="D32" i="12"/>
  <c r="F31" i="12"/>
  <c r="E31" i="12"/>
  <c r="D31" i="12"/>
  <c r="F30" i="12"/>
  <c r="E30" i="12"/>
  <c r="D30" i="12"/>
  <c r="F29" i="12"/>
  <c r="E29" i="12"/>
  <c r="D29" i="12"/>
  <c r="F28" i="12"/>
  <c r="E28" i="12"/>
  <c r="D28" i="12"/>
  <c r="F27" i="12"/>
  <c r="E27" i="12"/>
  <c r="D27" i="12"/>
  <c r="F26" i="12"/>
  <c r="E26" i="12"/>
  <c r="D26" i="12"/>
  <c r="F25" i="12"/>
  <c r="E25" i="12"/>
  <c r="D25" i="12"/>
  <c r="F24" i="12"/>
  <c r="E24" i="12"/>
  <c r="D24" i="12"/>
  <c r="F23" i="12"/>
  <c r="E23" i="12"/>
  <c r="D23" i="12"/>
  <c r="F22" i="12"/>
  <c r="E22" i="12"/>
  <c r="D22" i="12"/>
  <c r="F21" i="12"/>
  <c r="E21" i="12"/>
  <c r="D21" i="12"/>
  <c r="F20" i="12"/>
  <c r="E20" i="12"/>
  <c r="D20" i="12"/>
  <c r="F19" i="12"/>
  <c r="E19" i="12"/>
  <c r="D19" i="12"/>
  <c r="F18" i="12"/>
  <c r="E18" i="12"/>
  <c r="D18" i="12"/>
  <c r="F17" i="12"/>
  <c r="E17" i="12"/>
  <c r="D17" i="12"/>
  <c r="F16" i="12"/>
  <c r="E16" i="12"/>
  <c r="D16" i="12"/>
  <c r="F15" i="12"/>
  <c r="E15" i="12"/>
  <c r="D15" i="12"/>
  <c r="F14" i="12"/>
  <c r="E14" i="12"/>
  <c r="D14" i="12"/>
  <c r="F13" i="12"/>
  <c r="E13" i="12"/>
  <c r="D13" i="12"/>
  <c r="F12" i="12"/>
  <c r="E12" i="12"/>
  <c r="D12" i="12"/>
  <c r="F11" i="12"/>
  <c r="E11" i="12"/>
  <c r="D11" i="12"/>
  <c r="F10" i="12"/>
  <c r="E10" i="12"/>
  <c r="D10" i="12"/>
  <c r="F9" i="12"/>
  <c r="E9" i="12"/>
  <c r="D9" i="12"/>
  <c r="F8" i="12"/>
  <c r="E8" i="12"/>
  <c r="D8" i="12"/>
  <c r="F7" i="12"/>
  <c r="E7" i="12"/>
  <c r="D7" i="12"/>
  <c r="F6" i="12"/>
  <c r="E6" i="12"/>
  <c r="D6" i="12"/>
  <c r="F5" i="12"/>
  <c r="E5" i="12"/>
  <c r="D5" i="12"/>
  <c r="F4" i="12"/>
  <c r="E4" i="12"/>
  <c r="D4" i="12"/>
  <c r="F3" i="12"/>
  <c r="E3" i="12"/>
  <c r="D3" i="12"/>
  <c r="F783" i="9"/>
  <c r="E783" i="9"/>
  <c r="D783" i="9"/>
  <c r="F780" i="9"/>
  <c r="E780" i="9"/>
  <c r="D780" i="9"/>
  <c r="F767" i="9"/>
  <c r="E767" i="9"/>
  <c r="D767" i="9"/>
  <c r="F765" i="9"/>
  <c r="E765" i="9"/>
  <c r="D765" i="9"/>
  <c r="F761" i="9"/>
  <c r="E761" i="9"/>
  <c r="D761" i="9"/>
  <c r="F758" i="9"/>
  <c r="E758" i="9"/>
  <c r="D758" i="9"/>
  <c r="F732" i="9"/>
  <c r="E732" i="9"/>
  <c r="D732" i="9"/>
  <c r="F728" i="9"/>
  <c r="E728" i="9"/>
  <c r="D728" i="9"/>
  <c r="F712" i="9"/>
  <c r="E712" i="9"/>
  <c r="D712" i="9"/>
  <c r="F711" i="9"/>
  <c r="E711" i="9"/>
  <c r="D711" i="9"/>
  <c r="F707" i="9"/>
  <c r="E707" i="9"/>
  <c r="D707" i="9"/>
  <c r="F702" i="9"/>
  <c r="E702" i="9"/>
  <c r="D702" i="9"/>
  <c r="F700" i="9"/>
  <c r="E700" i="9"/>
  <c r="D700" i="9"/>
  <c r="F696" i="9"/>
  <c r="E696" i="9"/>
  <c r="D696" i="9"/>
  <c r="F694" i="9"/>
  <c r="E694" i="9"/>
  <c r="D694" i="9"/>
  <c r="F683" i="9"/>
  <c r="E683" i="9"/>
  <c r="D683" i="9"/>
  <c r="F678" i="9"/>
  <c r="E678" i="9"/>
  <c r="D678" i="9"/>
  <c r="F676" i="9"/>
  <c r="E676" i="9"/>
  <c r="D676" i="9"/>
  <c r="F673" i="9"/>
  <c r="E673" i="9"/>
  <c r="D673" i="9"/>
  <c r="F649" i="9"/>
  <c r="E649" i="9"/>
  <c r="D649" i="9"/>
  <c r="F648" i="9"/>
  <c r="E648" i="9"/>
  <c r="D648" i="9"/>
  <c r="F645" i="9"/>
  <c r="E645" i="9"/>
  <c r="D645" i="9"/>
  <c r="F638" i="9"/>
  <c r="E638" i="9"/>
  <c r="D638" i="9"/>
  <c r="F635" i="9"/>
  <c r="E635" i="9"/>
  <c r="D635" i="9"/>
  <c r="F632" i="9"/>
  <c r="E632" i="9"/>
  <c r="D632" i="9"/>
  <c r="F626" i="9"/>
  <c r="E626" i="9"/>
  <c r="D626" i="9"/>
  <c r="F621" i="9"/>
  <c r="E621" i="9"/>
  <c r="D621" i="9"/>
  <c r="F615" i="9"/>
  <c r="E615" i="9"/>
  <c r="D615" i="9"/>
  <c r="F611" i="9"/>
  <c r="E611" i="9"/>
  <c r="D611" i="9"/>
  <c r="F597" i="9"/>
  <c r="E597" i="9"/>
  <c r="D597" i="9"/>
  <c r="F595" i="9"/>
  <c r="E595" i="9"/>
  <c r="D595" i="9"/>
  <c r="F587" i="9"/>
  <c r="E587" i="9"/>
  <c r="D587" i="9"/>
  <c r="F583" i="9"/>
  <c r="E583" i="9"/>
  <c r="D583" i="9"/>
  <c r="F578" i="9"/>
  <c r="E578" i="9"/>
  <c r="D578" i="9"/>
  <c r="F573" i="9"/>
  <c r="E573" i="9"/>
  <c r="D573" i="9"/>
  <c r="F569" i="9"/>
  <c r="E569" i="9"/>
  <c r="D569" i="9"/>
  <c r="F561" i="9"/>
  <c r="E561" i="9"/>
  <c r="D561" i="9"/>
  <c r="F553" i="9"/>
  <c r="E553" i="9"/>
  <c r="D553" i="9"/>
  <c r="F544" i="9"/>
  <c r="E544" i="9"/>
  <c r="D544" i="9"/>
  <c r="F536" i="9"/>
  <c r="E536" i="9"/>
  <c r="D536" i="9"/>
  <c r="F527" i="9"/>
  <c r="E527" i="9"/>
  <c r="D527" i="9"/>
  <c r="F525" i="9"/>
  <c r="E525" i="9"/>
  <c r="D525" i="9"/>
  <c r="F521" i="9"/>
  <c r="E521" i="9"/>
  <c r="D521" i="9"/>
  <c r="F518" i="9"/>
  <c r="E518" i="9"/>
  <c r="D518" i="9"/>
  <c r="F474" i="9"/>
  <c r="E474" i="9"/>
  <c r="D474" i="9"/>
  <c r="F472" i="9"/>
  <c r="E472" i="9"/>
  <c r="D472" i="9"/>
  <c r="F470" i="9"/>
  <c r="E470" i="9"/>
  <c r="D470" i="9"/>
  <c r="F467" i="9"/>
  <c r="E467" i="9"/>
  <c r="D467" i="9"/>
  <c r="F408" i="9"/>
  <c r="E408" i="9"/>
  <c r="D408" i="9"/>
  <c r="F332" i="9"/>
  <c r="E332" i="9"/>
  <c r="D332" i="9"/>
  <c r="F330" i="9"/>
  <c r="E330" i="9"/>
  <c r="D330" i="9"/>
  <c r="F305" i="9"/>
  <c r="E305" i="9"/>
  <c r="D305" i="9"/>
  <c r="F303" i="9"/>
  <c r="E303" i="9"/>
  <c r="D303" i="9"/>
  <c r="F301" i="9"/>
  <c r="E301" i="9"/>
  <c r="D301" i="9"/>
  <c r="F298" i="9"/>
  <c r="E298" i="9"/>
  <c r="D298" i="9"/>
  <c r="F294" i="9"/>
  <c r="E294" i="9"/>
  <c r="D294" i="9"/>
  <c r="F288" i="9"/>
  <c r="E288" i="9"/>
  <c r="D288" i="9"/>
  <c r="F275" i="9"/>
  <c r="E275" i="9"/>
  <c r="D275" i="9"/>
  <c r="F271" i="9"/>
  <c r="E271" i="9"/>
  <c r="D271" i="9"/>
  <c r="F267" i="9"/>
  <c r="E267" i="9"/>
  <c r="D267" i="9"/>
  <c r="F260" i="9"/>
  <c r="E260" i="9"/>
  <c r="D260" i="9"/>
  <c r="F258" i="9"/>
  <c r="E258" i="9"/>
  <c r="D258" i="9"/>
  <c r="F255" i="9"/>
  <c r="E255" i="9"/>
  <c r="D255" i="9"/>
  <c r="F251" i="9"/>
  <c r="E251" i="9"/>
  <c r="D251" i="9"/>
  <c r="F245" i="9"/>
  <c r="E245" i="9"/>
  <c r="D245" i="9"/>
  <c r="F241" i="9"/>
  <c r="E241" i="9"/>
  <c r="D241" i="9"/>
  <c r="F212" i="9"/>
  <c r="E212" i="9"/>
  <c r="D212" i="9"/>
  <c r="F211" i="9"/>
  <c r="E211" i="9"/>
  <c r="D211" i="9"/>
  <c r="F207" i="9"/>
  <c r="E207" i="9"/>
  <c r="D207" i="9"/>
  <c r="F191" i="9"/>
  <c r="E191" i="9"/>
  <c r="D191" i="9"/>
  <c r="F186" i="9"/>
  <c r="E186" i="9"/>
  <c r="D186" i="9"/>
  <c r="F178" i="9"/>
  <c r="E178" i="9"/>
  <c r="D178" i="9"/>
  <c r="F177" i="9"/>
  <c r="E177" i="9"/>
  <c r="D177" i="9"/>
  <c r="F174" i="9"/>
  <c r="E174" i="9"/>
  <c r="D174" i="9"/>
  <c r="F170" i="9"/>
  <c r="E170" i="9"/>
  <c r="D170" i="9"/>
  <c r="D6434" i="10"/>
  <c r="D6433" i="10"/>
  <c r="D6432" i="10"/>
  <c r="D6431" i="10"/>
  <c r="D6430" i="10"/>
  <c r="D6429" i="10"/>
  <c r="D6428" i="10"/>
  <c r="D6427" i="10"/>
  <c r="D6426" i="10"/>
  <c r="D6425" i="10"/>
  <c r="D6424" i="10"/>
  <c r="D6423" i="10"/>
  <c r="D6422" i="10"/>
  <c r="D6421" i="10"/>
  <c r="D6420" i="10"/>
  <c r="D6419" i="10"/>
  <c r="D6418" i="10"/>
  <c r="D6417" i="10"/>
  <c r="D6416" i="10"/>
  <c r="D6415" i="10"/>
  <c r="D6414" i="10"/>
  <c r="D6413" i="10"/>
  <c r="D6412" i="10"/>
  <c r="D6411" i="10"/>
  <c r="D6410" i="10"/>
  <c r="D6409" i="10"/>
  <c r="D6408" i="10"/>
  <c r="D6407" i="10"/>
  <c r="D6406" i="10"/>
  <c r="D6405" i="10"/>
  <c r="D6404" i="10"/>
  <c r="D6403" i="10"/>
  <c r="D6402" i="10"/>
  <c r="D6401" i="10"/>
  <c r="D6400" i="10"/>
  <c r="D6399" i="10"/>
  <c r="D6398" i="10"/>
  <c r="D6397" i="10"/>
  <c r="D6396" i="10"/>
  <c r="D6395" i="10"/>
  <c r="D6394" i="10"/>
  <c r="D6393" i="10"/>
  <c r="D6392" i="10"/>
  <c r="D6391" i="10"/>
  <c r="D6390" i="10"/>
  <c r="D6389" i="10"/>
  <c r="D6388" i="10"/>
  <c r="D6387" i="10"/>
  <c r="D6386" i="10"/>
  <c r="D6385" i="10"/>
  <c r="D6384" i="10"/>
  <c r="D6383" i="10"/>
  <c r="D6382" i="10"/>
  <c r="D6381" i="10"/>
  <c r="D6380" i="10"/>
  <c r="D6379" i="10"/>
  <c r="D6378" i="10"/>
  <c r="D6377" i="10"/>
  <c r="D6376" i="10"/>
  <c r="D6375" i="10"/>
  <c r="D6374" i="10"/>
  <c r="D6373" i="10"/>
  <c r="D6372" i="10"/>
  <c r="D6371" i="10"/>
  <c r="D6370" i="10"/>
  <c r="D6369" i="10"/>
  <c r="D6368" i="10"/>
  <c r="D6367" i="10"/>
  <c r="D6366" i="10"/>
  <c r="D6365" i="10"/>
  <c r="D6364" i="10"/>
  <c r="D6363" i="10"/>
  <c r="D6362" i="10"/>
  <c r="D6361" i="10"/>
  <c r="D6360" i="10"/>
  <c r="D6359" i="10"/>
  <c r="D6358" i="10"/>
  <c r="D6357" i="10"/>
  <c r="D6356" i="10"/>
  <c r="D6355" i="10"/>
  <c r="D6354" i="10"/>
  <c r="D6353" i="10"/>
  <c r="D6352" i="10"/>
  <c r="D6351" i="10"/>
  <c r="D6350" i="10"/>
  <c r="D6349" i="10"/>
  <c r="D6348" i="10"/>
  <c r="D6347" i="10"/>
  <c r="D6346" i="10"/>
  <c r="D6345" i="10"/>
  <c r="D6344" i="10"/>
  <c r="D6343" i="10"/>
  <c r="D6342" i="10"/>
  <c r="D6341" i="10"/>
  <c r="D6340" i="10"/>
  <c r="D6339" i="10"/>
  <c r="D6338" i="10"/>
  <c r="D6337" i="10"/>
  <c r="D6336" i="10"/>
  <c r="D6335" i="10"/>
  <c r="D6334" i="10"/>
  <c r="D6333" i="10"/>
  <c r="D6332" i="10"/>
  <c r="D6331" i="10"/>
  <c r="D6330" i="10"/>
  <c r="D6329" i="10"/>
  <c r="D6328" i="10"/>
  <c r="D6327" i="10"/>
  <c r="D6326" i="10"/>
  <c r="D6325" i="10"/>
  <c r="D6324" i="10"/>
  <c r="D6323" i="10"/>
  <c r="D6322" i="10"/>
  <c r="D6321" i="10"/>
  <c r="D6320" i="10"/>
  <c r="D6319" i="10"/>
  <c r="D6318" i="10"/>
  <c r="D6317" i="10"/>
  <c r="D6316" i="10"/>
  <c r="D6315" i="10"/>
  <c r="D6314" i="10"/>
  <c r="D6313" i="10"/>
  <c r="D6312" i="10"/>
  <c r="D6311" i="10"/>
  <c r="D6310" i="10"/>
  <c r="D6309" i="10"/>
  <c r="D6308" i="10"/>
  <c r="D6307" i="10"/>
  <c r="D6306" i="10"/>
  <c r="D6305" i="10"/>
  <c r="D6304" i="10"/>
  <c r="D6303" i="10"/>
  <c r="D6302" i="10"/>
  <c r="D6301" i="10"/>
  <c r="D6300" i="10"/>
  <c r="D6299" i="10"/>
  <c r="D6298" i="10"/>
  <c r="D6297" i="10"/>
  <c r="D6296" i="10"/>
  <c r="D6295" i="10"/>
  <c r="D6294" i="10"/>
  <c r="D6293" i="10"/>
  <c r="D6292" i="10"/>
  <c r="D6291" i="10"/>
  <c r="D6290" i="10"/>
  <c r="D6289" i="10"/>
  <c r="D6288" i="10"/>
  <c r="D6287" i="10"/>
  <c r="D6286" i="10"/>
  <c r="D6285" i="10"/>
  <c r="D6284" i="10"/>
  <c r="D6283" i="10"/>
  <c r="D6282" i="10"/>
  <c r="D6281" i="10"/>
  <c r="D6280" i="10"/>
  <c r="D6279" i="10"/>
  <c r="D6278" i="10"/>
  <c r="D6277" i="10"/>
  <c r="D6276" i="10"/>
  <c r="D6275" i="10"/>
  <c r="D6274" i="10"/>
  <c r="D6273" i="10"/>
  <c r="D6272" i="10"/>
  <c r="D6271" i="10"/>
  <c r="D6270" i="10"/>
  <c r="D6269" i="10"/>
  <c r="D6268" i="10"/>
  <c r="D6267" i="10"/>
  <c r="D6266" i="10"/>
  <c r="D6265" i="10"/>
  <c r="D6264" i="10"/>
  <c r="D6263" i="10"/>
  <c r="D6262" i="10"/>
  <c r="D6261" i="10"/>
  <c r="D6260" i="10"/>
  <c r="D6259" i="10"/>
  <c r="D6258" i="10"/>
  <c r="D6257" i="10"/>
  <c r="D6256" i="10"/>
  <c r="D6255" i="10"/>
  <c r="D6254" i="10"/>
  <c r="D6253" i="10"/>
  <c r="D6252" i="10"/>
  <c r="D6251" i="10"/>
  <c r="D6250" i="10"/>
  <c r="D6249" i="10"/>
  <c r="D6248" i="10"/>
  <c r="D6247" i="10"/>
  <c r="D6246" i="10"/>
  <c r="D6245" i="10"/>
  <c r="D6244" i="10"/>
  <c r="D6243" i="10"/>
  <c r="D6242" i="10"/>
  <c r="D6241" i="10"/>
  <c r="D6240" i="10"/>
  <c r="D6239" i="10"/>
  <c r="D6238" i="10"/>
  <c r="D6237" i="10"/>
  <c r="D6236" i="10"/>
  <c r="D6235" i="10"/>
  <c r="D6234" i="10"/>
  <c r="D6233" i="10"/>
  <c r="D6232" i="10"/>
  <c r="D6231" i="10"/>
  <c r="D6230" i="10"/>
  <c r="D6229" i="10"/>
  <c r="D6228" i="10"/>
  <c r="D6227" i="10"/>
  <c r="D6226" i="10"/>
  <c r="D6225" i="10"/>
  <c r="D6224" i="10"/>
  <c r="D6223" i="10"/>
  <c r="D6222" i="10"/>
  <c r="D6221" i="10"/>
  <c r="D6220" i="10"/>
  <c r="D6219" i="10"/>
  <c r="D6218" i="10"/>
  <c r="D6217" i="10"/>
  <c r="D6216" i="10"/>
  <c r="D6215" i="10"/>
  <c r="D6214" i="10"/>
  <c r="D6213" i="10"/>
  <c r="D6212" i="10"/>
  <c r="D6211" i="10"/>
  <c r="D6210" i="10"/>
  <c r="D6209" i="10"/>
  <c r="D6208" i="10"/>
  <c r="D6207" i="10"/>
  <c r="D6206" i="10"/>
  <c r="D6205" i="10"/>
  <c r="D6204" i="10"/>
  <c r="D6203" i="10"/>
  <c r="D6202" i="10"/>
  <c r="D6201" i="10"/>
  <c r="D6200" i="10"/>
  <c r="D6199" i="10"/>
  <c r="D6198" i="10"/>
  <c r="D6197" i="10"/>
  <c r="D6196" i="10"/>
  <c r="D6195" i="10"/>
  <c r="D6194" i="10"/>
  <c r="D6193" i="10"/>
  <c r="D6192" i="10"/>
  <c r="D6191" i="10"/>
  <c r="D6190" i="10"/>
  <c r="D6189" i="10"/>
  <c r="D6188" i="10"/>
  <c r="D6187" i="10"/>
  <c r="D6186" i="10"/>
  <c r="D6185" i="10"/>
  <c r="D6184" i="10"/>
  <c r="D6183" i="10"/>
  <c r="D6182" i="10"/>
  <c r="D6181" i="10"/>
  <c r="D6180" i="10"/>
  <c r="D6179" i="10"/>
  <c r="D6178" i="10"/>
  <c r="D6177" i="10"/>
  <c r="D6176" i="10"/>
  <c r="D6175" i="10"/>
  <c r="D6174" i="10"/>
  <c r="D6173" i="10"/>
  <c r="D6172" i="10"/>
  <c r="D6171" i="10"/>
  <c r="D6170" i="10"/>
  <c r="D6169" i="10"/>
  <c r="D6168" i="10"/>
  <c r="D6167" i="10"/>
  <c r="D6166" i="10"/>
  <c r="D6165" i="10"/>
  <c r="D6164" i="10"/>
  <c r="D6163" i="10"/>
  <c r="D6162" i="10"/>
  <c r="D6161" i="10"/>
  <c r="D6160" i="10"/>
  <c r="D6159" i="10"/>
  <c r="D6158" i="10"/>
  <c r="D6157" i="10"/>
  <c r="D6156" i="10"/>
  <c r="D6155" i="10"/>
  <c r="D6154" i="10"/>
  <c r="D6153" i="10"/>
  <c r="D6152" i="10"/>
  <c r="D6151" i="10"/>
  <c r="D6150" i="10"/>
  <c r="D6149" i="10"/>
  <c r="D6148" i="10"/>
  <c r="D6147" i="10"/>
  <c r="D6146" i="10"/>
  <c r="D6145" i="10"/>
  <c r="D6144" i="10"/>
  <c r="D6143" i="10"/>
  <c r="D6142" i="10"/>
  <c r="D6141" i="10"/>
  <c r="D6140" i="10"/>
  <c r="D6139" i="10"/>
  <c r="D6138" i="10"/>
  <c r="D6137" i="10"/>
  <c r="D6136" i="10"/>
  <c r="D6135" i="10"/>
  <c r="D6134" i="10"/>
  <c r="D6133" i="10"/>
  <c r="D6132" i="10"/>
  <c r="D6131" i="10"/>
  <c r="D6130" i="10"/>
  <c r="D6129" i="10"/>
  <c r="D6128" i="10"/>
  <c r="D6127" i="10"/>
  <c r="D6126" i="10"/>
  <c r="D6125" i="10"/>
  <c r="D6124" i="10"/>
  <c r="D6123" i="10"/>
  <c r="D6122" i="10"/>
  <c r="D6121" i="10"/>
  <c r="D6120" i="10"/>
  <c r="D6119" i="10"/>
  <c r="D6118" i="10"/>
  <c r="D6117" i="10"/>
  <c r="D6116" i="10"/>
  <c r="D6115" i="10"/>
  <c r="D6114" i="10"/>
  <c r="D6113" i="10"/>
  <c r="D6112" i="10"/>
  <c r="D6111" i="10"/>
  <c r="D6110" i="10"/>
  <c r="D6109" i="10"/>
  <c r="D6108" i="10"/>
  <c r="D6107" i="10"/>
  <c r="D6106" i="10"/>
  <c r="D6105" i="10"/>
  <c r="D6104" i="10"/>
  <c r="D6103" i="10"/>
  <c r="D6102" i="10"/>
  <c r="D6101" i="10"/>
  <c r="D6100" i="10"/>
  <c r="D6099" i="10"/>
  <c r="D6098" i="10"/>
  <c r="D6097" i="10"/>
  <c r="D6096" i="10"/>
  <c r="D6095" i="10"/>
  <c r="D6094" i="10"/>
  <c r="D6093" i="10"/>
  <c r="D6092" i="10"/>
  <c r="D6091" i="10"/>
  <c r="D6090" i="10"/>
  <c r="D6089" i="10"/>
  <c r="D6088" i="10"/>
  <c r="D6087" i="10"/>
  <c r="D6086" i="10"/>
  <c r="D6085" i="10"/>
  <c r="D6084" i="10"/>
  <c r="D6083" i="10"/>
  <c r="D6082" i="10"/>
  <c r="D6081" i="10"/>
  <c r="D6080" i="10"/>
  <c r="D6079" i="10"/>
  <c r="D6078" i="10"/>
  <c r="D6077" i="10"/>
  <c r="D6076" i="10"/>
  <c r="D6075" i="10"/>
  <c r="D6074" i="10"/>
  <c r="D6073" i="10"/>
  <c r="D6072" i="10"/>
  <c r="D6071" i="10"/>
  <c r="D6070" i="10"/>
  <c r="D6069" i="10"/>
  <c r="D6068" i="10"/>
  <c r="D6067" i="10"/>
  <c r="D6066" i="10"/>
  <c r="D6065" i="10"/>
  <c r="D6064" i="10"/>
  <c r="D6063" i="10"/>
  <c r="D6062" i="10"/>
  <c r="D6061" i="10"/>
  <c r="D6060" i="10"/>
  <c r="D6059" i="10"/>
  <c r="D6058" i="10"/>
  <c r="D6057" i="10"/>
  <c r="D6056" i="10"/>
  <c r="D6055" i="10"/>
  <c r="D6054" i="10"/>
  <c r="D6053" i="10"/>
  <c r="D6052" i="10"/>
  <c r="D6051" i="10"/>
  <c r="D6050" i="10"/>
  <c r="D6049" i="10"/>
  <c r="D6048" i="10"/>
  <c r="D6047" i="10"/>
  <c r="D6046" i="10"/>
  <c r="D6045" i="10"/>
  <c r="D6044" i="10"/>
  <c r="D6043" i="10"/>
  <c r="D6042" i="10"/>
  <c r="D6041" i="10"/>
  <c r="D6040" i="10"/>
  <c r="D6039" i="10"/>
  <c r="D6038" i="10"/>
  <c r="D6037" i="10"/>
  <c r="D6036" i="10"/>
  <c r="D6035" i="10"/>
  <c r="D6034" i="10"/>
  <c r="D6033" i="10"/>
  <c r="D6032" i="10"/>
  <c r="D6031" i="10"/>
  <c r="D6030" i="10"/>
  <c r="D6029" i="10"/>
  <c r="D6028" i="10"/>
  <c r="D6027" i="10"/>
  <c r="D6026" i="10"/>
  <c r="D6025" i="10"/>
  <c r="D6024" i="10"/>
  <c r="D6023" i="10"/>
  <c r="D6022" i="10"/>
  <c r="D6021" i="10"/>
  <c r="D6020" i="10"/>
  <c r="D6019" i="10"/>
  <c r="D6018" i="10"/>
  <c r="D6017" i="10"/>
  <c r="D6016" i="10"/>
  <c r="D6015" i="10"/>
  <c r="D6014" i="10"/>
  <c r="D6013" i="10"/>
  <c r="D6012" i="10"/>
  <c r="D6011" i="10"/>
  <c r="D6010" i="10"/>
  <c r="D6009" i="10"/>
  <c r="D6008" i="10"/>
  <c r="D6007" i="10"/>
  <c r="D6006" i="10"/>
  <c r="D6005" i="10"/>
  <c r="D6004" i="10"/>
  <c r="D6003" i="10"/>
  <c r="D6002" i="10"/>
  <c r="D6001" i="10"/>
  <c r="D6000" i="10"/>
  <c r="D5999" i="10"/>
  <c r="D5998" i="10"/>
  <c r="D5997" i="10"/>
  <c r="D5996" i="10"/>
  <c r="D5995" i="10"/>
  <c r="D5994" i="10"/>
  <c r="D5993" i="10"/>
  <c r="D5992" i="10"/>
  <c r="D5991" i="10"/>
  <c r="D5990" i="10"/>
  <c r="D5989" i="10"/>
  <c r="D5988" i="10"/>
  <c r="D5987" i="10"/>
  <c r="D5986" i="10"/>
  <c r="D5985" i="10"/>
  <c r="D5984" i="10"/>
  <c r="D5983" i="10"/>
  <c r="D5982" i="10"/>
  <c r="D5981" i="10"/>
  <c r="D5980" i="10"/>
  <c r="D5979" i="10"/>
  <c r="D5978" i="10"/>
  <c r="D5977" i="10"/>
  <c r="D5976" i="10"/>
  <c r="D5975" i="10"/>
  <c r="D5974" i="10"/>
  <c r="D5973" i="10"/>
  <c r="D5972" i="10"/>
  <c r="D5971" i="10"/>
  <c r="D5970" i="10"/>
  <c r="D5969" i="10"/>
  <c r="D5968" i="10"/>
  <c r="D5967" i="10"/>
  <c r="D5966" i="10"/>
  <c r="D5965" i="10"/>
  <c r="D5964" i="10"/>
  <c r="D5963" i="10"/>
  <c r="D5962" i="10"/>
  <c r="D5961" i="10"/>
  <c r="D5960" i="10"/>
  <c r="D5959" i="10"/>
  <c r="D5958" i="10"/>
  <c r="D5957" i="10"/>
  <c r="D5956" i="10"/>
  <c r="D5955" i="10"/>
  <c r="D5954" i="10"/>
  <c r="D5953" i="10"/>
  <c r="D5952" i="10"/>
  <c r="D5951" i="10"/>
  <c r="D5950" i="10"/>
  <c r="D5949" i="10"/>
  <c r="D5948" i="10"/>
  <c r="D5947" i="10"/>
  <c r="D5946" i="10"/>
  <c r="D5945" i="10"/>
  <c r="D5944" i="10"/>
  <c r="D5943" i="10"/>
  <c r="D5942" i="10"/>
  <c r="D5941" i="10"/>
  <c r="D5940" i="10"/>
  <c r="D5939" i="10"/>
  <c r="D5938" i="10"/>
  <c r="D5937" i="10"/>
  <c r="D5936" i="10"/>
  <c r="D5935" i="10"/>
  <c r="D5934" i="10"/>
  <c r="D5933" i="10"/>
  <c r="D5932" i="10"/>
  <c r="D5931" i="10"/>
  <c r="D5930" i="10"/>
  <c r="D5929" i="10"/>
  <c r="D5928" i="10"/>
  <c r="D5927" i="10"/>
  <c r="D5926" i="10"/>
  <c r="D5925" i="10"/>
  <c r="D5924" i="10"/>
  <c r="D5923" i="10"/>
  <c r="D5922" i="10"/>
  <c r="D5921" i="10"/>
  <c r="D5920" i="10"/>
  <c r="D5919" i="10"/>
  <c r="D5918" i="10"/>
  <c r="D5917" i="10"/>
  <c r="D5916" i="10"/>
  <c r="D5915" i="10"/>
  <c r="D5914" i="10"/>
  <c r="D5913" i="10"/>
  <c r="D5912" i="10"/>
  <c r="D5911" i="10"/>
  <c r="D5910" i="10"/>
  <c r="D5909" i="10"/>
  <c r="D5908" i="10"/>
  <c r="D5907" i="10"/>
  <c r="D5906" i="10"/>
  <c r="D5905" i="10"/>
  <c r="D5904" i="10"/>
  <c r="D5903" i="10"/>
  <c r="D5902" i="10"/>
  <c r="D5901" i="10"/>
  <c r="D5900" i="10"/>
  <c r="D5899" i="10"/>
  <c r="D5898" i="10"/>
  <c r="D5897" i="10"/>
  <c r="D5896" i="10"/>
  <c r="D5895" i="10"/>
  <c r="D5894" i="10"/>
  <c r="D5893" i="10"/>
  <c r="D5892" i="10"/>
  <c r="D5891" i="10"/>
  <c r="D5890" i="10"/>
  <c r="D5889" i="10"/>
  <c r="D5888" i="10"/>
  <c r="D5887" i="10"/>
  <c r="D5886" i="10"/>
  <c r="D5885" i="10"/>
  <c r="D5884" i="10"/>
  <c r="D5883" i="10"/>
  <c r="D5882" i="10"/>
  <c r="D5881" i="10"/>
  <c r="D5880" i="10"/>
  <c r="D5879" i="10"/>
  <c r="D5878" i="10"/>
  <c r="D5877" i="10"/>
  <c r="D5876" i="10"/>
  <c r="D5875" i="10"/>
  <c r="D5874" i="10"/>
  <c r="D5873" i="10"/>
  <c r="D5872" i="10"/>
  <c r="D5871" i="10"/>
  <c r="D5870" i="10"/>
  <c r="D5869" i="10"/>
  <c r="D5868" i="10"/>
  <c r="D5867" i="10"/>
  <c r="D5866" i="10"/>
  <c r="D5865" i="10"/>
  <c r="D5864" i="10"/>
  <c r="D5863" i="10"/>
  <c r="D5862" i="10"/>
  <c r="D5861" i="10"/>
  <c r="D5860" i="10"/>
  <c r="D5859" i="10"/>
  <c r="D5858" i="10"/>
  <c r="D5857" i="10"/>
  <c r="D5856" i="10"/>
  <c r="D5855" i="10"/>
  <c r="D5854" i="10"/>
  <c r="D5853" i="10"/>
  <c r="D5852" i="10"/>
  <c r="D5851" i="10"/>
  <c r="D5850" i="10"/>
  <c r="D5849" i="10"/>
  <c r="D5848" i="10"/>
  <c r="D5847" i="10"/>
  <c r="D5846" i="10"/>
  <c r="D5845" i="10"/>
  <c r="D5844" i="10"/>
  <c r="D5843" i="10"/>
  <c r="D5842" i="10"/>
  <c r="D5841" i="10"/>
  <c r="D5840" i="10"/>
  <c r="D5839" i="10"/>
  <c r="D5838" i="10"/>
  <c r="D5837" i="10"/>
  <c r="D5836" i="10"/>
  <c r="D5835" i="10"/>
  <c r="D5834" i="10"/>
  <c r="D5833" i="10"/>
  <c r="D5832" i="10"/>
  <c r="D5831" i="10"/>
  <c r="D5830" i="10"/>
  <c r="D5829" i="10"/>
  <c r="D5828" i="10"/>
  <c r="D5827" i="10"/>
  <c r="D5826" i="10"/>
  <c r="D5825" i="10"/>
  <c r="D5824" i="10"/>
  <c r="D5823" i="10"/>
  <c r="D5822" i="10"/>
  <c r="D5821" i="10"/>
  <c r="D5820" i="10"/>
  <c r="D5819" i="10"/>
  <c r="D5818" i="10"/>
  <c r="D5817" i="10"/>
  <c r="D5816" i="10"/>
  <c r="D5815" i="10"/>
  <c r="D5814" i="10"/>
  <c r="D5813" i="10"/>
  <c r="D5812" i="10"/>
  <c r="D5811" i="10"/>
  <c r="D5810" i="10"/>
  <c r="D5809" i="10"/>
  <c r="D5808" i="10"/>
  <c r="D5807" i="10"/>
  <c r="D5806" i="10"/>
  <c r="D5805" i="10"/>
  <c r="D5804" i="10"/>
  <c r="D5803" i="10"/>
  <c r="D5802" i="10"/>
  <c r="D5801" i="10"/>
  <c r="D5800" i="10"/>
  <c r="D5799" i="10"/>
  <c r="D5798" i="10"/>
  <c r="D5797" i="10"/>
  <c r="D5796" i="10"/>
  <c r="D5795" i="10"/>
  <c r="D5794" i="10"/>
  <c r="D5793" i="10"/>
  <c r="D5792" i="10"/>
  <c r="D5791" i="10"/>
  <c r="D5790" i="10"/>
  <c r="D5789" i="10"/>
  <c r="D5788" i="10"/>
  <c r="D5787" i="10"/>
  <c r="D5786" i="10"/>
  <c r="D5785" i="10"/>
  <c r="D5784" i="10"/>
  <c r="D5783" i="10"/>
  <c r="D5782" i="10"/>
  <c r="D5781" i="10"/>
  <c r="D5780" i="10"/>
  <c r="D5779" i="10"/>
  <c r="D5778" i="10"/>
  <c r="D5777" i="10"/>
  <c r="D5776" i="10"/>
  <c r="D5775" i="10"/>
  <c r="D5774" i="10"/>
  <c r="D5773" i="10"/>
  <c r="D5772" i="10"/>
  <c r="D5771" i="10"/>
  <c r="D5770" i="10"/>
  <c r="D5769" i="10"/>
  <c r="D5768" i="10"/>
  <c r="D5767" i="10"/>
  <c r="D5766" i="10"/>
  <c r="D5765" i="10"/>
  <c r="D5764" i="10"/>
  <c r="D5763" i="10"/>
  <c r="D5762" i="10"/>
  <c r="D5761" i="10"/>
  <c r="D5760" i="10"/>
  <c r="D5759" i="10"/>
  <c r="D5758" i="10"/>
  <c r="D5757" i="10"/>
  <c r="D5756" i="10"/>
  <c r="D5755" i="10"/>
  <c r="D5754" i="10"/>
  <c r="D5753" i="10"/>
  <c r="D5752" i="10"/>
  <c r="D5751" i="10"/>
  <c r="D5750" i="10"/>
  <c r="D5749" i="10"/>
  <c r="D5748" i="10"/>
  <c r="D5747" i="10"/>
  <c r="D5746" i="10"/>
  <c r="D5745" i="10"/>
  <c r="D5744" i="10"/>
  <c r="D5743" i="10"/>
  <c r="D5742" i="10"/>
  <c r="D5741" i="10"/>
  <c r="D5740" i="10"/>
  <c r="D5739" i="10"/>
  <c r="D5738" i="10"/>
  <c r="D5737" i="10"/>
  <c r="D5736" i="10"/>
  <c r="D5735" i="10"/>
  <c r="D5734" i="10"/>
  <c r="D5733" i="10"/>
  <c r="D5732" i="10"/>
  <c r="D5731" i="10"/>
  <c r="D5730" i="10"/>
  <c r="D5729" i="10"/>
  <c r="D5728" i="10"/>
  <c r="D5727" i="10"/>
  <c r="D5726" i="10"/>
  <c r="D5725" i="10"/>
  <c r="D5724" i="10"/>
  <c r="D5723" i="10"/>
  <c r="D5722" i="10"/>
  <c r="D5721" i="10"/>
  <c r="D5720" i="10"/>
  <c r="D5719" i="10"/>
  <c r="D5718" i="10"/>
  <c r="D5717" i="10"/>
  <c r="D5716" i="10"/>
  <c r="D5715" i="10"/>
  <c r="D5714" i="10"/>
  <c r="D5713" i="10"/>
  <c r="D5712" i="10"/>
  <c r="D5711" i="10"/>
  <c r="D5710" i="10"/>
  <c r="D5709" i="10"/>
  <c r="D5708" i="10"/>
  <c r="D5707" i="10"/>
  <c r="D5706" i="10"/>
  <c r="D5705" i="10"/>
  <c r="D5704" i="10"/>
  <c r="D5703" i="10"/>
  <c r="D5702" i="10"/>
  <c r="D5701" i="10"/>
  <c r="D5700" i="10"/>
  <c r="D5699" i="10"/>
  <c r="D5698" i="10"/>
  <c r="D5697" i="10"/>
  <c r="D5696" i="10"/>
  <c r="D5695" i="10"/>
  <c r="D5694" i="10"/>
  <c r="D5693" i="10"/>
  <c r="D5692" i="10"/>
  <c r="D5691" i="10"/>
  <c r="D5690" i="10"/>
  <c r="D5689" i="10"/>
  <c r="D5688" i="10"/>
  <c r="D5687" i="10"/>
  <c r="D5686" i="10"/>
  <c r="D5685" i="10"/>
  <c r="D5684" i="10"/>
  <c r="D5683" i="10"/>
  <c r="D5682" i="10"/>
  <c r="D5681" i="10"/>
  <c r="D5680" i="10"/>
  <c r="D5679" i="10"/>
  <c r="D5678" i="10"/>
  <c r="D5677" i="10"/>
  <c r="D5676" i="10"/>
  <c r="D5675" i="10"/>
  <c r="D5674" i="10"/>
  <c r="D5673" i="10"/>
  <c r="D5672" i="10"/>
  <c r="D5671" i="10"/>
  <c r="D5670" i="10"/>
  <c r="D5669" i="10"/>
  <c r="D5668" i="10"/>
  <c r="D5667" i="10"/>
  <c r="D5666" i="10"/>
  <c r="D5665" i="10"/>
  <c r="D5664" i="10"/>
  <c r="D5663" i="10"/>
  <c r="D5662" i="10"/>
  <c r="D5661" i="10"/>
  <c r="D5660" i="10"/>
  <c r="D5659" i="10"/>
  <c r="D5658" i="10"/>
  <c r="D5657" i="10"/>
  <c r="D5656" i="10"/>
  <c r="D5655" i="10"/>
  <c r="D5654" i="10"/>
  <c r="D5653" i="10"/>
  <c r="D5652" i="10"/>
  <c r="D5651" i="10"/>
  <c r="D5650" i="10"/>
  <c r="D5649" i="10"/>
  <c r="D5648" i="10"/>
  <c r="D5647" i="10"/>
  <c r="D5646" i="10"/>
  <c r="D5645" i="10"/>
  <c r="D5644" i="10"/>
  <c r="D5643" i="10"/>
  <c r="D5642" i="10"/>
  <c r="D5641" i="10"/>
  <c r="D5640" i="10"/>
  <c r="D5639" i="10"/>
  <c r="D5638" i="10"/>
  <c r="D5637" i="10"/>
  <c r="D5636" i="10"/>
  <c r="D5635" i="10"/>
  <c r="D5634" i="10"/>
  <c r="D5633" i="10"/>
  <c r="D5632" i="10"/>
  <c r="D5631" i="10"/>
  <c r="D5630" i="10"/>
  <c r="D5629" i="10"/>
  <c r="D5628" i="10"/>
  <c r="D5627" i="10"/>
  <c r="D5626" i="10"/>
  <c r="D5625" i="10"/>
  <c r="D5624" i="10"/>
  <c r="D5623" i="10"/>
  <c r="D5622" i="10"/>
  <c r="D5621" i="10"/>
  <c r="D5620" i="10"/>
  <c r="D5619" i="10"/>
  <c r="D5618" i="10"/>
  <c r="D5617" i="10"/>
  <c r="D5616" i="10"/>
  <c r="D5615" i="10"/>
  <c r="D5614" i="10"/>
  <c r="D5613" i="10"/>
  <c r="D5612" i="10"/>
  <c r="D5611" i="10"/>
  <c r="D5610" i="10"/>
  <c r="D5609" i="10"/>
  <c r="D5608" i="10"/>
  <c r="D5607" i="10"/>
  <c r="D5606" i="10"/>
  <c r="D5605" i="10"/>
  <c r="D5604" i="10"/>
  <c r="D5603" i="10"/>
  <c r="D5602" i="10"/>
  <c r="D5601" i="10"/>
  <c r="D5600" i="10"/>
  <c r="D5599" i="10"/>
  <c r="D5598" i="10"/>
  <c r="D5597" i="10"/>
  <c r="D5596" i="10"/>
  <c r="D5595" i="10"/>
  <c r="D5594" i="10"/>
  <c r="D5593" i="10"/>
  <c r="D5592" i="10"/>
  <c r="D5591" i="10"/>
  <c r="D5590" i="10"/>
  <c r="D5589" i="10"/>
  <c r="D5588" i="10"/>
  <c r="D5587" i="10"/>
  <c r="D5586" i="10"/>
  <c r="D5585" i="10"/>
  <c r="D5584" i="10"/>
  <c r="D5583" i="10"/>
  <c r="D5582" i="10"/>
  <c r="D5581" i="10"/>
  <c r="D5580" i="10"/>
  <c r="D5579" i="10"/>
  <c r="D5578" i="10"/>
  <c r="D5577" i="10"/>
  <c r="D5576" i="10"/>
  <c r="D5575" i="10"/>
  <c r="D5574" i="10"/>
  <c r="D5573" i="10"/>
  <c r="D5572" i="10"/>
  <c r="D5571" i="10"/>
  <c r="D5570" i="10"/>
  <c r="D5569" i="10"/>
  <c r="D5568" i="10"/>
  <c r="D5567" i="10"/>
  <c r="D5566" i="10"/>
  <c r="D5565" i="10"/>
  <c r="D5564" i="10"/>
  <c r="D5563" i="10"/>
  <c r="D5562" i="10"/>
  <c r="D5561" i="10"/>
  <c r="D5560" i="10"/>
  <c r="D5559" i="10"/>
  <c r="D5558" i="10"/>
  <c r="D5557" i="10"/>
  <c r="D5556" i="10"/>
  <c r="D5555" i="10"/>
  <c r="D5554" i="10"/>
  <c r="D5553" i="10"/>
  <c r="D5552" i="10"/>
  <c r="D5551" i="10"/>
  <c r="D5550" i="10"/>
  <c r="D5549" i="10"/>
  <c r="D5548" i="10"/>
  <c r="D5547" i="10"/>
  <c r="D5546" i="10"/>
  <c r="D5545" i="10"/>
  <c r="D5544" i="10"/>
  <c r="D5543" i="10"/>
  <c r="D5542" i="10"/>
  <c r="D5541" i="10"/>
  <c r="D5540" i="10"/>
  <c r="D5539" i="10"/>
  <c r="D5538" i="10"/>
  <c r="D5537" i="10"/>
  <c r="D5536" i="10"/>
  <c r="D5535" i="10"/>
  <c r="D5534" i="10"/>
  <c r="D5533" i="10"/>
  <c r="D5532" i="10"/>
  <c r="D5531" i="10"/>
  <c r="D5530" i="10"/>
  <c r="D5529" i="10"/>
  <c r="D5528" i="10"/>
  <c r="D5527" i="10"/>
  <c r="D5526" i="10"/>
  <c r="D5525" i="10"/>
  <c r="D5524" i="10"/>
  <c r="D5523" i="10"/>
  <c r="D5522" i="10"/>
  <c r="D5521" i="10"/>
  <c r="D5520" i="10"/>
  <c r="D5519" i="10"/>
  <c r="D5518" i="10"/>
  <c r="D5517" i="10"/>
  <c r="D5516" i="10"/>
  <c r="D5515" i="10"/>
  <c r="D5514" i="10"/>
  <c r="D5513" i="10"/>
  <c r="D5512" i="10"/>
  <c r="D5511" i="10"/>
  <c r="D5510" i="10"/>
  <c r="D5509" i="10"/>
  <c r="D5508" i="10"/>
  <c r="D5507" i="10"/>
  <c r="D5506" i="10"/>
  <c r="D5505" i="10"/>
  <c r="D5504" i="10"/>
  <c r="D5503" i="10"/>
  <c r="D5502" i="10"/>
  <c r="D5501" i="10"/>
  <c r="D5500" i="10"/>
  <c r="D5499" i="10"/>
  <c r="D5498" i="10"/>
  <c r="D5497" i="10"/>
  <c r="D5496" i="10"/>
  <c r="D5495" i="10"/>
  <c r="D5494" i="10"/>
  <c r="D5493" i="10"/>
  <c r="D5492" i="10"/>
  <c r="D5491" i="10"/>
  <c r="D5490" i="10"/>
  <c r="D5489" i="10"/>
  <c r="D5488" i="10"/>
  <c r="D5487" i="10"/>
  <c r="D5486" i="10"/>
  <c r="D5485" i="10"/>
  <c r="D5484" i="10"/>
  <c r="D5483" i="10"/>
  <c r="D5482" i="10"/>
  <c r="D5481" i="10"/>
  <c r="D5480" i="10"/>
  <c r="D5479" i="10"/>
  <c r="D5478" i="10"/>
  <c r="D5477" i="10"/>
  <c r="D5476" i="10"/>
  <c r="D5475" i="10"/>
  <c r="D5474" i="10"/>
  <c r="D5473" i="10"/>
  <c r="D5472" i="10"/>
  <c r="D5471" i="10"/>
  <c r="D5470" i="10"/>
  <c r="D5469" i="10"/>
  <c r="D5468" i="10"/>
  <c r="D5467" i="10"/>
  <c r="D5466" i="10"/>
  <c r="D5465" i="10"/>
  <c r="D5464" i="10"/>
  <c r="D5463" i="10"/>
  <c r="D5462" i="10"/>
  <c r="D5461" i="10"/>
  <c r="D5460" i="10"/>
  <c r="D5459" i="10"/>
  <c r="D5458" i="10"/>
  <c r="D5457" i="10"/>
  <c r="D5456" i="10"/>
  <c r="D5455" i="10"/>
  <c r="D5454" i="10"/>
  <c r="D5453" i="10"/>
  <c r="D5452" i="10"/>
  <c r="D5451" i="10"/>
  <c r="D5450" i="10"/>
  <c r="D5449" i="10"/>
  <c r="D5448" i="10"/>
  <c r="D5447" i="10"/>
  <c r="D5446" i="10"/>
  <c r="D5445" i="10"/>
  <c r="D5444" i="10"/>
  <c r="D5443" i="10"/>
  <c r="D5442" i="10"/>
  <c r="D5441" i="10"/>
  <c r="D5440" i="10"/>
  <c r="D5439" i="10"/>
  <c r="D5438" i="10"/>
  <c r="D5437" i="10"/>
  <c r="D5436" i="10"/>
  <c r="D5435" i="10"/>
  <c r="D5434" i="10"/>
  <c r="D5433" i="10"/>
  <c r="D5432" i="10"/>
  <c r="D5431" i="10"/>
  <c r="D5430" i="10"/>
  <c r="D5429" i="10"/>
  <c r="D5428" i="10"/>
  <c r="D5427" i="10"/>
  <c r="D5426" i="10"/>
  <c r="D5425" i="10"/>
  <c r="D5424" i="10"/>
  <c r="D5423" i="10"/>
  <c r="D5422" i="10"/>
  <c r="D5421" i="10"/>
  <c r="D5420" i="10"/>
  <c r="D5419" i="10"/>
  <c r="D5418" i="10"/>
  <c r="D5417" i="10"/>
  <c r="D5416" i="10"/>
  <c r="D5415" i="10"/>
  <c r="D5414" i="10"/>
  <c r="D5413" i="10"/>
  <c r="D5412" i="10"/>
  <c r="D5411" i="10"/>
  <c r="D5410" i="10"/>
  <c r="D5409" i="10"/>
  <c r="D5408" i="10"/>
  <c r="D5407" i="10"/>
  <c r="D5406" i="10"/>
  <c r="D5405" i="10"/>
  <c r="D5404" i="10"/>
  <c r="D5403" i="10"/>
  <c r="D5402" i="10"/>
  <c r="D5401" i="10"/>
  <c r="D5400" i="10"/>
  <c r="D5399" i="10"/>
  <c r="D5398" i="10"/>
  <c r="D5397" i="10"/>
  <c r="D5396" i="10"/>
  <c r="D5395" i="10"/>
  <c r="D5394" i="10"/>
  <c r="D5393" i="10"/>
  <c r="D5392" i="10"/>
  <c r="D5391" i="10"/>
  <c r="D5390" i="10"/>
  <c r="D5389" i="10"/>
  <c r="D5388" i="10"/>
  <c r="D5387" i="10"/>
  <c r="D5386" i="10"/>
  <c r="D5385" i="10"/>
  <c r="D5384" i="10"/>
  <c r="D5383" i="10"/>
  <c r="D5382" i="10"/>
  <c r="D5381" i="10"/>
  <c r="D5380" i="10"/>
  <c r="D5379" i="10"/>
  <c r="D5378" i="10"/>
  <c r="D5377" i="10"/>
  <c r="D5376" i="10"/>
  <c r="D5375" i="10"/>
  <c r="D5374" i="10"/>
  <c r="D5373" i="10"/>
  <c r="D5372" i="10"/>
  <c r="D5371" i="10"/>
  <c r="D5370" i="10"/>
  <c r="D5369" i="10"/>
  <c r="D5368" i="10"/>
  <c r="D5367" i="10"/>
  <c r="D5366" i="10"/>
  <c r="D5365" i="10"/>
  <c r="D5364" i="10"/>
  <c r="D5363" i="10"/>
  <c r="D5362" i="10"/>
  <c r="D5361" i="10"/>
  <c r="D5360" i="10"/>
  <c r="D5359" i="10"/>
  <c r="D5358" i="10"/>
  <c r="D5357" i="10"/>
  <c r="D5356" i="10"/>
  <c r="D5355" i="10"/>
  <c r="D5354" i="10"/>
  <c r="D5353" i="10"/>
  <c r="D5352" i="10"/>
  <c r="D5351" i="10"/>
  <c r="D5350" i="10"/>
  <c r="D5349" i="10"/>
  <c r="D5348" i="10"/>
  <c r="D5347" i="10"/>
  <c r="D5346" i="10"/>
  <c r="D5345" i="10"/>
  <c r="D5344" i="10"/>
  <c r="D5343" i="10"/>
  <c r="D5342" i="10"/>
  <c r="D5341" i="10"/>
  <c r="D5340" i="10"/>
  <c r="D5339" i="10"/>
  <c r="D5338" i="10"/>
  <c r="D5337" i="10"/>
  <c r="D5336" i="10"/>
  <c r="D5335" i="10"/>
  <c r="D5334" i="10"/>
  <c r="D5333" i="10"/>
  <c r="D5332" i="10"/>
  <c r="D5331" i="10"/>
  <c r="D5330" i="10"/>
  <c r="D5329" i="10"/>
  <c r="D5328" i="10"/>
  <c r="D5327" i="10"/>
  <c r="D5326" i="10"/>
  <c r="D5325" i="10"/>
  <c r="D5324" i="10"/>
  <c r="D5323" i="10"/>
  <c r="D5322" i="10"/>
  <c r="D5321" i="10"/>
  <c r="D5320" i="10"/>
  <c r="D5319" i="10"/>
  <c r="D5318" i="10"/>
  <c r="D5317" i="10"/>
  <c r="D5316" i="10"/>
  <c r="D5315" i="10"/>
  <c r="D5314" i="10"/>
  <c r="D5313" i="10"/>
  <c r="D5312" i="10"/>
  <c r="D5311" i="10"/>
  <c r="D5310" i="10"/>
  <c r="D5309" i="10"/>
  <c r="D5308" i="10"/>
  <c r="D5307" i="10"/>
  <c r="D5306" i="10"/>
  <c r="D5305" i="10"/>
  <c r="D5304" i="10"/>
  <c r="D5303" i="10"/>
  <c r="D5302" i="10"/>
  <c r="D5301" i="10"/>
  <c r="D5300" i="10"/>
  <c r="D5299" i="10"/>
  <c r="D5298" i="10"/>
  <c r="D5297" i="10"/>
  <c r="D5296" i="10"/>
  <c r="D5295" i="10"/>
  <c r="D5294" i="10"/>
  <c r="D5293" i="10"/>
  <c r="D5292" i="10"/>
  <c r="D5291" i="10"/>
  <c r="D5290" i="10"/>
  <c r="D5289" i="10"/>
  <c r="D5288" i="10"/>
  <c r="D5287" i="10"/>
  <c r="D5286" i="10"/>
  <c r="D5285" i="10"/>
  <c r="D5284" i="10"/>
  <c r="D5283" i="10"/>
  <c r="D5282" i="10"/>
  <c r="D5281" i="10"/>
  <c r="D5280" i="10"/>
  <c r="D5279" i="10"/>
  <c r="D5278" i="10"/>
  <c r="D5277" i="10"/>
  <c r="D5276" i="10"/>
  <c r="D5275" i="10"/>
  <c r="D5274" i="10"/>
  <c r="D5273" i="10"/>
  <c r="D5272" i="10"/>
  <c r="D5271" i="10"/>
  <c r="D5270" i="10"/>
  <c r="D5269" i="10"/>
  <c r="D5268" i="10"/>
  <c r="D5267" i="10"/>
  <c r="D5266" i="10"/>
  <c r="D5265" i="10"/>
  <c r="D5264" i="10"/>
  <c r="D5263" i="10"/>
  <c r="D5262" i="10"/>
  <c r="D5261" i="10"/>
  <c r="D5260" i="10"/>
  <c r="D5259" i="10"/>
  <c r="D5258" i="10"/>
  <c r="D5257" i="10"/>
  <c r="D5256" i="10"/>
  <c r="D5255" i="10"/>
  <c r="D5254" i="10"/>
  <c r="D5253" i="10"/>
  <c r="D5252" i="10"/>
  <c r="D5251" i="10"/>
  <c r="D5250" i="10"/>
  <c r="D5249" i="10"/>
  <c r="D5248" i="10"/>
  <c r="D5247" i="10"/>
  <c r="D5246" i="10"/>
  <c r="D5245" i="10"/>
  <c r="D5244" i="10"/>
  <c r="D5243" i="10"/>
  <c r="D5242" i="10"/>
  <c r="D5241" i="10"/>
  <c r="D5240" i="10"/>
  <c r="D5239" i="10"/>
  <c r="D5238" i="10"/>
  <c r="D5237" i="10"/>
  <c r="D5236" i="10"/>
  <c r="D5235" i="10"/>
  <c r="D5234" i="10"/>
  <c r="D5233" i="10"/>
  <c r="D5232" i="10"/>
  <c r="D5231" i="10"/>
  <c r="D5230" i="10"/>
  <c r="D5229" i="10"/>
  <c r="D5228" i="10"/>
  <c r="D5227" i="10"/>
  <c r="D5226" i="10"/>
  <c r="D5225" i="10"/>
  <c r="D5224" i="10"/>
  <c r="D5223" i="10"/>
  <c r="D5222" i="10"/>
  <c r="D5221" i="10"/>
  <c r="D5220" i="10"/>
  <c r="D5219" i="10"/>
  <c r="D5218" i="10"/>
  <c r="D5217" i="10"/>
  <c r="D5216" i="10"/>
  <c r="D5215" i="10"/>
  <c r="D5214" i="10"/>
  <c r="D5213" i="10"/>
  <c r="D5212" i="10"/>
  <c r="D5211" i="10"/>
  <c r="D5210" i="10"/>
  <c r="D5209" i="10"/>
  <c r="D5208" i="10"/>
  <c r="D5207" i="10"/>
  <c r="D5206" i="10"/>
  <c r="D5205" i="10"/>
  <c r="D5204" i="10"/>
  <c r="D5203" i="10"/>
  <c r="D5202" i="10"/>
  <c r="D5201" i="10"/>
  <c r="D5200" i="10"/>
  <c r="D5199" i="10"/>
  <c r="D5198" i="10"/>
  <c r="D5197" i="10"/>
  <c r="D5196" i="10"/>
  <c r="D5195" i="10"/>
  <c r="D5194" i="10"/>
  <c r="D5193" i="10"/>
  <c r="D5192" i="10"/>
  <c r="D5191" i="10"/>
  <c r="D5190" i="10"/>
  <c r="D5189" i="10"/>
  <c r="D5188" i="10"/>
  <c r="D5187" i="10"/>
  <c r="D5186" i="10"/>
  <c r="D5185" i="10"/>
  <c r="D5184" i="10"/>
  <c r="D5183" i="10"/>
  <c r="D5182" i="10"/>
  <c r="D5181" i="10"/>
  <c r="D5180" i="10"/>
  <c r="D5179" i="10"/>
  <c r="D5178" i="10"/>
  <c r="D5177" i="10"/>
  <c r="D5176" i="10"/>
  <c r="D5175" i="10"/>
  <c r="D5174" i="10"/>
  <c r="D5173" i="10"/>
  <c r="D5172" i="10"/>
  <c r="D5171" i="10"/>
  <c r="D5170" i="10"/>
  <c r="D5169" i="10"/>
  <c r="D5168" i="10"/>
  <c r="D5167" i="10"/>
  <c r="D5166" i="10"/>
  <c r="D5165" i="10"/>
  <c r="D5164" i="10"/>
  <c r="D5163" i="10"/>
  <c r="D5162" i="10"/>
  <c r="D5161" i="10"/>
  <c r="D5160" i="10"/>
  <c r="D5159" i="10"/>
  <c r="D5158" i="10"/>
  <c r="D5157" i="10"/>
  <c r="D5156" i="10"/>
  <c r="D5155" i="10"/>
  <c r="D5154" i="10"/>
  <c r="D5153" i="10"/>
  <c r="D5152" i="10"/>
  <c r="D5151" i="10"/>
  <c r="D5150" i="10"/>
  <c r="D5149" i="10"/>
  <c r="D5148" i="10"/>
  <c r="D5147" i="10"/>
  <c r="D5146" i="10"/>
  <c r="D5145" i="10"/>
  <c r="D5144" i="10"/>
  <c r="D5143" i="10"/>
  <c r="D5142" i="10"/>
  <c r="D5141" i="10"/>
  <c r="D5140" i="10"/>
  <c r="D5139" i="10"/>
  <c r="D5138" i="10"/>
  <c r="D5137" i="10"/>
  <c r="D5136" i="10"/>
  <c r="D5135" i="10"/>
  <c r="D5134" i="10"/>
  <c r="D5133" i="10"/>
  <c r="D5132" i="10"/>
  <c r="D5131" i="10"/>
  <c r="D5130" i="10"/>
  <c r="D5129" i="10"/>
  <c r="D5128" i="10"/>
  <c r="D5127" i="10"/>
  <c r="D5126" i="10"/>
  <c r="D5125" i="10"/>
  <c r="D5124" i="10"/>
  <c r="D5123" i="10"/>
  <c r="D5122" i="10"/>
  <c r="D5121" i="10"/>
  <c r="D5120" i="10"/>
  <c r="D5119" i="10"/>
  <c r="D5118" i="10"/>
  <c r="D5117" i="10"/>
  <c r="D5116" i="10"/>
  <c r="D5115" i="10"/>
  <c r="D5114" i="10"/>
  <c r="D5113" i="10"/>
  <c r="D5112" i="10"/>
  <c r="D5111" i="10"/>
  <c r="D5110" i="10"/>
  <c r="D5109" i="10"/>
  <c r="D5108" i="10"/>
  <c r="D5107" i="10"/>
  <c r="D5106" i="10"/>
  <c r="D5105" i="10"/>
  <c r="D5104" i="10"/>
  <c r="D5103" i="10"/>
  <c r="D5102" i="10"/>
  <c r="D5101" i="10"/>
  <c r="D5100" i="10"/>
  <c r="D5099" i="10"/>
  <c r="D5098" i="10"/>
  <c r="D5097" i="10"/>
  <c r="D5096" i="10"/>
  <c r="D5095" i="10"/>
  <c r="D5094" i="10"/>
  <c r="D5093" i="10"/>
  <c r="D5092" i="10"/>
  <c r="D5091" i="10"/>
  <c r="D5090" i="10"/>
  <c r="D5089" i="10"/>
  <c r="D5088" i="10"/>
  <c r="D5087" i="10"/>
  <c r="D5086" i="10"/>
  <c r="D5085" i="10"/>
  <c r="D5084" i="10"/>
  <c r="D5083" i="10"/>
  <c r="D5082" i="10"/>
  <c r="D5081" i="10"/>
  <c r="D5080" i="10"/>
  <c r="D5079" i="10"/>
  <c r="D5078" i="10"/>
  <c r="D5077" i="10"/>
  <c r="D5076" i="10"/>
  <c r="D5075" i="10"/>
  <c r="D5074" i="10"/>
  <c r="D5073" i="10"/>
  <c r="D5072" i="10"/>
  <c r="D5071" i="10"/>
  <c r="D5070" i="10"/>
  <c r="D5069" i="10"/>
  <c r="D5068" i="10"/>
  <c r="D5067" i="10"/>
  <c r="D5066" i="10"/>
  <c r="D5065" i="10"/>
  <c r="D5064" i="10"/>
  <c r="D5063" i="10"/>
  <c r="D5062" i="10"/>
  <c r="D5061" i="10"/>
  <c r="D5060" i="10"/>
  <c r="D5059" i="10"/>
  <c r="D5058" i="10"/>
  <c r="D5057" i="10"/>
  <c r="D5056" i="10"/>
  <c r="D5055" i="10"/>
  <c r="D5054" i="10"/>
  <c r="D5053" i="10"/>
  <c r="D5052" i="10"/>
  <c r="D5051" i="10"/>
  <c r="D5050" i="10"/>
  <c r="D5049" i="10"/>
  <c r="D5048" i="10"/>
  <c r="D5047" i="10"/>
  <c r="D5046" i="10"/>
  <c r="D5045" i="10"/>
  <c r="D5044" i="10"/>
  <c r="D5043" i="10"/>
  <c r="D5042" i="10"/>
  <c r="D5041" i="10"/>
  <c r="D5040" i="10"/>
  <c r="D5039" i="10"/>
  <c r="D5038" i="10"/>
  <c r="D5037" i="10"/>
  <c r="D5036" i="10"/>
  <c r="D5035" i="10"/>
  <c r="D5034" i="10"/>
  <c r="D5033" i="10"/>
  <c r="D5032" i="10"/>
  <c r="D5031" i="10"/>
  <c r="D5030" i="10"/>
  <c r="D5029" i="10"/>
  <c r="D5028" i="10"/>
  <c r="D5027" i="10"/>
  <c r="D5026" i="10"/>
  <c r="D5025" i="10"/>
  <c r="D5024" i="10"/>
  <c r="D5023" i="10"/>
  <c r="D5022" i="10"/>
  <c r="D5021" i="10"/>
  <c r="D5020" i="10"/>
  <c r="D5019" i="10"/>
  <c r="D5018" i="10"/>
  <c r="D5017" i="10"/>
  <c r="D5016" i="10"/>
  <c r="D5015" i="10"/>
  <c r="D5014" i="10"/>
  <c r="D5013" i="10"/>
  <c r="D5012" i="10"/>
  <c r="D5011" i="10"/>
  <c r="D5010" i="10"/>
  <c r="D5009" i="10"/>
  <c r="D5008" i="10"/>
  <c r="D5007" i="10"/>
  <c r="D5006" i="10"/>
  <c r="D5005" i="10"/>
  <c r="D5004" i="10"/>
  <c r="D5003" i="10"/>
  <c r="D5002" i="10"/>
  <c r="D5001" i="10"/>
  <c r="D5000" i="10"/>
  <c r="D4999" i="10"/>
  <c r="D4998" i="10"/>
  <c r="D4997" i="10"/>
  <c r="D4996" i="10"/>
  <c r="D4995" i="10"/>
  <c r="D4994" i="10"/>
  <c r="D4993" i="10"/>
  <c r="D4992" i="10"/>
  <c r="D4991" i="10"/>
  <c r="D4990" i="10"/>
  <c r="D4989" i="10"/>
  <c r="D4988" i="10"/>
  <c r="D4987" i="10"/>
  <c r="D4986" i="10"/>
  <c r="D4985" i="10"/>
  <c r="D4984" i="10"/>
  <c r="D4983" i="10"/>
  <c r="D4982" i="10"/>
  <c r="D4981" i="10"/>
  <c r="D4980" i="10"/>
  <c r="D4979" i="10"/>
  <c r="D4978" i="10"/>
  <c r="D4977" i="10"/>
  <c r="D4976" i="10"/>
  <c r="D4975" i="10"/>
  <c r="D4974" i="10"/>
  <c r="D4973" i="10"/>
  <c r="D4972" i="10"/>
  <c r="D4971" i="10"/>
  <c r="D4970" i="10"/>
  <c r="D4969" i="10"/>
  <c r="D4968" i="10"/>
  <c r="D4967" i="10"/>
  <c r="D4966" i="10"/>
  <c r="D4965" i="10"/>
  <c r="D4964" i="10"/>
  <c r="D4963" i="10"/>
  <c r="D4962" i="10"/>
  <c r="D4961" i="10"/>
  <c r="D4960" i="10"/>
  <c r="D4959" i="10"/>
  <c r="D4958" i="10"/>
  <c r="D4957" i="10"/>
  <c r="D4956" i="10"/>
  <c r="D4955" i="10"/>
  <c r="D4954" i="10"/>
  <c r="D4953" i="10"/>
  <c r="D4952" i="10"/>
  <c r="D4951" i="10"/>
  <c r="D4950" i="10"/>
  <c r="D4949" i="10"/>
  <c r="D4948" i="10"/>
  <c r="D4947" i="10"/>
  <c r="D4946" i="10"/>
  <c r="D4945" i="10"/>
  <c r="D4944" i="10"/>
  <c r="D4943" i="10"/>
  <c r="D4942" i="10"/>
  <c r="D4941" i="10"/>
  <c r="D4940" i="10"/>
  <c r="D4939" i="10"/>
  <c r="D4938" i="10"/>
  <c r="D4937" i="10"/>
  <c r="D4936" i="10"/>
  <c r="D4935" i="10"/>
  <c r="D4934" i="10"/>
  <c r="D4933" i="10"/>
  <c r="D4932" i="10"/>
  <c r="D4931" i="10"/>
  <c r="D4930" i="10"/>
  <c r="D4929" i="10"/>
  <c r="D4928" i="10"/>
  <c r="D4927" i="10"/>
  <c r="D4926" i="10"/>
  <c r="D4925" i="10"/>
  <c r="D4924" i="10"/>
  <c r="D4923" i="10"/>
  <c r="D4922" i="10"/>
  <c r="D4921" i="10"/>
  <c r="D4920" i="10"/>
  <c r="D4919" i="10"/>
  <c r="D4918" i="10"/>
  <c r="D4917" i="10"/>
  <c r="D4916" i="10"/>
  <c r="D4915" i="10"/>
  <c r="D4914" i="10"/>
  <c r="D4913" i="10"/>
  <c r="D4912" i="10"/>
  <c r="D4911" i="10"/>
  <c r="D4910" i="10"/>
  <c r="D4909" i="10"/>
  <c r="D4908" i="10"/>
  <c r="D4907" i="10"/>
  <c r="D4906" i="10"/>
  <c r="D4905" i="10"/>
  <c r="D4904" i="10"/>
  <c r="D4903" i="10"/>
  <c r="D4902" i="10"/>
  <c r="D4901" i="10"/>
  <c r="D4900" i="10"/>
  <c r="D4899" i="10"/>
  <c r="D4898" i="10"/>
  <c r="D4897" i="10"/>
  <c r="D4896" i="10"/>
  <c r="D4895" i="10"/>
  <c r="D4894" i="10"/>
  <c r="D4893" i="10"/>
  <c r="D4892" i="10"/>
  <c r="D4891" i="10"/>
  <c r="D4890" i="10"/>
  <c r="D4889" i="10"/>
  <c r="D4888" i="10"/>
  <c r="D4887" i="10"/>
  <c r="D4886" i="10"/>
  <c r="D4885" i="10"/>
  <c r="D4884" i="10"/>
  <c r="D4883" i="10"/>
  <c r="D4882" i="10"/>
  <c r="D4881" i="10"/>
  <c r="D4880" i="10"/>
  <c r="D4879" i="10"/>
  <c r="D4878" i="10"/>
  <c r="D4877" i="10"/>
  <c r="D4876" i="10"/>
  <c r="D4875" i="10"/>
  <c r="D4874" i="10"/>
  <c r="D4873" i="10"/>
  <c r="D4872" i="10"/>
  <c r="D4871" i="10"/>
  <c r="D4870" i="10"/>
  <c r="D4869" i="10"/>
  <c r="D4868" i="10"/>
  <c r="D4867" i="10"/>
  <c r="D4866" i="10"/>
  <c r="D4865" i="10"/>
  <c r="D4864" i="10"/>
  <c r="D4863" i="10"/>
  <c r="D4862" i="10"/>
  <c r="D4861" i="10"/>
  <c r="D4860" i="10"/>
  <c r="D4859" i="10"/>
  <c r="D4858" i="10"/>
  <c r="D4857" i="10"/>
  <c r="D4856" i="10"/>
  <c r="D4855" i="10"/>
  <c r="D4854" i="10"/>
  <c r="D4853" i="10"/>
  <c r="D4852" i="10"/>
  <c r="D4851" i="10"/>
  <c r="D4850" i="10"/>
  <c r="D4849" i="10"/>
  <c r="D4848" i="10"/>
  <c r="D4847" i="10"/>
  <c r="D4846" i="10"/>
  <c r="D4845" i="10"/>
  <c r="D4844" i="10"/>
  <c r="D4843" i="10"/>
  <c r="D4842" i="10"/>
  <c r="D4841" i="10"/>
  <c r="D4840" i="10"/>
  <c r="D4839" i="10"/>
  <c r="D4838" i="10"/>
  <c r="D4837" i="10"/>
  <c r="D4836" i="10"/>
  <c r="D4835" i="10"/>
  <c r="D4834" i="10"/>
  <c r="D4833" i="10"/>
  <c r="D4832" i="10"/>
  <c r="D4831" i="10"/>
  <c r="D4830" i="10"/>
  <c r="D4829" i="10"/>
  <c r="D4828" i="10"/>
  <c r="D4827" i="10"/>
  <c r="D4826" i="10"/>
  <c r="D4825" i="10"/>
  <c r="D4824" i="10"/>
  <c r="D4823" i="10"/>
  <c r="D4822" i="10"/>
  <c r="D4821" i="10"/>
  <c r="D4820" i="10"/>
  <c r="D4819" i="10"/>
  <c r="D4818" i="10"/>
  <c r="D4817" i="10"/>
  <c r="D4816" i="10"/>
  <c r="D4815" i="10"/>
  <c r="D4814" i="10"/>
  <c r="D4813" i="10"/>
  <c r="D4812" i="10"/>
  <c r="D4811" i="10"/>
  <c r="D4810" i="10"/>
  <c r="D4809" i="10"/>
  <c r="D4808" i="10"/>
  <c r="D4807" i="10"/>
  <c r="D4806" i="10"/>
  <c r="D4805" i="10"/>
  <c r="D4804" i="10"/>
  <c r="D4803" i="10"/>
  <c r="D4802" i="10"/>
  <c r="D4801" i="10"/>
  <c r="D4800" i="10"/>
  <c r="D4799" i="10"/>
  <c r="D4798" i="10"/>
  <c r="D4797" i="10"/>
  <c r="D4796" i="10"/>
  <c r="D4795" i="10"/>
  <c r="D4794" i="10"/>
  <c r="D4793" i="10"/>
  <c r="D4792" i="10"/>
  <c r="D4791" i="10"/>
  <c r="D4790" i="10"/>
  <c r="D4789" i="10"/>
  <c r="D4788" i="10"/>
  <c r="D4787" i="10"/>
  <c r="D4786" i="10"/>
  <c r="D4785" i="10"/>
  <c r="D4784" i="10"/>
  <c r="D4783" i="10"/>
  <c r="D4782" i="10"/>
  <c r="D4781" i="10"/>
  <c r="D4780" i="10"/>
  <c r="D4779" i="10"/>
  <c r="D4778" i="10"/>
  <c r="D4777" i="10"/>
  <c r="D4776" i="10"/>
  <c r="D4775" i="10"/>
  <c r="D4774" i="10"/>
  <c r="D4773" i="10"/>
  <c r="D4772" i="10"/>
  <c r="D4771" i="10"/>
  <c r="D4770" i="10"/>
  <c r="D4769" i="10"/>
  <c r="D4768" i="10"/>
  <c r="D4767" i="10"/>
  <c r="D4766" i="10"/>
  <c r="D4765" i="10"/>
  <c r="D4764" i="10"/>
  <c r="D4763" i="10"/>
  <c r="D4762" i="10"/>
  <c r="D4761" i="10"/>
  <c r="D4760" i="10"/>
  <c r="D4759" i="10"/>
  <c r="D4758" i="10"/>
  <c r="D4757" i="10"/>
  <c r="D4756" i="10"/>
  <c r="D4755" i="10"/>
  <c r="D4754" i="10"/>
  <c r="D4753" i="10"/>
  <c r="D4752" i="10"/>
  <c r="D4751" i="10"/>
  <c r="D4750" i="10"/>
  <c r="D4749" i="10"/>
  <c r="D4748" i="10"/>
  <c r="D4747" i="10"/>
  <c r="D4746" i="10"/>
  <c r="D4745" i="10"/>
  <c r="D4744" i="10"/>
  <c r="D4743" i="10"/>
  <c r="D4742" i="10"/>
  <c r="D4741" i="10"/>
  <c r="D4740" i="10"/>
  <c r="D4739" i="10"/>
  <c r="D4738" i="10"/>
  <c r="D4737" i="10"/>
  <c r="D4736" i="10"/>
  <c r="D4735" i="10"/>
  <c r="D4734" i="10"/>
  <c r="D4733" i="10"/>
  <c r="D4732" i="10"/>
  <c r="D4731" i="10"/>
  <c r="D4730" i="10"/>
  <c r="D4729" i="10"/>
  <c r="D4728" i="10"/>
  <c r="D4727" i="10"/>
  <c r="D4726" i="10"/>
  <c r="D4725" i="10"/>
  <c r="D4724" i="10"/>
  <c r="D4723" i="10"/>
  <c r="D4722" i="10"/>
  <c r="D4721" i="10"/>
  <c r="D4720" i="10"/>
  <c r="D4719" i="10"/>
  <c r="D4718" i="10"/>
  <c r="D4717" i="10"/>
  <c r="D4716" i="10"/>
  <c r="D4715" i="10"/>
  <c r="D4714" i="10"/>
  <c r="D4713" i="10"/>
  <c r="D4712" i="10"/>
  <c r="D4711" i="10"/>
  <c r="D4710" i="10"/>
  <c r="D4709" i="10"/>
  <c r="D4708" i="10"/>
  <c r="D4707" i="10"/>
  <c r="D4706" i="10"/>
  <c r="D4705" i="10"/>
  <c r="D4704" i="10"/>
  <c r="D4703" i="10"/>
  <c r="D4702" i="10"/>
  <c r="D4701" i="10"/>
  <c r="D4700" i="10"/>
  <c r="D4699" i="10"/>
  <c r="D4698" i="10"/>
  <c r="D4697" i="10"/>
  <c r="D4696" i="10"/>
  <c r="D4695" i="10"/>
  <c r="D4694" i="10"/>
  <c r="D4693" i="10"/>
  <c r="D4692" i="10"/>
  <c r="D4691" i="10"/>
  <c r="D4690" i="10"/>
  <c r="D4689" i="10"/>
  <c r="D4688" i="10"/>
  <c r="D4687" i="10"/>
  <c r="D4686" i="10"/>
  <c r="D4685" i="10"/>
  <c r="D4684" i="10"/>
  <c r="D4683" i="10"/>
  <c r="D4682" i="10"/>
  <c r="D4681" i="10"/>
  <c r="D4680" i="10"/>
  <c r="D4679" i="10"/>
  <c r="D4678" i="10"/>
  <c r="D4677" i="10"/>
  <c r="D4676" i="10"/>
  <c r="D4675" i="10"/>
  <c r="D4674" i="10"/>
  <c r="D4673" i="10"/>
  <c r="D4672" i="10"/>
  <c r="D4671" i="10"/>
  <c r="D4670" i="10"/>
  <c r="D4669" i="10"/>
  <c r="D4668" i="10"/>
  <c r="D4667" i="10"/>
  <c r="D4666" i="10"/>
  <c r="D4665" i="10"/>
  <c r="D4664" i="10"/>
  <c r="D4663" i="10"/>
  <c r="D4662" i="10"/>
  <c r="D4661" i="10"/>
  <c r="D4660" i="10"/>
  <c r="D4659" i="10"/>
  <c r="D4658" i="10"/>
  <c r="D4657" i="10"/>
  <c r="D4656" i="10"/>
  <c r="D4655" i="10"/>
  <c r="D4654" i="10"/>
  <c r="D4653" i="10"/>
  <c r="D4652" i="10"/>
  <c r="D4651" i="10"/>
  <c r="D4650" i="10"/>
  <c r="D4649" i="10"/>
  <c r="D4648" i="10"/>
  <c r="D4647" i="10"/>
  <c r="D4646" i="10"/>
  <c r="D4645" i="10"/>
  <c r="D4644" i="10"/>
  <c r="D4643" i="10"/>
  <c r="D4642" i="10"/>
  <c r="D4641" i="10"/>
  <c r="D4640" i="10"/>
  <c r="D4639" i="10"/>
  <c r="D4638" i="10"/>
  <c r="D4637" i="10"/>
  <c r="D4636" i="10"/>
  <c r="D4635" i="10"/>
  <c r="D4634" i="10"/>
  <c r="D4633" i="10"/>
  <c r="D4632" i="10"/>
  <c r="D4631" i="10"/>
  <c r="D4630" i="10"/>
  <c r="D4629" i="10"/>
  <c r="D4628" i="10"/>
  <c r="D4627" i="10"/>
  <c r="D4626" i="10"/>
  <c r="D4625" i="10"/>
  <c r="D4624" i="10"/>
  <c r="D4623" i="10"/>
  <c r="D4622" i="10"/>
  <c r="D4621" i="10"/>
  <c r="D4620" i="10"/>
  <c r="D4619" i="10"/>
  <c r="D4618" i="10"/>
  <c r="D4617" i="10"/>
  <c r="D4616" i="10"/>
  <c r="D4615" i="10"/>
  <c r="D4614" i="10"/>
  <c r="D4613" i="10"/>
  <c r="D4612" i="10"/>
  <c r="D4611" i="10"/>
  <c r="D4610" i="10"/>
  <c r="D4609" i="10"/>
  <c r="D4608" i="10"/>
  <c r="D4607" i="10"/>
  <c r="D4606" i="10"/>
  <c r="D4605" i="10"/>
  <c r="D4604" i="10"/>
  <c r="D4603" i="10"/>
  <c r="D4602" i="10"/>
  <c r="D4601" i="10"/>
  <c r="D4600" i="10"/>
  <c r="D4599" i="10"/>
  <c r="D4598" i="10"/>
  <c r="D4597" i="10"/>
  <c r="D4596" i="10"/>
  <c r="D4595" i="10"/>
  <c r="D4594" i="10"/>
  <c r="D4593" i="10"/>
  <c r="D4592" i="10"/>
  <c r="D4591" i="10"/>
  <c r="D4590" i="10"/>
  <c r="D4589" i="10"/>
  <c r="D4588" i="10"/>
  <c r="D4587" i="10"/>
  <c r="D4586" i="10"/>
  <c r="D4585" i="10"/>
  <c r="D4584" i="10"/>
  <c r="D4583" i="10"/>
  <c r="D4582" i="10"/>
  <c r="D4581" i="10"/>
  <c r="D4580" i="10"/>
  <c r="D4579" i="10"/>
  <c r="D4578" i="10"/>
  <c r="D4577" i="10"/>
  <c r="D4576" i="10"/>
  <c r="D4575" i="10"/>
  <c r="D4574" i="10"/>
  <c r="D4573" i="10"/>
  <c r="D4572" i="10"/>
  <c r="D4571" i="10"/>
  <c r="D4570" i="10"/>
  <c r="D4569" i="10"/>
  <c r="D4568" i="10"/>
  <c r="D4567" i="10"/>
  <c r="D4566" i="10"/>
  <c r="D4565" i="10"/>
  <c r="D4564" i="10"/>
  <c r="D4563" i="10"/>
  <c r="D4562" i="10"/>
  <c r="D4561" i="10"/>
  <c r="D4560" i="10"/>
  <c r="D4559" i="10"/>
  <c r="D4558" i="10"/>
  <c r="D4557" i="10"/>
  <c r="D4556" i="10"/>
  <c r="D4555" i="10"/>
  <c r="D4554" i="10"/>
  <c r="D4553" i="10"/>
  <c r="D4552" i="10"/>
  <c r="D4551" i="10"/>
  <c r="D4550" i="10"/>
  <c r="D4549" i="10"/>
  <c r="D4548" i="10"/>
  <c r="D4547" i="10"/>
  <c r="D4546" i="10"/>
  <c r="D4545" i="10"/>
  <c r="D4544" i="10"/>
  <c r="D4543" i="10"/>
  <c r="D4542" i="10"/>
  <c r="D4541" i="10"/>
  <c r="D4540" i="10"/>
  <c r="D4539" i="10"/>
  <c r="D4538" i="10"/>
  <c r="D4537" i="10"/>
  <c r="D4536" i="10"/>
  <c r="D4535" i="10"/>
  <c r="D4534" i="10"/>
  <c r="D4533" i="10"/>
  <c r="D4532" i="10"/>
  <c r="D4531" i="10"/>
  <c r="D4530" i="10"/>
  <c r="D4529" i="10"/>
  <c r="D4528" i="10"/>
  <c r="D4527" i="10"/>
  <c r="D4526" i="10"/>
  <c r="D4525" i="10"/>
  <c r="D4524" i="10"/>
  <c r="D4523" i="10"/>
  <c r="D4522" i="10"/>
  <c r="D4521" i="10"/>
  <c r="D4520" i="10"/>
  <c r="D4519" i="10"/>
  <c r="D4518" i="10"/>
  <c r="D4517" i="10"/>
  <c r="D4516" i="10"/>
  <c r="D4515" i="10"/>
  <c r="D4514" i="10"/>
  <c r="D4513" i="10"/>
  <c r="D4512" i="10"/>
  <c r="D4511" i="10"/>
  <c r="D4510" i="10"/>
  <c r="D4509" i="10"/>
  <c r="D4508" i="10"/>
  <c r="D4507" i="10"/>
  <c r="D4506" i="10"/>
  <c r="D4505" i="10"/>
  <c r="D4504" i="10"/>
  <c r="D4503" i="10"/>
  <c r="D4502" i="10"/>
  <c r="D4501" i="10"/>
  <c r="D4500" i="10"/>
  <c r="D4499" i="10"/>
  <c r="D4498" i="10"/>
  <c r="D4497" i="10"/>
  <c r="D4496" i="10"/>
  <c r="D4495" i="10"/>
  <c r="D4494" i="10"/>
  <c r="D4493" i="10"/>
  <c r="D4492" i="10"/>
  <c r="D4491" i="10"/>
  <c r="D4490" i="10"/>
  <c r="D4489" i="10"/>
  <c r="D4488" i="10"/>
  <c r="D4487" i="10"/>
  <c r="D4486" i="10"/>
  <c r="D4485" i="10"/>
  <c r="D4484" i="10"/>
  <c r="D4483" i="10"/>
  <c r="D4482" i="10"/>
  <c r="D4481" i="10"/>
  <c r="D4480" i="10"/>
  <c r="D4479" i="10"/>
  <c r="D4478" i="10"/>
  <c r="D4477" i="10"/>
  <c r="D4476" i="10"/>
  <c r="D4475" i="10"/>
  <c r="D4474" i="10"/>
  <c r="D4473" i="10"/>
  <c r="D4472" i="10"/>
  <c r="D4471" i="10"/>
  <c r="D4470" i="10"/>
  <c r="D4469" i="10"/>
  <c r="D4468" i="10"/>
  <c r="D4467" i="10"/>
  <c r="D4466" i="10"/>
  <c r="D4465" i="10"/>
  <c r="D4464" i="10"/>
  <c r="D4463" i="10"/>
  <c r="D4462" i="10"/>
  <c r="D4461" i="10"/>
  <c r="D4460" i="10"/>
  <c r="D4459" i="10"/>
  <c r="D4458" i="10"/>
  <c r="D4457" i="10"/>
  <c r="D4456" i="10"/>
  <c r="D4455" i="10"/>
  <c r="D4454" i="10"/>
  <c r="D4453" i="10"/>
  <c r="D4452" i="10"/>
  <c r="D4451" i="10"/>
  <c r="D4450" i="10"/>
  <c r="D4449" i="10"/>
  <c r="D4448" i="10"/>
  <c r="D4447" i="10"/>
  <c r="D4446" i="10"/>
  <c r="D4445" i="10"/>
  <c r="D4444" i="10"/>
  <c r="D4443" i="10"/>
  <c r="D4442" i="10"/>
  <c r="D4441" i="10"/>
  <c r="D4440" i="10"/>
  <c r="D4439" i="10"/>
  <c r="D4438" i="10"/>
  <c r="D4437" i="10"/>
  <c r="D4436" i="10"/>
  <c r="D4435" i="10"/>
  <c r="D4434" i="10"/>
  <c r="D4433" i="10"/>
  <c r="D4432" i="10"/>
  <c r="D4431" i="10"/>
  <c r="D4430" i="10"/>
  <c r="D4429" i="10"/>
  <c r="D4428" i="10"/>
  <c r="D4427" i="10"/>
  <c r="D4426" i="10"/>
  <c r="D4425" i="10"/>
  <c r="D4424" i="10"/>
  <c r="D4423" i="10"/>
  <c r="D4422" i="10"/>
  <c r="D4421" i="10"/>
  <c r="D4420" i="10"/>
  <c r="D4419" i="10"/>
  <c r="D4418" i="10"/>
  <c r="D4417" i="10"/>
  <c r="D4416" i="10"/>
  <c r="D4415" i="10"/>
  <c r="D4414" i="10"/>
  <c r="D4413" i="10"/>
  <c r="D4412" i="10"/>
  <c r="D4411" i="10"/>
  <c r="D4410" i="10"/>
  <c r="D4409" i="10"/>
  <c r="D4408" i="10"/>
  <c r="D4407" i="10"/>
  <c r="D4406" i="10"/>
  <c r="D4405" i="10"/>
  <c r="D4404" i="10"/>
  <c r="D4403" i="10"/>
  <c r="D4402" i="10"/>
  <c r="D4401" i="10"/>
  <c r="D4400" i="10"/>
  <c r="D4399" i="10"/>
  <c r="D4398" i="10"/>
  <c r="D4397" i="10"/>
  <c r="D4396" i="10"/>
  <c r="D4395" i="10"/>
  <c r="D4394" i="10"/>
  <c r="D4393" i="10"/>
  <c r="D4392" i="10"/>
  <c r="D4391" i="10"/>
  <c r="D4390" i="10"/>
  <c r="D4389" i="10"/>
  <c r="D4388" i="10"/>
  <c r="D4387" i="10"/>
  <c r="D4386" i="10"/>
  <c r="D4385" i="10"/>
  <c r="D4384" i="10"/>
  <c r="D4383" i="10"/>
  <c r="D4382" i="10"/>
  <c r="D4381" i="10"/>
  <c r="D4380" i="10"/>
  <c r="D4379" i="10"/>
  <c r="D4378" i="10"/>
  <c r="D4377" i="10"/>
  <c r="D4376" i="10"/>
  <c r="D4375" i="10"/>
  <c r="D4374" i="10"/>
  <c r="D4373" i="10"/>
  <c r="D4372" i="10"/>
  <c r="D4371" i="10"/>
  <c r="D4370" i="10"/>
  <c r="D4369" i="10"/>
  <c r="D4368" i="10"/>
  <c r="D4367" i="10"/>
  <c r="D4366" i="10"/>
  <c r="D4365" i="10"/>
  <c r="D4364" i="10"/>
  <c r="D4363" i="10"/>
  <c r="D4362" i="10"/>
  <c r="D4361" i="10"/>
  <c r="D4360" i="10"/>
  <c r="D4359" i="10"/>
  <c r="D4358" i="10"/>
  <c r="D4357" i="10"/>
  <c r="D4356" i="10"/>
  <c r="D4355" i="10"/>
  <c r="D4354" i="10"/>
  <c r="D4353" i="10"/>
  <c r="D4352" i="10"/>
  <c r="D4351" i="10"/>
  <c r="D4350" i="10"/>
  <c r="D4349" i="10"/>
  <c r="D4348" i="10"/>
  <c r="D4347" i="10"/>
  <c r="D4346" i="10"/>
  <c r="D4345" i="10"/>
  <c r="D4344" i="10"/>
  <c r="D4343" i="10"/>
  <c r="D4342" i="10"/>
  <c r="D4341" i="10"/>
  <c r="D4340" i="10"/>
  <c r="D4339" i="10"/>
  <c r="D4338" i="10"/>
  <c r="D4337" i="10"/>
  <c r="D4336" i="10"/>
  <c r="D4335" i="10"/>
  <c r="D4334" i="10"/>
  <c r="D4333" i="10"/>
  <c r="D4332" i="10"/>
  <c r="D4331" i="10"/>
  <c r="D4330" i="10"/>
  <c r="D4329" i="10"/>
  <c r="D4328" i="10"/>
  <c r="D4327" i="10"/>
  <c r="D4326" i="10"/>
  <c r="D4325" i="10"/>
  <c r="D4324" i="10"/>
  <c r="D4323" i="10"/>
  <c r="D4322" i="10"/>
  <c r="D4321" i="10"/>
  <c r="D4320" i="10"/>
  <c r="D4319" i="10"/>
  <c r="D4318" i="10"/>
  <c r="D4317" i="10"/>
  <c r="D4316" i="10"/>
  <c r="D4315" i="10"/>
  <c r="D4314" i="10"/>
  <c r="D4313" i="10"/>
  <c r="D4312" i="10"/>
  <c r="D4311" i="10"/>
  <c r="D4310" i="10"/>
  <c r="D4309" i="10"/>
  <c r="D4308" i="10"/>
  <c r="D4307" i="10"/>
  <c r="D4306" i="10"/>
  <c r="D4305" i="10"/>
  <c r="D4304" i="10"/>
  <c r="D4303" i="10"/>
  <c r="D4302" i="10"/>
  <c r="D4301" i="10"/>
  <c r="D4300" i="10"/>
  <c r="D4299" i="10"/>
  <c r="D4298" i="10"/>
  <c r="D4297" i="10"/>
  <c r="D4296" i="10"/>
  <c r="D4295" i="10"/>
  <c r="D4294" i="10"/>
  <c r="D4293" i="10"/>
  <c r="D4292" i="10"/>
  <c r="D4291" i="10"/>
  <c r="D4290" i="10"/>
  <c r="D4289" i="10"/>
  <c r="D4288" i="10"/>
  <c r="D4287" i="10"/>
  <c r="D4286" i="10"/>
  <c r="D4285" i="10"/>
  <c r="D4284" i="10"/>
  <c r="D4283" i="10"/>
  <c r="D4282" i="10"/>
  <c r="D4281" i="10"/>
  <c r="D4280" i="10"/>
  <c r="D4279" i="10"/>
  <c r="D4278" i="10"/>
  <c r="D4277" i="10"/>
  <c r="D4276" i="10"/>
  <c r="D4275" i="10"/>
  <c r="D4274" i="10"/>
  <c r="D4273" i="10"/>
  <c r="D4272" i="10"/>
  <c r="D4271" i="10"/>
  <c r="D4270" i="10"/>
  <c r="D4269" i="10"/>
  <c r="D4268" i="10"/>
  <c r="D4267" i="10"/>
  <c r="D4266" i="10"/>
  <c r="D4265" i="10"/>
  <c r="D4264" i="10"/>
  <c r="D4263" i="10"/>
  <c r="D4262" i="10"/>
  <c r="D4261" i="10"/>
  <c r="D4260" i="10"/>
  <c r="D4259" i="10"/>
  <c r="D4258" i="10"/>
  <c r="D4257" i="10"/>
  <c r="D4256" i="10"/>
  <c r="D4255" i="10"/>
  <c r="D4254" i="10"/>
  <c r="D4253" i="10"/>
  <c r="D4252" i="10"/>
  <c r="D4251" i="10"/>
  <c r="D4250" i="10"/>
  <c r="D4249" i="10"/>
  <c r="D4248" i="10"/>
  <c r="D4247" i="10"/>
  <c r="D4246" i="10"/>
  <c r="D4245" i="10"/>
  <c r="D4244" i="10"/>
  <c r="D4243" i="10"/>
  <c r="D4242" i="10"/>
  <c r="D4241" i="10"/>
  <c r="D4240" i="10"/>
  <c r="D4239" i="10"/>
  <c r="D4238" i="10"/>
  <c r="D4237" i="10"/>
  <c r="D4236" i="10"/>
  <c r="D4235" i="10"/>
  <c r="D4234" i="10"/>
  <c r="D4233" i="10"/>
  <c r="D4232" i="10"/>
  <c r="D4231" i="10"/>
  <c r="D4230" i="10"/>
  <c r="D4229" i="10"/>
  <c r="D4228" i="10"/>
  <c r="D4227" i="10"/>
  <c r="D4226" i="10"/>
  <c r="D4225" i="10"/>
  <c r="D4224" i="10"/>
  <c r="D4223" i="10"/>
  <c r="D4222" i="10"/>
  <c r="D4221" i="10"/>
  <c r="D4220" i="10"/>
  <c r="D4219" i="10"/>
  <c r="D4218" i="10"/>
  <c r="D4217" i="10"/>
  <c r="D4216" i="10"/>
  <c r="D4215" i="10"/>
  <c r="D4214" i="10"/>
  <c r="D4213" i="10"/>
  <c r="D4212" i="10"/>
  <c r="D4211" i="10"/>
  <c r="D4210" i="10"/>
  <c r="D4209" i="10"/>
  <c r="D4208" i="10"/>
  <c r="D4207" i="10"/>
  <c r="D4206" i="10"/>
  <c r="D4205" i="10"/>
  <c r="D4204" i="10"/>
  <c r="D4203" i="10"/>
  <c r="D4202" i="10"/>
  <c r="D4201" i="10"/>
  <c r="D4200" i="10"/>
  <c r="D4199" i="10"/>
  <c r="D4198" i="10"/>
  <c r="D4197" i="10"/>
  <c r="D4196" i="10"/>
  <c r="D4195" i="10"/>
  <c r="D4194" i="10"/>
  <c r="D4193" i="10"/>
  <c r="D4192" i="10"/>
  <c r="D4191" i="10"/>
  <c r="D4190" i="10"/>
  <c r="D4189" i="10"/>
  <c r="D4188" i="10"/>
  <c r="D4187" i="10"/>
  <c r="D4186" i="10"/>
  <c r="D4185" i="10"/>
  <c r="D4184" i="10"/>
  <c r="D4183" i="10"/>
  <c r="D4182" i="10"/>
  <c r="D4181" i="10"/>
  <c r="D4180" i="10"/>
  <c r="D4179" i="10"/>
  <c r="D4178" i="10"/>
  <c r="D4177" i="10"/>
  <c r="D4176" i="10"/>
  <c r="D4175" i="10"/>
  <c r="D4174" i="10"/>
  <c r="D4173" i="10"/>
  <c r="D4172" i="10"/>
  <c r="D4171" i="10"/>
  <c r="D4170" i="10"/>
  <c r="D4169" i="10"/>
  <c r="D4168" i="10"/>
  <c r="D4167" i="10"/>
  <c r="D4166" i="10"/>
  <c r="D4165" i="10"/>
  <c r="D4164" i="10"/>
  <c r="D4163" i="10"/>
  <c r="D4162" i="10"/>
  <c r="D4161" i="10"/>
  <c r="D4160" i="10"/>
  <c r="D4159" i="10"/>
  <c r="D4158" i="10"/>
  <c r="D4157" i="10"/>
  <c r="D4156" i="10"/>
  <c r="D4155" i="10"/>
  <c r="D4154" i="10"/>
  <c r="D4153" i="10"/>
  <c r="D4152" i="10"/>
  <c r="D4151" i="10"/>
  <c r="D4150" i="10"/>
  <c r="D4149" i="10"/>
  <c r="D4148" i="10"/>
  <c r="D4147" i="10"/>
  <c r="D4146" i="10"/>
  <c r="D4145" i="10"/>
  <c r="D4144" i="10"/>
  <c r="D4143" i="10"/>
  <c r="D4142" i="10"/>
  <c r="D4141" i="10"/>
  <c r="D4140" i="10"/>
  <c r="D4139" i="10"/>
  <c r="D4138" i="10"/>
  <c r="D4137" i="10"/>
  <c r="D4136" i="10"/>
  <c r="D4135" i="10"/>
  <c r="D4134" i="10"/>
  <c r="D4133" i="10"/>
  <c r="D4132" i="10"/>
  <c r="D4131" i="10"/>
  <c r="D4130" i="10"/>
  <c r="D4129" i="10"/>
  <c r="D4128" i="10"/>
  <c r="D4127" i="10"/>
  <c r="D4126" i="10"/>
  <c r="D4125" i="10"/>
  <c r="D4124" i="10"/>
  <c r="D4123" i="10"/>
  <c r="D4122" i="10"/>
  <c r="D4121" i="10"/>
  <c r="D4120" i="10"/>
  <c r="D4119" i="10"/>
  <c r="D4118" i="10"/>
  <c r="D4117" i="10"/>
  <c r="D4116" i="10"/>
  <c r="D4115" i="10"/>
  <c r="D4114" i="10"/>
  <c r="D4113" i="10"/>
  <c r="D4112" i="10"/>
  <c r="D4111" i="10"/>
  <c r="D4110" i="10"/>
  <c r="D4109" i="10"/>
  <c r="D4108" i="10"/>
  <c r="D4107" i="10"/>
  <c r="D4106" i="10"/>
  <c r="D4105" i="10"/>
  <c r="D4104" i="10"/>
  <c r="D4103" i="10"/>
  <c r="D4102" i="10"/>
  <c r="D4101" i="10"/>
  <c r="D4100" i="10"/>
  <c r="D4099" i="10"/>
  <c r="D4098" i="10"/>
  <c r="D4097" i="10"/>
  <c r="D4096" i="10"/>
  <c r="D4095" i="10"/>
  <c r="D4094" i="10"/>
  <c r="D4093" i="10"/>
  <c r="D4092" i="10"/>
  <c r="D4091" i="10"/>
  <c r="D4090" i="10"/>
  <c r="D4089" i="10"/>
  <c r="D4088" i="10"/>
  <c r="D4087" i="10"/>
  <c r="D4086" i="10"/>
  <c r="D4085" i="10"/>
  <c r="D4084" i="10"/>
  <c r="D4083" i="10"/>
  <c r="D4082" i="10"/>
  <c r="D4081" i="10"/>
  <c r="D4080" i="10"/>
  <c r="D4079" i="10"/>
  <c r="D4078" i="10"/>
  <c r="D4077" i="10"/>
  <c r="D4076" i="10"/>
  <c r="D4075" i="10"/>
  <c r="D4074" i="10"/>
  <c r="D4073" i="10"/>
  <c r="D4072" i="10"/>
  <c r="D4071" i="10"/>
  <c r="D4070" i="10"/>
  <c r="D4069" i="10"/>
  <c r="D4068" i="10"/>
  <c r="D4067" i="10"/>
  <c r="D4066" i="10"/>
  <c r="D4065" i="10"/>
  <c r="D4064" i="10"/>
  <c r="D4063" i="10"/>
  <c r="D4062" i="10"/>
  <c r="D4061" i="10"/>
  <c r="D4060" i="10"/>
  <c r="D4059" i="10"/>
  <c r="D4058" i="10"/>
  <c r="D4057" i="10"/>
  <c r="D4056" i="10"/>
  <c r="D4055" i="10"/>
  <c r="D4054" i="10"/>
  <c r="D4053" i="10"/>
  <c r="D4052" i="10"/>
  <c r="D4051" i="10"/>
  <c r="D4050" i="10"/>
  <c r="D4049" i="10"/>
  <c r="D4048" i="10"/>
  <c r="D4047" i="10"/>
  <c r="D4046" i="10"/>
  <c r="D4045" i="10"/>
  <c r="D4044" i="10"/>
  <c r="D4043" i="10"/>
  <c r="D4042" i="10"/>
  <c r="D4041" i="10"/>
  <c r="D4040" i="10"/>
  <c r="D4039" i="10"/>
  <c r="D4038" i="10"/>
  <c r="D4037" i="10"/>
  <c r="D4036" i="10"/>
  <c r="D4035" i="10"/>
  <c r="D4034" i="10"/>
  <c r="D4033" i="10"/>
  <c r="D4032" i="10"/>
  <c r="D4031" i="10"/>
  <c r="D4030" i="10"/>
  <c r="D4029" i="10"/>
  <c r="D4028" i="10"/>
  <c r="D4027" i="10"/>
  <c r="D4026" i="10"/>
  <c r="D4025" i="10"/>
  <c r="D4024" i="10"/>
  <c r="D4023" i="10"/>
  <c r="D4022" i="10"/>
  <c r="D4021" i="10"/>
  <c r="D4020" i="10"/>
  <c r="D4019" i="10"/>
  <c r="D4018" i="10"/>
  <c r="D4017" i="10"/>
  <c r="D4016" i="10"/>
  <c r="D4015" i="10"/>
  <c r="D4014" i="10"/>
  <c r="D4013" i="10"/>
  <c r="D4012" i="10"/>
  <c r="D4011" i="10"/>
  <c r="D4010" i="10"/>
  <c r="D4009" i="10"/>
  <c r="D4008" i="10"/>
  <c r="D4007" i="10"/>
  <c r="D4006" i="10"/>
  <c r="D4005" i="10"/>
  <c r="D4004" i="10"/>
  <c r="D4003" i="10"/>
  <c r="D4002" i="10"/>
  <c r="D4001" i="10"/>
  <c r="D4000" i="10"/>
  <c r="D3999" i="10"/>
  <c r="D3998" i="10"/>
  <c r="D3997" i="10"/>
  <c r="D3996" i="10"/>
  <c r="D3995" i="10"/>
  <c r="D3994" i="10"/>
  <c r="D3993" i="10"/>
  <c r="D3992" i="10"/>
  <c r="D3991" i="10"/>
  <c r="D3990" i="10"/>
  <c r="D3989" i="10"/>
  <c r="D3988" i="10"/>
  <c r="D3987" i="10"/>
  <c r="D3986" i="10"/>
  <c r="D3985" i="10"/>
  <c r="D3984" i="10"/>
  <c r="D3983" i="10"/>
  <c r="D3982" i="10"/>
  <c r="D3981" i="10"/>
  <c r="D3980" i="10"/>
  <c r="D3979" i="10"/>
  <c r="D3978" i="10"/>
  <c r="D3977" i="10"/>
  <c r="D3976" i="10"/>
  <c r="D3975" i="10"/>
  <c r="D3974" i="10"/>
  <c r="D3973" i="10"/>
  <c r="D3972" i="10"/>
  <c r="D3971" i="10"/>
  <c r="D3970" i="10"/>
  <c r="D3969" i="10"/>
  <c r="D3968" i="10"/>
  <c r="D3967" i="10"/>
  <c r="D3966" i="10"/>
  <c r="D3965" i="10"/>
  <c r="D3964" i="10"/>
  <c r="D3963" i="10"/>
  <c r="D3962" i="10"/>
  <c r="D3961" i="10"/>
  <c r="D3960" i="10"/>
  <c r="D3959" i="10"/>
  <c r="D3958" i="10"/>
  <c r="D3957" i="10"/>
  <c r="D3956" i="10"/>
  <c r="D3955" i="10"/>
  <c r="D3954" i="10"/>
  <c r="D3953" i="10"/>
  <c r="D3952" i="10"/>
  <c r="D3951" i="10"/>
  <c r="D3950" i="10"/>
  <c r="D3949" i="10"/>
  <c r="D3948" i="10"/>
  <c r="D3947" i="10"/>
  <c r="D3946" i="10"/>
  <c r="D3945" i="10"/>
  <c r="D3944" i="10"/>
  <c r="D3943" i="10"/>
  <c r="D3942" i="10"/>
  <c r="D3941" i="10"/>
  <c r="D3940" i="10"/>
  <c r="D3939" i="10"/>
  <c r="D3938" i="10"/>
  <c r="D3937" i="10"/>
  <c r="D3936" i="10"/>
  <c r="D3935" i="10"/>
  <c r="D3934" i="10"/>
  <c r="D3933" i="10"/>
  <c r="D3932" i="10"/>
  <c r="D3931" i="10"/>
  <c r="D3930" i="10"/>
  <c r="D3929" i="10"/>
  <c r="D3928" i="10"/>
  <c r="D3927" i="10"/>
  <c r="D3926" i="10"/>
  <c r="D3925" i="10"/>
  <c r="D3924" i="10"/>
  <c r="D3923" i="10"/>
  <c r="D3922" i="10"/>
  <c r="D3921" i="10"/>
  <c r="D3920" i="10"/>
  <c r="D3919" i="10"/>
  <c r="D3918" i="10"/>
  <c r="D3917" i="10"/>
  <c r="D3916" i="10"/>
  <c r="D3915" i="10"/>
  <c r="D3914" i="10"/>
  <c r="D3913" i="10"/>
  <c r="D3912" i="10"/>
  <c r="D3911" i="10"/>
  <c r="D3910" i="10"/>
  <c r="D3909" i="10"/>
  <c r="D3908" i="10"/>
  <c r="D3907" i="10"/>
  <c r="D3906" i="10"/>
  <c r="D3905" i="10"/>
  <c r="D3904" i="10"/>
  <c r="D3903" i="10"/>
  <c r="D3902" i="10"/>
  <c r="D3901" i="10"/>
  <c r="D3900" i="10"/>
  <c r="D3899" i="10"/>
  <c r="D3898" i="10"/>
  <c r="D3897" i="10"/>
  <c r="D3896" i="10"/>
  <c r="D3895" i="10"/>
  <c r="D3894" i="10"/>
  <c r="D3893" i="10"/>
  <c r="D3892" i="10"/>
  <c r="D3891" i="10"/>
  <c r="D3890" i="10"/>
  <c r="D3889" i="10"/>
  <c r="D3888" i="10"/>
  <c r="D3887" i="10"/>
  <c r="D3886" i="10"/>
  <c r="D3885" i="10"/>
  <c r="D3884" i="10"/>
  <c r="D3883" i="10"/>
  <c r="D3882" i="10"/>
  <c r="D3881" i="10"/>
  <c r="D3880" i="10"/>
  <c r="D3879" i="10"/>
  <c r="D3878" i="10"/>
  <c r="D3877" i="10"/>
  <c r="D3876" i="10"/>
  <c r="D3875" i="10"/>
  <c r="D3874" i="10"/>
  <c r="D3873" i="10"/>
  <c r="D3872" i="10"/>
  <c r="D3871" i="10"/>
  <c r="D3870" i="10"/>
  <c r="D3869" i="10"/>
  <c r="D3868" i="10"/>
  <c r="D3867" i="10"/>
  <c r="D3866" i="10"/>
  <c r="D3865" i="10"/>
  <c r="D3864" i="10"/>
  <c r="D3863" i="10"/>
  <c r="D3862" i="10"/>
  <c r="D3861" i="10"/>
  <c r="D3860" i="10"/>
  <c r="D3859" i="10"/>
  <c r="D3858" i="10"/>
  <c r="D3857" i="10"/>
  <c r="D3856" i="10"/>
  <c r="D3855" i="10"/>
  <c r="D3854" i="10"/>
  <c r="D3853" i="10"/>
  <c r="D3852" i="10"/>
  <c r="D3851" i="10"/>
  <c r="D3850" i="10"/>
  <c r="D3849" i="10"/>
  <c r="D3848" i="10"/>
  <c r="D3847" i="10"/>
  <c r="D3846" i="10"/>
  <c r="D3845" i="10"/>
  <c r="D3844" i="10"/>
  <c r="D3843" i="10"/>
  <c r="D3842" i="10"/>
  <c r="D3841" i="10"/>
  <c r="D3840" i="10"/>
  <c r="D3839" i="10"/>
  <c r="D3838" i="10"/>
  <c r="D3837" i="10"/>
  <c r="D3836" i="10"/>
  <c r="D3835" i="10"/>
  <c r="D3834" i="10"/>
  <c r="D3833" i="10"/>
  <c r="D3832" i="10"/>
  <c r="D3831" i="10"/>
  <c r="D3830" i="10"/>
  <c r="D3829" i="10"/>
  <c r="D3828" i="10"/>
  <c r="D3827" i="10"/>
  <c r="D3826" i="10"/>
  <c r="D3825" i="10"/>
  <c r="D3824" i="10"/>
  <c r="D3823" i="10"/>
  <c r="D3822" i="10"/>
  <c r="D3821" i="10"/>
  <c r="D3820" i="10"/>
  <c r="D3819" i="10"/>
  <c r="D3818" i="10"/>
  <c r="D3817" i="10"/>
  <c r="D3816" i="10"/>
  <c r="D3815" i="10"/>
  <c r="D3814" i="10"/>
  <c r="D3813" i="10"/>
  <c r="D3812" i="10"/>
  <c r="D3811" i="10"/>
  <c r="D3810" i="10"/>
  <c r="D3809" i="10"/>
  <c r="D3808" i="10"/>
  <c r="D3807" i="10"/>
  <c r="D3806" i="10"/>
  <c r="D3805" i="10"/>
  <c r="D3804" i="10"/>
  <c r="D3803" i="10"/>
  <c r="D3802" i="10"/>
  <c r="D3801" i="10"/>
  <c r="D3800" i="10"/>
  <c r="D3799" i="10"/>
  <c r="D3798" i="10"/>
  <c r="D3797" i="10"/>
  <c r="D3796" i="10"/>
  <c r="D3795" i="10"/>
  <c r="D3794" i="10"/>
  <c r="D3793" i="10"/>
  <c r="D3792" i="10"/>
  <c r="D3791" i="10"/>
  <c r="D3790" i="10"/>
  <c r="D3789" i="10"/>
  <c r="D3788" i="10"/>
  <c r="D3787" i="10"/>
  <c r="D3786" i="10"/>
  <c r="D3785" i="10"/>
  <c r="D3784" i="10"/>
  <c r="D3783" i="10"/>
  <c r="D3782" i="10"/>
  <c r="D3781" i="10"/>
  <c r="D3780" i="10"/>
  <c r="D3779" i="10"/>
  <c r="D3778" i="10"/>
  <c r="D3777" i="10"/>
  <c r="D3776" i="10"/>
  <c r="D3775" i="10"/>
  <c r="D3774" i="10"/>
  <c r="D3773" i="10"/>
  <c r="D3772" i="10"/>
  <c r="D3771" i="10"/>
  <c r="D3770" i="10"/>
  <c r="D3769" i="10"/>
  <c r="D3768" i="10"/>
  <c r="D3767" i="10"/>
  <c r="D3766" i="10"/>
  <c r="D3765" i="10"/>
  <c r="D3764" i="10"/>
  <c r="D3763" i="10"/>
  <c r="D3762" i="10"/>
  <c r="D3761" i="10"/>
  <c r="D3760" i="10"/>
  <c r="D3759" i="10"/>
  <c r="D3758" i="10"/>
  <c r="D3757" i="10"/>
  <c r="D3756" i="10"/>
  <c r="D3755" i="10"/>
  <c r="D3754" i="10"/>
  <c r="D3753" i="10"/>
  <c r="D3752" i="10"/>
  <c r="D3751" i="10"/>
  <c r="D3750" i="10"/>
  <c r="D3749" i="10"/>
  <c r="D3748" i="10"/>
  <c r="D3747" i="10"/>
  <c r="D3746" i="10"/>
  <c r="D3745" i="10"/>
  <c r="D3744" i="10"/>
  <c r="D3743" i="10"/>
  <c r="D3742" i="10"/>
  <c r="D3741" i="10"/>
  <c r="D3740" i="10"/>
  <c r="D3739" i="10"/>
  <c r="D3738" i="10"/>
  <c r="D3737" i="10"/>
  <c r="D3736" i="10"/>
  <c r="D3735" i="10"/>
  <c r="D3734" i="10"/>
  <c r="D3733" i="10"/>
  <c r="D3732" i="10"/>
  <c r="D3731" i="10"/>
  <c r="D3730" i="10"/>
  <c r="D3729" i="10"/>
  <c r="D3728" i="10"/>
  <c r="D3727" i="10"/>
  <c r="D3726" i="10"/>
  <c r="D3725" i="10"/>
  <c r="D3724" i="10"/>
  <c r="D3723" i="10"/>
  <c r="D3722" i="10"/>
  <c r="D3721" i="10"/>
  <c r="D3720" i="10"/>
  <c r="D3719" i="10"/>
  <c r="D3718" i="10"/>
  <c r="D3717" i="10"/>
  <c r="D3716" i="10"/>
  <c r="D3715" i="10"/>
  <c r="D3714" i="10"/>
  <c r="D3713" i="10"/>
  <c r="D3712" i="10"/>
  <c r="D3711" i="10"/>
  <c r="D3710" i="10"/>
  <c r="D3709" i="10"/>
  <c r="D3708" i="10"/>
  <c r="D3707" i="10"/>
  <c r="D3706" i="10"/>
  <c r="D3705" i="10"/>
  <c r="D3704" i="10"/>
  <c r="D3703" i="10"/>
  <c r="D3702" i="10"/>
  <c r="D3701" i="10"/>
  <c r="D3700" i="10"/>
  <c r="D3699" i="10"/>
  <c r="D3698" i="10"/>
  <c r="D3697" i="10"/>
  <c r="D3696" i="10"/>
  <c r="D3695" i="10"/>
  <c r="D3694" i="10"/>
  <c r="D3693" i="10"/>
  <c r="D3692" i="10"/>
  <c r="D3691" i="10"/>
  <c r="D3690" i="10"/>
  <c r="D3689" i="10"/>
  <c r="D3688" i="10"/>
  <c r="D3687" i="10"/>
  <c r="D3686" i="10"/>
  <c r="D3685" i="10"/>
  <c r="D3684" i="10"/>
  <c r="D3683" i="10"/>
  <c r="D3682" i="10"/>
  <c r="D3681" i="10"/>
  <c r="D3680" i="10"/>
  <c r="D3679" i="10"/>
  <c r="D3678" i="10"/>
  <c r="D3677" i="10"/>
  <c r="D3676" i="10"/>
  <c r="D3675" i="10"/>
  <c r="D3674" i="10"/>
  <c r="D3673" i="10"/>
  <c r="D3672" i="10"/>
  <c r="D3671" i="10"/>
  <c r="D3670" i="10"/>
  <c r="D3669" i="10"/>
  <c r="D3668" i="10"/>
  <c r="D3667" i="10"/>
  <c r="D3666" i="10"/>
  <c r="D3665" i="10"/>
  <c r="D3664" i="10"/>
  <c r="D3663" i="10"/>
  <c r="D3662" i="10"/>
  <c r="D3661" i="10"/>
  <c r="D3660" i="10"/>
  <c r="D3659" i="10"/>
  <c r="D3658" i="10"/>
  <c r="D3657" i="10"/>
  <c r="D3656" i="10"/>
  <c r="D3655" i="10"/>
  <c r="D3654" i="10"/>
  <c r="D3653" i="10"/>
  <c r="D3652" i="10"/>
  <c r="D3651" i="10"/>
  <c r="D3650" i="10"/>
  <c r="D3649" i="10"/>
  <c r="D3648" i="10"/>
  <c r="D3647" i="10"/>
  <c r="D3646" i="10"/>
  <c r="D3645" i="10"/>
  <c r="D3644" i="10"/>
  <c r="D3643" i="10"/>
  <c r="D3642" i="10"/>
  <c r="D3641" i="10"/>
  <c r="D3640" i="10"/>
  <c r="D3639" i="10"/>
  <c r="D3638" i="10"/>
  <c r="D3637" i="10"/>
  <c r="D3636" i="10"/>
  <c r="D3635" i="10"/>
  <c r="D3634" i="10"/>
  <c r="D3633" i="10"/>
  <c r="D3632" i="10"/>
  <c r="D3631" i="10"/>
  <c r="D3630" i="10"/>
  <c r="D3629" i="10"/>
  <c r="D3628" i="10"/>
  <c r="D3627" i="10"/>
  <c r="D3626" i="10"/>
  <c r="D3625" i="10"/>
  <c r="D3624" i="10"/>
  <c r="D3623" i="10"/>
  <c r="D3622" i="10"/>
  <c r="D3621" i="10"/>
  <c r="D3620" i="10"/>
  <c r="D3619" i="10"/>
  <c r="D3618" i="10"/>
  <c r="D3617" i="10"/>
  <c r="D3616" i="10"/>
  <c r="D3615" i="10"/>
  <c r="D3614" i="10"/>
  <c r="D3613" i="10"/>
  <c r="D3612" i="10"/>
  <c r="D3611" i="10"/>
  <c r="D3610" i="10"/>
  <c r="D3609" i="10"/>
  <c r="D3608" i="10"/>
  <c r="D3607" i="10"/>
  <c r="D3606" i="10"/>
  <c r="D3605" i="10"/>
  <c r="D3604" i="10"/>
  <c r="D3603" i="10"/>
  <c r="D3602" i="10"/>
  <c r="D3601" i="10"/>
  <c r="D3600" i="10"/>
  <c r="D3599" i="10"/>
  <c r="D3598" i="10"/>
  <c r="D3597" i="10"/>
  <c r="D3596" i="10"/>
  <c r="D3595" i="10"/>
  <c r="D3594" i="10"/>
  <c r="D3593" i="10"/>
  <c r="D3592" i="10"/>
  <c r="D3591" i="10"/>
  <c r="D3590" i="10"/>
  <c r="D3589" i="10"/>
  <c r="D3588" i="10"/>
  <c r="D3587" i="10"/>
  <c r="D3586" i="10"/>
  <c r="D3585" i="10"/>
  <c r="D3584" i="10"/>
  <c r="D3583" i="10"/>
  <c r="D3582" i="10"/>
  <c r="D3581" i="10"/>
  <c r="D3580" i="10"/>
  <c r="D3579" i="10"/>
  <c r="D3578" i="10"/>
  <c r="D3577" i="10"/>
  <c r="D3576" i="10"/>
  <c r="D3575" i="10"/>
  <c r="D3574" i="10"/>
  <c r="D3573" i="10"/>
  <c r="D3572" i="10"/>
  <c r="D3571" i="10"/>
  <c r="D3570" i="10"/>
  <c r="D3569" i="10"/>
  <c r="D3568" i="10"/>
  <c r="D3567" i="10"/>
  <c r="D3566" i="10"/>
  <c r="D3565" i="10"/>
  <c r="D3564" i="10"/>
  <c r="D3563" i="10"/>
  <c r="D3562" i="10"/>
  <c r="D3561" i="10"/>
  <c r="D3560" i="10"/>
  <c r="D3559" i="10"/>
  <c r="D3558" i="10"/>
  <c r="D3557" i="10"/>
  <c r="D3556" i="10"/>
  <c r="D3555" i="10"/>
  <c r="D3554" i="10"/>
  <c r="D3553" i="10"/>
  <c r="D3552" i="10"/>
  <c r="D3551" i="10"/>
  <c r="D3550" i="10"/>
  <c r="D3549" i="10"/>
  <c r="D3548" i="10"/>
  <c r="D3547" i="10"/>
  <c r="D3546" i="10"/>
  <c r="D3545" i="10"/>
  <c r="D3544" i="10"/>
  <c r="D3543" i="10"/>
  <c r="D3542" i="10"/>
  <c r="D3541" i="10"/>
  <c r="D3540" i="10"/>
  <c r="D3539" i="10"/>
  <c r="D3538" i="10"/>
  <c r="D3537" i="10"/>
  <c r="D3536" i="10"/>
  <c r="D3535" i="10"/>
  <c r="D3534" i="10"/>
  <c r="D3533" i="10"/>
  <c r="D3532" i="10"/>
  <c r="D3531" i="10"/>
  <c r="D3530" i="10"/>
  <c r="D3529" i="10"/>
  <c r="D3528" i="10"/>
  <c r="D3527" i="10"/>
  <c r="D3526" i="10"/>
  <c r="D3525" i="10"/>
  <c r="D3524" i="10"/>
  <c r="D3523" i="10"/>
  <c r="D3522" i="10"/>
  <c r="D3521" i="10"/>
  <c r="D3520" i="10"/>
  <c r="D3519" i="10"/>
  <c r="D3518" i="10"/>
  <c r="D3517" i="10"/>
  <c r="D3516" i="10"/>
  <c r="D3515" i="10"/>
  <c r="D3514" i="10"/>
  <c r="D3513" i="10"/>
  <c r="D3512" i="10"/>
  <c r="D3511" i="10"/>
  <c r="D3510" i="10"/>
  <c r="D3509" i="10"/>
  <c r="D3508" i="10"/>
  <c r="D3507" i="10"/>
  <c r="D3506" i="10"/>
  <c r="D3505" i="10"/>
  <c r="D3504" i="10"/>
  <c r="D3503" i="10"/>
  <c r="D3502" i="10"/>
  <c r="D3501" i="10"/>
  <c r="D3500" i="10"/>
  <c r="D3499" i="10"/>
  <c r="D3498" i="10"/>
  <c r="D3497" i="10"/>
  <c r="D3496" i="10"/>
  <c r="D3495" i="10"/>
  <c r="D3494" i="10"/>
  <c r="D3493" i="10"/>
  <c r="D3492" i="10"/>
  <c r="D3491" i="10"/>
  <c r="D3490" i="10"/>
  <c r="D3489" i="10"/>
  <c r="D3488" i="10"/>
  <c r="D3487" i="10"/>
  <c r="D3486" i="10"/>
  <c r="D3485" i="10"/>
  <c r="D3484" i="10"/>
  <c r="D3483" i="10"/>
  <c r="D3482" i="10"/>
  <c r="D3481" i="10"/>
  <c r="D3480" i="10"/>
  <c r="D3479" i="10"/>
  <c r="D3478" i="10"/>
  <c r="D3477" i="10"/>
  <c r="D3476" i="10"/>
  <c r="D3475" i="10"/>
  <c r="D3474" i="10"/>
  <c r="D3473" i="10"/>
  <c r="D3472" i="10"/>
  <c r="D3471" i="10"/>
  <c r="D3470" i="10"/>
  <c r="D3469" i="10"/>
  <c r="D3468" i="10"/>
  <c r="D3467" i="10"/>
  <c r="D3466" i="10"/>
  <c r="D3465" i="10"/>
  <c r="D3464" i="10"/>
  <c r="D3463" i="10"/>
  <c r="D3462" i="10"/>
  <c r="D3461" i="10"/>
  <c r="D3460" i="10"/>
  <c r="D3459" i="10"/>
  <c r="D3458" i="10"/>
  <c r="D3457" i="10"/>
  <c r="D3456" i="10"/>
  <c r="D3455" i="10"/>
  <c r="D3454" i="10"/>
  <c r="D3453" i="10"/>
  <c r="D3452" i="10"/>
  <c r="D3451" i="10"/>
  <c r="D3450" i="10"/>
  <c r="D3449" i="10"/>
  <c r="D3448" i="10"/>
  <c r="D3447" i="10"/>
  <c r="D3446" i="10"/>
  <c r="D3445" i="10"/>
  <c r="D3444" i="10"/>
  <c r="D3443" i="10"/>
  <c r="D3442" i="10"/>
  <c r="D3441" i="10"/>
  <c r="D3440" i="10"/>
  <c r="D3439" i="10"/>
  <c r="D3438" i="10"/>
  <c r="D3437" i="10"/>
  <c r="D3436" i="10"/>
  <c r="D3435" i="10"/>
  <c r="D3434" i="10"/>
  <c r="D3433" i="10"/>
  <c r="D3432" i="10"/>
  <c r="D3431" i="10"/>
  <c r="D3430" i="10"/>
  <c r="D3429" i="10"/>
  <c r="D3428" i="10"/>
  <c r="D3427" i="10"/>
  <c r="D3426" i="10"/>
  <c r="D3425" i="10"/>
  <c r="D3424" i="10"/>
  <c r="D3423" i="10"/>
  <c r="D3422" i="10"/>
  <c r="D3421" i="10"/>
  <c r="D3420" i="10"/>
  <c r="D3419" i="10"/>
  <c r="D3418" i="10"/>
  <c r="D3417" i="10"/>
  <c r="D3416" i="10"/>
  <c r="D3415" i="10"/>
  <c r="D3414" i="10"/>
  <c r="D3413" i="10"/>
  <c r="D3412" i="10"/>
  <c r="D3411" i="10"/>
  <c r="D3410" i="10"/>
  <c r="D3409" i="10"/>
  <c r="D3408" i="10"/>
  <c r="D3407" i="10"/>
  <c r="D3406" i="10"/>
  <c r="D3405" i="10"/>
  <c r="D3404" i="10"/>
  <c r="D3403" i="10"/>
  <c r="D3402" i="10"/>
  <c r="D3401" i="10"/>
  <c r="D3400" i="10"/>
  <c r="D3399" i="10"/>
  <c r="D3398" i="10"/>
  <c r="D3397" i="10"/>
  <c r="D3396" i="10"/>
  <c r="D3395" i="10"/>
  <c r="D3394" i="10"/>
  <c r="D3393" i="10"/>
  <c r="D3392" i="10"/>
  <c r="D3391" i="10"/>
  <c r="D3390" i="10"/>
  <c r="D3389" i="10"/>
  <c r="D3388" i="10"/>
  <c r="D3387" i="10"/>
  <c r="D3386" i="10"/>
  <c r="D3385" i="10"/>
  <c r="D3384" i="10"/>
  <c r="D3383" i="10"/>
  <c r="D3382" i="10"/>
  <c r="D3381" i="10"/>
  <c r="D3380" i="10"/>
  <c r="D3379" i="10"/>
  <c r="D3378" i="10"/>
  <c r="D3377" i="10"/>
  <c r="D3376" i="10"/>
  <c r="D3375" i="10"/>
  <c r="D3374" i="10"/>
  <c r="D3373" i="10"/>
  <c r="D3372" i="10"/>
  <c r="D3371" i="10"/>
  <c r="D3370" i="10"/>
  <c r="D3369" i="10"/>
  <c r="D3368" i="10"/>
  <c r="D3367" i="10"/>
  <c r="D3366" i="10"/>
  <c r="D3365" i="10"/>
  <c r="D3364" i="10"/>
  <c r="D3363" i="10"/>
  <c r="D3362" i="10"/>
  <c r="D3361" i="10"/>
  <c r="D3360" i="10"/>
  <c r="D3359" i="10"/>
  <c r="D3358" i="10"/>
  <c r="D3357" i="10"/>
  <c r="D3356" i="10"/>
  <c r="D3355" i="10"/>
  <c r="D3354" i="10"/>
  <c r="D3353" i="10"/>
  <c r="D3352" i="10"/>
  <c r="D3351" i="10"/>
  <c r="D3350" i="10"/>
  <c r="D3349" i="10"/>
  <c r="D3348" i="10"/>
  <c r="D3347" i="10"/>
  <c r="D3346" i="10"/>
  <c r="D3345" i="10"/>
  <c r="D3344" i="10"/>
  <c r="D3343" i="10"/>
  <c r="D3342" i="10"/>
  <c r="D3341" i="10"/>
  <c r="D3340" i="10"/>
  <c r="D3339" i="10"/>
  <c r="D3338" i="10"/>
  <c r="D3337" i="10"/>
  <c r="D3336" i="10"/>
  <c r="D3335" i="10"/>
  <c r="D3334" i="10"/>
  <c r="D3333" i="10"/>
  <c r="D3332" i="10"/>
  <c r="D3331" i="10"/>
  <c r="D3330" i="10"/>
  <c r="D3329" i="10"/>
  <c r="D3328" i="10"/>
  <c r="D3327" i="10"/>
  <c r="D3326" i="10"/>
  <c r="D3325" i="10"/>
  <c r="D3324" i="10"/>
  <c r="D3323" i="10"/>
  <c r="D3322" i="10"/>
  <c r="D3321" i="10"/>
  <c r="D3320" i="10"/>
  <c r="D3319" i="10"/>
  <c r="D3318" i="10"/>
  <c r="D3317" i="10"/>
  <c r="D3316" i="10"/>
  <c r="D3315" i="10"/>
  <c r="D3314" i="10"/>
  <c r="D3313" i="10"/>
  <c r="D3312" i="10"/>
  <c r="D3311" i="10"/>
  <c r="D3310" i="10"/>
  <c r="D3309" i="10"/>
  <c r="D3308" i="10"/>
  <c r="D3307" i="10"/>
  <c r="D3306" i="10"/>
  <c r="D3305" i="10"/>
  <c r="D3304" i="10"/>
  <c r="D3303" i="10"/>
  <c r="D3302" i="10"/>
  <c r="D3301" i="10"/>
  <c r="D3300" i="10"/>
  <c r="D3299" i="10"/>
  <c r="D3298" i="10"/>
  <c r="D3297" i="10"/>
  <c r="D3296" i="10"/>
  <c r="D3295" i="10"/>
  <c r="D3294" i="10"/>
  <c r="D3293" i="10"/>
  <c r="D3292" i="10"/>
  <c r="D3291" i="10"/>
  <c r="D3290" i="10"/>
  <c r="D3289" i="10"/>
  <c r="D3288" i="10"/>
  <c r="D3287" i="10"/>
  <c r="D3286" i="10"/>
  <c r="D3285" i="10"/>
  <c r="D3284" i="10"/>
  <c r="D3283" i="10"/>
  <c r="D3282" i="10"/>
  <c r="D3281" i="10"/>
  <c r="D3280" i="10"/>
  <c r="D3279" i="10"/>
  <c r="D3278" i="10"/>
  <c r="D3277" i="10"/>
  <c r="D3276" i="10"/>
  <c r="D3275" i="10"/>
  <c r="D3274" i="10"/>
  <c r="D3273" i="10"/>
  <c r="D3272" i="10"/>
  <c r="D3271" i="10"/>
  <c r="D3270" i="10"/>
  <c r="D3269" i="10"/>
  <c r="D3268" i="10"/>
  <c r="D3267" i="10"/>
  <c r="D3266" i="10"/>
  <c r="D3265" i="10"/>
  <c r="D3264" i="10"/>
  <c r="D3263" i="10"/>
  <c r="D3262" i="10"/>
  <c r="D3261" i="10"/>
  <c r="D3260" i="10"/>
  <c r="D3259" i="10"/>
  <c r="D3258" i="10"/>
  <c r="D3257" i="10"/>
  <c r="D3256" i="10"/>
  <c r="D3255" i="10"/>
  <c r="D3254" i="10"/>
  <c r="D3253" i="10"/>
  <c r="D3252" i="10"/>
  <c r="D3251" i="10"/>
  <c r="D3250" i="10"/>
  <c r="D3249" i="10"/>
  <c r="D3248" i="10"/>
  <c r="D3247" i="10"/>
  <c r="D3246" i="10"/>
  <c r="D3245" i="10"/>
  <c r="D3244" i="10"/>
  <c r="D3243" i="10"/>
  <c r="D3242" i="10"/>
  <c r="D3241" i="10"/>
  <c r="D3240" i="10"/>
  <c r="D3239" i="10"/>
  <c r="D3238" i="10"/>
  <c r="D3237" i="10"/>
  <c r="D3236" i="10"/>
  <c r="D3235" i="10"/>
  <c r="D3234" i="10"/>
  <c r="D3233" i="10"/>
  <c r="D3232" i="10"/>
  <c r="D3231" i="10"/>
  <c r="D3230" i="10"/>
  <c r="D3229" i="10"/>
  <c r="D3228" i="10"/>
  <c r="D3227" i="10"/>
  <c r="D3226" i="10"/>
  <c r="D3225" i="10"/>
  <c r="D3224" i="10"/>
  <c r="D3223" i="10"/>
  <c r="D3222" i="10"/>
  <c r="D3221" i="10"/>
  <c r="D3220" i="10"/>
  <c r="D3219" i="10"/>
  <c r="D3218" i="10"/>
  <c r="D3217" i="10"/>
  <c r="D3216" i="10"/>
  <c r="D3215" i="10"/>
  <c r="D3214" i="10"/>
  <c r="D3213" i="10"/>
  <c r="D3212" i="10"/>
  <c r="D3211" i="10"/>
  <c r="D3210" i="10"/>
  <c r="D3209" i="10"/>
  <c r="D3208" i="10"/>
  <c r="D3207" i="10"/>
  <c r="D3206" i="10"/>
  <c r="D3205" i="10"/>
  <c r="D3204" i="10"/>
  <c r="D3203" i="10"/>
  <c r="D3202" i="10"/>
  <c r="D3201" i="10"/>
  <c r="D3200" i="10"/>
  <c r="D3199" i="10"/>
  <c r="D3198" i="10"/>
  <c r="D3197" i="10"/>
  <c r="D3196" i="10"/>
  <c r="D3195" i="10"/>
  <c r="D3194" i="10"/>
  <c r="D3193" i="10"/>
  <c r="D3192" i="10"/>
  <c r="D3191" i="10"/>
  <c r="D3190" i="10"/>
  <c r="D3189" i="10"/>
  <c r="D3188" i="10"/>
  <c r="D3187" i="10"/>
  <c r="D3186" i="10"/>
  <c r="D3185" i="10"/>
  <c r="D3184" i="10"/>
  <c r="D3183" i="10"/>
  <c r="D3182" i="10"/>
  <c r="D3181" i="10"/>
  <c r="D3180" i="10"/>
  <c r="D3179" i="10"/>
  <c r="D3178" i="10"/>
  <c r="D3177" i="10"/>
  <c r="D3176" i="10"/>
  <c r="D3175" i="10"/>
  <c r="D3174" i="10"/>
  <c r="D3173" i="10"/>
  <c r="D3172" i="10"/>
  <c r="D3171" i="10"/>
  <c r="D3170" i="10"/>
  <c r="D3169" i="10"/>
  <c r="D3168" i="10"/>
  <c r="D3167" i="10"/>
  <c r="D3166" i="10"/>
  <c r="D3165" i="10"/>
  <c r="D3164" i="10"/>
  <c r="D3163" i="10"/>
  <c r="D3162" i="10"/>
  <c r="D3161" i="10"/>
  <c r="D3160" i="10"/>
  <c r="D3159" i="10"/>
  <c r="D3158" i="10"/>
  <c r="D3157" i="10"/>
  <c r="D3156" i="10"/>
  <c r="D3155" i="10"/>
  <c r="D3154" i="10"/>
  <c r="D3153" i="10"/>
  <c r="D3152" i="10"/>
  <c r="D3151" i="10"/>
  <c r="D3150" i="10"/>
  <c r="D3149" i="10"/>
  <c r="D3148" i="10"/>
  <c r="D3147" i="10"/>
  <c r="D3146" i="10"/>
  <c r="D3145" i="10"/>
  <c r="D3144" i="10"/>
  <c r="D3143" i="10"/>
  <c r="D3142" i="10"/>
  <c r="D3141" i="10"/>
  <c r="D3140" i="10"/>
  <c r="D3139" i="10"/>
  <c r="D3138" i="10"/>
  <c r="D3137" i="10"/>
  <c r="D3136" i="10"/>
  <c r="D3135" i="10"/>
  <c r="D3134" i="10"/>
  <c r="D3133" i="10"/>
  <c r="D3132" i="10"/>
  <c r="D3131" i="10"/>
  <c r="D3130" i="10"/>
  <c r="D3129" i="10"/>
  <c r="D3128" i="10"/>
  <c r="D3127" i="10"/>
  <c r="D3126" i="10"/>
  <c r="D3125" i="10"/>
  <c r="D3124" i="10"/>
  <c r="D3123" i="10"/>
  <c r="D3122" i="10"/>
  <c r="D3121" i="10"/>
  <c r="D3120" i="10"/>
  <c r="D3119" i="10"/>
  <c r="D3118" i="10"/>
  <c r="D3117" i="10"/>
  <c r="D3116" i="10"/>
  <c r="D3115" i="10"/>
  <c r="D3114" i="10"/>
  <c r="D3113" i="10"/>
  <c r="D3112" i="10"/>
  <c r="D3111" i="10"/>
  <c r="D3110" i="10"/>
  <c r="D3109" i="10"/>
  <c r="D3108" i="10"/>
  <c r="D3107" i="10"/>
  <c r="D3106" i="10"/>
  <c r="D3105" i="10"/>
  <c r="D3104" i="10"/>
  <c r="D3103" i="10"/>
  <c r="D3102" i="10"/>
  <c r="D3101" i="10"/>
  <c r="D3100" i="10"/>
  <c r="D3099" i="10"/>
  <c r="D3098" i="10"/>
  <c r="D3097" i="10"/>
  <c r="D3096" i="10"/>
  <c r="D3095" i="10"/>
  <c r="D3094" i="10"/>
  <c r="D3093" i="10"/>
  <c r="D3092" i="10"/>
  <c r="D3091" i="10"/>
  <c r="D3090" i="10"/>
  <c r="D3089" i="10"/>
  <c r="D3088" i="10"/>
  <c r="D3087" i="10"/>
  <c r="D3086" i="10"/>
  <c r="D3085" i="10"/>
  <c r="D3084" i="10"/>
  <c r="D3083" i="10"/>
  <c r="D3082" i="10"/>
  <c r="D3081" i="10"/>
  <c r="D3080" i="10"/>
  <c r="D3079" i="10"/>
  <c r="D3078" i="10"/>
  <c r="D3077" i="10"/>
  <c r="D3076" i="10"/>
  <c r="D3075" i="10"/>
  <c r="D3074" i="10"/>
  <c r="D3073" i="10"/>
  <c r="D3072" i="10"/>
  <c r="D3071" i="10"/>
  <c r="D3070" i="10"/>
  <c r="D3069" i="10"/>
  <c r="D3068" i="10"/>
  <c r="D3067" i="10"/>
  <c r="D3066" i="10"/>
  <c r="D3065" i="10"/>
  <c r="D3064" i="10"/>
  <c r="D3063" i="10"/>
  <c r="D3062" i="10"/>
  <c r="D3061" i="10"/>
  <c r="D3060" i="10"/>
  <c r="D3059" i="10"/>
  <c r="D3058" i="10"/>
  <c r="D3057" i="10"/>
  <c r="D3056" i="10"/>
  <c r="D3055" i="10"/>
  <c r="D3054" i="10"/>
  <c r="D3053" i="10"/>
  <c r="D3052" i="10"/>
  <c r="D3051" i="10"/>
  <c r="D3050" i="10"/>
  <c r="D3049" i="10"/>
  <c r="D3048" i="10"/>
  <c r="D3047" i="10"/>
  <c r="D3046" i="10"/>
  <c r="D3045" i="10"/>
  <c r="D3044" i="10"/>
  <c r="D3043" i="10"/>
  <c r="D3042" i="10"/>
  <c r="D3041" i="10"/>
  <c r="D3040" i="10"/>
  <c r="D3039" i="10"/>
  <c r="D3038" i="10"/>
  <c r="D3037" i="10"/>
  <c r="D3036" i="10"/>
  <c r="D3035" i="10"/>
  <c r="D3034" i="10"/>
  <c r="D3033" i="10"/>
  <c r="D3032" i="10"/>
  <c r="D3031" i="10"/>
  <c r="D3030" i="10"/>
  <c r="D3029" i="10"/>
  <c r="D3028" i="10"/>
  <c r="D3027" i="10"/>
  <c r="D3026" i="10"/>
  <c r="D3025" i="10"/>
  <c r="D3024" i="10"/>
  <c r="D3023" i="10"/>
  <c r="D3022" i="10"/>
  <c r="D3021" i="10"/>
  <c r="D3020" i="10"/>
  <c r="D3019" i="10"/>
  <c r="D3018" i="10"/>
  <c r="D3017" i="10"/>
  <c r="D3016" i="10"/>
  <c r="D3015" i="10"/>
  <c r="D3014" i="10"/>
  <c r="D3013" i="10"/>
  <c r="D3012" i="10"/>
  <c r="D3011" i="10"/>
  <c r="D3010" i="10"/>
  <c r="D3009" i="10"/>
  <c r="D3008" i="10"/>
  <c r="D3007" i="10"/>
  <c r="D3006" i="10"/>
  <c r="D3005" i="10"/>
  <c r="D3004" i="10"/>
  <c r="D3003" i="10"/>
  <c r="D3002" i="10"/>
  <c r="D3001" i="10"/>
  <c r="D3000" i="10"/>
  <c r="D2999" i="10"/>
  <c r="D2998" i="10"/>
  <c r="D2997" i="10"/>
  <c r="D2996" i="10"/>
  <c r="D2995" i="10"/>
  <c r="D2994" i="10"/>
  <c r="D2993" i="10"/>
  <c r="D2992" i="10"/>
  <c r="D2991" i="10"/>
  <c r="D2990" i="10"/>
  <c r="D2989" i="10"/>
  <c r="D2988" i="10"/>
  <c r="D2987" i="10"/>
  <c r="D2986" i="10"/>
  <c r="D2985" i="10"/>
  <c r="D2984" i="10"/>
  <c r="D2983" i="10"/>
  <c r="D2982" i="10"/>
  <c r="D2981" i="10"/>
  <c r="D2980" i="10"/>
  <c r="D2979" i="10"/>
  <c r="D2978" i="10"/>
  <c r="D2977" i="10"/>
  <c r="D2976" i="10"/>
  <c r="D2975" i="10"/>
  <c r="D2974" i="10"/>
  <c r="D2973" i="10"/>
  <c r="D2972" i="10"/>
  <c r="D2971" i="10"/>
  <c r="D2970" i="10"/>
  <c r="D2969" i="10"/>
  <c r="D2968" i="10"/>
  <c r="D2967" i="10"/>
  <c r="D2966" i="10"/>
  <c r="D2965" i="10"/>
  <c r="D2964" i="10"/>
  <c r="D2963" i="10"/>
  <c r="D2962" i="10"/>
  <c r="D2961" i="10"/>
  <c r="D2960" i="10"/>
  <c r="D2959" i="10"/>
  <c r="D2958" i="10"/>
  <c r="D2957" i="10"/>
  <c r="D2956" i="10"/>
  <c r="D2955" i="10"/>
  <c r="D2954" i="10"/>
  <c r="D2953" i="10"/>
  <c r="D2952" i="10"/>
  <c r="D2951" i="10"/>
  <c r="D2950" i="10"/>
  <c r="D2949" i="10"/>
  <c r="D2948" i="10"/>
  <c r="D2947" i="10"/>
  <c r="D2946" i="10"/>
  <c r="D2945" i="10"/>
  <c r="D2944" i="10"/>
  <c r="D2943" i="10"/>
  <c r="D2942" i="10"/>
  <c r="D2941" i="10"/>
  <c r="D2940" i="10"/>
  <c r="D2939" i="10"/>
  <c r="D2938" i="10"/>
  <c r="D2937" i="10"/>
  <c r="D2936" i="10"/>
  <c r="D2935" i="10"/>
  <c r="D2934" i="10"/>
  <c r="D2933" i="10"/>
  <c r="D2932" i="10"/>
  <c r="D2931" i="10"/>
  <c r="D2930" i="10"/>
  <c r="D2929" i="10"/>
  <c r="D2928" i="10"/>
  <c r="D2927" i="10"/>
  <c r="D2926" i="10"/>
  <c r="D2925" i="10"/>
  <c r="D2924" i="10"/>
  <c r="D2923" i="10"/>
  <c r="D2922" i="10"/>
  <c r="D2921" i="10"/>
  <c r="D2920" i="10"/>
  <c r="D2919" i="10"/>
  <c r="D2918" i="10"/>
  <c r="D2917" i="10"/>
  <c r="D2916" i="10"/>
  <c r="D2915" i="10"/>
  <c r="D2914" i="10"/>
  <c r="D2913" i="10"/>
  <c r="D2912" i="10"/>
  <c r="D2911" i="10"/>
  <c r="D2910" i="10"/>
  <c r="D2909" i="10"/>
  <c r="D2908" i="10"/>
  <c r="D2907" i="10"/>
  <c r="D2906" i="10"/>
  <c r="D2905" i="10"/>
  <c r="D2904" i="10"/>
  <c r="D2903" i="10"/>
  <c r="D2902" i="10"/>
  <c r="D2901" i="10"/>
  <c r="D2900" i="10"/>
  <c r="D2899" i="10"/>
  <c r="D2898" i="10"/>
  <c r="D2897" i="10"/>
  <c r="D2896" i="10"/>
  <c r="D2895" i="10"/>
  <c r="D2894" i="10"/>
  <c r="D2893" i="10"/>
  <c r="D2892" i="10"/>
  <c r="D2891" i="10"/>
  <c r="D2890" i="10"/>
  <c r="D2889" i="10"/>
  <c r="D2888" i="10"/>
  <c r="D2887" i="10"/>
  <c r="D2886" i="10"/>
  <c r="D2885" i="10"/>
  <c r="D2884" i="10"/>
  <c r="D2883" i="10"/>
  <c r="D2882" i="10"/>
  <c r="D2881" i="10"/>
  <c r="D2880" i="10"/>
  <c r="D2879" i="10"/>
  <c r="D2878" i="10"/>
  <c r="D2877" i="10"/>
  <c r="D2876" i="10"/>
  <c r="D2875" i="10"/>
  <c r="D2874" i="10"/>
  <c r="D2873" i="10"/>
  <c r="D2872" i="10"/>
  <c r="D2871" i="10"/>
  <c r="D2870" i="10"/>
  <c r="D2869" i="10"/>
  <c r="D2868" i="10"/>
  <c r="D2867" i="10"/>
  <c r="D2866" i="10"/>
  <c r="D2865" i="10"/>
  <c r="D2864" i="10"/>
  <c r="D2863" i="10"/>
  <c r="D2862" i="10"/>
  <c r="D2861" i="10"/>
  <c r="D2860" i="10"/>
  <c r="D2859" i="10"/>
  <c r="D2858" i="10"/>
  <c r="D2857" i="10"/>
  <c r="D2856" i="10"/>
  <c r="D2855" i="10"/>
  <c r="D2854" i="10"/>
  <c r="D2853" i="10"/>
  <c r="D2852" i="10"/>
  <c r="D2851" i="10"/>
  <c r="D2850" i="10"/>
  <c r="D2849" i="10"/>
  <c r="D2848" i="10"/>
  <c r="D2847" i="10"/>
  <c r="D2846" i="10"/>
  <c r="D2845" i="10"/>
  <c r="D2844" i="10"/>
  <c r="D2843" i="10"/>
  <c r="D2842" i="10"/>
  <c r="D2841" i="10"/>
  <c r="D2840" i="10"/>
  <c r="D2839" i="10"/>
  <c r="D2838" i="10"/>
  <c r="D2837" i="10"/>
  <c r="D2836" i="10"/>
  <c r="D2835" i="10"/>
  <c r="D2834" i="10"/>
  <c r="D2833" i="10"/>
  <c r="D2832" i="10"/>
  <c r="D2831" i="10"/>
  <c r="D2830" i="10"/>
  <c r="D2829" i="10"/>
  <c r="D2828" i="10"/>
  <c r="D2827" i="10"/>
  <c r="D2826" i="10"/>
  <c r="D2825" i="10"/>
  <c r="D2824" i="10"/>
  <c r="D2823" i="10"/>
  <c r="D2822" i="10"/>
  <c r="D2821" i="10"/>
  <c r="D2820" i="10"/>
  <c r="D2819" i="10"/>
  <c r="D2818" i="10"/>
  <c r="D2817" i="10"/>
  <c r="D2816" i="10"/>
  <c r="D2815" i="10"/>
  <c r="D2814" i="10"/>
  <c r="D2813" i="10"/>
  <c r="D2812" i="10"/>
  <c r="D2811" i="10"/>
  <c r="D2810" i="10"/>
  <c r="D2809" i="10"/>
  <c r="D2808" i="10"/>
  <c r="D2807" i="10"/>
  <c r="D2806" i="10"/>
  <c r="D2805" i="10"/>
  <c r="D2804" i="10"/>
  <c r="D2803" i="10"/>
  <c r="D2802" i="10"/>
  <c r="D2801" i="10"/>
  <c r="D2800" i="10"/>
  <c r="D2799" i="10"/>
  <c r="D2798" i="10"/>
  <c r="D2797" i="10"/>
  <c r="D2796" i="10"/>
  <c r="D2795" i="10"/>
  <c r="D2794" i="10"/>
  <c r="D2793" i="10"/>
  <c r="D2792" i="10"/>
  <c r="D2791" i="10"/>
  <c r="D2790" i="10"/>
  <c r="D2789" i="10"/>
  <c r="D2788" i="10"/>
  <c r="D2787" i="10"/>
  <c r="D2786" i="10"/>
  <c r="D2785" i="10"/>
  <c r="D2784" i="10"/>
  <c r="D2783" i="10"/>
  <c r="D2782" i="10"/>
  <c r="D2781" i="10"/>
  <c r="D2780" i="10"/>
  <c r="D2779" i="10"/>
  <c r="D2778" i="10"/>
  <c r="D2777" i="10"/>
  <c r="D2776" i="10"/>
  <c r="D2775" i="10"/>
  <c r="D2774" i="10"/>
  <c r="D2773" i="10"/>
  <c r="D2772" i="10"/>
  <c r="D2771" i="10"/>
  <c r="D2770" i="10"/>
  <c r="D2769" i="10"/>
  <c r="D2768" i="10"/>
  <c r="D2767" i="10"/>
  <c r="D2766" i="10"/>
  <c r="D2765" i="10"/>
  <c r="D2764" i="10"/>
  <c r="D2763" i="10"/>
  <c r="D2762" i="10"/>
  <c r="D2761" i="10"/>
  <c r="D2760" i="10"/>
  <c r="D2759" i="10"/>
  <c r="D2758" i="10"/>
  <c r="D2757" i="10"/>
  <c r="D2756" i="10"/>
  <c r="D2755" i="10"/>
  <c r="D2754" i="10"/>
  <c r="D2753" i="10"/>
  <c r="D2752" i="10"/>
  <c r="D2751" i="10"/>
  <c r="D2750" i="10"/>
  <c r="D2749" i="10"/>
  <c r="D2748" i="10"/>
  <c r="D2747" i="10"/>
  <c r="D2746" i="10"/>
  <c r="D2745" i="10"/>
  <c r="D2744" i="10"/>
  <c r="D2743" i="10"/>
  <c r="D2742" i="10"/>
  <c r="D2741" i="10"/>
  <c r="D2740" i="10"/>
  <c r="D2739" i="10"/>
  <c r="D2738" i="10"/>
  <c r="D2737" i="10"/>
  <c r="D2736" i="10"/>
  <c r="D2735" i="10"/>
  <c r="D2734" i="10"/>
  <c r="D2733" i="10"/>
  <c r="D2732" i="10"/>
  <c r="D2731" i="10"/>
  <c r="D2730" i="10"/>
  <c r="D2729" i="10"/>
  <c r="D2728" i="10"/>
  <c r="D2727" i="10"/>
  <c r="D2726" i="10"/>
  <c r="D2725" i="10"/>
  <c r="D2724" i="10"/>
  <c r="D2723" i="10"/>
  <c r="D2722" i="10"/>
  <c r="D2721" i="10"/>
  <c r="D2720" i="10"/>
  <c r="D2719" i="10"/>
  <c r="D2718" i="10"/>
  <c r="D2717" i="10"/>
  <c r="D2716" i="10"/>
  <c r="D2715" i="10"/>
  <c r="D2714" i="10"/>
  <c r="D2713" i="10"/>
  <c r="D2712" i="10"/>
  <c r="D2711" i="10"/>
  <c r="D2710" i="10"/>
  <c r="D2709" i="10"/>
  <c r="D2708" i="10"/>
  <c r="D2707" i="10"/>
  <c r="D2706" i="10"/>
  <c r="D2705" i="10"/>
  <c r="D2704" i="10"/>
  <c r="D2703" i="10"/>
  <c r="D2702" i="10"/>
  <c r="D2701" i="10"/>
  <c r="D2700" i="10"/>
  <c r="D2699" i="10"/>
  <c r="D2698" i="10"/>
  <c r="D2697" i="10"/>
  <c r="D2696" i="10"/>
  <c r="D2695" i="10"/>
  <c r="D2694" i="10"/>
  <c r="D2693" i="10"/>
  <c r="D2692" i="10"/>
  <c r="D2691" i="10"/>
  <c r="D2690" i="10"/>
  <c r="D2689" i="10"/>
  <c r="D2688" i="10"/>
  <c r="D2687" i="10"/>
  <c r="D2686" i="10"/>
  <c r="D2685" i="10"/>
  <c r="D2684" i="10"/>
  <c r="D2683" i="10"/>
  <c r="D2682" i="10"/>
  <c r="D2681" i="10"/>
  <c r="D2680" i="10"/>
  <c r="D2679" i="10"/>
  <c r="D2678" i="10"/>
  <c r="D2677" i="10"/>
  <c r="D2676" i="10"/>
  <c r="D2675" i="10"/>
  <c r="D2674" i="10"/>
  <c r="D2673" i="10"/>
  <c r="D2672" i="10"/>
  <c r="D2671" i="10"/>
  <c r="D2670" i="10"/>
  <c r="D2669" i="10"/>
  <c r="D2668" i="10"/>
  <c r="D2667" i="10"/>
  <c r="D2666" i="10"/>
  <c r="D2665" i="10"/>
  <c r="D2664" i="10"/>
  <c r="D2663" i="10"/>
  <c r="D2662" i="10"/>
  <c r="D2661" i="10"/>
  <c r="D2660" i="10"/>
  <c r="D2659" i="10"/>
  <c r="D2658" i="10"/>
  <c r="D2657" i="10"/>
  <c r="D2656" i="10"/>
  <c r="D2655" i="10"/>
  <c r="D2654" i="10"/>
  <c r="D2653" i="10"/>
  <c r="D2652" i="10"/>
  <c r="D2651" i="10"/>
  <c r="D2650" i="10"/>
  <c r="D2649" i="10"/>
  <c r="D2648" i="10"/>
  <c r="D2647" i="10"/>
  <c r="D2646" i="10"/>
  <c r="D2645" i="10"/>
  <c r="D2644" i="10"/>
  <c r="D2643" i="10"/>
  <c r="D2642" i="10"/>
  <c r="D2641" i="10"/>
  <c r="D2640" i="10"/>
  <c r="D2639" i="10"/>
  <c r="D2638" i="10"/>
  <c r="D2637" i="10"/>
  <c r="D2636" i="10"/>
  <c r="D2635" i="10"/>
  <c r="D2634" i="10"/>
  <c r="D2633" i="10"/>
  <c r="D2632" i="10"/>
  <c r="D2631" i="10"/>
  <c r="D2630" i="10"/>
  <c r="D2629" i="10"/>
  <c r="D2628" i="10"/>
  <c r="D2627" i="10"/>
  <c r="D2626" i="10"/>
  <c r="D2625" i="10"/>
  <c r="D2624" i="10"/>
  <c r="D2623" i="10"/>
  <c r="D2622" i="10"/>
  <c r="D2621" i="10"/>
  <c r="D2620" i="10"/>
  <c r="D2619" i="10"/>
  <c r="D2618" i="10"/>
  <c r="D2617" i="10"/>
  <c r="D2616" i="10"/>
  <c r="D2615" i="10"/>
  <c r="D2614" i="10"/>
  <c r="D2613" i="10"/>
  <c r="D2612" i="10"/>
  <c r="D2611" i="10"/>
  <c r="D2610" i="10"/>
  <c r="D2609" i="10"/>
  <c r="D2608" i="10"/>
  <c r="D2607" i="10"/>
  <c r="D2606" i="10"/>
  <c r="D2605" i="10"/>
  <c r="D2604" i="10"/>
  <c r="D2603" i="10"/>
  <c r="D2602" i="10"/>
  <c r="D2601" i="10"/>
  <c r="D2600" i="10"/>
  <c r="D2599" i="10"/>
  <c r="D2598" i="10"/>
  <c r="D2597" i="10"/>
  <c r="D2596" i="10"/>
  <c r="D2595" i="10"/>
  <c r="D2594" i="10"/>
  <c r="D2593" i="10"/>
  <c r="D2592" i="10"/>
  <c r="D2591" i="10"/>
  <c r="D2590" i="10"/>
  <c r="D2589" i="10"/>
  <c r="D2588" i="10"/>
  <c r="D2587" i="10"/>
  <c r="D2586" i="10"/>
  <c r="D2585" i="10"/>
  <c r="D2584" i="10"/>
  <c r="D2583" i="10"/>
  <c r="D2582" i="10"/>
  <c r="D2581" i="10"/>
  <c r="D2580" i="10"/>
  <c r="D2579" i="10"/>
  <c r="D2578" i="10"/>
  <c r="D2577" i="10"/>
  <c r="D2576" i="10"/>
  <c r="D2575" i="10"/>
  <c r="D2574" i="10"/>
  <c r="D2573" i="10"/>
  <c r="D2572" i="10"/>
  <c r="D2571" i="10"/>
  <c r="D2570" i="10"/>
  <c r="D2569" i="10"/>
  <c r="D2568" i="10"/>
  <c r="D2567" i="10"/>
  <c r="D2566" i="10"/>
  <c r="D2565" i="10"/>
  <c r="D2564" i="10"/>
  <c r="D2563" i="10"/>
  <c r="D2562" i="10"/>
  <c r="D2561" i="10"/>
  <c r="D2560" i="10"/>
  <c r="D2559" i="10"/>
  <c r="D2558" i="10"/>
  <c r="D2557" i="10"/>
  <c r="D2556" i="10"/>
  <c r="D2555" i="10"/>
  <c r="D2554" i="10"/>
  <c r="D2553" i="10"/>
  <c r="D2552" i="10"/>
  <c r="D2551" i="10"/>
  <c r="D2550" i="10"/>
  <c r="D2549" i="10"/>
  <c r="D2548" i="10"/>
  <c r="D2547" i="10"/>
  <c r="D2546" i="10"/>
  <c r="D2545" i="10"/>
  <c r="D2544" i="10"/>
  <c r="D2543" i="10"/>
  <c r="D2542" i="10"/>
  <c r="D2541" i="10"/>
  <c r="D2540" i="10"/>
  <c r="D2539" i="10"/>
  <c r="D2538" i="10"/>
  <c r="D2537" i="10"/>
  <c r="D2536" i="10"/>
  <c r="D2535" i="10"/>
  <c r="D2534" i="10"/>
  <c r="D2533" i="10"/>
  <c r="D2532" i="10"/>
  <c r="D2531" i="10"/>
  <c r="D2530" i="10"/>
  <c r="D2529" i="10"/>
  <c r="D2528" i="10"/>
  <c r="D2527" i="10"/>
  <c r="D2526" i="10"/>
  <c r="D2525" i="10"/>
  <c r="D2524" i="10"/>
  <c r="D2523" i="10"/>
  <c r="D2522" i="10"/>
  <c r="D2521" i="10"/>
  <c r="D2520" i="10"/>
  <c r="D2519" i="10"/>
  <c r="D2518" i="10"/>
  <c r="D2517" i="10"/>
  <c r="D2516" i="10"/>
  <c r="D2515" i="10"/>
  <c r="D2514" i="10"/>
  <c r="D2513" i="10"/>
  <c r="D2512" i="10"/>
  <c r="D2511" i="10"/>
  <c r="D2510" i="10"/>
  <c r="D2509" i="10"/>
  <c r="D2508" i="10"/>
  <c r="D2507" i="10"/>
  <c r="D2506" i="10"/>
  <c r="D2505" i="10"/>
  <c r="D2504" i="10"/>
  <c r="D2503" i="10"/>
  <c r="D2502" i="10"/>
  <c r="D2501" i="10"/>
  <c r="D2500" i="10"/>
  <c r="D2499" i="10"/>
  <c r="D2498" i="10"/>
  <c r="D2497" i="10"/>
  <c r="D2496" i="10"/>
  <c r="D2495" i="10"/>
  <c r="D2494" i="10"/>
  <c r="D2493" i="10"/>
  <c r="D2492" i="10"/>
  <c r="D2491" i="10"/>
  <c r="D2490" i="10"/>
  <c r="D2489" i="10"/>
  <c r="D2488" i="10"/>
  <c r="D2487" i="10"/>
  <c r="D2486" i="10"/>
  <c r="D2485" i="10"/>
  <c r="D2484" i="10"/>
  <c r="D2483" i="10"/>
  <c r="D2482" i="10"/>
  <c r="D2481" i="10"/>
  <c r="D2480" i="10"/>
  <c r="D2479" i="10"/>
  <c r="D2478" i="10"/>
  <c r="D2477" i="10"/>
  <c r="D2476" i="10"/>
  <c r="D2475" i="10"/>
  <c r="D2474" i="10"/>
  <c r="D2473" i="10"/>
  <c r="D2472" i="10"/>
  <c r="D2471" i="10"/>
  <c r="D2470" i="10"/>
  <c r="D2469" i="10"/>
  <c r="D2468" i="10"/>
  <c r="D2467" i="10"/>
  <c r="D2466" i="10"/>
  <c r="D2465" i="10"/>
  <c r="D2464" i="10"/>
  <c r="D2463" i="10"/>
  <c r="D2462" i="10"/>
  <c r="D2461" i="10"/>
  <c r="D2460" i="10"/>
  <c r="D2459" i="10"/>
  <c r="D2458" i="10"/>
  <c r="D2457" i="10"/>
  <c r="D2456" i="10"/>
  <c r="D2455" i="10"/>
  <c r="D2454" i="10"/>
  <c r="D2453" i="10"/>
  <c r="D2452" i="10"/>
  <c r="D2451" i="10"/>
  <c r="D2450" i="10"/>
  <c r="D2449" i="10"/>
  <c r="D2448" i="10"/>
  <c r="D2447" i="10"/>
  <c r="D2446" i="10"/>
  <c r="D2445" i="10"/>
  <c r="D2444" i="10"/>
  <c r="D2443" i="10"/>
  <c r="D2442" i="10"/>
  <c r="D2441" i="10"/>
  <c r="D2440" i="10"/>
  <c r="D2439" i="10"/>
  <c r="D2438" i="10"/>
  <c r="D2437" i="10"/>
  <c r="D2436" i="10"/>
  <c r="D2435" i="10"/>
  <c r="D2434" i="10"/>
  <c r="D2433" i="10"/>
  <c r="D2432" i="10"/>
  <c r="D2431" i="10"/>
  <c r="D2430" i="10"/>
  <c r="D2429" i="10"/>
  <c r="D2428" i="10"/>
  <c r="D2427" i="10"/>
  <c r="D2426" i="10"/>
  <c r="D2425" i="10"/>
  <c r="D2424" i="10"/>
  <c r="D2423" i="10"/>
  <c r="D2422" i="10"/>
  <c r="D2421" i="10"/>
  <c r="D2420" i="10"/>
  <c r="D2419" i="10"/>
  <c r="D2418" i="10"/>
  <c r="D2417" i="10"/>
  <c r="D2416" i="10"/>
  <c r="D2415" i="10"/>
  <c r="D2414" i="10"/>
  <c r="D2413" i="10"/>
  <c r="D2412" i="10"/>
  <c r="D2411" i="10"/>
  <c r="D2410" i="10"/>
  <c r="D2409" i="10"/>
  <c r="D2408" i="10"/>
  <c r="D2407" i="10"/>
  <c r="D2406" i="10"/>
  <c r="D2405" i="10"/>
  <c r="D2404" i="10"/>
  <c r="D2403" i="10"/>
  <c r="D2402" i="10"/>
  <c r="D2401" i="10"/>
  <c r="D2400" i="10"/>
  <c r="D2399" i="10"/>
  <c r="D2398" i="10"/>
  <c r="D2397" i="10"/>
  <c r="D2396" i="10"/>
  <c r="D2395" i="10"/>
  <c r="D2394" i="10"/>
  <c r="D2393" i="10"/>
  <c r="D2392" i="10"/>
  <c r="D2391" i="10"/>
  <c r="D2390" i="10"/>
  <c r="D2389" i="10"/>
  <c r="D2388" i="10"/>
  <c r="D2387" i="10"/>
  <c r="D2386" i="10"/>
  <c r="D2385" i="10"/>
  <c r="D2384" i="10"/>
  <c r="D2383" i="10"/>
  <c r="D2382" i="10"/>
  <c r="D2381" i="10"/>
  <c r="D2380" i="10"/>
  <c r="D2379" i="10"/>
  <c r="D2378" i="10"/>
  <c r="D2377" i="10"/>
  <c r="D2376" i="10"/>
  <c r="D2375" i="10"/>
  <c r="D2374" i="10"/>
  <c r="D2373" i="10"/>
  <c r="D2372" i="10"/>
  <c r="D2371" i="10"/>
  <c r="D2370" i="10"/>
  <c r="D2369" i="10"/>
  <c r="D2368" i="10"/>
  <c r="D2367" i="10"/>
  <c r="D2366" i="10"/>
  <c r="D2365" i="10"/>
  <c r="D2364" i="10"/>
  <c r="D2363" i="10"/>
  <c r="D2362" i="10"/>
  <c r="D2361" i="10"/>
  <c r="D2360" i="10"/>
  <c r="D2359" i="10"/>
  <c r="D2358" i="10"/>
  <c r="D2357" i="10"/>
  <c r="D2356" i="10"/>
  <c r="D2355" i="10"/>
  <c r="D2354" i="10"/>
  <c r="D2353" i="10"/>
  <c r="D2352" i="10"/>
  <c r="D2351" i="10"/>
  <c r="D2350" i="10"/>
  <c r="D2349" i="10"/>
  <c r="D2348" i="10"/>
  <c r="D2347" i="10"/>
  <c r="D2346" i="10"/>
  <c r="D2345" i="10"/>
  <c r="D2344" i="10"/>
  <c r="D2343" i="10"/>
  <c r="D2342" i="10"/>
  <c r="D2341" i="10"/>
  <c r="D2340" i="10"/>
  <c r="D2339" i="10"/>
  <c r="D2338" i="10"/>
  <c r="D2337" i="10"/>
  <c r="D2336" i="10"/>
  <c r="D2335" i="10"/>
  <c r="D2334" i="10"/>
  <c r="D2333" i="10"/>
  <c r="D2332" i="10"/>
  <c r="D2331" i="10"/>
  <c r="D2330" i="10"/>
  <c r="D2329" i="10"/>
  <c r="D2328" i="10"/>
  <c r="D2327" i="10"/>
  <c r="D2326" i="10"/>
  <c r="D2325" i="10"/>
  <c r="D2324" i="10"/>
  <c r="D2323" i="10"/>
  <c r="D2322" i="10"/>
  <c r="D2321" i="10"/>
  <c r="D2320" i="10"/>
  <c r="D2319" i="10"/>
  <c r="D2318" i="10"/>
  <c r="D2317" i="10"/>
  <c r="D2316" i="10"/>
  <c r="D2315" i="10"/>
  <c r="D2314" i="10"/>
  <c r="D2313" i="10"/>
  <c r="D2312" i="10"/>
  <c r="D2311" i="10"/>
  <c r="D2310" i="10"/>
  <c r="D2309" i="10"/>
  <c r="D2308" i="10"/>
  <c r="D2307" i="10"/>
  <c r="D2306" i="10"/>
  <c r="D2305" i="10"/>
  <c r="D2304" i="10"/>
  <c r="D2303" i="10"/>
  <c r="D2302" i="10"/>
  <c r="D2301" i="10"/>
  <c r="D2300" i="10"/>
  <c r="D2299" i="10"/>
  <c r="D2298" i="10"/>
  <c r="D2297" i="10"/>
  <c r="D2296" i="10"/>
  <c r="D2295" i="10"/>
  <c r="D2294" i="10"/>
  <c r="D2293" i="10"/>
  <c r="D2292" i="10"/>
  <c r="D2291" i="10"/>
  <c r="D2290" i="10"/>
  <c r="D2289" i="10"/>
  <c r="D2288" i="10"/>
  <c r="D2287" i="10"/>
  <c r="D2286" i="10"/>
  <c r="D2285" i="10"/>
  <c r="D2284" i="10"/>
  <c r="D2283" i="10"/>
  <c r="D2282" i="10"/>
  <c r="D2281" i="10"/>
  <c r="D2280" i="10"/>
  <c r="D2279" i="10"/>
  <c r="D2278" i="10"/>
  <c r="D2277" i="10"/>
  <c r="D2276" i="10"/>
  <c r="D2275" i="10"/>
  <c r="D2274" i="10"/>
  <c r="D2273" i="10"/>
  <c r="D2272" i="10"/>
  <c r="D2271" i="10"/>
  <c r="D2270" i="10"/>
  <c r="D2269" i="10"/>
  <c r="D2268" i="10"/>
  <c r="D2267" i="10"/>
  <c r="D2266" i="10"/>
  <c r="D2265" i="10"/>
  <c r="D2264" i="10"/>
  <c r="D2263" i="10"/>
  <c r="D2262" i="10"/>
  <c r="D2261" i="10"/>
  <c r="D2260" i="10"/>
  <c r="D2259" i="10"/>
  <c r="D2258" i="10"/>
  <c r="D2257" i="10"/>
  <c r="D2256" i="10"/>
  <c r="D2255" i="10"/>
  <c r="D2254" i="10"/>
  <c r="D2253" i="10"/>
  <c r="D2252" i="10"/>
  <c r="D2251" i="10"/>
  <c r="D2250" i="10"/>
  <c r="D2249" i="10"/>
  <c r="D2248" i="10"/>
  <c r="D2247" i="10"/>
  <c r="D2246" i="10"/>
  <c r="D2245" i="10"/>
  <c r="D2244" i="10"/>
  <c r="D2243" i="10"/>
  <c r="D2242" i="10"/>
  <c r="D2241" i="10"/>
  <c r="D2240" i="10"/>
  <c r="D2239" i="10"/>
  <c r="D2238" i="10"/>
  <c r="D2237" i="10"/>
  <c r="D2236" i="10"/>
  <c r="D2235" i="10"/>
  <c r="D2234" i="10"/>
  <c r="D2233" i="10"/>
  <c r="D2232" i="10"/>
  <c r="D2231" i="10"/>
  <c r="D2230" i="10"/>
  <c r="D2229" i="10"/>
  <c r="D2228" i="10"/>
  <c r="D2227" i="10"/>
  <c r="D2226" i="10"/>
  <c r="D2225" i="10"/>
  <c r="D2224" i="10"/>
  <c r="D2223" i="10"/>
  <c r="D2222" i="10"/>
  <c r="D2221" i="10"/>
  <c r="D2220" i="10"/>
  <c r="D2219" i="10"/>
  <c r="D2218" i="10"/>
  <c r="D2217" i="10"/>
  <c r="D2216" i="10"/>
  <c r="D2215" i="10"/>
  <c r="D2214" i="10"/>
  <c r="D2213" i="10"/>
  <c r="D2212" i="10"/>
  <c r="D2211" i="10"/>
  <c r="D2210" i="10"/>
  <c r="D2209" i="10"/>
  <c r="D2208" i="10"/>
  <c r="D2207" i="10"/>
  <c r="D2206" i="10"/>
  <c r="D2205" i="10"/>
  <c r="D2204" i="10"/>
  <c r="D2203" i="10"/>
  <c r="D2202" i="10"/>
  <c r="D2201" i="10"/>
  <c r="D2200" i="10"/>
  <c r="D2199" i="10"/>
  <c r="D2198" i="10"/>
  <c r="D2197" i="10"/>
  <c r="D2196" i="10"/>
  <c r="D2195" i="10"/>
  <c r="D2194" i="10"/>
  <c r="D2193" i="10"/>
  <c r="D2192" i="10"/>
  <c r="D2191" i="10"/>
  <c r="D2190" i="10"/>
  <c r="D2189" i="10"/>
  <c r="D2188" i="10"/>
  <c r="D2187" i="10"/>
  <c r="D2186" i="10"/>
  <c r="D2185" i="10"/>
  <c r="D2184" i="10"/>
  <c r="D2183" i="10"/>
  <c r="D2182" i="10"/>
  <c r="D2181" i="10"/>
  <c r="D2180" i="10"/>
  <c r="D2179" i="10"/>
  <c r="D2178" i="10"/>
  <c r="D2177" i="10"/>
  <c r="D2176" i="10"/>
  <c r="D2175" i="10"/>
  <c r="D2174" i="10"/>
  <c r="D2173" i="10"/>
  <c r="D2172" i="10"/>
  <c r="D2171" i="10"/>
  <c r="D2170" i="10"/>
  <c r="D2169" i="10"/>
  <c r="D2168" i="10"/>
  <c r="D2167" i="10"/>
  <c r="D2166" i="10"/>
  <c r="D2165" i="10"/>
  <c r="D2164" i="10"/>
  <c r="D2163" i="10"/>
  <c r="D2162" i="10"/>
  <c r="D2161" i="10"/>
  <c r="D2160" i="10"/>
  <c r="D2159" i="10"/>
  <c r="D2158" i="10"/>
  <c r="D2157" i="10"/>
  <c r="D2156" i="10"/>
  <c r="D2155" i="10"/>
  <c r="D2154" i="10"/>
  <c r="D2153" i="10"/>
  <c r="D2152" i="10"/>
  <c r="D2151" i="10"/>
  <c r="D2150" i="10"/>
  <c r="D2149" i="10"/>
  <c r="D2148" i="10"/>
  <c r="D2147" i="10"/>
  <c r="D2146" i="10"/>
  <c r="D2145" i="10"/>
  <c r="D2144" i="10"/>
  <c r="D2143" i="10"/>
  <c r="D2142" i="10"/>
  <c r="D2141" i="10"/>
  <c r="D2140" i="10"/>
  <c r="D2139" i="10"/>
  <c r="D2138" i="10"/>
  <c r="D2137" i="10"/>
  <c r="D2136" i="10"/>
  <c r="D2135" i="10"/>
  <c r="D2134" i="10"/>
  <c r="D2133" i="10"/>
  <c r="D2132" i="10"/>
  <c r="D2131" i="10"/>
  <c r="D2130" i="10"/>
  <c r="D2129" i="10"/>
  <c r="D2128" i="10"/>
  <c r="D2127" i="10"/>
  <c r="D2126" i="10"/>
  <c r="D2125" i="10"/>
  <c r="D2124" i="10"/>
  <c r="D2123" i="10"/>
  <c r="D2122" i="10"/>
  <c r="D2121" i="10"/>
  <c r="D2120" i="10"/>
  <c r="D2119" i="10"/>
  <c r="D2118" i="10"/>
  <c r="D2117" i="10"/>
  <c r="D2116" i="10"/>
  <c r="D2115" i="10"/>
  <c r="D2114" i="10"/>
  <c r="D2113" i="10"/>
  <c r="D2112" i="10"/>
  <c r="D2111" i="10"/>
  <c r="D2110" i="10"/>
  <c r="D2109" i="10"/>
  <c r="D2108" i="10"/>
  <c r="D2107" i="10"/>
  <c r="D2106" i="10"/>
  <c r="D2105" i="10"/>
  <c r="D2104" i="10"/>
  <c r="D2103" i="10"/>
  <c r="D2102" i="10"/>
  <c r="D2101" i="10"/>
  <c r="D2100" i="10"/>
  <c r="D2099" i="10"/>
  <c r="D2098" i="10"/>
  <c r="D2097" i="10"/>
  <c r="D2096" i="10"/>
  <c r="D2095" i="10"/>
  <c r="D2094" i="10"/>
  <c r="D2093" i="10"/>
  <c r="D2092" i="10"/>
  <c r="D2091" i="10"/>
  <c r="D2090" i="10"/>
  <c r="D2089" i="10"/>
  <c r="D2088" i="10"/>
  <c r="D2087" i="10"/>
  <c r="D2086" i="10"/>
  <c r="D2085" i="10"/>
  <c r="D2084" i="10"/>
  <c r="D2083" i="10"/>
  <c r="D2082" i="10"/>
  <c r="D2081" i="10"/>
  <c r="D2080" i="10"/>
  <c r="D2079" i="10"/>
  <c r="D2078" i="10"/>
  <c r="D2077" i="10"/>
  <c r="D2076" i="10"/>
  <c r="D2075" i="10"/>
  <c r="D2074" i="10"/>
  <c r="D2073" i="10"/>
  <c r="D2072" i="10"/>
  <c r="D2071" i="10"/>
  <c r="D2070" i="10"/>
  <c r="D2069" i="10"/>
  <c r="D2068" i="10"/>
  <c r="D2067" i="10"/>
  <c r="D2066" i="10"/>
  <c r="D2065" i="10"/>
  <c r="D2064" i="10"/>
  <c r="D2063" i="10"/>
  <c r="D2062" i="10"/>
  <c r="D2061" i="10"/>
  <c r="D2060" i="10"/>
  <c r="D2059" i="10"/>
  <c r="D2058" i="10"/>
  <c r="D2057" i="10"/>
  <c r="D2056" i="10"/>
  <c r="D2055" i="10"/>
  <c r="D2054" i="10"/>
  <c r="D2053" i="10"/>
  <c r="D2052" i="10"/>
  <c r="D2051" i="10"/>
  <c r="D2050" i="10"/>
  <c r="D2049" i="10"/>
  <c r="D2048" i="10"/>
  <c r="D2047" i="10"/>
  <c r="D2046" i="10"/>
  <c r="D2045" i="10"/>
  <c r="D2044" i="10"/>
  <c r="D2043" i="10"/>
  <c r="D2042" i="10"/>
  <c r="D2041" i="10"/>
  <c r="D2040" i="10"/>
  <c r="D2039" i="10"/>
  <c r="D2038" i="10"/>
  <c r="D2037" i="10"/>
  <c r="D2036" i="10"/>
  <c r="D2035" i="10"/>
  <c r="D2034" i="10"/>
  <c r="D2033" i="10"/>
  <c r="D2032" i="10"/>
  <c r="D2031" i="10"/>
  <c r="D2030" i="10"/>
  <c r="D2029" i="10"/>
  <c r="D2028" i="10"/>
  <c r="D2027" i="10"/>
  <c r="D2026" i="10"/>
  <c r="D2025" i="10"/>
  <c r="D2024" i="10"/>
  <c r="D2023" i="10"/>
  <c r="D2022" i="10"/>
  <c r="D2021" i="10"/>
  <c r="D2020" i="10"/>
  <c r="D2019" i="10"/>
  <c r="D2018" i="10"/>
  <c r="D2017" i="10"/>
  <c r="D2016" i="10"/>
  <c r="D2015" i="10"/>
  <c r="D2014" i="10"/>
  <c r="D2013" i="10"/>
  <c r="D2012" i="10"/>
  <c r="D2011" i="10"/>
  <c r="D2010" i="10"/>
  <c r="D2009" i="10"/>
  <c r="D2008" i="10"/>
  <c r="D2007" i="10"/>
  <c r="D2006" i="10"/>
  <c r="D2005" i="10"/>
  <c r="D2004" i="10"/>
  <c r="D2003" i="10"/>
  <c r="D2002" i="10"/>
  <c r="D2001" i="10"/>
  <c r="D2000" i="10"/>
  <c r="D1999" i="10"/>
  <c r="D1998" i="10"/>
  <c r="D1997" i="10"/>
  <c r="D1996" i="10"/>
  <c r="D1995" i="10"/>
  <c r="D1994" i="10"/>
  <c r="D1993" i="10"/>
  <c r="D1992" i="10"/>
  <c r="D1991" i="10"/>
  <c r="D1990" i="10"/>
  <c r="D1989" i="10"/>
  <c r="D1988" i="10"/>
  <c r="D1987" i="10"/>
  <c r="D1986" i="10"/>
  <c r="D1985" i="10"/>
  <c r="D1984" i="10"/>
  <c r="D1983" i="10"/>
  <c r="D1982" i="10"/>
  <c r="D1981" i="10"/>
  <c r="D1980" i="10"/>
  <c r="D1979" i="10"/>
  <c r="D1978" i="10"/>
  <c r="D1977" i="10"/>
  <c r="D1976" i="10"/>
  <c r="D1975" i="10"/>
  <c r="D1974" i="10"/>
  <c r="D1973" i="10"/>
  <c r="D1972" i="10"/>
  <c r="D1971" i="10"/>
  <c r="D1970" i="10"/>
  <c r="D1969" i="10"/>
  <c r="D1968" i="10"/>
  <c r="D1967" i="10"/>
  <c r="D1966" i="10"/>
  <c r="D1965" i="10"/>
  <c r="D1964" i="10"/>
  <c r="D1963" i="10"/>
  <c r="D1962" i="10"/>
  <c r="D1961" i="10"/>
  <c r="D1960" i="10"/>
  <c r="D1959" i="10"/>
  <c r="D1958" i="10"/>
  <c r="D1957" i="10"/>
  <c r="D1956" i="10"/>
  <c r="D1955" i="10"/>
  <c r="D1954" i="10"/>
  <c r="D1953" i="10"/>
  <c r="D1952" i="10"/>
  <c r="D1951" i="10"/>
  <c r="D1950" i="10"/>
  <c r="D1949" i="10"/>
  <c r="D1948" i="10"/>
  <c r="D1947" i="10"/>
  <c r="D1946" i="10"/>
  <c r="D1945" i="10"/>
  <c r="D1944" i="10"/>
  <c r="D1943" i="10"/>
  <c r="D1942" i="10"/>
  <c r="D1941" i="10"/>
  <c r="D1940" i="10"/>
  <c r="D1939" i="10"/>
  <c r="D1938" i="10"/>
  <c r="D1937" i="10"/>
  <c r="D1936" i="10"/>
  <c r="D1935" i="10"/>
  <c r="D1934" i="10"/>
  <c r="D1933" i="10"/>
  <c r="D1932" i="10"/>
  <c r="D1931" i="10"/>
  <c r="D1930" i="10"/>
  <c r="D1929" i="10"/>
  <c r="D1928" i="10"/>
  <c r="D1927" i="10"/>
  <c r="D1926" i="10"/>
  <c r="D1925" i="10"/>
  <c r="D1924" i="10"/>
  <c r="D1923" i="10"/>
  <c r="D1922" i="10"/>
  <c r="D1921" i="10"/>
  <c r="D1920" i="10"/>
  <c r="D1919" i="10"/>
  <c r="D1918" i="10"/>
  <c r="D1917" i="10"/>
  <c r="D1916" i="10"/>
  <c r="D1915" i="10"/>
  <c r="D1914" i="10"/>
  <c r="D1913" i="10"/>
  <c r="D1912" i="10"/>
  <c r="D1911" i="10"/>
  <c r="D1910" i="10"/>
  <c r="D1909" i="10"/>
  <c r="D1908" i="10"/>
  <c r="D1907" i="10"/>
  <c r="D1906" i="10"/>
  <c r="D1905" i="10"/>
  <c r="D1904" i="10"/>
  <c r="D1903" i="10"/>
  <c r="D1902" i="10"/>
  <c r="D1901" i="10"/>
  <c r="D1900" i="10"/>
  <c r="D1899" i="10"/>
  <c r="D1898" i="10"/>
  <c r="D1897" i="10"/>
  <c r="D1896" i="10"/>
  <c r="D1895" i="10"/>
  <c r="D1894" i="10"/>
  <c r="D1893" i="10"/>
  <c r="D1892" i="10"/>
  <c r="D1891" i="10"/>
  <c r="D1890" i="10"/>
  <c r="D1889" i="10"/>
  <c r="D1888" i="10"/>
  <c r="D1887" i="10"/>
  <c r="D1886" i="10"/>
  <c r="D1885" i="10"/>
  <c r="D1884" i="10"/>
  <c r="D1883" i="10"/>
  <c r="D1882" i="10"/>
  <c r="D1881" i="10"/>
  <c r="D1880" i="10"/>
  <c r="D1879" i="10"/>
  <c r="D1878" i="10"/>
  <c r="D1877" i="10"/>
  <c r="D1876" i="10"/>
  <c r="D1875" i="10"/>
  <c r="D1874" i="10"/>
  <c r="D1873" i="10"/>
  <c r="D1872" i="10"/>
  <c r="D1871" i="10"/>
  <c r="D1870" i="10"/>
  <c r="D1869" i="10"/>
  <c r="D1868" i="10"/>
  <c r="D1867" i="10"/>
  <c r="D1866" i="10"/>
  <c r="D1865" i="10"/>
  <c r="D1864" i="10"/>
  <c r="D1863" i="10"/>
  <c r="D1862" i="10"/>
  <c r="D1861" i="10"/>
  <c r="D1860" i="10"/>
  <c r="D1859" i="10"/>
  <c r="D1858" i="10"/>
  <c r="D1857" i="10"/>
  <c r="D1856" i="10"/>
  <c r="D1855" i="10"/>
  <c r="D1854" i="10"/>
  <c r="D1853" i="10"/>
  <c r="D1852" i="10"/>
  <c r="D1851" i="10"/>
  <c r="D1850" i="10"/>
  <c r="D1849" i="10"/>
  <c r="D1848" i="10"/>
  <c r="D1847" i="10"/>
  <c r="D1846" i="10"/>
  <c r="D1845" i="10"/>
  <c r="D1844" i="10"/>
  <c r="D1843" i="10"/>
  <c r="D1842" i="10"/>
  <c r="D1841" i="10"/>
  <c r="D1840" i="10"/>
  <c r="D1839" i="10"/>
  <c r="D1838" i="10"/>
  <c r="D1837" i="10"/>
  <c r="D1836" i="10"/>
  <c r="D1835" i="10"/>
  <c r="D1834" i="10"/>
  <c r="D1833" i="10"/>
  <c r="D1832" i="10"/>
  <c r="D1831" i="10"/>
  <c r="D1830" i="10"/>
  <c r="D1829" i="10"/>
  <c r="D1828" i="10"/>
  <c r="D1827" i="10"/>
  <c r="D1826" i="10"/>
  <c r="D1825" i="10"/>
  <c r="D1824" i="10"/>
  <c r="D1823" i="10"/>
  <c r="D1822" i="10"/>
  <c r="D1821" i="10"/>
  <c r="D1820" i="10"/>
  <c r="D1819" i="10"/>
  <c r="D1818" i="10"/>
  <c r="D1817" i="10"/>
  <c r="D1816" i="10"/>
  <c r="D1815" i="10"/>
  <c r="D1814" i="10"/>
  <c r="D1813" i="10"/>
  <c r="D1812" i="10"/>
  <c r="D1811" i="10"/>
  <c r="D1810" i="10"/>
  <c r="D1809" i="10"/>
  <c r="D1808" i="10"/>
  <c r="D1807" i="10"/>
  <c r="D1806" i="10"/>
  <c r="D1805" i="10"/>
  <c r="D1804" i="10"/>
  <c r="D1803" i="10"/>
  <c r="D1802" i="10"/>
  <c r="D1801" i="10"/>
  <c r="D1800" i="10"/>
  <c r="D1799" i="10"/>
  <c r="D1798" i="10"/>
  <c r="D1797" i="10"/>
  <c r="D1796" i="10"/>
  <c r="D1795" i="10"/>
  <c r="D1794" i="10"/>
  <c r="D1793" i="10"/>
  <c r="D1792" i="10"/>
  <c r="D1791" i="10"/>
  <c r="D1790" i="10"/>
  <c r="D1789" i="10"/>
  <c r="D1788" i="10"/>
  <c r="D1787" i="10"/>
  <c r="D1786" i="10"/>
  <c r="D1785" i="10"/>
  <c r="D1784" i="10"/>
  <c r="D1783" i="10"/>
  <c r="D1782" i="10"/>
  <c r="D1781" i="10"/>
  <c r="D1780" i="10"/>
  <c r="D1779" i="10"/>
  <c r="D1778" i="10"/>
  <c r="D1777" i="10"/>
  <c r="D1776" i="10"/>
  <c r="D1775" i="10"/>
  <c r="D1774" i="10"/>
  <c r="D1773" i="10"/>
  <c r="D1772" i="10"/>
  <c r="D1771" i="10"/>
  <c r="D1770" i="10"/>
  <c r="D1769" i="10"/>
  <c r="D1768" i="10"/>
  <c r="D1767" i="10"/>
  <c r="D1766" i="10"/>
  <c r="D1765" i="10"/>
  <c r="D1764" i="10"/>
  <c r="D1763" i="10"/>
  <c r="D1762" i="10"/>
  <c r="D1761" i="10"/>
  <c r="D1760" i="10"/>
  <c r="D1759" i="10"/>
  <c r="D1758" i="10"/>
  <c r="D1757" i="10"/>
  <c r="D1756" i="10"/>
  <c r="D1755" i="10"/>
  <c r="D1754" i="10"/>
  <c r="D1753" i="10"/>
  <c r="D1752" i="10"/>
  <c r="D1751" i="10"/>
  <c r="D1750" i="10"/>
  <c r="D1749" i="10"/>
  <c r="D1748" i="10"/>
  <c r="D1747" i="10"/>
  <c r="D1746" i="10"/>
  <c r="D1745" i="10"/>
  <c r="D1744" i="10"/>
  <c r="D1743" i="10"/>
  <c r="D1742" i="10"/>
  <c r="D1741" i="10"/>
  <c r="D1740" i="10"/>
  <c r="D1739" i="10"/>
  <c r="D1738" i="10"/>
  <c r="D1737" i="10"/>
  <c r="D1736" i="10"/>
  <c r="D1735" i="10"/>
  <c r="D1734" i="10"/>
  <c r="D1733" i="10"/>
  <c r="D1732" i="10"/>
  <c r="D1731" i="10"/>
  <c r="D1730" i="10"/>
  <c r="D1729" i="10"/>
  <c r="D1728" i="10"/>
  <c r="D1727" i="10"/>
  <c r="D1726" i="10"/>
  <c r="D1725" i="10"/>
  <c r="D1724" i="10"/>
  <c r="D1723" i="10"/>
  <c r="D1722" i="10"/>
  <c r="D1721" i="10"/>
  <c r="D1720" i="10"/>
  <c r="D1719" i="10"/>
  <c r="D1718" i="10"/>
  <c r="D1717" i="10"/>
  <c r="D1716" i="10"/>
  <c r="D1715" i="10"/>
  <c r="D1714" i="10"/>
  <c r="D1713" i="10"/>
  <c r="D1712" i="10"/>
  <c r="D1711" i="10"/>
  <c r="D1710" i="10"/>
  <c r="D1709" i="10"/>
  <c r="D1708" i="10"/>
  <c r="D1707" i="10"/>
  <c r="D1706" i="10"/>
  <c r="D1705" i="10"/>
  <c r="D1704" i="10"/>
  <c r="D1703" i="10"/>
  <c r="D1702" i="10"/>
  <c r="D1701" i="10"/>
  <c r="D1700" i="10"/>
  <c r="D1699" i="10"/>
  <c r="D1698" i="10"/>
  <c r="D1697" i="10"/>
  <c r="D1696" i="10"/>
  <c r="D1695" i="10"/>
  <c r="D1694" i="10"/>
  <c r="D1693" i="10"/>
  <c r="D1692" i="10"/>
  <c r="D1691" i="10"/>
  <c r="D1690" i="10"/>
  <c r="D1689" i="10"/>
  <c r="D1688" i="10"/>
  <c r="D1687" i="10"/>
  <c r="D1686" i="10"/>
  <c r="D1685" i="10"/>
  <c r="D1684" i="10"/>
  <c r="D1683" i="10"/>
  <c r="D1682" i="10"/>
  <c r="D1681" i="10"/>
  <c r="D1680" i="10"/>
  <c r="D1679" i="10"/>
  <c r="D1678" i="10"/>
  <c r="D1677" i="10"/>
  <c r="D1676" i="10"/>
  <c r="D1675" i="10"/>
  <c r="D1674" i="10"/>
  <c r="D1673" i="10"/>
  <c r="D1672" i="10"/>
  <c r="D1671" i="10"/>
  <c r="D1670" i="10"/>
  <c r="D1669" i="10"/>
  <c r="D1668" i="10"/>
  <c r="D1667" i="10"/>
  <c r="D1666" i="10"/>
  <c r="D1665" i="10"/>
  <c r="D1664" i="10"/>
  <c r="D1663" i="10"/>
  <c r="D1662" i="10"/>
  <c r="D1661" i="10"/>
  <c r="D1660" i="10"/>
  <c r="D1659" i="10"/>
  <c r="D1658" i="10"/>
  <c r="D1657" i="10"/>
  <c r="D1656" i="10"/>
  <c r="D1655" i="10"/>
  <c r="D1654" i="10"/>
  <c r="D1653" i="10"/>
  <c r="D1652" i="10"/>
  <c r="D1651" i="10"/>
  <c r="D1650" i="10"/>
  <c r="D1649" i="10"/>
  <c r="D1648" i="10"/>
  <c r="D1647" i="10"/>
  <c r="D1646" i="10"/>
  <c r="D1645" i="10"/>
  <c r="D1644" i="10"/>
  <c r="D1643" i="10"/>
  <c r="D1642" i="10"/>
  <c r="D1641" i="10"/>
  <c r="D1640" i="10"/>
  <c r="D1639" i="10"/>
  <c r="D1638" i="10"/>
  <c r="D1637" i="10"/>
  <c r="D1636" i="10"/>
  <c r="D1635" i="10"/>
  <c r="D1634" i="10"/>
  <c r="D1633" i="10"/>
  <c r="D1632" i="10"/>
  <c r="D1631" i="10"/>
  <c r="D1630" i="10"/>
  <c r="D1629" i="10"/>
  <c r="D1628" i="10"/>
  <c r="D1627" i="10"/>
  <c r="D1626" i="10"/>
  <c r="D1625" i="10"/>
  <c r="D1624" i="10"/>
  <c r="D1623" i="10"/>
  <c r="D1622" i="10"/>
  <c r="D1621" i="10"/>
  <c r="D1620" i="10"/>
  <c r="D1619" i="10"/>
  <c r="D1618" i="10"/>
  <c r="D1617" i="10"/>
  <c r="D1616" i="10"/>
  <c r="D1615" i="10"/>
  <c r="D1614" i="10"/>
  <c r="D1613" i="10"/>
  <c r="D1612" i="10"/>
  <c r="D1611" i="10"/>
  <c r="D1610" i="10"/>
  <c r="D1609" i="10"/>
  <c r="D1608" i="10"/>
  <c r="D1607" i="10"/>
  <c r="D1606" i="10"/>
  <c r="D1605" i="10"/>
  <c r="D1604" i="10"/>
  <c r="D1603" i="10"/>
  <c r="D1602" i="10"/>
  <c r="D1601" i="10"/>
  <c r="D1600" i="10"/>
  <c r="D1599" i="10"/>
  <c r="D1598" i="10"/>
  <c r="D1597" i="10"/>
  <c r="D1596" i="10"/>
  <c r="D1595" i="10"/>
  <c r="D1594" i="10"/>
  <c r="D1593" i="10"/>
  <c r="D1592" i="10"/>
  <c r="D1591" i="10"/>
  <c r="D1590" i="10"/>
  <c r="D1589" i="10"/>
  <c r="D1588" i="10"/>
  <c r="D1587" i="10"/>
  <c r="D1586" i="10"/>
  <c r="D1585" i="10"/>
  <c r="D1584" i="10"/>
  <c r="D1583" i="10"/>
  <c r="D1582" i="10"/>
  <c r="D1581" i="10"/>
  <c r="D1580" i="10"/>
  <c r="D1579" i="10"/>
  <c r="D1578" i="10"/>
  <c r="D1577" i="10"/>
  <c r="D1576" i="10"/>
  <c r="D1575" i="10"/>
  <c r="D1574" i="10"/>
  <c r="D1573" i="10"/>
  <c r="D1572" i="10"/>
  <c r="D1571" i="10"/>
  <c r="D1570" i="10"/>
  <c r="D1569" i="10"/>
  <c r="D1568" i="10"/>
  <c r="D1567" i="10"/>
  <c r="D1566" i="10"/>
  <c r="D1565" i="10"/>
  <c r="D1564" i="10"/>
  <c r="D1563" i="10"/>
  <c r="D1562" i="10"/>
  <c r="D1561" i="10"/>
  <c r="D1560" i="10"/>
  <c r="D1559" i="10"/>
  <c r="D1558" i="10"/>
  <c r="D1557" i="10"/>
  <c r="D1556" i="10"/>
  <c r="D1555" i="10"/>
  <c r="D1554" i="10"/>
  <c r="D1553" i="10"/>
  <c r="D1552" i="10"/>
  <c r="D1551" i="10"/>
  <c r="D1550" i="10"/>
  <c r="D1549" i="10"/>
  <c r="D1548" i="10"/>
  <c r="D1547" i="10"/>
  <c r="D1546" i="10"/>
  <c r="D1545" i="10"/>
  <c r="D1544" i="10"/>
  <c r="D1543" i="10"/>
  <c r="D1542" i="10"/>
  <c r="D1541" i="10"/>
  <c r="D1540" i="10"/>
  <c r="D1539" i="10"/>
  <c r="D1538" i="10"/>
  <c r="D1537" i="10"/>
  <c r="D1536" i="10"/>
  <c r="D1535" i="10"/>
  <c r="D1534" i="10"/>
  <c r="D1533" i="10"/>
  <c r="D1532" i="10"/>
  <c r="D1531" i="10"/>
  <c r="D1530" i="10"/>
  <c r="D1529" i="10"/>
  <c r="D1528" i="10"/>
  <c r="D1527" i="10"/>
  <c r="D1526" i="10"/>
  <c r="D1525" i="10"/>
  <c r="D1524" i="10"/>
  <c r="D1523" i="10"/>
  <c r="D1522" i="10"/>
  <c r="D1521" i="10"/>
  <c r="D1520" i="10"/>
  <c r="D1519" i="10"/>
  <c r="D1518" i="10"/>
  <c r="D1517" i="10"/>
  <c r="D1516" i="10"/>
  <c r="D1515" i="10"/>
  <c r="D1514" i="10"/>
  <c r="D1513" i="10"/>
  <c r="D1512" i="10"/>
  <c r="D1511" i="10"/>
  <c r="D1510" i="10"/>
  <c r="D1509" i="10"/>
  <c r="D1508" i="10"/>
  <c r="D1507" i="10"/>
  <c r="D1506" i="10"/>
  <c r="D1505" i="10"/>
  <c r="D1504" i="10"/>
  <c r="D1503" i="10"/>
  <c r="D1502" i="10"/>
  <c r="D1501" i="10"/>
  <c r="D1500" i="10"/>
  <c r="D1499" i="10"/>
  <c r="D1498" i="10"/>
  <c r="D1497" i="10"/>
  <c r="D1496" i="10"/>
  <c r="D1495" i="10"/>
  <c r="D1494" i="10"/>
  <c r="D1493" i="10"/>
  <c r="D1492" i="10"/>
  <c r="D1491" i="10"/>
  <c r="D1490" i="10"/>
  <c r="D1489" i="10"/>
  <c r="D1488" i="10"/>
  <c r="D1487" i="10"/>
  <c r="D1486" i="10"/>
  <c r="D1485" i="10"/>
  <c r="D1484" i="10"/>
  <c r="D1483" i="10"/>
  <c r="D1482" i="10"/>
  <c r="D1481" i="10"/>
  <c r="D1480" i="10"/>
  <c r="D1479" i="10"/>
  <c r="D1478" i="10"/>
  <c r="D1477" i="10"/>
  <c r="D1476" i="10"/>
  <c r="D1475" i="10"/>
  <c r="D1474" i="10"/>
  <c r="D1473" i="10"/>
  <c r="D1472" i="10"/>
  <c r="D1471" i="10"/>
  <c r="D1470" i="10"/>
  <c r="D1469" i="10"/>
  <c r="D1468" i="10"/>
  <c r="D1467" i="10"/>
  <c r="D1466" i="10"/>
  <c r="D1465" i="10"/>
  <c r="D1464" i="10"/>
  <c r="D1463" i="10"/>
  <c r="D1462" i="10"/>
  <c r="D1461" i="10"/>
  <c r="D1460" i="10"/>
  <c r="D1459" i="10"/>
  <c r="D1458" i="10"/>
  <c r="D1457" i="10"/>
  <c r="D1456" i="10"/>
  <c r="D1455" i="10"/>
  <c r="D1454" i="10"/>
  <c r="D1453" i="10"/>
  <c r="D1452" i="10"/>
  <c r="D1451" i="10"/>
  <c r="D1450" i="10"/>
  <c r="D1449" i="10"/>
  <c r="D1448" i="10"/>
  <c r="D1447" i="10"/>
  <c r="D1446" i="10"/>
  <c r="D1445" i="10"/>
  <c r="D1444" i="10"/>
  <c r="D1443" i="10"/>
  <c r="D1442" i="10"/>
  <c r="D1441" i="10"/>
  <c r="D1440" i="10"/>
  <c r="D1439" i="10"/>
  <c r="D1438" i="10"/>
  <c r="D1437" i="10"/>
  <c r="D1436" i="10"/>
  <c r="D1435" i="10"/>
  <c r="D1434" i="10"/>
  <c r="D1433" i="10"/>
  <c r="D1432" i="10"/>
  <c r="D1431" i="10"/>
  <c r="D1430" i="10"/>
  <c r="D1429" i="10"/>
  <c r="D1428" i="10"/>
  <c r="D1427" i="10"/>
  <c r="D1426" i="10"/>
  <c r="D1425" i="10"/>
  <c r="D1424" i="10"/>
  <c r="D1423" i="10"/>
  <c r="D1422" i="10"/>
  <c r="D1421" i="10"/>
  <c r="D1420" i="10"/>
  <c r="D1419" i="10"/>
  <c r="D1418" i="10"/>
  <c r="D1417" i="10"/>
  <c r="D1416" i="10"/>
  <c r="D1415" i="10"/>
  <c r="D1414" i="10"/>
  <c r="D1413" i="10"/>
  <c r="D1412" i="10"/>
  <c r="D1411" i="10"/>
  <c r="D1410" i="10"/>
  <c r="D1409" i="10"/>
  <c r="D1408" i="10"/>
  <c r="D1407" i="10"/>
  <c r="D1406" i="10"/>
  <c r="D1405" i="10"/>
  <c r="D1404" i="10"/>
  <c r="D1403" i="10"/>
  <c r="D1402" i="10"/>
  <c r="D1401" i="10"/>
  <c r="D1400" i="10"/>
  <c r="D1399" i="10"/>
  <c r="D1398" i="10"/>
  <c r="D1397" i="10"/>
  <c r="D1396" i="10"/>
  <c r="D1395" i="10"/>
  <c r="D1394" i="10"/>
  <c r="D1393" i="10"/>
  <c r="D1392" i="10"/>
  <c r="D1391" i="10"/>
  <c r="D1390" i="10"/>
  <c r="D1389" i="10"/>
  <c r="D1388" i="10"/>
  <c r="D1387" i="10"/>
  <c r="D1386" i="10"/>
  <c r="D1385" i="10"/>
  <c r="D1384" i="10"/>
  <c r="D1383" i="10"/>
  <c r="D1382" i="10"/>
  <c r="D1381" i="10"/>
  <c r="D1380" i="10"/>
  <c r="D1379" i="10"/>
  <c r="D1378" i="10"/>
  <c r="D1377" i="10"/>
  <c r="D1376" i="10"/>
  <c r="D1375" i="10"/>
  <c r="D1374" i="10"/>
  <c r="D1373" i="10"/>
  <c r="D1372" i="10"/>
  <c r="D1371" i="10"/>
  <c r="D1370" i="10"/>
  <c r="D1369" i="10"/>
  <c r="D1368" i="10"/>
  <c r="D1367" i="10"/>
  <c r="D1366" i="10"/>
  <c r="D1365" i="10"/>
  <c r="D1364" i="10"/>
  <c r="D1363" i="10"/>
  <c r="D1362" i="10"/>
  <c r="D1361" i="10"/>
  <c r="D1360" i="10"/>
  <c r="D1359" i="10"/>
  <c r="D1358" i="10"/>
  <c r="D1357" i="10"/>
  <c r="D1356" i="10"/>
  <c r="D1355" i="10"/>
  <c r="D1354" i="10"/>
  <c r="D1353" i="10"/>
  <c r="D1352" i="10"/>
  <c r="D1351" i="10"/>
  <c r="D1350" i="10"/>
  <c r="D1349" i="10"/>
  <c r="D1348" i="10"/>
  <c r="D1347" i="10"/>
  <c r="D1346" i="10"/>
  <c r="D1345" i="10"/>
  <c r="D1344" i="10"/>
  <c r="D1343" i="10"/>
  <c r="D1342" i="10"/>
  <c r="D1341" i="10"/>
  <c r="D1340" i="10"/>
  <c r="D1339" i="10"/>
  <c r="D1338" i="10"/>
  <c r="D1337" i="10"/>
  <c r="D1336" i="10"/>
  <c r="D1335" i="10"/>
  <c r="D1334" i="10"/>
  <c r="D1333" i="10"/>
  <c r="D1332" i="10"/>
  <c r="D1331" i="10"/>
  <c r="D1330" i="10"/>
  <c r="D1329" i="10"/>
  <c r="D1328" i="10"/>
  <c r="D1327" i="10"/>
  <c r="D1326" i="10"/>
  <c r="D1325" i="10"/>
  <c r="D1324" i="10"/>
  <c r="D1323" i="10"/>
  <c r="D1322" i="10"/>
  <c r="D1321" i="10"/>
  <c r="D1320" i="10"/>
  <c r="D1319" i="10"/>
  <c r="D1318" i="10"/>
  <c r="D1317" i="10"/>
  <c r="D1316" i="10"/>
  <c r="D1315" i="10"/>
  <c r="D1314" i="10"/>
  <c r="D1313" i="10"/>
  <c r="D1312" i="10"/>
  <c r="D1311" i="10"/>
  <c r="D1310" i="10"/>
  <c r="D1309" i="10"/>
  <c r="D1308" i="10"/>
  <c r="D1307" i="10"/>
  <c r="D1306" i="10"/>
  <c r="D1305" i="10"/>
  <c r="D1304" i="10"/>
  <c r="D1303" i="10"/>
  <c r="D1302" i="10"/>
  <c r="D1301" i="10"/>
  <c r="D1300" i="10"/>
  <c r="D1299" i="10"/>
  <c r="D1298" i="10"/>
  <c r="D1297" i="10"/>
  <c r="D1296" i="10"/>
  <c r="D1295" i="10"/>
  <c r="D1294" i="10"/>
  <c r="D1293" i="10"/>
  <c r="D1292" i="10"/>
  <c r="D1291" i="10"/>
  <c r="D1290" i="10"/>
  <c r="D1289" i="10"/>
  <c r="D1288" i="10"/>
  <c r="D1287" i="10"/>
  <c r="D1286" i="10"/>
  <c r="D1285" i="10"/>
  <c r="D1284" i="10"/>
  <c r="D1283" i="10"/>
  <c r="D1282" i="10"/>
  <c r="D1281" i="10"/>
  <c r="D1280" i="10"/>
  <c r="D1279" i="10"/>
  <c r="D1278" i="10"/>
  <c r="D1277" i="10"/>
  <c r="D1276" i="10"/>
  <c r="D1275" i="10"/>
  <c r="D1274" i="10"/>
  <c r="D1273" i="10"/>
  <c r="D1272" i="10"/>
  <c r="D1271" i="10"/>
  <c r="D1270" i="10"/>
  <c r="D1269" i="10"/>
  <c r="D1268" i="10"/>
  <c r="D1267" i="10"/>
  <c r="D1266" i="10"/>
  <c r="D1265" i="10"/>
  <c r="D1264" i="10"/>
  <c r="D1263" i="10"/>
  <c r="D1262" i="10"/>
  <c r="D1261" i="10"/>
  <c r="D1260" i="10"/>
  <c r="D1259" i="10"/>
  <c r="D1258" i="10"/>
  <c r="D1257" i="10"/>
  <c r="D1256" i="10"/>
  <c r="D1255" i="10"/>
  <c r="D1254" i="10"/>
  <c r="D1253" i="10"/>
  <c r="D1252" i="10"/>
  <c r="D1251" i="10"/>
  <c r="D1250" i="10"/>
  <c r="D1249" i="10"/>
  <c r="D1248" i="10"/>
  <c r="D1247" i="10"/>
  <c r="D1246" i="10"/>
  <c r="D1245" i="10"/>
  <c r="D1244" i="10"/>
  <c r="D1243" i="10"/>
  <c r="D1242" i="10"/>
  <c r="D1241" i="10"/>
  <c r="D1240" i="10"/>
  <c r="D1239" i="10"/>
  <c r="D1238" i="10"/>
  <c r="D1237" i="10"/>
  <c r="D1236" i="10"/>
  <c r="D1235" i="10"/>
  <c r="D1234" i="10"/>
  <c r="D1233" i="10"/>
  <c r="D1232" i="10"/>
  <c r="D1231" i="10"/>
  <c r="D1230" i="10"/>
  <c r="D1229" i="10"/>
  <c r="D1228" i="10"/>
  <c r="D1227" i="10"/>
  <c r="D1226" i="10"/>
  <c r="D1225" i="10"/>
  <c r="D1224" i="10"/>
  <c r="D1223" i="10"/>
  <c r="D1222" i="10"/>
  <c r="D1221" i="10"/>
  <c r="D1220" i="10"/>
  <c r="D1219" i="10"/>
  <c r="D1218" i="10"/>
  <c r="D1217" i="10"/>
  <c r="D1216" i="10"/>
  <c r="D1215" i="10"/>
  <c r="D1214" i="10"/>
  <c r="D1213" i="10"/>
  <c r="D1212" i="10"/>
  <c r="D1211" i="10"/>
  <c r="D1210" i="10"/>
  <c r="D1209" i="10"/>
  <c r="D1208" i="10"/>
  <c r="D1207" i="10"/>
  <c r="D1206" i="10"/>
  <c r="D1205" i="10"/>
  <c r="D1204" i="10"/>
  <c r="D1203" i="10"/>
  <c r="D1202" i="10"/>
  <c r="D1201" i="10"/>
  <c r="D1200" i="10"/>
  <c r="D1199" i="10"/>
  <c r="D1198" i="10"/>
  <c r="D1197" i="10"/>
  <c r="D1196" i="10"/>
  <c r="D1195" i="10"/>
  <c r="D1194" i="10"/>
  <c r="D1193" i="10"/>
  <c r="D1192" i="10"/>
  <c r="D1191" i="10"/>
  <c r="D1190" i="10"/>
  <c r="D1189" i="10"/>
  <c r="D1188" i="10"/>
  <c r="D1187" i="10"/>
  <c r="D1186" i="10"/>
  <c r="D1185" i="10"/>
  <c r="D1184" i="10"/>
  <c r="D1183" i="10"/>
  <c r="D1182" i="10"/>
  <c r="D1181" i="10"/>
  <c r="D1180" i="10"/>
  <c r="D1179" i="10"/>
  <c r="D1178" i="10"/>
  <c r="D1177" i="10"/>
  <c r="D1176" i="10"/>
  <c r="D1175" i="10"/>
  <c r="D1174" i="10"/>
  <c r="D1173" i="10"/>
  <c r="D1172" i="10"/>
  <c r="D1171" i="10"/>
  <c r="D1170" i="10"/>
  <c r="D1169" i="10"/>
  <c r="D1168" i="10"/>
  <c r="D1167" i="10"/>
  <c r="D1166" i="10"/>
  <c r="D1165" i="10"/>
  <c r="D1164" i="10"/>
  <c r="D1163" i="10"/>
  <c r="D1162" i="10"/>
  <c r="D1161" i="10"/>
  <c r="D1160" i="10"/>
  <c r="D1159" i="10"/>
  <c r="D1158" i="10"/>
  <c r="D1157" i="10"/>
  <c r="D1156" i="10"/>
  <c r="D1155" i="10"/>
  <c r="D1154" i="10"/>
  <c r="D1153" i="10"/>
  <c r="D1152" i="10"/>
  <c r="D1151" i="10"/>
  <c r="D1150" i="10"/>
  <c r="D1149" i="10"/>
  <c r="D1148" i="10"/>
  <c r="D1147" i="10"/>
  <c r="D1146" i="10"/>
  <c r="D1145" i="10"/>
  <c r="D1144" i="10"/>
  <c r="D1143" i="10"/>
  <c r="D1142" i="10"/>
  <c r="D1141" i="10"/>
  <c r="D1140" i="10"/>
  <c r="D1139" i="10"/>
  <c r="D1138" i="10"/>
  <c r="D1137" i="10"/>
  <c r="D1136" i="10"/>
  <c r="D1135" i="10"/>
  <c r="D1134" i="10"/>
  <c r="D1133" i="10"/>
  <c r="D1132" i="10"/>
  <c r="D1131" i="10"/>
  <c r="D1130" i="10"/>
  <c r="D1129" i="10"/>
  <c r="D1128" i="10"/>
  <c r="D1127" i="10"/>
  <c r="D1126" i="10"/>
  <c r="D1125" i="10"/>
  <c r="D1124" i="10"/>
  <c r="D1123" i="10"/>
  <c r="D1122" i="10"/>
  <c r="D1121" i="10"/>
  <c r="D1120" i="10"/>
  <c r="D1119" i="10"/>
  <c r="D1118" i="10"/>
  <c r="D1117" i="10"/>
  <c r="D1116" i="10"/>
  <c r="D1115" i="10"/>
  <c r="D1114" i="10"/>
  <c r="D1113" i="10"/>
  <c r="D1112" i="10"/>
  <c r="D1111" i="10"/>
  <c r="D1110" i="10"/>
  <c r="D1109" i="10"/>
  <c r="D1108" i="10"/>
  <c r="D1107" i="10"/>
  <c r="D1106" i="10"/>
  <c r="D1105" i="10"/>
  <c r="D1104" i="10"/>
  <c r="D1103" i="10"/>
  <c r="D1102" i="10"/>
  <c r="D1101" i="10"/>
  <c r="D1100" i="10"/>
  <c r="D1099" i="10"/>
  <c r="D1098" i="10"/>
  <c r="D1097" i="10"/>
  <c r="D1096" i="10"/>
  <c r="D1095" i="10"/>
  <c r="D1094" i="10"/>
  <c r="D1093" i="10"/>
  <c r="D1092" i="10"/>
  <c r="D1091" i="10"/>
  <c r="D1090" i="10"/>
  <c r="D1089" i="10"/>
  <c r="D1088" i="10"/>
  <c r="D1087" i="10"/>
  <c r="D1086" i="10"/>
  <c r="D1085" i="10"/>
  <c r="D1084" i="10"/>
  <c r="D1083" i="10"/>
  <c r="D1082" i="10"/>
  <c r="D1081" i="10"/>
  <c r="D1080" i="10"/>
  <c r="D1079" i="10"/>
  <c r="D1078" i="10"/>
  <c r="D1077" i="10"/>
  <c r="D1076" i="10"/>
  <c r="D1075" i="10"/>
  <c r="D1074" i="10"/>
  <c r="D1073" i="10"/>
  <c r="D1072" i="10"/>
  <c r="D1071" i="10"/>
  <c r="D1070" i="10"/>
  <c r="D1069" i="10"/>
  <c r="D1068" i="10"/>
  <c r="D1067" i="10"/>
  <c r="D1066" i="10"/>
  <c r="D1065" i="10"/>
  <c r="D1064" i="10"/>
  <c r="D1063" i="10"/>
  <c r="D1062" i="10"/>
  <c r="D1061" i="10"/>
  <c r="D1060" i="10"/>
  <c r="D1059" i="10"/>
  <c r="D1058" i="10"/>
  <c r="D1057" i="10"/>
  <c r="D1056" i="10"/>
  <c r="D1055" i="10"/>
  <c r="D1054" i="10"/>
  <c r="D1053" i="10"/>
  <c r="D1052" i="10"/>
  <c r="D1051" i="10"/>
  <c r="D1050" i="10"/>
  <c r="D1049" i="10"/>
  <c r="D1048" i="10"/>
  <c r="D1047" i="10"/>
  <c r="D1046" i="10"/>
  <c r="D1045" i="10"/>
  <c r="D1044" i="10"/>
  <c r="D1043" i="10"/>
  <c r="D1042" i="10"/>
  <c r="D1041" i="10"/>
  <c r="D1040" i="10"/>
  <c r="D1039" i="10"/>
  <c r="D1038" i="10"/>
  <c r="D1037" i="10"/>
  <c r="D1036" i="10"/>
  <c r="D1035" i="10"/>
  <c r="D1034" i="10"/>
  <c r="D1033" i="10"/>
  <c r="D1032" i="10"/>
  <c r="D1031" i="10"/>
  <c r="D1030" i="10"/>
  <c r="D1029" i="10"/>
  <c r="D1028" i="10"/>
  <c r="D1027" i="10"/>
  <c r="D1026" i="10"/>
  <c r="D1025" i="10"/>
  <c r="D1024" i="10"/>
  <c r="D1023" i="10"/>
  <c r="D1022" i="10"/>
  <c r="D1021" i="10"/>
  <c r="D1020" i="10"/>
  <c r="D1019" i="10"/>
  <c r="D1018" i="10"/>
  <c r="D1017" i="10"/>
  <c r="D1016" i="10"/>
  <c r="D1015" i="10"/>
  <c r="D1014" i="10"/>
  <c r="D1013" i="10"/>
  <c r="D1012" i="10"/>
  <c r="D1011" i="10"/>
  <c r="D1010" i="10"/>
  <c r="D1009" i="10"/>
  <c r="D1008" i="10"/>
  <c r="D1007" i="10"/>
  <c r="D1006" i="10"/>
  <c r="D1005" i="10"/>
  <c r="D1004" i="10"/>
  <c r="D1003" i="10"/>
  <c r="D1002" i="10"/>
  <c r="D1001" i="10"/>
  <c r="D1000" i="10"/>
  <c r="D999" i="10"/>
  <c r="D998" i="10"/>
  <c r="D997" i="10"/>
  <c r="D996" i="10"/>
  <c r="D995" i="10"/>
  <c r="D994" i="10"/>
  <c r="D993" i="10"/>
  <c r="D992" i="10"/>
  <c r="D991" i="10"/>
  <c r="D990" i="10"/>
  <c r="D989" i="10"/>
  <c r="D988" i="10"/>
  <c r="D987" i="10"/>
  <c r="D986" i="10"/>
  <c r="D985" i="10"/>
  <c r="D984" i="10"/>
  <c r="D983" i="10"/>
  <c r="D982" i="10"/>
  <c r="D981" i="10"/>
  <c r="D980" i="10"/>
  <c r="D979" i="10"/>
  <c r="D978" i="10"/>
  <c r="D977" i="10"/>
  <c r="D976" i="10"/>
  <c r="D975" i="10"/>
  <c r="D974" i="10"/>
  <c r="D973" i="10"/>
  <c r="D972" i="10"/>
  <c r="D971" i="10"/>
  <c r="D970" i="10"/>
  <c r="D969" i="10"/>
  <c r="D968" i="10"/>
  <c r="D967" i="10"/>
  <c r="D966" i="10"/>
  <c r="D965" i="10"/>
  <c r="D964" i="10"/>
  <c r="D963" i="10"/>
  <c r="D962" i="10"/>
  <c r="D961" i="10"/>
  <c r="D960" i="10"/>
  <c r="D959" i="10"/>
  <c r="D958" i="10"/>
  <c r="D957" i="10"/>
  <c r="D956" i="10"/>
  <c r="D955" i="10"/>
  <c r="D954" i="10"/>
  <c r="D953" i="10"/>
  <c r="D952" i="10"/>
  <c r="D951" i="10"/>
  <c r="D950" i="10"/>
  <c r="D949" i="10"/>
  <c r="D948" i="10"/>
  <c r="D947" i="10"/>
  <c r="D946" i="10"/>
  <c r="D945" i="10"/>
  <c r="D944" i="10"/>
  <c r="D943" i="10"/>
  <c r="D942" i="10"/>
  <c r="D941" i="10"/>
  <c r="D940" i="10"/>
  <c r="D939" i="10"/>
  <c r="D938" i="10"/>
  <c r="D937" i="10"/>
  <c r="D936" i="10"/>
  <c r="D935" i="10"/>
  <c r="D934" i="10"/>
  <c r="D933" i="10"/>
  <c r="D932" i="10"/>
  <c r="D931" i="10"/>
  <c r="D930" i="10"/>
  <c r="D929" i="10"/>
  <c r="D928" i="10"/>
  <c r="D927" i="10"/>
  <c r="D926" i="10"/>
  <c r="D925" i="10"/>
  <c r="D924" i="10"/>
  <c r="D923" i="10"/>
  <c r="D922" i="10"/>
  <c r="D921" i="10"/>
  <c r="D920" i="10"/>
  <c r="D919" i="10"/>
  <c r="D918" i="10"/>
  <c r="D917" i="10"/>
  <c r="D916" i="10"/>
  <c r="D915" i="10"/>
  <c r="D914" i="10"/>
  <c r="D913" i="10"/>
  <c r="D912" i="10"/>
  <c r="D911" i="10"/>
  <c r="D910" i="10"/>
  <c r="D909" i="10"/>
  <c r="D908" i="10"/>
  <c r="D907" i="10"/>
  <c r="D906" i="10"/>
  <c r="D905" i="10"/>
  <c r="D904" i="10"/>
  <c r="D903" i="10"/>
  <c r="D902" i="10"/>
  <c r="D901" i="10"/>
  <c r="D900" i="10"/>
  <c r="D899" i="10"/>
  <c r="D898" i="10"/>
  <c r="D897" i="10"/>
  <c r="D896" i="10"/>
  <c r="D895" i="10"/>
  <c r="D894" i="10"/>
  <c r="D893" i="10"/>
  <c r="D892" i="10"/>
  <c r="D891" i="10"/>
  <c r="D890" i="10"/>
  <c r="D889" i="10"/>
  <c r="D888" i="10"/>
  <c r="D887" i="10"/>
  <c r="D886" i="10"/>
  <c r="D885" i="10"/>
  <c r="D884" i="10"/>
  <c r="D883" i="10"/>
  <c r="D882" i="10"/>
  <c r="D881" i="10"/>
  <c r="D880" i="10"/>
  <c r="D879" i="10"/>
  <c r="D878" i="10"/>
  <c r="D877" i="10"/>
  <c r="D876" i="10"/>
  <c r="D875" i="10"/>
  <c r="D874" i="10"/>
  <c r="D873" i="10"/>
  <c r="D872" i="10"/>
  <c r="D871" i="10"/>
  <c r="D870" i="10"/>
  <c r="D869" i="10"/>
  <c r="D868" i="10"/>
  <c r="D867" i="10"/>
  <c r="D866" i="10"/>
  <c r="D865" i="10"/>
  <c r="D864" i="10"/>
  <c r="D863" i="10"/>
  <c r="D862" i="10"/>
  <c r="D861" i="10"/>
  <c r="D860" i="10"/>
  <c r="D859" i="10"/>
  <c r="D858" i="10"/>
  <c r="D857" i="10"/>
  <c r="D856" i="10"/>
  <c r="D855" i="10"/>
  <c r="D854" i="10"/>
  <c r="D853" i="10"/>
  <c r="D852" i="10"/>
  <c r="D851" i="10"/>
  <c r="D850" i="10"/>
  <c r="D849" i="10"/>
  <c r="D848" i="10"/>
  <c r="D847" i="10"/>
  <c r="D846" i="10"/>
  <c r="D845" i="10"/>
  <c r="D844" i="10"/>
  <c r="D843" i="10"/>
  <c r="D842" i="10"/>
  <c r="D841" i="10"/>
  <c r="D840" i="10"/>
  <c r="D839" i="10"/>
  <c r="D838" i="10"/>
  <c r="D837" i="10"/>
  <c r="D836" i="10"/>
  <c r="D835" i="10"/>
  <c r="D834" i="10"/>
  <c r="D833" i="10"/>
  <c r="D832" i="10"/>
  <c r="D831" i="10"/>
  <c r="D830" i="10"/>
  <c r="D829" i="10"/>
  <c r="D828" i="10"/>
  <c r="D827" i="10"/>
  <c r="D826" i="10"/>
  <c r="D825" i="10"/>
  <c r="D824" i="10"/>
  <c r="D823" i="10"/>
  <c r="D822" i="10"/>
  <c r="D821" i="10"/>
  <c r="D820" i="10"/>
  <c r="D819" i="10"/>
  <c r="D818" i="10"/>
  <c r="D817" i="10"/>
  <c r="D816" i="10"/>
  <c r="D815" i="10"/>
  <c r="D814" i="10"/>
  <c r="D813" i="10"/>
  <c r="D812" i="10"/>
  <c r="D811" i="10"/>
  <c r="D810" i="10"/>
  <c r="D809" i="10"/>
  <c r="D808" i="10"/>
  <c r="D807" i="10"/>
  <c r="D806" i="10"/>
  <c r="D805" i="10"/>
  <c r="D804" i="10"/>
  <c r="D803" i="10"/>
  <c r="D802" i="10"/>
  <c r="D801" i="10"/>
  <c r="D800" i="10"/>
  <c r="D799" i="10"/>
  <c r="D798" i="10"/>
  <c r="D797" i="10"/>
  <c r="D796" i="10"/>
  <c r="D795" i="10"/>
  <c r="D794" i="10"/>
  <c r="D793" i="10"/>
  <c r="D792" i="10"/>
  <c r="D791" i="10"/>
  <c r="D790" i="10"/>
  <c r="D789" i="10"/>
  <c r="D788" i="10"/>
  <c r="D787" i="10"/>
  <c r="D786" i="10"/>
  <c r="D785" i="10"/>
  <c r="D784" i="10"/>
  <c r="F783" i="10"/>
  <c r="D783" i="10"/>
  <c r="F782" i="10"/>
  <c r="E782" i="10"/>
  <c r="D782" i="10"/>
  <c r="F781" i="10"/>
  <c r="E781" i="10"/>
  <c r="D781" i="10"/>
  <c r="F780" i="10"/>
  <c r="E780" i="10"/>
  <c r="D780" i="10"/>
  <c r="F779" i="10"/>
  <c r="E779" i="10"/>
  <c r="D779" i="10"/>
  <c r="F778" i="10"/>
  <c r="E778" i="10"/>
  <c r="D778" i="10"/>
  <c r="F777" i="10"/>
  <c r="E777" i="10"/>
  <c r="D777" i="10"/>
  <c r="F776" i="10"/>
  <c r="E776" i="10"/>
  <c r="D776" i="10"/>
  <c r="F775" i="10"/>
  <c r="E775" i="10"/>
  <c r="D775" i="10"/>
  <c r="F774" i="10"/>
  <c r="E774" i="10"/>
  <c r="D774" i="10"/>
  <c r="F773" i="10"/>
  <c r="E773" i="10"/>
  <c r="D773" i="10"/>
  <c r="F772" i="10"/>
  <c r="E772" i="10"/>
  <c r="D772" i="10"/>
  <c r="F771" i="10"/>
  <c r="E771" i="10"/>
  <c r="D771" i="10"/>
  <c r="F770" i="10"/>
  <c r="E770" i="10"/>
  <c r="D770" i="10"/>
  <c r="F769" i="10"/>
  <c r="E769" i="10"/>
  <c r="D769" i="10"/>
  <c r="F768" i="10"/>
  <c r="E768" i="10"/>
  <c r="D768" i="10"/>
  <c r="F767" i="10"/>
  <c r="E767" i="10"/>
  <c r="D767" i="10"/>
  <c r="F766" i="10"/>
  <c r="E766" i="10"/>
  <c r="D766" i="10"/>
  <c r="F765" i="10"/>
  <c r="E765" i="10"/>
  <c r="D765" i="10"/>
  <c r="F764" i="10"/>
  <c r="E764" i="10"/>
  <c r="D764" i="10"/>
  <c r="F763" i="10"/>
  <c r="E763" i="10"/>
  <c r="D763" i="10"/>
  <c r="F762" i="10"/>
  <c r="E762" i="10"/>
  <c r="D762" i="10"/>
  <c r="F761" i="10"/>
  <c r="E761" i="10"/>
  <c r="D761" i="10"/>
  <c r="F760" i="10"/>
  <c r="E760" i="10"/>
  <c r="D760" i="10"/>
  <c r="F759" i="10"/>
  <c r="E759" i="10"/>
  <c r="D759" i="10"/>
  <c r="F758" i="10"/>
  <c r="E758" i="10"/>
  <c r="D758" i="10"/>
  <c r="F757" i="10"/>
  <c r="E757" i="10"/>
  <c r="D757" i="10"/>
  <c r="F756" i="10"/>
  <c r="E756" i="10"/>
  <c r="D756" i="10"/>
  <c r="F755" i="10"/>
  <c r="E755" i="10"/>
  <c r="D755" i="10"/>
  <c r="F754" i="10"/>
  <c r="E754" i="10"/>
  <c r="D754" i="10"/>
  <c r="F753" i="10"/>
  <c r="E753" i="10"/>
  <c r="D753" i="10"/>
  <c r="F752" i="10"/>
  <c r="E752" i="10"/>
  <c r="D752" i="10"/>
  <c r="F751" i="10"/>
  <c r="E751" i="10"/>
  <c r="D751" i="10"/>
  <c r="F750" i="10"/>
  <c r="E750" i="10"/>
  <c r="D750" i="10"/>
  <c r="F749" i="10"/>
  <c r="E749" i="10"/>
  <c r="D749" i="10"/>
  <c r="F748" i="10"/>
  <c r="E748" i="10"/>
  <c r="D748" i="10"/>
  <c r="F747" i="10"/>
  <c r="E747" i="10"/>
  <c r="D747" i="10"/>
  <c r="F746" i="10"/>
  <c r="E746" i="10"/>
  <c r="D746" i="10"/>
  <c r="F745" i="10"/>
  <c r="E745" i="10"/>
  <c r="D745" i="10"/>
  <c r="F744" i="10"/>
  <c r="E744" i="10"/>
  <c r="D744" i="10"/>
  <c r="F743" i="10"/>
  <c r="E743" i="10"/>
  <c r="D743" i="10"/>
  <c r="F742" i="10"/>
  <c r="E742" i="10"/>
  <c r="D742" i="10"/>
  <c r="F741" i="10"/>
  <c r="E741" i="10"/>
  <c r="D741" i="10"/>
  <c r="F740" i="10"/>
  <c r="E740" i="10"/>
  <c r="D740" i="10"/>
  <c r="F739" i="10"/>
  <c r="E739" i="10"/>
  <c r="D739" i="10"/>
  <c r="F738" i="10"/>
  <c r="E738" i="10"/>
  <c r="D738" i="10"/>
  <c r="F737" i="10"/>
  <c r="E737" i="10"/>
  <c r="D737" i="10"/>
  <c r="F736" i="10"/>
  <c r="E736" i="10"/>
  <c r="D736" i="10"/>
  <c r="F735" i="10"/>
  <c r="E735" i="10"/>
  <c r="D735" i="10"/>
  <c r="F734" i="10"/>
  <c r="E734" i="10"/>
  <c r="D734" i="10"/>
  <c r="F733" i="10"/>
  <c r="E733" i="10"/>
  <c r="D733" i="10"/>
  <c r="F732" i="10"/>
  <c r="E732" i="10"/>
  <c r="D732" i="10"/>
  <c r="F731" i="10"/>
  <c r="E731" i="10"/>
  <c r="D731" i="10"/>
  <c r="F730" i="10"/>
  <c r="E730" i="10"/>
  <c r="D730" i="10"/>
  <c r="F729" i="10"/>
  <c r="E729" i="10"/>
  <c r="D729" i="10"/>
  <c r="F728" i="10"/>
  <c r="E728" i="10"/>
  <c r="D728" i="10"/>
  <c r="F727" i="10"/>
  <c r="E727" i="10"/>
  <c r="D727" i="10"/>
  <c r="F726" i="10"/>
  <c r="E726" i="10"/>
  <c r="D726" i="10"/>
  <c r="F725" i="10"/>
  <c r="E725" i="10"/>
  <c r="D725" i="10"/>
  <c r="F724" i="10"/>
  <c r="E724" i="10"/>
  <c r="D724" i="10"/>
  <c r="F723" i="10"/>
  <c r="E723" i="10"/>
  <c r="D723" i="10"/>
  <c r="F722" i="10"/>
  <c r="E722" i="10"/>
  <c r="D722" i="10"/>
  <c r="F721" i="10"/>
  <c r="E721" i="10"/>
  <c r="D721" i="10"/>
  <c r="F720" i="10"/>
  <c r="E720" i="10"/>
  <c r="D720" i="10"/>
  <c r="F719" i="10"/>
  <c r="E719" i="10"/>
  <c r="D719" i="10"/>
  <c r="F718" i="10"/>
  <c r="E718" i="10"/>
  <c r="D718" i="10"/>
  <c r="F717" i="10"/>
  <c r="E717" i="10"/>
  <c r="D717" i="10"/>
  <c r="F716" i="10"/>
  <c r="E716" i="10"/>
  <c r="D716" i="10"/>
  <c r="F715" i="10"/>
  <c r="E715" i="10"/>
  <c r="D715" i="10"/>
  <c r="F714" i="10"/>
  <c r="E714" i="10"/>
  <c r="D714" i="10"/>
  <c r="F713" i="10"/>
  <c r="E713" i="10"/>
  <c r="D713" i="10"/>
  <c r="F712" i="10"/>
  <c r="E712" i="10"/>
  <c r="D712" i="10"/>
  <c r="F711" i="10"/>
  <c r="E711" i="10"/>
  <c r="D711" i="10"/>
  <c r="F710" i="10"/>
  <c r="E710" i="10"/>
  <c r="D710" i="10"/>
  <c r="F709" i="10"/>
  <c r="E709" i="10"/>
  <c r="D709" i="10"/>
  <c r="F708" i="10"/>
  <c r="E708" i="10"/>
  <c r="D708" i="10"/>
  <c r="F707" i="10"/>
  <c r="E707" i="10"/>
  <c r="D707" i="10"/>
  <c r="F706" i="10"/>
  <c r="E706" i="10"/>
  <c r="D706" i="10"/>
  <c r="F705" i="10"/>
  <c r="E705" i="10"/>
  <c r="D705" i="10"/>
  <c r="F704" i="10"/>
  <c r="E704" i="10"/>
  <c r="D704" i="10"/>
  <c r="F703" i="10"/>
  <c r="E703" i="10"/>
  <c r="D703" i="10"/>
  <c r="F702" i="10"/>
  <c r="E702" i="10"/>
  <c r="D702" i="10"/>
  <c r="F701" i="10"/>
  <c r="E701" i="10"/>
  <c r="D701" i="10"/>
  <c r="F700" i="10"/>
  <c r="E700" i="10"/>
  <c r="D700" i="10"/>
  <c r="F699" i="10"/>
  <c r="E699" i="10"/>
  <c r="D699" i="10"/>
  <c r="F698" i="10"/>
  <c r="E698" i="10"/>
  <c r="D698" i="10"/>
  <c r="F697" i="10"/>
  <c r="E697" i="10"/>
  <c r="D697" i="10"/>
  <c r="F696" i="10"/>
  <c r="E696" i="10"/>
  <c r="D696" i="10"/>
  <c r="F695" i="10"/>
  <c r="E695" i="10"/>
  <c r="D695" i="10"/>
  <c r="F694" i="10"/>
  <c r="E694" i="10"/>
  <c r="D694" i="10"/>
  <c r="F693" i="10"/>
  <c r="E693" i="10"/>
  <c r="D693" i="10"/>
  <c r="F692" i="10"/>
  <c r="E692" i="10"/>
  <c r="D692" i="10"/>
  <c r="F691" i="10"/>
  <c r="E691" i="10"/>
  <c r="D691" i="10"/>
  <c r="F690" i="10"/>
  <c r="E690" i="10"/>
  <c r="D690" i="10"/>
  <c r="F689" i="10"/>
  <c r="E689" i="10"/>
  <c r="D689" i="10"/>
  <c r="F688" i="10"/>
  <c r="E688" i="10"/>
  <c r="D688" i="10"/>
  <c r="F687" i="10"/>
  <c r="E687" i="10"/>
  <c r="D687" i="10"/>
  <c r="F686" i="10"/>
  <c r="E686" i="10"/>
  <c r="D686" i="10"/>
  <c r="F685" i="10"/>
  <c r="E685" i="10"/>
  <c r="D685" i="10"/>
  <c r="F684" i="10"/>
  <c r="E684" i="10"/>
  <c r="D684" i="10"/>
  <c r="F683" i="10"/>
  <c r="E683" i="10"/>
  <c r="D683" i="10"/>
  <c r="F682" i="10"/>
  <c r="E682" i="10"/>
  <c r="D682" i="10"/>
  <c r="F681" i="10"/>
  <c r="E681" i="10"/>
  <c r="D681" i="10"/>
  <c r="F680" i="10"/>
  <c r="E680" i="10"/>
  <c r="D680" i="10"/>
  <c r="F679" i="10"/>
  <c r="E679" i="10"/>
  <c r="D679" i="10"/>
  <c r="F678" i="10"/>
  <c r="E678" i="10"/>
  <c r="D678" i="10"/>
  <c r="F677" i="10"/>
  <c r="E677" i="10"/>
  <c r="D677" i="10"/>
  <c r="F676" i="10"/>
  <c r="E676" i="10"/>
  <c r="D676" i="10"/>
  <c r="F675" i="10"/>
  <c r="E675" i="10"/>
  <c r="D675" i="10"/>
  <c r="F674" i="10"/>
  <c r="E674" i="10"/>
  <c r="D674" i="10"/>
  <c r="F673" i="10"/>
  <c r="E673" i="10"/>
  <c r="D673" i="10"/>
  <c r="F672" i="10"/>
  <c r="E672" i="10"/>
  <c r="D672" i="10"/>
  <c r="F671" i="10"/>
  <c r="E671" i="10"/>
  <c r="D671" i="10"/>
  <c r="F670" i="10"/>
  <c r="E670" i="10"/>
  <c r="D670" i="10"/>
  <c r="F669" i="10"/>
  <c r="E669" i="10"/>
  <c r="D669" i="10"/>
  <c r="F668" i="10"/>
  <c r="E668" i="10"/>
  <c r="D668" i="10"/>
  <c r="F667" i="10"/>
  <c r="E667" i="10"/>
  <c r="D667" i="10"/>
  <c r="F666" i="10"/>
  <c r="E666" i="10"/>
  <c r="D666" i="10"/>
  <c r="F665" i="10"/>
  <c r="E665" i="10"/>
  <c r="D665" i="10"/>
  <c r="F664" i="10"/>
  <c r="E664" i="10"/>
  <c r="D664" i="10"/>
  <c r="F663" i="10"/>
  <c r="E663" i="10"/>
  <c r="D663" i="10"/>
  <c r="F662" i="10"/>
  <c r="E662" i="10"/>
  <c r="D662" i="10"/>
  <c r="F661" i="10"/>
  <c r="E661" i="10"/>
  <c r="D661" i="10"/>
  <c r="F660" i="10"/>
  <c r="E660" i="10"/>
  <c r="D660" i="10"/>
  <c r="F659" i="10"/>
  <c r="E659" i="10"/>
  <c r="D659" i="10"/>
  <c r="F658" i="10"/>
  <c r="E658" i="10"/>
  <c r="D658" i="10"/>
  <c r="F657" i="10"/>
  <c r="E657" i="10"/>
  <c r="D657" i="10"/>
  <c r="F656" i="10"/>
  <c r="E656" i="10"/>
  <c r="D656" i="10"/>
  <c r="F655" i="10"/>
  <c r="E655" i="10"/>
  <c r="D655" i="10"/>
  <c r="F654" i="10"/>
  <c r="E654" i="10"/>
  <c r="D654" i="10"/>
  <c r="F653" i="10"/>
  <c r="E653" i="10"/>
  <c r="D653" i="10"/>
  <c r="F652" i="10"/>
  <c r="E652" i="10"/>
  <c r="D652" i="10"/>
  <c r="F651" i="10"/>
  <c r="E651" i="10"/>
  <c r="D651" i="10"/>
  <c r="F650" i="10"/>
  <c r="E650" i="10"/>
  <c r="D650" i="10"/>
  <c r="F649" i="10"/>
  <c r="E649" i="10"/>
  <c r="D649" i="10"/>
  <c r="F648" i="10"/>
  <c r="E648" i="10"/>
  <c r="D648" i="10"/>
  <c r="F647" i="10"/>
  <c r="E647" i="10"/>
  <c r="D647" i="10"/>
  <c r="F646" i="10"/>
  <c r="E646" i="10"/>
  <c r="D646" i="10"/>
  <c r="F645" i="10"/>
  <c r="E645" i="10"/>
  <c r="D645" i="10"/>
  <c r="F644" i="10"/>
  <c r="E644" i="10"/>
  <c r="D644" i="10"/>
  <c r="F643" i="10"/>
  <c r="E643" i="10"/>
  <c r="D643" i="10"/>
  <c r="F642" i="10"/>
  <c r="E642" i="10"/>
  <c r="D642" i="10"/>
  <c r="F641" i="10"/>
  <c r="E641" i="10"/>
  <c r="D641" i="10"/>
  <c r="F640" i="10"/>
  <c r="E640" i="10"/>
  <c r="D640" i="10"/>
  <c r="F639" i="10"/>
  <c r="E639" i="10"/>
  <c r="D639" i="10"/>
  <c r="F638" i="10"/>
  <c r="E638" i="10"/>
  <c r="D638" i="10"/>
  <c r="F637" i="10"/>
  <c r="E637" i="10"/>
  <c r="D637" i="10"/>
  <c r="F636" i="10"/>
  <c r="E636" i="10"/>
  <c r="D636" i="10"/>
  <c r="F635" i="10"/>
  <c r="E635" i="10"/>
  <c r="D635" i="10"/>
  <c r="F634" i="10"/>
  <c r="E634" i="10"/>
  <c r="D634" i="10"/>
  <c r="F2" i="10"/>
  <c r="E2" i="10"/>
  <c r="D2" i="10"/>
  <c r="D6434" i="11"/>
  <c r="D6433" i="11"/>
  <c r="D6432" i="11"/>
  <c r="D6431" i="11"/>
  <c r="D6430" i="11"/>
  <c r="D6429" i="11"/>
  <c r="D6428" i="11"/>
  <c r="D6427" i="11"/>
  <c r="D6426" i="11"/>
  <c r="D6425" i="11"/>
  <c r="D6424" i="11"/>
  <c r="D6423" i="11"/>
  <c r="D6422" i="11"/>
  <c r="D6421" i="11"/>
  <c r="D6420" i="11"/>
  <c r="D6419" i="11"/>
  <c r="D6418" i="11"/>
  <c r="D6417" i="11"/>
  <c r="D6416" i="11"/>
  <c r="D6415" i="11"/>
  <c r="D6414" i="11"/>
  <c r="D6413" i="11"/>
  <c r="D6412" i="11"/>
  <c r="D6411" i="11"/>
  <c r="D6410" i="11"/>
  <c r="D6409" i="11"/>
  <c r="D6408" i="11"/>
  <c r="D6407" i="11"/>
  <c r="D6406" i="11"/>
  <c r="D6405" i="11"/>
  <c r="D6404" i="11"/>
  <c r="D6403" i="11"/>
  <c r="D6402" i="11"/>
  <c r="D6401" i="11"/>
  <c r="D6400" i="11"/>
  <c r="D6399" i="11"/>
  <c r="D6398" i="11"/>
  <c r="D6397" i="11"/>
  <c r="D6396" i="11"/>
  <c r="D6395" i="11"/>
  <c r="D6394" i="11"/>
  <c r="D6393" i="11"/>
  <c r="D6392" i="11"/>
  <c r="D6391" i="11"/>
  <c r="D6390" i="11"/>
  <c r="D6389" i="11"/>
  <c r="D6388" i="11"/>
  <c r="D6387" i="11"/>
  <c r="D6386" i="11"/>
  <c r="D6385" i="11"/>
  <c r="D6384" i="11"/>
  <c r="D6383" i="11"/>
  <c r="D6382" i="11"/>
  <c r="D6381" i="11"/>
  <c r="D6380" i="11"/>
  <c r="D6379" i="11"/>
  <c r="D6378" i="11"/>
  <c r="D6377" i="11"/>
  <c r="D6376" i="11"/>
  <c r="D6375" i="11"/>
  <c r="D6374" i="11"/>
  <c r="D6373" i="11"/>
  <c r="D6372" i="11"/>
  <c r="D6371" i="11"/>
  <c r="D6370" i="11"/>
  <c r="D6369" i="11"/>
  <c r="D6368" i="11"/>
  <c r="D6367" i="11"/>
  <c r="D6366" i="11"/>
  <c r="D6365" i="11"/>
  <c r="D6364" i="11"/>
  <c r="D6363" i="11"/>
  <c r="D6362" i="11"/>
  <c r="D6361" i="11"/>
  <c r="D6360" i="11"/>
  <c r="D6359" i="11"/>
  <c r="D6358" i="11"/>
  <c r="D6357" i="11"/>
  <c r="D6356" i="11"/>
  <c r="D6355" i="11"/>
  <c r="D6354" i="11"/>
  <c r="D6353" i="11"/>
  <c r="D6352" i="11"/>
  <c r="D6351" i="11"/>
  <c r="D6350" i="11"/>
  <c r="D6349" i="11"/>
  <c r="D6348" i="11"/>
  <c r="D6347" i="11"/>
  <c r="D6346" i="11"/>
  <c r="D6345" i="11"/>
  <c r="D6344" i="11"/>
  <c r="D6343" i="11"/>
  <c r="D6342" i="11"/>
  <c r="D6341" i="11"/>
  <c r="D6340" i="11"/>
  <c r="D6339" i="11"/>
  <c r="D6338" i="11"/>
  <c r="D6337" i="11"/>
  <c r="D6336" i="11"/>
  <c r="D6335" i="11"/>
  <c r="D6334" i="11"/>
  <c r="D6333" i="11"/>
  <c r="D6332" i="11"/>
  <c r="D6331" i="11"/>
  <c r="D6330" i="11"/>
  <c r="D6329" i="11"/>
  <c r="D6328" i="11"/>
  <c r="D6327" i="11"/>
  <c r="D6326" i="11"/>
  <c r="D6325" i="11"/>
  <c r="D6324" i="11"/>
  <c r="D6323" i="11"/>
  <c r="D6322" i="11"/>
  <c r="D6321" i="11"/>
  <c r="D6320" i="11"/>
  <c r="D6319" i="11"/>
  <c r="D6318" i="11"/>
  <c r="D6317" i="11"/>
  <c r="D6316" i="11"/>
  <c r="D6315" i="11"/>
  <c r="D6314" i="11"/>
  <c r="D6313" i="11"/>
  <c r="D6312" i="11"/>
  <c r="D6311" i="11"/>
  <c r="D6310" i="11"/>
  <c r="D6309" i="11"/>
  <c r="D6308" i="11"/>
  <c r="D6307" i="11"/>
  <c r="D6306" i="11"/>
  <c r="D6305" i="11"/>
  <c r="D6304" i="11"/>
  <c r="D6303" i="11"/>
  <c r="D6302" i="11"/>
  <c r="D6301" i="11"/>
  <c r="D6300" i="11"/>
  <c r="D6299" i="11"/>
  <c r="D6298" i="11"/>
  <c r="D6297" i="11"/>
  <c r="D6296" i="11"/>
  <c r="D6295" i="11"/>
  <c r="D6294" i="11"/>
  <c r="D6293" i="11"/>
  <c r="D6292" i="11"/>
  <c r="D6291" i="11"/>
  <c r="D6290" i="11"/>
  <c r="D6289" i="11"/>
  <c r="D6288" i="11"/>
  <c r="D6287" i="11"/>
  <c r="D6286" i="11"/>
  <c r="D6285" i="11"/>
  <c r="D6284" i="11"/>
  <c r="D6283" i="11"/>
  <c r="D6282" i="11"/>
  <c r="D6281" i="11"/>
  <c r="D6280" i="11"/>
  <c r="D6279" i="11"/>
  <c r="D6278" i="11"/>
  <c r="D6277" i="11"/>
  <c r="D6276" i="11"/>
  <c r="D6275" i="11"/>
  <c r="D6274" i="11"/>
  <c r="D6273" i="11"/>
  <c r="D6272" i="11"/>
  <c r="D6271" i="11"/>
  <c r="D6270" i="11"/>
  <c r="D6269" i="11"/>
  <c r="D6268" i="11"/>
  <c r="D6267" i="11"/>
  <c r="D6266" i="11"/>
  <c r="D6265" i="11"/>
  <c r="D6264" i="11"/>
  <c r="D6263" i="11"/>
  <c r="D6262" i="11"/>
  <c r="D6261" i="11"/>
  <c r="D6260" i="11"/>
  <c r="D6259" i="11"/>
  <c r="D6258" i="11"/>
  <c r="D6257" i="11"/>
  <c r="D6256" i="11"/>
  <c r="D6255" i="11"/>
  <c r="D6254" i="11"/>
  <c r="D6253" i="11"/>
  <c r="D6252" i="11"/>
  <c r="D6251" i="11"/>
  <c r="D6250" i="11"/>
  <c r="D6249" i="11"/>
  <c r="D6248" i="11"/>
  <c r="D6247" i="11"/>
  <c r="D6246" i="11"/>
  <c r="D6245" i="11"/>
  <c r="D6244" i="11"/>
  <c r="D6243" i="11"/>
  <c r="D6242" i="11"/>
  <c r="D6241" i="11"/>
  <c r="D6240" i="11"/>
  <c r="D6239" i="11"/>
  <c r="D6238" i="11"/>
  <c r="D6237" i="11"/>
  <c r="D6236" i="11"/>
  <c r="D6235" i="11"/>
  <c r="D6234" i="11"/>
  <c r="D6233" i="11"/>
  <c r="D6232" i="11"/>
  <c r="D6231" i="11"/>
  <c r="D6230" i="11"/>
  <c r="D6229" i="11"/>
  <c r="D6228" i="11"/>
  <c r="D6227" i="11"/>
  <c r="D6226" i="11"/>
  <c r="D6225" i="11"/>
  <c r="D6224" i="11"/>
  <c r="D6223" i="11"/>
  <c r="D6222" i="11"/>
  <c r="D6221" i="11"/>
  <c r="D6220" i="11"/>
  <c r="D6219" i="11"/>
  <c r="D6218" i="11"/>
  <c r="D6217" i="11"/>
  <c r="D6216" i="11"/>
  <c r="D6215" i="11"/>
  <c r="D6214" i="11"/>
  <c r="D6213" i="11"/>
  <c r="D6212" i="11"/>
  <c r="D6211" i="11"/>
  <c r="D6210" i="11"/>
  <c r="D6209" i="11"/>
  <c r="D6208" i="11"/>
  <c r="D6207" i="11"/>
  <c r="D6206" i="11"/>
  <c r="D6205" i="11"/>
  <c r="D6204" i="11"/>
  <c r="D6203" i="11"/>
  <c r="D6202" i="11"/>
  <c r="D6201" i="11"/>
  <c r="D6200" i="11"/>
  <c r="D6199" i="11"/>
  <c r="D6198" i="11"/>
  <c r="D6197" i="11"/>
  <c r="D6196" i="11"/>
  <c r="D6195" i="11"/>
  <c r="D6194" i="11"/>
  <c r="D6193" i="11"/>
  <c r="D6192" i="11"/>
  <c r="D6191" i="11"/>
  <c r="D6190" i="11"/>
  <c r="D6189" i="11"/>
  <c r="D6188" i="11"/>
  <c r="D6187" i="11"/>
  <c r="D6186" i="11"/>
  <c r="D6185" i="11"/>
  <c r="D6184" i="11"/>
  <c r="D6183" i="11"/>
  <c r="D6182" i="11"/>
  <c r="D6181" i="11"/>
  <c r="D6180" i="11"/>
  <c r="D6179" i="11"/>
  <c r="D6178" i="11"/>
  <c r="D6177" i="11"/>
  <c r="D6176" i="11"/>
  <c r="D6175" i="11"/>
  <c r="D6174" i="11"/>
  <c r="D6173" i="11"/>
  <c r="D6172" i="11"/>
  <c r="D6171" i="11"/>
  <c r="D6170" i="11"/>
  <c r="D6169" i="11"/>
  <c r="D6168" i="11"/>
  <c r="D6167" i="11"/>
  <c r="D6166" i="11"/>
  <c r="D6165" i="11"/>
  <c r="D6164" i="11"/>
  <c r="D6163" i="11"/>
  <c r="D6162" i="11"/>
  <c r="D6161" i="11"/>
  <c r="D6160" i="11"/>
  <c r="D6159" i="11"/>
  <c r="D6158" i="11"/>
  <c r="D6157" i="11"/>
  <c r="D6156" i="11"/>
  <c r="D6155" i="11"/>
  <c r="D6154" i="11"/>
  <c r="D6153" i="11"/>
  <c r="D6152" i="11"/>
  <c r="D6151" i="11"/>
  <c r="D6150" i="11"/>
  <c r="D6149" i="11"/>
  <c r="D6148" i="11"/>
  <c r="D6147" i="11"/>
  <c r="D6146" i="11"/>
  <c r="D6145" i="11"/>
  <c r="D6144" i="11"/>
  <c r="D6143" i="11"/>
  <c r="D6142" i="11"/>
  <c r="D6141" i="11"/>
  <c r="D6140" i="11"/>
  <c r="D6139" i="11"/>
  <c r="D6138" i="11"/>
  <c r="D6137" i="11"/>
  <c r="D6136" i="11"/>
  <c r="D6135" i="11"/>
  <c r="D6134" i="11"/>
  <c r="D6133" i="11"/>
  <c r="D6132" i="11"/>
  <c r="D6131" i="11"/>
  <c r="D6130" i="11"/>
  <c r="D6129" i="11"/>
  <c r="D6128" i="11"/>
  <c r="D6127" i="11"/>
  <c r="D6126" i="11"/>
  <c r="D6125" i="11"/>
  <c r="D6124" i="11"/>
  <c r="D6123" i="11"/>
  <c r="D6122" i="11"/>
  <c r="D6121" i="11"/>
  <c r="D6120" i="11"/>
  <c r="D6119" i="11"/>
  <c r="D6118" i="11"/>
  <c r="D6117" i="11"/>
  <c r="D6116" i="11"/>
  <c r="D6115" i="11"/>
  <c r="D6114" i="11"/>
  <c r="D6113" i="11"/>
  <c r="D6112" i="11"/>
  <c r="D6111" i="11"/>
  <c r="D6110" i="11"/>
  <c r="D6109" i="11"/>
  <c r="D6108" i="11"/>
  <c r="D6107" i="11"/>
  <c r="D6106" i="11"/>
  <c r="D6105" i="11"/>
  <c r="D6104" i="11"/>
  <c r="D6103" i="11"/>
  <c r="D6102" i="11"/>
  <c r="D6101" i="11"/>
  <c r="D6100" i="11"/>
  <c r="D6099" i="11"/>
  <c r="D6098" i="11"/>
  <c r="D6097" i="11"/>
  <c r="D6096" i="11"/>
  <c r="D6095" i="11"/>
  <c r="D6094" i="11"/>
  <c r="D6093" i="11"/>
  <c r="D6092" i="11"/>
  <c r="D6091" i="11"/>
  <c r="D6090" i="11"/>
  <c r="D6089" i="11"/>
  <c r="D6088" i="11"/>
  <c r="D6087" i="11"/>
  <c r="D6086" i="11"/>
  <c r="D6085" i="11"/>
  <c r="D6084" i="11"/>
  <c r="D6083" i="11"/>
  <c r="D6082" i="11"/>
  <c r="D6081" i="11"/>
  <c r="D6080" i="11"/>
  <c r="D6079" i="11"/>
  <c r="D6078" i="11"/>
  <c r="D6077" i="11"/>
  <c r="D6076" i="11"/>
  <c r="D6075" i="11"/>
  <c r="D6074" i="11"/>
  <c r="D6073" i="11"/>
  <c r="D6072" i="11"/>
  <c r="D6071" i="11"/>
  <c r="D6070" i="11"/>
  <c r="D6069" i="11"/>
  <c r="D6068" i="11"/>
  <c r="D6067" i="11"/>
  <c r="D6066" i="11"/>
  <c r="D6065" i="11"/>
  <c r="D6064" i="11"/>
  <c r="D6063" i="11"/>
  <c r="D6062" i="11"/>
  <c r="D6061" i="11"/>
  <c r="D6060" i="11"/>
  <c r="D6059" i="11"/>
  <c r="D6058" i="11"/>
  <c r="D6057" i="11"/>
  <c r="D6056" i="11"/>
  <c r="D6055" i="11"/>
  <c r="D6054" i="11"/>
  <c r="D6053" i="11"/>
  <c r="D6052" i="11"/>
  <c r="D6051" i="11"/>
  <c r="D6050" i="11"/>
  <c r="D6049" i="11"/>
  <c r="D6048" i="11"/>
  <c r="D6047" i="11"/>
  <c r="D6046" i="11"/>
  <c r="D6045" i="11"/>
  <c r="D6044" i="11"/>
  <c r="D6043" i="11"/>
  <c r="D6042" i="11"/>
  <c r="D6041" i="11"/>
  <c r="D6040" i="11"/>
  <c r="D6039" i="11"/>
  <c r="D6038" i="11"/>
  <c r="D6037" i="11"/>
  <c r="D6036" i="11"/>
  <c r="D6035" i="11"/>
  <c r="D6034" i="11"/>
  <c r="D6033" i="11"/>
  <c r="D6032" i="11"/>
  <c r="D6031" i="11"/>
  <c r="D6030" i="11"/>
  <c r="D6029" i="11"/>
  <c r="D6028" i="11"/>
  <c r="D6027" i="11"/>
  <c r="D6026" i="11"/>
  <c r="D6025" i="11"/>
  <c r="D6024" i="11"/>
  <c r="D6023" i="11"/>
  <c r="D6022" i="11"/>
  <c r="D6021" i="11"/>
  <c r="D6020" i="11"/>
  <c r="D6019" i="11"/>
  <c r="D6018" i="11"/>
  <c r="D6017" i="11"/>
  <c r="D6016" i="11"/>
  <c r="D6015" i="11"/>
  <c r="D6014" i="11"/>
  <c r="D6013" i="11"/>
  <c r="D6012" i="11"/>
  <c r="D6011" i="11"/>
  <c r="D6010" i="11"/>
  <c r="D6009" i="11"/>
  <c r="D6008" i="11"/>
  <c r="D6007" i="11"/>
  <c r="D6006" i="11"/>
  <c r="D6005" i="11"/>
  <c r="D6004" i="11"/>
  <c r="D6003" i="11"/>
  <c r="D6002" i="11"/>
  <c r="D6001" i="11"/>
  <c r="D6000" i="11"/>
  <c r="D5999" i="11"/>
  <c r="D5998" i="11"/>
  <c r="D5997" i="11"/>
  <c r="D5996" i="11"/>
  <c r="D5995" i="11"/>
  <c r="D5994" i="11"/>
  <c r="D5993" i="11"/>
  <c r="D5992" i="11"/>
  <c r="D5991" i="11"/>
  <c r="D5990" i="11"/>
  <c r="D5989" i="11"/>
  <c r="D5988" i="11"/>
  <c r="D5987" i="11"/>
  <c r="D5986" i="11"/>
  <c r="D5985" i="11"/>
  <c r="D5984" i="11"/>
  <c r="D5983" i="11"/>
  <c r="D5982" i="11"/>
  <c r="D5981" i="11"/>
  <c r="D5980" i="11"/>
  <c r="D5979" i="11"/>
  <c r="D5978" i="11"/>
  <c r="D5977" i="11"/>
  <c r="D5976" i="11"/>
  <c r="D5975" i="11"/>
  <c r="D5974" i="11"/>
  <c r="D5973" i="11"/>
  <c r="D5972" i="11"/>
  <c r="D5971" i="11"/>
  <c r="D5970" i="11"/>
  <c r="D5969" i="11"/>
  <c r="D5968" i="11"/>
  <c r="D5967" i="11"/>
  <c r="D5966" i="11"/>
  <c r="D5965" i="11"/>
  <c r="D5964" i="11"/>
  <c r="D5963" i="11"/>
  <c r="D5962" i="11"/>
  <c r="D5961" i="11"/>
  <c r="D5960" i="11"/>
  <c r="D5959" i="11"/>
  <c r="D5958" i="11"/>
  <c r="D5957" i="11"/>
  <c r="D5956" i="11"/>
  <c r="D5955" i="11"/>
  <c r="D5954" i="11"/>
  <c r="D5953" i="11"/>
  <c r="D5952" i="11"/>
  <c r="D5951" i="11"/>
  <c r="D5950" i="11"/>
  <c r="D5949" i="11"/>
  <c r="D5948" i="11"/>
  <c r="D5947" i="11"/>
  <c r="D5946" i="11"/>
  <c r="D5945" i="11"/>
  <c r="D5944" i="11"/>
  <c r="D5943" i="11"/>
  <c r="D5942" i="11"/>
  <c r="D5941" i="11"/>
  <c r="D5940" i="11"/>
  <c r="D5939" i="11"/>
  <c r="D5938" i="11"/>
  <c r="D5937" i="11"/>
  <c r="D5936" i="11"/>
  <c r="D5935" i="11"/>
  <c r="D5934" i="11"/>
  <c r="D5933" i="11"/>
  <c r="D5932" i="11"/>
  <c r="D5931" i="11"/>
  <c r="D5930" i="11"/>
  <c r="D5929" i="11"/>
  <c r="D5928" i="11"/>
  <c r="D5927" i="11"/>
  <c r="D5926" i="11"/>
  <c r="D5925" i="11"/>
  <c r="D5924" i="11"/>
  <c r="D5923" i="11"/>
  <c r="D5922" i="11"/>
  <c r="D5921" i="11"/>
  <c r="D5920" i="11"/>
  <c r="D5919" i="11"/>
  <c r="D5918" i="11"/>
  <c r="D5917" i="11"/>
  <c r="D5916" i="11"/>
  <c r="D5915" i="11"/>
  <c r="D5914" i="11"/>
  <c r="D5913" i="11"/>
  <c r="D5912" i="11"/>
  <c r="D5911" i="11"/>
  <c r="D5910" i="11"/>
  <c r="D5909" i="11"/>
  <c r="D5908" i="11"/>
  <c r="D5907" i="11"/>
  <c r="D5906" i="11"/>
  <c r="D5905" i="11"/>
  <c r="D5904" i="11"/>
  <c r="D5903" i="11"/>
  <c r="D5902" i="11"/>
  <c r="D5901" i="11"/>
  <c r="D5900" i="11"/>
  <c r="D5899" i="11"/>
  <c r="D5898" i="11"/>
  <c r="D5897" i="11"/>
  <c r="D5896" i="11"/>
  <c r="D5895" i="11"/>
  <c r="D5894" i="11"/>
  <c r="D5893" i="11"/>
  <c r="D5892" i="11"/>
  <c r="D5891" i="11"/>
  <c r="D5890" i="11"/>
  <c r="D5889" i="11"/>
  <c r="D5888" i="11"/>
  <c r="D5887" i="11"/>
  <c r="D5886" i="11"/>
  <c r="D5885" i="11"/>
  <c r="D5884" i="11"/>
  <c r="D5883" i="11"/>
  <c r="D5882" i="11"/>
  <c r="D5881" i="11"/>
  <c r="D5880" i="11"/>
  <c r="D5879" i="11"/>
  <c r="D5878" i="11"/>
  <c r="D5877" i="11"/>
  <c r="D5876" i="11"/>
  <c r="D5875" i="11"/>
  <c r="D5874" i="11"/>
  <c r="D5873" i="11"/>
  <c r="D5872" i="11"/>
  <c r="D5871" i="11"/>
  <c r="D5870" i="11"/>
  <c r="D5869" i="11"/>
  <c r="D5868" i="11"/>
  <c r="D5867" i="11"/>
  <c r="D5866" i="11"/>
  <c r="D5865" i="11"/>
  <c r="D5864" i="11"/>
  <c r="D5863" i="11"/>
  <c r="D5862" i="11"/>
  <c r="D5861" i="11"/>
  <c r="D5860" i="11"/>
  <c r="D5859" i="11"/>
  <c r="D5858" i="11"/>
  <c r="D5857" i="11"/>
  <c r="D5856" i="11"/>
  <c r="D5855" i="11"/>
  <c r="D5854" i="11"/>
  <c r="D5853" i="11"/>
  <c r="D5852" i="11"/>
  <c r="D5851" i="11"/>
  <c r="D5850" i="11"/>
  <c r="D5849" i="11"/>
  <c r="D5848" i="11"/>
  <c r="D5847" i="11"/>
  <c r="D5846" i="11"/>
  <c r="D5845" i="11"/>
  <c r="D5844" i="11"/>
  <c r="D5843" i="11"/>
  <c r="D5842" i="11"/>
  <c r="D5841" i="11"/>
  <c r="D5840" i="11"/>
  <c r="D5839" i="11"/>
  <c r="D5838" i="11"/>
  <c r="D5837" i="11"/>
  <c r="D5836" i="11"/>
  <c r="D5835" i="11"/>
  <c r="D5834" i="11"/>
  <c r="D5833" i="11"/>
  <c r="D5832" i="11"/>
  <c r="D5831" i="11"/>
  <c r="D5830" i="11"/>
  <c r="D5829" i="11"/>
  <c r="D5828" i="11"/>
  <c r="D5827" i="11"/>
  <c r="D5826" i="11"/>
  <c r="D5825" i="11"/>
  <c r="D5824" i="11"/>
  <c r="D5823" i="11"/>
  <c r="D5822" i="11"/>
  <c r="D5821" i="11"/>
  <c r="D5820" i="11"/>
  <c r="D5819" i="11"/>
  <c r="D5818" i="11"/>
  <c r="D5817" i="11"/>
  <c r="D5816" i="11"/>
  <c r="D5815" i="11"/>
  <c r="D5814" i="11"/>
  <c r="D5813" i="11"/>
  <c r="D5812" i="11"/>
  <c r="D5811" i="11"/>
  <c r="D5810" i="11"/>
  <c r="D5809" i="11"/>
  <c r="D5808" i="11"/>
  <c r="D5807" i="11"/>
  <c r="D5806" i="11"/>
  <c r="D5805" i="11"/>
  <c r="D5804" i="11"/>
  <c r="D5803" i="11"/>
  <c r="D5802" i="11"/>
  <c r="D5801" i="11"/>
  <c r="D5800" i="11"/>
  <c r="D5799" i="11"/>
  <c r="D5798" i="11"/>
  <c r="D5797" i="11"/>
  <c r="D5796" i="11"/>
  <c r="D5795" i="11"/>
  <c r="D5794" i="11"/>
  <c r="D5793" i="11"/>
  <c r="D5792" i="11"/>
  <c r="D5791" i="11"/>
  <c r="D5790" i="11"/>
  <c r="D5789" i="11"/>
  <c r="D5788" i="11"/>
  <c r="D5787" i="11"/>
  <c r="D5786" i="11"/>
  <c r="D5785" i="11"/>
  <c r="D5784" i="11"/>
  <c r="D5783" i="11"/>
  <c r="D5782" i="11"/>
  <c r="D5781" i="11"/>
  <c r="D5780" i="11"/>
  <c r="D5779" i="11"/>
  <c r="D5778" i="11"/>
  <c r="D5777" i="11"/>
  <c r="D5776" i="11"/>
  <c r="D5775" i="11"/>
  <c r="D5774" i="11"/>
  <c r="D5773" i="11"/>
  <c r="D5772" i="11"/>
  <c r="D5771" i="11"/>
  <c r="D5770" i="11"/>
  <c r="D5769" i="11"/>
  <c r="D5768" i="11"/>
  <c r="D5767" i="11"/>
  <c r="D5766" i="11"/>
  <c r="D5765" i="11"/>
  <c r="D5764" i="11"/>
  <c r="D5763" i="11"/>
  <c r="D5762" i="11"/>
  <c r="D5761" i="11"/>
  <c r="D5760" i="11"/>
  <c r="D5759" i="11"/>
  <c r="D5758" i="11"/>
  <c r="D5757" i="11"/>
  <c r="D5756" i="11"/>
  <c r="D5755" i="11"/>
  <c r="D5754" i="11"/>
  <c r="D5753" i="11"/>
  <c r="D5752" i="11"/>
  <c r="D5751" i="11"/>
  <c r="D5750" i="11"/>
  <c r="D5749" i="11"/>
  <c r="D5748" i="11"/>
  <c r="D5747" i="11"/>
  <c r="D5746" i="11"/>
  <c r="D5745" i="11"/>
  <c r="D5744" i="11"/>
  <c r="D5743" i="11"/>
  <c r="D5742" i="11"/>
  <c r="D5741" i="11"/>
  <c r="D5740" i="11"/>
  <c r="D5739" i="11"/>
  <c r="D5738" i="11"/>
  <c r="D5737" i="11"/>
  <c r="D5736" i="11"/>
  <c r="D5735" i="11"/>
  <c r="D5734" i="11"/>
  <c r="D5733" i="11"/>
  <c r="D5732" i="11"/>
  <c r="D5731" i="11"/>
  <c r="D5730" i="11"/>
  <c r="D5729" i="11"/>
  <c r="D5728" i="11"/>
  <c r="D5727" i="11"/>
  <c r="D5726" i="11"/>
  <c r="D5725" i="11"/>
  <c r="D5724" i="11"/>
  <c r="D5723" i="11"/>
  <c r="D5722" i="11"/>
  <c r="D5721" i="11"/>
  <c r="D5720" i="11"/>
  <c r="D5719" i="11"/>
  <c r="D5718" i="11"/>
  <c r="D5717" i="11"/>
  <c r="D5716" i="11"/>
  <c r="D5715" i="11"/>
  <c r="D5714" i="11"/>
  <c r="D5713" i="11"/>
  <c r="D5712" i="11"/>
  <c r="D5711" i="11"/>
  <c r="D5710" i="11"/>
  <c r="D5709" i="11"/>
  <c r="D5708" i="11"/>
  <c r="D5707" i="11"/>
  <c r="D5706" i="11"/>
  <c r="D5705" i="11"/>
  <c r="D5704" i="11"/>
  <c r="D5703" i="11"/>
  <c r="D5702" i="11"/>
  <c r="D5701" i="11"/>
  <c r="D5700" i="11"/>
  <c r="D5699" i="11"/>
  <c r="D5698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9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8" i="11"/>
  <c r="D5627" i="11"/>
  <c r="D5626" i="11"/>
  <c r="D5625" i="11"/>
  <c r="D5624" i="11"/>
  <c r="D5623" i="11"/>
  <c r="D5622" i="11"/>
  <c r="D5621" i="11"/>
  <c r="D5620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7" i="11"/>
  <c r="D5606" i="11"/>
  <c r="D5605" i="11"/>
  <c r="D5604" i="11"/>
  <c r="D5603" i="11"/>
  <c r="D5602" i="11"/>
  <c r="D5601" i="11"/>
  <c r="D5600" i="11"/>
  <c r="D5599" i="11"/>
  <c r="D5598" i="11"/>
  <c r="D5597" i="11"/>
  <c r="D5596" i="11"/>
  <c r="D5595" i="11"/>
  <c r="D5594" i="11"/>
  <c r="D5593" i="11"/>
  <c r="D5592" i="11"/>
  <c r="D5591" i="11"/>
  <c r="D5590" i="11"/>
  <c r="D5589" i="11"/>
  <c r="D5588" i="11"/>
  <c r="D5587" i="11"/>
  <c r="D5586" i="11"/>
  <c r="D5585" i="11"/>
  <c r="D5584" i="11"/>
  <c r="D5583" i="11"/>
  <c r="D5582" i="11"/>
  <c r="D5581" i="11"/>
  <c r="D5580" i="11"/>
  <c r="D5579" i="11"/>
  <c r="D5578" i="11"/>
  <c r="D5577" i="11"/>
  <c r="D5576" i="11"/>
  <c r="D5575" i="11"/>
  <c r="D5574" i="11"/>
  <c r="D5573" i="11"/>
  <c r="D5572" i="11"/>
  <c r="D5571" i="11"/>
  <c r="D5570" i="11"/>
  <c r="D5569" i="11"/>
  <c r="D5568" i="11"/>
  <c r="D5567" i="11"/>
  <c r="D5566" i="11"/>
  <c r="D5565" i="11"/>
  <c r="D5564" i="11"/>
  <c r="D5563" i="11"/>
  <c r="D5562" i="11"/>
  <c r="D5561" i="11"/>
  <c r="D5560" i="11"/>
  <c r="D5559" i="11"/>
  <c r="D5558" i="11"/>
  <c r="D5557" i="11"/>
  <c r="D5556" i="11"/>
  <c r="D5555" i="11"/>
  <c r="D5554" i="11"/>
  <c r="D5553" i="11"/>
  <c r="D5552" i="11"/>
  <c r="D5551" i="11"/>
  <c r="D5550" i="11"/>
  <c r="D5549" i="11"/>
  <c r="D5548" i="11"/>
  <c r="D5547" i="11"/>
  <c r="D5546" i="11"/>
  <c r="D5545" i="11"/>
  <c r="D5544" i="11"/>
  <c r="D5543" i="11"/>
  <c r="D5542" i="11"/>
  <c r="D5541" i="11"/>
  <c r="D5540" i="11"/>
  <c r="D5539" i="11"/>
  <c r="D5538" i="11"/>
  <c r="D5537" i="11"/>
  <c r="D5536" i="11"/>
  <c r="D5535" i="11"/>
  <c r="D5534" i="11"/>
  <c r="D5533" i="11"/>
  <c r="D5532" i="11"/>
  <c r="D5531" i="11"/>
  <c r="D5530" i="11"/>
  <c r="D5529" i="11"/>
  <c r="D5528" i="11"/>
  <c r="D5527" i="11"/>
  <c r="D5526" i="11"/>
  <c r="D5525" i="11"/>
  <c r="D5524" i="11"/>
  <c r="D5523" i="11"/>
  <c r="D5522" i="11"/>
  <c r="D5521" i="11"/>
  <c r="D5520" i="11"/>
  <c r="D5519" i="11"/>
  <c r="D5518" i="11"/>
  <c r="D5517" i="11"/>
  <c r="D5516" i="11"/>
  <c r="D5515" i="11"/>
  <c r="D5514" i="11"/>
  <c r="D5513" i="11"/>
  <c r="D5512" i="11"/>
  <c r="D5511" i="11"/>
  <c r="D5510" i="11"/>
  <c r="D5509" i="11"/>
  <c r="D5508" i="11"/>
  <c r="D5507" i="11"/>
  <c r="D5506" i="11"/>
  <c r="D5505" i="11"/>
  <c r="D5504" i="11"/>
  <c r="D5503" i="11"/>
  <c r="D5502" i="11"/>
  <c r="D5501" i="11"/>
  <c r="D5500" i="11"/>
  <c r="D5499" i="11"/>
  <c r="D5498" i="11"/>
  <c r="D5497" i="11"/>
  <c r="D5496" i="11"/>
  <c r="D5495" i="11"/>
  <c r="D5494" i="11"/>
  <c r="D5493" i="11"/>
  <c r="D5492" i="11"/>
  <c r="D5491" i="11"/>
  <c r="D5490" i="11"/>
  <c r="D5489" i="11"/>
  <c r="D5488" i="11"/>
  <c r="D5487" i="11"/>
  <c r="D5486" i="11"/>
  <c r="D5485" i="11"/>
  <c r="D5484" i="11"/>
  <c r="D5483" i="11"/>
  <c r="D5482" i="11"/>
  <c r="D5481" i="11"/>
  <c r="D5480" i="11"/>
  <c r="D5479" i="11"/>
  <c r="D5478" i="11"/>
  <c r="D5477" i="11"/>
  <c r="D5476" i="11"/>
  <c r="D5475" i="11"/>
  <c r="D5474" i="11"/>
  <c r="D5473" i="11"/>
  <c r="D5472" i="11"/>
  <c r="D5471" i="11"/>
  <c r="D5470" i="11"/>
  <c r="D5469" i="11"/>
  <c r="D5468" i="11"/>
  <c r="D5467" i="11"/>
  <c r="D5466" i="11"/>
  <c r="D5465" i="11"/>
  <c r="D5464" i="11"/>
  <c r="D5463" i="11"/>
  <c r="D5462" i="11"/>
  <c r="D5461" i="11"/>
  <c r="D5460" i="11"/>
  <c r="D5459" i="11"/>
  <c r="D5458" i="11"/>
  <c r="D5457" i="11"/>
  <c r="D5456" i="11"/>
  <c r="D5455" i="11"/>
  <c r="D5454" i="11"/>
  <c r="D5453" i="11"/>
  <c r="D5452" i="11"/>
  <c r="D5451" i="11"/>
  <c r="D5450" i="11"/>
  <c r="D5449" i="11"/>
  <c r="D5448" i="11"/>
  <c r="D5447" i="11"/>
  <c r="D5446" i="11"/>
  <c r="D5445" i="11"/>
  <c r="D5444" i="11"/>
  <c r="D5443" i="11"/>
  <c r="D5442" i="11"/>
  <c r="D5441" i="11"/>
  <c r="D5440" i="11"/>
  <c r="D5439" i="11"/>
  <c r="D5438" i="11"/>
  <c r="D5437" i="11"/>
  <c r="D5436" i="11"/>
  <c r="D5435" i="11"/>
  <c r="D5434" i="11"/>
  <c r="D5433" i="11"/>
  <c r="D5432" i="11"/>
  <c r="D5431" i="11"/>
  <c r="D5430" i="11"/>
  <c r="D5429" i="11"/>
  <c r="D5428" i="11"/>
  <c r="D5427" i="11"/>
  <c r="D5426" i="11"/>
  <c r="D5425" i="11"/>
  <c r="D5424" i="11"/>
  <c r="D5423" i="11"/>
  <c r="D5422" i="11"/>
  <c r="D5421" i="11"/>
  <c r="D5420" i="11"/>
  <c r="D5419" i="11"/>
  <c r="D5418" i="11"/>
  <c r="D5417" i="11"/>
  <c r="D5416" i="11"/>
  <c r="D5415" i="11"/>
  <c r="D5414" i="11"/>
  <c r="D5413" i="11"/>
  <c r="D5412" i="11"/>
  <c r="D5411" i="11"/>
  <c r="D5410" i="11"/>
  <c r="D5409" i="11"/>
  <c r="D5408" i="11"/>
  <c r="D5407" i="11"/>
  <c r="D5406" i="11"/>
  <c r="D5405" i="11"/>
  <c r="D5404" i="11"/>
  <c r="D5403" i="11"/>
  <c r="D5402" i="11"/>
  <c r="D5401" i="11"/>
  <c r="D5400" i="11"/>
  <c r="D5399" i="11"/>
  <c r="D5398" i="11"/>
  <c r="D5397" i="11"/>
  <c r="D5396" i="11"/>
  <c r="D5395" i="11"/>
  <c r="D5394" i="11"/>
  <c r="D5393" i="11"/>
  <c r="D5392" i="11"/>
  <c r="D5391" i="11"/>
  <c r="D5390" i="11"/>
  <c r="D5389" i="11"/>
  <c r="D5388" i="11"/>
  <c r="D5387" i="11"/>
  <c r="D5386" i="11"/>
  <c r="D5385" i="11"/>
  <c r="D5384" i="11"/>
  <c r="D5383" i="11"/>
  <c r="D5382" i="11"/>
  <c r="D5381" i="11"/>
  <c r="D5380" i="11"/>
  <c r="D5379" i="11"/>
  <c r="D5378" i="11"/>
  <c r="D5377" i="11"/>
  <c r="D5376" i="11"/>
  <c r="D5375" i="11"/>
  <c r="D5374" i="11"/>
  <c r="D5373" i="11"/>
  <c r="D5372" i="11"/>
  <c r="D5371" i="11"/>
  <c r="D5370" i="11"/>
  <c r="D5369" i="11"/>
  <c r="D5368" i="11"/>
  <c r="D5367" i="11"/>
  <c r="D5366" i="11"/>
  <c r="D5365" i="11"/>
  <c r="D5364" i="11"/>
  <c r="D5363" i="11"/>
  <c r="D5362" i="11"/>
  <c r="D5361" i="11"/>
  <c r="D5360" i="11"/>
  <c r="D5359" i="11"/>
  <c r="D5358" i="11"/>
  <c r="D5357" i="11"/>
  <c r="D5356" i="11"/>
  <c r="D5355" i="11"/>
  <c r="D5354" i="11"/>
  <c r="D5353" i="11"/>
  <c r="D5352" i="11"/>
  <c r="D5351" i="11"/>
  <c r="D5350" i="11"/>
  <c r="D5349" i="11"/>
  <c r="D5348" i="11"/>
  <c r="D5347" i="11"/>
  <c r="D5346" i="11"/>
  <c r="D5345" i="11"/>
  <c r="D5344" i="11"/>
  <c r="D5343" i="11"/>
  <c r="D5342" i="11"/>
  <c r="D5341" i="11"/>
  <c r="D5340" i="11"/>
  <c r="D5339" i="11"/>
  <c r="D5338" i="11"/>
  <c r="D5337" i="11"/>
  <c r="D5336" i="11"/>
  <c r="D5335" i="11"/>
  <c r="D5334" i="11"/>
  <c r="D5333" i="11"/>
  <c r="D5332" i="11"/>
  <c r="D5331" i="11"/>
  <c r="D5330" i="11"/>
  <c r="D5329" i="11"/>
  <c r="D5328" i="11"/>
  <c r="D5327" i="11"/>
  <c r="D5326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3" i="11"/>
  <c r="D5312" i="11"/>
  <c r="D5311" i="11"/>
  <c r="D5310" i="11"/>
  <c r="D5309" i="11"/>
  <c r="D5308" i="11"/>
  <c r="D5307" i="11"/>
  <c r="D5306" i="11"/>
  <c r="D5305" i="11"/>
  <c r="D5304" i="11"/>
  <c r="D5303" i="11"/>
  <c r="D5302" i="11"/>
  <c r="D5301" i="11"/>
  <c r="D5300" i="11"/>
  <c r="D5299" i="11"/>
  <c r="D5298" i="11"/>
  <c r="D5297" i="11"/>
  <c r="D5296" i="11"/>
  <c r="D5295" i="11"/>
  <c r="D5294" i="11"/>
  <c r="D5293" i="11"/>
  <c r="D5292" i="11"/>
  <c r="D5291" i="11"/>
  <c r="D5290" i="11"/>
  <c r="D5289" i="11"/>
  <c r="D5288" i="11"/>
  <c r="D5287" i="11"/>
  <c r="D5286" i="11"/>
  <c r="D5285" i="11"/>
  <c r="D5284" i="11"/>
  <c r="D5283" i="11"/>
  <c r="D5282" i="11"/>
  <c r="D5281" i="11"/>
  <c r="D5280" i="11"/>
  <c r="D5279" i="11"/>
  <c r="D5278" i="11"/>
  <c r="D5277" i="11"/>
  <c r="D5276" i="11"/>
  <c r="D5275" i="11"/>
  <c r="D5274" i="11"/>
  <c r="D5273" i="11"/>
  <c r="D5272" i="11"/>
  <c r="D5271" i="11"/>
  <c r="D5270" i="11"/>
  <c r="D5269" i="11"/>
  <c r="D5268" i="11"/>
  <c r="D5267" i="11"/>
  <c r="D5266" i="11"/>
  <c r="D5265" i="11"/>
  <c r="D5264" i="11"/>
  <c r="D5263" i="11"/>
  <c r="D5262" i="11"/>
  <c r="D5261" i="11"/>
  <c r="D5260" i="11"/>
  <c r="D5259" i="11"/>
  <c r="D5258" i="11"/>
  <c r="D5257" i="11"/>
  <c r="D5256" i="11"/>
  <c r="D5255" i="11"/>
  <c r="D5254" i="11"/>
  <c r="D5253" i="11"/>
  <c r="D5252" i="11"/>
  <c r="D5251" i="11"/>
  <c r="D5250" i="11"/>
  <c r="D5249" i="11"/>
  <c r="D5248" i="11"/>
  <c r="D5247" i="11"/>
  <c r="D5246" i="11"/>
  <c r="D5245" i="11"/>
  <c r="D5244" i="11"/>
  <c r="D5243" i="11"/>
  <c r="D5242" i="11"/>
  <c r="D5241" i="11"/>
  <c r="D5240" i="11"/>
  <c r="D5239" i="11"/>
  <c r="D5238" i="11"/>
  <c r="D5237" i="11"/>
  <c r="D5236" i="11"/>
  <c r="D5235" i="11"/>
  <c r="D5234" i="11"/>
  <c r="D5233" i="11"/>
  <c r="D5232" i="11"/>
  <c r="D5231" i="11"/>
  <c r="D5230" i="11"/>
  <c r="D5229" i="11"/>
  <c r="D5228" i="11"/>
  <c r="D5227" i="11"/>
  <c r="D5226" i="11"/>
  <c r="D5225" i="11"/>
  <c r="D5224" i="11"/>
  <c r="D5223" i="11"/>
  <c r="D5222" i="11"/>
  <c r="D5221" i="11"/>
  <c r="D5220" i="11"/>
  <c r="D5219" i="11"/>
  <c r="D5218" i="11"/>
  <c r="D5217" i="11"/>
  <c r="D5216" i="11"/>
  <c r="D5215" i="11"/>
  <c r="D5214" i="11"/>
  <c r="D5213" i="11"/>
  <c r="D5212" i="11"/>
  <c r="D5211" i="11"/>
  <c r="D5210" i="11"/>
  <c r="D5209" i="11"/>
  <c r="D5208" i="11"/>
  <c r="D5207" i="11"/>
  <c r="D5206" i="11"/>
  <c r="D5205" i="11"/>
  <c r="D5204" i="11"/>
  <c r="D5203" i="11"/>
  <c r="D5202" i="11"/>
  <c r="D5201" i="11"/>
  <c r="D5200" i="11"/>
  <c r="D5199" i="11"/>
  <c r="D5198" i="11"/>
  <c r="D5197" i="11"/>
  <c r="D5196" i="11"/>
  <c r="D5195" i="11"/>
  <c r="D5194" i="11"/>
  <c r="D5193" i="11"/>
  <c r="D5192" i="11"/>
  <c r="D5191" i="11"/>
  <c r="D5190" i="11"/>
  <c r="D5189" i="11"/>
  <c r="D5188" i="11"/>
  <c r="D5187" i="11"/>
  <c r="D5186" i="11"/>
  <c r="D5185" i="11"/>
  <c r="D5184" i="11"/>
  <c r="D5183" i="11"/>
  <c r="D5182" i="11"/>
  <c r="D5181" i="11"/>
  <c r="D5180" i="11"/>
  <c r="D5179" i="11"/>
  <c r="D5178" i="11"/>
  <c r="D5177" i="11"/>
  <c r="D5176" i="11"/>
  <c r="D5175" i="11"/>
  <c r="D5174" i="11"/>
  <c r="D5173" i="11"/>
  <c r="D5172" i="11"/>
  <c r="D5171" i="11"/>
  <c r="D5170" i="11"/>
  <c r="D5169" i="11"/>
  <c r="D5168" i="11"/>
  <c r="D5167" i="11"/>
  <c r="D5166" i="11"/>
  <c r="D5165" i="11"/>
  <c r="D5164" i="11"/>
  <c r="D5163" i="11"/>
  <c r="D5162" i="11"/>
  <c r="D5161" i="11"/>
  <c r="D5160" i="11"/>
  <c r="D5159" i="11"/>
  <c r="D5158" i="11"/>
  <c r="D5157" i="11"/>
  <c r="D5156" i="11"/>
  <c r="D5155" i="11"/>
  <c r="D5154" i="11"/>
  <c r="D5153" i="11"/>
  <c r="D5152" i="11"/>
  <c r="D5151" i="11"/>
  <c r="D5150" i="11"/>
  <c r="D5149" i="11"/>
  <c r="D5148" i="11"/>
  <c r="D5147" i="11"/>
  <c r="D5146" i="11"/>
  <c r="D5145" i="11"/>
  <c r="D5144" i="11"/>
  <c r="D5143" i="11"/>
  <c r="D5142" i="11"/>
  <c r="D5141" i="11"/>
  <c r="D5140" i="11"/>
  <c r="D5139" i="11"/>
  <c r="D5138" i="11"/>
  <c r="D5137" i="11"/>
  <c r="D5136" i="11"/>
  <c r="D5135" i="11"/>
  <c r="D5134" i="11"/>
  <c r="D5133" i="11"/>
  <c r="D5132" i="11"/>
  <c r="D5131" i="11"/>
  <c r="D5130" i="11"/>
  <c r="D5129" i="11"/>
  <c r="D5128" i="11"/>
  <c r="D5127" i="11"/>
  <c r="D5126" i="11"/>
  <c r="D5125" i="11"/>
  <c r="D5124" i="11"/>
  <c r="D5123" i="11"/>
  <c r="D5122" i="11"/>
  <c r="D5121" i="11"/>
  <c r="D5120" i="11"/>
  <c r="D5119" i="11"/>
  <c r="D5118" i="11"/>
  <c r="D5117" i="11"/>
  <c r="D5116" i="11"/>
  <c r="D5115" i="11"/>
  <c r="D5114" i="11"/>
  <c r="D5113" i="11"/>
  <c r="D5112" i="11"/>
  <c r="D5111" i="11"/>
  <c r="D5110" i="11"/>
  <c r="D5109" i="11"/>
  <c r="D5108" i="11"/>
  <c r="D5107" i="11"/>
  <c r="D5106" i="11"/>
  <c r="D5105" i="11"/>
  <c r="D5104" i="11"/>
  <c r="D5103" i="11"/>
  <c r="D5102" i="11"/>
  <c r="D5101" i="11"/>
  <c r="D5100" i="11"/>
  <c r="D5099" i="11"/>
  <c r="D5098" i="11"/>
  <c r="D5097" i="11"/>
  <c r="D5096" i="11"/>
  <c r="D5095" i="11"/>
  <c r="D5094" i="11"/>
  <c r="D5093" i="11"/>
  <c r="D5092" i="11"/>
  <c r="D5091" i="11"/>
  <c r="D5090" i="11"/>
  <c r="D5089" i="11"/>
  <c r="D5088" i="11"/>
  <c r="D5087" i="11"/>
  <c r="D5086" i="11"/>
  <c r="D5085" i="11"/>
  <c r="D5084" i="11"/>
  <c r="D5083" i="11"/>
  <c r="D5082" i="11"/>
  <c r="D5081" i="11"/>
  <c r="D5080" i="11"/>
  <c r="D5079" i="11"/>
  <c r="D5078" i="11"/>
  <c r="D5077" i="11"/>
  <c r="D5076" i="11"/>
  <c r="D5075" i="11"/>
  <c r="D5074" i="11"/>
  <c r="D5073" i="11"/>
  <c r="D5072" i="11"/>
  <c r="D5071" i="11"/>
  <c r="D5070" i="11"/>
  <c r="D5069" i="11"/>
  <c r="D5068" i="11"/>
  <c r="D5067" i="11"/>
  <c r="D5066" i="11"/>
  <c r="D5065" i="11"/>
  <c r="D5064" i="11"/>
  <c r="D5063" i="11"/>
  <c r="D5062" i="11"/>
  <c r="D5061" i="11"/>
  <c r="D5060" i="11"/>
  <c r="D5059" i="11"/>
  <c r="D5058" i="11"/>
  <c r="D5057" i="11"/>
  <c r="D5056" i="11"/>
  <c r="D5055" i="11"/>
  <c r="D5054" i="11"/>
  <c r="D5053" i="11"/>
  <c r="D5052" i="11"/>
  <c r="D5051" i="11"/>
  <c r="D5050" i="11"/>
  <c r="D5049" i="11"/>
  <c r="D5048" i="11"/>
  <c r="D5047" i="11"/>
  <c r="D5046" i="11"/>
  <c r="D5045" i="11"/>
  <c r="D5044" i="11"/>
  <c r="D5043" i="11"/>
  <c r="D5042" i="11"/>
  <c r="D5041" i="11"/>
  <c r="D5040" i="11"/>
  <c r="D5039" i="11"/>
  <c r="D5038" i="11"/>
  <c r="D5037" i="11"/>
  <c r="D5036" i="11"/>
  <c r="D5035" i="11"/>
  <c r="D5034" i="11"/>
  <c r="D5033" i="11"/>
  <c r="D5032" i="11"/>
  <c r="D5031" i="11"/>
  <c r="D5030" i="11"/>
  <c r="D5029" i="11"/>
  <c r="D5028" i="11"/>
  <c r="D5027" i="11"/>
  <c r="D5026" i="11"/>
  <c r="D5025" i="11"/>
  <c r="D5024" i="11"/>
  <c r="D5023" i="11"/>
  <c r="D5022" i="11"/>
  <c r="D5021" i="11"/>
  <c r="D5020" i="11"/>
  <c r="D5019" i="11"/>
  <c r="D5018" i="11"/>
  <c r="D5017" i="11"/>
  <c r="D5016" i="11"/>
  <c r="D5015" i="11"/>
  <c r="D5014" i="11"/>
  <c r="D5013" i="11"/>
  <c r="D5012" i="11"/>
  <c r="D5011" i="11"/>
  <c r="D5010" i="11"/>
  <c r="D5009" i="11"/>
  <c r="D5008" i="11"/>
  <c r="D5007" i="11"/>
  <c r="D5006" i="11"/>
  <c r="D5005" i="11"/>
  <c r="D5004" i="11"/>
  <c r="D5003" i="11"/>
  <c r="D5002" i="11"/>
  <c r="D5001" i="11"/>
  <c r="D5000" i="11"/>
  <c r="D4999" i="11"/>
  <c r="D4998" i="11"/>
  <c r="D4997" i="11"/>
  <c r="D4996" i="11"/>
  <c r="D4995" i="11"/>
  <c r="D4994" i="11"/>
  <c r="D4993" i="11"/>
  <c r="D4992" i="11"/>
  <c r="D4991" i="11"/>
  <c r="D4990" i="11"/>
  <c r="D4989" i="11"/>
  <c r="D4988" i="11"/>
  <c r="D4987" i="11"/>
  <c r="D4986" i="11"/>
  <c r="D4985" i="11"/>
  <c r="D4984" i="11"/>
  <c r="D4983" i="11"/>
  <c r="D4982" i="11"/>
  <c r="D4981" i="11"/>
  <c r="D4980" i="11"/>
  <c r="D4979" i="11"/>
  <c r="D4978" i="11"/>
  <c r="D4977" i="11"/>
  <c r="D4976" i="11"/>
  <c r="D4975" i="11"/>
  <c r="D4974" i="11"/>
  <c r="D4973" i="11"/>
  <c r="D4972" i="11"/>
  <c r="D4971" i="11"/>
  <c r="D4970" i="11"/>
  <c r="D4969" i="11"/>
  <c r="D4968" i="11"/>
  <c r="D4967" i="11"/>
  <c r="D4966" i="11"/>
  <c r="D4965" i="11"/>
  <c r="D4964" i="11"/>
  <c r="D4963" i="11"/>
  <c r="D4962" i="11"/>
  <c r="D4961" i="11"/>
  <c r="D4960" i="11"/>
  <c r="D4959" i="11"/>
  <c r="D4958" i="11"/>
  <c r="D4957" i="11"/>
  <c r="D4956" i="11"/>
  <c r="D4955" i="11"/>
  <c r="D4954" i="11"/>
  <c r="D4953" i="11"/>
  <c r="D4952" i="11"/>
  <c r="D4951" i="11"/>
  <c r="D4950" i="11"/>
  <c r="D4949" i="11"/>
  <c r="D4948" i="11"/>
  <c r="D4947" i="11"/>
  <c r="D4946" i="11"/>
  <c r="D4945" i="11"/>
  <c r="D4944" i="11"/>
  <c r="D4943" i="11"/>
  <c r="D4942" i="11"/>
  <c r="D4941" i="11"/>
  <c r="D4940" i="11"/>
  <c r="D4939" i="11"/>
  <c r="D4938" i="11"/>
  <c r="D4937" i="11"/>
  <c r="D4936" i="11"/>
  <c r="D4935" i="11"/>
  <c r="D4934" i="11"/>
  <c r="D4933" i="11"/>
  <c r="D4932" i="11"/>
  <c r="D4931" i="11"/>
  <c r="D4930" i="11"/>
  <c r="D4929" i="11"/>
  <c r="D4928" i="11"/>
  <c r="D4927" i="11"/>
  <c r="D4926" i="11"/>
  <c r="D4925" i="11"/>
  <c r="D4924" i="11"/>
  <c r="D4923" i="11"/>
  <c r="D4922" i="11"/>
  <c r="D4921" i="11"/>
  <c r="D4920" i="11"/>
  <c r="D4919" i="11"/>
  <c r="D4918" i="11"/>
  <c r="D4917" i="11"/>
  <c r="D4916" i="11"/>
  <c r="D4915" i="11"/>
  <c r="D4914" i="11"/>
  <c r="D4913" i="11"/>
  <c r="D4912" i="11"/>
  <c r="D4911" i="11"/>
  <c r="D4910" i="11"/>
  <c r="D4909" i="11"/>
  <c r="D4908" i="11"/>
  <c r="D4907" i="11"/>
  <c r="D4906" i="11"/>
  <c r="D4905" i="11"/>
  <c r="D4904" i="11"/>
  <c r="D4903" i="11"/>
  <c r="D4902" i="11"/>
  <c r="D4901" i="11"/>
  <c r="D4900" i="11"/>
  <c r="D4899" i="11"/>
  <c r="D4898" i="11"/>
  <c r="D4897" i="11"/>
  <c r="D4896" i="11"/>
  <c r="D4895" i="11"/>
  <c r="D4894" i="11"/>
  <c r="D4893" i="11"/>
  <c r="D4892" i="11"/>
  <c r="D4891" i="11"/>
  <c r="D4890" i="11"/>
  <c r="D4889" i="11"/>
  <c r="D4888" i="11"/>
  <c r="D4887" i="11"/>
  <c r="D4886" i="11"/>
  <c r="D4885" i="11"/>
  <c r="D4884" i="11"/>
  <c r="D4883" i="11"/>
  <c r="D4882" i="11"/>
  <c r="D4881" i="11"/>
  <c r="D4880" i="11"/>
  <c r="D4879" i="11"/>
  <c r="D4878" i="11"/>
  <c r="D4877" i="11"/>
  <c r="D4876" i="11"/>
  <c r="D4875" i="11"/>
  <c r="D4874" i="11"/>
  <c r="D4873" i="11"/>
  <c r="D4872" i="11"/>
  <c r="D4871" i="11"/>
  <c r="D4870" i="11"/>
  <c r="D4869" i="11"/>
  <c r="D4868" i="11"/>
  <c r="D4867" i="11"/>
  <c r="D4866" i="11"/>
  <c r="D4865" i="11"/>
  <c r="D4864" i="11"/>
  <c r="D4863" i="11"/>
  <c r="D4862" i="11"/>
  <c r="D4861" i="11"/>
  <c r="D4860" i="11"/>
  <c r="D4859" i="11"/>
  <c r="D4858" i="11"/>
  <c r="D4857" i="11"/>
  <c r="D4856" i="11"/>
  <c r="D4855" i="11"/>
  <c r="D4854" i="11"/>
  <c r="D4853" i="11"/>
  <c r="D4852" i="11"/>
  <c r="D4851" i="11"/>
  <c r="D4850" i="11"/>
  <c r="D4849" i="11"/>
  <c r="D4848" i="11"/>
  <c r="D4847" i="11"/>
  <c r="D4846" i="11"/>
  <c r="D4845" i="11"/>
  <c r="D4844" i="11"/>
  <c r="D4843" i="11"/>
  <c r="D4842" i="11"/>
  <c r="D4841" i="11"/>
  <c r="D4840" i="11"/>
  <c r="D4839" i="11"/>
  <c r="D4838" i="11"/>
  <c r="D4837" i="11"/>
  <c r="D4836" i="11"/>
  <c r="D4835" i="11"/>
  <c r="D4834" i="11"/>
  <c r="D4833" i="11"/>
  <c r="D4832" i="11"/>
  <c r="D4831" i="11"/>
  <c r="D4830" i="11"/>
  <c r="D4829" i="11"/>
  <c r="D4828" i="11"/>
  <c r="D4827" i="11"/>
  <c r="D4826" i="11"/>
  <c r="D4825" i="11"/>
  <c r="D4824" i="11"/>
  <c r="D4823" i="11"/>
  <c r="D4822" i="11"/>
  <c r="D4821" i="11"/>
  <c r="D4820" i="11"/>
  <c r="D4819" i="11"/>
  <c r="D4818" i="11"/>
  <c r="D4817" i="11"/>
  <c r="D4816" i="11"/>
  <c r="D4815" i="11"/>
  <c r="D4814" i="11"/>
  <c r="D4813" i="11"/>
  <c r="D4812" i="11"/>
  <c r="D4811" i="11"/>
  <c r="D4810" i="11"/>
  <c r="D4809" i="11"/>
  <c r="D4808" i="11"/>
  <c r="D4807" i="11"/>
  <c r="D4806" i="11"/>
  <c r="D4805" i="11"/>
  <c r="D4804" i="11"/>
  <c r="D4803" i="11"/>
  <c r="D4802" i="11"/>
  <c r="D4801" i="11"/>
  <c r="D4800" i="11"/>
  <c r="D4799" i="11"/>
  <c r="D4798" i="11"/>
  <c r="D4797" i="11"/>
  <c r="D4796" i="11"/>
  <c r="D4795" i="11"/>
  <c r="D4794" i="11"/>
  <c r="D4793" i="11"/>
  <c r="D4792" i="11"/>
  <c r="D4791" i="11"/>
  <c r="D4790" i="11"/>
  <c r="D4789" i="11"/>
  <c r="D4788" i="11"/>
  <c r="D4787" i="11"/>
  <c r="D4786" i="11"/>
  <c r="D4785" i="11"/>
  <c r="D4784" i="11"/>
  <c r="D4783" i="11"/>
  <c r="D4782" i="11"/>
  <c r="D4781" i="11"/>
  <c r="D4780" i="11"/>
  <c r="D4779" i="11"/>
  <c r="D4778" i="11"/>
  <c r="D4777" i="11"/>
  <c r="D4776" i="11"/>
  <c r="D4775" i="11"/>
  <c r="D4774" i="11"/>
  <c r="D4773" i="11"/>
  <c r="D4772" i="11"/>
  <c r="D4771" i="11"/>
  <c r="D4770" i="11"/>
  <c r="D4769" i="11"/>
  <c r="D4768" i="11"/>
  <c r="D4767" i="11"/>
  <c r="D4766" i="11"/>
  <c r="D4765" i="11"/>
  <c r="D4764" i="11"/>
  <c r="D4763" i="11"/>
  <c r="D4762" i="11"/>
  <c r="D4761" i="11"/>
  <c r="D4760" i="11"/>
  <c r="D4759" i="11"/>
  <c r="D4758" i="11"/>
  <c r="D4757" i="11"/>
  <c r="D4756" i="11"/>
  <c r="D4755" i="11"/>
  <c r="D4754" i="11"/>
  <c r="D4753" i="11"/>
  <c r="D4752" i="11"/>
  <c r="D4751" i="11"/>
  <c r="D4750" i="11"/>
  <c r="D4749" i="11"/>
  <c r="D4748" i="11"/>
  <c r="D4747" i="11"/>
  <c r="D4746" i="11"/>
  <c r="D4745" i="11"/>
  <c r="D4744" i="11"/>
  <c r="D4743" i="11"/>
  <c r="D4742" i="11"/>
  <c r="D4741" i="11"/>
  <c r="D4740" i="11"/>
  <c r="D4739" i="11"/>
  <c r="D4738" i="11"/>
  <c r="D4737" i="11"/>
  <c r="D4736" i="11"/>
  <c r="D4735" i="11"/>
  <c r="D4734" i="11"/>
  <c r="D4733" i="11"/>
  <c r="D4732" i="11"/>
  <c r="D4731" i="11"/>
  <c r="D4730" i="11"/>
  <c r="D4729" i="11"/>
  <c r="D4728" i="11"/>
  <c r="D4727" i="11"/>
  <c r="D4726" i="11"/>
  <c r="D4725" i="11"/>
  <c r="D4724" i="11"/>
  <c r="D4723" i="11"/>
  <c r="D4722" i="11"/>
  <c r="D4721" i="11"/>
  <c r="D4720" i="11"/>
  <c r="D4719" i="11"/>
  <c r="D4718" i="11"/>
  <c r="D4717" i="11"/>
  <c r="D4716" i="11"/>
  <c r="D4715" i="11"/>
  <c r="D4714" i="11"/>
  <c r="D4713" i="11"/>
  <c r="D4712" i="11"/>
  <c r="D4711" i="11"/>
  <c r="D4710" i="11"/>
  <c r="D4709" i="11"/>
  <c r="D4708" i="11"/>
  <c r="D4707" i="11"/>
  <c r="D4706" i="11"/>
  <c r="D4705" i="11"/>
  <c r="D4704" i="11"/>
  <c r="D4703" i="11"/>
  <c r="D4702" i="11"/>
  <c r="D4701" i="11"/>
  <c r="D4700" i="11"/>
  <c r="D4699" i="11"/>
  <c r="D4698" i="11"/>
  <c r="D4697" i="11"/>
  <c r="D4696" i="11"/>
  <c r="D4695" i="11"/>
  <c r="D4694" i="11"/>
  <c r="D4693" i="11"/>
  <c r="D4692" i="11"/>
  <c r="D4691" i="11"/>
  <c r="D4690" i="11"/>
  <c r="D4689" i="11"/>
  <c r="D4688" i="11"/>
  <c r="D4687" i="11"/>
  <c r="D4686" i="11"/>
  <c r="D4685" i="11"/>
  <c r="D4684" i="11"/>
  <c r="D4683" i="11"/>
  <c r="D4682" i="11"/>
  <c r="D4681" i="11"/>
  <c r="D4680" i="11"/>
  <c r="D4679" i="11"/>
  <c r="D4678" i="11"/>
  <c r="D4677" i="11"/>
  <c r="D4676" i="11"/>
  <c r="D4675" i="11"/>
  <c r="D4674" i="11"/>
  <c r="D4673" i="11"/>
  <c r="D4672" i="11"/>
  <c r="D4671" i="11"/>
  <c r="D4670" i="11"/>
  <c r="D4669" i="11"/>
  <c r="D4668" i="11"/>
  <c r="D4667" i="11"/>
  <c r="D4666" i="11"/>
  <c r="D4665" i="11"/>
  <c r="D4664" i="11"/>
  <c r="D4663" i="11"/>
  <c r="D4662" i="11"/>
  <c r="D4661" i="11"/>
  <c r="D4660" i="11"/>
  <c r="D4659" i="11"/>
  <c r="D4658" i="11"/>
  <c r="D4657" i="11"/>
  <c r="D4656" i="11"/>
  <c r="D4655" i="11"/>
  <c r="D4654" i="11"/>
  <c r="D4653" i="11"/>
  <c r="D4652" i="11"/>
  <c r="D4651" i="11"/>
  <c r="D4650" i="11"/>
  <c r="D4649" i="11"/>
  <c r="D4648" i="11"/>
  <c r="D4647" i="11"/>
  <c r="D4646" i="11"/>
  <c r="D4645" i="11"/>
  <c r="D4644" i="11"/>
  <c r="D4643" i="11"/>
  <c r="D4642" i="11"/>
  <c r="D4641" i="11"/>
  <c r="D4640" i="11"/>
  <c r="D4639" i="11"/>
  <c r="D4638" i="11"/>
  <c r="D4637" i="11"/>
  <c r="D4636" i="11"/>
  <c r="D4635" i="11"/>
  <c r="D4634" i="11"/>
  <c r="D4633" i="11"/>
  <c r="D4632" i="11"/>
  <c r="D4631" i="11"/>
  <c r="D4630" i="11"/>
  <c r="D4629" i="11"/>
  <c r="D4628" i="11"/>
  <c r="D4627" i="11"/>
  <c r="D4626" i="11"/>
  <c r="D4625" i="11"/>
  <c r="D4624" i="11"/>
  <c r="D4623" i="11"/>
  <c r="D4622" i="11"/>
  <c r="D4621" i="11"/>
  <c r="D4620" i="11"/>
  <c r="D4619" i="11"/>
  <c r="D4618" i="11"/>
  <c r="D4617" i="11"/>
  <c r="D4616" i="11"/>
  <c r="D4615" i="11"/>
  <c r="D4614" i="11"/>
  <c r="D4613" i="11"/>
  <c r="D4612" i="11"/>
  <c r="D4611" i="11"/>
  <c r="D4610" i="11"/>
  <c r="D4609" i="11"/>
  <c r="D4608" i="11"/>
  <c r="D4607" i="11"/>
  <c r="D4606" i="11"/>
  <c r="D4605" i="11"/>
  <c r="D4604" i="11"/>
  <c r="D4603" i="11"/>
  <c r="D4602" i="11"/>
  <c r="D4601" i="11"/>
  <c r="D4600" i="11"/>
  <c r="D4599" i="11"/>
  <c r="D4598" i="11"/>
  <c r="D4597" i="11"/>
  <c r="D4596" i="11"/>
  <c r="D4595" i="11"/>
  <c r="D4594" i="11"/>
  <c r="D4593" i="11"/>
  <c r="D4592" i="11"/>
  <c r="D4591" i="11"/>
  <c r="D4590" i="11"/>
  <c r="D4589" i="11"/>
  <c r="D4588" i="11"/>
  <c r="D4587" i="11"/>
  <c r="D4586" i="11"/>
  <c r="D4585" i="11"/>
  <c r="D4584" i="11"/>
  <c r="D4583" i="11"/>
  <c r="D4582" i="11"/>
  <c r="D4581" i="11"/>
  <c r="D4580" i="11"/>
  <c r="D4579" i="11"/>
  <c r="D4578" i="11"/>
  <c r="D4577" i="11"/>
  <c r="D4576" i="11"/>
  <c r="D4575" i="11"/>
  <c r="D4574" i="11"/>
  <c r="D4573" i="11"/>
  <c r="D4572" i="11"/>
  <c r="D4571" i="11"/>
  <c r="D4570" i="11"/>
  <c r="D4569" i="11"/>
  <c r="D4568" i="11"/>
  <c r="D4567" i="11"/>
  <c r="D4566" i="11"/>
  <c r="D4565" i="11"/>
  <c r="D4564" i="11"/>
  <c r="D4563" i="11"/>
  <c r="D4562" i="11"/>
  <c r="D4561" i="11"/>
  <c r="D4560" i="11"/>
  <c r="D4559" i="11"/>
  <c r="D4558" i="11"/>
  <c r="D4557" i="11"/>
  <c r="D4556" i="11"/>
  <c r="D4555" i="11"/>
  <c r="D4554" i="11"/>
  <c r="D4553" i="11"/>
  <c r="D4552" i="11"/>
  <c r="D4551" i="11"/>
  <c r="D4550" i="11"/>
  <c r="D4549" i="11"/>
  <c r="D4548" i="11"/>
  <c r="D4547" i="11"/>
  <c r="D4546" i="11"/>
  <c r="D4545" i="11"/>
  <c r="D4544" i="11"/>
  <c r="D4543" i="11"/>
  <c r="D4542" i="11"/>
  <c r="D4541" i="11"/>
  <c r="D4540" i="11"/>
  <c r="D4539" i="11"/>
  <c r="D4538" i="11"/>
  <c r="D4537" i="11"/>
  <c r="D4536" i="11"/>
  <c r="D4535" i="11"/>
  <c r="D4534" i="11"/>
  <c r="D4533" i="11"/>
  <c r="D4532" i="11"/>
  <c r="D4531" i="11"/>
  <c r="D4530" i="11"/>
  <c r="D4529" i="11"/>
  <c r="D4528" i="11"/>
  <c r="D4527" i="11"/>
  <c r="D4526" i="11"/>
  <c r="D4525" i="11"/>
  <c r="D4524" i="11"/>
  <c r="D4523" i="11"/>
  <c r="D4522" i="11"/>
  <c r="D4521" i="11"/>
  <c r="D4520" i="11"/>
  <c r="D4519" i="11"/>
  <c r="D4518" i="11"/>
  <c r="D4517" i="11"/>
  <c r="D4516" i="11"/>
  <c r="D4515" i="11"/>
  <c r="D4514" i="11"/>
  <c r="D4513" i="11"/>
  <c r="D4512" i="11"/>
  <c r="D4511" i="11"/>
  <c r="D4510" i="11"/>
  <c r="D4509" i="11"/>
  <c r="D4508" i="11"/>
  <c r="D4507" i="11"/>
  <c r="D4506" i="11"/>
  <c r="D4505" i="11"/>
  <c r="D4504" i="11"/>
  <c r="D4503" i="11"/>
  <c r="D4502" i="11"/>
  <c r="D4501" i="11"/>
  <c r="D4500" i="11"/>
  <c r="D4499" i="11"/>
  <c r="D4498" i="11"/>
  <c r="D4497" i="11"/>
  <c r="D4496" i="11"/>
  <c r="D4495" i="11"/>
  <c r="D4494" i="11"/>
  <c r="D4493" i="11"/>
  <c r="D4492" i="11"/>
  <c r="D4491" i="11"/>
  <c r="D4490" i="11"/>
  <c r="D4489" i="11"/>
  <c r="D4488" i="11"/>
  <c r="D4487" i="11"/>
  <c r="D4486" i="11"/>
  <c r="D4485" i="11"/>
  <c r="D4484" i="11"/>
  <c r="D4483" i="11"/>
  <c r="D4482" i="11"/>
  <c r="D4481" i="11"/>
  <c r="D4480" i="11"/>
  <c r="D4479" i="11"/>
  <c r="D4478" i="11"/>
  <c r="D4477" i="11"/>
  <c r="D4476" i="11"/>
  <c r="D4475" i="11"/>
  <c r="D4474" i="11"/>
  <c r="D4473" i="11"/>
  <c r="D4472" i="11"/>
  <c r="D4471" i="11"/>
  <c r="D4470" i="11"/>
  <c r="D4469" i="11"/>
  <c r="D4468" i="11"/>
  <c r="D4467" i="11"/>
  <c r="D4466" i="11"/>
  <c r="D4465" i="11"/>
  <c r="D4464" i="11"/>
  <c r="D4463" i="11"/>
  <c r="D4462" i="11"/>
  <c r="D4461" i="11"/>
  <c r="D4460" i="11"/>
  <c r="D4459" i="11"/>
  <c r="D4458" i="11"/>
  <c r="D4457" i="11"/>
  <c r="D4456" i="11"/>
  <c r="D4455" i="11"/>
  <c r="D4454" i="11"/>
  <c r="D4453" i="11"/>
  <c r="D4452" i="11"/>
  <c r="D4451" i="11"/>
  <c r="D4450" i="11"/>
  <c r="D4449" i="11"/>
  <c r="D4448" i="11"/>
  <c r="D4447" i="11"/>
  <c r="D4446" i="11"/>
  <c r="D4445" i="11"/>
  <c r="D4444" i="11"/>
  <c r="D4443" i="11"/>
  <c r="D4442" i="11"/>
  <c r="D4441" i="11"/>
  <c r="D4440" i="11"/>
  <c r="D4439" i="11"/>
  <c r="D4438" i="11"/>
  <c r="D4437" i="11"/>
  <c r="D4436" i="11"/>
  <c r="D4435" i="11"/>
  <c r="D4434" i="11"/>
  <c r="D4433" i="11"/>
  <c r="D4432" i="11"/>
  <c r="D4431" i="11"/>
  <c r="D4430" i="11"/>
  <c r="D4429" i="11"/>
  <c r="D4428" i="11"/>
  <c r="D4427" i="11"/>
  <c r="D4426" i="11"/>
  <c r="D4425" i="11"/>
  <c r="D4424" i="11"/>
  <c r="D4423" i="11"/>
  <c r="D4422" i="11"/>
  <c r="D4421" i="11"/>
  <c r="D4420" i="11"/>
  <c r="D4419" i="11"/>
  <c r="D4418" i="11"/>
  <c r="D4417" i="11"/>
  <c r="D4416" i="11"/>
  <c r="D4415" i="11"/>
  <c r="D4414" i="11"/>
  <c r="D4413" i="11"/>
  <c r="D4412" i="11"/>
  <c r="D4411" i="11"/>
  <c r="D4410" i="11"/>
  <c r="D4409" i="11"/>
  <c r="D4408" i="11"/>
  <c r="D4407" i="11"/>
  <c r="D4406" i="11"/>
  <c r="D4405" i="11"/>
  <c r="D4404" i="11"/>
  <c r="D4403" i="11"/>
  <c r="D4402" i="11"/>
  <c r="D4401" i="11"/>
  <c r="D4400" i="11"/>
  <c r="D4399" i="11"/>
  <c r="D4398" i="11"/>
  <c r="D4397" i="11"/>
  <c r="D4396" i="11"/>
  <c r="D4395" i="11"/>
  <c r="D4394" i="11"/>
  <c r="D4393" i="11"/>
  <c r="D4392" i="11"/>
  <c r="D4391" i="11"/>
  <c r="D4390" i="11"/>
  <c r="D4389" i="11"/>
  <c r="D4388" i="11"/>
  <c r="D4387" i="11"/>
  <c r="D4386" i="11"/>
  <c r="D4385" i="11"/>
  <c r="D4384" i="11"/>
  <c r="D4383" i="11"/>
  <c r="D4382" i="11"/>
  <c r="D4381" i="11"/>
  <c r="D4380" i="11"/>
  <c r="D4379" i="11"/>
  <c r="D4378" i="11"/>
  <c r="D4377" i="11"/>
  <c r="D4376" i="11"/>
  <c r="D4375" i="11"/>
  <c r="D4374" i="11"/>
  <c r="D4373" i="11"/>
  <c r="D4372" i="11"/>
  <c r="D4371" i="11"/>
  <c r="D4370" i="11"/>
  <c r="D4369" i="11"/>
  <c r="D4368" i="11"/>
  <c r="D4367" i="11"/>
  <c r="D4366" i="11"/>
  <c r="D4365" i="11"/>
  <c r="D4364" i="11"/>
  <c r="D4363" i="11"/>
  <c r="D4362" i="11"/>
  <c r="D4361" i="11"/>
  <c r="D4360" i="11"/>
  <c r="D4359" i="11"/>
  <c r="D4358" i="11"/>
  <c r="D4357" i="11"/>
  <c r="D4356" i="11"/>
  <c r="D4355" i="11"/>
  <c r="D4354" i="11"/>
  <c r="D4353" i="11"/>
  <c r="D4352" i="11"/>
  <c r="D4351" i="11"/>
  <c r="D4350" i="11"/>
  <c r="D4349" i="11"/>
  <c r="D4348" i="11"/>
  <c r="D4347" i="11"/>
  <c r="D4346" i="11"/>
  <c r="D4345" i="11"/>
  <c r="D4344" i="11"/>
  <c r="D4343" i="11"/>
  <c r="D4342" i="11"/>
  <c r="D4341" i="11"/>
  <c r="D4340" i="11"/>
  <c r="D4339" i="11"/>
  <c r="D4338" i="11"/>
  <c r="D4337" i="11"/>
  <c r="D4336" i="11"/>
  <c r="D4335" i="11"/>
  <c r="D4334" i="11"/>
  <c r="D4333" i="11"/>
  <c r="D4332" i="11"/>
  <c r="D4331" i="11"/>
  <c r="D4330" i="11"/>
  <c r="D4329" i="11"/>
  <c r="D4328" i="11"/>
  <c r="D4327" i="11"/>
  <c r="D4326" i="11"/>
  <c r="D4325" i="11"/>
  <c r="D4324" i="11"/>
  <c r="D4323" i="11"/>
  <c r="D4322" i="11"/>
  <c r="D4321" i="11"/>
  <c r="D4320" i="11"/>
  <c r="D4319" i="11"/>
  <c r="D4318" i="11"/>
  <c r="D4317" i="11"/>
  <c r="D4316" i="11"/>
  <c r="D4315" i="11"/>
  <c r="D4314" i="11"/>
  <c r="D4313" i="11"/>
  <c r="D4312" i="11"/>
  <c r="D4311" i="11"/>
  <c r="D4310" i="11"/>
  <c r="D4309" i="11"/>
  <c r="D4308" i="11"/>
  <c r="D4307" i="11"/>
  <c r="D4306" i="11"/>
  <c r="D4305" i="11"/>
  <c r="D4304" i="11"/>
  <c r="D4303" i="11"/>
  <c r="D4302" i="11"/>
  <c r="D4301" i="11"/>
  <c r="D4300" i="11"/>
  <c r="D4299" i="11"/>
  <c r="D4298" i="11"/>
  <c r="D4297" i="11"/>
  <c r="D4296" i="11"/>
  <c r="D4295" i="11"/>
  <c r="D4294" i="11"/>
  <c r="D4293" i="11"/>
  <c r="D4292" i="11"/>
  <c r="D4291" i="11"/>
  <c r="D4290" i="11"/>
  <c r="D4289" i="11"/>
  <c r="D4288" i="11"/>
  <c r="D4287" i="11"/>
  <c r="D4286" i="11"/>
  <c r="D4285" i="11"/>
  <c r="D4284" i="11"/>
  <c r="D4283" i="11"/>
  <c r="D4282" i="11"/>
  <c r="D4281" i="11"/>
  <c r="D4280" i="11"/>
  <c r="D4279" i="11"/>
  <c r="D4278" i="11"/>
  <c r="D4277" i="11"/>
  <c r="D4276" i="11"/>
  <c r="D4275" i="11"/>
  <c r="D4274" i="11"/>
  <c r="D4273" i="11"/>
  <c r="D4272" i="11"/>
  <c r="D4271" i="11"/>
  <c r="D4270" i="11"/>
  <c r="D4269" i="11"/>
  <c r="D4268" i="11"/>
  <c r="D4267" i="11"/>
  <c r="D4266" i="11"/>
  <c r="D4265" i="11"/>
  <c r="D4264" i="11"/>
  <c r="D4263" i="11"/>
  <c r="D4262" i="11"/>
  <c r="D4261" i="11"/>
  <c r="D4260" i="11"/>
  <c r="D4259" i="11"/>
  <c r="D4258" i="11"/>
  <c r="D4257" i="11"/>
  <c r="D4256" i="11"/>
  <c r="D4255" i="11"/>
  <c r="D4254" i="11"/>
  <c r="D4253" i="11"/>
  <c r="D4252" i="11"/>
  <c r="D4251" i="11"/>
  <c r="D4250" i="11"/>
  <c r="D4249" i="11"/>
  <c r="D4248" i="11"/>
  <c r="D4247" i="11"/>
  <c r="D4246" i="11"/>
  <c r="D4245" i="11"/>
  <c r="D4244" i="11"/>
  <c r="D4243" i="11"/>
  <c r="D4242" i="11"/>
  <c r="D4241" i="11"/>
  <c r="D4240" i="11"/>
  <c r="D4239" i="11"/>
  <c r="D4238" i="11"/>
  <c r="D4237" i="11"/>
  <c r="D4236" i="11"/>
  <c r="D4235" i="11"/>
  <c r="D4234" i="11"/>
  <c r="D4233" i="11"/>
  <c r="D4232" i="11"/>
  <c r="D4231" i="11"/>
  <c r="D4230" i="11"/>
  <c r="D4229" i="11"/>
  <c r="D4228" i="11"/>
  <c r="D4227" i="11"/>
  <c r="D4226" i="11"/>
  <c r="D4225" i="11"/>
  <c r="D4224" i="11"/>
  <c r="D4223" i="11"/>
  <c r="D4222" i="11"/>
  <c r="D4221" i="11"/>
  <c r="D4220" i="11"/>
  <c r="D4219" i="11"/>
  <c r="D4218" i="11"/>
  <c r="D4217" i="11"/>
  <c r="D4216" i="11"/>
  <c r="D4215" i="11"/>
  <c r="D4214" i="11"/>
  <c r="D4213" i="11"/>
  <c r="D4212" i="11"/>
  <c r="D4211" i="11"/>
  <c r="D4210" i="11"/>
  <c r="D4209" i="11"/>
  <c r="D4208" i="11"/>
  <c r="D4207" i="11"/>
  <c r="D4206" i="11"/>
  <c r="D4205" i="11"/>
  <c r="D4204" i="11"/>
  <c r="D4203" i="11"/>
  <c r="D4202" i="11"/>
  <c r="D4201" i="11"/>
  <c r="D4200" i="11"/>
  <c r="D4199" i="11"/>
  <c r="D4198" i="11"/>
  <c r="D4197" i="11"/>
  <c r="D4196" i="11"/>
  <c r="D4195" i="11"/>
  <c r="D4194" i="11"/>
  <c r="D4193" i="11"/>
  <c r="D4192" i="11"/>
  <c r="D4191" i="11"/>
  <c r="D4190" i="11"/>
  <c r="D4189" i="11"/>
  <c r="D4188" i="11"/>
  <c r="D4187" i="11"/>
  <c r="D4186" i="11"/>
  <c r="D4185" i="11"/>
  <c r="D4184" i="11"/>
  <c r="D4183" i="11"/>
  <c r="D4182" i="11"/>
  <c r="D4181" i="11"/>
  <c r="D4180" i="11"/>
  <c r="D4179" i="11"/>
  <c r="D4178" i="11"/>
  <c r="D4177" i="11"/>
  <c r="D4176" i="11"/>
  <c r="D4175" i="11"/>
  <c r="D4174" i="11"/>
  <c r="D4173" i="11"/>
  <c r="D4172" i="11"/>
  <c r="D4171" i="11"/>
  <c r="D4170" i="11"/>
  <c r="D4169" i="11"/>
  <c r="D4168" i="11"/>
  <c r="D4167" i="11"/>
  <c r="D4166" i="11"/>
  <c r="D4165" i="11"/>
  <c r="D4164" i="11"/>
  <c r="D4163" i="11"/>
  <c r="D4162" i="11"/>
  <c r="D4161" i="11"/>
  <c r="D4160" i="11"/>
  <c r="D4159" i="11"/>
  <c r="D4158" i="11"/>
  <c r="D4157" i="11"/>
  <c r="D4156" i="11"/>
  <c r="D4155" i="11"/>
  <c r="D4154" i="11"/>
  <c r="D4153" i="11"/>
  <c r="D4152" i="11"/>
  <c r="D4151" i="11"/>
  <c r="D4150" i="11"/>
  <c r="D4149" i="11"/>
  <c r="D4148" i="11"/>
  <c r="D4147" i="11"/>
  <c r="D4146" i="11"/>
  <c r="D4145" i="11"/>
  <c r="D4144" i="11"/>
  <c r="D4143" i="11"/>
  <c r="D4142" i="11"/>
  <c r="D4141" i="11"/>
  <c r="D4140" i="11"/>
  <c r="D4139" i="11"/>
  <c r="D4138" i="11"/>
  <c r="D4137" i="11"/>
  <c r="D4136" i="11"/>
  <c r="D4135" i="11"/>
  <c r="D4134" i="11"/>
  <c r="D4133" i="11"/>
  <c r="D4132" i="11"/>
  <c r="D4131" i="11"/>
  <c r="D4130" i="11"/>
  <c r="D4129" i="11"/>
  <c r="D4128" i="11"/>
  <c r="D4127" i="11"/>
  <c r="D4126" i="11"/>
  <c r="D4125" i="11"/>
  <c r="D4124" i="11"/>
  <c r="D4123" i="11"/>
  <c r="D4122" i="11"/>
  <c r="D4121" i="11"/>
  <c r="D4120" i="11"/>
  <c r="D4119" i="11"/>
  <c r="D4118" i="11"/>
  <c r="D4117" i="11"/>
  <c r="D4116" i="11"/>
  <c r="D4115" i="11"/>
  <c r="D4114" i="11"/>
  <c r="D4113" i="11"/>
  <c r="D4112" i="11"/>
  <c r="D4111" i="11"/>
  <c r="D4110" i="11"/>
  <c r="D4109" i="11"/>
  <c r="D4108" i="11"/>
  <c r="D4107" i="11"/>
  <c r="D4106" i="11"/>
  <c r="D4105" i="11"/>
  <c r="D4104" i="11"/>
  <c r="D4103" i="11"/>
  <c r="D4102" i="11"/>
  <c r="D4101" i="11"/>
  <c r="D4100" i="11"/>
  <c r="D4099" i="11"/>
  <c r="D4098" i="11"/>
  <c r="D4097" i="11"/>
  <c r="D4096" i="11"/>
  <c r="D4095" i="11"/>
  <c r="D4094" i="11"/>
  <c r="D4093" i="11"/>
  <c r="D4092" i="11"/>
  <c r="D4091" i="11"/>
  <c r="D4090" i="11"/>
  <c r="D4089" i="11"/>
  <c r="D4088" i="11"/>
  <c r="D4087" i="11"/>
  <c r="D4086" i="11"/>
  <c r="D4085" i="11"/>
  <c r="D4084" i="11"/>
  <c r="D4083" i="11"/>
  <c r="D4082" i="11"/>
  <c r="D4081" i="11"/>
  <c r="D4080" i="11"/>
  <c r="D4079" i="11"/>
  <c r="D4078" i="11"/>
  <c r="D4077" i="11"/>
  <c r="D4076" i="11"/>
  <c r="D4075" i="11"/>
  <c r="D4074" i="11"/>
  <c r="D4073" i="11"/>
  <c r="D4072" i="11"/>
  <c r="D4071" i="11"/>
  <c r="D4070" i="11"/>
  <c r="D4069" i="11"/>
  <c r="D4068" i="11"/>
  <c r="D4067" i="11"/>
  <c r="D4066" i="11"/>
  <c r="D4065" i="11"/>
  <c r="D4064" i="11"/>
  <c r="D4063" i="11"/>
  <c r="D4062" i="11"/>
  <c r="D4061" i="11"/>
  <c r="D4060" i="11"/>
  <c r="D4059" i="11"/>
  <c r="D4058" i="11"/>
  <c r="D4057" i="11"/>
  <c r="D4056" i="11"/>
  <c r="D4055" i="11"/>
  <c r="D4054" i="11"/>
  <c r="D4053" i="11"/>
  <c r="D4052" i="11"/>
  <c r="D4051" i="11"/>
  <c r="D4050" i="11"/>
  <c r="D4049" i="11"/>
  <c r="D4048" i="11"/>
  <c r="D4047" i="11"/>
  <c r="D4046" i="11"/>
  <c r="D4045" i="11"/>
  <c r="D4044" i="11"/>
  <c r="D4043" i="11"/>
  <c r="D4042" i="11"/>
  <c r="D4041" i="11"/>
  <c r="D4040" i="11"/>
  <c r="D4039" i="11"/>
  <c r="D4038" i="11"/>
  <c r="D4037" i="11"/>
  <c r="D4036" i="11"/>
  <c r="D4035" i="11"/>
  <c r="D4034" i="11"/>
  <c r="D4033" i="11"/>
  <c r="D4032" i="11"/>
  <c r="D4031" i="11"/>
  <c r="D4030" i="11"/>
  <c r="D4029" i="11"/>
  <c r="D4028" i="11"/>
  <c r="D4027" i="11"/>
  <c r="D4026" i="11"/>
  <c r="D4025" i="11"/>
  <c r="D4024" i="11"/>
  <c r="D4023" i="11"/>
  <c r="D4022" i="11"/>
  <c r="D4021" i="11"/>
  <c r="D4020" i="11"/>
  <c r="D4019" i="11"/>
  <c r="D4018" i="11"/>
  <c r="D4017" i="11"/>
  <c r="D4016" i="11"/>
  <c r="D4015" i="11"/>
  <c r="D4014" i="11"/>
  <c r="D4013" i="11"/>
  <c r="D4012" i="11"/>
  <c r="D4011" i="11"/>
  <c r="D4010" i="11"/>
  <c r="D4009" i="11"/>
  <c r="D4008" i="11"/>
  <c r="D4007" i="11"/>
  <c r="D4006" i="11"/>
  <c r="D4005" i="11"/>
  <c r="D4004" i="11"/>
  <c r="D4003" i="11"/>
  <c r="D4002" i="11"/>
  <c r="D4001" i="11"/>
  <c r="D4000" i="11"/>
  <c r="D3999" i="11"/>
  <c r="D3998" i="11"/>
  <c r="D3997" i="11"/>
  <c r="D3996" i="11"/>
  <c r="D3995" i="11"/>
  <c r="D3994" i="11"/>
  <c r="D3993" i="11"/>
  <c r="D3992" i="11"/>
  <c r="D3991" i="11"/>
  <c r="D3990" i="11"/>
  <c r="D3989" i="11"/>
  <c r="D3988" i="11"/>
  <c r="D3987" i="11"/>
  <c r="D3986" i="11"/>
  <c r="D3985" i="11"/>
  <c r="D3984" i="11"/>
  <c r="D3983" i="11"/>
  <c r="D3982" i="11"/>
  <c r="D3981" i="11"/>
  <c r="D3980" i="11"/>
  <c r="D3979" i="11"/>
  <c r="D3978" i="11"/>
  <c r="D3977" i="11"/>
  <c r="D3976" i="11"/>
  <c r="D3975" i="11"/>
  <c r="D3974" i="11"/>
  <c r="D3973" i="11"/>
  <c r="D3972" i="11"/>
  <c r="D3971" i="11"/>
  <c r="D3970" i="11"/>
  <c r="D3969" i="11"/>
  <c r="D3968" i="11"/>
  <c r="D3967" i="11"/>
  <c r="D3966" i="11"/>
  <c r="D3965" i="11"/>
  <c r="D3964" i="11"/>
  <c r="D3963" i="11"/>
  <c r="D3962" i="11"/>
  <c r="D3961" i="11"/>
  <c r="D3960" i="11"/>
  <c r="D3959" i="11"/>
  <c r="D3958" i="11"/>
  <c r="D3957" i="11"/>
  <c r="D3956" i="11"/>
  <c r="D3955" i="11"/>
  <c r="D3954" i="11"/>
  <c r="D3953" i="11"/>
  <c r="D3952" i="11"/>
  <c r="D3951" i="11"/>
  <c r="D3950" i="11"/>
  <c r="D3949" i="11"/>
  <c r="D3948" i="11"/>
  <c r="D3947" i="11"/>
  <c r="D3946" i="11"/>
  <c r="D3945" i="11"/>
  <c r="D3944" i="11"/>
  <c r="D3943" i="11"/>
  <c r="D3942" i="11"/>
  <c r="D3941" i="11"/>
  <c r="D3940" i="11"/>
  <c r="D3939" i="11"/>
  <c r="D3938" i="11"/>
  <c r="D3937" i="11"/>
  <c r="D3936" i="11"/>
  <c r="D3935" i="11"/>
  <c r="D3934" i="11"/>
  <c r="D3933" i="11"/>
  <c r="D3932" i="11"/>
  <c r="D3931" i="11"/>
  <c r="D3930" i="11"/>
  <c r="D3929" i="11"/>
  <c r="D3928" i="11"/>
  <c r="D3927" i="11"/>
  <c r="D3926" i="11"/>
  <c r="D3925" i="11"/>
  <c r="D3924" i="11"/>
  <c r="D3923" i="11"/>
  <c r="D3922" i="11"/>
  <c r="D3921" i="11"/>
  <c r="D3920" i="11"/>
  <c r="D3919" i="11"/>
  <c r="D3918" i="11"/>
  <c r="D3917" i="11"/>
  <c r="D3916" i="11"/>
  <c r="D3915" i="11"/>
  <c r="D3914" i="11"/>
  <c r="D3913" i="11"/>
  <c r="D3912" i="11"/>
  <c r="D3911" i="11"/>
  <c r="D3910" i="11"/>
  <c r="D3909" i="11"/>
  <c r="D3908" i="11"/>
  <c r="D3907" i="11"/>
  <c r="D3906" i="11"/>
  <c r="D3905" i="11"/>
  <c r="D3904" i="11"/>
  <c r="D3903" i="11"/>
  <c r="D3902" i="11"/>
  <c r="D3901" i="11"/>
  <c r="D3900" i="11"/>
  <c r="D3899" i="11"/>
  <c r="D3898" i="11"/>
  <c r="D3897" i="11"/>
  <c r="D3896" i="11"/>
  <c r="D3895" i="11"/>
  <c r="D3894" i="11"/>
  <c r="D3893" i="11"/>
  <c r="D3892" i="11"/>
  <c r="D3891" i="11"/>
  <c r="D3890" i="11"/>
  <c r="D3889" i="11"/>
  <c r="D3888" i="11"/>
  <c r="D3887" i="11"/>
  <c r="D3886" i="11"/>
  <c r="D3885" i="11"/>
  <c r="D3884" i="11"/>
  <c r="D3883" i="11"/>
  <c r="D3882" i="11"/>
  <c r="D3881" i="11"/>
  <c r="D3880" i="11"/>
  <c r="D3879" i="11"/>
  <c r="D3878" i="11"/>
  <c r="D3877" i="11"/>
  <c r="D3876" i="11"/>
  <c r="D3875" i="11"/>
  <c r="D3874" i="11"/>
  <c r="D3873" i="11"/>
  <c r="D3872" i="11"/>
  <c r="D3871" i="11"/>
  <c r="D3870" i="11"/>
  <c r="D3869" i="11"/>
  <c r="D3868" i="11"/>
  <c r="D3867" i="11"/>
  <c r="D3866" i="11"/>
  <c r="D3865" i="11"/>
  <c r="D3864" i="11"/>
  <c r="D3863" i="11"/>
  <c r="D3862" i="11"/>
  <c r="D3861" i="11"/>
  <c r="D3860" i="11"/>
  <c r="D3859" i="11"/>
  <c r="D3858" i="11"/>
  <c r="D3857" i="11"/>
  <c r="D3856" i="11"/>
  <c r="D3855" i="11"/>
  <c r="D3854" i="11"/>
  <c r="D3853" i="11"/>
  <c r="D3852" i="11"/>
  <c r="D3851" i="11"/>
  <c r="D3850" i="11"/>
  <c r="D3849" i="11"/>
  <c r="D3848" i="11"/>
  <c r="D3847" i="11"/>
  <c r="D3846" i="11"/>
  <c r="D3845" i="11"/>
  <c r="D3844" i="11"/>
  <c r="D3843" i="11"/>
  <c r="D3842" i="11"/>
  <c r="D3841" i="11"/>
  <c r="D3840" i="11"/>
  <c r="D3839" i="11"/>
  <c r="D3838" i="11"/>
  <c r="D3837" i="11"/>
  <c r="D3836" i="11"/>
  <c r="D3835" i="11"/>
  <c r="D3834" i="11"/>
  <c r="D3833" i="11"/>
  <c r="D3832" i="11"/>
  <c r="D3831" i="11"/>
  <c r="D3830" i="11"/>
  <c r="D3829" i="11"/>
  <c r="D3828" i="11"/>
  <c r="D3827" i="11"/>
  <c r="D3826" i="11"/>
  <c r="D3825" i="11"/>
  <c r="D3824" i="11"/>
  <c r="D3823" i="11"/>
  <c r="D3822" i="11"/>
  <c r="D3821" i="11"/>
  <c r="D3820" i="11"/>
  <c r="D3819" i="11"/>
  <c r="D3818" i="11"/>
  <c r="D3817" i="11"/>
  <c r="D3816" i="11"/>
  <c r="D3815" i="11"/>
  <c r="D3814" i="11"/>
  <c r="D3813" i="11"/>
  <c r="D3812" i="11"/>
  <c r="D3811" i="11"/>
  <c r="D3810" i="11"/>
  <c r="D3809" i="11"/>
  <c r="D3808" i="11"/>
  <c r="D3807" i="11"/>
  <c r="D3806" i="11"/>
  <c r="D3805" i="11"/>
  <c r="D3804" i="11"/>
  <c r="D3803" i="11"/>
  <c r="D3802" i="11"/>
  <c r="D3801" i="11"/>
  <c r="D3800" i="11"/>
  <c r="D3799" i="11"/>
  <c r="D3798" i="11"/>
  <c r="D3797" i="11"/>
  <c r="D3796" i="11"/>
  <c r="D3795" i="11"/>
  <c r="D3794" i="11"/>
  <c r="D3793" i="11"/>
  <c r="D3792" i="11"/>
  <c r="D3791" i="11"/>
  <c r="D3790" i="11"/>
  <c r="D3789" i="11"/>
  <c r="D3788" i="11"/>
  <c r="D3787" i="11"/>
  <c r="D3786" i="11"/>
  <c r="D3785" i="11"/>
  <c r="D3784" i="11"/>
  <c r="D3783" i="11"/>
  <c r="D3782" i="11"/>
  <c r="D3781" i="11"/>
  <c r="D3780" i="11"/>
  <c r="D3779" i="11"/>
  <c r="D3778" i="11"/>
  <c r="D3777" i="11"/>
  <c r="D3776" i="11"/>
  <c r="D3775" i="11"/>
  <c r="D3774" i="11"/>
  <c r="D3773" i="11"/>
  <c r="D3772" i="11"/>
  <c r="D3771" i="11"/>
  <c r="D3770" i="11"/>
  <c r="D3769" i="11"/>
  <c r="D3768" i="11"/>
  <c r="D3767" i="11"/>
  <c r="D3766" i="11"/>
  <c r="D3765" i="11"/>
  <c r="D3764" i="11"/>
  <c r="D3763" i="11"/>
  <c r="D3762" i="11"/>
  <c r="D3761" i="11"/>
  <c r="D3760" i="11"/>
  <c r="D3759" i="11"/>
  <c r="D3758" i="11"/>
  <c r="D3757" i="11"/>
  <c r="D3756" i="11"/>
  <c r="D3755" i="11"/>
  <c r="D3754" i="11"/>
  <c r="D3753" i="11"/>
  <c r="D3752" i="11"/>
  <c r="D3751" i="11"/>
  <c r="D3750" i="11"/>
  <c r="D3749" i="11"/>
  <c r="D3748" i="11"/>
  <c r="D3747" i="11"/>
  <c r="D3746" i="11"/>
  <c r="D3745" i="11"/>
  <c r="D3744" i="11"/>
  <c r="D3743" i="11"/>
  <c r="D3742" i="11"/>
  <c r="D3741" i="11"/>
  <c r="D3740" i="11"/>
  <c r="D3739" i="11"/>
  <c r="D3738" i="11"/>
  <c r="D3737" i="11"/>
  <c r="D3736" i="11"/>
  <c r="D3735" i="11"/>
  <c r="D3734" i="11"/>
  <c r="D3733" i="11"/>
  <c r="D3732" i="11"/>
  <c r="D3731" i="11"/>
  <c r="D3730" i="11"/>
  <c r="D3729" i="11"/>
  <c r="D3728" i="11"/>
  <c r="D3727" i="11"/>
  <c r="D3726" i="11"/>
  <c r="D3725" i="11"/>
  <c r="D3724" i="11"/>
  <c r="D3723" i="11"/>
  <c r="D3722" i="11"/>
  <c r="D3721" i="11"/>
  <c r="D3720" i="11"/>
  <c r="D3719" i="11"/>
  <c r="D3718" i="11"/>
  <c r="D3717" i="11"/>
  <c r="D3716" i="11"/>
  <c r="D3715" i="11"/>
  <c r="D3714" i="11"/>
  <c r="D3713" i="11"/>
  <c r="D3712" i="11"/>
  <c r="D3711" i="11"/>
  <c r="D3710" i="11"/>
  <c r="D3709" i="11"/>
  <c r="D3708" i="11"/>
  <c r="D3707" i="11"/>
  <c r="D3706" i="11"/>
  <c r="D3705" i="11"/>
  <c r="D3704" i="11"/>
  <c r="D3703" i="11"/>
  <c r="D3702" i="11"/>
  <c r="D3701" i="11"/>
  <c r="D3700" i="11"/>
  <c r="D3699" i="11"/>
  <c r="D3698" i="11"/>
  <c r="D3697" i="11"/>
  <c r="D3696" i="11"/>
  <c r="D3695" i="11"/>
  <c r="D3694" i="11"/>
  <c r="D3693" i="11"/>
  <c r="D3692" i="11"/>
  <c r="D3691" i="11"/>
  <c r="D3690" i="11"/>
  <c r="D3689" i="11"/>
  <c r="D3688" i="11"/>
  <c r="D3687" i="11"/>
  <c r="D3686" i="11"/>
  <c r="D3685" i="11"/>
  <c r="D3684" i="11"/>
  <c r="D3683" i="11"/>
  <c r="D3682" i="11"/>
  <c r="D3681" i="11"/>
  <c r="D3680" i="11"/>
  <c r="D3679" i="11"/>
  <c r="D3678" i="11"/>
  <c r="D3677" i="11"/>
  <c r="D3676" i="11"/>
  <c r="D3675" i="11"/>
  <c r="D3674" i="11"/>
  <c r="D3673" i="11"/>
  <c r="D3672" i="11"/>
  <c r="D3671" i="11"/>
  <c r="D3670" i="11"/>
  <c r="D3669" i="11"/>
  <c r="D3668" i="11"/>
  <c r="D3667" i="11"/>
  <c r="D3666" i="11"/>
  <c r="D3665" i="11"/>
  <c r="D3664" i="11"/>
  <c r="D3663" i="11"/>
  <c r="D3662" i="11"/>
  <c r="D3661" i="11"/>
  <c r="D3660" i="11"/>
  <c r="D3659" i="11"/>
  <c r="D3658" i="11"/>
  <c r="D3657" i="11"/>
  <c r="D3656" i="11"/>
  <c r="D3655" i="11"/>
  <c r="D3654" i="11"/>
  <c r="D3653" i="11"/>
  <c r="D3652" i="11"/>
  <c r="D3651" i="11"/>
  <c r="D3650" i="11"/>
  <c r="D3649" i="11"/>
  <c r="D3648" i="11"/>
  <c r="D3647" i="11"/>
  <c r="D3646" i="11"/>
  <c r="D3645" i="11"/>
  <c r="D3644" i="11"/>
  <c r="D3643" i="11"/>
  <c r="D3642" i="11"/>
  <c r="D3641" i="11"/>
  <c r="D3640" i="11"/>
  <c r="D3639" i="11"/>
  <c r="D3638" i="11"/>
  <c r="D3637" i="11"/>
  <c r="D3636" i="11"/>
  <c r="D3635" i="11"/>
  <c r="D3634" i="11"/>
  <c r="D3633" i="11"/>
  <c r="D3632" i="11"/>
  <c r="D3631" i="11"/>
  <c r="D3630" i="11"/>
  <c r="D3629" i="11"/>
  <c r="D3628" i="11"/>
  <c r="D3627" i="11"/>
  <c r="D3626" i="11"/>
  <c r="D3625" i="11"/>
  <c r="D3624" i="11"/>
  <c r="D3623" i="11"/>
  <c r="D3622" i="11"/>
  <c r="D3621" i="11"/>
  <c r="D3620" i="11"/>
  <c r="D3619" i="11"/>
  <c r="D3618" i="11"/>
  <c r="D3617" i="11"/>
  <c r="D3616" i="11"/>
  <c r="D3615" i="11"/>
  <c r="D3614" i="11"/>
  <c r="D3613" i="11"/>
  <c r="D3612" i="11"/>
  <c r="D3611" i="11"/>
  <c r="D3610" i="11"/>
  <c r="D3609" i="11"/>
  <c r="D3608" i="11"/>
  <c r="D3607" i="11"/>
  <c r="D3606" i="11"/>
  <c r="D3605" i="11"/>
  <c r="D3604" i="11"/>
  <c r="D3603" i="11"/>
  <c r="D3602" i="11"/>
  <c r="D3601" i="11"/>
  <c r="D3600" i="11"/>
  <c r="D3599" i="11"/>
  <c r="D3598" i="11"/>
  <c r="D3597" i="11"/>
  <c r="D3596" i="11"/>
  <c r="D3595" i="11"/>
  <c r="D3594" i="11"/>
  <c r="D3593" i="11"/>
  <c r="D3592" i="11"/>
  <c r="D3591" i="11"/>
  <c r="D3590" i="11"/>
  <c r="D3589" i="11"/>
  <c r="D3588" i="11"/>
  <c r="D3587" i="11"/>
  <c r="D3586" i="11"/>
  <c r="D3585" i="11"/>
  <c r="D3584" i="11"/>
  <c r="D3583" i="11"/>
  <c r="D3582" i="11"/>
  <c r="D3581" i="11"/>
  <c r="D3580" i="11"/>
  <c r="D3579" i="11"/>
  <c r="D3578" i="11"/>
  <c r="D3577" i="11"/>
  <c r="D3576" i="11"/>
  <c r="D3575" i="11"/>
  <c r="D3574" i="11"/>
  <c r="D3573" i="11"/>
  <c r="D3572" i="11"/>
  <c r="D3571" i="11"/>
  <c r="D3570" i="11"/>
  <c r="D3569" i="11"/>
  <c r="D3568" i="11"/>
  <c r="D3567" i="11"/>
  <c r="D3566" i="11"/>
  <c r="D3565" i="11"/>
  <c r="D3564" i="11"/>
  <c r="D3563" i="11"/>
  <c r="D3562" i="11"/>
  <c r="D3561" i="11"/>
  <c r="D3560" i="11"/>
  <c r="D3559" i="11"/>
  <c r="D3558" i="11"/>
  <c r="D3557" i="11"/>
  <c r="D3556" i="11"/>
  <c r="D3555" i="11"/>
  <c r="D3554" i="11"/>
  <c r="D3553" i="11"/>
  <c r="D3552" i="11"/>
  <c r="D3551" i="11"/>
  <c r="D3550" i="11"/>
  <c r="D3549" i="11"/>
  <c r="D3548" i="11"/>
  <c r="D3547" i="11"/>
  <c r="D3546" i="11"/>
  <c r="D3545" i="11"/>
  <c r="D3544" i="11"/>
  <c r="D3543" i="11"/>
  <c r="D3542" i="11"/>
  <c r="D3541" i="11"/>
  <c r="D3540" i="11"/>
  <c r="D3539" i="11"/>
  <c r="D3538" i="11"/>
  <c r="D3537" i="11"/>
  <c r="D3536" i="11"/>
  <c r="D3535" i="11"/>
  <c r="D3534" i="11"/>
  <c r="D3533" i="11"/>
  <c r="D3532" i="11"/>
  <c r="D3531" i="11"/>
  <c r="D3530" i="11"/>
  <c r="D3529" i="11"/>
  <c r="D3528" i="11"/>
  <c r="D3527" i="11"/>
  <c r="D3526" i="11"/>
  <c r="D3525" i="11"/>
  <c r="D3524" i="11"/>
  <c r="D3523" i="11"/>
  <c r="D3522" i="11"/>
  <c r="D3521" i="11"/>
  <c r="D3520" i="11"/>
  <c r="D3519" i="11"/>
  <c r="D3518" i="11"/>
  <c r="D3517" i="11"/>
  <c r="D3516" i="11"/>
  <c r="D3515" i="11"/>
  <c r="D3514" i="11"/>
  <c r="D3513" i="11"/>
  <c r="D3512" i="11"/>
  <c r="D3511" i="11"/>
  <c r="D3510" i="11"/>
  <c r="D3509" i="11"/>
  <c r="D3508" i="11"/>
  <c r="D3507" i="11"/>
  <c r="D3506" i="11"/>
  <c r="D3505" i="11"/>
  <c r="D3504" i="11"/>
  <c r="D3503" i="11"/>
  <c r="D3502" i="11"/>
  <c r="D3501" i="11"/>
  <c r="D3500" i="11"/>
  <c r="D3499" i="11"/>
  <c r="D3498" i="11"/>
  <c r="D3497" i="11"/>
  <c r="D3496" i="11"/>
  <c r="D3495" i="11"/>
  <c r="D3494" i="11"/>
  <c r="D3493" i="11"/>
  <c r="D3492" i="11"/>
  <c r="D3491" i="11"/>
  <c r="D3490" i="11"/>
  <c r="D3489" i="11"/>
  <c r="D3488" i="11"/>
  <c r="D3487" i="11"/>
  <c r="D3486" i="11"/>
  <c r="D3485" i="11"/>
  <c r="D3484" i="11"/>
  <c r="D3483" i="11"/>
  <c r="D3482" i="11"/>
  <c r="D3481" i="11"/>
  <c r="D3480" i="11"/>
  <c r="D3479" i="11"/>
  <c r="D3478" i="11"/>
  <c r="D3477" i="11"/>
  <c r="D3476" i="11"/>
  <c r="D3475" i="11"/>
  <c r="D3474" i="11"/>
  <c r="D3473" i="11"/>
  <c r="D3472" i="11"/>
  <c r="D3471" i="11"/>
  <c r="D3470" i="11"/>
  <c r="D3469" i="11"/>
  <c r="D3468" i="11"/>
  <c r="D3467" i="11"/>
  <c r="D3466" i="11"/>
  <c r="D3465" i="11"/>
  <c r="D3464" i="11"/>
  <c r="D3463" i="11"/>
  <c r="D3462" i="11"/>
  <c r="D3461" i="11"/>
  <c r="D3460" i="11"/>
  <c r="D3459" i="11"/>
  <c r="D3458" i="11"/>
  <c r="D3457" i="11"/>
  <c r="D3456" i="11"/>
  <c r="D3455" i="11"/>
  <c r="D3454" i="11"/>
  <c r="D3453" i="11"/>
  <c r="D3452" i="11"/>
  <c r="D3451" i="11"/>
  <c r="D3450" i="11"/>
  <c r="D3449" i="11"/>
  <c r="D3448" i="11"/>
  <c r="D3447" i="11"/>
  <c r="D3446" i="11"/>
  <c r="D3445" i="11"/>
  <c r="D3444" i="11"/>
  <c r="D3443" i="11"/>
  <c r="D3442" i="11"/>
  <c r="D3441" i="11"/>
  <c r="D3440" i="11"/>
  <c r="D3439" i="11"/>
  <c r="D3438" i="11"/>
  <c r="D3437" i="11"/>
  <c r="D3436" i="11"/>
  <c r="D3435" i="11"/>
  <c r="D3434" i="11"/>
  <c r="D3433" i="11"/>
  <c r="D3432" i="11"/>
  <c r="D3431" i="11"/>
  <c r="D3430" i="11"/>
  <c r="D3429" i="11"/>
  <c r="D3428" i="11"/>
  <c r="D3427" i="11"/>
  <c r="D3426" i="11"/>
  <c r="D3425" i="11"/>
  <c r="D3424" i="11"/>
  <c r="D3423" i="11"/>
  <c r="D3422" i="11"/>
  <c r="D3421" i="11"/>
  <c r="D3420" i="11"/>
  <c r="D3419" i="11"/>
  <c r="D3418" i="11"/>
  <c r="D3417" i="11"/>
  <c r="D3416" i="11"/>
  <c r="D3415" i="11"/>
  <c r="D3414" i="11"/>
  <c r="D3413" i="11"/>
  <c r="D3412" i="11"/>
  <c r="D3411" i="11"/>
  <c r="D3410" i="11"/>
  <c r="D3409" i="11"/>
  <c r="D3408" i="11"/>
  <c r="D3407" i="11"/>
  <c r="D3406" i="11"/>
  <c r="D3405" i="11"/>
  <c r="D3404" i="11"/>
  <c r="D3403" i="11"/>
  <c r="D3402" i="11"/>
  <c r="D3401" i="11"/>
  <c r="D3400" i="11"/>
  <c r="D3399" i="11"/>
  <c r="D3398" i="11"/>
  <c r="D3397" i="11"/>
  <c r="D3396" i="11"/>
  <c r="D3395" i="11"/>
  <c r="D3394" i="11"/>
  <c r="D3393" i="11"/>
  <c r="D3392" i="11"/>
  <c r="D3391" i="11"/>
  <c r="D3390" i="11"/>
  <c r="D3389" i="11"/>
  <c r="D3388" i="11"/>
  <c r="D3387" i="11"/>
  <c r="D3386" i="11"/>
  <c r="D3385" i="11"/>
  <c r="D3384" i="11"/>
  <c r="D3383" i="11"/>
  <c r="D3382" i="11"/>
  <c r="D3381" i="11"/>
  <c r="D3380" i="11"/>
  <c r="D3379" i="11"/>
  <c r="D3378" i="11"/>
  <c r="D3377" i="11"/>
  <c r="D3376" i="11"/>
  <c r="D3375" i="11"/>
  <c r="D3374" i="11"/>
  <c r="D3373" i="11"/>
  <c r="D3372" i="11"/>
  <c r="D3371" i="11"/>
  <c r="D3370" i="11"/>
  <c r="D3369" i="11"/>
  <c r="D3368" i="11"/>
  <c r="D3367" i="11"/>
  <c r="D3366" i="11"/>
  <c r="D3365" i="11"/>
  <c r="D3364" i="11"/>
  <c r="D3363" i="11"/>
  <c r="D3362" i="11"/>
  <c r="D3361" i="11"/>
  <c r="D3360" i="11"/>
  <c r="D3359" i="11"/>
  <c r="D3358" i="11"/>
  <c r="D3357" i="11"/>
  <c r="D3356" i="11"/>
  <c r="D3355" i="11"/>
  <c r="D3354" i="11"/>
  <c r="D3353" i="11"/>
  <c r="D3352" i="11"/>
  <c r="D3351" i="11"/>
  <c r="D3350" i="11"/>
  <c r="D3349" i="11"/>
  <c r="D3348" i="11"/>
  <c r="D3347" i="11"/>
  <c r="D3346" i="11"/>
  <c r="D3345" i="11"/>
  <c r="D3344" i="11"/>
  <c r="D3343" i="11"/>
  <c r="D3342" i="11"/>
  <c r="D3341" i="11"/>
  <c r="D3340" i="11"/>
  <c r="D3339" i="11"/>
  <c r="D3338" i="11"/>
  <c r="D3337" i="11"/>
  <c r="D3336" i="11"/>
  <c r="D3335" i="11"/>
  <c r="D3334" i="11"/>
  <c r="D3333" i="11"/>
  <c r="D3332" i="11"/>
  <c r="D3331" i="11"/>
  <c r="D3330" i="11"/>
  <c r="D3329" i="11"/>
  <c r="D3328" i="11"/>
  <c r="D3327" i="11"/>
  <c r="D3326" i="11"/>
  <c r="D3325" i="11"/>
  <c r="D3324" i="11"/>
  <c r="D3323" i="11"/>
  <c r="D3322" i="11"/>
  <c r="D3321" i="11"/>
  <c r="D3320" i="11"/>
  <c r="D3319" i="11"/>
  <c r="D3318" i="11"/>
  <c r="D3317" i="11"/>
  <c r="D3316" i="11"/>
  <c r="D3315" i="11"/>
  <c r="D3314" i="11"/>
  <c r="D3313" i="11"/>
  <c r="D3312" i="11"/>
  <c r="D3311" i="11"/>
  <c r="D3310" i="11"/>
  <c r="D3309" i="11"/>
  <c r="D3308" i="11"/>
  <c r="D3307" i="11"/>
  <c r="D3306" i="11"/>
  <c r="D3305" i="11"/>
  <c r="D3304" i="11"/>
  <c r="D3303" i="11"/>
  <c r="D3302" i="11"/>
  <c r="D3301" i="11"/>
  <c r="D3300" i="11"/>
  <c r="D3299" i="11"/>
  <c r="D3298" i="11"/>
  <c r="D3297" i="11"/>
  <c r="D3296" i="11"/>
  <c r="D3295" i="11"/>
  <c r="D3294" i="11"/>
  <c r="D3293" i="11"/>
  <c r="D3292" i="11"/>
  <c r="D3291" i="11"/>
  <c r="D3290" i="11"/>
  <c r="D3289" i="11"/>
  <c r="D3288" i="11"/>
  <c r="D3287" i="11"/>
  <c r="D3286" i="11"/>
  <c r="D3285" i="11"/>
  <c r="D3284" i="11"/>
  <c r="D3283" i="11"/>
  <c r="D3282" i="11"/>
  <c r="D3281" i="11"/>
  <c r="D3280" i="11"/>
  <c r="D3279" i="11"/>
  <c r="D3278" i="11"/>
  <c r="D3277" i="11"/>
  <c r="D3276" i="11"/>
  <c r="D3275" i="11"/>
  <c r="D3274" i="11"/>
  <c r="D3273" i="11"/>
  <c r="D3272" i="11"/>
  <c r="D3271" i="11"/>
  <c r="D3270" i="11"/>
  <c r="D3269" i="11"/>
  <c r="D3268" i="11"/>
  <c r="D3267" i="11"/>
  <c r="D3266" i="11"/>
  <c r="D3265" i="11"/>
  <c r="D3264" i="11"/>
  <c r="D3263" i="11"/>
  <c r="D3262" i="11"/>
  <c r="D3261" i="11"/>
  <c r="D3260" i="11"/>
  <c r="D3259" i="11"/>
  <c r="D3258" i="11"/>
  <c r="D3257" i="11"/>
  <c r="D3256" i="11"/>
  <c r="D3255" i="11"/>
  <c r="D3254" i="11"/>
  <c r="D3253" i="11"/>
  <c r="D3252" i="11"/>
  <c r="D3251" i="11"/>
  <c r="D3250" i="11"/>
  <c r="D3249" i="11"/>
  <c r="D3248" i="11"/>
  <c r="D3247" i="11"/>
  <c r="D3246" i="11"/>
  <c r="D3245" i="11"/>
  <c r="D3244" i="11"/>
  <c r="D3243" i="11"/>
  <c r="D3242" i="11"/>
  <c r="D3241" i="11"/>
  <c r="D3240" i="11"/>
  <c r="D3239" i="11"/>
  <c r="D3238" i="11"/>
  <c r="D3237" i="11"/>
  <c r="D3236" i="11"/>
  <c r="D3235" i="11"/>
  <c r="D3234" i="11"/>
  <c r="D3233" i="11"/>
  <c r="D3232" i="11"/>
  <c r="D3231" i="11"/>
  <c r="D3230" i="11"/>
  <c r="D3229" i="11"/>
  <c r="D3228" i="11"/>
  <c r="D3227" i="11"/>
  <c r="D3226" i="11"/>
  <c r="D3225" i="11"/>
  <c r="D3224" i="11"/>
  <c r="D3223" i="11"/>
  <c r="D3222" i="11"/>
  <c r="D3221" i="11"/>
  <c r="D3220" i="11"/>
  <c r="D3219" i="11"/>
  <c r="D3218" i="11"/>
  <c r="D3217" i="11"/>
  <c r="D3216" i="11"/>
  <c r="D3215" i="11"/>
  <c r="D3214" i="11"/>
  <c r="D3213" i="11"/>
  <c r="D3212" i="11"/>
  <c r="D3211" i="11"/>
  <c r="D3210" i="11"/>
  <c r="D3209" i="11"/>
  <c r="D3208" i="11"/>
  <c r="D3207" i="11"/>
  <c r="D3206" i="11"/>
  <c r="D3205" i="11"/>
  <c r="D3204" i="11"/>
  <c r="D3203" i="11"/>
  <c r="D3202" i="11"/>
  <c r="D3201" i="11"/>
  <c r="D3200" i="11"/>
  <c r="D3199" i="11"/>
  <c r="D3198" i="11"/>
  <c r="D3197" i="11"/>
  <c r="D3196" i="11"/>
  <c r="D3195" i="11"/>
  <c r="D3194" i="11"/>
  <c r="D3193" i="11"/>
  <c r="D3192" i="11"/>
  <c r="D3191" i="11"/>
  <c r="D3190" i="11"/>
  <c r="D3189" i="11"/>
  <c r="D3188" i="11"/>
  <c r="D3187" i="11"/>
  <c r="D3186" i="11"/>
  <c r="D3185" i="11"/>
  <c r="D3184" i="11"/>
  <c r="D3183" i="11"/>
  <c r="D3182" i="11"/>
  <c r="D3181" i="11"/>
  <c r="D3180" i="11"/>
  <c r="D3179" i="11"/>
  <c r="D3178" i="11"/>
  <c r="D3177" i="11"/>
  <c r="D3176" i="11"/>
  <c r="D3175" i="11"/>
  <c r="D3174" i="11"/>
  <c r="D3173" i="11"/>
  <c r="D3172" i="11"/>
  <c r="D3171" i="11"/>
  <c r="D3170" i="11"/>
  <c r="D3169" i="11"/>
  <c r="D3168" i="11"/>
  <c r="D3167" i="11"/>
  <c r="D3166" i="11"/>
  <c r="D3165" i="11"/>
  <c r="D3164" i="11"/>
  <c r="D3163" i="11"/>
  <c r="D3162" i="11"/>
  <c r="D3161" i="11"/>
  <c r="D3160" i="11"/>
  <c r="D3159" i="11"/>
  <c r="D3158" i="11"/>
  <c r="D3157" i="11"/>
  <c r="D3156" i="11"/>
  <c r="D3155" i="11"/>
  <c r="D3154" i="11"/>
  <c r="D3153" i="11"/>
  <c r="D3152" i="11"/>
  <c r="D3151" i="11"/>
  <c r="D3150" i="11"/>
  <c r="D3149" i="11"/>
  <c r="D3148" i="11"/>
  <c r="D3147" i="11"/>
  <c r="D3146" i="11"/>
  <c r="D3145" i="11"/>
  <c r="D3144" i="11"/>
  <c r="D3143" i="11"/>
  <c r="D3142" i="11"/>
  <c r="D3141" i="11"/>
  <c r="D3140" i="11"/>
  <c r="D3139" i="11"/>
  <c r="D3138" i="11"/>
  <c r="D3137" i="11"/>
  <c r="D3136" i="11"/>
  <c r="D3135" i="11"/>
  <c r="D3134" i="11"/>
  <c r="D3133" i="11"/>
  <c r="D3132" i="11"/>
  <c r="D3131" i="11"/>
  <c r="D3130" i="11"/>
  <c r="D3129" i="11"/>
  <c r="D3128" i="11"/>
  <c r="D3127" i="11"/>
  <c r="D3126" i="11"/>
  <c r="D3125" i="11"/>
  <c r="D3124" i="11"/>
  <c r="D3123" i="11"/>
  <c r="D3122" i="11"/>
  <c r="D3121" i="11"/>
  <c r="D3120" i="11"/>
  <c r="D3119" i="11"/>
  <c r="D3118" i="11"/>
  <c r="D3117" i="11"/>
  <c r="D3116" i="11"/>
  <c r="D3115" i="11"/>
  <c r="D3114" i="11"/>
  <c r="D3113" i="11"/>
  <c r="D3112" i="11"/>
  <c r="D3111" i="11"/>
  <c r="D3110" i="11"/>
  <c r="D3109" i="11"/>
  <c r="D3108" i="11"/>
  <c r="D3107" i="11"/>
  <c r="D3106" i="11"/>
  <c r="D3105" i="11"/>
  <c r="D3104" i="11"/>
  <c r="D3103" i="11"/>
  <c r="D3102" i="11"/>
  <c r="D3101" i="11"/>
  <c r="D3100" i="11"/>
  <c r="D3099" i="11"/>
  <c r="D3098" i="11"/>
  <c r="D3097" i="11"/>
  <c r="D3096" i="11"/>
  <c r="D3095" i="11"/>
  <c r="D3094" i="11"/>
  <c r="D3093" i="11"/>
  <c r="D3092" i="11"/>
  <c r="D3091" i="11"/>
  <c r="D3090" i="11"/>
  <c r="D3089" i="11"/>
  <c r="D3088" i="11"/>
  <c r="D3087" i="11"/>
  <c r="D3086" i="11"/>
  <c r="D3085" i="11"/>
  <c r="D3084" i="11"/>
  <c r="D3083" i="11"/>
  <c r="D3082" i="11"/>
  <c r="D3081" i="11"/>
  <c r="D3080" i="11"/>
  <c r="D3079" i="11"/>
  <c r="D3078" i="11"/>
  <c r="D3077" i="11"/>
  <c r="D3076" i="11"/>
  <c r="D3075" i="11"/>
  <c r="D3074" i="11"/>
  <c r="D3073" i="11"/>
  <c r="D3072" i="11"/>
  <c r="D3071" i="11"/>
  <c r="D3070" i="11"/>
  <c r="D3069" i="11"/>
  <c r="D3068" i="11"/>
  <c r="D3067" i="11"/>
  <c r="D3066" i="11"/>
  <c r="D3065" i="11"/>
  <c r="D3064" i="11"/>
  <c r="D3063" i="11"/>
  <c r="D3062" i="11"/>
  <c r="D3061" i="11"/>
  <c r="D3060" i="11"/>
  <c r="D3059" i="11"/>
  <c r="D3058" i="11"/>
  <c r="D3057" i="11"/>
  <c r="D3056" i="11"/>
  <c r="D3055" i="11"/>
  <c r="D3054" i="11"/>
  <c r="D3053" i="11"/>
  <c r="D3052" i="11"/>
  <c r="D3051" i="11"/>
  <c r="D3050" i="11"/>
  <c r="D3049" i="11"/>
  <c r="D3048" i="11"/>
  <c r="D3047" i="11"/>
  <c r="D3046" i="11"/>
  <c r="D3045" i="11"/>
  <c r="D3044" i="11"/>
  <c r="D3043" i="11"/>
  <c r="D3042" i="11"/>
  <c r="D3041" i="11"/>
  <c r="D3040" i="11"/>
  <c r="D3039" i="11"/>
  <c r="D3038" i="11"/>
  <c r="D3037" i="11"/>
  <c r="D3036" i="11"/>
  <c r="D3035" i="11"/>
  <c r="D3034" i="11"/>
  <c r="D3033" i="11"/>
  <c r="D3032" i="11"/>
  <c r="D3031" i="11"/>
  <c r="D3030" i="11"/>
  <c r="D3029" i="11"/>
  <c r="D3028" i="11"/>
  <c r="D3027" i="11"/>
  <c r="D3026" i="11"/>
  <c r="D3025" i="11"/>
  <c r="D3024" i="11"/>
  <c r="D3023" i="11"/>
  <c r="D3022" i="11"/>
  <c r="D3021" i="11"/>
  <c r="D3020" i="11"/>
  <c r="D3019" i="11"/>
  <c r="D3018" i="11"/>
  <c r="D3017" i="11"/>
  <c r="D3016" i="11"/>
  <c r="D3015" i="11"/>
  <c r="D3014" i="11"/>
  <c r="D3013" i="11"/>
  <c r="D3012" i="11"/>
  <c r="D3011" i="11"/>
  <c r="D3010" i="11"/>
  <c r="D3009" i="11"/>
  <c r="D3008" i="11"/>
  <c r="D3007" i="11"/>
  <c r="D3006" i="11"/>
  <c r="D3005" i="11"/>
  <c r="D3004" i="11"/>
  <c r="D3003" i="11"/>
  <c r="D3002" i="11"/>
  <c r="D3001" i="11"/>
  <c r="D3000" i="11"/>
  <c r="D2999" i="11"/>
  <c r="D2998" i="11"/>
  <c r="D2997" i="11"/>
  <c r="D2996" i="11"/>
  <c r="D2995" i="11"/>
  <c r="D2994" i="11"/>
  <c r="D2993" i="11"/>
  <c r="D2992" i="11"/>
  <c r="D2991" i="11"/>
  <c r="D2990" i="11"/>
  <c r="D2989" i="11"/>
  <c r="D2988" i="11"/>
  <c r="D2987" i="11"/>
  <c r="D2986" i="11"/>
  <c r="D2985" i="11"/>
  <c r="D2984" i="11"/>
  <c r="D2983" i="11"/>
  <c r="D2982" i="11"/>
  <c r="D2981" i="11"/>
  <c r="D2980" i="11"/>
  <c r="D2979" i="11"/>
  <c r="D2978" i="11"/>
  <c r="D2977" i="11"/>
  <c r="D2976" i="11"/>
  <c r="D2975" i="11"/>
  <c r="D2974" i="11"/>
  <c r="D2973" i="11"/>
  <c r="D2972" i="11"/>
  <c r="D2971" i="11"/>
  <c r="D2970" i="11"/>
  <c r="D2969" i="11"/>
  <c r="D2968" i="11"/>
  <c r="D2967" i="11"/>
  <c r="D2966" i="11"/>
  <c r="D2965" i="11"/>
  <c r="D2964" i="11"/>
  <c r="D2963" i="11"/>
  <c r="D2962" i="11"/>
  <c r="D2961" i="11"/>
  <c r="D2960" i="11"/>
  <c r="D2959" i="11"/>
  <c r="D2958" i="11"/>
  <c r="D2957" i="11"/>
  <c r="D2956" i="11"/>
  <c r="D2955" i="11"/>
  <c r="D2954" i="11"/>
  <c r="D2953" i="11"/>
  <c r="D2952" i="11"/>
  <c r="D2951" i="11"/>
  <c r="D2950" i="11"/>
  <c r="D2949" i="11"/>
  <c r="D2948" i="11"/>
  <c r="D2947" i="11"/>
  <c r="D2946" i="11"/>
  <c r="D2945" i="11"/>
  <c r="D2944" i="11"/>
  <c r="D2943" i="11"/>
  <c r="D2942" i="11"/>
  <c r="D2941" i="11"/>
  <c r="D2940" i="11"/>
  <c r="D2939" i="11"/>
  <c r="D2938" i="11"/>
  <c r="D2937" i="11"/>
  <c r="D2936" i="11"/>
  <c r="D2935" i="11"/>
  <c r="D2934" i="11"/>
  <c r="D2933" i="11"/>
  <c r="D2932" i="11"/>
  <c r="D2931" i="11"/>
  <c r="D2930" i="11"/>
  <c r="D2929" i="11"/>
  <c r="D2928" i="11"/>
  <c r="D2927" i="11"/>
  <c r="D2926" i="11"/>
  <c r="D2925" i="11"/>
  <c r="D2924" i="11"/>
  <c r="D2923" i="11"/>
  <c r="D2922" i="11"/>
  <c r="D2921" i="11"/>
  <c r="D2920" i="11"/>
  <c r="D2919" i="11"/>
  <c r="D2918" i="11"/>
  <c r="D2917" i="11"/>
  <c r="D2916" i="11"/>
  <c r="D2915" i="11"/>
  <c r="D2914" i="11"/>
  <c r="D2913" i="11"/>
  <c r="D2912" i="11"/>
  <c r="D2911" i="11"/>
  <c r="D2910" i="11"/>
  <c r="D2909" i="11"/>
  <c r="D2908" i="11"/>
  <c r="D2907" i="11"/>
  <c r="D2906" i="11"/>
  <c r="D2905" i="11"/>
  <c r="D2904" i="11"/>
  <c r="D2903" i="11"/>
  <c r="D2902" i="11"/>
  <c r="D2901" i="11"/>
  <c r="D2900" i="11"/>
  <c r="D2899" i="11"/>
  <c r="D2898" i="11"/>
  <c r="D2897" i="11"/>
  <c r="D2896" i="11"/>
  <c r="D2895" i="11"/>
  <c r="D2894" i="11"/>
  <c r="D2893" i="11"/>
  <c r="D2892" i="11"/>
  <c r="D2891" i="11"/>
  <c r="D2890" i="11"/>
  <c r="D2889" i="11"/>
  <c r="D2888" i="11"/>
  <c r="D2887" i="11"/>
  <c r="D2886" i="11"/>
  <c r="D2885" i="11"/>
  <c r="D2884" i="11"/>
  <c r="D2883" i="11"/>
  <c r="D2882" i="11"/>
  <c r="D2881" i="11"/>
  <c r="D2880" i="11"/>
  <c r="D2879" i="11"/>
  <c r="D2878" i="11"/>
  <c r="D2877" i="11"/>
  <c r="D2876" i="11"/>
  <c r="D2875" i="11"/>
  <c r="D2874" i="11"/>
  <c r="D2873" i="11"/>
  <c r="D2872" i="11"/>
  <c r="D2871" i="11"/>
  <c r="D2870" i="11"/>
  <c r="D2869" i="11"/>
  <c r="D2868" i="11"/>
  <c r="D2867" i="11"/>
  <c r="D2866" i="11"/>
  <c r="D2865" i="11"/>
  <c r="D2864" i="11"/>
  <c r="D2863" i="11"/>
  <c r="D2862" i="11"/>
  <c r="D2861" i="11"/>
  <c r="D2860" i="11"/>
  <c r="D2859" i="11"/>
  <c r="D2858" i="11"/>
  <c r="D2857" i="11"/>
  <c r="D2856" i="11"/>
  <c r="D2855" i="11"/>
  <c r="D2854" i="11"/>
  <c r="D2853" i="11"/>
  <c r="D2852" i="11"/>
  <c r="D2851" i="11"/>
  <c r="D2850" i="11"/>
  <c r="D2849" i="11"/>
  <c r="D2848" i="11"/>
  <c r="D2847" i="11"/>
  <c r="D2846" i="11"/>
  <c r="D2845" i="11"/>
  <c r="D2844" i="11"/>
  <c r="D2843" i="11"/>
  <c r="D2842" i="11"/>
  <c r="D2841" i="11"/>
  <c r="D2840" i="11"/>
  <c r="D2839" i="11"/>
  <c r="D2838" i="11"/>
  <c r="D2837" i="11"/>
  <c r="D2836" i="11"/>
  <c r="D2835" i="11"/>
  <c r="D2834" i="11"/>
  <c r="D2833" i="11"/>
  <c r="D2832" i="11"/>
  <c r="D2831" i="11"/>
  <c r="D2830" i="11"/>
  <c r="D2829" i="11"/>
  <c r="D2828" i="11"/>
  <c r="D2827" i="11"/>
  <c r="D2826" i="11"/>
  <c r="D2825" i="11"/>
  <c r="D2824" i="11"/>
  <c r="D2823" i="11"/>
  <c r="D2822" i="11"/>
  <c r="D2821" i="11"/>
  <c r="D2820" i="11"/>
  <c r="D2819" i="11"/>
  <c r="D2818" i="11"/>
  <c r="D2817" i="11"/>
  <c r="D2816" i="11"/>
  <c r="D2815" i="11"/>
  <c r="D2814" i="11"/>
  <c r="D2813" i="11"/>
  <c r="D2812" i="11"/>
  <c r="D2811" i="11"/>
  <c r="D2810" i="11"/>
  <c r="D2809" i="11"/>
  <c r="D2808" i="11"/>
  <c r="D2807" i="11"/>
  <c r="D2806" i="11"/>
  <c r="D2805" i="11"/>
  <c r="D2804" i="11"/>
  <c r="D2803" i="11"/>
  <c r="D2802" i="11"/>
  <c r="D2801" i="11"/>
  <c r="D2800" i="11"/>
  <c r="D2799" i="11"/>
  <c r="D2798" i="11"/>
  <c r="D2797" i="11"/>
  <c r="D2796" i="11"/>
  <c r="D2795" i="11"/>
  <c r="D2794" i="11"/>
  <c r="D2793" i="11"/>
  <c r="D2792" i="11"/>
  <c r="D2791" i="11"/>
  <c r="D2790" i="11"/>
  <c r="D2789" i="11"/>
  <c r="D2788" i="11"/>
  <c r="D2787" i="11"/>
  <c r="D2786" i="11"/>
  <c r="D2785" i="11"/>
  <c r="D2784" i="11"/>
  <c r="D2783" i="11"/>
  <c r="D2782" i="11"/>
  <c r="D2781" i="11"/>
  <c r="D2780" i="11"/>
  <c r="D2779" i="11"/>
  <c r="D2778" i="11"/>
  <c r="D2777" i="11"/>
  <c r="D2776" i="11"/>
  <c r="D2775" i="11"/>
  <c r="D2774" i="11"/>
  <c r="D2773" i="11"/>
  <c r="D2772" i="11"/>
  <c r="D2771" i="11"/>
  <c r="D2770" i="11"/>
  <c r="D2769" i="11"/>
  <c r="D2768" i="11"/>
  <c r="D2767" i="11"/>
  <c r="D2766" i="11"/>
  <c r="D2765" i="11"/>
  <c r="D2764" i="11"/>
  <c r="D2763" i="11"/>
  <c r="D2762" i="11"/>
  <c r="D2761" i="11"/>
  <c r="D2760" i="11"/>
  <c r="D2759" i="11"/>
  <c r="D2758" i="11"/>
  <c r="D2757" i="11"/>
  <c r="D2756" i="11"/>
  <c r="D2755" i="11"/>
  <c r="D2754" i="11"/>
  <c r="D2753" i="11"/>
  <c r="D2752" i="11"/>
  <c r="D2751" i="11"/>
  <c r="D2750" i="11"/>
  <c r="D2749" i="11"/>
  <c r="D2748" i="11"/>
  <c r="D2747" i="11"/>
  <c r="D2746" i="11"/>
  <c r="D2745" i="11"/>
  <c r="D2744" i="11"/>
  <c r="D2743" i="11"/>
  <c r="D2742" i="11"/>
  <c r="D2741" i="11"/>
  <c r="D2740" i="11"/>
  <c r="D2739" i="11"/>
  <c r="D2738" i="11"/>
  <c r="D2737" i="11"/>
  <c r="D2736" i="11"/>
  <c r="D2735" i="11"/>
  <c r="D2734" i="11"/>
  <c r="D2733" i="11"/>
  <c r="D2732" i="11"/>
  <c r="D2731" i="11"/>
  <c r="D2730" i="11"/>
  <c r="D2729" i="11"/>
  <c r="D2728" i="11"/>
  <c r="D2727" i="11"/>
  <c r="D2726" i="11"/>
  <c r="D2725" i="11"/>
  <c r="D2724" i="11"/>
  <c r="D2723" i="11"/>
  <c r="D2722" i="11"/>
  <c r="D2721" i="11"/>
  <c r="D2720" i="11"/>
  <c r="D2719" i="11"/>
  <c r="D2718" i="11"/>
  <c r="D2717" i="11"/>
  <c r="D2716" i="11"/>
  <c r="D2715" i="11"/>
  <c r="D2714" i="11"/>
  <c r="D2713" i="11"/>
  <c r="D2712" i="11"/>
  <c r="D2711" i="11"/>
  <c r="D2710" i="11"/>
  <c r="D2709" i="11"/>
  <c r="D2708" i="11"/>
  <c r="D2707" i="11"/>
  <c r="D2706" i="11"/>
  <c r="D2705" i="11"/>
  <c r="D2704" i="11"/>
  <c r="D2703" i="11"/>
  <c r="D2702" i="11"/>
  <c r="D2701" i="11"/>
  <c r="D2700" i="11"/>
  <c r="D2699" i="11"/>
  <c r="D2698" i="11"/>
  <c r="D2697" i="11"/>
  <c r="D2696" i="11"/>
  <c r="D2695" i="11"/>
  <c r="D2694" i="11"/>
  <c r="D2693" i="11"/>
  <c r="D2692" i="11"/>
  <c r="D2691" i="11"/>
  <c r="D2690" i="11"/>
  <c r="D2689" i="11"/>
  <c r="D2688" i="11"/>
  <c r="D2687" i="11"/>
  <c r="D2686" i="11"/>
  <c r="D2685" i="11"/>
  <c r="D2684" i="11"/>
  <c r="D2683" i="11"/>
  <c r="D2682" i="11"/>
  <c r="D2681" i="11"/>
  <c r="D2680" i="11"/>
  <c r="D2679" i="11"/>
  <c r="D2678" i="11"/>
  <c r="D2677" i="11"/>
  <c r="D2676" i="11"/>
  <c r="D2675" i="11"/>
  <c r="D2674" i="11"/>
  <c r="D2673" i="11"/>
  <c r="D2672" i="11"/>
  <c r="D2671" i="11"/>
  <c r="D2670" i="11"/>
  <c r="D2669" i="11"/>
  <c r="D2668" i="11"/>
  <c r="D2667" i="11"/>
  <c r="D2666" i="11"/>
  <c r="D2665" i="11"/>
  <c r="D2664" i="11"/>
  <c r="D2663" i="11"/>
  <c r="D2662" i="11"/>
  <c r="D2661" i="11"/>
  <c r="D2660" i="11"/>
  <c r="D2659" i="11"/>
  <c r="D2658" i="11"/>
  <c r="D2657" i="11"/>
  <c r="D2656" i="11"/>
  <c r="D2655" i="11"/>
  <c r="D2654" i="11"/>
  <c r="D2653" i="11"/>
  <c r="D2652" i="11"/>
  <c r="D2651" i="11"/>
  <c r="D2650" i="11"/>
  <c r="D2649" i="11"/>
  <c r="D2648" i="11"/>
  <c r="D2647" i="11"/>
  <c r="D2646" i="11"/>
  <c r="D2645" i="11"/>
  <c r="D2644" i="11"/>
  <c r="D2643" i="11"/>
  <c r="D2642" i="11"/>
  <c r="D2641" i="11"/>
  <c r="D2640" i="11"/>
  <c r="D2639" i="11"/>
  <c r="D2638" i="11"/>
  <c r="D2637" i="11"/>
  <c r="D2636" i="11"/>
  <c r="D2635" i="11"/>
  <c r="D2634" i="11"/>
  <c r="D2633" i="11"/>
  <c r="D2632" i="11"/>
  <c r="D2631" i="11"/>
  <c r="D2630" i="11"/>
  <c r="D2629" i="11"/>
  <c r="D2628" i="11"/>
  <c r="D2627" i="11"/>
  <c r="D2626" i="11"/>
  <c r="D2625" i="11"/>
  <c r="D2624" i="11"/>
  <c r="D2623" i="11"/>
  <c r="D2622" i="11"/>
  <c r="D2621" i="11"/>
  <c r="D2620" i="11"/>
  <c r="D2619" i="11"/>
  <c r="D2618" i="11"/>
  <c r="D2617" i="11"/>
  <c r="D2616" i="11"/>
  <c r="D2615" i="11"/>
  <c r="D2614" i="11"/>
  <c r="D2613" i="11"/>
  <c r="D2612" i="11"/>
  <c r="D2611" i="11"/>
  <c r="D2610" i="11"/>
  <c r="D2609" i="11"/>
  <c r="D2608" i="11"/>
  <c r="D2607" i="11"/>
  <c r="D2606" i="11"/>
  <c r="D2605" i="11"/>
  <c r="D2604" i="11"/>
  <c r="D2603" i="11"/>
  <c r="D2602" i="11"/>
  <c r="D2601" i="11"/>
  <c r="D2600" i="11"/>
  <c r="D2599" i="11"/>
  <c r="D2598" i="11"/>
  <c r="D2597" i="11"/>
  <c r="D2596" i="11"/>
  <c r="D2595" i="11"/>
  <c r="D2594" i="11"/>
  <c r="D2593" i="11"/>
  <c r="D2592" i="11"/>
  <c r="D2591" i="11"/>
  <c r="D2590" i="11"/>
  <c r="D2589" i="11"/>
  <c r="D2588" i="11"/>
  <c r="D2587" i="11"/>
  <c r="D2586" i="11"/>
  <c r="D2585" i="11"/>
  <c r="D2584" i="11"/>
  <c r="D2583" i="11"/>
  <c r="D2582" i="11"/>
  <c r="D2581" i="11"/>
  <c r="D2580" i="11"/>
  <c r="D2579" i="11"/>
  <c r="D2578" i="11"/>
  <c r="D2577" i="11"/>
  <c r="D2576" i="11"/>
  <c r="D2575" i="11"/>
  <c r="D2574" i="11"/>
  <c r="D2573" i="11"/>
  <c r="D2572" i="11"/>
  <c r="D2571" i="11"/>
  <c r="D2570" i="11"/>
  <c r="D2569" i="11"/>
  <c r="D2568" i="11"/>
  <c r="D2567" i="11"/>
  <c r="D2566" i="11"/>
  <c r="D2565" i="11"/>
  <c r="D2564" i="11"/>
  <c r="D2563" i="11"/>
  <c r="D2562" i="11"/>
  <c r="D2561" i="11"/>
  <c r="D2560" i="11"/>
  <c r="D2559" i="11"/>
  <c r="D2558" i="11"/>
  <c r="D2557" i="11"/>
  <c r="D2556" i="11"/>
  <c r="D2555" i="11"/>
  <c r="D2554" i="11"/>
  <c r="D2553" i="11"/>
  <c r="D2552" i="11"/>
  <c r="D2551" i="11"/>
  <c r="D2550" i="11"/>
  <c r="D2549" i="11"/>
  <c r="D2548" i="11"/>
  <c r="D2547" i="11"/>
  <c r="D2546" i="11"/>
  <c r="D2545" i="11"/>
  <c r="D2544" i="11"/>
  <c r="D2543" i="11"/>
  <c r="D2542" i="11"/>
  <c r="D2541" i="11"/>
  <c r="D2540" i="11"/>
  <c r="D2539" i="11"/>
  <c r="D2538" i="11"/>
  <c r="D2537" i="11"/>
  <c r="D2536" i="11"/>
  <c r="D2535" i="11"/>
  <c r="D2534" i="11"/>
  <c r="D2533" i="11"/>
  <c r="D2532" i="11"/>
  <c r="D2531" i="11"/>
  <c r="D2530" i="11"/>
  <c r="D2529" i="11"/>
  <c r="D2528" i="11"/>
  <c r="D2527" i="11"/>
  <c r="D2526" i="11"/>
  <c r="D2525" i="11"/>
  <c r="D2524" i="11"/>
  <c r="D2523" i="11"/>
  <c r="D2522" i="11"/>
  <c r="D2521" i="11"/>
  <c r="D2520" i="11"/>
  <c r="D2519" i="11"/>
  <c r="D2518" i="11"/>
  <c r="D2517" i="11"/>
  <c r="D2516" i="11"/>
  <c r="D2515" i="11"/>
  <c r="D2514" i="11"/>
  <c r="D2513" i="11"/>
  <c r="D2512" i="11"/>
  <c r="D2511" i="11"/>
  <c r="D2510" i="11"/>
  <c r="D2509" i="11"/>
  <c r="D2508" i="11"/>
  <c r="D2507" i="11"/>
  <c r="D2506" i="11"/>
  <c r="D2505" i="11"/>
  <c r="D2504" i="11"/>
  <c r="D2503" i="11"/>
  <c r="D2502" i="11"/>
  <c r="D2501" i="11"/>
  <c r="D2500" i="11"/>
  <c r="D2499" i="11"/>
  <c r="D2498" i="11"/>
  <c r="D2497" i="11"/>
  <c r="D2496" i="11"/>
  <c r="D2495" i="11"/>
  <c r="D2494" i="11"/>
  <c r="D2493" i="11"/>
  <c r="D2492" i="11"/>
  <c r="D2491" i="11"/>
  <c r="D2490" i="11"/>
  <c r="D2489" i="11"/>
  <c r="D2488" i="11"/>
  <c r="D2487" i="11"/>
  <c r="D2486" i="11"/>
  <c r="D2485" i="11"/>
  <c r="D2484" i="11"/>
  <c r="D2483" i="11"/>
  <c r="D2482" i="11"/>
  <c r="D2481" i="11"/>
  <c r="D2480" i="11"/>
  <c r="D2479" i="11"/>
  <c r="D2478" i="11"/>
  <c r="D2477" i="11"/>
  <c r="D2476" i="11"/>
  <c r="D2475" i="11"/>
  <c r="D2474" i="11"/>
  <c r="D2473" i="11"/>
  <c r="D2472" i="11"/>
  <c r="D2471" i="11"/>
  <c r="D2470" i="11"/>
  <c r="D2469" i="11"/>
  <c r="D2468" i="11"/>
  <c r="D2467" i="11"/>
  <c r="D2466" i="11"/>
  <c r="D2465" i="11"/>
  <c r="D2464" i="11"/>
  <c r="D2463" i="11"/>
  <c r="D2462" i="11"/>
  <c r="D2461" i="11"/>
  <c r="D2460" i="11"/>
  <c r="D2459" i="11"/>
  <c r="D2458" i="11"/>
  <c r="D2457" i="11"/>
  <c r="D2456" i="11"/>
  <c r="D2455" i="11"/>
  <c r="D2454" i="11"/>
  <c r="D2453" i="11"/>
  <c r="D2452" i="11"/>
  <c r="D2451" i="11"/>
  <c r="D2450" i="11"/>
  <c r="D2449" i="11"/>
  <c r="D2448" i="11"/>
  <c r="D2447" i="11"/>
  <c r="D2446" i="11"/>
  <c r="D2445" i="11"/>
  <c r="D2444" i="11"/>
  <c r="D2443" i="11"/>
  <c r="D2442" i="11"/>
  <c r="D2441" i="11"/>
  <c r="D2440" i="11"/>
  <c r="D2439" i="11"/>
  <c r="D2438" i="11"/>
  <c r="D2437" i="11"/>
  <c r="D2436" i="11"/>
  <c r="D2435" i="11"/>
  <c r="D2434" i="11"/>
  <c r="D2433" i="11"/>
  <c r="D2432" i="11"/>
  <c r="D2431" i="11"/>
  <c r="D2430" i="11"/>
  <c r="D2429" i="11"/>
  <c r="D2428" i="11"/>
  <c r="D2427" i="11"/>
  <c r="D2426" i="11"/>
  <c r="D2425" i="11"/>
  <c r="D2424" i="11"/>
  <c r="D2423" i="11"/>
  <c r="D2422" i="11"/>
  <c r="D2421" i="11"/>
  <c r="D2420" i="11"/>
  <c r="D2419" i="11"/>
  <c r="D2418" i="11"/>
  <c r="D2417" i="11"/>
  <c r="D2416" i="11"/>
  <c r="D2415" i="11"/>
  <c r="D2414" i="11"/>
  <c r="D2413" i="11"/>
  <c r="D2412" i="11"/>
  <c r="D2411" i="11"/>
  <c r="D2410" i="11"/>
  <c r="D2409" i="11"/>
  <c r="D2408" i="11"/>
  <c r="D2407" i="11"/>
  <c r="D2406" i="11"/>
  <c r="D2405" i="11"/>
  <c r="D2404" i="11"/>
  <c r="D2403" i="11"/>
  <c r="D2402" i="11"/>
  <c r="D2401" i="11"/>
  <c r="D2400" i="11"/>
  <c r="D2399" i="11"/>
  <c r="D2398" i="11"/>
  <c r="D2397" i="11"/>
  <c r="D2396" i="11"/>
  <c r="D2395" i="11"/>
  <c r="D2394" i="11"/>
  <c r="D2393" i="11"/>
  <c r="D2392" i="11"/>
  <c r="D2391" i="11"/>
  <c r="D2390" i="11"/>
  <c r="D2389" i="11"/>
  <c r="D2388" i="11"/>
  <c r="D2387" i="11"/>
  <c r="D2386" i="11"/>
  <c r="D2385" i="11"/>
  <c r="D2384" i="11"/>
  <c r="D2383" i="11"/>
  <c r="D2382" i="11"/>
  <c r="D2381" i="11"/>
  <c r="D2380" i="11"/>
  <c r="D2379" i="11"/>
  <c r="D2378" i="11"/>
  <c r="D2377" i="11"/>
  <c r="D2376" i="11"/>
  <c r="D2375" i="11"/>
  <c r="D2374" i="11"/>
  <c r="D2373" i="11"/>
  <c r="D2372" i="11"/>
  <c r="D2371" i="11"/>
  <c r="D2370" i="11"/>
  <c r="D2369" i="11"/>
  <c r="D2368" i="11"/>
  <c r="D2367" i="11"/>
  <c r="D2366" i="11"/>
  <c r="D2365" i="11"/>
  <c r="D2364" i="11"/>
  <c r="D2363" i="11"/>
  <c r="D2362" i="11"/>
  <c r="D2361" i="11"/>
  <c r="D2360" i="11"/>
  <c r="D2359" i="11"/>
  <c r="D2358" i="11"/>
  <c r="D2357" i="11"/>
  <c r="D2356" i="11"/>
  <c r="D2355" i="11"/>
  <c r="D2354" i="11"/>
  <c r="D2353" i="11"/>
  <c r="D2352" i="11"/>
  <c r="D2351" i="11"/>
  <c r="D2350" i="11"/>
  <c r="D2349" i="11"/>
  <c r="D2348" i="11"/>
  <c r="D2347" i="11"/>
  <c r="D2346" i="11"/>
  <c r="D2345" i="11"/>
  <c r="D2344" i="11"/>
  <c r="D2343" i="11"/>
  <c r="D2342" i="11"/>
  <c r="D2341" i="11"/>
  <c r="D2340" i="11"/>
  <c r="D2339" i="11"/>
  <c r="D2338" i="11"/>
  <c r="D2337" i="11"/>
  <c r="D2336" i="11"/>
  <c r="D2335" i="11"/>
  <c r="D2334" i="11"/>
  <c r="D2333" i="11"/>
  <c r="D2332" i="11"/>
  <c r="D2331" i="11"/>
  <c r="D2330" i="11"/>
  <c r="D2329" i="11"/>
  <c r="D2328" i="11"/>
  <c r="D2327" i="11"/>
  <c r="D2326" i="11"/>
  <c r="D2325" i="11"/>
  <c r="D2324" i="11"/>
  <c r="D2323" i="11"/>
  <c r="D2322" i="11"/>
  <c r="D2321" i="11"/>
  <c r="D2320" i="11"/>
  <c r="D2319" i="11"/>
  <c r="D2318" i="11"/>
  <c r="D2317" i="11"/>
  <c r="D2316" i="11"/>
  <c r="D2315" i="11"/>
  <c r="D2314" i="11"/>
  <c r="D2313" i="11"/>
  <c r="D2312" i="11"/>
  <c r="D2311" i="11"/>
  <c r="D2310" i="11"/>
  <c r="D2309" i="11"/>
  <c r="D2308" i="11"/>
  <c r="D2307" i="11"/>
  <c r="D2306" i="11"/>
  <c r="D2305" i="11"/>
  <c r="D2304" i="11"/>
  <c r="D2303" i="11"/>
  <c r="D2302" i="11"/>
  <c r="D2301" i="11"/>
  <c r="D2300" i="11"/>
  <c r="D2299" i="11"/>
  <c r="D2298" i="11"/>
  <c r="D2297" i="11"/>
  <c r="D2296" i="11"/>
  <c r="D2295" i="11"/>
  <c r="D2294" i="11"/>
  <c r="D2293" i="11"/>
  <c r="D2292" i="11"/>
  <c r="D2291" i="11"/>
  <c r="D2290" i="11"/>
  <c r="D2289" i="11"/>
  <c r="D2288" i="11"/>
  <c r="D2287" i="11"/>
  <c r="D2286" i="11"/>
  <c r="D2285" i="11"/>
  <c r="D2284" i="11"/>
  <c r="D2283" i="11"/>
  <c r="D2282" i="11"/>
  <c r="D2281" i="11"/>
  <c r="D2280" i="11"/>
  <c r="D2279" i="11"/>
  <c r="D2278" i="11"/>
  <c r="D2277" i="11"/>
  <c r="D2276" i="11"/>
  <c r="D2275" i="11"/>
  <c r="D2274" i="11"/>
  <c r="D2273" i="11"/>
  <c r="D2272" i="11"/>
  <c r="D2271" i="11"/>
  <c r="D2270" i="11"/>
  <c r="D2269" i="11"/>
  <c r="D2268" i="11"/>
  <c r="D2267" i="11"/>
  <c r="D2266" i="11"/>
  <c r="D2265" i="11"/>
  <c r="D2264" i="11"/>
  <c r="D2263" i="11"/>
  <c r="D2262" i="11"/>
  <c r="D2261" i="11"/>
  <c r="D2260" i="11"/>
  <c r="D2259" i="11"/>
  <c r="D2258" i="11"/>
  <c r="D2257" i="11"/>
  <c r="D2256" i="11"/>
  <c r="D2255" i="11"/>
  <c r="D2254" i="11"/>
  <c r="D2253" i="11"/>
  <c r="D2252" i="11"/>
  <c r="D2251" i="11"/>
  <c r="D2250" i="11"/>
  <c r="D2249" i="11"/>
  <c r="D2248" i="11"/>
  <c r="D2247" i="11"/>
  <c r="D2246" i="11"/>
  <c r="D2245" i="11"/>
  <c r="D2244" i="11"/>
  <c r="D2243" i="11"/>
  <c r="D2242" i="11"/>
  <c r="D2241" i="11"/>
  <c r="D2240" i="11"/>
  <c r="D2239" i="11"/>
  <c r="D2238" i="11"/>
  <c r="D2237" i="11"/>
  <c r="D2236" i="11"/>
  <c r="D2235" i="11"/>
  <c r="D2234" i="11"/>
  <c r="D2233" i="11"/>
  <c r="D2232" i="11"/>
  <c r="D2231" i="11"/>
  <c r="D2230" i="11"/>
  <c r="D2229" i="11"/>
  <c r="D2228" i="11"/>
  <c r="D2227" i="11"/>
  <c r="D2226" i="11"/>
  <c r="D2225" i="11"/>
  <c r="D2224" i="11"/>
  <c r="D2223" i="11"/>
  <c r="D2222" i="11"/>
  <c r="D2221" i="11"/>
  <c r="D2220" i="11"/>
  <c r="D2219" i="11"/>
  <c r="D2218" i="11"/>
  <c r="D2217" i="11"/>
  <c r="D2216" i="11"/>
  <c r="D2215" i="11"/>
  <c r="D2214" i="11"/>
  <c r="D2213" i="11"/>
  <c r="D2212" i="11"/>
  <c r="D2211" i="11"/>
  <c r="D2210" i="11"/>
  <c r="D2209" i="11"/>
  <c r="D2208" i="11"/>
  <c r="D2207" i="11"/>
  <c r="D2206" i="11"/>
  <c r="D2205" i="11"/>
  <c r="D2204" i="11"/>
  <c r="D2203" i="11"/>
  <c r="D2202" i="11"/>
  <c r="D2201" i="11"/>
  <c r="D2200" i="11"/>
  <c r="D2199" i="11"/>
  <c r="D2198" i="11"/>
  <c r="D2197" i="11"/>
  <c r="D2196" i="11"/>
  <c r="D2195" i="11"/>
  <c r="D2194" i="11"/>
  <c r="D2193" i="11"/>
  <c r="D2192" i="11"/>
  <c r="D2191" i="11"/>
  <c r="D2190" i="11"/>
  <c r="D2189" i="11"/>
  <c r="D2188" i="11"/>
  <c r="D2187" i="11"/>
  <c r="D2186" i="11"/>
  <c r="D2185" i="11"/>
  <c r="D2184" i="11"/>
  <c r="D2183" i="11"/>
  <c r="D2182" i="11"/>
  <c r="D2181" i="11"/>
  <c r="D2180" i="11"/>
  <c r="D2179" i="11"/>
  <c r="D2178" i="11"/>
  <c r="D2177" i="11"/>
  <c r="D2176" i="11"/>
  <c r="D2175" i="11"/>
  <c r="D2174" i="11"/>
  <c r="D2173" i="11"/>
  <c r="D2172" i="11"/>
  <c r="D2171" i="11"/>
  <c r="D2170" i="11"/>
  <c r="D2169" i="11"/>
  <c r="D2168" i="11"/>
  <c r="D2167" i="11"/>
  <c r="D2166" i="11"/>
  <c r="D2165" i="11"/>
  <c r="D2164" i="11"/>
  <c r="D2163" i="11"/>
  <c r="D2162" i="11"/>
  <c r="D2161" i="11"/>
  <c r="D2160" i="11"/>
  <c r="D2159" i="11"/>
  <c r="D2158" i="11"/>
  <c r="D2157" i="11"/>
  <c r="D2156" i="11"/>
  <c r="D2155" i="11"/>
  <c r="D2154" i="11"/>
  <c r="D2153" i="11"/>
  <c r="D2152" i="11"/>
  <c r="D2151" i="11"/>
  <c r="D2150" i="11"/>
  <c r="D2149" i="11"/>
  <c r="D2148" i="11"/>
  <c r="D2147" i="11"/>
  <c r="D2146" i="11"/>
  <c r="D2145" i="11"/>
  <c r="D2144" i="11"/>
  <c r="D2143" i="11"/>
  <c r="D2142" i="11"/>
  <c r="D2141" i="11"/>
  <c r="D2140" i="11"/>
  <c r="D2139" i="11"/>
  <c r="D2138" i="11"/>
  <c r="D2137" i="11"/>
  <c r="D2136" i="11"/>
  <c r="D2135" i="11"/>
  <c r="D2134" i="11"/>
  <c r="D2133" i="11"/>
  <c r="D2132" i="11"/>
  <c r="D2131" i="11"/>
  <c r="D2130" i="11"/>
  <c r="D2129" i="11"/>
  <c r="D2128" i="11"/>
  <c r="D2127" i="11"/>
  <c r="D2126" i="11"/>
  <c r="D2125" i="11"/>
  <c r="D2124" i="11"/>
  <c r="D2123" i="11"/>
  <c r="D2122" i="11"/>
  <c r="D2121" i="11"/>
  <c r="D2120" i="11"/>
  <c r="D2119" i="11"/>
  <c r="D2118" i="11"/>
  <c r="D2117" i="11"/>
  <c r="D2116" i="11"/>
  <c r="D2115" i="11"/>
  <c r="D2114" i="11"/>
  <c r="D2113" i="11"/>
  <c r="D2112" i="11"/>
  <c r="D2111" i="11"/>
  <c r="D2110" i="11"/>
  <c r="D2109" i="11"/>
  <c r="D2108" i="11"/>
  <c r="D2107" i="11"/>
  <c r="D2106" i="11"/>
  <c r="D2105" i="11"/>
  <c r="D2104" i="11"/>
  <c r="D2103" i="11"/>
  <c r="D2102" i="11"/>
  <c r="D2101" i="11"/>
  <c r="D2100" i="11"/>
  <c r="D2099" i="11"/>
  <c r="D2098" i="11"/>
  <c r="D2097" i="11"/>
  <c r="D2096" i="11"/>
  <c r="D2095" i="11"/>
  <c r="D2094" i="11"/>
  <c r="D2093" i="11"/>
  <c r="D2092" i="11"/>
  <c r="D2091" i="11"/>
  <c r="D2090" i="11"/>
  <c r="D2089" i="11"/>
  <c r="D2088" i="11"/>
  <c r="D2087" i="11"/>
  <c r="D2086" i="11"/>
  <c r="D2085" i="11"/>
  <c r="D2084" i="11"/>
  <c r="D2083" i="11"/>
  <c r="D2082" i="11"/>
  <c r="D2081" i="11"/>
  <c r="D2080" i="11"/>
  <c r="D2079" i="11"/>
  <c r="D2078" i="11"/>
  <c r="D2077" i="11"/>
  <c r="D2076" i="11"/>
  <c r="D2075" i="11"/>
  <c r="D2074" i="11"/>
  <c r="D2073" i="11"/>
  <c r="D2072" i="11"/>
  <c r="D2071" i="11"/>
  <c r="D2070" i="11"/>
  <c r="D2069" i="11"/>
  <c r="D2068" i="11"/>
  <c r="D2067" i="11"/>
  <c r="D2066" i="11"/>
  <c r="D2065" i="11"/>
  <c r="D2064" i="11"/>
  <c r="D2063" i="11"/>
  <c r="D2062" i="11"/>
  <c r="D2061" i="11"/>
  <c r="D2060" i="11"/>
  <c r="D2059" i="11"/>
  <c r="D2058" i="11"/>
  <c r="D2057" i="11"/>
  <c r="D2056" i="11"/>
  <c r="D2055" i="11"/>
  <c r="D2054" i="11"/>
  <c r="D2053" i="11"/>
  <c r="D2052" i="11"/>
  <c r="D2051" i="11"/>
  <c r="D2050" i="11"/>
  <c r="D2049" i="11"/>
  <c r="D2048" i="11"/>
  <c r="D2047" i="11"/>
  <c r="D2046" i="11"/>
  <c r="D2045" i="11"/>
  <c r="D2044" i="11"/>
  <c r="D2043" i="11"/>
  <c r="D2042" i="11"/>
  <c r="D2041" i="11"/>
  <c r="D2040" i="11"/>
  <c r="D2039" i="11"/>
  <c r="D2038" i="11"/>
  <c r="D2037" i="11"/>
  <c r="D2036" i="11"/>
  <c r="D2035" i="11"/>
  <c r="D2034" i="11"/>
  <c r="D2033" i="11"/>
  <c r="D2032" i="11"/>
  <c r="D2031" i="11"/>
  <c r="D2030" i="11"/>
  <c r="D2029" i="11"/>
  <c r="D2028" i="11"/>
  <c r="D2027" i="11"/>
  <c r="D2026" i="11"/>
  <c r="D2025" i="11"/>
  <c r="D2024" i="11"/>
  <c r="D2023" i="11"/>
  <c r="D2022" i="11"/>
  <c r="D2021" i="11"/>
  <c r="D2020" i="11"/>
  <c r="D2019" i="11"/>
  <c r="D2018" i="11"/>
  <c r="D2017" i="11"/>
  <c r="D2016" i="11"/>
  <c r="D2015" i="11"/>
  <c r="D2014" i="11"/>
  <c r="D2013" i="11"/>
  <c r="D2012" i="11"/>
  <c r="D2011" i="11"/>
  <c r="D2010" i="11"/>
  <c r="D2009" i="11"/>
  <c r="D2008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9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2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9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91" i="11"/>
  <c r="D1890" i="11"/>
  <c r="D1889" i="11"/>
  <c r="D1888" i="11"/>
  <c r="D1887" i="11"/>
  <c r="D1886" i="11"/>
  <c r="D1885" i="11"/>
  <c r="D1884" i="11"/>
  <c r="D1883" i="11"/>
  <c r="D1882" i="11"/>
  <c r="D1881" i="11"/>
  <c r="D1880" i="11"/>
  <c r="D1879" i="11"/>
  <c r="D1878" i="11"/>
  <c r="D1877" i="11"/>
  <c r="D1876" i="11"/>
  <c r="D1875" i="11"/>
  <c r="D1874" i="11"/>
  <c r="D1873" i="11"/>
  <c r="D1872" i="11"/>
  <c r="D1871" i="11"/>
  <c r="D1870" i="11"/>
  <c r="D1869" i="11"/>
  <c r="D1868" i="11"/>
  <c r="D1867" i="11"/>
  <c r="D1866" i="11"/>
  <c r="D1865" i="11"/>
  <c r="D1864" i="11"/>
  <c r="D1863" i="11"/>
  <c r="D1862" i="11"/>
  <c r="D1861" i="11"/>
  <c r="D1860" i="11"/>
  <c r="D1859" i="11"/>
  <c r="D1858" i="11"/>
  <c r="D1857" i="11"/>
  <c r="D1856" i="11"/>
  <c r="D1855" i="11"/>
  <c r="D1854" i="11"/>
  <c r="D1853" i="11"/>
  <c r="D1852" i="11"/>
  <c r="D1851" i="11"/>
  <c r="D1850" i="11"/>
  <c r="D1849" i="11"/>
  <c r="D1848" i="11"/>
  <c r="D1847" i="11"/>
  <c r="D1846" i="11"/>
  <c r="D1845" i="11"/>
  <c r="D1844" i="11"/>
  <c r="D1843" i="11"/>
  <c r="D1842" i="11"/>
  <c r="D1841" i="11"/>
  <c r="D1840" i="11"/>
  <c r="D1839" i="11"/>
  <c r="D1838" i="11"/>
  <c r="D1837" i="11"/>
  <c r="D1836" i="11"/>
  <c r="D1835" i="11"/>
  <c r="D1834" i="11"/>
  <c r="D1833" i="11"/>
  <c r="D1832" i="11"/>
  <c r="D1831" i="11"/>
  <c r="D1830" i="11"/>
  <c r="D1829" i="11"/>
  <c r="D1828" i="11"/>
  <c r="D1827" i="11"/>
  <c r="D1826" i="11"/>
  <c r="D1825" i="11"/>
  <c r="D1824" i="11"/>
  <c r="D1823" i="11"/>
  <c r="D1822" i="11"/>
  <c r="D1821" i="11"/>
  <c r="D1820" i="11"/>
  <c r="D1819" i="11"/>
  <c r="D1818" i="11"/>
  <c r="D1817" i="11"/>
  <c r="D1816" i="11"/>
  <c r="D1815" i="11"/>
  <c r="D1814" i="11"/>
  <c r="D1813" i="11"/>
  <c r="D1812" i="11"/>
  <c r="D1811" i="11"/>
  <c r="D1810" i="11"/>
  <c r="D1809" i="11"/>
  <c r="D1808" i="11"/>
  <c r="D1807" i="11"/>
  <c r="D1806" i="11"/>
  <c r="D1805" i="11"/>
  <c r="D1804" i="11"/>
  <c r="D1803" i="11"/>
  <c r="D1802" i="11"/>
  <c r="D1801" i="11"/>
  <c r="D1800" i="11"/>
  <c r="D1799" i="11"/>
  <c r="D1798" i="11"/>
  <c r="D1797" i="11"/>
  <c r="D1796" i="11"/>
  <c r="D1795" i="11"/>
  <c r="D1794" i="11"/>
  <c r="D1793" i="11"/>
  <c r="D1792" i="11"/>
  <c r="D1791" i="11"/>
  <c r="D1790" i="11"/>
  <c r="D1789" i="11"/>
  <c r="D1788" i="11"/>
  <c r="D1787" i="11"/>
  <c r="D1786" i="11"/>
  <c r="D1785" i="11"/>
  <c r="D1784" i="11"/>
  <c r="D1783" i="11"/>
  <c r="D1782" i="11"/>
  <c r="D1781" i="11"/>
  <c r="D1780" i="11"/>
  <c r="D1779" i="11"/>
  <c r="D1778" i="11"/>
  <c r="D1777" i="11"/>
  <c r="D1776" i="11"/>
  <c r="D1775" i="11"/>
  <c r="D1774" i="11"/>
  <c r="D1773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61" i="11"/>
  <c r="D1760" i="11"/>
  <c r="D1759" i="11"/>
  <c r="D1758" i="11"/>
  <c r="D1757" i="11"/>
  <c r="D1756" i="11"/>
  <c r="D1755" i="11"/>
  <c r="D1754" i="11"/>
  <c r="D1753" i="11"/>
  <c r="D1752" i="11"/>
  <c r="D1751" i="11"/>
  <c r="D1750" i="11"/>
  <c r="D1749" i="11"/>
  <c r="D1748" i="11"/>
  <c r="D1747" i="11"/>
  <c r="D1746" i="11"/>
  <c r="D1745" i="11"/>
  <c r="D1744" i="11"/>
  <c r="D1743" i="11"/>
  <c r="D1742" i="11"/>
  <c r="D1741" i="11"/>
  <c r="D1740" i="11"/>
  <c r="D1739" i="11"/>
  <c r="D1738" i="11"/>
  <c r="D1737" i="11"/>
  <c r="D1736" i="11"/>
  <c r="D1735" i="11"/>
  <c r="D1734" i="11"/>
  <c r="D1733" i="11"/>
  <c r="D1732" i="11"/>
  <c r="D1731" i="11"/>
  <c r="D1730" i="11"/>
  <c r="D1729" i="11"/>
  <c r="D1728" i="11"/>
  <c r="D1727" i="11"/>
  <c r="D1726" i="11"/>
  <c r="D1725" i="11"/>
  <c r="D1724" i="11"/>
  <c r="D1723" i="11"/>
  <c r="D1722" i="11"/>
  <c r="D1721" i="11"/>
  <c r="D1720" i="11"/>
  <c r="D1719" i="11"/>
  <c r="D1718" i="11"/>
  <c r="D1717" i="11"/>
  <c r="D1716" i="11"/>
  <c r="D1715" i="11"/>
  <c r="D1714" i="11"/>
  <c r="D1713" i="11"/>
  <c r="D1712" i="11"/>
  <c r="D1711" i="11"/>
  <c r="D1710" i="11"/>
  <c r="D1709" i="11"/>
  <c r="D1708" i="11"/>
  <c r="D1707" i="11"/>
  <c r="D1706" i="11"/>
  <c r="D1705" i="11"/>
  <c r="D1704" i="11"/>
  <c r="D1703" i="11"/>
  <c r="D1702" i="11"/>
  <c r="D1701" i="11"/>
  <c r="D1700" i="11"/>
  <c r="D1699" i="11"/>
  <c r="D1698" i="11"/>
  <c r="D1697" i="11"/>
  <c r="D1696" i="11"/>
  <c r="D1695" i="11"/>
  <c r="D1694" i="11"/>
  <c r="D1693" i="11"/>
  <c r="D1692" i="11"/>
  <c r="D1691" i="11"/>
  <c r="D1690" i="11"/>
  <c r="D1689" i="11"/>
  <c r="D1688" i="11"/>
  <c r="D1687" i="11"/>
  <c r="D1686" i="11"/>
  <c r="D1685" i="11"/>
  <c r="D1684" i="11"/>
  <c r="D1683" i="11"/>
  <c r="D1682" i="11"/>
  <c r="D1681" i="11"/>
  <c r="D1680" i="11"/>
  <c r="D1679" i="11"/>
  <c r="D1678" i="11"/>
  <c r="D1677" i="11"/>
  <c r="D1676" i="11"/>
  <c r="D1675" i="11"/>
  <c r="D1674" i="11"/>
  <c r="D1673" i="11"/>
  <c r="D1672" i="11"/>
  <c r="D1671" i="11"/>
  <c r="D1670" i="11"/>
  <c r="D1669" i="11"/>
  <c r="D1668" i="11"/>
  <c r="D1667" i="11"/>
  <c r="D1666" i="11"/>
  <c r="D1665" i="11"/>
  <c r="D1664" i="11"/>
  <c r="D1663" i="11"/>
  <c r="D1662" i="11"/>
  <c r="D1661" i="11"/>
  <c r="D1660" i="11"/>
  <c r="D1659" i="11"/>
  <c r="D1658" i="11"/>
  <c r="D1657" i="11"/>
  <c r="D1656" i="11"/>
  <c r="D1655" i="11"/>
  <c r="D1654" i="11"/>
  <c r="D1653" i="11"/>
  <c r="D1652" i="11"/>
  <c r="D1651" i="11"/>
  <c r="D1650" i="11"/>
  <c r="D1649" i="11"/>
  <c r="D1648" i="11"/>
  <c r="D1647" i="11"/>
  <c r="D1646" i="11"/>
  <c r="D1645" i="11"/>
  <c r="D1644" i="11"/>
  <c r="D1643" i="11"/>
  <c r="D1642" i="11"/>
  <c r="D1641" i="11"/>
  <c r="D1640" i="11"/>
  <c r="D1639" i="11"/>
  <c r="D1638" i="11"/>
  <c r="D1637" i="11"/>
  <c r="D1636" i="11"/>
  <c r="D1635" i="11"/>
  <c r="D1634" i="11"/>
  <c r="D1633" i="11"/>
  <c r="D1632" i="11"/>
  <c r="D1631" i="11"/>
  <c r="D1630" i="11"/>
  <c r="D1629" i="11"/>
  <c r="D1628" i="11"/>
  <c r="D1627" i="11"/>
  <c r="D1626" i="11"/>
  <c r="D1625" i="11"/>
  <c r="D1624" i="11"/>
  <c r="D1623" i="11"/>
  <c r="D1622" i="11"/>
  <c r="D1621" i="11"/>
  <c r="D1620" i="11"/>
  <c r="D1619" i="11"/>
  <c r="D1618" i="11"/>
  <c r="D1617" i="11"/>
  <c r="D1616" i="11"/>
  <c r="D1615" i="11"/>
  <c r="D1614" i="11"/>
  <c r="D1613" i="11"/>
  <c r="D1612" i="11"/>
  <c r="D1611" i="11"/>
  <c r="D1610" i="11"/>
  <c r="D1609" i="11"/>
  <c r="D1608" i="11"/>
  <c r="D1607" i="11"/>
  <c r="D1606" i="11"/>
  <c r="D1605" i="11"/>
  <c r="D1604" i="11"/>
  <c r="D1603" i="11"/>
  <c r="D1602" i="11"/>
  <c r="D1601" i="11"/>
  <c r="D1600" i="11"/>
  <c r="D1599" i="11"/>
  <c r="D1598" i="11"/>
  <c r="D1597" i="11"/>
  <c r="D1596" i="11"/>
  <c r="D1595" i="11"/>
  <c r="D1594" i="11"/>
  <c r="D1593" i="11"/>
  <c r="D1592" i="11"/>
  <c r="D1591" i="11"/>
  <c r="D1590" i="11"/>
  <c r="D1589" i="11"/>
  <c r="D1588" i="11"/>
  <c r="D1587" i="11"/>
  <c r="D1586" i="11"/>
  <c r="D1585" i="11"/>
  <c r="D1584" i="11"/>
  <c r="D1583" i="11"/>
  <c r="D1582" i="11"/>
  <c r="D1581" i="11"/>
  <c r="D1580" i="11"/>
  <c r="D1579" i="11"/>
  <c r="D1578" i="11"/>
  <c r="D1577" i="11"/>
  <c r="D1576" i="11"/>
  <c r="D1575" i="11"/>
  <c r="D1574" i="11"/>
  <c r="D1573" i="11"/>
  <c r="D1572" i="11"/>
  <c r="D1571" i="11"/>
  <c r="D1570" i="11"/>
  <c r="D1569" i="11"/>
  <c r="D1568" i="11"/>
  <c r="D1567" i="11"/>
  <c r="D1566" i="11"/>
  <c r="D1565" i="11"/>
  <c r="D1564" i="11"/>
  <c r="D1563" i="11"/>
  <c r="D1562" i="11"/>
  <c r="D1561" i="11"/>
  <c r="D1560" i="11"/>
  <c r="D1559" i="11"/>
  <c r="D1558" i="11"/>
  <c r="D1557" i="11"/>
  <c r="D1556" i="11"/>
  <c r="D1555" i="11"/>
  <c r="D1554" i="11"/>
  <c r="D1553" i="11"/>
  <c r="D1552" i="11"/>
  <c r="D1551" i="11"/>
  <c r="D1550" i="11"/>
  <c r="D1549" i="11"/>
  <c r="D1548" i="11"/>
  <c r="D1547" i="11"/>
  <c r="D1546" i="11"/>
  <c r="D1545" i="11"/>
  <c r="D1544" i="11"/>
  <c r="D1543" i="11"/>
  <c r="D1542" i="11"/>
  <c r="D1541" i="11"/>
  <c r="D1540" i="11"/>
  <c r="D1539" i="11"/>
  <c r="D1538" i="11"/>
  <c r="D1537" i="11"/>
  <c r="D1536" i="11"/>
  <c r="D1535" i="11"/>
  <c r="D1534" i="11"/>
  <c r="D1533" i="11"/>
  <c r="D1532" i="11"/>
  <c r="D1531" i="11"/>
  <c r="D1530" i="11"/>
  <c r="D1529" i="11"/>
  <c r="D1528" i="11"/>
  <c r="D1527" i="11"/>
  <c r="D1526" i="11"/>
  <c r="D1525" i="11"/>
  <c r="D1524" i="11"/>
  <c r="D1523" i="11"/>
  <c r="D1522" i="11"/>
  <c r="D1521" i="11"/>
  <c r="D1520" i="11"/>
  <c r="D1519" i="11"/>
  <c r="D1518" i="11"/>
  <c r="D1517" i="11"/>
  <c r="D1516" i="11"/>
  <c r="D1515" i="11"/>
  <c r="D1514" i="11"/>
  <c r="D1513" i="11"/>
  <c r="D1512" i="11"/>
  <c r="D1511" i="11"/>
  <c r="D1510" i="11"/>
  <c r="D1509" i="11"/>
  <c r="D1508" i="11"/>
  <c r="D1507" i="11"/>
  <c r="D1506" i="11"/>
  <c r="D1505" i="11"/>
  <c r="D1504" i="11"/>
  <c r="D1503" i="11"/>
  <c r="D1502" i="11"/>
  <c r="D1501" i="11"/>
  <c r="D1500" i="11"/>
  <c r="D1499" i="11"/>
  <c r="D1498" i="11"/>
  <c r="D1497" i="11"/>
  <c r="D1496" i="11"/>
  <c r="D1495" i="11"/>
  <c r="D1494" i="11"/>
  <c r="D1493" i="11"/>
  <c r="D1492" i="11"/>
  <c r="D1491" i="11"/>
  <c r="D1490" i="11"/>
  <c r="D1489" i="11"/>
  <c r="D1488" i="11"/>
  <c r="D1487" i="11"/>
  <c r="D1486" i="11"/>
  <c r="D1485" i="11"/>
  <c r="D1484" i="11"/>
  <c r="D1483" i="11"/>
  <c r="D1482" i="11"/>
  <c r="D1481" i="11"/>
  <c r="D1480" i="11"/>
  <c r="D1479" i="11"/>
  <c r="D1478" i="11"/>
  <c r="D1477" i="11"/>
  <c r="D1476" i="11"/>
  <c r="D1475" i="11"/>
  <c r="D1474" i="11"/>
  <c r="D1473" i="11"/>
  <c r="D1472" i="11"/>
  <c r="D1471" i="11"/>
  <c r="D1470" i="11"/>
  <c r="D1469" i="11"/>
  <c r="D1468" i="11"/>
  <c r="D1467" i="11"/>
  <c r="D1466" i="11"/>
  <c r="D1465" i="11"/>
  <c r="D1464" i="11"/>
  <c r="D1463" i="11"/>
  <c r="D1462" i="11"/>
  <c r="D1461" i="11"/>
  <c r="D1460" i="11"/>
  <c r="D1459" i="11"/>
  <c r="D1458" i="11"/>
  <c r="D1457" i="11"/>
  <c r="D1456" i="11"/>
  <c r="D1455" i="11"/>
  <c r="D1454" i="11"/>
  <c r="D1453" i="11"/>
  <c r="D1452" i="11"/>
  <c r="D1451" i="11"/>
  <c r="D1450" i="11"/>
  <c r="D1449" i="11"/>
  <c r="D1448" i="11"/>
  <c r="D1447" i="11"/>
  <c r="D1446" i="11"/>
  <c r="D1445" i="11"/>
  <c r="D1444" i="11"/>
  <c r="D1443" i="11"/>
  <c r="D1442" i="11"/>
  <c r="D1441" i="11"/>
  <c r="D1440" i="11"/>
  <c r="D1439" i="11"/>
  <c r="D1438" i="11"/>
  <c r="D1437" i="11"/>
  <c r="D1436" i="11"/>
  <c r="D1435" i="11"/>
  <c r="D1434" i="11"/>
  <c r="D1433" i="11"/>
  <c r="D1432" i="11"/>
  <c r="D1431" i="11"/>
  <c r="D1430" i="11"/>
  <c r="D1429" i="11"/>
  <c r="D1428" i="11"/>
  <c r="D1427" i="11"/>
  <c r="D1426" i="11"/>
  <c r="D1425" i="11"/>
  <c r="D1424" i="11"/>
  <c r="D1423" i="11"/>
  <c r="D1422" i="11"/>
  <c r="D1421" i="11"/>
  <c r="D1420" i="11"/>
  <c r="D1419" i="11"/>
  <c r="D1418" i="11"/>
  <c r="D1417" i="11"/>
  <c r="D1416" i="11"/>
  <c r="D1415" i="11"/>
  <c r="D1414" i="11"/>
  <c r="D1413" i="11"/>
  <c r="D1412" i="11"/>
  <c r="D1411" i="11"/>
  <c r="D1410" i="11"/>
  <c r="D1409" i="11"/>
  <c r="D1408" i="11"/>
  <c r="D1407" i="11"/>
  <c r="D1406" i="11"/>
  <c r="D1405" i="11"/>
  <c r="D1404" i="11"/>
  <c r="D1403" i="11"/>
  <c r="D1402" i="11"/>
  <c r="D1401" i="11"/>
  <c r="D1400" i="11"/>
  <c r="D1399" i="11"/>
  <c r="D1398" i="11"/>
  <c r="D1397" i="11"/>
  <c r="D1396" i="11"/>
  <c r="D1395" i="11"/>
  <c r="D1394" i="11"/>
  <c r="D1393" i="11"/>
  <c r="D1392" i="11"/>
  <c r="D1391" i="11"/>
  <c r="D1390" i="11"/>
  <c r="D1389" i="11"/>
  <c r="D1388" i="11"/>
  <c r="D1387" i="11"/>
  <c r="D1386" i="11"/>
  <c r="D1385" i="11"/>
  <c r="D1384" i="11"/>
  <c r="D1383" i="11"/>
  <c r="D1382" i="11"/>
  <c r="D1381" i="11"/>
  <c r="D1380" i="11"/>
  <c r="D1379" i="11"/>
  <c r="D1378" i="11"/>
  <c r="D1377" i="11"/>
  <c r="D1376" i="11"/>
  <c r="D1375" i="11"/>
  <c r="D1374" i="11"/>
  <c r="D1373" i="11"/>
  <c r="D1372" i="11"/>
  <c r="D1371" i="11"/>
  <c r="D1370" i="11"/>
  <c r="D1369" i="11"/>
  <c r="D1368" i="11"/>
  <c r="D1367" i="11"/>
  <c r="D1366" i="11"/>
  <c r="D1365" i="11"/>
  <c r="D1364" i="11"/>
  <c r="D1363" i="11"/>
  <c r="D1362" i="11"/>
  <c r="D1361" i="11"/>
  <c r="D1360" i="11"/>
  <c r="D1359" i="11"/>
  <c r="D1358" i="11"/>
  <c r="D1357" i="11"/>
  <c r="D1356" i="11"/>
  <c r="D1355" i="11"/>
  <c r="D1354" i="11"/>
  <c r="D1353" i="11"/>
  <c r="D1352" i="11"/>
  <c r="D1351" i="11"/>
  <c r="D1350" i="11"/>
  <c r="D1349" i="11"/>
  <c r="D1348" i="11"/>
  <c r="D1347" i="11"/>
  <c r="D1346" i="11"/>
  <c r="D1345" i="11"/>
  <c r="D1344" i="11"/>
  <c r="D1343" i="11"/>
  <c r="D1342" i="11"/>
  <c r="D1341" i="11"/>
  <c r="D1340" i="11"/>
  <c r="D1339" i="11"/>
  <c r="D1338" i="11"/>
  <c r="D1337" i="11"/>
  <c r="D1336" i="11"/>
  <c r="D1335" i="11"/>
  <c r="D1334" i="11"/>
  <c r="D1333" i="11"/>
  <c r="D1332" i="11"/>
  <c r="D1331" i="11"/>
  <c r="D1330" i="11"/>
  <c r="D1329" i="11"/>
  <c r="D1328" i="11"/>
  <c r="D1327" i="11"/>
  <c r="D1326" i="11"/>
  <c r="D1325" i="11"/>
  <c r="D1324" i="11"/>
  <c r="D1323" i="11"/>
  <c r="D1322" i="11"/>
  <c r="D1321" i="11"/>
  <c r="D1320" i="11"/>
  <c r="D1319" i="11"/>
  <c r="D1318" i="11"/>
  <c r="D1317" i="11"/>
  <c r="D1316" i="11"/>
  <c r="D1315" i="11"/>
  <c r="D1314" i="11"/>
  <c r="D1313" i="11"/>
  <c r="D1312" i="11"/>
  <c r="D1311" i="11"/>
  <c r="D1310" i="11"/>
  <c r="D1309" i="11"/>
  <c r="D1308" i="11"/>
  <c r="D1307" i="11"/>
  <c r="D1306" i="11"/>
  <c r="D1305" i="11"/>
  <c r="D1304" i="11"/>
  <c r="D1303" i="11"/>
  <c r="D1302" i="11"/>
  <c r="D1301" i="11"/>
  <c r="D1300" i="11"/>
  <c r="D1299" i="11"/>
  <c r="D1298" i="11"/>
  <c r="D1297" i="11"/>
  <c r="D1296" i="11"/>
  <c r="D1295" i="11"/>
  <c r="D1294" i="11"/>
  <c r="D1293" i="11"/>
  <c r="D1292" i="11"/>
  <c r="D1291" i="11"/>
  <c r="D1290" i="11"/>
  <c r="D1289" i="11"/>
  <c r="D1288" i="11"/>
  <c r="D1287" i="11"/>
  <c r="D1286" i="11"/>
  <c r="D1285" i="11"/>
  <c r="D1284" i="11"/>
  <c r="D1283" i="11"/>
  <c r="D1282" i="11"/>
  <c r="D1281" i="11"/>
  <c r="D1280" i="11"/>
  <c r="D1279" i="11"/>
  <c r="D1278" i="11"/>
  <c r="D1277" i="11"/>
  <c r="D1276" i="11"/>
  <c r="D1275" i="11"/>
  <c r="D1274" i="11"/>
  <c r="D1273" i="11"/>
  <c r="D1272" i="11"/>
  <c r="D1271" i="11"/>
  <c r="D1270" i="11"/>
  <c r="D1269" i="11"/>
  <c r="D1268" i="11"/>
  <c r="D1267" i="11"/>
  <c r="D1266" i="11"/>
  <c r="D1265" i="11"/>
  <c r="D1264" i="11"/>
  <c r="D1263" i="11"/>
  <c r="D1262" i="11"/>
  <c r="D1261" i="11"/>
  <c r="D1260" i="11"/>
  <c r="D1259" i="11"/>
  <c r="D1258" i="11"/>
  <c r="D1257" i="11"/>
  <c r="D1256" i="11"/>
  <c r="D1255" i="11"/>
  <c r="D1254" i="11"/>
  <c r="D1253" i="11"/>
  <c r="D1252" i="11"/>
  <c r="D1251" i="11"/>
  <c r="D1250" i="11"/>
  <c r="D1249" i="11"/>
  <c r="D1248" i="11"/>
  <c r="D1247" i="11"/>
  <c r="D1246" i="11"/>
  <c r="D1245" i="11"/>
  <c r="D1244" i="11"/>
  <c r="D1243" i="11"/>
  <c r="D1242" i="11"/>
  <c r="D1241" i="11"/>
  <c r="D1240" i="11"/>
  <c r="D1239" i="11"/>
  <c r="D1238" i="11"/>
  <c r="D1237" i="11"/>
  <c r="D1236" i="11"/>
  <c r="D1235" i="11"/>
  <c r="D1234" i="11"/>
  <c r="D1233" i="11"/>
  <c r="D1232" i="11"/>
  <c r="D1231" i="11"/>
  <c r="D1230" i="11"/>
  <c r="D1229" i="11"/>
  <c r="D1228" i="11"/>
  <c r="D1227" i="11"/>
  <c r="D1226" i="11"/>
  <c r="D1225" i="11"/>
  <c r="D1224" i="11"/>
  <c r="D1223" i="11"/>
  <c r="D1222" i="11"/>
  <c r="D1221" i="11"/>
  <c r="D1220" i="11"/>
  <c r="D1219" i="11"/>
  <c r="D1218" i="11"/>
  <c r="D1217" i="11"/>
  <c r="D1216" i="11"/>
  <c r="D1215" i="11"/>
  <c r="D1214" i="11"/>
  <c r="D1213" i="11"/>
  <c r="D1212" i="11"/>
  <c r="D1211" i="11"/>
  <c r="D1210" i="11"/>
  <c r="D1209" i="11"/>
  <c r="D1208" i="11"/>
  <c r="D1207" i="11"/>
  <c r="D1206" i="11"/>
  <c r="D1205" i="11"/>
  <c r="D1204" i="11"/>
  <c r="D1203" i="11"/>
  <c r="D1202" i="11"/>
  <c r="D1201" i="11"/>
  <c r="D1200" i="11"/>
  <c r="D1199" i="11"/>
  <c r="D1198" i="11"/>
  <c r="D1197" i="11"/>
  <c r="D1196" i="11"/>
  <c r="D1195" i="11"/>
  <c r="D1194" i="11"/>
  <c r="D1193" i="11"/>
  <c r="D1192" i="11"/>
  <c r="D1191" i="11"/>
  <c r="D1190" i="11"/>
  <c r="D1189" i="11"/>
  <c r="D1188" i="11"/>
  <c r="D1187" i="11"/>
  <c r="D1186" i="11"/>
  <c r="D1185" i="11"/>
  <c r="D1184" i="11"/>
  <c r="D1183" i="11"/>
  <c r="D1182" i="11"/>
  <c r="D1181" i="11"/>
  <c r="D1180" i="11"/>
  <c r="D1179" i="11"/>
  <c r="D1178" i="11"/>
  <c r="D1177" i="11"/>
  <c r="D1176" i="11"/>
  <c r="D1175" i="11"/>
  <c r="D1174" i="11"/>
  <c r="D1173" i="11"/>
  <c r="D1172" i="11"/>
  <c r="D1171" i="11"/>
  <c r="D1170" i="11"/>
  <c r="D1169" i="11"/>
  <c r="D1168" i="11"/>
  <c r="D1167" i="11"/>
  <c r="D1166" i="11"/>
  <c r="D1165" i="11"/>
  <c r="D1164" i="11"/>
  <c r="D1163" i="11"/>
  <c r="D1162" i="11"/>
  <c r="D1161" i="11"/>
  <c r="D1160" i="11"/>
  <c r="D1159" i="11"/>
  <c r="D1158" i="11"/>
  <c r="D1157" i="11"/>
  <c r="D1156" i="11"/>
  <c r="D1155" i="11"/>
  <c r="D1154" i="11"/>
  <c r="D1153" i="11"/>
  <c r="D1152" i="11"/>
  <c r="D1151" i="11"/>
  <c r="D1150" i="11"/>
  <c r="D1149" i="11"/>
  <c r="D1148" i="11"/>
  <c r="D1147" i="11"/>
  <c r="D1146" i="11"/>
  <c r="D1145" i="11"/>
  <c r="D1144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1" i="11"/>
  <c r="D1130" i="11"/>
  <c r="D1129" i="11"/>
  <c r="D1128" i="11"/>
  <c r="D1127" i="11"/>
  <c r="D1126" i="11"/>
  <c r="D1125" i="11"/>
  <c r="D1124" i="11"/>
  <c r="D1123" i="11"/>
  <c r="D1122" i="11"/>
  <c r="D1121" i="11"/>
  <c r="D1120" i="11"/>
  <c r="D1119" i="11"/>
  <c r="D1118" i="11"/>
  <c r="D1117" i="11"/>
  <c r="D1116" i="11"/>
  <c r="D1115" i="11"/>
  <c r="D1114" i="11"/>
  <c r="D1113" i="11"/>
  <c r="D1112" i="11"/>
  <c r="D1111" i="11"/>
  <c r="D1110" i="11"/>
  <c r="D1109" i="11"/>
  <c r="D1108" i="11"/>
  <c r="D1107" i="11"/>
  <c r="D1106" i="11"/>
  <c r="D1105" i="11"/>
  <c r="D1104" i="11"/>
  <c r="D1103" i="11"/>
  <c r="D1102" i="11"/>
  <c r="D1101" i="11"/>
  <c r="D1100" i="11"/>
  <c r="D1099" i="11"/>
  <c r="D1098" i="11"/>
  <c r="D1097" i="11"/>
  <c r="D1096" i="11"/>
  <c r="D1095" i="11"/>
  <c r="D1094" i="11"/>
  <c r="D1093" i="11"/>
  <c r="D1092" i="11"/>
  <c r="D1091" i="11"/>
  <c r="D1090" i="11"/>
  <c r="D1089" i="11"/>
  <c r="D1088" i="11"/>
  <c r="D1087" i="11"/>
  <c r="D1086" i="11"/>
  <c r="D1085" i="11"/>
  <c r="D1084" i="11"/>
  <c r="D1083" i="11"/>
  <c r="D1082" i="11"/>
  <c r="D1081" i="11"/>
  <c r="D1080" i="11"/>
  <c r="D1079" i="11"/>
  <c r="D1078" i="11"/>
  <c r="D1077" i="11"/>
  <c r="D1076" i="11"/>
  <c r="D1075" i="11"/>
  <c r="D1074" i="11"/>
  <c r="D1073" i="11"/>
  <c r="D1072" i="11"/>
  <c r="D1071" i="11"/>
  <c r="D1070" i="11"/>
  <c r="D1069" i="11"/>
  <c r="D1068" i="11"/>
  <c r="D1067" i="11"/>
  <c r="D1066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2" i="11"/>
  <c r="D1051" i="11"/>
  <c r="D1050" i="11"/>
  <c r="D1049" i="11"/>
  <c r="D1048" i="11"/>
  <c r="D1047" i="11"/>
  <c r="D1046" i="11"/>
  <c r="D1045" i="11"/>
  <c r="D1044" i="11"/>
  <c r="D1043" i="11"/>
  <c r="D1042" i="11"/>
  <c r="D1041" i="11"/>
  <c r="D1040" i="11"/>
  <c r="D1039" i="11"/>
  <c r="D1038" i="11"/>
  <c r="D1037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1009" i="11"/>
  <c r="D1008" i="11"/>
  <c r="D1007" i="11"/>
  <c r="D1006" i="11"/>
  <c r="D1005" i="11"/>
  <c r="D1004" i="11"/>
  <c r="D1003" i="11"/>
  <c r="D1002" i="11"/>
  <c r="D1001" i="11"/>
  <c r="D1000" i="11"/>
  <c r="D999" i="11"/>
  <c r="D998" i="11"/>
  <c r="D997" i="11"/>
  <c r="D996" i="11"/>
  <c r="D995" i="11"/>
  <c r="D994" i="11"/>
  <c r="D993" i="11"/>
  <c r="D992" i="11"/>
  <c r="D991" i="11"/>
  <c r="D990" i="1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53" i="11"/>
  <c r="D952" i="11"/>
  <c r="D951" i="11"/>
  <c r="D950" i="11"/>
  <c r="D949" i="11"/>
  <c r="D948" i="11"/>
  <c r="D947" i="11"/>
  <c r="D946" i="11"/>
  <c r="D945" i="11"/>
  <c r="D944" i="11"/>
  <c r="D943" i="11"/>
  <c r="D942" i="11"/>
  <c r="D941" i="11"/>
  <c r="D940" i="11"/>
  <c r="D939" i="11"/>
  <c r="D938" i="11"/>
  <c r="D937" i="11"/>
  <c r="D936" i="11"/>
  <c r="D935" i="11"/>
  <c r="D934" i="11"/>
  <c r="D933" i="11"/>
  <c r="D932" i="11"/>
  <c r="D931" i="11"/>
  <c r="D930" i="11"/>
  <c r="D929" i="11"/>
  <c r="D928" i="11"/>
  <c r="D927" i="11"/>
  <c r="D926" i="11"/>
  <c r="D925" i="11"/>
  <c r="D924" i="11"/>
  <c r="D923" i="11"/>
  <c r="D922" i="11"/>
  <c r="D921" i="11"/>
  <c r="D920" i="11"/>
  <c r="D919" i="11"/>
  <c r="D918" i="11"/>
  <c r="D917" i="11"/>
  <c r="D916" i="11"/>
  <c r="D915" i="11"/>
  <c r="D914" i="11"/>
  <c r="D913" i="11"/>
  <c r="D912" i="11"/>
  <c r="D911" i="11"/>
  <c r="D910" i="11"/>
  <c r="D909" i="11"/>
  <c r="D908" i="11"/>
  <c r="D907" i="11"/>
  <c r="D906" i="11"/>
  <c r="D905" i="11"/>
  <c r="D904" i="11"/>
  <c r="D903" i="11"/>
  <c r="D902" i="11"/>
  <c r="D901" i="11"/>
  <c r="D900" i="11"/>
  <c r="D899" i="11"/>
  <c r="D898" i="11"/>
  <c r="D897" i="11"/>
  <c r="D896" i="11"/>
  <c r="D895" i="11"/>
  <c r="D894" i="11"/>
  <c r="D893" i="11"/>
  <c r="D892" i="11"/>
  <c r="D891" i="11"/>
  <c r="D890" i="11"/>
  <c r="D889" i="11"/>
  <c r="D888" i="11"/>
  <c r="D887" i="11"/>
  <c r="D886" i="11"/>
  <c r="D885" i="11"/>
  <c r="D884" i="11"/>
  <c r="D883" i="11"/>
  <c r="D882" i="11"/>
  <c r="D881" i="11"/>
  <c r="D880" i="11"/>
  <c r="D879" i="11"/>
  <c r="D878" i="11"/>
  <c r="D877" i="11"/>
  <c r="D876" i="11"/>
  <c r="D875" i="11"/>
  <c r="D874" i="11"/>
  <c r="D873" i="11"/>
  <c r="D872" i="11"/>
  <c r="D871" i="11"/>
  <c r="D870" i="11"/>
  <c r="D869" i="11"/>
  <c r="D868" i="11"/>
  <c r="D867" i="11"/>
  <c r="D866" i="11"/>
  <c r="D865" i="11"/>
  <c r="D864" i="11"/>
  <c r="D863" i="11"/>
  <c r="D862" i="11"/>
  <c r="D861" i="11"/>
  <c r="D860" i="11"/>
  <c r="D859" i="11"/>
  <c r="D858" i="11"/>
  <c r="D857" i="11"/>
  <c r="D856" i="11"/>
  <c r="D855" i="11"/>
  <c r="D854" i="11"/>
  <c r="D853" i="11"/>
  <c r="D852" i="11"/>
  <c r="D851" i="11"/>
  <c r="D850" i="11"/>
  <c r="D849" i="11"/>
  <c r="D848" i="11"/>
  <c r="D847" i="11"/>
  <c r="D846" i="11"/>
  <c r="D845" i="11"/>
  <c r="D844" i="11"/>
  <c r="D843" i="11"/>
  <c r="D842" i="11"/>
  <c r="D841" i="11"/>
  <c r="D840" i="11"/>
  <c r="D839" i="11"/>
  <c r="D838" i="11"/>
  <c r="D837" i="11"/>
  <c r="D836" i="11"/>
  <c r="D835" i="11"/>
  <c r="D834" i="11"/>
  <c r="D833" i="11"/>
  <c r="D832" i="11"/>
  <c r="D831" i="11"/>
  <c r="D830" i="11"/>
  <c r="D829" i="11"/>
  <c r="D828" i="11"/>
  <c r="D827" i="11"/>
  <c r="D826" i="11"/>
  <c r="D825" i="11"/>
  <c r="D824" i="11"/>
  <c r="D823" i="11"/>
  <c r="D822" i="11"/>
  <c r="D821" i="11"/>
  <c r="D820" i="11"/>
  <c r="D819" i="11"/>
  <c r="D818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F783" i="11"/>
  <c r="D783" i="11"/>
  <c r="F782" i="11"/>
  <c r="E782" i="11"/>
  <c r="D782" i="11"/>
  <c r="F781" i="11"/>
  <c r="E781" i="11"/>
  <c r="D781" i="11"/>
  <c r="F780" i="11"/>
  <c r="E780" i="11"/>
  <c r="D780" i="11"/>
  <c r="F779" i="11"/>
  <c r="E779" i="11"/>
  <c r="D779" i="11"/>
  <c r="F778" i="11"/>
  <c r="E778" i="11"/>
  <c r="D778" i="11"/>
  <c r="F777" i="11"/>
  <c r="E777" i="11"/>
  <c r="D777" i="11"/>
  <c r="F776" i="11"/>
  <c r="E776" i="11"/>
  <c r="D776" i="11"/>
  <c r="F775" i="11"/>
  <c r="E775" i="11"/>
  <c r="D775" i="11"/>
  <c r="F774" i="11"/>
  <c r="E774" i="11"/>
  <c r="D774" i="11"/>
  <c r="F773" i="11"/>
  <c r="E773" i="11"/>
  <c r="D773" i="11"/>
  <c r="F772" i="11"/>
  <c r="E772" i="11"/>
  <c r="D772" i="11"/>
  <c r="F771" i="11"/>
  <c r="E771" i="11"/>
  <c r="D771" i="11"/>
  <c r="F770" i="11"/>
  <c r="E770" i="11"/>
  <c r="D770" i="11"/>
  <c r="F769" i="11"/>
  <c r="E769" i="11"/>
  <c r="D769" i="11"/>
  <c r="F768" i="11"/>
  <c r="E768" i="11"/>
  <c r="D768" i="11"/>
  <c r="F767" i="11"/>
  <c r="E767" i="11"/>
  <c r="D767" i="11"/>
  <c r="F766" i="11"/>
  <c r="E766" i="11"/>
  <c r="D766" i="11"/>
  <c r="F765" i="11"/>
  <c r="E765" i="11"/>
  <c r="D765" i="11"/>
  <c r="F764" i="11"/>
  <c r="E764" i="11"/>
  <c r="D764" i="11"/>
  <c r="F763" i="11"/>
  <c r="E763" i="11"/>
  <c r="D763" i="11"/>
  <c r="F762" i="11"/>
  <c r="E762" i="11"/>
  <c r="D762" i="11"/>
  <c r="F761" i="11"/>
  <c r="E761" i="11"/>
  <c r="D761" i="11"/>
  <c r="F760" i="11"/>
  <c r="E760" i="11"/>
  <c r="D760" i="11"/>
  <c r="F759" i="11"/>
  <c r="E759" i="11"/>
  <c r="D759" i="11"/>
  <c r="F758" i="11"/>
  <c r="E758" i="11"/>
  <c r="D758" i="11"/>
  <c r="F757" i="11"/>
  <c r="E757" i="11"/>
  <c r="D757" i="11"/>
  <c r="F756" i="11"/>
  <c r="E756" i="11"/>
  <c r="D756" i="11"/>
  <c r="F755" i="11"/>
  <c r="E755" i="11"/>
  <c r="D755" i="11"/>
  <c r="F754" i="11"/>
  <c r="E754" i="11"/>
  <c r="D754" i="11"/>
  <c r="F753" i="11"/>
  <c r="E753" i="11"/>
  <c r="D753" i="11"/>
  <c r="F752" i="11"/>
  <c r="E752" i="11"/>
  <c r="D752" i="11"/>
  <c r="F751" i="11"/>
  <c r="E751" i="11"/>
  <c r="D751" i="11"/>
  <c r="F750" i="11"/>
  <c r="E750" i="11"/>
  <c r="D750" i="11"/>
  <c r="F749" i="11"/>
  <c r="E749" i="11"/>
  <c r="D749" i="11"/>
  <c r="F748" i="11"/>
  <c r="E748" i="11"/>
  <c r="D748" i="11"/>
  <c r="F747" i="11"/>
  <c r="E747" i="11"/>
  <c r="D747" i="11"/>
  <c r="F746" i="11"/>
  <c r="E746" i="11"/>
  <c r="D746" i="11"/>
  <c r="F745" i="11"/>
  <c r="E745" i="11"/>
  <c r="D745" i="11"/>
  <c r="F744" i="11"/>
  <c r="E744" i="11"/>
  <c r="D744" i="11"/>
  <c r="F743" i="11"/>
  <c r="E743" i="11"/>
  <c r="D743" i="11"/>
  <c r="F742" i="11"/>
  <c r="E742" i="11"/>
  <c r="D742" i="11"/>
  <c r="F741" i="11"/>
  <c r="E741" i="11"/>
  <c r="D741" i="11"/>
  <c r="F740" i="11"/>
  <c r="E740" i="11"/>
  <c r="D740" i="11"/>
  <c r="F739" i="11"/>
  <c r="E739" i="11"/>
  <c r="D739" i="11"/>
  <c r="F738" i="11"/>
  <c r="E738" i="11"/>
  <c r="D738" i="11"/>
  <c r="F737" i="11"/>
  <c r="E737" i="11"/>
  <c r="D737" i="11"/>
  <c r="F736" i="11"/>
  <c r="E736" i="11"/>
  <c r="D736" i="11"/>
  <c r="F735" i="11"/>
  <c r="E735" i="11"/>
  <c r="D735" i="11"/>
  <c r="F734" i="11"/>
  <c r="E734" i="11"/>
  <c r="D734" i="11"/>
  <c r="F733" i="11"/>
  <c r="E733" i="11"/>
  <c r="D733" i="11"/>
  <c r="F732" i="11"/>
  <c r="E732" i="11"/>
  <c r="D732" i="11"/>
  <c r="F731" i="11"/>
  <c r="E731" i="11"/>
  <c r="D731" i="11"/>
  <c r="F730" i="11"/>
  <c r="E730" i="11"/>
  <c r="D730" i="11"/>
  <c r="F729" i="11"/>
  <c r="E729" i="11"/>
  <c r="D729" i="11"/>
  <c r="F728" i="11"/>
  <c r="E728" i="11"/>
  <c r="D728" i="11"/>
  <c r="F727" i="11"/>
  <c r="E727" i="11"/>
  <c r="D727" i="11"/>
  <c r="F726" i="11"/>
  <c r="E726" i="11"/>
  <c r="D726" i="11"/>
  <c r="F725" i="11"/>
  <c r="E725" i="11"/>
  <c r="D725" i="11"/>
  <c r="F724" i="11"/>
  <c r="E724" i="11"/>
  <c r="D724" i="11"/>
  <c r="F723" i="11"/>
  <c r="E723" i="11"/>
  <c r="D723" i="11"/>
  <c r="F722" i="11"/>
  <c r="E722" i="11"/>
  <c r="D722" i="11"/>
  <c r="F721" i="11"/>
  <c r="E721" i="11"/>
  <c r="D721" i="11"/>
  <c r="F720" i="11"/>
  <c r="E720" i="11"/>
  <c r="D720" i="11"/>
  <c r="F719" i="11"/>
  <c r="E719" i="11"/>
  <c r="D719" i="11"/>
  <c r="F718" i="11"/>
  <c r="E718" i="11"/>
  <c r="D718" i="11"/>
  <c r="F717" i="11"/>
  <c r="E717" i="11"/>
  <c r="D717" i="11"/>
  <c r="F716" i="11"/>
  <c r="E716" i="11"/>
  <c r="D716" i="11"/>
  <c r="F715" i="11"/>
  <c r="E715" i="11"/>
  <c r="D715" i="11"/>
  <c r="F714" i="11"/>
  <c r="E714" i="11"/>
  <c r="D714" i="11"/>
  <c r="F713" i="11"/>
  <c r="E713" i="11"/>
  <c r="D713" i="11"/>
  <c r="F712" i="11"/>
  <c r="E712" i="11"/>
  <c r="D712" i="11"/>
  <c r="F711" i="11"/>
  <c r="E711" i="11"/>
  <c r="D711" i="11"/>
  <c r="F710" i="11"/>
  <c r="E710" i="11"/>
  <c r="D710" i="11"/>
  <c r="F709" i="11"/>
  <c r="E709" i="11"/>
  <c r="D709" i="11"/>
  <c r="F708" i="11"/>
  <c r="E708" i="11"/>
  <c r="D708" i="11"/>
  <c r="F707" i="11"/>
  <c r="E707" i="11"/>
  <c r="D707" i="11"/>
  <c r="F706" i="11"/>
  <c r="E706" i="11"/>
  <c r="D706" i="11"/>
  <c r="F705" i="11"/>
  <c r="E705" i="11"/>
  <c r="D705" i="11"/>
  <c r="F704" i="11"/>
  <c r="E704" i="11"/>
  <c r="D704" i="11"/>
  <c r="F703" i="11"/>
  <c r="E703" i="11"/>
  <c r="D703" i="11"/>
  <c r="F702" i="11"/>
  <c r="E702" i="11"/>
  <c r="D702" i="11"/>
  <c r="F701" i="11"/>
  <c r="E701" i="11"/>
  <c r="D701" i="11"/>
  <c r="F700" i="11"/>
  <c r="E700" i="11"/>
  <c r="D700" i="11"/>
  <c r="F699" i="11"/>
  <c r="E699" i="11"/>
  <c r="D699" i="11"/>
  <c r="F698" i="11"/>
  <c r="E698" i="11"/>
  <c r="D698" i="11"/>
  <c r="F697" i="11"/>
  <c r="E697" i="11"/>
  <c r="D697" i="11"/>
  <c r="F696" i="11"/>
  <c r="E696" i="11"/>
  <c r="D696" i="11"/>
  <c r="F695" i="11"/>
  <c r="E695" i="11"/>
  <c r="D695" i="11"/>
  <c r="F694" i="11"/>
  <c r="E694" i="11"/>
  <c r="D694" i="11"/>
  <c r="F693" i="11"/>
  <c r="E693" i="11"/>
  <c r="D693" i="11"/>
  <c r="F692" i="11"/>
  <c r="E692" i="11"/>
  <c r="D692" i="11"/>
  <c r="F691" i="11"/>
  <c r="E691" i="11"/>
  <c r="D691" i="11"/>
  <c r="F690" i="11"/>
  <c r="E690" i="11"/>
  <c r="D690" i="11"/>
  <c r="F689" i="11"/>
  <c r="E689" i="11"/>
  <c r="D689" i="11"/>
  <c r="F688" i="11"/>
  <c r="E688" i="11"/>
  <c r="D688" i="11"/>
  <c r="F687" i="11"/>
  <c r="E687" i="11"/>
  <c r="D687" i="11"/>
  <c r="F686" i="11"/>
  <c r="E686" i="11"/>
  <c r="D686" i="11"/>
  <c r="F685" i="11"/>
  <c r="E685" i="11"/>
  <c r="D685" i="11"/>
  <c r="F684" i="11"/>
  <c r="E684" i="11"/>
  <c r="D684" i="11"/>
  <c r="F683" i="11"/>
  <c r="E683" i="11"/>
  <c r="D683" i="11"/>
  <c r="F682" i="11"/>
  <c r="E682" i="11"/>
  <c r="D682" i="11"/>
  <c r="F681" i="11"/>
  <c r="E681" i="11"/>
  <c r="D681" i="11"/>
  <c r="F680" i="11"/>
  <c r="E680" i="11"/>
  <c r="D680" i="11"/>
  <c r="F679" i="11"/>
  <c r="E679" i="11"/>
  <c r="D679" i="11"/>
  <c r="F678" i="11"/>
  <c r="E678" i="11"/>
  <c r="D678" i="11"/>
  <c r="F677" i="11"/>
  <c r="E677" i="11"/>
  <c r="D677" i="11"/>
  <c r="F676" i="11"/>
  <c r="E676" i="11"/>
  <c r="D676" i="11"/>
  <c r="F675" i="11"/>
  <c r="E675" i="11"/>
  <c r="D675" i="11"/>
  <c r="F674" i="11"/>
  <c r="E674" i="11"/>
  <c r="D674" i="11"/>
  <c r="F673" i="11"/>
  <c r="E673" i="11"/>
  <c r="D673" i="11"/>
  <c r="F672" i="11"/>
  <c r="E672" i="11"/>
  <c r="D672" i="11"/>
  <c r="F671" i="11"/>
  <c r="E671" i="11"/>
  <c r="D671" i="11"/>
  <c r="F670" i="11"/>
  <c r="E670" i="11"/>
  <c r="D670" i="11"/>
  <c r="F669" i="11"/>
  <c r="E669" i="11"/>
  <c r="D669" i="11"/>
  <c r="F668" i="11"/>
  <c r="E668" i="11"/>
  <c r="D668" i="11"/>
  <c r="F667" i="11"/>
  <c r="E667" i="11"/>
  <c r="D667" i="11"/>
  <c r="F666" i="11"/>
  <c r="E666" i="11"/>
  <c r="D666" i="11"/>
  <c r="F665" i="11"/>
  <c r="E665" i="11"/>
  <c r="D665" i="11"/>
  <c r="F664" i="11"/>
  <c r="E664" i="11"/>
  <c r="D664" i="11"/>
  <c r="F663" i="11"/>
  <c r="E663" i="11"/>
  <c r="D663" i="11"/>
  <c r="F662" i="11"/>
  <c r="E662" i="11"/>
  <c r="D662" i="11"/>
  <c r="F661" i="11"/>
  <c r="E661" i="11"/>
  <c r="D661" i="11"/>
  <c r="F660" i="11"/>
  <c r="E660" i="11"/>
  <c r="D660" i="11"/>
  <c r="F659" i="11"/>
  <c r="E659" i="11"/>
  <c r="D659" i="11"/>
  <c r="F658" i="11"/>
  <c r="E658" i="11"/>
  <c r="D658" i="11"/>
  <c r="F657" i="11"/>
  <c r="E657" i="11"/>
  <c r="D657" i="11"/>
  <c r="F656" i="11"/>
  <c r="E656" i="11"/>
  <c r="D656" i="11"/>
  <c r="F655" i="11"/>
  <c r="E655" i="11"/>
  <c r="D655" i="11"/>
  <c r="F654" i="11"/>
  <c r="E654" i="11"/>
  <c r="D654" i="11"/>
  <c r="F653" i="11"/>
  <c r="E653" i="11"/>
  <c r="D653" i="11"/>
  <c r="F652" i="11"/>
  <c r="E652" i="11"/>
  <c r="D652" i="11"/>
  <c r="F651" i="11"/>
  <c r="E651" i="11"/>
  <c r="D651" i="11"/>
  <c r="F650" i="11"/>
  <c r="E650" i="11"/>
  <c r="D650" i="11"/>
  <c r="F649" i="11"/>
  <c r="E649" i="11"/>
  <c r="D649" i="11"/>
  <c r="F648" i="11"/>
  <c r="E648" i="11"/>
  <c r="D648" i="11"/>
  <c r="F647" i="11"/>
  <c r="E647" i="11"/>
  <c r="D647" i="11"/>
  <c r="F646" i="11"/>
  <c r="E646" i="11"/>
  <c r="D646" i="11"/>
  <c r="F645" i="11"/>
  <c r="E645" i="11"/>
  <c r="D645" i="11"/>
  <c r="F644" i="11"/>
  <c r="E644" i="11"/>
  <c r="D644" i="11"/>
  <c r="F643" i="11"/>
  <c r="E643" i="11"/>
  <c r="D643" i="11"/>
  <c r="F642" i="11"/>
  <c r="E642" i="11"/>
  <c r="D642" i="11"/>
  <c r="F641" i="11"/>
  <c r="E641" i="11"/>
  <c r="D641" i="11"/>
  <c r="F640" i="11"/>
  <c r="E640" i="11"/>
  <c r="D640" i="11"/>
  <c r="F639" i="11"/>
  <c r="E639" i="11"/>
  <c r="D639" i="11"/>
  <c r="F638" i="11"/>
  <c r="E638" i="11"/>
  <c r="D638" i="11"/>
  <c r="F637" i="11"/>
  <c r="E637" i="11"/>
  <c r="D637" i="11"/>
  <c r="F636" i="11"/>
  <c r="E636" i="11"/>
  <c r="D636" i="11"/>
  <c r="F635" i="11"/>
  <c r="E635" i="11"/>
  <c r="D635" i="11"/>
  <c r="F634" i="11"/>
  <c r="E634" i="11"/>
  <c r="D634" i="11"/>
  <c r="F633" i="11"/>
  <c r="E633" i="11"/>
  <c r="D633" i="11"/>
  <c r="F632" i="11"/>
  <c r="E632" i="11"/>
  <c r="D632" i="11"/>
  <c r="F631" i="11"/>
  <c r="E631" i="11"/>
  <c r="D631" i="11"/>
  <c r="F630" i="11"/>
  <c r="E630" i="11"/>
  <c r="D630" i="11"/>
  <c r="F2" i="11"/>
  <c r="E2" i="11"/>
  <c r="D2" i="11"/>
  <c r="D6434" i="12"/>
  <c r="D6433" i="12"/>
  <c r="D6432" i="12"/>
  <c r="D6431" i="12"/>
  <c r="D6430" i="12"/>
  <c r="D6429" i="12"/>
  <c r="D6428" i="12"/>
  <c r="D6427" i="12"/>
  <c r="D6426" i="12"/>
  <c r="D6425" i="12"/>
  <c r="D6424" i="12"/>
  <c r="D6423" i="12"/>
  <c r="D6422" i="12"/>
  <c r="D6421" i="12"/>
  <c r="D6420" i="12"/>
  <c r="D6419" i="12"/>
  <c r="D6418" i="12"/>
  <c r="D6417" i="12"/>
  <c r="D6416" i="12"/>
  <c r="D6415" i="12"/>
  <c r="D6414" i="12"/>
  <c r="D6413" i="12"/>
  <c r="D6412" i="12"/>
  <c r="D6411" i="12"/>
  <c r="D6410" i="12"/>
  <c r="D6409" i="12"/>
  <c r="D6408" i="12"/>
  <c r="D6407" i="12"/>
  <c r="D6406" i="12"/>
  <c r="D6405" i="12"/>
  <c r="D6404" i="12"/>
  <c r="D6403" i="12"/>
  <c r="D6402" i="12"/>
  <c r="D6401" i="12"/>
  <c r="D6400" i="12"/>
  <c r="D6399" i="12"/>
  <c r="D6398" i="12"/>
  <c r="D6397" i="12"/>
  <c r="D6396" i="12"/>
  <c r="D6395" i="12"/>
  <c r="D6394" i="12"/>
  <c r="D6393" i="12"/>
  <c r="D6392" i="12"/>
  <c r="D6391" i="12"/>
  <c r="D6390" i="12"/>
  <c r="D6389" i="12"/>
  <c r="D6388" i="12"/>
  <c r="D6387" i="12"/>
  <c r="D6386" i="12"/>
  <c r="D6385" i="12"/>
  <c r="D6384" i="12"/>
  <c r="D6383" i="12"/>
  <c r="D6382" i="12"/>
  <c r="D6381" i="12"/>
  <c r="D6380" i="12"/>
  <c r="D6379" i="12"/>
  <c r="D6378" i="12"/>
  <c r="D6377" i="12"/>
  <c r="D6376" i="12"/>
  <c r="D6375" i="12"/>
  <c r="D6374" i="12"/>
  <c r="D6373" i="12"/>
  <c r="D6372" i="12"/>
  <c r="D6371" i="12"/>
  <c r="D6370" i="12"/>
  <c r="D6369" i="12"/>
  <c r="D6368" i="12"/>
  <c r="D6367" i="12"/>
  <c r="D6366" i="12"/>
  <c r="D6365" i="12"/>
  <c r="D6364" i="12"/>
  <c r="D6363" i="12"/>
  <c r="D6362" i="12"/>
  <c r="D6361" i="12"/>
  <c r="D6360" i="12"/>
  <c r="D6359" i="12"/>
  <c r="D6358" i="12"/>
  <c r="D6357" i="12"/>
  <c r="D6356" i="12"/>
  <c r="D6355" i="12"/>
  <c r="D6354" i="12"/>
  <c r="D6353" i="12"/>
  <c r="D6352" i="12"/>
  <c r="D6351" i="12"/>
  <c r="D6350" i="12"/>
  <c r="D6349" i="12"/>
  <c r="D6348" i="12"/>
  <c r="D6347" i="12"/>
  <c r="D6346" i="12"/>
  <c r="D6345" i="12"/>
  <c r="D6344" i="12"/>
  <c r="D6343" i="12"/>
  <c r="D6342" i="12"/>
  <c r="D6341" i="12"/>
  <c r="D6340" i="12"/>
  <c r="D6339" i="12"/>
  <c r="D6338" i="12"/>
  <c r="D6337" i="12"/>
  <c r="D6336" i="12"/>
  <c r="D6335" i="12"/>
  <c r="D6334" i="12"/>
  <c r="D6333" i="12"/>
  <c r="D6332" i="12"/>
  <c r="D6331" i="12"/>
  <c r="D6330" i="12"/>
  <c r="D6329" i="12"/>
  <c r="D6328" i="12"/>
  <c r="D6327" i="12"/>
  <c r="D6326" i="12"/>
  <c r="D6325" i="12"/>
  <c r="D6324" i="12"/>
  <c r="D6323" i="12"/>
  <c r="D6322" i="12"/>
  <c r="D6321" i="12"/>
  <c r="D6320" i="12"/>
  <c r="D6319" i="12"/>
  <c r="D6318" i="12"/>
  <c r="D6317" i="12"/>
  <c r="D6316" i="12"/>
  <c r="D6315" i="12"/>
  <c r="D6314" i="12"/>
  <c r="D6313" i="12"/>
  <c r="D6312" i="12"/>
  <c r="D6311" i="12"/>
  <c r="D6310" i="12"/>
  <c r="D6309" i="12"/>
  <c r="D6308" i="12"/>
  <c r="D6307" i="12"/>
  <c r="D6306" i="12"/>
  <c r="D6305" i="12"/>
  <c r="D6304" i="12"/>
  <c r="D6303" i="12"/>
  <c r="D6302" i="12"/>
  <c r="D6301" i="12"/>
  <c r="D6300" i="12"/>
  <c r="D6299" i="12"/>
  <c r="D6298" i="12"/>
  <c r="D6297" i="12"/>
  <c r="D6296" i="12"/>
  <c r="D6295" i="12"/>
  <c r="D6294" i="12"/>
  <c r="D6293" i="12"/>
  <c r="D6292" i="12"/>
  <c r="D6291" i="12"/>
  <c r="D6290" i="12"/>
  <c r="D6289" i="12"/>
  <c r="D6288" i="12"/>
  <c r="D6287" i="12"/>
  <c r="D6286" i="12"/>
  <c r="D6285" i="12"/>
  <c r="D6284" i="12"/>
  <c r="D6283" i="12"/>
  <c r="D6282" i="12"/>
  <c r="D6281" i="12"/>
  <c r="D6280" i="12"/>
  <c r="D6279" i="12"/>
  <c r="D6278" i="12"/>
  <c r="D6277" i="12"/>
  <c r="D6276" i="12"/>
  <c r="D6275" i="12"/>
  <c r="D6274" i="12"/>
  <c r="D6273" i="12"/>
  <c r="D6272" i="12"/>
  <c r="D6271" i="12"/>
  <c r="D6270" i="12"/>
  <c r="D6269" i="12"/>
  <c r="D6268" i="12"/>
  <c r="D6267" i="12"/>
  <c r="D6266" i="12"/>
  <c r="D6265" i="12"/>
  <c r="D6264" i="12"/>
  <c r="D6263" i="12"/>
  <c r="D6262" i="12"/>
  <c r="D6261" i="12"/>
  <c r="D6260" i="12"/>
  <c r="D6259" i="12"/>
  <c r="D6258" i="12"/>
  <c r="D6257" i="12"/>
  <c r="D6256" i="12"/>
  <c r="D6255" i="12"/>
  <c r="D6254" i="12"/>
  <c r="D6253" i="12"/>
  <c r="D6252" i="12"/>
  <c r="D6251" i="12"/>
  <c r="D6250" i="12"/>
  <c r="D6249" i="12"/>
  <c r="D6248" i="12"/>
  <c r="D6247" i="12"/>
  <c r="D6246" i="12"/>
  <c r="D6245" i="12"/>
  <c r="D6244" i="12"/>
  <c r="D6243" i="12"/>
  <c r="D6242" i="12"/>
  <c r="D6241" i="12"/>
  <c r="D6240" i="12"/>
  <c r="D6239" i="12"/>
  <c r="D6238" i="12"/>
  <c r="D6237" i="12"/>
  <c r="D6236" i="12"/>
  <c r="D6235" i="12"/>
  <c r="D6234" i="12"/>
  <c r="D6233" i="12"/>
  <c r="D6232" i="12"/>
  <c r="D6231" i="12"/>
  <c r="D6230" i="12"/>
  <c r="D6229" i="12"/>
  <c r="D6228" i="12"/>
  <c r="D6227" i="12"/>
  <c r="D6226" i="12"/>
  <c r="D6225" i="12"/>
  <c r="D6224" i="12"/>
  <c r="D6223" i="12"/>
  <c r="D6222" i="12"/>
  <c r="D6221" i="12"/>
  <c r="D6220" i="12"/>
  <c r="D6219" i="12"/>
  <c r="D6218" i="12"/>
  <c r="D6217" i="12"/>
  <c r="D6216" i="12"/>
  <c r="D6215" i="12"/>
  <c r="D6214" i="12"/>
  <c r="D6213" i="12"/>
  <c r="D6212" i="12"/>
  <c r="D6211" i="12"/>
  <c r="D6210" i="12"/>
  <c r="D6209" i="12"/>
  <c r="D6208" i="12"/>
  <c r="D6207" i="12"/>
  <c r="D6206" i="12"/>
  <c r="D6205" i="12"/>
  <c r="D6204" i="12"/>
  <c r="D6203" i="12"/>
  <c r="D6202" i="12"/>
  <c r="D6201" i="12"/>
  <c r="D6200" i="12"/>
  <c r="D6199" i="12"/>
  <c r="D6198" i="12"/>
  <c r="D6197" i="12"/>
  <c r="D6196" i="12"/>
  <c r="D6195" i="12"/>
  <c r="D6194" i="12"/>
  <c r="D6193" i="12"/>
  <c r="D6192" i="12"/>
  <c r="D6191" i="12"/>
  <c r="D6190" i="12"/>
  <c r="D6189" i="12"/>
  <c r="D6188" i="12"/>
  <c r="D6187" i="12"/>
  <c r="D6186" i="12"/>
  <c r="D6185" i="12"/>
  <c r="D6184" i="12"/>
  <c r="D6183" i="12"/>
  <c r="D6182" i="12"/>
  <c r="D6181" i="12"/>
  <c r="D6180" i="12"/>
  <c r="D6179" i="12"/>
  <c r="D6178" i="12"/>
  <c r="D6177" i="12"/>
  <c r="D6176" i="12"/>
  <c r="D6175" i="12"/>
  <c r="D6174" i="12"/>
  <c r="D6173" i="12"/>
  <c r="D6172" i="12"/>
  <c r="D6171" i="12"/>
  <c r="D6170" i="12"/>
  <c r="D6169" i="12"/>
  <c r="D6168" i="12"/>
  <c r="D6167" i="12"/>
  <c r="D6166" i="12"/>
  <c r="D6165" i="12"/>
  <c r="D6164" i="12"/>
  <c r="D6163" i="12"/>
  <c r="D6162" i="12"/>
  <c r="D6161" i="12"/>
  <c r="D6160" i="12"/>
  <c r="D6159" i="12"/>
  <c r="D6158" i="12"/>
  <c r="D6157" i="12"/>
  <c r="D6156" i="12"/>
  <c r="D6155" i="12"/>
  <c r="D6154" i="12"/>
  <c r="D6153" i="12"/>
  <c r="D6152" i="12"/>
  <c r="D6151" i="12"/>
  <c r="D6150" i="12"/>
  <c r="D6149" i="12"/>
  <c r="D6148" i="12"/>
  <c r="D6147" i="12"/>
  <c r="D6146" i="12"/>
  <c r="D6145" i="12"/>
  <c r="D6144" i="12"/>
  <c r="D6143" i="12"/>
  <c r="D6142" i="12"/>
  <c r="D6141" i="12"/>
  <c r="D6140" i="12"/>
  <c r="D6139" i="12"/>
  <c r="D6138" i="12"/>
  <c r="D6137" i="12"/>
  <c r="D6136" i="12"/>
  <c r="D6135" i="12"/>
  <c r="D6134" i="12"/>
  <c r="D6133" i="12"/>
  <c r="D6132" i="12"/>
  <c r="D6131" i="12"/>
  <c r="D6130" i="12"/>
  <c r="D6129" i="12"/>
  <c r="D6128" i="12"/>
  <c r="D6127" i="12"/>
  <c r="D6126" i="12"/>
  <c r="D6125" i="12"/>
  <c r="D6124" i="12"/>
  <c r="D6123" i="12"/>
  <c r="D6122" i="12"/>
  <c r="D6121" i="12"/>
  <c r="D6120" i="12"/>
  <c r="D6119" i="12"/>
  <c r="D6118" i="12"/>
  <c r="D6117" i="12"/>
  <c r="D6116" i="12"/>
  <c r="D6115" i="12"/>
  <c r="D6114" i="12"/>
  <c r="D6113" i="12"/>
  <c r="D6112" i="12"/>
  <c r="D6111" i="12"/>
  <c r="D6110" i="12"/>
  <c r="D6109" i="12"/>
  <c r="D6108" i="12"/>
  <c r="D6107" i="12"/>
  <c r="D6106" i="12"/>
  <c r="D6105" i="12"/>
  <c r="D6104" i="12"/>
  <c r="D6103" i="12"/>
  <c r="D6102" i="12"/>
  <c r="D6101" i="12"/>
  <c r="D6100" i="12"/>
  <c r="D6099" i="12"/>
  <c r="D6098" i="12"/>
  <c r="D6097" i="12"/>
  <c r="D6096" i="12"/>
  <c r="D6095" i="12"/>
  <c r="D6094" i="12"/>
  <c r="D6093" i="12"/>
  <c r="D6092" i="12"/>
  <c r="D6091" i="12"/>
  <c r="D6090" i="12"/>
  <c r="D6089" i="12"/>
  <c r="D6088" i="12"/>
  <c r="D6087" i="12"/>
  <c r="D6086" i="12"/>
  <c r="D6085" i="12"/>
  <c r="D6084" i="12"/>
  <c r="D6083" i="12"/>
  <c r="D6082" i="12"/>
  <c r="D6081" i="12"/>
  <c r="D6080" i="12"/>
  <c r="D6079" i="12"/>
  <c r="D6078" i="12"/>
  <c r="D6077" i="12"/>
  <c r="D6076" i="12"/>
  <c r="D6075" i="12"/>
  <c r="D6074" i="12"/>
  <c r="D6073" i="12"/>
  <c r="D6072" i="12"/>
  <c r="D6071" i="12"/>
  <c r="D6070" i="12"/>
  <c r="D6069" i="12"/>
  <c r="D6068" i="12"/>
  <c r="D6067" i="12"/>
  <c r="D6066" i="12"/>
  <c r="D6065" i="12"/>
  <c r="D6064" i="12"/>
  <c r="D6063" i="12"/>
  <c r="D6062" i="12"/>
  <c r="D6061" i="12"/>
  <c r="D6060" i="12"/>
  <c r="D6059" i="12"/>
  <c r="D6058" i="12"/>
  <c r="D6057" i="12"/>
  <c r="D6056" i="12"/>
  <c r="D6055" i="12"/>
  <c r="D6054" i="12"/>
  <c r="D6053" i="12"/>
  <c r="D6052" i="12"/>
  <c r="D6051" i="12"/>
  <c r="D6050" i="12"/>
  <c r="D6049" i="12"/>
  <c r="D6048" i="12"/>
  <c r="D6047" i="12"/>
  <c r="D6046" i="12"/>
  <c r="D6045" i="12"/>
  <c r="D6044" i="12"/>
  <c r="D6043" i="12"/>
  <c r="D6042" i="12"/>
  <c r="D6041" i="12"/>
  <c r="D6040" i="12"/>
  <c r="D6039" i="12"/>
  <c r="D6038" i="12"/>
  <c r="D6037" i="12"/>
  <c r="D6036" i="12"/>
  <c r="D6035" i="12"/>
  <c r="D6034" i="12"/>
  <c r="D6033" i="12"/>
  <c r="D6032" i="12"/>
  <c r="D6031" i="12"/>
  <c r="D6030" i="12"/>
  <c r="D6029" i="12"/>
  <c r="D6028" i="12"/>
  <c r="D6027" i="12"/>
  <c r="D6026" i="12"/>
  <c r="D6025" i="12"/>
  <c r="D6024" i="12"/>
  <c r="D6023" i="12"/>
  <c r="D6022" i="12"/>
  <c r="D6021" i="12"/>
  <c r="D6020" i="12"/>
  <c r="D6019" i="12"/>
  <c r="D6018" i="12"/>
  <c r="D6017" i="12"/>
  <c r="D6016" i="12"/>
  <c r="D6015" i="12"/>
  <c r="D6014" i="12"/>
  <c r="D6013" i="12"/>
  <c r="D6012" i="12"/>
  <c r="D6011" i="12"/>
  <c r="D6010" i="12"/>
  <c r="D6009" i="12"/>
  <c r="D6008" i="12"/>
  <c r="D6007" i="12"/>
  <c r="D6006" i="12"/>
  <c r="D6005" i="12"/>
  <c r="D6004" i="12"/>
  <c r="D6003" i="12"/>
  <c r="D6002" i="12"/>
  <c r="D6001" i="12"/>
  <c r="D6000" i="12"/>
  <c r="D5999" i="12"/>
  <c r="D5998" i="12"/>
  <c r="D5997" i="12"/>
  <c r="D5996" i="12"/>
  <c r="D5995" i="12"/>
  <c r="D5994" i="12"/>
  <c r="D5993" i="12"/>
  <c r="D5992" i="12"/>
  <c r="D5991" i="12"/>
  <c r="D5990" i="12"/>
  <c r="D5989" i="12"/>
  <c r="D5988" i="12"/>
  <c r="D5987" i="12"/>
  <c r="D5986" i="12"/>
  <c r="D5985" i="12"/>
  <c r="D5984" i="12"/>
  <c r="D5983" i="12"/>
  <c r="D5982" i="12"/>
  <c r="D5981" i="12"/>
  <c r="D5980" i="12"/>
  <c r="D5979" i="12"/>
  <c r="D5978" i="12"/>
  <c r="D5977" i="12"/>
  <c r="D5976" i="12"/>
  <c r="D5975" i="12"/>
  <c r="D5974" i="12"/>
  <c r="D5973" i="12"/>
  <c r="D5972" i="12"/>
  <c r="D5971" i="12"/>
  <c r="D5970" i="12"/>
  <c r="D5969" i="12"/>
  <c r="D5968" i="12"/>
  <c r="D5967" i="12"/>
  <c r="D5966" i="12"/>
  <c r="D5965" i="12"/>
  <c r="D5964" i="12"/>
  <c r="D5963" i="12"/>
  <c r="D5962" i="12"/>
  <c r="D5961" i="12"/>
  <c r="D5960" i="12"/>
  <c r="D5959" i="12"/>
  <c r="D5958" i="12"/>
  <c r="D5957" i="12"/>
  <c r="D5956" i="12"/>
  <c r="D5955" i="12"/>
  <c r="D5954" i="12"/>
  <c r="D5953" i="12"/>
  <c r="D5952" i="12"/>
  <c r="D5951" i="12"/>
  <c r="D5950" i="12"/>
  <c r="D5949" i="12"/>
  <c r="D5948" i="12"/>
  <c r="D5947" i="12"/>
  <c r="D5946" i="12"/>
  <c r="D5945" i="12"/>
  <c r="D5944" i="12"/>
  <c r="D5943" i="12"/>
  <c r="D5942" i="12"/>
  <c r="D5941" i="12"/>
  <c r="D5940" i="12"/>
  <c r="D5939" i="12"/>
  <c r="D5938" i="12"/>
  <c r="D5937" i="12"/>
  <c r="D5936" i="12"/>
  <c r="D5935" i="12"/>
  <c r="D5934" i="12"/>
  <c r="D5933" i="12"/>
  <c r="D5932" i="12"/>
  <c r="D5931" i="12"/>
  <c r="D5930" i="12"/>
  <c r="D5929" i="12"/>
  <c r="D5928" i="12"/>
  <c r="D5927" i="12"/>
  <c r="D5926" i="12"/>
  <c r="D5925" i="12"/>
  <c r="D5924" i="12"/>
  <c r="D5923" i="12"/>
  <c r="D5922" i="12"/>
  <c r="D5921" i="12"/>
  <c r="D5920" i="12"/>
  <c r="D5919" i="12"/>
  <c r="D5918" i="12"/>
  <c r="D5917" i="12"/>
  <c r="D5916" i="12"/>
  <c r="D5915" i="12"/>
  <c r="D5914" i="12"/>
  <c r="D5913" i="12"/>
  <c r="D5912" i="12"/>
  <c r="D5911" i="12"/>
  <c r="D5910" i="12"/>
  <c r="D5909" i="12"/>
  <c r="D5908" i="12"/>
  <c r="D5907" i="12"/>
  <c r="D5906" i="12"/>
  <c r="D5905" i="12"/>
  <c r="D5904" i="12"/>
  <c r="D5903" i="12"/>
  <c r="D5902" i="12"/>
  <c r="D5901" i="12"/>
  <c r="D5900" i="12"/>
  <c r="D5899" i="12"/>
  <c r="D5898" i="12"/>
  <c r="D5897" i="12"/>
  <c r="D5896" i="12"/>
  <c r="D5895" i="12"/>
  <c r="D5894" i="12"/>
  <c r="D5893" i="12"/>
  <c r="D5892" i="12"/>
  <c r="D5891" i="12"/>
  <c r="D5890" i="12"/>
  <c r="D5889" i="12"/>
  <c r="D5888" i="12"/>
  <c r="D5887" i="12"/>
  <c r="D5886" i="12"/>
  <c r="D5885" i="12"/>
  <c r="D5884" i="12"/>
  <c r="D5883" i="12"/>
  <c r="D5882" i="12"/>
  <c r="D5881" i="12"/>
  <c r="D5880" i="12"/>
  <c r="D5879" i="12"/>
  <c r="D5878" i="12"/>
  <c r="D5877" i="12"/>
  <c r="D5876" i="12"/>
  <c r="D5875" i="12"/>
  <c r="D5874" i="12"/>
  <c r="D5873" i="12"/>
  <c r="D5872" i="12"/>
  <c r="D5871" i="12"/>
  <c r="D5870" i="12"/>
  <c r="D5869" i="12"/>
  <c r="D5868" i="12"/>
  <c r="D5867" i="12"/>
  <c r="D5866" i="12"/>
  <c r="D5865" i="12"/>
  <c r="D5864" i="12"/>
  <c r="D5863" i="12"/>
  <c r="D5862" i="12"/>
  <c r="D5861" i="12"/>
  <c r="D5860" i="12"/>
  <c r="D5859" i="12"/>
  <c r="D5858" i="12"/>
  <c r="D5857" i="12"/>
  <c r="D5856" i="12"/>
  <c r="D5855" i="12"/>
  <c r="D5854" i="12"/>
  <c r="D5853" i="12"/>
  <c r="D5852" i="12"/>
  <c r="D5851" i="12"/>
  <c r="D5850" i="12"/>
  <c r="D5849" i="12"/>
  <c r="D5848" i="12"/>
  <c r="D5847" i="12"/>
  <c r="D5846" i="12"/>
  <c r="D5845" i="12"/>
  <c r="D5844" i="12"/>
  <c r="D5843" i="12"/>
  <c r="D5842" i="12"/>
  <c r="D5841" i="12"/>
  <c r="D5840" i="12"/>
  <c r="D5839" i="12"/>
  <c r="D5838" i="12"/>
  <c r="D5837" i="12"/>
  <c r="D5836" i="12"/>
  <c r="D5835" i="12"/>
  <c r="D5834" i="12"/>
  <c r="D5833" i="12"/>
  <c r="D5832" i="12"/>
  <c r="D5831" i="12"/>
  <c r="D5830" i="12"/>
  <c r="D5829" i="12"/>
  <c r="D5828" i="12"/>
  <c r="D5827" i="12"/>
  <c r="D5826" i="12"/>
  <c r="D5825" i="12"/>
  <c r="D5824" i="12"/>
  <c r="D5823" i="12"/>
  <c r="D5822" i="12"/>
  <c r="D5821" i="12"/>
  <c r="D5820" i="12"/>
  <c r="D5819" i="12"/>
  <c r="D5818" i="12"/>
  <c r="D5817" i="12"/>
  <c r="D5816" i="12"/>
  <c r="D5815" i="12"/>
  <c r="D5814" i="12"/>
  <c r="D5813" i="12"/>
  <c r="D5812" i="12"/>
  <c r="D5811" i="12"/>
  <c r="D5810" i="12"/>
  <c r="D5809" i="12"/>
  <c r="D5808" i="12"/>
  <c r="D5807" i="12"/>
  <c r="D5806" i="12"/>
  <c r="D5805" i="12"/>
  <c r="D5804" i="12"/>
  <c r="D5803" i="12"/>
  <c r="D5802" i="12"/>
  <c r="D5801" i="12"/>
  <c r="D5800" i="12"/>
  <c r="D5799" i="12"/>
  <c r="D5798" i="12"/>
  <c r="D5797" i="12"/>
  <c r="D5796" i="12"/>
  <c r="D5795" i="12"/>
  <c r="D5794" i="12"/>
  <c r="D5793" i="12"/>
  <c r="D5792" i="12"/>
  <c r="D5791" i="12"/>
  <c r="D5790" i="12"/>
  <c r="D5789" i="12"/>
  <c r="D5788" i="12"/>
  <c r="D5787" i="12"/>
  <c r="D5786" i="12"/>
  <c r="D5785" i="12"/>
  <c r="D5784" i="12"/>
  <c r="D5783" i="12"/>
  <c r="D5782" i="12"/>
  <c r="D5781" i="12"/>
  <c r="D5780" i="12"/>
  <c r="D5779" i="12"/>
  <c r="D5778" i="12"/>
  <c r="D5777" i="12"/>
  <c r="D5776" i="12"/>
  <c r="D5775" i="12"/>
  <c r="D5774" i="12"/>
  <c r="D5773" i="12"/>
  <c r="D5772" i="12"/>
  <c r="D5771" i="12"/>
  <c r="D5770" i="12"/>
  <c r="D5769" i="12"/>
  <c r="D5768" i="12"/>
  <c r="D5767" i="12"/>
  <c r="D5766" i="12"/>
  <c r="D5765" i="12"/>
  <c r="D5764" i="12"/>
  <c r="D5763" i="12"/>
  <c r="D5762" i="12"/>
  <c r="D5761" i="12"/>
  <c r="D5760" i="12"/>
  <c r="D5759" i="12"/>
  <c r="D5758" i="12"/>
  <c r="D5757" i="12"/>
  <c r="D5756" i="12"/>
  <c r="D5755" i="12"/>
  <c r="D5754" i="12"/>
  <c r="D5753" i="12"/>
  <c r="D5752" i="12"/>
  <c r="D5751" i="12"/>
  <c r="D5750" i="12"/>
  <c r="D5749" i="12"/>
  <c r="D5748" i="12"/>
  <c r="D5747" i="12"/>
  <c r="D5746" i="12"/>
  <c r="D5745" i="12"/>
  <c r="D5744" i="12"/>
  <c r="D5743" i="12"/>
  <c r="D5742" i="12"/>
  <c r="D5741" i="12"/>
  <c r="D5740" i="12"/>
  <c r="D5739" i="12"/>
  <c r="D5738" i="12"/>
  <c r="D5737" i="12"/>
  <c r="D5736" i="12"/>
  <c r="D5735" i="12"/>
  <c r="D5734" i="12"/>
  <c r="D5733" i="12"/>
  <c r="D5732" i="12"/>
  <c r="D5731" i="12"/>
  <c r="D5730" i="12"/>
  <c r="D5729" i="12"/>
  <c r="D5728" i="12"/>
  <c r="D5727" i="12"/>
  <c r="D5726" i="12"/>
  <c r="D5725" i="12"/>
  <c r="D5724" i="12"/>
  <c r="D5723" i="12"/>
  <c r="D5722" i="12"/>
  <c r="D5721" i="12"/>
  <c r="D5720" i="12"/>
  <c r="D5719" i="12"/>
  <c r="D5718" i="12"/>
  <c r="D5717" i="12"/>
  <c r="D5716" i="12"/>
  <c r="D5715" i="12"/>
  <c r="D5714" i="12"/>
  <c r="D5713" i="12"/>
  <c r="D5712" i="12"/>
  <c r="D5711" i="12"/>
  <c r="D5710" i="12"/>
  <c r="D5709" i="12"/>
  <c r="D5708" i="12"/>
  <c r="D5707" i="12"/>
  <c r="D5706" i="12"/>
  <c r="D5705" i="12"/>
  <c r="D5704" i="12"/>
  <c r="D5703" i="12"/>
  <c r="D5702" i="12"/>
  <c r="D5701" i="12"/>
  <c r="D5700" i="12"/>
  <c r="D5699" i="12"/>
  <c r="D5698" i="12"/>
  <c r="D5697" i="12"/>
  <c r="D5696" i="12"/>
  <c r="D5695" i="12"/>
  <c r="D5694" i="12"/>
  <c r="D5693" i="12"/>
  <c r="D5692" i="12"/>
  <c r="D5691" i="12"/>
  <c r="D5690" i="12"/>
  <c r="D5689" i="12"/>
  <c r="D5688" i="12"/>
  <c r="D5687" i="12"/>
  <c r="D5686" i="12"/>
  <c r="D5685" i="12"/>
  <c r="D5684" i="12"/>
  <c r="D5683" i="12"/>
  <c r="D5682" i="12"/>
  <c r="D5681" i="12"/>
  <c r="D5680" i="12"/>
  <c r="D5679" i="12"/>
  <c r="D5678" i="12"/>
  <c r="D5677" i="12"/>
  <c r="D5676" i="12"/>
  <c r="D5675" i="12"/>
  <c r="D5674" i="12"/>
  <c r="D5673" i="12"/>
  <c r="D5672" i="12"/>
  <c r="D5671" i="12"/>
  <c r="D5670" i="12"/>
  <c r="D5669" i="12"/>
  <c r="D5668" i="12"/>
  <c r="D5667" i="12"/>
  <c r="D5666" i="12"/>
  <c r="D5665" i="12"/>
  <c r="D5664" i="12"/>
  <c r="D5663" i="12"/>
  <c r="D5662" i="12"/>
  <c r="D5661" i="12"/>
  <c r="D5660" i="12"/>
  <c r="D5659" i="12"/>
  <c r="D5658" i="12"/>
  <c r="D5657" i="12"/>
  <c r="D5656" i="12"/>
  <c r="D5655" i="12"/>
  <c r="D5654" i="12"/>
  <c r="D5653" i="12"/>
  <c r="D5652" i="12"/>
  <c r="D5651" i="12"/>
  <c r="D5650" i="12"/>
  <c r="D5649" i="12"/>
  <c r="D5648" i="12"/>
  <c r="D5647" i="12"/>
  <c r="D5646" i="12"/>
  <c r="D5645" i="12"/>
  <c r="D5644" i="12"/>
  <c r="D5643" i="12"/>
  <c r="D5642" i="12"/>
  <c r="D5641" i="12"/>
  <c r="D5640" i="12"/>
  <c r="D5639" i="12"/>
  <c r="D5638" i="12"/>
  <c r="D5637" i="12"/>
  <c r="D5636" i="12"/>
  <c r="D5635" i="12"/>
  <c r="D5634" i="12"/>
  <c r="D5633" i="12"/>
  <c r="D5632" i="12"/>
  <c r="D5631" i="12"/>
  <c r="D5630" i="12"/>
  <c r="D5629" i="12"/>
  <c r="D5628" i="12"/>
  <c r="D5627" i="12"/>
  <c r="D5626" i="12"/>
  <c r="D5625" i="12"/>
  <c r="D5624" i="12"/>
  <c r="D5623" i="12"/>
  <c r="D5622" i="12"/>
  <c r="D5621" i="12"/>
  <c r="D5620" i="12"/>
  <c r="D5619" i="12"/>
  <c r="D5618" i="12"/>
  <c r="D5617" i="12"/>
  <c r="D5616" i="12"/>
  <c r="D5615" i="12"/>
  <c r="D5614" i="12"/>
  <c r="D5613" i="12"/>
  <c r="D5612" i="12"/>
  <c r="D5611" i="12"/>
  <c r="D5610" i="12"/>
  <c r="D5609" i="12"/>
  <c r="D5608" i="12"/>
  <c r="D5607" i="12"/>
  <c r="D5606" i="12"/>
  <c r="D5605" i="12"/>
  <c r="D5604" i="12"/>
  <c r="D5603" i="12"/>
  <c r="D5602" i="12"/>
  <c r="D5601" i="12"/>
  <c r="D5600" i="12"/>
  <c r="D5599" i="12"/>
  <c r="D5598" i="12"/>
  <c r="D5597" i="12"/>
  <c r="D5596" i="12"/>
  <c r="D5595" i="12"/>
  <c r="D5594" i="12"/>
  <c r="D5593" i="12"/>
  <c r="D5592" i="12"/>
  <c r="D5591" i="12"/>
  <c r="D5590" i="12"/>
  <c r="D5589" i="12"/>
  <c r="D5588" i="12"/>
  <c r="D5587" i="12"/>
  <c r="D5586" i="12"/>
  <c r="D5585" i="12"/>
  <c r="D5584" i="12"/>
  <c r="D5583" i="12"/>
  <c r="D5582" i="12"/>
  <c r="D5581" i="12"/>
  <c r="D5580" i="12"/>
  <c r="D5579" i="12"/>
  <c r="D5578" i="12"/>
  <c r="D5577" i="12"/>
  <c r="D5576" i="12"/>
  <c r="D5575" i="12"/>
  <c r="D5574" i="12"/>
  <c r="D5573" i="12"/>
  <c r="D5572" i="12"/>
  <c r="D5571" i="12"/>
  <c r="D5570" i="12"/>
  <c r="D5569" i="12"/>
  <c r="D5568" i="12"/>
  <c r="D5567" i="12"/>
  <c r="D5566" i="12"/>
  <c r="D5565" i="12"/>
  <c r="D5564" i="12"/>
  <c r="D5563" i="12"/>
  <c r="D5562" i="12"/>
  <c r="D5561" i="12"/>
  <c r="D5560" i="12"/>
  <c r="D5559" i="12"/>
  <c r="D5558" i="12"/>
  <c r="D5557" i="12"/>
  <c r="D5556" i="12"/>
  <c r="D5555" i="12"/>
  <c r="D5554" i="12"/>
  <c r="D5553" i="12"/>
  <c r="D5552" i="12"/>
  <c r="D5551" i="12"/>
  <c r="D5550" i="12"/>
  <c r="D5549" i="12"/>
  <c r="D5548" i="12"/>
  <c r="D5547" i="12"/>
  <c r="D5546" i="12"/>
  <c r="D5545" i="12"/>
  <c r="D5544" i="12"/>
  <c r="D5543" i="12"/>
  <c r="D5542" i="12"/>
  <c r="D5541" i="12"/>
  <c r="D5540" i="12"/>
  <c r="D5539" i="12"/>
  <c r="D5538" i="12"/>
  <c r="D5537" i="12"/>
  <c r="D5536" i="12"/>
  <c r="D5535" i="12"/>
  <c r="D5534" i="12"/>
  <c r="D5533" i="12"/>
  <c r="D5532" i="12"/>
  <c r="D5531" i="12"/>
  <c r="D5530" i="12"/>
  <c r="D5529" i="12"/>
  <c r="D5528" i="12"/>
  <c r="D5527" i="12"/>
  <c r="D5526" i="12"/>
  <c r="D5525" i="12"/>
  <c r="D5524" i="12"/>
  <c r="D5523" i="12"/>
  <c r="D5522" i="12"/>
  <c r="D5521" i="12"/>
  <c r="D5520" i="12"/>
  <c r="D5519" i="12"/>
  <c r="D5518" i="12"/>
  <c r="D5517" i="12"/>
  <c r="D5516" i="12"/>
  <c r="D5515" i="12"/>
  <c r="D5514" i="12"/>
  <c r="D5513" i="12"/>
  <c r="D5512" i="12"/>
  <c r="D5511" i="12"/>
  <c r="D5510" i="12"/>
  <c r="D5509" i="12"/>
  <c r="D5508" i="12"/>
  <c r="D5507" i="12"/>
  <c r="D5506" i="12"/>
  <c r="D5505" i="12"/>
  <c r="D5504" i="12"/>
  <c r="D5503" i="12"/>
  <c r="D5502" i="12"/>
  <c r="D5501" i="12"/>
  <c r="D5500" i="12"/>
  <c r="D5499" i="12"/>
  <c r="D5498" i="12"/>
  <c r="D5497" i="12"/>
  <c r="D5496" i="12"/>
  <c r="D5495" i="12"/>
  <c r="D5494" i="12"/>
  <c r="D5493" i="12"/>
  <c r="D5492" i="12"/>
  <c r="D5491" i="12"/>
  <c r="D5490" i="12"/>
  <c r="D5489" i="12"/>
  <c r="D5488" i="12"/>
  <c r="D5487" i="12"/>
  <c r="D5486" i="12"/>
  <c r="D5485" i="12"/>
  <c r="D5484" i="12"/>
  <c r="D5483" i="12"/>
  <c r="D5482" i="12"/>
  <c r="D5481" i="12"/>
  <c r="D5480" i="12"/>
  <c r="D5479" i="12"/>
  <c r="D5478" i="12"/>
  <c r="D5477" i="12"/>
  <c r="D5476" i="12"/>
  <c r="D5475" i="12"/>
  <c r="D5474" i="12"/>
  <c r="D5473" i="12"/>
  <c r="D5472" i="12"/>
  <c r="D5471" i="12"/>
  <c r="D5470" i="12"/>
  <c r="D5469" i="12"/>
  <c r="D5468" i="12"/>
  <c r="D5467" i="12"/>
  <c r="D5466" i="12"/>
  <c r="D5465" i="12"/>
  <c r="D5464" i="12"/>
  <c r="D5463" i="12"/>
  <c r="D5462" i="12"/>
  <c r="D5461" i="12"/>
  <c r="D5460" i="12"/>
  <c r="D5459" i="12"/>
  <c r="D5458" i="12"/>
  <c r="D5457" i="12"/>
  <c r="D5456" i="12"/>
  <c r="D5455" i="12"/>
  <c r="D5454" i="12"/>
  <c r="D5453" i="12"/>
  <c r="D5452" i="12"/>
  <c r="D5451" i="12"/>
  <c r="D5450" i="12"/>
  <c r="D5449" i="12"/>
  <c r="D5448" i="12"/>
  <c r="D5447" i="12"/>
  <c r="D5446" i="12"/>
  <c r="D5445" i="12"/>
  <c r="D5444" i="12"/>
  <c r="D5443" i="12"/>
  <c r="D5442" i="12"/>
  <c r="D5441" i="12"/>
  <c r="D5440" i="12"/>
  <c r="D5439" i="12"/>
  <c r="D5438" i="12"/>
  <c r="D5437" i="12"/>
  <c r="D5436" i="12"/>
  <c r="D5435" i="12"/>
  <c r="D5434" i="12"/>
  <c r="D5433" i="12"/>
  <c r="D5432" i="12"/>
  <c r="D5431" i="12"/>
  <c r="D5430" i="12"/>
  <c r="D5429" i="12"/>
  <c r="D5428" i="12"/>
  <c r="D5427" i="12"/>
  <c r="D5426" i="12"/>
  <c r="D5425" i="12"/>
  <c r="D5424" i="12"/>
  <c r="D5423" i="12"/>
  <c r="D5422" i="12"/>
  <c r="D5421" i="12"/>
  <c r="D5420" i="12"/>
  <c r="D5419" i="12"/>
  <c r="D5418" i="12"/>
  <c r="D5417" i="12"/>
  <c r="D5416" i="12"/>
  <c r="D5415" i="12"/>
  <c r="D5414" i="12"/>
  <c r="D5413" i="12"/>
  <c r="D5412" i="12"/>
  <c r="D5411" i="12"/>
  <c r="D5410" i="12"/>
  <c r="D5409" i="12"/>
  <c r="D5408" i="12"/>
  <c r="D5407" i="12"/>
  <c r="D5406" i="12"/>
  <c r="D5405" i="12"/>
  <c r="D5404" i="12"/>
  <c r="D5403" i="12"/>
  <c r="D5402" i="12"/>
  <c r="D5401" i="12"/>
  <c r="D5400" i="12"/>
  <c r="D5399" i="12"/>
  <c r="D5398" i="12"/>
  <c r="D5397" i="12"/>
  <c r="D5396" i="12"/>
  <c r="D5395" i="12"/>
  <c r="D5394" i="12"/>
  <c r="D5393" i="12"/>
  <c r="D5392" i="12"/>
  <c r="D5391" i="12"/>
  <c r="D5390" i="12"/>
  <c r="D5389" i="12"/>
  <c r="D5388" i="12"/>
  <c r="D5387" i="12"/>
  <c r="D5386" i="12"/>
  <c r="D5385" i="12"/>
  <c r="D5384" i="12"/>
  <c r="D5383" i="12"/>
  <c r="D5382" i="12"/>
  <c r="D5381" i="12"/>
  <c r="D5380" i="12"/>
  <c r="D5379" i="12"/>
  <c r="D5378" i="12"/>
  <c r="D5377" i="12"/>
  <c r="D5376" i="12"/>
  <c r="D5375" i="12"/>
  <c r="D5374" i="12"/>
  <c r="D5373" i="12"/>
  <c r="D5372" i="12"/>
  <c r="D5371" i="12"/>
  <c r="D5370" i="12"/>
  <c r="D5369" i="12"/>
  <c r="D5368" i="12"/>
  <c r="D5367" i="12"/>
  <c r="D5366" i="12"/>
  <c r="D5365" i="12"/>
  <c r="D5364" i="12"/>
  <c r="D5363" i="12"/>
  <c r="D5362" i="12"/>
  <c r="D5361" i="12"/>
  <c r="D5360" i="12"/>
  <c r="D5359" i="12"/>
  <c r="D5358" i="12"/>
  <c r="D5357" i="12"/>
  <c r="D5356" i="12"/>
  <c r="D5355" i="12"/>
  <c r="D5354" i="12"/>
  <c r="D5353" i="12"/>
  <c r="D5352" i="12"/>
  <c r="D5351" i="12"/>
  <c r="D5350" i="12"/>
  <c r="D5349" i="12"/>
  <c r="D5348" i="12"/>
  <c r="D5347" i="12"/>
  <c r="D5346" i="12"/>
  <c r="D5345" i="12"/>
  <c r="D5344" i="12"/>
  <c r="D5343" i="12"/>
  <c r="D5342" i="12"/>
  <c r="D5341" i="12"/>
  <c r="D5340" i="12"/>
  <c r="D5339" i="12"/>
  <c r="D5338" i="12"/>
  <c r="D5337" i="12"/>
  <c r="D5336" i="12"/>
  <c r="D5335" i="12"/>
  <c r="D5334" i="12"/>
  <c r="D5333" i="12"/>
  <c r="D5332" i="12"/>
  <c r="D5331" i="12"/>
  <c r="D5330" i="12"/>
  <c r="D5329" i="12"/>
  <c r="D5328" i="12"/>
  <c r="D5327" i="12"/>
  <c r="D5326" i="12"/>
  <c r="D5325" i="12"/>
  <c r="D5324" i="12"/>
  <c r="D5323" i="12"/>
  <c r="D5322" i="12"/>
  <c r="D5321" i="12"/>
  <c r="D5320" i="12"/>
  <c r="D5319" i="12"/>
  <c r="D5318" i="12"/>
  <c r="D5317" i="12"/>
  <c r="D5316" i="12"/>
  <c r="D5315" i="12"/>
  <c r="D5314" i="12"/>
  <c r="D5313" i="12"/>
  <c r="D5312" i="12"/>
  <c r="D5311" i="12"/>
  <c r="D5310" i="12"/>
  <c r="D5309" i="12"/>
  <c r="D5308" i="12"/>
  <c r="D5307" i="12"/>
  <c r="D5306" i="12"/>
  <c r="D5305" i="12"/>
  <c r="D5304" i="12"/>
  <c r="D5303" i="12"/>
  <c r="D5302" i="12"/>
  <c r="D5301" i="12"/>
  <c r="D5300" i="12"/>
  <c r="D5299" i="12"/>
  <c r="D5298" i="12"/>
  <c r="D5297" i="12"/>
  <c r="D5296" i="12"/>
  <c r="D5295" i="12"/>
  <c r="D5294" i="12"/>
  <c r="D5293" i="12"/>
  <c r="D5292" i="12"/>
  <c r="D5291" i="12"/>
  <c r="D5290" i="12"/>
  <c r="D5289" i="12"/>
  <c r="D5288" i="12"/>
  <c r="D5287" i="12"/>
  <c r="D5286" i="12"/>
  <c r="D5285" i="12"/>
  <c r="D5284" i="12"/>
  <c r="D5283" i="12"/>
  <c r="D5282" i="12"/>
  <c r="D5281" i="12"/>
  <c r="D5280" i="12"/>
  <c r="D5279" i="12"/>
  <c r="D5278" i="12"/>
  <c r="D5277" i="12"/>
  <c r="D5276" i="12"/>
  <c r="D5275" i="12"/>
  <c r="D5274" i="12"/>
  <c r="D5273" i="12"/>
  <c r="D5272" i="12"/>
  <c r="D5271" i="12"/>
  <c r="D5270" i="12"/>
  <c r="D5269" i="12"/>
  <c r="D5268" i="12"/>
  <c r="D5267" i="12"/>
  <c r="D5266" i="12"/>
  <c r="D5265" i="12"/>
  <c r="D5264" i="12"/>
  <c r="D5263" i="12"/>
  <c r="D5262" i="12"/>
  <c r="D5261" i="12"/>
  <c r="D5260" i="12"/>
  <c r="D5259" i="12"/>
  <c r="D5258" i="12"/>
  <c r="D5257" i="12"/>
  <c r="D5256" i="12"/>
  <c r="D5255" i="12"/>
  <c r="D5254" i="12"/>
  <c r="D5253" i="12"/>
  <c r="D5252" i="12"/>
  <c r="D5251" i="12"/>
  <c r="D5250" i="12"/>
  <c r="D5249" i="12"/>
  <c r="D5248" i="12"/>
  <c r="D5247" i="12"/>
  <c r="D5246" i="12"/>
  <c r="D5245" i="12"/>
  <c r="D5244" i="12"/>
  <c r="D5243" i="12"/>
  <c r="D5242" i="12"/>
  <c r="D5241" i="12"/>
  <c r="D5240" i="12"/>
  <c r="D5239" i="12"/>
  <c r="D5238" i="12"/>
  <c r="D5237" i="12"/>
  <c r="D5236" i="12"/>
  <c r="D5235" i="12"/>
  <c r="D5234" i="12"/>
  <c r="D5233" i="12"/>
  <c r="D5232" i="12"/>
  <c r="D5231" i="12"/>
  <c r="D5230" i="12"/>
  <c r="D5229" i="12"/>
  <c r="D5228" i="12"/>
  <c r="D5227" i="12"/>
  <c r="D5226" i="12"/>
  <c r="D5225" i="12"/>
  <c r="D5224" i="12"/>
  <c r="D5223" i="12"/>
  <c r="D5222" i="12"/>
  <c r="D5221" i="12"/>
  <c r="D5220" i="12"/>
  <c r="D5219" i="12"/>
  <c r="D5218" i="12"/>
  <c r="D5217" i="12"/>
  <c r="D5216" i="12"/>
  <c r="D5215" i="12"/>
  <c r="D5214" i="12"/>
  <c r="D5213" i="12"/>
  <c r="D5212" i="12"/>
  <c r="D5211" i="12"/>
  <c r="D5210" i="12"/>
  <c r="D5209" i="12"/>
  <c r="D5208" i="12"/>
  <c r="D5207" i="12"/>
  <c r="D5206" i="12"/>
  <c r="D5205" i="12"/>
  <c r="D5204" i="12"/>
  <c r="D5203" i="12"/>
  <c r="D5202" i="12"/>
  <c r="D5201" i="12"/>
  <c r="D5200" i="12"/>
  <c r="D5199" i="12"/>
  <c r="D5198" i="12"/>
  <c r="D5197" i="12"/>
  <c r="D5196" i="12"/>
  <c r="D5195" i="12"/>
  <c r="D5194" i="12"/>
  <c r="D5193" i="12"/>
  <c r="D5192" i="12"/>
  <c r="D5191" i="12"/>
  <c r="D5190" i="12"/>
  <c r="D5189" i="12"/>
  <c r="D5188" i="12"/>
  <c r="D5187" i="12"/>
  <c r="D5186" i="12"/>
  <c r="D5185" i="12"/>
  <c r="D5184" i="12"/>
  <c r="D5183" i="12"/>
  <c r="D5182" i="12"/>
  <c r="D5181" i="12"/>
  <c r="D5180" i="12"/>
  <c r="D5179" i="12"/>
  <c r="D5178" i="12"/>
  <c r="D5177" i="12"/>
  <c r="D5176" i="12"/>
  <c r="D5175" i="12"/>
  <c r="D5174" i="12"/>
  <c r="D5173" i="12"/>
  <c r="D5172" i="12"/>
  <c r="D5171" i="12"/>
  <c r="D5170" i="12"/>
  <c r="D5169" i="12"/>
  <c r="D5168" i="12"/>
  <c r="D5167" i="12"/>
  <c r="D5166" i="12"/>
  <c r="D5165" i="12"/>
  <c r="D5164" i="12"/>
  <c r="D5163" i="12"/>
  <c r="D5162" i="12"/>
  <c r="D5161" i="12"/>
  <c r="D5160" i="12"/>
  <c r="D5159" i="12"/>
  <c r="D5158" i="12"/>
  <c r="D5157" i="12"/>
  <c r="D5156" i="12"/>
  <c r="D5155" i="12"/>
  <c r="D5154" i="12"/>
  <c r="D5153" i="12"/>
  <c r="D5152" i="12"/>
  <c r="D5151" i="12"/>
  <c r="D5150" i="12"/>
  <c r="D5149" i="12"/>
  <c r="D5148" i="12"/>
  <c r="D5147" i="12"/>
  <c r="D5146" i="12"/>
  <c r="D5145" i="12"/>
  <c r="D5144" i="12"/>
  <c r="D5143" i="12"/>
  <c r="D5142" i="12"/>
  <c r="D5141" i="12"/>
  <c r="D5140" i="12"/>
  <c r="D5139" i="12"/>
  <c r="D5138" i="12"/>
  <c r="D5137" i="12"/>
  <c r="D5136" i="12"/>
  <c r="D5135" i="12"/>
  <c r="D5134" i="12"/>
  <c r="D5133" i="12"/>
  <c r="D5132" i="12"/>
  <c r="D5131" i="12"/>
  <c r="D5130" i="12"/>
  <c r="D5129" i="12"/>
  <c r="D5128" i="12"/>
  <c r="D5127" i="12"/>
  <c r="D5126" i="12"/>
  <c r="D5125" i="12"/>
  <c r="D5124" i="12"/>
  <c r="D5123" i="12"/>
  <c r="D5122" i="12"/>
  <c r="D5121" i="12"/>
  <c r="D5120" i="12"/>
  <c r="D5119" i="12"/>
  <c r="D5118" i="12"/>
  <c r="D5117" i="12"/>
  <c r="D5116" i="12"/>
  <c r="D5115" i="12"/>
  <c r="D5114" i="12"/>
  <c r="D5113" i="12"/>
  <c r="D5112" i="12"/>
  <c r="D5111" i="12"/>
  <c r="D5110" i="12"/>
  <c r="D5109" i="12"/>
  <c r="D5108" i="12"/>
  <c r="D5107" i="12"/>
  <c r="D5106" i="12"/>
  <c r="D5105" i="12"/>
  <c r="D5104" i="12"/>
  <c r="D5103" i="12"/>
  <c r="D5102" i="12"/>
  <c r="D5101" i="12"/>
  <c r="D5100" i="12"/>
  <c r="D5099" i="12"/>
  <c r="D5098" i="12"/>
  <c r="D5097" i="12"/>
  <c r="D5096" i="12"/>
  <c r="D5095" i="12"/>
  <c r="D5094" i="12"/>
  <c r="D5093" i="12"/>
  <c r="D5092" i="12"/>
  <c r="D5091" i="12"/>
  <c r="D5090" i="12"/>
  <c r="D5089" i="12"/>
  <c r="D5088" i="12"/>
  <c r="D5087" i="12"/>
  <c r="D5086" i="12"/>
  <c r="D5085" i="12"/>
  <c r="D5084" i="12"/>
  <c r="D5083" i="12"/>
  <c r="D5082" i="12"/>
  <c r="D5081" i="12"/>
  <c r="D5080" i="12"/>
  <c r="D5079" i="12"/>
  <c r="D5078" i="12"/>
  <c r="D5077" i="12"/>
  <c r="D5076" i="12"/>
  <c r="D5075" i="12"/>
  <c r="D5074" i="12"/>
  <c r="D5073" i="12"/>
  <c r="D5072" i="12"/>
  <c r="D5071" i="12"/>
  <c r="D5070" i="12"/>
  <c r="D5069" i="12"/>
  <c r="D5068" i="12"/>
  <c r="D5067" i="12"/>
  <c r="D5066" i="12"/>
  <c r="D5065" i="12"/>
  <c r="D5064" i="12"/>
  <c r="D5063" i="12"/>
  <c r="D5062" i="12"/>
  <c r="D5061" i="12"/>
  <c r="D5060" i="12"/>
  <c r="D5059" i="12"/>
  <c r="D5058" i="12"/>
  <c r="D5057" i="12"/>
  <c r="D5056" i="12"/>
  <c r="D5055" i="12"/>
  <c r="D5054" i="12"/>
  <c r="D5053" i="12"/>
  <c r="D5052" i="12"/>
  <c r="D5051" i="12"/>
  <c r="D5050" i="12"/>
  <c r="D5049" i="12"/>
  <c r="D5048" i="12"/>
  <c r="D5047" i="12"/>
  <c r="D5046" i="12"/>
  <c r="D5045" i="12"/>
  <c r="D5044" i="12"/>
  <c r="D5043" i="12"/>
  <c r="D5042" i="12"/>
  <c r="D5041" i="12"/>
  <c r="D5040" i="12"/>
  <c r="D5039" i="12"/>
  <c r="D5038" i="12"/>
  <c r="D5037" i="12"/>
  <c r="D5036" i="12"/>
  <c r="D5035" i="12"/>
  <c r="D5034" i="12"/>
  <c r="D5033" i="12"/>
  <c r="D5032" i="12"/>
  <c r="D5031" i="12"/>
  <c r="D5030" i="12"/>
  <c r="D5029" i="12"/>
  <c r="D5028" i="12"/>
  <c r="D5027" i="12"/>
  <c r="D5026" i="12"/>
  <c r="D5025" i="12"/>
  <c r="D5024" i="12"/>
  <c r="D5023" i="12"/>
  <c r="D5022" i="12"/>
  <c r="D5021" i="12"/>
  <c r="D5020" i="12"/>
  <c r="D5019" i="12"/>
  <c r="D5018" i="12"/>
  <c r="D5017" i="12"/>
  <c r="D5016" i="12"/>
  <c r="D5015" i="12"/>
  <c r="D5014" i="12"/>
  <c r="D5013" i="12"/>
  <c r="D5012" i="12"/>
  <c r="D5011" i="12"/>
  <c r="D5010" i="12"/>
  <c r="D5009" i="12"/>
  <c r="D5008" i="12"/>
  <c r="D5007" i="12"/>
  <c r="D5006" i="12"/>
  <c r="D5005" i="12"/>
  <c r="D5004" i="12"/>
  <c r="D5003" i="12"/>
  <c r="D5002" i="12"/>
  <c r="D5001" i="12"/>
  <c r="D5000" i="12"/>
  <c r="D4999" i="12"/>
  <c r="D4998" i="12"/>
  <c r="D4997" i="12"/>
  <c r="D4996" i="12"/>
  <c r="D4995" i="12"/>
  <c r="D4994" i="12"/>
  <c r="D4993" i="12"/>
  <c r="D4992" i="12"/>
  <c r="D4991" i="12"/>
  <c r="D4990" i="12"/>
  <c r="D4989" i="12"/>
  <c r="D4988" i="12"/>
  <c r="D4987" i="12"/>
  <c r="D4986" i="12"/>
  <c r="D4985" i="12"/>
  <c r="D4984" i="12"/>
  <c r="D4983" i="12"/>
  <c r="D4982" i="12"/>
  <c r="D4981" i="12"/>
  <c r="D4980" i="12"/>
  <c r="D4979" i="12"/>
  <c r="D4978" i="12"/>
  <c r="D4977" i="12"/>
  <c r="D4976" i="12"/>
  <c r="D4975" i="12"/>
  <c r="D4974" i="12"/>
  <c r="D4973" i="12"/>
  <c r="D4972" i="12"/>
  <c r="D4971" i="12"/>
  <c r="D4970" i="12"/>
  <c r="D4969" i="12"/>
  <c r="D4968" i="12"/>
  <c r="D4967" i="12"/>
  <c r="D4966" i="12"/>
  <c r="D4965" i="12"/>
  <c r="D4964" i="12"/>
  <c r="D4963" i="12"/>
  <c r="D4962" i="12"/>
  <c r="D4961" i="12"/>
  <c r="D4960" i="12"/>
  <c r="D4959" i="12"/>
  <c r="D4958" i="12"/>
  <c r="D4957" i="12"/>
  <c r="D4956" i="12"/>
  <c r="D4955" i="12"/>
  <c r="D4954" i="12"/>
  <c r="D4953" i="12"/>
  <c r="D4952" i="12"/>
  <c r="D4951" i="12"/>
  <c r="D4950" i="12"/>
  <c r="D4949" i="12"/>
  <c r="D4948" i="12"/>
  <c r="D4947" i="12"/>
  <c r="D4946" i="12"/>
  <c r="D4945" i="12"/>
  <c r="D4944" i="12"/>
  <c r="D4943" i="12"/>
  <c r="D4942" i="12"/>
  <c r="D4941" i="12"/>
  <c r="D4940" i="12"/>
  <c r="D4939" i="12"/>
  <c r="D4938" i="12"/>
  <c r="D4937" i="12"/>
  <c r="D4936" i="12"/>
  <c r="D4935" i="12"/>
  <c r="D4934" i="12"/>
  <c r="D4933" i="12"/>
  <c r="D4932" i="12"/>
  <c r="D4931" i="12"/>
  <c r="D4930" i="12"/>
  <c r="D4929" i="12"/>
  <c r="D4928" i="12"/>
  <c r="D4927" i="12"/>
  <c r="D4926" i="12"/>
  <c r="D4925" i="12"/>
  <c r="D4924" i="12"/>
  <c r="D4923" i="12"/>
  <c r="D4922" i="12"/>
  <c r="D4921" i="12"/>
  <c r="D4920" i="12"/>
  <c r="D4919" i="12"/>
  <c r="D4918" i="12"/>
  <c r="D4917" i="12"/>
  <c r="D4916" i="12"/>
  <c r="D4915" i="12"/>
  <c r="D4914" i="12"/>
  <c r="D4913" i="12"/>
  <c r="D4912" i="12"/>
  <c r="D4911" i="12"/>
  <c r="D4910" i="12"/>
  <c r="D4909" i="12"/>
  <c r="D4908" i="12"/>
  <c r="D4907" i="12"/>
  <c r="D4906" i="12"/>
  <c r="D4905" i="12"/>
  <c r="D4904" i="12"/>
  <c r="D4903" i="12"/>
  <c r="D4902" i="12"/>
  <c r="D4901" i="12"/>
  <c r="D4900" i="12"/>
  <c r="D4899" i="12"/>
  <c r="D4898" i="12"/>
  <c r="D4897" i="12"/>
  <c r="D4896" i="12"/>
  <c r="D4895" i="12"/>
  <c r="D4894" i="12"/>
  <c r="D4893" i="12"/>
  <c r="D4892" i="12"/>
  <c r="D4891" i="12"/>
  <c r="D4890" i="12"/>
  <c r="D4889" i="12"/>
  <c r="D4888" i="12"/>
  <c r="D4887" i="12"/>
  <c r="D4886" i="12"/>
  <c r="D4885" i="12"/>
  <c r="D4884" i="12"/>
  <c r="D4883" i="12"/>
  <c r="D4882" i="12"/>
  <c r="D4881" i="12"/>
  <c r="D4880" i="12"/>
  <c r="D4879" i="12"/>
  <c r="D4878" i="12"/>
  <c r="D4877" i="12"/>
  <c r="D4876" i="12"/>
  <c r="D4875" i="12"/>
  <c r="D4874" i="12"/>
  <c r="D4873" i="12"/>
  <c r="D4872" i="12"/>
  <c r="D4871" i="12"/>
  <c r="D4870" i="12"/>
  <c r="D4869" i="12"/>
  <c r="D4868" i="12"/>
  <c r="D4867" i="12"/>
  <c r="D4866" i="12"/>
  <c r="D4865" i="12"/>
  <c r="D4864" i="12"/>
  <c r="D4863" i="12"/>
  <c r="D4862" i="12"/>
  <c r="D4861" i="12"/>
  <c r="D4860" i="12"/>
  <c r="D4859" i="12"/>
  <c r="D4858" i="12"/>
  <c r="D4857" i="12"/>
  <c r="D4856" i="12"/>
  <c r="D4855" i="12"/>
  <c r="D4854" i="12"/>
  <c r="D4853" i="12"/>
  <c r="D4852" i="12"/>
  <c r="D4851" i="12"/>
  <c r="D4850" i="12"/>
  <c r="D4849" i="12"/>
  <c r="D4848" i="12"/>
  <c r="D4847" i="12"/>
  <c r="D4846" i="12"/>
  <c r="D4845" i="12"/>
  <c r="D4844" i="12"/>
  <c r="D4843" i="12"/>
  <c r="D4842" i="12"/>
  <c r="D4841" i="12"/>
  <c r="D4840" i="12"/>
  <c r="D4839" i="12"/>
  <c r="D4838" i="12"/>
  <c r="D4837" i="12"/>
  <c r="D4836" i="12"/>
  <c r="D4835" i="12"/>
  <c r="D4834" i="12"/>
  <c r="D4833" i="12"/>
  <c r="D4832" i="12"/>
  <c r="D4831" i="12"/>
  <c r="D4830" i="12"/>
  <c r="D4829" i="12"/>
  <c r="D4828" i="12"/>
  <c r="D4827" i="12"/>
  <c r="D4826" i="12"/>
  <c r="D4825" i="12"/>
  <c r="D4824" i="12"/>
  <c r="D4823" i="12"/>
  <c r="D4822" i="12"/>
  <c r="D4821" i="12"/>
  <c r="D4820" i="12"/>
  <c r="D4819" i="12"/>
  <c r="D4818" i="12"/>
  <c r="D4817" i="12"/>
  <c r="D4816" i="12"/>
  <c r="D4815" i="12"/>
  <c r="D4814" i="12"/>
  <c r="D4813" i="12"/>
  <c r="D4812" i="12"/>
  <c r="D4811" i="12"/>
  <c r="D4810" i="12"/>
  <c r="D4809" i="12"/>
  <c r="D4808" i="12"/>
  <c r="D4807" i="12"/>
  <c r="D4806" i="12"/>
  <c r="D4805" i="12"/>
  <c r="D4804" i="12"/>
  <c r="D4803" i="12"/>
  <c r="D4802" i="12"/>
  <c r="D4801" i="12"/>
  <c r="D4800" i="12"/>
  <c r="D4799" i="12"/>
  <c r="D4798" i="12"/>
  <c r="D4797" i="12"/>
  <c r="D4796" i="12"/>
  <c r="D4795" i="12"/>
  <c r="D4794" i="12"/>
  <c r="D4793" i="12"/>
  <c r="D4792" i="12"/>
  <c r="D4791" i="12"/>
  <c r="D4790" i="12"/>
  <c r="D4789" i="12"/>
  <c r="D4788" i="12"/>
  <c r="D4787" i="12"/>
  <c r="D4786" i="12"/>
  <c r="D4785" i="12"/>
  <c r="D4784" i="12"/>
  <c r="D4783" i="12"/>
  <c r="D4782" i="12"/>
  <c r="D4781" i="12"/>
  <c r="D4780" i="12"/>
  <c r="D4779" i="12"/>
  <c r="D4778" i="12"/>
  <c r="D4777" i="12"/>
  <c r="D4776" i="12"/>
  <c r="D4775" i="12"/>
  <c r="D4774" i="12"/>
  <c r="D4773" i="12"/>
  <c r="D4772" i="12"/>
  <c r="D4771" i="12"/>
  <c r="D4770" i="12"/>
  <c r="D4769" i="12"/>
  <c r="D4768" i="12"/>
  <c r="D4767" i="12"/>
  <c r="D4766" i="12"/>
  <c r="D4765" i="12"/>
  <c r="D4764" i="12"/>
  <c r="D4763" i="12"/>
  <c r="D4762" i="12"/>
  <c r="D4761" i="12"/>
  <c r="D4760" i="12"/>
  <c r="D4759" i="12"/>
  <c r="D4758" i="12"/>
  <c r="D4757" i="12"/>
  <c r="D4756" i="12"/>
  <c r="D4755" i="12"/>
  <c r="D4754" i="12"/>
  <c r="D4753" i="12"/>
  <c r="D4752" i="12"/>
  <c r="D4751" i="12"/>
  <c r="D4750" i="12"/>
  <c r="D4749" i="12"/>
  <c r="D4748" i="12"/>
  <c r="D4747" i="12"/>
  <c r="D4746" i="12"/>
  <c r="D4745" i="12"/>
  <c r="D4744" i="12"/>
  <c r="D4743" i="12"/>
  <c r="D4742" i="12"/>
  <c r="D4741" i="12"/>
  <c r="D4740" i="12"/>
  <c r="D4739" i="12"/>
  <c r="D4738" i="12"/>
  <c r="D4737" i="12"/>
  <c r="D4736" i="12"/>
  <c r="D4735" i="12"/>
  <c r="D4734" i="12"/>
  <c r="D4733" i="12"/>
  <c r="D4732" i="12"/>
  <c r="D4731" i="12"/>
  <c r="D4730" i="12"/>
  <c r="D4729" i="12"/>
  <c r="D4728" i="12"/>
  <c r="D4727" i="12"/>
  <c r="D4726" i="12"/>
  <c r="D4725" i="12"/>
  <c r="D4724" i="12"/>
  <c r="D4723" i="12"/>
  <c r="D4722" i="12"/>
  <c r="D4721" i="12"/>
  <c r="D4720" i="12"/>
  <c r="D4719" i="12"/>
  <c r="D4718" i="12"/>
  <c r="D4717" i="12"/>
  <c r="D4716" i="12"/>
  <c r="D4715" i="12"/>
  <c r="D4714" i="12"/>
  <c r="D4713" i="12"/>
  <c r="D4712" i="12"/>
  <c r="D4711" i="12"/>
  <c r="D4710" i="12"/>
  <c r="D4709" i="12"/>
  <c r="D4708" i="12"/>
  <c r="D4707" i="12"/>
  <c r="D4706" i="12"/>
  <c r="D4705" i="12"/>
  <c r="D4704" i="12"/>
  <c r="D4703" i="12"/>
  <c r="D4702" i="12"/>
  <c r="D4701" i="12"/>
  <c r="D4700" i="12"/>
  <c r="D4699" i="12"/>
  <c r="D4698" i="12"/>
  <c r="D4697" i="12"/>
  <c r="D4696" i="12"/>
  <c r="D4695" i="12"/>
  <c r="D4694" i="12"/>
  <c r="D4693" i="12"/>
  <c r="D4692" i="12"/>
  <c r="D4691" i="12"/>
  <c r="D4690" i="12"/>
  <c r="D4689" i="12"/>
  <c r="D4688" i="12"/>
  <c r="D4687" i="12"/>
  <c r="D4686" i="12"/>
  <c r="D4685" i="12"/>
  <c r="D4684" i="12"/>
  <c r="D4683" i="12"/>
  <c r="D4682" i="12"/>
  <c r="D4681" i="12"/>
  <c r="D4680" i="12"/>
  <c r="D4679" i="12"/>
  <c r="D4678" i="12"/>
  <c r="D4677" i="12"/>
  <c r="D4676" i="12"/>
  <c r="D4675" i="12"/>
  <c r="D4674" i="12"/>
  <c r="D4673" i="12"/>
  <c r="D4672" i="12"/>
  <c r="D4671" i="12"/>
  <c r="D4670" i="12"/>
  <c r="D4669" i="12"/>
  <c r="D4668" i="12"/>
  <c r="D4667" i="12"/>
  <c r="D4666" i="12"/>
  <c r="D4665" i="12"/>
  <c r="D4664" i="12"/>
  <c r="D4663" i="12"/>
  <c r="D4662" i="12"/>
  <c r="D4661" i="12"/>
  <c r="D4660" i="12"/>
  <c r="D4659" i="12"/>
  <c r="D4658" i="12"/>
  <c r="D4657" i="12"/>
  <c r="D4656" i="12"/>
  <c r="D4655" i="12"/>
  <c r="D4654" i="12"/>
  <c r="D4653" i="12"/>
  <c r="D4652" i="12"/>
  <c r="D4651" i="12"/>
  <c r="D4650" i="12"/>
  <c r="D4649" i="12"/>
  <c r="D4648" i="12"/>
  <c r="D4647" i="12"/>
  <c r="D4646" i="12"/>
  <c r="D4645" i="12"/>
  <c r="D4644" i="12"/>
  <c r="D4643" i="12"/>
  <c r="D4642" i="12"/>
  <c r="D4641" i="12"/>
  <c r="D4640" i="12"/>
  <c r="D4639" i="12"/>
  <c r="D4638" i="12"/>
  <c r="D4637" i="12"/>
  <c r="D4636" i="12"/>
  <c r="D4635" i="12"/>
  <c r="D4634" i="12"/>
  <c r="D4633" i="12"/>
  <c r="D4632" i="12"/>
  <c r="D4631" i="12"/>
  <c r="D4630" i="12"/>
  <c r="D4629" i="12"/>
  <c r="D4628" i="12"/>
  <c r="D4627" i="12"/>
  <c r="D4626" i="12"/>
  <c r="D4625" i="12"/>
  <c r="D4624" i="12"/>
  <c r="D4623" i="12"/>
  <c r="D4622" i="12"/>
  <c r="D4621" i="12"/>
  <c r="D4620" i="12"/>
  <c r="D4619" i="12"/>
  <c r="D4618" i="12"/>
  <c r="D4617" i="12"/>
  <c r="D4616" i="12"/>
  <c r="D4615" i="12"/>
  <c r="D4614" i="12"/>
  <c r="D4613" i="12"/>
  <c r="D4612" i="12"/>
  <c r="D4611" i="12"/>
  <c r="D4610" i="12"/>
  <c r="D4609" i="12"/>
  <c r="D4608" i="12"/>
  <c r="D4607" i="12"/>
  <c r="D4606" i="12"/>
  <c r="D4605" i="12"/>
  <c r="D4604" i="12"/>
  <c r="D4603" i="12"/>
  <c r="D4602" i="12"/>
  <c r="D4601" i="12"/>
  <c r="D4600" i="12"/>
  <c r="D4599" i="12"/>
  <c r="D4598" i="12"/>
  <c r="D4597" i="12"/>
  <c r="D4596" i="12"/>
  <c r="D4595" i="12"/>
  <c r="D4594" i="12"/>
  <c r="D4593" i="12"/>
  <c r="D4592" i="12"/>
  <c r="D4591" i="12"/>
  <c r="D4590" i="12"/>
  <c r="D4589" i="12"/>
  <c r="D4588" i="12"/>
  <c r="D4587" i="12"/>
  <c r="D4586" i="12"/>
  <c r="D4585" i="12"/>
  <c r="D4584" i="12"/>
  <c r="D4583" i="12"/>
  <c r="D4582" i="12"/>
  <c r="D4581" i="12"/>
  <c r="D4580" i="12"/>
  <c r="D4579" i="12"/>
  <c r="D4578" i="12"/>
  <c r="D4577" i="12"/>
  <c r="D4576" i="12"/>
  <c r="D4575" i="12"/>
  <c r="D4574" i="12"/>
  <c r="D4573" i="12"/>
  <c r="D4572" i="12"/>
  <c r="D4571" i="12"/>
  <c r="D4570" i="12"/>
  <c r="D4569" i="12"/>
  <c r="D4568" i="12"/>
  <c r="D4567" i="12"/>
  <c r="D4566" i="12"/>
  <c r="D4565" i="12"/>
  <c r="D4564" i="12"/>
  <c r="D4563" i="12"/>
  <c r="D4562" i="12"/>
  <c r="D4561" i="12"/>
  <c r="D4560" i="12"/>
  <c r="D4559" i="12"/>
  <c r="D4558" i="12"/>
  <c r="D4557" i="12"/>
  <c r="D4556" i="12"/>
  <c r="D4555" i="12"/>
  <c r="D4554" i="12"/>
  <c r="D4553" i="12"/>
  <c r="D4552" i="12"/>
  <c r="D4551" i="12"/>
  <c r="D4550" i="12"/>
  <c r="D4549" i="12"/>
  <c r="D4548" i="12"/>
  <c r="D4547" i="12"/>
  <c r="D4546" i="12"/>
  <c r="D4545" i="12"/>
  <c r="D4544" i="12"/>
  <c r="D4543" i="12"/>
  <c r="D4542" i="12"/>
  <c r="D4541" i="12"/>
  <c r="D4540" i="12"/>
  <c r="D4539" i="12"/>
  <c r="D4538" i="12"/>
  <c r="D4537" i="12"/>
  <c r="D4536" i="12"/>
  <c r="D4535" i="12"/>
  <c r="D4534" i="12"/>
  <c r="D4533" i="12"/>
  <c r="D4532" i="12"/>
  <c r="D4531" i="12"/>
  <c r="D4530" i="12"/>
  <c r="D4529" i="12"/>
  <c r="D4528" i="12"/>
  <c r="D4527" i="12"/>
  <c r="D4526" i="12"/>
  <c r="D4525" i="12"/>
  <c r="D4524" i="12"/>
  <c r="D4523" i="12"/>
  <c r="D4522" i="12"/>
  <c r="D4521" i="12"/>
  <c r="D4520" i="12"/>
  <c r="D4519" i="12"/>
  <c r="D4518" i="12"/>
  <c r="D4517" i="12"/>
  <c r="D4516" i="12"/>
  <c r="D4515" i="12"/>
  <c r="D4514" i="12"/>
  <c r="D4513" i="12"/>
  <c r="D4512" i="12"/>
  <c r="D4511" i="12"/>
  <c r="D4510" i="12"/>
  <c r="D4509" i="12"/>
  <c r="D4508" i="12"/>
  <c r="D4507" i="12"/>
  <c r="D4506" i="12"/>
  <c r="D4505" i="12"/>
  <c r="D4504" i="12"/>
  <c r="D4503" i="12"/>
  <c r="D4502" i="12"/>
  <c r="D4501" i="12"/>
  <c r="D4500" i="12"/>
  <c r="D4499" i="12"/>
  <c r="D4498" i="12"/>
  <c r="D4497" i="12"/>
  <c r="D4496" i="12"/>
  <c r="D4495" i="12"/>
  <c r="D4494" i="12"/>
  <c r="D4493" i="12"/>
  <c r="D4492" i="12"/>
  <c r="D4491" i="12"/>
  <c r="D4490" i="12"/>
  <c r="D4489" i="12"/>
  <c r="D4488" i="12"/>
  <c r="D4487" i="12"/>
  <c r="D4486" i="12"/>
  <c r="D4485" i="12"/>
  <c r="D4484" i="12"/>
  <c r="D4483" i="12"/>
  <c r="D4482" i="12"/>
  <c r="D4481" i="12"/>
  <c r="D4480" i="12"/>
  <c r="D4479" i="12"/>
  <c r="D4478" i="12"/>
  <c r="D4477" i="12"/>
  <c r="D4476" i="12"/>
  <c r="D4475" i="12"/>
  <c r="D4474" i="12"/>
  <c r="D4473" i="12"/>
  <c r="D4472" i="12"/>
  <c r="D4471" i="12"/>
  <c r="D4470" i="12"/>
  <c r="D4469" i="12"/>
  <c r="D4468" i="12"/>
  <c r="D4467" i="12"/>
  <c r="D4466" i="12"/>
  <c r="D4465" i="12"/>
  <c r="D4464" i="12"/>
  <c r="D4463" i="12"/>
  <c r="D4462" i="12"/>
  <c r="D4461" i="12"/>
  <c r="D4460" i="12"/>
  <c r="D4459" i="12"/>
  <c r="D4458" i="12"/>
  <c r="D4457" i="12"/>
  <c r="D4456" i="12"/>
  <c r="D4455" i="12"/>
  <c r="D4454" i="12"/>
  <c r="D4453" i="12"/>
  <c r="D4452" i="12"/>
  <c r="D4451" i="12"/>
  <c r="D4450" i="12"/>
  <c r="D4449" i="12"/>
  <c r="D4448" i="12"/>
  <c r="D4447" i="12"/>
  <c r="D4446" i="12"/>
  <c r="D4445" i="12"/>
  <c r="D4444" i="12"/>
  <c r="D4443" i="12"/>
  <c r="D4442" i="12"/>
  <c r="D4441" i="12"/>
  <c r="D4440" i="12"/>
  <c r="D4439" i="12"/>
  <c r="D4438" i="12"/>
  <c r="D4437" i="12"/>
  <c r="D4436" i="12"/>
  <c r="D4435" i="12"/>
  <c r="D4434" i="12"/>
  <c r="D4433" i="12"/>
  <c r="D4432" i="12"/>
  <c r="D4431" i="12"/>
  <c r="D4430" i="12"/>
  <c r="D4429" i="12"/>
  <c r="D4428" i="12"/>
  <c r="D4427" i="12"/>
  <c r="D4426" i="12"/>
  <c r="D4425" i="12"/>
  <c r="D4424" i="12"/>
  <c r="D4423" i="12"/>
  <c r="D4422" i="12"/>
  <c r="D4421" i="12"/>
  <c r="D4420" i="12"/>
  <c r="D4419" i="12"/>
  <c r="D4418" i="12"/>
  <c r="D4417" i="12"/>
  <c r="D4416" i="12"/>
  <c r="D4415" i="12"/>
  <c r="D4414" i="12"/>
  <c r="D4413" i="12"/>
  <c r="D4412" i="12"/>
  <c r="D4411" i="12"/>
  <c r="D4410" i="12"/>
  <c r="D4409" i="12"/>
  <c r="D4408" i="12"/>
  <c r="D4407" i="12"/>
  <c r="D4406" i="12"/>
  <c r="D4405" i="12"/>
  <c r="D4404" i="12"/>
  <c r="D4403" i="12"/>
  <c r="D4402" i="12"/>
  <c r="D4401" i="12"/>
  <c r="D4400" i="12"/>
  <c r="D4399" i="12"/>
  <c r="D4398" i="12"/>
  <c r="D4397" i="12"/>
  <c r="D4396" i="12"/>
  <c r="D4395" i="12"/>
  <c r="D4394" i="12"/>
  <c r="D4393" i="12"/>
  <c r="D4392" i="12"/>
  <c r="D4391" i="12"/>
  <c r="D4390" i="12"/>
  <c r="D4389" i="12"/>
  <c r="D4388" i="12"/>
  <c r="D4387" i="12"/>
  <c r="D4386" i="12"/>
  <c r="D4385" i="12"/>
  <c r="D4384" i="12"/>
  <c r="D4383" i="12"/>
  <c r="D4382" i="12"/>
  <c r="D4381" i="12"/>
  <c r="D4380" i="12"/>
  <c r="D4379" i="12"/>
  <c r="D4378" i="12"/>
  <c r="D4377" i="12"/>
  <c r="D4376" i="12"/>
  <c r="D4375" i="12"/>
  <c r="D4374" i="12"/>
  <c r="D4373" i="12"/>
  <c r="D4372" i="12"/>
  <c r="D4371" i="12"/>
  <c r="D4370" i="12"/>
  <c r="D4369" i="12"/>
  <c r="D4368" i="12"/>
  <c r="D4367" i="12"/>
  <c r="D4366" i="12"/>
  <c r="D4365" i="12"/>
  <c r="D4364" i="12"/>
  <c r="D4363" i="12"/>
  <c r="D4362" i="12"/>
  <c r="D4361" i="12"/>
  <c r="D4360" i="12"/>
  <c r="D4359" i="12"/>
  <c r="D4358" i="12"/>
  <c r="D4357" i="12"/>
  <c r="D4356" i="12"/>
  <c r="D4355" i="12"/>
  <c r="D4354" i="12"/>
  <c r="D4353" i="12"/>
  <c r="D4352" i="12"/>
  <c r="D4351" i="12"/>
  <c r="D4350" i="12"/>
  <c r="D4349" i="12"/>
  <c r="D4348" i="12"/>
  <c r="D4347" i="12"/>
  <c r="D4346" i="12"/>
  <c r="D4345" i="12"/>
  <c r="D4344" i="12"/>
  <c r="D4343" i="12"/>
  <c r="D4342" i="12"/>
  <c r="D4341" i="12"/>
  <c r="D4340" i="12"/>
  <c r="D4339" i="12"/>
  <c r="D4338" i="12"/>
  <c r="D4337" i="12"/>
  <c r="D4336" i="12"/>
  <c r="D4335" i="12"/>
  <c r="D4334" i="12"/>
  <c r="D4333" i="12"/>
  <c r="D4332" i="12"/>
  <c r="D4331" i="12"/>
  <c r="D4330" i="12"/>
  <c r="D4329" i="12"/>
  <c r="D4328" i="12"/>
  <c r="D4327" i="12"/>
  <c r="D4326" i="12"/>
  <c r="D4325" i="12"/>
  <c r="D4324" i="12"/>
  <c r="D4323" i="12"/>
  <c r="D4322" i="12"/>
  <c r="D4321" i="12"/>
  <c r="D4320" i="12"/>
  <c r="D4319" i="12"/>
  <c r="D4318" i="12"/>
  <c r="D4317" i="12"/>
  <c r="D4316" i="12"/>
  <c r="D4315" i="12"/>
  <c r="D4314" i="12"/>
  <c r="D4313" i="12"/>
  <c r="D4312" i="12"/>
  <c r="D4311" i="12"/>
  <c r="D4310" i="12"/>
  <c r="D4309" i="12"/>
  <c r="D4308" i="12"/>
  <c r="D4307" i="12"/>
  <c r="D4306" i="12"/>
  <c r="D4305" i="12"/>
  <c r="D4304" i="12"/>
  <c r="D4303" i="12"/>
  <c r="D4302" i="12"/>
  <c r="D4301" i="12"/>
  <c r="D4300" i="12"/>
  <c r="D4299" i="12"/>
  <c r="D4298" i="12"/>
  <c r="D4297" i="12"/>
  <c r="D4296" i="12"/>
  <c r="D4295" i="12"/>
  <c r="D4294" i="12"/>
  <c r="D4293" i="12"/>
  <c r="D4292" i="12"/>
  <c r="D4291" i="12"/>
  <c r="D4290" i="12"/>
  <c r="D4289" i="12"/>
  <c r="D4288" i="12"/>
  <c r="D4287" i="12"/>
  <c r="D4286" i="12"/>
  <c r="D4285" i="12"/>
  <c r="D4284" i="12"/>
  <c r="D4283" i="12"/>
  <c r="D4282" i="12"/>
  <c r="D4281" i="12"/>
  <c r="D4280" i="12"/>
  <c r="D4279" i="12"/>
  <c r="D4278" i="12"/>
  <c r="D4277" i="12"/>
  <c r="D4276" i="12"/>
  <c r="D4275" i="12"/>
  <c r="D4274" i="12"/>
  <c r="D4273" i="12"/>
  <c r="D4272" i="12"/>
  <c r="D4271" i="12"/>
  <c r="D4270" i="12"/>
  <c r="D4269" i="12"/>
  <c r="D4268" i="12"/>
  <c r="D4267" i="12"/>
  <c r="D4266" i="12"/>
  <c r="D4265" i="12"/>
  <c r="D4264" i="12"/>
  <c r="D4263" i="12"/>
  <c r="D4262" i="12"/>
  <c r="D4261" i="12"/>
  <c r="D4260" i="12"/>
  <c r="D4259" i="12"/>
  <c r="D4258" i="12"/>
  <c r="D4257" i="12"/>
  <c r="D4256" i="12"/>
  <c r="D4255" i="12"/>
  <c r="D4254" i="12"/>
  <c r="D4253" i="12"/>
  <c r="D4252" i="12"/>
  <c r="D4251" i="12"/>
  <c r="D4250" i="12"/>
  <c r="D4249" i="12"/>
  <c r="D4248" i="12"/>
  <c r="D4247" i="12"/>
  <c r="D4246" i="12"/>
  <c r="D4245" i="12"/>
  <c r="D4244" i="12"/>
  <c r="D4243" i="12"/>
  <c r="D4242" i="12"/>
  <c r="D4241" i="12"/>
  <c r="D4240" i="12"/>
  <c r="D4239" i="12"/>
  <c r="D4238" i="12"/>
  <c r="D4237" i="12"/>
  <c r="D4236" i="12"/>
  <c r="D4235" i="12"/>
  <c r="D4234" i="12"/>
  <c r="D4233" i="12"/>
  <c r="D4232" i="12"/>
  <c r="D4231" i="12"/>
  <c r="D4230" i="12"/>
  <c r="D4229" i="12"/>
  <c r="D4228" i="12"/>
  <c r="D4227" i="12"/>
  <c r="D4226" i="12"/>
  <c r="D4225" i="12"/>
  <c r="D4224" i="12"/>
  <c r="D4223" i="12"/>
  <c r="D4222" i="12"/>
  <c r="D4221" i="12"/>
  <c r="D4220" i="12"/>
  <c r="D4219" i="12"/>
  <c r="D4218" i="12"/>
  <c r="D4217" i="12"/>
  <c r="D4216" i="12"/>
  <c r="D4215" i="12"/>
  <c r="D4214" i="12"/>
  <c r="D4213" i="12"/>
  <c r="D4212" i="12"/>
  <c r="D4211" i="12"/>
  <c r="D4210" i="12"/>
  <c r="D4209" i="12"/>
  <c r="D4208" i="12"/>
  <c r="D4207" i="12"/>
  <c r="D4206" i="12"/>
  <c r="D4205" i="12"/>
  <c r="D4204" i="12"/>
  <c r="D4203" i="12"/>
  <c r="D4202" i="12"/>
  <c r="D4201" i="12"/>
  <c r="D4200" i="12"/>
  <c r="D4199" i="12"/>
  <c r="D4198" i="12"/>
  <c r="D4197" i="12"/>
  <c r="D4196" i="12"/>
  <c r="D4195" i="12"/>
  <c r="D4194" i="12"/>
  <c r="D4193" i="12"/>
  <c r="D4192" i="12"/>
  <c r="D4191" i="12"/>
  <c r="D4190" i="12"/>
  <c r="D4189" i="12"/>
  <c r="D4188" i="12"/>
  <c r="D4187" i="12"/>
  <c r="D4186" i="12"/>
  <c r="D4185" i="12"/>
  <c r="D4184" i="12"/>
  <c r="D4183" i="12"/>
  <c r="D4182" i="12"/>
  <c r="D4181" i="12"/>
  <c r="D4180" i="12"/>
  <c r="D4179" i="12"/>
  <c r="D4178" i="12"/>
  <c r="D4177" i="12"/>
  <c r="D4176" i="12"/>
  <c r="D4175" i="12"/>
  <c r="D4174" i="12"/>
  <c r="D4173" i="12"/>
  <c r="D4172" i="12"/>
  <c r="D4171" i="12"/>
  <c r="D4170" i="12"/>
  <c r="D4169" i="12"/>
  <c r="D4168" i="12"/>
  <c r="D4167" i="12"/>
  <c r="D4166" i="12"/>
  <c r="D4165" i="12"/>
  <c r="D4164" i="12"/>
  <c r="D4163" i="12"/>
  <c r="D4162" i="12"/>
  <c r="D4161" i="12"/>
  <c r="D4160" i="12"/>
  <c r="D4159" i="12"/>
  <c r="D4158" i="12"/>
  <c r="D4157" i="12"/>
  <c r="D4156" i="12"/>
  <c r="D4155" i="12"/>
  <c r="D4154" i="12"/>
  <c r="D4153" i="12"/>
  <c r="D4152" i="12"/>
  <c r="D4151" i="12"/>
  <c r="D4150" i="12"/>
  <c r="D4149" i="12"/>
  <c r="D4148" i="12"/>
  <c r="D4147" i="12"/>
  <c r="D4146" i="12"/>
  <c r="D4145" i="12"/>
  <c r="D4144" i="12"/>
  <c r="D4143" i="12"/>
  <c r="D4142" i="12"/>
  <c r="D4141" i="12"/>
  <c r="D4140" i="12"/>
  <c r="D4139" i="12"/>
  <c r="D4138" i="12"/>
  <c r="D4137" i="12"/>
  <c r="D4136" i="12"/>
  <c r="D4135" i="12"/>
  <c r="D4134" i="12"/>
  <c r="D4133" i="12"/>
  <c r="D4132" i="12"/>
  <c r="D4131" i="12"/>
  <c r="D4130" i="12"/>
  <c r="D4129" i="12"/>
  <c r="D4128" i="12"/>
  <c r="D4127" i="12"/>
  <c r="D4126" i="12"/>
  <c r="D4125" i="12"/>
  <c r="D4124" i="12"/>
  <c r="D4123" i="12"/>
  <c r="D4122" i="12"/>
  <c r="D4121" i="12"/>
  <c r="D4120" i="12"/>
  <c r="D4119" i="12"/>
  <c r="D4118" i="12"/>
  <c r="D4117" i="12"/>
  <c r="D4116" i="12"/>
  <c r="D4115" i="12"/>
  <c r="D4114" i="12"/>
  <c r="D4113" i="12"/>
  <c r="D4112" i="12"/>
  <c r="D4111" i="12"/>
  <c r="D4110" i="12"/>
  <c r="D4109" i="12"/>
  <c r="D4108" i="12"/>
  <c r="D4107" i="12"/>
  <c r="D4106" i="12"/>
  <c r="D4105" i="12"/>
  <c r="D4104" i="12"/>
  <c r="D4103" i="12"/>
  <c r="D4102" i="12"/>
  <c r="D4101" i="12"/>
  <c r="D4100" i="12"/>
  <c r="D4099" i="12"/>
  <c r="D4098" i="12"/>
  <c r="D4097" i="12"/>
  <c r="D4096" i="12"/>
  <c r="D4095" i="12"/>
  <c r="D4094" i="12"/>
  <c r="D4093" i="12"/>
  <c r="D4092" i="12"/>
  <c r="D4091" i="12"/>
  <c r="D4090" i="12"/>
  <c r="D4089" i="12"/>
  <c r="D4088" i="12"/>
  <c r="D4087" i="12"/>
  <c r="D4086" i="12"/>
  <c r="D4085" i="12"/>
  <c r="D4084" i="12"/>
  <c r="D4083" i="12"/>
  <c r="D4082" i="12"/>
  <c r="D4081" i="12"/>
  <c r="D4080" i="12"/>
  <c r="D4079" i="12"/>
  <c r="D4078" i="12"/>
  <c r="D4077" i="12"/>
  <c r="D4076" i="12"/>
  <c r="D4075" i="12"/>
  <c r="D4074" i="12"/>
  <c r="D4073" i="12"/>
  <c r="D4072" i="12"/>
  <c r="D4071" i="12"/>
  <c r="D4070" i="12"/>
  <c r="D4069" i="12"/>
  <c r="D4068" i="12"/>
  <c r="D4067" i="12"/>
  <c r="D4066" i="12"/>
  <c r="D4065" i="12"/>
  <c r="D4064" i="12"/>
  <c r="D4063" i="12"/>
  <c r="D4062" i="12"/>
  <c r="D4061" i="12"/>
  <c r="D4060" i="12"/>
  <c r="D4059" i="12"/>
  <c r="D4058" i="12"/>
  <c r="D4057" i="12"/>
  <c r="D4056" i="12"/>
  <c r="D4055" i="12"/>
  <c r="D4054" i="12"/>
  <c r="D4053" i="12"/>
  <c r="D4052" i="12"/>
  <c r="D4051" i="12"/>
  <c r="D4050" i="12"/>
  <c r="D4049" i="12"/>
  <c r="D4048" i="12"/>
  <c r="D4047" i="12"/>
  <c r="D4046" i="12"/>
  <c r="D4045" i="12"/>
  <c r="D4044" i="12"/>
  <c r="D4043" i="12"/>
  <c r="D4042" i="12"/>
  <c r="D4041" i="12"/>
  <c r="D4040" i="12"/>
  <c r="D4039" i="12"/>
  <c r="D4038" i="12"/>
  <c r="D4037" i="12"/>
  <c r="D4036" i="12"/>
  <c r="D4035" i="12"/>
  <c r="D4034" i="12"/>
  <c r="D4033" i="12"/>
  <c r="D4032" i="12"/>
  <c r="D4031" i="12"/>
  <c r="D4030" i="12"/>
  <c r="D4029" i="12"/>
  <c r="D4028" i="12"/>
  <c r="D4027" i="12"/>
  <c r="D4026" i="12"/>
  <c r="D4025" i="12"/>
  <c r="D4024" i="12"/>
  <c r="D4023" i="12"/>
  <c r="D4022" i="12"/>
  <c r="D4021" i="12"/>
  <c r="D4020" i="12"/>
  <c r="D4019" i="12"/>
  <c r="D4018" i="12"/>
  <c r="D4017" i="12"/>
  <c r="D4016" i="12"/>
  <c r="D4015" i="12"/>
  <c r="D4014" i="12"/>
  <c r="D4013" i="12"/>
  <c r="D4012" i="12"/>
  <c r="D4011" i="12"/>
  <c r="D4010" i="12"/>
  <c r="D4009" i="12"/>
  <c r="D4008" i="12"/>
  <c r="D4007" i="12"/>
  <c r="D4006" i="12"/>
  <c r="D4005" i="12"/>
  <c r="D4004" i="12"/>
  <c r="D4003" i="12"/>
  <c r="D4002" i="12"/>
  <c r="D4001" i="12"/>
  <c r="D4000" i="12"/>
  <c r="D3999" i="12"/>
  <c r="D3998" i="12"/>
  <c r="D3997" i="12"/>
  <c r="D3996" i="12"/>
  <c r="D3995" i="12"/>
  <c r="D3994" i="12"/>
  <c r="D3993" i="12"/>
  <c r="D3992" i="12"/>
  <c r="D3991" i="12"/>
  <c r="D3990" i="12"/>
  <c r="D3989" i="12"/>
  <c r="D3988" i="12"/>
  <c r="D3987" i="12"/>
  <c r="D3986" i="12"/>
  <c r="D3985" i="12"/>
  <c r="D3984" i="12"/>
  <c r="D3983" i="12"/>
  <c r="D3982" i="12"/>
  <c r="D3981" i="12"/>
  <c r="D3980" i="12"/>
  <c r="D3979" i="12"/>
  <c r="D3978" i="12"/>
  <c r="D3977" i="12"/>
  <c r="D3976" i="12"/>
  <c r="D3975" i="12"/>
  <c r="D3974" i="12"/>
  <c r="D3973" i="12"/>
  <c r="D3972" i="12"/>
  <c r="D3971" i="12"/>
  <c r="D3970" i="12"/>
  <c r="D3969" i="12"/>
  <c r="D3968" i="12"/>
  <c r="D3967" i="12"/>
  <c r="D3966" i="12"/>
  <c r="D3965" i="12"/>
  <c r="D3964" i="12"/>
  <c r="D3963" i="12"/>
  <c r="D3962" i="12"/>
  <c r="D3961" i="12"/>
  <c r="D3960" i="12"/>
  <c r="D3959" i="12"/>
  <c r="D3958" i="12"/>
  <c r="D3957" i="12"/>
  <c r="D3956" i="12"/>
  <c r="D3955" i="12"/>
  <c r="D3954" i="12"/>
  <c r="D3953" i="12"/>
  <c r="D3952" i="12"/>
  <c r="D3951" i="12"/>
  <c r="D3950" i="12"/>
  <c r="D3949" i="12"/>
  <c r="D3948" i="12"/>
  <c r="D3947" i="12"/>
  <c r="D3946" i="12"/>
  <c r="D3945" i="12"/>
  <c r="D3944" i="12"/>
  <c r="D3943" i="12"/>
  <c r="D3942" i="12"/>
  <c r="D3941" i="12"/>
  <c r="D3940" i="12"/>
  <c r="D3939" i="12"/>
  <c r="D3938" i="12"/>
  <c r="D3937" i="12"/>
  <c r="D3936" i="12"/>
  <c r="D3935" i="12"/>
  <c r="D3934" i="12"/>
  <c r="D3933" i="12"/>
  <c r="D3932" i="12"/>
  <c r="D3931" i="12"/>
  <c r="D3930" i="12"/>
  <c r="D3929" i="12"/>
  <c r="D3928" i="12"/>
  <c r="D3927" i="12"/>
  <c r="D3926" i="12"/>
  <c r="D3925" i="12"/>
  <c r="D3924" i="12"/>
  <c r="D3923" i="12"/>
  <c r="D3922" i="12"/>
  <c r="D3921" i="12"/>
  <c r="D3920" i="12"/>
  <c r="D3919" i="12"/>
  <c r="D3918" i="12"/>
  <c r="D3917" i="12"/>
  <c r="D3916" i="12"/>
  <c r="D3915" i="12"/>
  <c r="D3914" i="12"/>
  <c r="D3913" i="12"/>
  <c r="D3912" i="12"/>
  <c r="D3911" i="12"/>
  <c r="D3910" i="12"/>
  <c r="D3909" i="12"/>
  <c r="D3908" i="12"/>
  <c r="D3907" i="12"/>
  <c r="D3906" i="12"/>
  <c r="D3905" i="12"/>
  <c r="D3904" i="12"/>
  <c r="D3903" i="12"/>
  <c r="D3902" i="12"/>
  <c r="D3901" i="12"/>
  <c r="D3900" i="12"/>
  <c r="D3899" i="12"/>
  <c r="D3898" i="12"/>
  <c r="D3897" i="12"/>
  <c r="D3896" i="12"/>
  <c r="D3895" i="12"/>
  <c r="D3894" i="12"/>
  <c r="D3893" i="12"/>
  <c r="D3892" i="12"/>
  <c r="D3891" i="12"/>
  <c r="D3890" i="12"/>
  <c r="D3889" i="12"/>
  <c r="D3888" i="12"/>
  <c r="D3887" i="12"/>
  <c r="D3886" i="12"/>
  <c r="D3885" i="12"/>
  <c r="D3884" i="12"/>
  <c r="D3883" i="12"/>
  <c r="D3882" i="12"/>
  <c r="D3881" i="12"/>
  <c r="D3880" i="12"/>
  <c r="D3879" i="12"/>
  <c r="D3878" i="12"/>
  <c r="D3877" i="12"/>
  <c r="D3876" i="12"/>
  <c r="D3875" i="12"/>
  <c r="D3874" i="12"/>
  <c r="D3873" i="12"/>
  <c r="D3872" i="12"/>
  <c r="D3871" i="12"/>
  <c r="D3870" i="12"/>
  <c r="D3869" i="12"/>
  <c r="D3868" i="12"/>
  <c r="D3867" i="12"/>
  <c r="D3866" i="12"/>
  <c r="D3865" i="12"/>
  <c r="D3864" i="12"/>
  <c r="D3863" i="12"/>
  <c r="D3862" i="12"/>
  <c r="D3861" i="12"/>
  <c r="D3860" i="12"/>
  <c r="D3859" i="12"/>
  <c r="D3858" i="12"/>
  <c r="D3857" i="12"/>
  <c r="D3856" i="12"/>
  <c r="D3855" i="12"/>
  <c r="D3854" i="12"/>
  <c r="D3853" i="12"/>
  <c r="D3852" i="12"/>
  <c r="D3851" i="12"/>
  <c r="D3850" i="12"/>
  <c r="D3849" i="12"/>
  <c r="D3848" i="12"/>
  <c r="D3847" i="12"/>
  <c r="D3846" i="12"/>
  <c r="D3845" i="12"/>
  <c r="D3844" i="12"/>
  <c r="D3843" i="12"/>
  <c r="D3842" i="12"/>
  <c r="D3841" i="12"/>
  <c r="D3840" i="12"/>
  <c r="D3839" i="12"/>
  <c r="D3838" i="12"/>
  <c r="D3837" i="12"/>
  <c r="D3836" i="12"/>
  <c r="D3835" i="12"/>
  <c r="D3834" i="12"/>
  <c r="D3833" i="12"/>
  <c r="D3832" i="12"/>
  <c r="D3831" i="12"/>
  <c r="D3830" i="12"/>
  <c r="D3829" i="12"/>
  <c r="D3828" i="12"/>
  <c r="D3827" i="12"/>
  <c r="D3826" i="12"/>
  <c r="D3825" i="12"/>
  <c r="D3824" i="12"/>
  <c r="D3823" i="12"/>
  <c r="D3822" i="12"/>
  <c r="D3821" i="12"/>
  <c r="D3820" i="12"/>
  <c r="D3819" i="12"/>
  <c r="D3818" i="12"/>
  <c r="D3817" i="12"/>
  <c r="D3816" i="12"/>
  <c r="D3815" i="12"/>
  <c r="D3814" i="12"/>
  <c r="D3813" i="12"/>
  <c r="D3812" i="12"/>
  <c r="D3811" i="12"/>
  <c r="D3810" i="12"/>
  <c r="D3809" i="12"/>
  <c r="D3808" i="12"/>
  <c r="D3807" i="12"/>
  <c r="D3806" i="12"/>
  <c r="D3805" i="12"/>
  <c r="D3804" i="12"/>
  <c r="D3803" i="12"/>
  <c r="D3802" i="12"/>
  <c r="D3801" i="12"/>
  <c r="D3800" i="12"/>
  <c r="D3799" i="12"/>
  <c r="D3798" i="12"/>
  <c r="D3797" i="12"/>
  <c r="D3796" i="12"/>
  <c r="D3795" i="12"/>
  <c r="D3794" i="12"/>
  <c r="D3793" i="12"/>
  <c r="D3792" i="12"/>
  <c r="D3791" i="12"/>
  <c r="D3790" i="12"/>
  <c r="D3789" i="12"/>
  <c r="D3788" i="12"/>
  <c r="D3787" i="12"/>
  <c r="D3786" i="12"/>
  <c r="D3785" i="12"/>
  <c r="D3784" i="12"/>
  <c r="D3783" i="12"/>
  <c r="D3782" i="12"/>
  <c r="D3781" i="12"/>
  <c r="D3780" i="12"/>
  <c r="D3779" i="12"/>
  <c r="D3778" i="12"/>
  <c r="D3777" i="12"/>
  <c r="D3776" i="12"/>
  <c r="D3775" i="12"/>
  <c r="D3774" i="12"/>
  <c r="D3773" i="12"/>
  <c r="D3772" i="12"/>
  <c r="D3771" i="12"/>
  <c r="D3770" i="12"/>
  <c r="D3769" i="12"/>
  <c r="D3768" i="12"/>
  <c r="D3767" i="12"/>
  <c r="D3766" i="12"/>
  <c r="D3765" i="12"/>
  <c r="D3764" i="12"/>
  <c r="D3763" i="12"/>
  <c r="D3762" i="12"/>
  <c r="D3761" i="12"/>
  <c r="D3760" i="12"/>
  <c r="D3759" i="12"/>
  <c r="D3758" i="12"/>
  <c r="D3757" i="12"/>
  <c r="D3756" i="12"/>
  <c r="D3755" i="12"/>
  <c r="D3754" i="12"/>
  <c r="D3753" i="12"/>
  <c r="D3752" i="12"/>
  <c r="D3751" i="12"/>
  <c r="D3750" i="12"/>
  <c r="D3749" i="12"/>
  <c r="D3748" i="12"/>
  <c r="D3747" i="12"/>
  <c r="D3746" i="12"/>
  <c r="D3745" i="12"/>
  <c r="D3744" i="12"/>
  <c r="D3743" i="12"/>
  <c r="D3742" i="12"/>
  <c r="D3741" i="12"/>
  <c r="D3740" i="12"/>
  <c r="D3739" i="12"/>
  <c r="D3738" i="12"/>
  <c r="D3737" i="12"/>
  <c r="D3736" i="12"/>
  <c r="D3735" i="12"/>
  <c r="D3734" i="12"/>
  <c r="D3733" i="12"/>
  <c r="D3732" i="12"/>
  <c r="D3731" i="12"/>
  <c r="D3730" i="12"/>
  <c r="D3729" i="12"/>
  <c r="D3728" i="12"/>
  <c r="D3727" i="12"/>
  <c r="D3726" i="12"/>
  <c r="D3725" i="12"/>
  <c r="D3724" i="12"/>
  <c r="D3723" i="12"/>
  <c r="D3722" i="12"/>
  <c r="D3721" i="12"/>
  <c r="D3720" i="12"/>
  <c r="D3719" i="12"/>
  <c r="D3718" i="12"/>
  <c r="D3717" i="12"/>
  <c r="D3716" i="12"/>
  <c r="D3715" i="12"/>
  <c r="D3714" i="12"/>
  <c r="D3713" i="12"/>
  <c r="D3712" i="12"/>
  <c r="D3711" i="12"/>
  <c r="D3710" i="12"/>
  <c r="D3709" i="12"/>
  <c r="D3708" i="12"/>
  <c r="D3707" i="12"/>
  <c r="D3706" i="12"/>
  <c r="D3705" i="12"/>
  <c r="D3704" i="12"/>
  <c r="D3703" i="12"/>
  <c r="D3702" i="12"/>
  <c r="D3701" i="12"/>
  <c r="D3700" i="12"/>
  <c r="D3699" i="12"/>
  <c r="D3698" i="12"/>
  <c r="D3697" i="12"/>
  <c r="D3696" i="12"/>
  <c r="D3695" i="12"/>
  <c r="D3694" i="12"/>
  <c r="D3693" i="12"/>
  <c r="D3692" i="12"/>
  <c r="D3691" i="12"/>
  <c r="D3690" i="12"/>
  <c r="D3689" i="12"/>
  <c r="D3688" i="12"/>
  <c r="D3687" i="12"/>
  <c r="D3686" i="12"/>
  <c r="D3685" i="12"/>
  <c r="D3684" i="12"/>
  <c r="D3683" i="12"/>
  <c r="D3682" i="12"/>
  <c r="D3681" i="12"/>
  <c r="D3680" i="12"/>
  <c r="D3679" i="12"/>
  <c r="D3678" i="12"/>
  <c r="D3677" i="12"/>
  <c r="D3676" i="12"/>
  <c r="D3675" i="12"/>
  <c r="D3674" i="12"/>
  <c r="D3673" i="12"/>
  <c r="D3672" i="12"/>
  <c r="D3671" i="12"/>
  <c r="D3670" i="12"/>
  <c r="D3669" i="12"/>
  <c r="D3668" i="12"/>
  <c r="D3667" i="12"/>
  <c r="D3666" i="12"/>
  <c r="D3665" i="12"/>
  <c r="D3664" i="12"/>
  <c r="D3663" i="12"/>
  <c r="D3662" i="12"/>
  <c r="D3661" i="12"/>
  <c r="D3660" i="12"/>
  <c r="D3659" i="12"/>
  <c r="D3658" i="12"/>
  <c r="D3657" i="12"/>
  <c r="D3656" i="12"/>
  <c r="D3655" i="12"/>
  <c r="D3654" i="12"/>
  <c r="D3653" i="12"/>
  <c r="D3652" i="12"/>
  <c r="D3651" i="12"/>
  <c r="D3650" i="12"/>
  <c r="D3649" i="12"/>
  <c r="D3648" i="12"/>
  <c r="D3647" i="12"/>
  <c r="D3646" i="12"/>
  <c r="D3645" i="12"/>
  <c r="D3644" i="12"/>
  <c r="D3643" i="12"/>
  <c r="D3642" i="12"/>
  <c r="D3641" i="12"/>
  <c r="D3640" i="12"/>
  <c r="D3639" i="12"/>
  <c r="D3638" i="12"/>
  <c r="D3637" i="12"/>
  <c r="D3636" i="12"/>
  <c r="D3635" i="12"/>
  <c r="D3634" i="12"/>
  <c r="D3633" i="12"/>
  <c r="D3632" i="12"/>
  <c r="D3631" i="12"/>
  <c r="D3630" i="12"/>
  <c r="D3629" i="12"/>
  <c r="D3628" i="12"/>
  <c r="D3627" i="12"/>
  <c r="D3626" i="12"/>
  <c r="D3625" i="12"/>
  <c r="D3624" i="12"/>
  <c r="D3623" i="12"/>
  <c r="D3622" i="12"/>
  <c r="D3621" i="12"/>
  <c r="D3620" i="12"/>
  <c r="D3619" i="12"/>
  <c r="D3618" i="12"/>
  <c r="D3617" i="12"/>
  <c r="D3616" i="12"/>
  <c r="D3615" i="12"/>
  <c r="D3614" i="12"/>
  <c r="D3613" i="12"/>
  <c r="D3612" i="12"/>
  <c r="D3611" i="12"/>
  <c r="D3610" i="12"/>
  <c r="D3609" i="12"/>
  <c r="D3608" i="12"/>
  <c r="D3607" i="12"/>
  <c r="D3606" i="12"/>
  <c r="D3605" i="12"/>
  <c r="D3604" i="12"/>
  <c r="D3603" i="12"/>
  <c r="D3602" i="12"/>
  <c r="D3601" i="12"/>
  <c r="D3600" i="12"/>
  <c r="D3599" i="12"/>
  <c r="D3598" i="12"/>
  <c r="D3597" i="12"/>
  <c r="D3596" i="12"/>
  <c r="D3595" i="12"/>
  <c r="D3594" i="12"/>
  <c r="D3593" i="12"/>
  <c r="D3592" i="12"/>
  <c r="D3591" i="12"/>
  <c r="D3590" i="12"/>
  <c r="D3589" i="12"/>
  <c r="D3588" i="12"/>
  <c r="D3587" i="12"/>
  <c r="D3586" i="12"/>
  <c r="D3585" i="12"/>
  <c r="D3584" i="12"/>
  <c r="D3583" i="12"/>
  <c r="D3582" i="12"/>
  <c r="D3581" i="12"/>
  <c r="D3580" i="12"/>
  <c r="D3579" i="12"/>
  <c r="D3578" i="12"/>
  <c r="D3577" i="12"/>
  <c r="D3576" i="12"/>
  <c r="D3575" i="12"/>
  <c r="D3574" i="12"/>
  <c r="D3573" i="12"/>
  <c r="D3572" i="12"/>
  <c r="D3571" i="12"/>
  <c r="D3570" i="12"/>
  <c r="D3569" i="12"/>
  <c r="D3568" i="12"/>
  <c r="D3567" i="12"/>
  <c r="D3566" i="12"/>
  <c r="D3565" i="12"/>
  <c r="D3564" i="12"/>
  <c r="D3563" i="12"/>
  <c r="D3562" i="12"/>
  <c r="D3561" i="12"/>
  <c r="D3560" i="12"/>
  <c r="D3559" i="12"/>
  <c r="D3558" i="12"/>
  <c r="D3557" i="12"/>
  <c r="D3556" i="12"/>
  <c r="D3555" i="12"/>
  <c r="D3554" i="12"/>
  <c r="D3553" i="12"/>
  <c r="D3552" i="12"/>
  <c r="D3551" i="12"/>
  <c r="D3550" i="12"/>
  <c r="D3549" i="12"/>
  <c r="D3548" i="12"/>
  <c r="D3547" i="12"/>
  <c r="D3546" i="12"/>
  <c r="D3545" i="12"/>
  <c r="D3544" i="12"/>
  <c r="D3543" i="12"/>
  <c r="D3542" i="12"/>
  <c r="D3541" i="12"/>
  <c r="D3540" i="12"/>
  <c r="D3539" i="12"/>
  <c r="D3538" i="12"/>
  <c r="D3537" i="12"/>
  <c r="D3536" i="12"/>
  <c r="D3535" i="12"/>
  <c r="D3534" i="12"/>
  <c r="D3533" i="12"/>
  <c r="D3532" i="12"/>
  <c r="D3531" i="12"/>
  <c r="D3530" i="12"/>
  <c r="D3529" i="12"/>
  <c r="D3528" i="12"/>
  <c r="D3527" i="12"/>
  <c r="D3526" i="12"/>
  <c r="D3525" i="12"/>
  <c r="D3524" i="12"/>
  <c r="D3523" i="12"/>
  <c r="D3522" i="12"/>
  <c r="D3521" i="12"/>
  <c r="D3520" i="12"/>
  <c r="D3519" i="12"/>
  <c r="D3518" i="12"/>
  <c r="D3517" i="12"/>
  <c r="D3516" i="12"/>
  <c r="D3515" i="12"/>
  <c r="D3514" i="12"/>
  <c r="D3513" i="12"/>
  <c r="D3512" i="12"/>
  <c r="D3511" i="12"/>
  <c r="D3510" i="12"/>
  <c r="D3509" i="12"/>
  <c r="D3508" i="12"/>
  <c r="D3507" i="12"/>
  <c r="D3506" i="12"/>
  <c r="D3505" i="12"/>
  <c r="D3504" i="12"/>
  <c r="D3503" i="12"/>
  <c r="D3502" i="12"/>
  <c r="D3501" i="12"/>
  <c r="D3500" i="12"/>
  <c r="D3499" i="12"/>
  <c r="D3498" i="12"/>
  <c r="D3497" i="12"/>
  <c r="D3496" i="12"/>
  <c r="D3495" i="12"/>
  <c r="D3494" i="12"/>
  <c r="D3493" i="12"/>
  <c r="D3492" i="12"/>
  <c r="D3491" i="12"/>
  <c r="D3490" i="12"/>
  <c r="D3489" i="12"/>
  <c r="D3488" i="12"/>
  <c r="D3487" i="12"/>
  <c r="D3486" i="12"/>
  <c r="D3485" i="12"/>
  <c r="D3484" i="12"/>
  <c r="D3483" i="12"/>
  <c r="D3482" i="12"/>
  <c r="D3481" i="12"/>
  <c r="D3480" i="12"/>
  <c r="D3479" i="12"/>
  <c r="D3478" i="12"/>
  <c r="D3477" i="12"/>
  <c r="D3476" i="12"/>
  <c r="D3475" i="12"/>
  <c r="D3474" i="12"/>
  <c r="D3473" i="12"/>
  <c r="D3472" i="12"/>
  <c r="D3471" i="12"/>
  <c r="D3470" i="12"/>
  <c r="D3469" i="12"/>
  <c r="D3468" i="12"/>
  <c r="D3467" i="12"/>
  <c r="D3466" i="12"/>
  <c r="D3465" i="12"/>
  <c r="D3464" i="12"/>
  <c r="D3463" i="12"/>
  <c r="D3462" i="12"/>
  <c r="D3461" i="12"/>
  <c r="D3460" i="12"/>
  <c r="D3459" i="12"/>
  <c r="D3458" i="12"/>
  <c r="D3457" i="12"/>
  <c r="D3456" i="12"/>
  <c r="D3455" i="12"/>
  <c r="D3454" i="12"/>
  <c r="D3453" i="12"/>
  <c r="D3452" i="12"/>
  <c r="D3451" i="12"/>
  <c r="D3450" i="12"/>
  <c r="D3449" i="12"/>
  <c r="D3448" i="12"/>
  <c r="D3447" i="12"/>
  <c r="D3446" i="12"/>
  <c r="D3445" i="12"/>
  <c r="D3444" i="12"/>
  <c r="D3443" i="12"/>
  <c r="D3442" i="12"/>
  <c r="D3441" i="12"/>
  <c r="D3440" i="12"/>
  <c r="D3439" i="12"/>
  <c r="D3438" i="12"/>
  <c r="D3437" i="12"/>
  <c r="D3436" i="12"/>
  <c r="D3435" i="12"/>
  <c r="D3434" i="12"/>
  <c r="D3433" i="12"/>
  <c r="D3432" i="12"/>
  <c r="D3431" i="12"/>
  <c r="D3430" i="12"/>
  <c r="D3429" i="12"/>
  <c r="D3428" i="12"/>
  <c r="D3427" i="12"/>
  <c r="D3426" i="12"/>
  <c r="D3425" i="12"/>
  <c r="D3424" i="12"/>
  <c r="D3423" i="12"/>
  <c r="D3422" i="12"/>
  <c r="D3421" i="12"/>
  <c r="D3420" i="12"/>
  <c r="D3419" i="12"/>
  <c r="D3418" i="12"/>
  <c r="D3417" i="12"/>
  <c r="D3416" i="12"/>
  <c r="D3415" i="12"/>
  <c r="D3414" i="12"/>
  <c r="D3413" i="12"/>
  <c r="D3412" i="12"/>
  <c r="D3411" i="12"/>
  <c r="D3410" i="12"/>
  <c r="D3409" i="12"/>
  <c r="D3408" i="12"/>
  <c r="D3407" i="12"/>
  <c r="D3406" i="12"/>
  <c r="D3405" i="12"/>
  <c r="D3404" i="12"/>
  <c r="D3403" i="12"/>
  <c r="D3402" i="12"/>
  <c r="D3401" i="12"/>
  <c r="D3400" i="12"/>
  <c r="D3399" i="12"/>
  <c r="D3398" i="12"/>
  <c r="D3397" i="12"/>
  <c r="D3396" i="12"/>
  <c r="D3395" i="12"/>
  <c r="D3394" i="12"/>
  <c r="D3393" i="12"/>
  <c r="D3392" i="12"/>
  <c r="D3391" i="12"/>
  <c r="D3390" i="12"/>
  <c r="D3389" i="12"/>
  <c r="D3388" i="12"/>
  <c r="D3387" i="12"/>
  <c r="D3386" i="12"/>
  <c r="D3385" i="12"/>
  <c r="D3384" i="12"/>
  <c r="D3383" i="12"/>
  <c r="D3382" i="12"/>
  <c r="D3381" i="12"/>
  <c r="D3380" i="12"/>
  <c r="D3379" i="12"/>
  <c r="D3378" i="12"/>
  <c r="D3377" i="12"/>
  <c r="D3376" i="12"/>
  <c r="D3375" i="12"/>
  <c r="D3374" i="12"/>
  <c r="D3373" i="12"/>
  <c r="D3372" i="12"/>
  <c r="D3371" i="12"/>
  <c r="D3370" i="12"/>
  <c r="D3369" i="12"/>
  <c r="D3368" i="12"/>
  <c r="D3367" i="12"/>
  <c r="D3366" i="12"/>
  <c r="D3365" i="12"/>
  <c r="D3364" i="12"/>
  <c r="D3363" i="12"/>
  <c r="D3362" i="12"/>
  <c r="D3361" i="12"/>
  <c r="D3360" i="12"/>
  <c r="D3359" i="12"/>
  <c r="D3358" i="12"/>
  <c r="D3357" i="12"/>
  <c r="D3356" i="12"/>
  <c r="D3355" i="12"/>
  <c r="D3354" i="12"/>
  <c r="D3353" i="12"/>
  <c r="D3352" i="12"/>
  <c r="D3351" i="12"/>
  <c r="D3350" i="12"/>
  <c r="D3349" i="12"/>
  <c r="D3348" i="12"/>
  <c r="D3347" i="12"/>
  <c r="D3346" i="12"/>
  <c r="D3345" i="12"/>
  <c r="D3344" i="12"/>
  <c r="D3343" i="12"/>
  <c r="D3342" i="12"/>
  <c r="D3341" i="12"/>
  <c r="D3340" i="12"/>
  <c r="D3339" i="12"/>
  <c r="D3338" i="12"/>
  <c r="D3337" i="12"/>
  <c r="D3336" i="12"/>
  <c r="D3335" i="12"/>
  <c r="D3334" i="12"/>
  <c r="D3333" i="12"/>
  <c r="D3332" i="12"/>
  <c r="D3331" i="12"/>
  <c r="D3330" i="12"/>
  <c r="D3329" i="12"/>
  <c r="D3328" i="12"/>
  <c r="D3327" i="12"/>
  <c r="D3326" i="12"/>
  <c r="D3325" i="12"/>
  <c r="D3324" i="12"/>
  <c r="D3323" i="12"/>
  <c r="D3322" i="12"/>
  <c r="D3321" i="12"/>
  <c r="D3320" i="12"/>
  <c r="D3319" i="12"/>
  <c r="D3318" i="12"/>
  <c r="D3317" i="12"/>
  <c r="D3316" i="12"/>
  <c r="D3315" i="12"/>
  <c r="D3314" i="12"/>
  <c r="D3313" i="12"/>
  <c r="D3312" i="12"/>
  <c r="D3311" i="12"/>
  <c r="D3310" i="12"/>
  <c r="D3309" i="12"/>
  <c r="D3308" i="12"/>
  <c r="D3307" i="12"/>
  <c r="D3306" i="12"/>
  <c r="D3305" i="12"/>
  <c r="D3304" i="12"/>
  <c r="D3303" i="12"/>
  <c r="D3302" i="12"/>
  <c r="D3301" i="12"/>
  <c r="D3300" i="12"/>
  <c r="D3299" i="12"/>
  <c r="D3298" i="12"/>
  <c r="D3297" i="12"/>
  <c r="D3296" i="12"/>
  <c r="D3295" i="12"/>
  <c r="D3294" i="12"/>
  <c r="D3293" i="12"/>
  <c r="D3292" i="12"/>
  <c r="D3291" i="12"/>
  <c r="D3290" i="12"/>
  <c r="D3289" i="12"/>
  <c r="D3288" i="12"/>
  <c r="D3287" i="12"/>
  <c r="D3286" i="12"/>
  <c r="D3285" i="12"/>
  <c r="D3284" i="12"/>
  <c r="D3283" i="12"/>
  <c r="D3282" i="12"/>
  <c r="D3281" i="12"/>
  <c r="D3280" i="12"/>
  <c r="D3279" i="12"/>
  <c r="D3278" i="12"/>
  <c r="D3277" i="12"/>
  <c r="D3276" i="12"/>
  <c r="D3275" i="12"/>
  <c r="D3274" i="12"/>
  <c r="D3273" i="12"/>
  <c r="D3272" i="12"/>
  <c r="D3271" i="12"/>
  <c r="D3270" i="12"/>
  <c r="D3269" i="12"/>
  <c r="D3268" i="12"/>
  <c r="D3267" i="12"/>
  <c r="D3266" i="12"/>
  <c r="D3265" i="12"/>
  <c r="D3264" i="12"/>
  <c r="D3263" i="12"/>
  <c r="D3262" i="12"/>
  <c r="D3261" i="12"/>
  <c r="D3260" i="12"/>
  <c r="D3259" i="12"/>
  <c r="D3258" i="12"/>
  <c r="D3257" i="12"/>
  <c r="D3256" i="12"/>
  <c r="D3255" i="12"/>
  <c r="D3254" i="12"/>
  <c r="D3253" i="12"/>
  <c r="D3252" i="12"/>
  <c r="D3251" i="12"/>
  <c r="D3250" i="12"/>
  <c r="D3249" i="12"/>
  <c r="D3248" i="12"/>
  <c r="D3247" i="12"/>
  <c r="D3246" i="12"/>
  <c r="D3245" i="12"/>
  <c r="D3244" i="12"/>
  <c r="D3243" i="12"/>
  <c r="D3242" i="12"/>
  <c r="D3241" i="12"/>
  <c r="D3240" i="12"/>
  <c r="D3239" i="12"/>
  <c r="D3238" i="12"/>
  <c r="D3237" i="12"/>
  <c r="D3236" i="12"/>
  <c r="D3235" i="12"/>
  <c r="D3234" i="12"/>
  <c r="D3233" i="12"/>
  <c r="D3232" i="12"/>
  <c r="D3231" i="12"/>
  <c r="D3230" i="12"/>
  <c r="D3229" i="12"/>
  <c r="D3228" i="12"/>
  <c r="D3227" i="12"/>
  <c r="D3226" i="12"/>
  <c r="D3225" i="12"/>
  <c r="D3224" i="12"/>
  <c r="D3223" i="12"/>
  <c r="D3222" i="12"/>
  <c r="D3221" i="12"/>
  <c r="D3220" i="12"/>
  <c r="D3219" i="12"/>
  <c r="D3218" i="12"/>
  <c r="D3217" i="12"/>
  <c r="D3216" i="12"/>
  <c r="D3215" i="12"/>
  <c r="D3214" i="12"/>
  <c r="D3213" i="12"/>
  <c r="D3212" i="12"/>
  <c r="D3211" i="12"/>
  <c r="D3210" i="12"/>
  <c r="D3209" i="12"/>
  <c r="D3208" i="12"/>
  <c r="D3207" i="12"/>
  <c r="D3206" i="12"/>
  <c r="D3205" i="12"/>
  <c r="D3204" i="12"/>
  <c r="D3203" i="12"/>
  <c r="D3202" i="12"/>
  <c r="D3201" i="12"/>
  <c r="D3200" i="12"/>
  <c r="D3199" i="12"/>
  <c r="D3198" i="12"/>
  <c r="D3197" i="12"/>
  <c r="D3196" i="12"/>
  <c r="D3195" i="12"/>
  <c r="D3194" i="12"/>
  <c r="D3193" i="12"/>
  <c r="D3192" i="12"/>
  <c r="D3191" i="12"/>
  <c r="D3190" i="12"/>
  <c r="D3189" i="12"/>
  <c r="D3188" i="12"/>
  <c r="D3187" i="12"/>
  <c r="D3186" i="12"/>
  <c r="D3185" i="12"/>
  <c r="D3184" i="12"/>
  <c r="D3183" i="12"/>
  <c r="D3182" i="12"/>
  <c r="D3181" i="12"/>
  <c r="D3180" i="12"/>
  <c r="D3179" i="12"/>
  <c r="D3178" i="12"/>
  <c r="D3177" i="12"/>
  <c r="D3176" i="12"/>
  <c r="D3175" i="12"/>
  <c r="D3174" i="12"/>
  <c r="D3173" i="12"/>
  <c r="D3172" i="12"/>
  <c r="D3171" i="12"/>
  <c r="D3170" i="12"/>
  <c r="D3169" i="12"/>
  <c r="D3168" i="12"/>
  <c r="D3167" i="12"/>
  <c r="D3166" i="12"/>
  <c r="D3165" i="12"/>
  <c r="D3164" i="12"/>
  <c r="D3163" i="12"/>
  <c r="D3162" i="12"/>
  <c r="D3161" i="12"/>
  <c r="D3160" i="12"/>
  <c r="D3159" i="12"/>
  <c r="D3158" i="12"/>
  <c r="D3157" i="12"/>
  <c r="D3156" i="12"/>
  <c r="D3155" i="12"/>
  <c r="D3154" i="12"/>
  <c r="D3153" i="12"/>
  <c r="D3152" i="12"/>
  <c r="D3151" i="12"/>
  <c r="D3150" i="12"/>
  <c r="D3149" i="12"/>
  <c r="D3148" i="12"/>
  <c r="D3147" i="12"/>
  <c r="D3146" i="12"/>
  <c r="D3145" i="12"/>
  <c r="D3144" i="12"/>
  <c r="D3143" i="12"/>
  <c r="D3142" i="12"/>
  <c r="D3141" i="12"/>
  <c r="D3140" i="12"/>
  <c r="D3139" i="12"/>
  <c r="D3138" i="12"/>
  <c r="D3137" i="12"/>
  <c r="D3136" i="12"/>
  <c r="D3135" i="12"/>
  <c r="D3134" i="12"/>
  <c r="D3133" i="12"/>
  <c r="D3132" i="12"/>
  <c r="D3131" i="12"/>
  <c r="D3130" i="12"/>
  <c r="D3129" i="12"/>
  <c r="D3128" i="12"/>
  <c r="D3127" i="12"/>
  <c r="D3126" i="12"/>
  <c r="D3125" i="12"/>
  <c r="D3124" i="12"/>
  <c r="D3123" i="12"/>
  <c r="D3122" i="12"/>
  <c r="D3121" i="12"/>
  <c r="D3120" i="12"/>
  <c r="D3119" i="12"/>
  <c r="D3118" i="12"/>
  <c r="D3117" i="12"/>
  <c r="D3116" i="12"/>
  <c r="D3115" i="12"/>
  <c r="D3114" i="12"/>
  <c r="D3113" i="12"/>
  <c r="D3112" i="12"/>
  <c r="D3111" i="12"/>
  <c r="D3110" i="12"/>
  <c r="D3109" i="12"/>
  <c r="D3108" i="12"/>
  <c r="D3107" i="12"/>
  <c r="D3106" i="12"/>
  <c r="D3105" i="12"/>
  <c r="D3104" i="12"/>
  <c r="D3103" i="12"/>
  <c r="D3102" i="12"/>
  <c r="D3101" i="12"/>
  <c r="D3100" i="12"/>
  <c r="D3099" i="12"/>
  <c r="D3098" i="12"/>
  <c r="D3097" i="12"/>
  <c r="D3096" i="12"/>
  <c r="D3095" i="12"/>
  <c r="D3094" i="12"/>
  <c r="D3093" i="12"/>
  <c r="D3092" i="12"/>
  <c r="D3091" i="12"/>
  <c r="D3090" i="12"/>
  <c r="D3089" i="12"/>
  <c r="D3088" i="12"/>
  <c r="D3087" i="12"/>
  <c r="D3086" i="12"/>
  <c r="D3085" i="12"/>
  <c r="D3084" i="12"/>
  <c r="D3083" i="12"/>
  <c r="D3082" i="12"/>
  <c r="D3081" i="12"/>
  <c r="D3080" i="12"/>
  <c r="D3079" i="12"/>
  <c r="D3078" i="12"/>
  <c r="D3077" i="12"/>
  <c r="D3076" i="12"/>
  <c r="D3075" i="12"/>
  <c r="D3074" i="12"/>
  <c r="D3073" i="12"/>
  <c r="D3072" i="12"/>
  <c r="D3071" i="12"/>
  <c r="D3070" i="12"/>
  <c r="D3069" i="12"/>
  <c r="D3068" i="12"/>
  <c r="D3067" i="12"/>
  <c r="D3066" i="12"/>
  <c r="D3065" i="12"/>
  <c r="D3064" i="12"/>
  <c r="D3063" i="12"/>
  <c r="D3062" i="12"/>
  <c r="D3061" i="12"/>
  <c r="D3060" i="12"/>
  <c r="D3059" i="12"/>
  <c r="D3058" i="12"/>
  <c r="D3057" i="12"/>
  <c r="D3056" i="12"/>
  <c r="D3055" i="12"/>
  <c r="D3054" i="12"/>
  <c r="D3053" i="12"/>
  <c r="D3052" i="12"/>
  <c r="D3051" i="12"/>
  <c r="D3050" i="12"/>
  <c r="D3049" i="12"/>
  <c r="D3048" i="12"/>
  <c r="D3047" i="12"/>
  <c r="D3046" i="12"/>
  <c r="D3045" i="12"/>
  <c r="D3044" i="12"/>
  <c r="D3043" i="12"/>
  <c r="D3042" i="12"/>
  <c r="D3041" i="12"/>
  <c r="D3040" i="12"/>
  <c r="D3039" i="12"/>
  <c r="D3038" i="12"/>
  <c r="D3037" i="12"/>
  <c r="D3036" i="12"/>
  <c r="D3035" i="12"/>
  <c r="D3034" i="12"/>
  <c r="D3033" i="12"/>
  <c r="D3032" i="12"/>
  <c r="D3031" i="12"/>
  <c r="D3030" i="12"/>
  <c r="D3029" i="12"/>
  <c r="D3028" i="12"/>
  <c r="D3027" i="12"/>
  <c r="D3026" i="12"/>
  <c r="D3025" i="12"/>
  <c r="D3024" i="12"/>
  <c r="D3023" i="12"/>
  <c r="D3022" i="12"/>
  <c r="D3021" i="12"/>
  <c r="D3020" i="12"/>
  <c r="D3019" i="12"/>
  <c r="D3018" i="12"/>
  <c r="D3017" i="12"/>
  <c r="D3016" i="12"/>
  <c r="D3015" i="12"/>
  <c r="D3014" i="12"/>
  <c r="D3013" i="12"/>
  <c r="D3012" i="12"/>
  <c r="D3011" i="12"/>
  <c r="D3010" i="12"/>
  <c r="D3009" i="12"/>
  <c r="D3008" i="12"/>
  <c r="D3007" i="12"/>
  <c r="D3006" i="12"/>
  <c r="D3005" i="12"/>
  <c r="D3004" i="12"/>
  <c r="D3003" i="12"/>
  <c r="D3002" i="12"/>
  <c r="D3001" i="12"/>
  <c r="D3000" i="12"/>
  <c r="D2999" i="12"/>
  <c r="D2998" i="12"/>
  <c r="D2997" i="12"/>
  <c r="D2996" i="12"/>
  <c r="D2995" i="12"/>
  <c r="D2994" i="12"/>
  <c r="D2993" i="12"/>
  <c r="D2992" i="12"/>
  <c r="D2991" i="12"/>
  <c r="D2990" i="12"/>
  <c r="D2989" i="12"/>
  <c r="D2988" i="12"/>
  <c r="D2987" i="12"/>
  <c r="D2986" i="12"/>
  <c r="D2985" i="12"/>
  <c r="D2984" i="12"/>
  <c r="D2983" i="12"/>
  <c r="D2982" i="12"/>
  <c r="D2981" i="12"/>
  <c r="D2980" i="12"/>
  <c r="D2979" i="12"/>
  <c r="D2978" i="12"/>
  <c r="D2977" i="12"/>
  <c r="D2976" i="12"/>
  <c r="D2975" i="12"/>
  <c r="D2974" i="12"/>
  <c r="D2973" i="12"/>
  <c r="D2972" i="12"/>
  <c r="D2971" i="12"/>
  <c r="D2970" i="12"/>
  <c r="D2969" i="12"/>
  <c r="D2968" i="12"/>
  <c r="D2967" i="12"/>
  <c r="D2966" i="12"/>
  <c r="D2965" i="12"/>
  <c r="D2964" i="12"/>
  <c r="D2963" i="12"/>
  <c r="D2962" i="12"/>
  <c r="D2961" i="12"/>
  <c r="D2960" i="12"/>
  <c r="D2959" i="12"/>
  <c r="D2958" i="12"/>
  <c r="D2957" i="12"/>
  <c r="D2956" i="12"/>
  <c r="D2955" i="12"/>
  <c r="D2954" i="12"/>
  <c r="D2953" i="12"/>
  <c r="D2952" i="12"/>
  <c r="D2951" i="12"/>
  <c r="D2950" i="12"/>
  <c r="D2949" i="12"/>
  <c r="D2948" i="12"/>
  <c r="D2947" i="12"/>
  <c r="D2946" i="12"/>
  <c r="D2945" i="12"/>
  <c r="D2944" i="12"/>
  <c r="D2943" i="12"/>
  <c r="D2942" i="12"/>
  <c r="D2941" i="12"/>
  <c r="D2940" i="12"/>
  <c r="D2939" i="12"/>
  <c r="D2938" i="12"/>
  <c r="D2937" i="12"/>
  <c r="D2936" i="12"/>
  <c r="D2935" i="12"/>
  <c r="D2934" i="12"/>
  <c r="D2933" i="12"/>
  <c r="D2932" i="12"/>
  <c r="D2931" i="12"/>
  <c r="D2930" i="12"/>
  <c r="D2929" i="12"/>
  <c r="D2928" i="12"/>
  <c r="D2927" i="12"/>
  <c r="D2926" i="12"/>
  <c r="D2925" i="12"/>
  <c r="D2924" i="12"/>
  <c r="D2923" i="12"/>
  <c r="D2922" i="12"/>
  <c r="D2921" i="12"/>
  <c r="D2920" i="12"/>
  <c r="D2919" i="12"/>
  <c r="D2918" i="12"/>
  <c r="D2917" i="12"/>
  <c r="D2916" i="12"/>
  <c r="D2915" i="12"/>
  <c r="D2914" i="12"/>
  <c r="D2913" i="12"/>
  <c r="D2912" i="12"/>
  <c r="D2911" i="12"/>
  <c r="D2910" i="12"/>
  <c r="D2909" i="12"/>
  <c r="D2908" i="12"/>
  <c r="D2907" i="12"/>
  <c r="D2906" i="12"/>
  <c r="D2905" i="12"/>
  <c r="D2904" i="12"/>
  <c r="D2903" i="12"/>
  <c r="D2902" i="12"/>
  <c r="D2901" i="12"/>
  <c r="D2900" i="12"/>
  <c r="D2899" i="12"/>
  <c r="D2898" i="12"/>
  <c r="D2897" i="12"/>
  <c r="D2896" i="12"/>
  <c r="D2895" i="12"/>
  <c r="D2894" i="12"/>
  <c r="D2893" i="12"/>
  <c r="D2892" i="12"/>
  <c r="D2891" i="12"/>
  <c r="D2890" i="12"/>
  <c r="D2889" i="12"/>
  <c r="D2888" i="12"/>
  <c r="D2887" i="12"/>
  <c r="D2886" i="12"/>
  <c r="D2885" i="12"/>
  <c r="D2884" i="12"/>
  <c r="D2883" i="12"/>
  <c r="D2882" i="12"/>
  <c r="D2881" i="12"/>
  <c r="D2880" i="12"/>
  <c r="D2879" i="12"/>
  <c r="D2878" i="12"/>
  <c r="D2877" i="12"/>
  <c r="D2876" i="12"/>
  <c r="D2875" i="12"/>
  <c r="D2874" i="12"/>
  <c r="D2873" i="12"/>
  <c r="D2872" i="12"/>
  <c r="D2871" i="12"/>
  <c r="D2870" i="12"/>
  <c r="D2869" i="12"/>
  <c r="D2868" i="12"/>
  <c r="D2867" i="12"/>
  <c r="D2866" i="12"/>
  <c r="D2865" i="12"/>
  <c r="D2864" i="12"/>
  <c r="D2863" i="12"/>
  <c r="D2862" i="12"/>
  <c r="D2861" i="12"/>
  <c r="D2860" i="12"/>
  <c r="D2859" i="12"/>
  <c r="D2858" i="12"/>
  <c r="D2857" i="12"/>
  <c r="D2856" i="12"/>
  <c r="D2855" i="12"/>
  <c r="D2854" i="12"/>
  <c r="D2853" i="12"/>
  <c r="D2852" i="12"/>
  <c r="D2851" i="12"/>
  <c r="D2850" i="12"/>
  <c r="D2849" i="12"/>
  <c r="D2848" i="12"/>
  <c r="D2847" i="12"/>
  <c r="D2846" i="12"/>
  <c r="D2845" i="12"/>
  <c r="D2844" i="12"/>
  <c r="D2843" i="12"/>
  <c r="D2842" i="12"/>
  <c r="D2841" i="12"/>
  <c r="D2840" i="12"/>
  <c r="D2839" i="12"/>
  <c r="D2838" i="12"/>
  <c r="D2837" i="12"/>
  <c r="D2836" i="12"/>
  <c r="D2835" i="12"/>
  <c r="D2834" i="12"/>
  <c r="D2833" i="12"/>
  <c r="D2832" i="12"/>
  <c r="D2831" i="12"/>
  <c r="D2830" i="12"/>
  <c r="D2829" i="12"/>
  <c r="D2828" i="12"/>
  <c r="D2827" i="12"/>
  <c r="D2826" i="12"/>
  <c r="D2825" i="12"/>
  <c r="D2824" i="12"/>
  <c r="D2823" i="12"/>
  <c r="D2822" i="12"/>
  <c r="D2821" i="12"/>
  <c r="D2820" i="12"/>
  <c r="D2819" i="12"/>
  <c r="D2818" i="12"/>
  <c r="D2817" i="12"/>
  <c r="D2816" i="12"/>
  <c r="D2815" i="12"/>
  <c r="D2814" i="12"/>
  <c r="D2813" i="12"/>
  <c r="D2812" i="12"/>
  <c r="D2811" i="12"/>
  <c r="D2810" i="12"/>
  <c r="D2809" i="12"/>
  <c r="D2808" i="12"/>
  <c r="D2807" i="12"/>
  <c r="D2806" i="12"/>
  <c r="D2805" i="12"/>
  <c r="D2804" i="12"/>
  <c r="D2803" i="12"/>
  <c r="D2802" i="12"/>
  <c r="D2801" i="12"/>
  <c r="D2800" i="12"/>
  <c r="D2799" i="12"/>
  <c r="D2798" i="12"/>
  <c r="D2797" i="12"/>
  <c r="D2796" i="12"/>
  <c r="D2795" i="12"/>
  <c r="D2794" i="12"/>
  <c r="D2793" i="12"/>
  <c r="D2792" i="12"/>
  <c r="D2791" i="12"/>
  <c r="D2790" i="12"/>
  <c r="D2789" i="12"/>
  <c r="D2788" i="12"/>
  <c r="D2787" i="12"/>
  <c r="D2786" i="12"/>
  <c r="D2785" i="12"/>
  <c r="D2784" i="12"/>
  <c r="D2783" i="12"/>
  <c r="D2782" i="12"/>
  <c r="D2781" i="12"/>
  <c r="D2780" i="12"/>
  <c r="D2779" i="12"/>
  <c r="D2778" i="12"/>
  <c r="D2777" i="12"/>
  <c r="D2776" i="12"/>
  <c r="D2775" i="12"/>
  <c r="D2774" i="12"/>
  <c r="D2773" i="12"/>
  <c r="D2772" i="12"/>
  <c r="D2771" i="12"/>
  <c r="D2770" i="12"/>
  <c r="D2769" i="12"/>
  <c r="D2768" i="12"/>
  <c r="D2767" i="12"/>
  <c r="D2766" i="12"/>
  <c r="D2765" i="12"/>
  <c r="D2764" i="12"/>
  <c r="D2763" i="12"/>
  <c r="D2762" i="12"/>
  <c r="D2761" i="12"/>
  <c r="D2760" i="12"/>
  <c r="D2759" i="12"/>
  <c r="D2758" i="12"/>
  <c r="D2757" i="12"/>
  <c r="D2756" i="12"/>
  <c r="D2755" i="12"/>
  <c r="D2754" i="12"/>
  <c r="D2753" i="12"/>
  <c r="D2752" i="12"/>
  <c r="D2751" i="12"/>
  <c r="D2750" i="12"/>
  <c r="D2749" i="12"/>
  <c r="D2748" i="12"/>
  <c r="D2747" i="12"/>
  <c r="D2746" i="12"/>
  <c r="D2745" i="12"/>
  <c r="D2744" i="12"/>
  <c r="D2743" i="12"/>
  <c r="D2742" i="12"/>
  <c r="D2741" i="12"/>
  <c r="D2740" i="12"/>
  <c r="D2739" i="12"/>
  <c r="D2738" i="12"/>
  <c r="D2737" i="12"/>
  <c r="D2736" i="12"/>
  <c r="D2735" i="12"/>
  <c r="D2734" i="12"/>
  <c r="D2733" i="12"/>
  <c r="D2732" i="12"/>
  <c r="D2731" i="12"/>
  <c r="D2730" i="12"/>
  <c r="D2729" i="12"/>
  <c r="D2728" i="12"/>
  <c r="D2727" i="12"/>
  <c r="D2726" i="12"/>
  <c r="D2725" i="12"/>
  <c r="D2724" i="12"/>
  <c r="D2723" i="12"/>
  <c r="D2722" i="12"/>
  <c r="D2721" i="12"/>
  <c r="D2720" i="12"/>
  <c r="D2719" i="12"/>
  <c r="D2718" i="12"/>
  <c r="D2717" i="12"/>
  <c r="D2716" i="12"/>
  <c r="D2715" i="12"/>
  <c r="D2714" i="12"/>
  <c r="D2713" i="12"/>
  <c r="D2712" i="12"/>
  <c r="D2711" i="12"/>
  <c r="D2710" i="12"/>
  <c r="D2709" i="12"/>
  <c r="D2708" i="12"/>
  <c r="D2707" i="12"/>
  <c r="D2706" i="12"/>
  <c r="D2705" i="12"/>
  <c r="D2704" i="12"/>
  <c r="D2703" i="12"/>
  <c r="D2702" i="12"/>
  <c r="D2701" i="12"/>
  <c r="D2700" i="12"/>
  <c r="D2699" i="12"/>
  <c r="D2698" i="12"/>
  <c r="D2697" i="12"/>
  <c r="D2696" i="12"/>
  <c r="D2695" i="12"/>
  <c r="D2694" i="12"/>
  <c r="D2693" i="12"/>
  <c r="D2692" i="12"/>
  <c r="D2691" i="12"/>
  <c r="D2690" i="12"/>
  <c r="D2689" i="12"/>
  <c r="D2688" i="12"/>
  <c r="D2687" i="12"/>
  <c r="D2686" i="12"/>
  <c r="D2685" i="12"/>
  <c r="D2684" i="12"/>
  <c r="D2683" i="12"/>
  <c r="D2682" i="12"/>
  <c r="D2681" i="12"/>
  <c r="D2680" i="12"/>
  <c r="D2679" i="12"/>
  <c r="D2678" i="12"/>
  <c r="D2677" i="12"/>
  <c r="D2676" i="12"/>
  <c r="D2675" i="12"/>
  <c r="D2674" i="12"/>
  <c r="D2673" i="12"/>
  <c r="D2672" i="12"/>
  <c r="D2671" i="12"/>
  <c r="D2670" i="12"/>
  <c r="D2669" i="12"/>
  <c r="D2668" i="12"/>
  <c r="D2667" i="12"/>
  <c r="D2666" i="12"/>
  <c r="D2665" i="12"/>
  <c r="D2664" i="12"/>
  <c r="D2663" i="12"/>
  <c r="D2662" i="12"/>
  <c r="D2661" i="12"/>
  <c r="D2660" i="12"/>
  <c r="D2659" i="12"/>
  <c r="D2658" i="12"/>
  <c r="D2657" i="12"/>
  <c r="D2656" i="12"/>
  <c r="D2655" i="12"/>
  <c r="D2654" i="12"/>
  <c r="D2653" i="12"/>
  <c r="D2652" i="12"/>
  <c r="D2651" i="12"/>
  <c r="D2650" i="12"/>
  <c r="D2649" i="12"/>
  <c r="D2648" i="12"/>
  <c r="D2647" i="12"/>
  <c r="D2646" i="12"/>
  <c r="D2645" i="12"/>
  <c r="D2644" i="12"/>
  <c r="D2643" i="12"/>
  <c r="D2642" i="12"/>
  <c r="D2641" i="12"/>
  <c r="D2640" i="12"/>
  <c r="D2639" i="12"/>
  <c r="D2638" i="12"/>
  <c r="D2637" i="12"/>
  <c r="D2636" i="12"/>
  <c r="D2635" i="12"/>
  <c r="D2634" i="12"/>
  <c r="D2633" i="12"/>
  <c r="D2632" i="12"/>
  <c r="D2631" i="12"/>
  <c r="D2630" i="12"/>
  <c r="D2629" i="12"/>
  <c r="D2628" i="12"/>
  <c r="D2627" i="12"/>
  <c r="D2626" i="12"/>
  <c r="D2625" i="12"/>
  <c r="D2624" i="12"/>
  <c r="D2623" i="12"/>
  <c r="D2622" i="12"/>
  <c r="D2621" i="12"/>
  <c r="D2620" i="12"/>
  <c r="D2619" i="12"/>
  <c r="D2618" i="12"/>
  <c r="D2617" i="12"/>
  <c r="D2616" i="12"/>
  <c r="D2615" i="12"/>
  <c r="D2614" i="12"/>
  <c r="D2613" i="12"/>
  <c r="D2612" i="12"/>
  <c r="D2611" i="12"/>
  <c r="D2610" i="12"/>
  <c r="D2609" i="12"/>
  <c r="D2608" i="12"/>
  <c r="D2607" i="12"/>
  <c r="D2606" i="12"/>
  <c r="D2605" i="12"/>
  <c r="D2604" i="12"/>
  <c r="D2603" i="12"/>
  <c r="D2602" i="12"/>
  <c r="D2601" i="12"/>
  <c r="D2600" i="12"/>
  <c r="D2599" i="12"/>
  <c r="D2598" i="12"/>
  <c r="D2597" i="12"/>
  <c r="D2596" i="12"/>
  <c r="D2595" i="12"/>
  <c r="D2594" i="12"/>
  <c r="D2593" i="12"/>
  <c r="D2592" i="12"/>
  <c r="D2591" i="12"/>
  <c r="D2590" i="12"/>
  <c r="D2589" i="12"/>
  <c r="D2588" i="12"/>
  <c r="D2587" i="12"/>
  <c r="D2586" i="12"/>
  <c r="D2585" i="12"/>
  <c r="D2584" i="12"/>
  <c r="D2583" i="12"/>
  <c r="D2582" i="12"/>
  <c r="D2581" i="12"/>
  <c r="D2580" i="12"/>
  <c r="D2579" i="12"/>
  <c r="D2578" i="12"/>
  <c r="D2577" i="12"/>
  <c r="D2576" i="12"/>
  <c r="D2575" i="12"/>
  <c r="D2574" i="12"/>
  <c r="D2573" i="12"/>
  <c r="D2572" i="12"/>
  <c r="D2571" i="12"/>
  <c r="D2570" i="12"/>
  <c r="D2569" i="12"/>
  <c r="D2568" i="12"/>
  <c r="D2567" i="12"/>
  <c r="D2566" i="12"/>
  <c r="D2565" i="12"/>
  <c r="D2564" i="12"/>
  <c r="D2563" i="12"/>
  <c r="D2562" i="12"/>
  <c r="D2561" i="12"/>
  <c r="D2560" i="12"/>
  <c r="D2559" i="12"/>
  <c r="D2558" i="12"/>
  <c r="D2557" i="12"/>
  <c r="D2556" i="12"/>
  <c r="D2555" i="12"/>
  <c r="D2554" i="12"/>
  <c r="D2553" i="12"/>
  <c r="D2552" i="12"/>
  <c r="D2551" i="12"/>
  <c r="D2550" i="12"/>
  <c r="D2549" i="12"/>
  <c r="D2548" i="12"/>
  <c r="D2547" i="12"/>
  <c r="D2546" i="12"/>
  <c r="D2545" i="12"/>
  <c r="D2544" i="12"/>
  <c r="D2543" i="12"/>
  <c r="D2542" i="12"/>
  <c r="D2541" i="12"/>
  <c r="D2540" i="12"/>
  <c r="D2539" i="12"/>
  <c r="D2538" i="12"/>
  <c r="D2537" i="12"/>
  <c r="D2536" i="12"/>
  <c r="D2535" i="12"/>
  <c r="D2534" i="12"/>
  <c r="D2533" i="12"/>
  <c r="D2532" i="12"/>
  <c r="D2531" i="12"/>
  <c r="D2530" i="12"/>
  <c r="D2529" i="12"/>
  <c r="D2528" i="12"/>
  <c r="D2527" i="12"/>
  <c r="D2526" i="12"/>
  <c r="D2525" i="12"/>
  <c r="D2524" i="12"/>
  <c r="D2523" i="12"/>
  <c r="D2522" i="12"/>
  <c r="D2521" i="12"/>
  <c r="D2520" i="12"/>
  <c r="D2519" i="12"/>
  <c r="D2518" i="12"/>
  <c r="D2517" i="12"/>
  <c r="D2516" i="12"/>
  <c r="D2515" i="12"/>
  <c r="D2514" i="12"/>
  <c r="D2513" i="12"/>
  <c r="D2512" i="12"/>
  <c r="D2511" i="12"/>
  <c r="D2510" i="12"/>
  <c r="D2509" i="12"/>
  <c r="D2508" i="12"/>
  <c r="D2507" i="12"/>
  <c r="D2506" i="12"/>
  <c r="D2505" i="12"/>
  <c r="D2504" i="12"/>
  <c r="D2503" i="12"/>
  <c r="D2502" i="12"/>
  <c r="D2501" i="12"/>
  <c r="D2500" i="12"/>
  <c r="D2499" i="12"/>
  <c r="D2498" i="12"/>
  <c r="D2497" i="12"/>
  <c r="D2496" i="12"/>
  <c r="D2495" i="12"/>
  <c r="D2494" i="12"/>
  <c r="D2493" i="12"/>
  <c r="D2492" i="12"/>
  <c r="D2491" i="12"/>
  <c r="D2490" i="12"/>
  <c r="D2489" i="12"/>
  <c r="D2488" i="12"/>
  <c r="D2487" i="12"/>
  <c r="D2486" i="12"/>
  <c r="D2485" i="12"/>
  <c r="D2484" i="12"/>
  <c r="D2483" i="12"/>
  <c r="D2482" i="12"/>
  <c r="D2481" i="12"/>
  <c r="D2480" i="12"/>
  <c r="D2479" i="12"/>
  <c r="D2478" i="12"/>
  <c r="D2477" i="12"/>
  <c r="D2476" i="12"/>
  <c r="D2475" i="12"/>
  <c r="D2474" i="12"/>
  <c r="D2473" i="12"/>
  <c r="D2472" i="12"/>
  <c r="D2471" i="12"/>
  <c r="D2470" i="12"/>
  <c r="D2469" i="12"/>
  <c r="D2468" i="12"/>
  <c r="D2467" i="12"/>
  <c r="D2466" i="12"/>
  <c r="D2465" i="12"/>
  <c r="D2464" i="12"/>
  <c r="D2463" i="12"/>
  <c r="D2462" i="12"/>
  <c r="D2461" i="12"/>
  <c r="D2460" i="12"/>
  <c r="D2459" i="12"/>
  <c r="D2458" i="12"/>
  <c r="D2457" i="12"/>
  <c r="D2456" i="12"/>
  <c r="D2455" i="12"/>
  <c r="D2454" i="12"/>
  <c r="D2453" i="12"/>
  <c r="D2452" i="12"/>
  <c r="D2451" i="12"/>
  <c r="D2450" i="12"/>
  <c r="D2449" i="12"/>
  <c r="D2448" i="12"/>
  <c r="D2447" i="12"/>
  <c r="D2446" i="12"/>
  <c r="D2445" i="12"/>
  <c r="D2444" i="12"/>
  <c r="D2443" i="12"/>
  <c r="D2442" i="12"/>
  <c r="D2441" i="12"/>
  <c r="D2440" i="12"/>
  <c r="D2439" i="12"/>
  <c r="D2438" i="12"/>
  <c r="D2437" i="12"/>
  <c r="D2436" i="12"/>
  <c r="D2435" i="12"/>
  <c r="D2434" i="12"/>
  <c r="D2433" i="12"/>
  <c r="D2432" i="12"/>
  <c r="D2431" i="12"/>
  <c r="D2430" i="12"/>
  <c r="D2429" i="12"/>
  <c r="D2428" i="12"/>
  <c r="D2427" i="12"/>
  <c r="D2426" i="12"/>
  <c r="D2425" i="12"/>
  <c r="D2424" i="12"/>
  <c r="D2423" i="12"/>
  <c r="D2422" i="12"/>
  <c r="D2421" i="12"/>
  <c r="D2420" i="12"/>
  <c r="D2419" i="12"/>
  <c r="D2418" i="12"/>
  <c r="D2417" i="12"/>
  <c r="D2416" i="12"/>
  <c r="D2415" i="12"/>
  <c r="D2414" i="12"/>
  <c r="D2413" i="12"/>
  <c r="D2412" i="12"/>
  <c r="D2411" i="12"/>
  <c r="D2410" i="12"/>
  <c r="D2409" i="12"/>
  <c r="D2408" i="12"/>
  <c r="D2407" i="12"/>
  <c r="D2406" i="12"/>
  <c r="D2405" i="12"/>
  <c r="D2404" i="12"/>
  <c r="D2403" i="12"/>
  <c r="D2402" i="12"/>
  <c r="D2401" i="12"/>
  <c r="D2400" i="12"/>
  <c r="D2399" i="12"/>
  <c r="D2398" i="12"/>
  <c r="D2397" i="12"/>
  <c r="D2396" i="12"/>
  <c r="D2395" i="12"/>
  <c r="D2394" i="12"/>
  <c r="D2393" i="12"/>
  <c r="D2392" i="12"/>
  <c r="D2391" i="12"/>
  <c r="D2390" i="12"/>
  <c r="D2389" i="12"/>
  <c r="D2388" i="12"/>
  <c r="D2387" i="12"/>
  <c r="D2386" i="12"/>
  <c r="D2385" i="12"/>
  <c r="D2384" i="12"/>
  <c r="D2383" i="12"/>
  <c r="D2382" i="12"/>
  <c r="D2381" i="12"/>
  <c r="D2380" i="12"/>
  <c r="D2379" i="12"/>
  <c r="D2378" i="12"/>
  <c r="D2377" i="12"/>
  <c r="D2376" i="12"/>
  <c r="D2375" i="12"/>
  <c r="D2374" i="12"/>
  <c r="D2373" i="12"/>
  <c r="D2372" i="12"/>
  <c r="D2371" i="12"/>
  <c r="D2370" i="12"/>
  <c r="D2369" i="12"/>
  <c r="D2368" i="12"/>
  <c r="D2367" i="12"/>
  <c r="D2366" i="12"/>
  <c r="D2365" i="12"/>
  <c r="D2364" i="12"/>
  <c r="D2363" i="12"/>
  <c r="D2362" i="12"/>
  <c r="D2361" i="12"/>
  <c r="D2360" i="12"/>
  <c r="D2359" i="12"/>
  <c r="D2358" i="12"/>
  <c r="D2357" i="12"/>
  <c r="D2356" i="12"/>
  <c r="D2355" i="12"/>
  <c r="D2354" i="12"/>
  <c r="D2353" i="12"/>
  <c r="D2352" i="12"/>
  <c r="D2351" i="12"/>
  <c r="D2350" i="12"/>
  <c r="D2349" i="12"/>
  <c r="D2348" i="12"/>
  <c r="D2347" i="12"/>
  <c r="D2346" i="12"/>
  <c r="D2345" i="12"/>
  <c r="D2344" i="12"/>
  <c r="D2343" i="12"/>
  <c r="D2342" i="12"/>
  <c r="D2341" i="12"/>
  <c r="D2340" i="12"/>
  <c r="D2339" i="12"/>
  <c r="D2338" i="12"/>
  <c r="D2337" i="12"/>
  <c r="D2336" i="12"/>
  <c r="D2335" i="12"/>
  <c r="D2334" i="12"/>
  <c r="D2333" i="12"/>
  <c r="D2332" i="12"/>
  <c r="D2331" i="12"/>
  <c r="D2330" i="12"/>
  <c r="D2329" i="12"/>
  <c r="D2328" i="12"/>
  <c r="D2327" i="12"/>
  <c r="D2326" i="12"/>
  <c r="D2325" i="12"/>
  <c r="D2324" i="12"/>
  <c r="D2323" i="12"/>
  <c r="D2322" i="12"/>
  <c r="D2321" i="12"/>
  <c r="D2320" i="12"/>
  <c r="D2319" i="12"/>
  <c r="D2318" i="12"/>
  <c r="D2317" i="12"/>
  <c r="D2316" i="12"/>
  <c r="D2315" i="12"/>
  <c r="D2314" i="12"/>
  <c r="D2313" i="12"/>
  <c r="D2312" i="12"/>
  <c r="D2311" i="12"/>
  <c r="D2310" i="12"/>
  <c r="D2309" i="12"/>
  <c r="D2308" i="12"/>
  <c r="D2307" i="12"/>
  <c r="D2306" i="12"/>
  <c r="D2305" i="12"/>
  <c r="D2304" i="12"/>
  <c r="D2303" i="12"/>
  <c r="D2302" i="12"/>
  <c r="D2301" i="12"/>
  <c r="D2300" i="12"/>
  <c r="D2299" i="12"/>
  <c r="D2298" i="12"/>
  <c r="D2297" i="12"/>
  <c r="D2296" i="12"/>
  <c r="D2295" i="12"/>
  <c r="D2294" i="12"/>
  <c r="D2293" i="12"/>
  <c r="D2292" i="12"/>
  <c r="D2291" i="12"/>
  <c r="D2290" i="12"/>
  <c r="D2289" i="12"/>
  <c r="D2288" i="12"/>
  <c r="D2287" i="12"/>
  <c r="D2286" i="12"/>
  <c r="D2285" i="12"/>
  <c r="D2284" i="12"/>
  <c r="D2283" i="12"/>
  <c r="D2282" i="12"/>
  <c r="D2281" i="12"/>
  <c r="D2280" i="12"/>
  <c r="D2279" i="12"/>
  <c r="D2278" i="12"/>
  <c r="D2277" i="12"/>
  <c r="D2276" i="12"/>
  <c r="D2275" i="12"/>
  <c r="D2274" i="12"/>
  <c r="D2273" i="12"/>
  <c r="D2272" i="12"/>
  <c r="D2271" i="12"/>
  <c r="D2270" i="12"/>
  <c r="D2269" i="12"/>
  <c r="D2268" i="12"/>
  <c r="D2267" i="12"/>
  <c r="D2266" i="12"/>
  <c r="D2265" i="12"/>
  <c r="D2264" i="12"/>
  <c r="D2263" i="12"/>
  <c r="D2262" i="12"/>
  <c r="D2261" i="12"/>
  <c r="D2260" i="12"/>
  <c r="D2259" i="12"/>
  <c r="D2258" i="12"/>
  <c r="D2257" i="12"/>
  <c r="D2256" i="12"/>
  <c r="D2255" i="12"/>
  <c r="D2254" i="12"/>
  <c r="D2253" i="12"/>
  <c r="D2252" i="12"/>
  <c r="D2251" i="12"/>
  <c r="D2250" i="12"/>
  <c r="D2249" i="12"/>
  <c r="D2248" i="12"/>
  <c r="D2247" i="12"/>
  <c r="D2246" i="12"/>
  <c r="D2245" i="12"/>
  <c r="D2244" i="12"/>
  <c r="D2243" i="12"/>
  <c r="D2242" i="12"/>
  <c r="D2241" i="12"/>
  <c r="D2240" i="12"/>
  <c r="D2239" i="12"/>
  <c r="D2238" i="12"/>
  <c r="D2237" i="12"/>
  <c r="D2236" i="12"/>
  <c r="D2235" i="12"/>
  <c r="D2234" i="12"/>
  <c r="D2233" i="12"/>
  <c r="D2232" i="12"/>
  <c r="D2231" i="12"/>
  <c r="D2230" i="12"/>
  <c r="D2229" i="12"/>
  <c r="D2228" i="12"/>
  <c r="D2227" i="12"/>
  <c r="D2226" i="12"/>
  <c r="D2225" i="12"/>
  <c r="D2224" i="12"/>
  <c r="D2223" i="12"/>
  <c r="D2222" i="12"/>
  <c r="D2221" i="12"/>
  <c r="D2220" i="12"/>
  <c r="D2219" i="12"/>
  <c r="D2218" i="12"/>
  <c r="D2217" i="12"/>
  <c r="D2216" i="12"/>
  <c r="D2215" i="12"/>
  <c r="D2214" i="12"/>
  <c r="D2213" i="12"/>
  <c r="D2212" i="12"/>
  <c r="D2211" i="12"/>
  <c r="D2210" i="12"/>
  <c r="D2209" i="12"/>
  <c r="D2208" i="12"/>
  <c r="D2207" i="12"/>
  <c r="D2206" i="12"/>
  <c r="D2205" i="12"/>
  <c r="D2204" i="12"/>
  <c r="D2203" i="12"/>
  <c r="D2202" i="12"/>
  <c r="D2201" i="12"/>
  <c r="D2200" i="12"/>
  <c r="D2199" i="12"/>
  <c r="D2198" i="12"/>
  <c r="D2197" i="12"/>
  <c r="D2196" i="12"/>
  <c r="D2195" i="12"/>
  <c r="D2194" i="12"/>
  <c r="D2193" i="12"/>
  <c r="D2192" i="12"/>
  <c r="D2191" i="12"/>
  <c r="D2190" i="12"/>
  <c r="D2189" i="12"/>
  <c r="D2188" i="12"/>
  <c r="D2187" i="12"/>
  <c r="D2186" i="12"/>
  <c r="D2185" i="12"/>
  <c r="D2184" i="12"/>
  <c r="D2183" i="12"/>
  <c r="D2182" i="12"/>
  <c r="D2181" i="12"/>
  <c r="D2180" i="12"/>
  <c r="D2179" i="12"/>
  <c r="D2178" i="12"/>
  <c r="D2177" i="12"/>
  <c r="D2176" i="12"/>
  <c r="D2175" i="12"/>
  <c r="D2174" i="12"/>
  <c r="D2173" i="12"/>
  <c r="D2172" i="12"/>
  <c r="D2171" i="12"/>
  <c r="D2170" i="12"/>
  <c r="D2169" i="12"/>
  <c r="D2168" i="12"/>
  <c r="D2167" i="12"/>
  <c r="D2166" i="12"/>
  <c r="D2165" i="12"/>
  <c r="D2164" i="12"/>
  <c r="D2163" i="12"/>
  <c r="D2162" i="12"/>
  <c r="D2161" i="12"/>
  <c r="D2160" i="12"/>
  <c r="D2159" i="12"/>
  <c r="D2158" i="12"/>
  <c r="D2157" i="12"/>
  <c r="D2156" i="12"/>
  <c r="D2155" i="12"/>
  <c r="D2154" i="12"/>
  <c r="D2153" i="12"/>
  <c r="D2152" i="12"/>
  <c r="D2151" i="12"/>
  <c r="D2150" i="12"/>
  <c r="D2149" i="12"/>
  <c r="D2148" i="12"/>
  <c r="D2147" i="12"/>
  <c r="D2146" i="12"/>
  <c r="D2145" i="12"/>
  <c r="D2144" i="12"/>
  <c r="D2143" i="12"/>
  <c r="D2142" i="12"/>
  <c r="D2141" i="12"/>
  <c r="D2140" i="12"/>
  <c r="D2139" i="12"/>
  <c r="D2138" i="12"/>
  <c r="D2137" i="12"/>
  <c r="D2136" i="12"/>
  <c r="D2135" i="12"/>
  <c r="D2134" i="12"/>
  <c r="D2133" i="12"/>
  <c r="D2132" i="12"/>
  <c r="D2131" i="12"/>
  <c r="D2130" i="12"/>
  <c r="D2129" i="12"/>
  <c r="D2128" i="12"/>
  <c r="D2127" i="12"/>
  <c r="D2126" i="12"/>
  <c r="D2125" i="12"/>
  <c r="D2124" i="12"/>
  <c r="D2123" i="12"/>
  <c r="D2122" i="12"/>
  <c r="D2121" i="12"/>
  <c r="D2120" i="12"/>
  <c r="D2119" i="12"/>
  <c r="D2118" i="12"/>
  <c r="D2117" i="12"/>
  <c r="D2116" i="12"/>
  <c r="D2115" i="12"/>
  <c r="D2114" i="12"/>
  <c r="D2113" i="12"/>
  <c r="D2112" i="12"/>
  <c r="D2111" i="12"/>
  <c r="D2110" i="12"/>
  <c r="D2109" i="12"/>
  <c r="D2108" i="12"/>
  <c r="D2107" i="12"/>
  <c r="D2106" i="12"/>
  <c r="D2105" i="12"/>
  <c r="D2104" i="12"/>
  <c r="D2103" i="12"/>
  <c r="D2102" i="12"/>
  <c r="D2101" i="12"/>
  <c r="D2100" i="12"/>
  <c r="D2099" i="12"/>
  <c r="D2098" i="12"/>
  <c r="D2097" i="12"/>
  <c r="D2096" i="12"/>
  <c r="D2095" i="12"/>
  <c r="D2094" i="12"/>
  <c r="D2093" i="12"/>
  <c r="D2092" i="12"/>
  <c r="D2091" i="12"/>
  <c r="D2090" i="12"/>
  <c r="D2089" i="12"/>
  <c r="D2088" i="12"/>
  <c r="D2087" i="12"/>
  <c r="D2086" i="12"/>
  <c r="D2085" i="12"/>
  <c r="D2084" i="12"/>
  <c r="D2083" i="12"/>
  <c r="D2082" i="12"/>
  <c r="D2081" i="12"/>
  <c r="D2080" i="12"/>
  <c r="D2079" i="12"/>
  <c r="D2078" i="12"/>
  <c r="D2077" i="12"/>
  <c r="D2076" i="12"/>
  <c r="D2075" i="12"/>
  <c r="D2074" i="12"/>
  <c r="D2073" i="12"/>
  <c r="D2072" i="12"/>
  <c r="D2071" i="12"/>
  <c r="D2070" i="12"/>
  <c r="D2069" i="12"/>
  <c r="D2068" i="12"/>
  <c r="D2067" i="12"/>
  <c r="D2066" i="12"/>
  <c r="D2065" i="12"/>
  <c r="D2064" i="12"/>
  <c r="D2063" i="12"/>
  <c r="D2062" i="12"/>
  <c r="D2061" i="12"/>
  <c r="D2060" i="12"/>
  <c r="D2059" i="12"/>
  <c r="D2058" i="12"/>
  <c r="D2057" i="12"/>
  <c r="D2056" i="12"/>
  <c r="D2055" i="12"/>
  <c r="D2054" i="12"/>
  <c r="D2053" i="12"/>
  <c r="D2052" i="12"/>
  <c r="D2051" i="12"/>
  <c r="D2050" i="12"/>
  <c r="D2049" i="12"/>
  <c r="D2048" i="12"/>
  <c r="D2047" i="12"/>
  <c r="D2046" i="12"/>
  <c r="D2045" i="12"/>
  <c r="D2044" i="12"/>
  <c r="D2043" i="12"/>
  <c r="D2042" i="12"/>
  <c r="D2041" i="12"/>
  <c r="D2040" i="12"/>
  <c r="D2039" i="12"/>
  <c r="D2038" i="12"/>
  <c r="D2037" i="12"/>
  <c r="D2036" i="12"/>
  <c r="D2035" i="12"/>
  <c r="D2034" i="12"/>
  <c r="D2033" i="12"/>
  <c r="D2032" i="12"/>
  <c r="D2031" i="12"/>
  <c r="D2030" i="12"/>
  <c r="D2029" i="12"/>
  <c r="D2028" i="12"/>
  <c r="D2027" i="12"/>
  <c r="D2026" i="12"/>
  <c r="D2025" i="12"/>
  <c r="D2024" i="12"/>
  <c r="D2023" i="12"/>
  <c r="D2022" i="12"/>
  <c r="D2021" i="12"/>
  <c r="D2020" i="12"/>
  <c r="D2019" i="12"/>
  <c r="D2018" i="12"/>
  <c r="D2017" i="12"/>
  <c r="D2016" i="12"/>
  <c r="D2015" i="12"/>
  <c r="D2014" i="12"/>
  <c r="D2013" i="12"/>
  <c r="D2012" i="12"/>
  <c r="D2011" i="12"/>
  <c r="D2010" i="12"/>
  <c r="D2009" i="12"/>
  <c r="D2008" i="12"/>
  <c r="D2007" i="12"/>
  <c r="D2006" i="12"/>
  <c r="D2005" i="12"/>
  <c r="D2004" i="12"/>
  <c r="D2003" i="12"/>
  <c r="D2002" i="12"/>
  <c r="D2001" i="12"/>
  <c r="D2000" i="12"/>
  <c r="D1999" i="12"/>
  <c r="D1998" i="12"/>
  <c r="D1997" i="12"/>
  <c r="D1996" i="12"/>
  <c r="D1995" i="12"/>
  <c r="D1994" i="12"/>
  <c r="D1993" i="12"/>
  <c r="D1992" i="12"/>
  <c r="D1991" i="12"/>
  <c r="D1990" i="12"/>
  <c r="D1989" i="12"/>
  <c r="D1988" i="12"/>
  <c r="D1987" i="12"/>
  <c r="D1986" i="12"/>
  <c r="D1985" i="12"/>
  <c r="D1984" i="12"/>
  <c r="D1983" i="12"/>
  <c r="D1982" i="12"/>
  <c r="D1981" i="12"/>
  <c r="D1980" i="12"/>
  <c r="D1979" i="12"/>
  <c r="D1978" i="12"/>
  <c r="D1977" i="12"/>
  <c r="D1976" i="12"/>
  <c r="D1975" i="12"/>
  <c r="D1974" i="12"/>
  <c r="D1973" i="12"/>
  <c r="D1972" i="12"/>
  <c r="D1971" i="12"/>
  <c r="D1970" i="12"/>
  <c r="D1969" i="12"/>
  <c r="D1968" i="12"/>
  <c r="D1967" i="12"/>
  <c r="D1966" i="12"/>
  <c r="D1965" i="12"/>
  <c r="D1964" i="12"/>
  <c r="D1963" i="12"/>
  <c r="D1962" i="12"/>
  <c r="D1961" i="12"/>
  <c r="D1960" i="12"/>
  <c r="D1959" i="12"/>
  <c r="D1958" i="12"/>
  <c r="D1957" i="12"/>
  <c r="D1956" i="12"/>
  <c r="D1955" i="12"/>
  <c r="D1954" i="12"/>
  <c r="D1953" i="12"/>
  <c r="D1952" i="12"/>
  <c r="D1951" i="12"/>
  <c r="D1950" i="12"/>
  <c r="D1949" i="12"/>
  <c r="D1948" i="12"/>
  <c r="D1947" i="12"/>
  <c r="D1946" i="12"/>
  <c r="D1945" i="12"/>
  <c r="D1944" i="12"/>
  <c r="D1943" i="12"/>
  <c r="D1942" i="12"/>
  <c r="D1941" i="12"/>
  <c r="D1940" i="12"/>
  <c r="D1939" i="12"/>
  <c r="D1938" i="12"/>
  <c r="D1937" i="12"/>
  <c r="D1936" i="12"/>
  <c r="D1935" i="12"/>
  <c r="D1934" i="12"/>
  <c r="D1933" i="12"/>
  <c r="D1932" i="12"/>
  <c r="D1931" i="12"/>
  <c r="D1930" i="12"/>
  <c r="D1929" i="12"/>
  <c r="D1928" i="12"/>
  <c r="D1927" i="12"/>
  <c r="D1926" i="12"/>
  <c r="D1925" i="12"/>
  <c r="D1924" i="12"/>
  <c r="D1923" i="12"/>
  <c r="D1922" i="12"/>
  <c r="D1921" i="12"/>
  <c r="D1920" i="12"/>
  <c r="D1919" i="12"/>
  <c r="D1918" i="12"/>
  <c r="D1917" i="12"/>
  <c r="D1916" i="12"/>
  <c r="D1915" i="12"/>
  <c r="D1914" i="12"/>
  <c r="D1913" i="12"/>
  <c r="D1912" i="12"/>
  <c r="D1911" i="12"/>
  <c r="D1910" i="12"/>
  <c r="D1909" i="12"/>
  <c r="D1908" i="12"/>
  <c r="D1907" i="12"/>
  <c r="D1906" i="12"/>
  <c r="D1905" i="12"/>
  <c r="D1904" i="12"/>
  <c r="D1903" i="12"/>
  <c r="D1902" i="12"/>
  <c r="D1901" i="12"/>
  <c r="D1900" i="12"/>
  <c r="D1899" i="12"/>
  <c r="D1898" i="12"/>
  <c r="D1897" i="12"/>
  <c r="D1896" i="12"/>
  <c r="D1895" i="12"/>
  <c r="D1894" i="12"/>
  <c r="D1893" i="12"/>
  <c r="D1892" i="12"/>
  <c r="D1891" i="12"/>
  <c r="D1890" i="12"/>
  <c r="D1889" i="12"/>
  <c r="D1888" i="12"/>
  <c r="D1887" i="12"/>
  <c r="D1886" i="12"/>
  <c r="D1885" i="12"/>
  <c r="D1884" i="12"/>
  <c r="D1883" i="12"/>
  <c r="D1882" i="12"/>
  <c r="D1881" i="12"/>
  <c r="D1880" i="12"/>
  <c r="D1879" i="12"/>
  <c r="D1878" i="12"/>
  <c r="D1877" i="12"/>
  <c r="D1876" i="12"/>
  <c r="D1875" i="12"/>
  <c r="D1874" i="12"/>
  <c r="D1873" i="12"/>
  <c r="D1872" i="12"/>
  <c r="D1871" i="12"/>
  <c r="D1870" i="12"/>
  <c r="D1869" i="12"/>
  <c r="D1868" i="12"/>
  <c r="D1867" i="12"/>
  <c r="D1866" i="12"/>
  <c r="D1865" i="12"/>
  <c r="D1864" i="12"/>
  <c r="D1863" i="12"/>
  <c r="D1862" i="12"/>
  <c r="D1861" i="12"/>
  <c r="D1860" i="12"/>
  <c r="D1859" i="12"/>
  <c r="D1858" i="12"/>
  <c r="D1857" i="12"/>
  <c r="D1856" i="12"/>
  <c r="D1855" i="12"/>
  <c r="D1854" i="12"/>
  <c r="D1853" i="12"/>
  <c r="D1852" i="12"/>
  <c r="D1851" i="12"/>
  <c r="D1850" i="12"/>
  <c r="D1849" i="12"/>
  <c r="D1848" i="12"/>
  <c r="D1847" i="12"/>
  <c r="D1846" i="12"/>
  <c r="D1845" i="12"/>
  <c r="D1844" i="12"/>
  <c r="D1843" i="12"/>
  <c r="D1842" i="12"/>
  <c r="D1841" i="12"/>
  <c r="D1840" i="12"/>
  <c r="D1839" i="12"/>
  <c r="D1838" i="12"/>
  <c r="D1837" i="12"/>
  <c r="D1836" i="12"/>
  <c r="D1835" i="12"/>
  <c r="D1834" i="12"/>
  <c r="D1833" i="12"/>
  <c r="D1832" i="12"/>
  <c r="D1831" i="12"/>
  <c r="D1830" i="12"/>
  <c r="D1829" i="12"/>
  <c r="D1828" i="12"/>
  <c r="D1827" i="12"/>
  <c r="D1826" i="12"/>
  <c r="D1825" i="12"/>
  <c r="D1824" i="12"/>
  <c r="D1823" i="12"/>
  <c r="D1822" i="12"/>
  <c r="D1821" i="12"/>
  <c r="D1820" i="12"/>
  <c r="D1819" i="12"/>
  <c r="D1818" i="12"/>
  <c r="D1817" i="12"/>
  <c r="D1816" i="12"/>
  <c r="D1815" i="12"/>
  <c r="D1814" i="12"/>
  <c r="D1813" i="12"/>
  <c r="D1812" i="12"/>
  <c r="D1811" i="12"/>
  <c r="D1810" i="12"/>
  <c r="D1809" i="12"/>
  <c r="D1808" i="12"/>
  <c r="D1807" i="12"/>
  <c r="D1806" i="12"/>
  <c r="D1805" i="12"/>
  <c r="D1804" i="12"/>
  <c r="D1803" i="12"/>
  <c r="D1802" i="12"/>
  <c r="D1801" i="12"/>
  <c r="D1800" i="12"/>
  <c r="D1799" i="12"/>
  <c r="D1798" i="12"/>
  <c r="D1797" i="12"/>
  <c r="D1796" i="12"/>
  <c r="D1795" i="12"/>
  <c r="D1794" i="12"/>
  <c r="D1793" i="12"/>
  <c r="D1792" i="12"/>
  <c r="D1791" i="12"/>
  <c r="D1790" i="12"/>
  <c r="D1789" i="12"/>
  <c r="D1788" i="12"/>
  <c r="D1787" i="12"/>
  <c r="D1786" i="12"/>
  <c r="D1785" i="12"/>
  <c r="D1784" i="12"/>
  <c r="D1783" i="12"/>
  <c r="D1782" i="12"/>
  <c r="D1781" i="12"/>
  <c r="D1780" i="12"/>
  <c r="D1779" i="12"/>
  <c r="D1778" i="12"/>
  <c r="D1777" i="12"/>
  <c r="D1776" i="12"/>
  <c r="D1775" i="12"/>
  <c r="D1774" i="12"/>
  <c r="D1773" i="12"/>
  <c r="D1772" i="12"/>
  <c r="D1771" i="12"/>
  <c r="D1770" i="12"/>
  <c r="D1769" i="12"/>
  <c r="D1768" i="12"/>
  <c r="D1767" i="12"/>
  <c r="D1766" i="12"/>
  <c r="D1765" i="12"/>
  <c r="D1764" i="12"/>
  <c r="D1763" i="12"/>
  <c r="D1762" i="12"/>
  <c r="D1761" i="12"/>
  <c r="D1760" i="12"/>
  <c r="D1759" i="12"/>
  <c r="D1758" i="12"/>
  <c r="D1757" i="12"/>
  <c r="D1756" i="12"/>
  <c r="D1755" i="12"/>
  <c r="D1754" i="12"/>
  <c r="D1753" i="12"/>
  <c r="D1752" i="12"/>
  <c r="D1751" i="12"/>
  <c r="D1750" i="12"/>
  <c r="D1749" i="12"/>
  <c r="D1748" i="12"/>
  <c r="D1747" i="12"/>
  <c r="D1746" i="12"/>
  <c r="D1745" i="12"/>
  <c r="D1744" i="12"/>
  <c r="D1743" i="12"/>
  <c r="D1742" i="12"/>
  <c r="D1741" i="12"/>
  <c r="D1740" i="12"/>
  <c r="D1739" i="12"/>
  <c r="D1738" i="12"/>
  <c r="D1737" i="12"/>
  <c r="D1736" i="12"/>
  <c r="D1735" i="12"/>
  <c r="D1734" i="12"/>
  <c r="D1733" i="12"/>
  <c r="D1732" i="12"/>
  <c r="D1731" i="12"/>
  <c r="D1730" i="12"/>
  <c r="D1729" i="12"/>
  <c r="D1728" i="12"/>
  <c r="D1727" i="12"/>
  <c r="D1726" i="12"/>
  <c r="D1725" i="12"/>
  <c r="D1724" i="12"/>
  <c r="D1723" i="12"/>
  <c r="D1722" i="12"/>
  <c r="D1721" i="12"/>
  <c r="D1720" i="12"/>
  <c r="D1719" i="12"/>
  <c r="D1718" i="12"/>
  <c r="D1717" i="12"/>
  <c r="D1716" i="12"/>
  <c r="D1715" i="12"/>
  <c r="D1714" i="12"/>
  <c r="D1713" i="12"/>
  <c r="D1712" i="12"/>
  <c r="D1711" i="12"/>
  <c r="D1710" i="12"/>
  <c r="D1709" i="12"/>
  <c r="D1708" i="12"/>
  <c r="D1707" i="12"/>
  <c r="D1706" i="12"/>
  <c r="D1705" i="12"/>
  <c r="D1704" i="12"/>
  <c r="D1703" i="12"/>
  <c r="D1702" i="12"/>
  <c r="D1701" i="12"/>
  <c r="D1700" i="12"/>
  <c r="D1699" i="12"/>
  <c r="D1698" i="12"/>
  <c r="D1697" i="12"/>
  <c r="D1696" i="12"/>
  <c r="D1695" i="12"/>
  <c r="D1694" i="12"/>
  <c r="D1693" i="12"/>
  <c r="D1692" i="12"/>
  <c r="D1691" i="12"/>
  <c r="D1690" i="12"/>
  <c r="D1689" i="12"/>
  <c r="D1688" i="12"/>
  <c r="D1687" i="12"/>
  <c r="D1686" i="12"/>
  <c r="D1685" i="12"/>
  <c r="D1684" i="12"/>
  <c r="D1683" i="12"/>
  <c r="D1682" i="12"/>
  <c r="D1681" i="12"/>
  <c r="D1680" i="12"/>
  <c r="D1679" i="12"/>
  <c r="D1678" i="12"/>
  <c r="D1677" i="12"/>
  <c r="D1676" i="12"/>
  <c r="D1675" i="12"/>
  <c r="D1674" i="12"/>
  <c r="D1673" i="12"/>
  <c r="D1672" i="12"/>
  <c r="D1671" i="12"/>
  <c r="D1670" i="12"/>
  <c r="D1669" i="12"/>
  <c r="D1668" i="12"/>
  <c r="D1667" i="12"/>
  <c r="D1666" i="12"/>
  <c r="D1665" i="12"/>
  <c r="D1664" i="12"/>
  <c r="D1663" i="12"/>
  <c r="D1662" i="12"/>
  <c r="D1661" i="12"/>
  <c r="D1660" i="12"/>
  <c r="D1659" i="12"/>
  <c r="D1658" i="12"/>
  <c r="D1657" i="12"/>
  <c r="D1656" i="12"/>
  <c r="D1655" i="12"/>
  <c r="D1654" i="12"/>
  <c r="D1653" i="12"/>
  <c r="D1652" i="12"/>
  <c r="D1651" i="12"/>
  <c r="D1650" i="12"/>
  <c r="D1649" i="12"/>
  <c r="D1648" i="12"/>
  <c r="D1647" i="12"/>
  <c r="D1646" i="12"/>
  <c r="D1645" i="12"/>
  <c r="D1644" i="12"/>
  <c r="D1643" i="12"/>
  <c r="D1642" i="12"/>
  <c r="D1641" i="12"/>
  <c r="D1640" i="12"/>
  <c r="D1639" i="12"/>
  <c r="D1638" i="12"/>
  <c r="D1637" i="12"/>
  <c r="D1636" i="12"/>
  <c r="D1635" i="12"/>
  <c r="D1634" i="12"/>
  <c r="D1633" i="12"/>
  <c r="D1632" i="12"/>
  <c r="D1631" i="12"/>
  <c r="D1630" i="12"/>
  <c r="D1629" i="12"/>
  <c r="D1628" i="12"/>
  <c r="D1627" i="12"/>
  <c r="D1626" i="12"/>
  <c r="D1625" i="12"/>
  <c r="D1624" i="12"/>
  <c r="D1623" i="12"/>
  <c r="D1622" i="12"/>
  <c r="D1621" i="12"/>
  <c r="D1620" i="12"/>
  <c r="D1619" i="12"/>
  <c r="D1618" i="12"/>
  <c r="D1617" i="12"/>
  <c r="D1616" i="12"/>
  <c r="D1615" i="12"/>
  <c r="D1614" i="12"/>
  <c r="D1613" i="12"/>
  <c r="D1612" i="12"/>
  <c r="D1611" i="12"/>
  <c r="D1610" i="12"/>
  <c r="D1609" i="12"/>
  <c r="D1608" i="12"/>
  <c r="D1607" i="12"/>
  <c r="D1606" i="12"/>
  <c r="D1605" i="12"/>
  <c r="D1604" i="12"/>
  <c r="D1603" i="12"/>
  <c r="D1602" i="12"/>
  <c r="D1601" i="12"/>
  <c r="D1600" i="12"/>
  <c r="D1599" i="12"/>
  <c r="D1598" i="12"/>
  <c r="D1597" i="12"/>
  <c r="D1596" i="12"/>
  <c r="D1595" i="12"/>
  <c r="D1594" i="12"/>
  <c r="D1593" i="12"/>
  <c r="D1592" i="12"/>
  <c r="D1591" i="12"/>
  <c r="D1590" i="12"/>
  <c r="D1589" i="12"/>
  <c r="D1588" i="12"/>
  <c r="D1587" i="12"/>
  <c r="D1586" i="12"/>
  <c r="D1585" i="12"/>
  <c r="D1584" i="12"/>
  <c r="D1583" i="12"/>
  <c r="D1582" i="12"/>
  <c r="D1581" i="12"/>
  <c r="D1580" i="12"/>
  <c r="D1579" i="12"/>
  <c r="D1578" i="12"/>
  <c r="D1577" i="12"/>
  <c r="D1576" i="12"/>
  <c r="D1575" i="12"/>
  <c r="D1574" i="12"/>
  <c r="D1573" i="12"/>
  <c r="D1572" i="12"/>
  <c r="D1571" i="12"/>
  <c r="D1570" i="12"/>
  <c r="D1569" i="12"/>
  <c r="D1568" i="12"/>
  <c r="D1567" i="12"/>
  <c r="D1566" i="12"/>
  <c r="D1565" i="12"/>
  <c r="D1564" i="12"/>
  <c r="D1563" i="12"/>
  <c r="D1562" i="12"/>
  <c r="D1561" i="12"/>
  <c r="D1560" i="12"/>
  <c r="D1559" i="12"/>
  <c r="D1558" i="12"/>
  <c r="D1557" i="12"/>
  <c r="D1556" i="12"/>
  <c r="D1555" i="12"/>
  <c r="D1554" i="12"/>
  <c r="D1553" i="12"/>
  <c r="D1552" i="12"/>
  <c r="D1551" i="12"/>
  <c r="D1550" i="12"/>
  <c r="D1549" i="12"/>
  <c r="D1548" i="12"/>
  <c r="D1547" i="12"/>
  <c r="D1546" i="12"/>
  <c r="D1545" i="12"/>
  <c r="D1544" i="12"/>
  <c r="D1543" i="12"/>
  <c r="D1542" i="12"/>
  <c r="D1541" i="12"/>
  <c r="D1540" i="12"/>
  <c r="D1539" i="12"/>
  <c r="D1538" i="12"/>
  <c r="D1537" i="12"/>
  <c r="D1536" i="12"/>
  <c r="D1535" i="12"/>
  <c r="D1534" i="12"/>
  <c r="D1533" i="12"/>
  <c r="D1532" i="12"/>
  <c r="D1531" i="12"/>
  <c r="D1530" i="12"/>
  <c r="D1529" i="12"/>
  <c r="D1528" i="12"/>
  <c r="D1527" i="12"/>
  <c r="D1526" i="12"/>
  <c r="D1525" i="12"/>
  <c r="D1524" i="12"/>
  <c r="D1523" i="12"/>
  <c r="D1522" i="12"/>
  <c r="D1521" i="12"/>
  <c r="D1520" i="12"/>
  <c r="D1519" i="12"/>
  <c r="D1518" i="12"/>
  <c r="D1517" i="12"/>
  <c r="D1516" i="12"/>
  <c r="D1515" i="12"/>
  <c r="D1514" i="12"/>
  <c r="D1513" i="12"/>
  <c r="D1512" i="12"/>
  <c r="D1511" i="12"/>
  <c r="D1510" i="12"/>
  <c r="D1509" i="12"/>
  <c r="D1508" i="12"/>
  <c r="D1507" i="12"/>
  <c r="D1506" i="12"/>
  <c r="D1505" i="12"/>
  <c r="D1504" i="12"/>
  <c r="D1503" i="12"/>
  <c r="D1502" i="12"/>
  <c r="D1501" i="12"/>
  <c r="D1500" i="12"/>
  <c r="D1499" i="12"/>
  <c r="D1498" i="12"/>
  <c r="D1497" i="12"/>
  <c r="D1496" i="12"/>
  <c r="D1495" i="12"/>
  <c r="D1494" i="12"/>
  <c r="D1493" i="12"/>
  <c r="D1492" i="12"/>
  <c r="D1491" i="12"/>
  <c r="D1490" i="12"/>
  <c r="D1489" i="12"/>
  <c r="D1488" i="12"/>
  <c r="D1487" i="12"/>
  <c r="D1486" i="12"/>
  <c r="D1485" i="12"/>
  <c r="D1484" i="12"/>
  <c r="D1483" i="12"/>
  <c r="D1482" i="12"/>
  <c r="D1481" i="12"/>
  <c r="D1480" i="12"/>
  <c r="D1479" i="12"/>
  <c r="D1478" i="12"/>
  <c r="D1477" i="12"/>
  <c r="D1476" i="12"/>
  <c r="D1475" i="12"/>
  <c r="D1474" i="12"/>
  <c r="D1473" i="12"/>
  <c r="D1472" i="12"/>
  <c r="D1471" i="12"/>
  <c r="D1470" i="12"/>
  <c r="D1469" i="12"/>
  <c r="D1468" i="12"/>
  <c r="D1467" i="12"/>
  <c r="D1466" i="12"/>
  <c r="D1465" i="12"/>
  <c r="D1464" i="12"/>
  <c r="D1463" i="12"/>
  <c r="D1462" i="12"/>
  <c r="D1461" i="12"/>
  <c r="D1460" i="12"/>
  <c r="D1459" i="12"/>
  <c r="D1458" i="12"/>
  <c r="D1457" i="12"/>
  <c r="D1456" i="12"/>
  <c r="D1455" i="12"/>
  <c r="D1454" i="12"/>
  <c r="D1453" i="12"/>
  <c r="D1452" i="12"/>
  <c r="D1451" i="12"/>
  <c r="D1450" i="12"/>
  <c r="D1449" i="12"/>
  <c r="D1448" i="12"/>
  <c r="D1447" i="12"/>
  <c r="D1446" i="12"/>
  <c r="D1445" i="12"/>
  <c r="D1444" i="12"/>
  <c r="D1443" i="12"/>
  <c r="D1442" i="12"/>
  <c r="D1441" i="12"/>
  <c r="D1440" i="12"/>
  <c r="D1439" i="12"/>
  <c r="D1438" i="12"/>
  <c r="D1437" i="12"/>
  <c r="D1436" i="12"/>
  <c r="D1435" i="12"/>
  <c r="D1434" i="12"/>
  <c r="D1433" i="12"/>
  <c r="D1432" i="12"/>
  <c r="D1431" i="12"/>
  <c r="D1430" i="12"/>
  <c r="D1429" i="12"/>
  <c r="D1428" i="12"/>
  <c r="D1427" i="12"/>
  <c r="D1426" i="12"/>
  <c r="D1425" i="12"/>
  <c r="D1424" i="12"/>
  <c r="D1423" i="12"/>
  <c r="D1422" i="12"/>
  <c r="D1421" i="12"/>
  <c r="D1420" i="12"/>
  <c r="D1419" i="12"/>
  <c r="D1418" i="12"/>
  <c r="D1417" i="12"/>
  <c r="D1416" i="12"/>
  <c r="D1415" i="12"/>
  <c r="D1414" i="12"/>
  <c r="D1413" i="12"/>
  <c r="D1412" i="12"/>
  <c r="D1411" i="12"/>
  <c r="D1410" i="12"/>
  <c r="D1409" i="12"/>
  <c r="D1408" i="12"/>
  <c r="D1407" i="12"/>
  <c r="D1406" i="12"/>
  <c r="D1405" i="12"/>
  <c r="D1404" i="12"/>
  <c r="D1403" i="12"/>
  <c r="D1402" i="12"/>
  <c r="D1401" i="12"/>
  <c r="D1400" i="12"/>
  <c r="D1399" i="12"/>
  <c r="D1398" i="12"/>
  <c r="D1397" i="12"/>
  <c r="D1396" i="12"/>
  <c r="D1395" i="12"/>
  <c r="D1394" i="12"/>
  <c r="D1393" i="12"/>
  <c r="D1392" i="12"/>
  <c r="D1391" i="12"/>
  <c r="D1390" i="12"/>
  <c r="D1389" i="12"/>
  <c r="D1388" i="12"/>
  <c r="D1387" i="12"/>
  <c r="D1386" i="12"/>
  <c r="D1385" i="12"/>
  <c r="D1384" i="12"/>
  <c r="D1383" i="12"/>
  <c r="D1382" i="12"/>
  <c r="D1381" i="12"/>
  <c r="D1380" i="12"/>
  <c r="D1379" i="12"/>
  <c r="D1378" i="12"/>
  <c r="D1377" i="12"/>
  <c r="D1376" i="12"/>
  <c r="D1375" i="12"/>
  <c r="D1374" i="12"/>
  <c r="D1373" i="12"/>
  <c r="D1372" i="12"/>
  <c r="D1371" i="12"/>
  <c r="D1370" i="12"/>
  <c r="D1369" i="12"/>
  <c r="D1368" i="12"/>
  <c r="D1367" i="12"/>
  <c r="D1366" i="12"/>
  <c r="D1365" i="12"/>
  <c r="D1364" i="12"/>
  <c r="D1363" i="12"/>
  <c r="D1362" i="12"/>
  <c r="D1361" i="12"/>
  <c r="D1360" i="12"/>
  <c r="D1359" i="12"/>
  <c r="D1358" i="12"/>
  <c r="D1357" i="12"/>
  <c r="D1356" i="12"/>
  <c r="D1355" i="12"/>
  <c r="D1354" i="12"/>
  <c r="D1353" i="12"/>
  <c r="D1352" i="12"/>
  <c r="D1351" i="12"/>
  <c r="D1350" i="12"/>
  <c r="D1349" i="12"/>
  <c r="D1348" i="12"/>
  <c r="D1347" i="12"/>
  <c r="D1346" i="12"/>
  <c r="D1345" i="12"/>
  <c r="D1344" i="12"/>
  <c r="D1343" i="12"/>
  <c r="D1342" i="12"/>
  <c r="D1341" i="12"/>
  <c r="D1340" i="12"/>
  <c r="D1339" i="12"/>
  <c r="D1338" i="12"/>
  <c r="D1337" i="12"/>
  <c r="D1336" i="12"/>
  <c r="D1335" i="12"/>
  <c r="D1334" i="12"/>
  <c r="D1333" i="12"/>
  <c r="D1332" i="12"/>
  <c r="D1331" i="12"/>
  <c r="D1330" i="12"/>
  <c r="D1329" i="12"/>
  <c r="D1328" i="12"/>
  <c r="D1327" i="12"/>
  <c r="D1326" i="12"/>
  <c r="D1325" i="12"/>
  <c r="D1324" i="12"/>
  <c r="D1323" i="12"/>
  <c r="D1322" i="12"/>
  <c r="D1321" i="12"/>
  <c r="D1320" i="12"/>
  <c r="D1319" i="12"/>
  <c r="D1318" i="12"/>
  <c r="D1317" i="12"/>
  <c r="D1316" i="12"/>
  <c r="D1315" i="12"/>
  <c r="D1314" i="12"/>
  <c r="D1313" i="12"/>
  <c r="D1312" i="12"/>
  <c r="D1311" i="12"/>
  <c r="D1310" i="12"/>
  <c r="D1309" i="12"/>
  <c r="D1308" i="12"/>
  <c r="D1307" i="12"/>
  <c r="D1306" i="12"/>
  <c r="D1305" i="12"/>
  <c r="D1304" i="12"/>
  <c r="D1303" i="12"/>
  <c r="D1302" i="12"/>
  <c r="D1301" i="12"/>
  <c r="D1300" i="12"/>
  <c r="D1299" i="12"/>
  <c r="D1298" i="12"/>
  <c r="D1297" i="12"/>
  <c r="D1296" i="12"/>
  <c r="D1295" i="12"/>
  <c r="D1294" i="12"/>
  <c r="D1293" i="12"/>
  <c r="D1292" i="12"/>
  <c r="D1291" i="12"/>
  <c r="D1290" i="12"/>
  <c r="D1289" i="12"/>
  <c r="D1288" i="12"/>
  <c r="D1287" i="12"/>
  <c r="D1286" i="12"/>
  <c r="D1285" i="12"/>
  <c r="D1284" i="12"/>
  <c r="D1283" i="12"/>
  <c r="D1282" i="12"/>
  <c r="D1281" i="12"/>
  <c r="D1280" i="12"/>
  <c r="D1279" i="12"/>
  <c r="D1278" i="12"/>
  <c r="D1277" i="12"/>
  <c r="D1276" i="12"/>
  <c r="D1275" i="12"/>
  <c r="D1274" i="12"/>
  <c r="D1273" i="12"/>
  <c r="D1272" i="12"/>
  <c r="D1271" i="12"/>
  <c r="D1270" i="12"/>
  <c r="D1269" i="12"/>
  <c r="D1268" i="12"/>
  <c r="D1267" i="12"/>
  <c r="D1266" i="12"/>
  <c r="D1265" i="12"/>
  <c r="D1264" i="12"/>
  <c r="D1263" i="12"/>
  <c r="D1262" i="12"/>
  <c r="D1261" i="12"/>
  <c r="D1260" i="12"/>
  <c r="D1259" i="12"/>
  <c r="D1258" i="12"/>
  <c r="D1257" i="12"/>
  <c r="D1256" i="12"/>
  <c r="D1255" i="12"/>
  <c r="D1254" i="12"/>
  <c r="D1253" i="12"/>
  <c r="D1252" i="12"/>
  <c r="D1251" i="12"/>
  <c r="D1250" i="12"/>
  <c r="D1249" i="12"/>
  <c r="D1248" i="12"/>
  <c r="D1247" i="12"/>
  <c r="D1246" i="12"/>
  <c r="D1245" i="12"/>
  <c r="D1244" i="12"/>
  <c r="D1243" i="12"/>
  <c r="D1242" i="12"/>
  <c r="D1241" i="12"/>
  <c r="D1240" i="12"/>
  <c r="D1239" i="12"/>
  <c r="D1238" i="12"/>
  <c r="D1237" i="12"/>
  <c r="D1236" i="12"/>
  <c r="D1235" i="12"/>
  <c r="D1234" i="12"/>
  <c r="D1233" i="12"/>
  <c r="D1232" i="12"/>
  <c r="D1231" i="12"/>
  <c r="D1230" i="12"/>
  <c r="D1229" i="12"/>
  <c r="D1228" i="12"/>
  <c r="D1227" i="12"/>
  <c r="D1226" i="12"/>
  <c r="D1225" i="12"/>
  <c r="D1224" i="12"/>
  <c r="D1223" i="12"/>
  <c r="D1222" i="12"/>
  <c r="D1221" i="12"/>
  <c r="D1220" i="12"/>
  <c r="D1219" i="12"/>
  <c r="D1218" i="12"/>
  <c r="D1217" i="12"/>
  <c r="D1216" i="12"/>
  <c r="D1215" i="12"/>
  <c r="D1214" i="12"/>
  <c r="D1213" i="12"/>
  <c r="D1212" i="12"/>
  <c r="D1211" i="12"/>
  <c r="D1210" i="12"/>
  <c r="D1209" i="12"/>
  <c r="D1208" i="12"/>
  <c r="D1207" i="12"/>
  <c r="D1206" i="12"/>
  <c r="D1205" i="12"/>
  <c r="D1204" i="12"/>
  <c r="D1203" i="12"/>
  <c r="D1202" i="12"/>
  <c r="D1201" i="12"/>
  <c r="D1200" i="12"/>
  <c r="D1199" i="12"/>
  <c r="D1198" i="12"/>
  <c r="D1197" i="12"/>
  <c r="D1196" i="12"/>
  <c r="D1195" i="12"/>
  <c r="D1194" i="12"/>
  <c r="D1193" i="12"/>
  <c r="D1192" i="12"/>
  <c r="D1191" i="12"/>
  <c r="D1190" i="12"/>
  <c r="D1189" i="12"/>
  <c r="D1188" i="12"/>
  <c r="D1187" i="12"/>
  <c r="D1186" i="12"/>
  <c r="D1185" i="12"/>
  <c r="D1184" i="12"/>
  <c r="D1183" i="12"/>
  <c r="D1182" i="12"/>
  <c r="D1181" i="12"/>
  <c r="D1180" i="12"/>
  <c r="D1179" i="12"/>
  <c r="D1178" i="12"/>
  <c r="D1177" i="12"/>
  <c r="D1176" i="12"/>
  <c r="D1175" i="12"/>
  <c r="D1174" i="12"/>
  <c r="D1173" i="12"/>
  <c r="D1172" i="12"/>
  <c r="D1171" i="12"/>
  <c r="D1170" i="12"/>
  <c r="D1169" i="12"/>
  <c r="D1168" i="12"/>
  <c r="D1167" i="12"/>
  <c r="D1166" i="12"/>
  <c r="D1165" i="12"/>
  <c r="D1164" i="12"/>
  <c r="D1163" i="12"/>
  <c r="D1162" i="12"/>
  <c r="D1161" i="12"/>
  <c r="D1160" i="12"/>
  <c r="D1159" i="12"/>
  <c r="D1158" i="12"/>
  <c r="D1157" i="12"/>
  <c r="D1156" i="12"/>
  <c r="D1155" i="12"/>
  <c r="D1154" i="12"/>
  <c r="D1153" i="12"/>
  <c r="D1152" i="12"/>
  <c r="D1151" i="12"/>
  <c r="D1150" i="12"/>
  <c r="D1149" i="12"/>
  <c r="D1148" i="12"/>
  <c r="D1147" i="12"/>
  <c r="D1146" i="12"/>
  <c r="D1145" i="12"/>
  <c r="D1144" i="12"/>
  <c r="D1143" i="12"/>
  <c r="D1142" i="12"/>
  <c r="D1141" i="12"/>
  <c r="D1140" i="12"/>
  <c r="D1139" i="12"/>
  <c r="D1138" i="12"/>
  <c r="D1137" i="12"/>
  <c r="D1136" i="12"/>
  <c r="D1135" i="12"/>
  <c r="D1134" i="12"/>
  <c r="D1133" i="12"/>
  <c r="D1132" i="12"/>
  <c r="D1131" i="12"/>
  <c r="D1130" i="12"/>
  <c r="D1129" i="12"/>
  <c r="D1128" i="12"/>
  <c r="D1127" i="12"/>
  <c r="D1126" i="12"/>
  <c r="D1125" i="12"/>
  <c r="D1124" i="12"/>
  <c r="D1123" i="12"/>
  <c r="D1122" i="12"/>
  <c r="D1121" i="12"/>
  <c r="D1120" i="12"/>
  <c r="D1119" i="12"/>
  <c r="D1118" i="12"/>
  <c r="D1117" i="12"/>
  <c r="D1116" i="12"/>
  <c r="D1115" i="12"/>
  <c r="D1114" i="12"/>
  <c r="D1113" i="12"/>
  <c r="D1112" i="12"/>
  <c r="D1111" i="12"/>
  <c r="D1110" i="12"/>
  <c r="D1109" i="12"/>
  <c r="D1108" i="12"/>
  <c r="D1107" i="12"/>
  <c r="D1106" i="12"/>
  <c r="D1105" i="12"/>
  <c r="D1104" i="12"/>
  <c r="D1103" i="12"/>
  <c r="D1102" i="12"/>
  <c r="D1101" i="12"/>
  <c r="D1100" i="12"/>
  <c r="D1099" i="12"/>
  <c r="D1098" i="12"/>
  <c r="D1097" i="12"/>
  <c r="D1096" i="12"/>
  <c r="D1095" i="12"/>
  <c r="D1094" i="12"/>
  <c r="D1093" i="12"/>
  <c r="D1092" i="12"/>
  <c r="D1091" i="12"/>
  <c r="D1090" i="12"/>
  <c r="D1089" i="12"/>
  <c r="D1088" i="12"/>
  <c r="D1087" i="12"/>
  <c r="D1086" i="12"/>
  <c r="D1085" i="12"/>
  <c r="D1084" i="12"/>
  <c r="D1083" i="12"/>
  <c r="D1082" i="12"/>
  <c r="D1081" i="12"/>
  <c r="D1080" i="12"/>
  <c r="D1079" i="12"/>
  <c r="D1078" i="12"/>
  <c r="D1077" i="12"/>
  <c r="D1076" i="12"/>
  <c r="D1075" i="12"/>
  <c r="D1074" i="12"/>
  <c r="D1073" i="12"/>
  <c r="D1072" i="12"/>
  <c r="D1071" i="12"/>
  <c r="D1070" i="12"/>
  <c r="D1069" i="12"/>
  <c r="D1068" i="12"/>
  <c r="D1067" i="12"/>
  <c r="D1066" i="12"/>
  <c r="D1065" i="12"/>
  <c r="D1064" i="12"/>
  <c r="D1063" i="12"/>
  <c r="D1062" i="12"/>
  <c r="D1061" i="12"/>
  <c r="D1060" i="12"/>
  <c r="D1059" i="12"/>
  <c r="D1058" i="12"/>
  <c r="D1057" i="12"/>
  <c r="D1056" i="12"/>
  <c r="D1055" i="12"/>
  <c r="D1054" i="12"/>
  <c r="D1053" i="12"/>
  <c r="D1052" i="12"/>
  <c r="D1051" i="12"/>
  <c r="D1050" i="12"/>
  <c r="D1049" i="12"/>
  <c r="D1048" i="12"/>
  <c r="D1047" i="12"/>
  <c r="D1046" i="12"/>
  <c r="D1045" i="12"/>
  <c r="D1044" i="12"/>
  <c r="D1043" i="12"/>
  <c r="D1042" i="12"/>
  <c r="D1041" i="12"/>
  <c r="D1040" i="12"/>
  <c r="D1039" i="12"/>
  <c r="D1038" i="12"/>
  <c r="D1037" i="12"/>
  <c r="D1036" i="12"/>
  <c r="D1035" i="12"/>
  <c r="D1034" i="12"/>
  <c r="D1033" i="12"/>
  <c r="D1032" i="12"/>
  <c r="D1031" i="12"/>
  <c r="D1030" i="12"/>
  <c r="D1029" i="12"/>
  <c r="D1028" i="12"/>
  <c r="D1027" i="12"/>
  <c r="D1026" i="12"/>
  <c r="D1025" i="12"/>
  <c r="D1024" i="12"/>
  <c r="D1023" i="12"/>
  <c r="D1022" i="12"/>
  <c r="D1021" i="12"/>
  <c r="D1020" i="12"/>
  <c r="D1019" i="12"/>
  <c r="D1018" i="12"/>
  <c r="D1017" i="12"/>
  <c r="D1016" i="12"/>
  <c r="D1015" i="12"/>
  <c r="D1014" i="12"/>
  <c r="D1013" i="12"/>
  <c r="D1012" i="12"/>
  <c r="D1011" i="12"/>
  <c r="D1010" i="12"/>
  <c r="D1009" i="12"/>
  <c r="D1008" i="12"/>
  <c r="D1007" i="12"/>
  <c r="D1006" i="12"/>
  <c r="D1005" i="12"/>
  <c r="D1004" i="12"/>
  <c r="D1003" i="12"/>
  <c r="D1002" i="12"/>
  <c r="D1001" i="12"/>
  <c r="D1000" i="12"/>
  <c r="D999" i="12"/>
  <c r="D998" i="12"/>
  <c r="D997" i="12"/>
  <c r="D996" i="12"/>
  <c r="D995" i="12"/>
  <c r="D994" i="12"/>
  <c r="D993" i="12"/>
  <c r="D992" i="12"/>
  <c r="D991" i="12"/>
  <c r="D990" i="12"/>
  <c r="D989" i="12"/>
  <c r="D988" i="12"/>
  <c r="D987" i="12"/>
  <c r="D986" i="12"/>
  <c r="D985" i="12"/>
  <c r="D984" i="12"/>
  <c r="D983" i="12"/>
  <c r="D982" i="12"/>
  <c r="D981" i="12"/>
  <c r="D980" i="12"/>
  <c r="D979" i="12"/>
  <c r="D978" i="12"/>
  <c r="D977" i="12"/>
  <c r="D976" i="12"/>
  <c r="D975" i="12"/>
  <c r="D974" i="12"/>
  <c r="D973" i="12"/>
  <c r="D972" i="12"/>
  <c r="D971" i="12"/>
  <c r="D970" i="12"/>
  <c r="D969" i="12"/>
  <c r="D968" i="12"/>
  <c r="D967" i="12"/>
  <c r="D966" i="12"/>
  <c r="D965" i="12"/>
  <c r="D964" i="12"/>
  <c r="D963" i="12"/>
  <c r="D962" i="12"/>
  <c r="D961" i="12"/>
  <c r="D960" i="12"/>
  <c r="D959" i="12"/>
  <c r="D958" i="12"/>
  <c r="D957" i="12"/>
  <c r="D956" i="12"/>
  <c r="D955" i="12"/>
  <c r="D954" i="12"/>
  <c r="D953" i="12"/>
  <c r="D952" i="12"/>
  <c r="D951" i="12"/>
  <c r="D950" i="12"/>
  <c r="D949" i="12"/>
  <c r="D948" i="12"/>
  <c r="D947" i="12"/>
  <c r="D946" i="12"/>
  <c r="D945" i="12"/>
  <c r="D944" i="12"/>
  <c r="D943" i="12"/>
  <c r="D942" i="12"/>
  <c r="D941" i="12"/>
  <c r="D940" i="12"/>
  <c r="D939" i="12"/>
  <c r="D938" i="12"/>
  <c r="D937" i="12"/>
  <c r="D936" i="12"/>
  <c r="D935" i="12"/>
  <c r="D934" i="12"/>
  <c r="D933" i="12"/>
  <c r="D932" i="12"/>
  <c r="D931" i="12"/>
  <c r="D930" i="12"/>
  <c r="D929" i="12"/>
  <c r="D928" i="12"/>
  <c r="D927" i="12"/>
  <c r="D926" i="12"/>
  <c r="D925" i="12"/>
  <c r="D924" i="12"/>
  <c r="D923" i="12"/>
  <c r="D922" i="12"/>
  <c r="D921" i="12"/>
  <c r="D920" i="12"/>
  <c r="D919" i="12"/>
  <c r="D918" i="12"/>
  <c r="D917" i="12"/>
  <c r="D916" i="12"/>
  <c r="D915" i="12"/>
  <c r="D914" i="12"/>
  <c r="D913" i="12"/>
  <c r="D912" i="12"/>
  <c r="D911" i="12"/>
  <c r="D910" i="12"/>
  <c r="D909" i="12"/>
  <c r="D908" i="12"/>
  <c r="D907" i="12"/>
  <c r="D906" i="12"/>
  <c r="D905" i="12"/>
  <c r="D904" i="12"/>
  <c r="D903" i="12"/>
  <c r="D902" i="12"/>
  <c r="D901" i="12"/>
  <c r="D900" i="12"/>
  <c r="D899" i="12"/>
  <c r="D898" i="12"/>
  <c r="D897" i="12"/>
  <c r="D896" i="12"/>
  <c r="D895" i="12"/>
  <c r="D894" i="12"/>
  <c r="D893" i="12"/>
  <c r="D892" i="12"/>
  <c r="D891" i="12"/>
  <c r="D890" i="12"/>
  <c r="D889" i="12"/>
  <c r="D888" i="12"/>
  <c r="D887" i="12"/>
  <c r="D886" i="12"/>
  <c r="D885" i="12"/>
  <c r="D884" i="12"/>
  <c r="D883" i="12"/>
  <c r="D882" i="12"/>
  <c r="D881" i="12"/>
  <c r="D880" i="12"/>
  <c r="D879" i="12"/>
  <c r="D878" i="12"/>
  <c r="D877" i="12"/>
  <c r="D876" i="12"/>
  <c r="D875" i="12"/>
  <c r="D874" i="12"/>
  <c r="D873" i="12"/>
  <c r="D872" i="12"/>
  <c r="D871" i="12"/>
  <c r="D870" i="12"/>
  <c r="D869" i="12"/>
  <c r="D868" i="12"/>
  <c r="D867" i="12"/>
  <c r="D866" i="12"/>
  <c r="D865" i="12"/>
  <c r="D864" i="12"/>
  <c r="D863" i="12"/>
  <c r="D862" i="12"/>
  <c r="D861" i="12"/>
  <c r="D860" i="12"/>
  <c r="D859" i="12"/>
  <c r="D858" i="12"/>
  <c r="D857" i="12"/>
  <c r="D856" i="12"/>
  <c r="D855" i="12"/>
  <c r="D854" i="12"/>
  <c r="D853" i="12"/>
  <c r="D852" i="12"/>
  <c r="D851" i="12"/>
  <c r="D850" i="12"/>
  <c r="D849" i="12"/>
  <c r="D848" i="12"/>
  <c r="D847" i="12"/>
  <c r="D846" i="12"/>
  <c r="D845" i="12"/>
  <c r="D844" i="12"/>
  <c r="D843" i="12"/>
  <c r="D842" i="12"/>
  <c r="D841" i="12"/>
  <c r="D840" i="12"/>
  <c r="D839" i="12"/>
  <c r="D838" i="12"/>
  <c r="D837" i="12"/>
  <c r="D836" i="12"/>
  <c r="D835" i="12"/>
  <c r="D834" i="12"/>
  <c r="D833" i="12"/>
  <c r="D832" i="12"/>
  <c r="D831" i="12"/>
  <c r="D830" i="12"/>
  <c r="D829" i="12"/>
  <c r="D828" i="12"/>
  <c r="D827" i="12"/>
  <c r="D826" i="12"/>
  <c r="D825" i="12"/>
  <c r="D824" i="12"/>
  <c r="D823" i="12"/>
  <c r="D822" i="12"/>
  <c r="D821" i="12"/>
  <c r="D820" i="12"/>
  <c r="D819" i="12"/>
  <c r="D818" i="12"/>
  <c r="D817" i="12"/>
  <c r="D816" i="12"/>
  <c r="D815" i="12"/>
  <c r="D814" i="12"/>
  <c r="D813" i="12"/>
  <c r="D812" i="12"/>
  <c r="D811" i="12"/>
  <c r="D810" i="12"/>
  <c r="D809" i="12"/>
  <c r="D808" i="12"/>
  <c r="D807" i="12"/>
  <c r="D806" i="12"/>
  <c r="D805" i="12"/>
  <c r="D804" i="12"/>
  <c r="D803" i="12"/>
  <c r="D802" i="12"/>
  <c r="D801" i="12"/>
  <c r="D800" i="12"/>
  <c r="D799" i="12"/>
  <c r="D798" i="12"/>
  <c r="D797" i="12"/>
  <c r="D796" i="12"/>
  <c r="D795" i="12"/>
  <c r="D794" i="12"/>
  <c r="D793" i="12"/>
  <c r="D792" i="12"/>
  <c r="D791" i="12"/>
  <c r="D790" i="12"/>
  <c r="D789" i="12"/>
  <c r="D788" i="12"/>
  <c r="D787" i="12"/>
  <c r="D786" i="12"/>
  <c r="D785" i="12"/>
  <c r="D784" i="12"/>
  <c r="F783" i="12"/>
  <c r="D783" i="12"/>
  <c r="F782" i="12"/>
  <c r="E782" i="12"/>
  <c r="D782" i="12"/>
  <c r="F781" i="12"/>
  <c r="E781" i="12"/>
  <c r="D781" i="12"/>
  <c r="F780" i="12"/>
  <c r="E780" i="12"/>
  <c r="D780" i="12"/>
  <c r="F779" i="12"/>
  <c r="E779" i="12"/>
  <c r="D779" i="12"/>
  <c r="F778" i="12"/>
  <c r="E778" i="12"/>
  <c r="D778" i="12"/>
  <c r="F777" i="12"/>
  <c r="E777" i="12"/>
  <c r="D777" i="12"/>
  <c r="F776" i="12"/>
  <c r="E776" i="12"/>
  <c r="D776" i="12"/>
  <c r="F775" i="12"/>
  <c r="E775" i="12"/>
  <c r="D775" i="12"/>
  <c r="F774" i="12"/>
  <c r="E774" i="12"/>
  <c r="D774" i="12"/>
  <c r="F773" i="12"/>
  <c r="E773" i="12"/>
  <c r="D773" i="12"/>
  <c r="F772" i="12"/>
  <c r="E772" i="12"/>
  <c r="D772" i="12"/>
  <c r="F771" i="12"/>
  <c r="E771" i="12"/>
  <c r="D771" i="12"/>
  <c r="F770" i="12"/>
  <c r="E770" i="12"/>
  <c r="D770" i="12"/>
  <c r="F769" i="12"/>
  <c r="E769" i="12"/>
  <c r="D769" i="12"/>
  <c r="F768" i="12"/>
  <c r="E768" i="12"/>
  <c r="D768" i="12"/>
  <c r="F767" i="12"/>
  <c r="E767" i="12"/>
  <c r="D767" i="12"/>
  <c r="F766" i="12"/>
  <c r="E766" i="12"/>
  <c r="D766" i="12"/>
  <c r="F2" i="12"/>
  <c r="E2" i="12"/>
  <c r="D2" i="12"/>
  <c r="F782" i="9"/>
  <c r="F781" i="9"/>
  <c r="F779" i="9"/>
  <c r="F778" i="9"/>
  <c r="F777" i="9"/>
  <c r="F776" i="9"/>
  <c r="F775" i="9"/>
  <c r="F774" i="9"/>
  <c r="F773" i="9"/>
  <c r="F772" i="9"/>
  <c r="F771" i="9"/>
  <c r="F770" i="9"/>
  <c r="F769" i="9"/>
  <c r="F768" i="9"/>
  <c r="F766" i="9"/>
  <c r="F764" i="9"/>
  <c r="F763" i="9"/>
  <c r="F762" i="9"/>
  <c r="F760" i="9"/>
  <c r="F759" i="9"/>
  <c r="F757" i="9"/>
  <c r="F756" i="9"/>
  <c r="F755" i="9"/>
  <c r="F754" i="9"/>
  <c r="F753" i="9"/>
  <c r="F752" i="9"/>
  <c r="F751" i="9"/>
  <c r="F750" i="9"/>
  <c r="F749" i="9"/>
  <c r="F748" i="9"/>
  <c r="F747" i="9"/>
  <c r="F746" i="9"/>
  <c r="F745" i="9"/>
  <c r="F744" i="9"/>
  <c r="F743" i="9"/>
  <c r="F742" i="9"/>
  <c r="F741" i="9"/>
  <c r="F740" i="9"/>
  <c r="F739" i="9"/>
  <c r="F738" i="9"/>
  <c r="F737" i="9"/>
  <c r="F736" i="9"/>
  <c r="F735" i="9"/>
  <c r="F734" i="9"/>
  <c r="F733" i="9"/>
  <c r="F731" i="9"/>
  <c r="F730" i="9"/>
  <c r="F729" i="9"/>
  <c r="F727" i="9"/>
  <c r="F726" i="9"/>
  <c r="F725" i="9"/>
  <c r="F724" i="9"/>
  <c r="F723" i="9"/>
  <c r="F722" i="9"/>
  <c r="F721" i="9"/>
  <c r="F720" i="9"/>
  <c r="F719" i="9"/>
  <c r="F718" i="9"/>
  <c r="F717" i="9"/>
  <c r="F716" i="9"/>
  <c r="F715" i="9"/>
  <c r="F714" i="9"/>
  <c r="F713" i="9"/>
  <c r="F710" i="9"/>
  <c r="F709" i="9"/>
  <c r="F708" i="9"/>
  <c r="F706" i="9"/>
  <c r="F705" i="9"/>
  <c r="F704" i="9"/>
  <c r="F703" i="9"/>
  <c r="F701" i="9"/>
  <c r="F699" i="9"/>
  <c r="F698" i="9"/>
  <c r="F697" i="9"/>
  <c r="F695" i="9"/>
  <c r="F693" i="9"/>
  <c r="F692" i="9"/>
  <c r="F691" i="9"/>
  <c r="F690" i="9"/>
  <c r="F689" i="9"/>
  <c r="F688" i="9"/>
  <c r="F687" i="9"/>
  <c r="F686" i="9"/>
  <c r="F685" i="9"/>
  <c r="F684" i="9"/>
  <c r="F682" i="9"/>
  <c r="F681" i="9"/>
  <c r="F680" i="9"/>
  <c r="F679" i="9"/>
  <c r="F677" i="9"/>
  <c r="F675" i="9"/>
  <c r="F674" i="9"/>
  <c r="F672" i="9"/>
  <c r="F671" i="9"/>
  <c r="F670" i="9"/>
  <c r="F669" i="9"/>
  <c r="F668" i="9"/>
  <c r="F667" i="9"/>
  <c r="F666" i="9"/>
  <c r="F665" i="9"/>
  <c r="F664" i="9"/>
  <c r="F663" i="9"/>
  <c r="F662" i="9"/>
  <c r="F661" i="9"/>
  <c r="F660" i="9"/>
  <c r="F659" i="9"/>
  <c r="F658" i="9"/>
  <c r="F657" i="9"/>
  <c r="F656" i="9"/>
  <c r="F655" i="9"/>
  <c r="F654" i="9"/>
  <c r="F653" i="9"/>
  <c r="F652" i="9"/>
  <c r="F651" i="9"/>
  <c r="F650" i="9"/>
  <c r="F647" i="9"/>
  <c r="F646" i="9"/>
  <c r="F644" i="9"/>
  <c r="F643" i="9"/>
  <c r="F642" i="9"/>
  <c r="F641" i="9"/>
  <c r="F640" i="9"/>
  <c r="F639" i="9"/>
  <c r="F637" i="9"/>
  <c r="F636" i="9"/>
  <c r="F634" i="9"/>
  <c r="F633" i="9"/>
  <c r="F631" i="9"/>
  <c r="F630" i="9"/>
  <c r="F629" i="9"/>
  <c r="F628" i="9"/>
  <c r="F627" i="9"/>
  <c r="F625" i="9"/>
  <c r="F624" i="9"/>
  <c r="F623" i="9"/>
  <c r="F622" i="9"/>
  <c r="F620" i="9"/>
  <c r="F619" i="9"/>
  <c r="F618" i="9"/>
  <c r="F617" i="9"/>
  <c r="F616" i="9"/>
  <c r="F614" i="9"/>
  <c r="F613" i="9"/>
  <c r="F612" i="9"/>
  <c r="F610" i="9"/>
  <c r="F609" i="9"/>
  <c r="F608" i="9"/>
  <c r="F607" i="9"/>
  <c r="F606" i="9"/>
  <c r="F605" i="9"/>
  <c r="F604" i="9"/>
  <c r="F603" i="9"/>
  <c r="F602" i="9"/>
  <c r="F601" i="9"/>
  <c r="F600" i="9"/>
  <c r="F599" i="9"/>
  <c r="F598" i="9"/>
  <c r="F596" i="9"/>
  <c r="F594" i="9"/>
  <c r="F593" i="9"/>
  <c r="F592" i="9"/>
  <c r="F591" i="9"/>
  <c r="F590" i="9"/>
  <c r="F589" i="9"/>
  <c r="F588" i="9"/>
  <c r="F586" i="9"/>
  <c r="F585" i="9"/>
  <c r="F584" i="9"/>
  <c r="F582" i="9"/>
  <c r="F581" i="9"/>
  <c r="F580" i="9"/>
  <c r="F579" i="9"/>
  <c r="F577" i="9"/>
  <c r="F576" i="9"/>
  <c r="F575" i="9"/>
  <c r="F574" i="9"/>
  <c r="F572" i="9"/>
  <c r="F571" i="9"/>
  <c r="F570" i="9"/>
  <c r="F568" i="9"/>
  <c r="F567" i="9"/>
  <c r="F566" i="9"/>
  <c r="F565" i="9"/>
  <c r="F564" i="9"/>
  <c r="F563" i="9"/>
  <c r="F562" i="9"/>
  <c r="F560" i="9"/>
  <c r="F559" i="9"/>
  <c r="F558" i="9"/>
  <c r="F557" i="9"/>
  <c r="F556" i="9"/>
  <c r="F555" i="9"/>
  <c r="F554" i="9"/>
  <c r="F552" i="9"/>
  <c r="F551" i="9"/>
  <c r="F550" i="9"/>
  <c r="F549" i="9"/>
  <c r="F548" i="9"/>
  <c r="F547" i="9"/>
  <c r="F546" i="9"/>
  <c r="F545" i="9"/>
  <c r="F543" i="9"/>
  <c r="F542" i="9"/>
  <c r="F541" i="9"/>
  <c r="F540" i="9"/>
  <c r="F539" i="9"/>
  <c r="F538" i="9"/>
  <c r="F537" i="9"/>
  <c r="F535" i="9"/>
  <c r="F534" i="9"/>
  <c r="F533" i="9"/>
  <c r="F532" i="9"/>
  <c r="F531" i="9"/>
  <c r="F530" i="9"/>
  <c r="F529" i="9"/>
  <c r="F528" i="9"/>
  <c r="F526" i="9"/>
  <c r="F524" i="9"/>
  <c r="F523" i="9"/>
  <c r="F522" i="9"/>
  <c r="F520" i="9"/>
  <c r="F519" i="9"/>
  <c r="F517" i="9"/>
  <c r="F516" i="9"/>
  <c r="F515" i="9"/>
  <c r="F514" i="9"/>
  <c r="F513" i="9"/>
  <c r="F512" i="9"/>
  <c r="F511" i="9"/>
  <c r="F510" i="9"/>
  <c r="F509" i="9"/>
  <c r="F508" i="9"/>
  <c r="F507" i="9"/>
  <c r="F506" i="9"/>
  <c r="F505" i="9"/>
  <c r="F504" i="9"/>
  <c r="F503" i="9"/>
  <c r="F502" i="9"/>
  <c r="F501" i="9"/>
  <c r="F500" i="9"/>
  <c r="F499" i="9"/>
  <c r="F498" i="9"/>
  <c r="F497" i="9"/>
  <c r="F496" i="9"/>
  <c r="F495" i="9"/>
  <c r="F494" i="9"/>
  <c r="F493" i="9"/>
  <c r="F492" i="9"/>
  <c r="F491" i="9"/>
  <c r="F490" i="9"/>
  <c r="F489" i="9"/>
  <c r="F488" i="9"/>
  <c r="F487" i="9"/>
  <c r="F486" i="9"/>
  <c r="F485" i="9"/>
  <c r="F484" i="9"/>
  <c r="F483" i="9"/>
  <c r="F482" i="9"/>
  <c r="F481" i="9"/>
  <c r="F480" i="9"/>
  <c r="F479" i="9"/>
  <c r="F478" i="9"/>
  <c r="F477" i="9"/>
  <c r="F476" i="9"/>
  <c r="F475" i="9"/>
  <c r="F473" i="9"/>
  <c r="F471" i="9"/>
  <c r="F469" i="9"/>
  <c r="F468" i="9"/>
  <c r="F466" i="9"/>
  <c r="F465" i="9"/>
  <c r="F464" i="9"/>
  <c r="F463" i="9"/>
  <c r="F462" i="9"/>
  <c r="F461" i="9"/>
  <c r="F460" i="9"/>
  <c r="F459" i="9"/>
  <c r="F458" i="9"/>
  <c r="F457" i="9"/>
  <c r="F456" i="9"/>
  <c r="F455" i="9"/>
  <c r="F454" i="9"/>
  <c r="F453" i="9"/>
  <c r="F452" i="9"/>
  <c r="F451" i="9"/>
  <c r="F450" i="9"/>
  <c r="F449" i="9"/>
  <c r="F448" i="9"/>
  <c r="F447" i="9"/>
  <c r="F446" i="9"/>
  <c r="F445" i="9"/>
  <c r="F444" i="9"/>
  <c r="F443" i="9"/>
  <c r="F442" i="9"/>
  <c r="F441" i="9"/>
  <c r="F440" i="9"/>
  <c r="F439" i="9"/>
  <c r="F438" i="9"/>
  <c r="F437" i="9"/>
  <c r="F436" i="9"/>
  <c r="F435" i="9"/>
  <c r="F434" i="9"/>
  <c r="F433" i="9"/>
  <c r="F432" i="9"/>
  <c r="F431" i="9"/>
  <c r="F430" i="9"/>
  <c r="F429" i="9"/>
  <c r="F428" i="9"/>
  <c r="F427" i="9"/>
  <c r="F426" i="9"/>
  <c r="F425" i="9"/>
  <c r="F424" i="9"/>
  <c r="F423" i="9"/>
  <c r="F422" i="9"/>
  <c r="F421" i="9"/>
  <c r="F420" i="9"/>
  <c r="F419" i="9"/>
  <c r="F418" i="9"/>
  <c r="F417" i="9"/>
  <c r="F416" i="9"/>
  <c r="F415" i="9"/>
  <c r="F414" i="9"/>
  <c r="F413" i="9"/>
  <c r="F412" i="9"/>
  <c r="F411" i="9"/>
  <c r="F410" i="9"/>
  <c r="F409" i="9"/>
  <c r="F407" i="9"/>
  <c r="F406" i="9"/>
  <c r="F405" i="9"/>
  <c r="F404" i="9"/>
  <c r="F403" i="9"/>
  <c r="F402" i="9"/>
  <c r="F401" i="9"/>
  <c r="F400" i="9"/>
  <c r="F399" i="9"/>
  <c r="F398" i="9"/>
  <c r="F397" i="9"/>
  <c r="F396" i="9"/>
  <c r="F395" i="9"/>
  <c r="F394" i="9"/>
  <c r="F393" i="9"/>
  <c r="F392" i="9"/>
  <c r="F391" i="9"/>
  <c r="F390" i="9"/>
  <c r="F389" i="9"/>
  <c r="F388" i="9"/>
  <c r="F387" i="9"/>
  <c r="F386" i="9"/>
  <c r="F385" i="9"/>
  <c r="F384" i="9"/>
  <c r="F383" i="9"/>
  <c r="F382" i="9"/>
  <c r="F381" i="9"/>
  <c r="F380" i="9"/>
  <c r="F379" i="9"/>
  <c r="F378" i="9"/>
  <c r="F377" i="9"/>
  <c r="F376" i="9"/>
  <c r="F375" i="9"/>
  <c r="F374" i="9"/>
  <c r="F373" i="9"/>
  <c r="F372" i="9"/>
  <c r="F371" i="9"/>
  <c r="F370" i="9"/>
  <c r="F369" i="9"/>
  <c r="F368" i="9"/>
  <c r="F367" i="9"/>
  <c r="F366" i="9"/>
  <c r="F365" i="9"/>
  <c r="F364" i="9"/>
  <c r="F363" i="9"/>
  <c r="F362" i="9"/>
  <c r="F361" i="9"/>
  <c r="F360" i="9"/>
  <c r="F359" i="9"/>
  <c r="F358" i="9"/>
  <c r="F357" i="9"/>
  <c r="F356" i="9"/>
  <c r="F355" i="9"/>
  <c r="F354" i="9"/>
  <c r="F353" i="9"/>
  <c r="F352" i="9"/>
  <c r="F351" i="9"/>
  <c r="F350" i="9"/>
  <c r="F349" i="9"/>
  <c r="F348" i="9"/>
  <c r="F347" i="9"/>
  <c r="F346" i="9"/>
  <c r="F345" i="9"/>
  <c r="F344" i="9"/>
  <c r="F343" i="9"/>
  <c r="F342" i="9"/>
  <c r="F341" i="9"/>
  <c r="F340" i="9"/>
  <c r="F339" i="9"/>
  <c r="F338" i="9"/>
  <c r="F337" i="9"/>
  <c r="F336" i="9"/>
  <c r="F335" i="9"/>
  <c r="F334" i="9"/>
  <c r="F333" i="9"/>
  <c r="F331" i="9"/>
  <c r="F329" i="9"/>
  <c r="F328" i="9"/>
  <c r="F327" i="9"/>
  <c r="F326" i="9"/>
  <c r="F325" i="9"/>
  <c r="F324" i="9"/>
  <c r="F323" i="9"/>
  <c r="F322" i="9"/>
  <c r="F321" i="9"/>
  <c r="F320" i="9"/>
  <c r="F319" i="9"/>
  <c r="F318" i="9"/>
  <c r="F317" i="9"/>
  <c r="F316" i="9"/>
  <c r="F315" i="9"/>
  <c r="F314" i="9"/>
  <c r="F313" i="9"/>
  <c r="F312" i="9"/>
  <c r="F311" i="9"/>
  <c r="F310" i="9"/>
  <c r="F309" i="9"/>
  <c r="F308" i="9"/>
  <c r="F307" i="9"/>
  <c r="F306" i="9"/>
  <c r="F304" i="9"/>
  <c r="F302" i="9"/>
  <c r="F300" i="9"/>
  <c r="F299" i="9"/>
  <c r="F297" i="9"/>
  <c r="F296" i="9"/>
  <c r="F295" i="9"/>
  <c r="F293" i="9"/>
  <c r="F292" i="9"/>
  <c r="F291" i="9"/>
  <c r="F290" i="9"/>
  <c r="F289" i="9"/>
  <c r="F287" i="9"/>
  <c r="F286" i="9"/>
  <c r="F285" i="9"/>
  <c r="F284" i="9"/>
  <c r="F283" i="9"/>
  <c r="F282" i="9"/>
  <c r="F281" i="9"/>
  <c r="F280" i="9"/>
  <c r="F279" i="9"/>
  <c r="F278" i="9"/>
  <c r="F277" i="9"/>
  <c r="F276" i="9"/>
  <c r="F274" i="9"/>
  <c r="F273" i="9"/>
  <c r="F272" i="9"/>
  <c r="F270" i="9"/>
  <c r="F269" i="9"/>
  <c r="F268" i="9"/>
  <c r="F266" i="9"/>
  <c r="F265" i="9"/>
  <c r="F264" i="9"/>
  <c r="F263" i="9"/>
  <c r="F262" i="9"/>
  <c r="F261" i="9"/>
  <c r="F259" i="9"/>
  <c r="F257" i="9"/>
  <c r="F256" i="9"/>
  <c r="F254" i="9"/>
  <c r="F253" i="9"/>
  <c r="F252" i="9"/>
  <c r="F250" i="9"/>
  <c r="F249" i="9"/>
  <c r="F248" i="9"/>
  <c r="F247" i="9"/>
  <c r="F246" i="9"/>
  <c r="F244" i="9"/>
  <c r="F243" i="9"/>
  <c r="F242" i="9"/>
  <c r="F240" i="9"/>
  <c r="F239" i="9"/>
  <c r="F238" i="9"/>
  <c r="F237" i="9"/>
  <c r="F236" i="9"/>
  <c r="F235" i="9"/>
  <c r="F234" i="9"/>
  <c r="F233" i="9"/>
  <c r="F232" i="9"/>
  <c r="F231" i="9"/>
  <c r="F230" i="9"/>
  <c r="F229" i="9"/>
  <c r="F228" i="9"/>
  <c r="F227" i="9"/>
  <c r="F226" i="9"/>
  <c r="F225" i="9"/>
  <c r="F224" i="9"/>
  <c r="F223" i="9"/>
  <c r="F222" i="9"/>
  <c r="F221" i="9"/>
  <c r="F220" i="9"/>
  <c r="F219" i="9"/>
  <c r="F218" i="9"/>
  <c r="F217" i="9"/>
  <c r="F216" i="9"/>
  <c r="F215" i="9"/>
  <c r="F214" i="9"/>
  <c r="F213" i="9"/>
  <c r="F210" i="9"/>
  <c r="F209" i="9"/>
  <c r="F208" i="9"/>
  <c r="F206" i="9"/>
  <c r="F205" i="9"/>
  <c r="F204" i="9"/>
  <c r="F203" i="9"/>
  <c r="F202" i="9"/>
  <c r="F201" i="9"/>
  <c r="F200" i="9"/>
  <c r="F199" i="9"/>
  <c r="F198" i="9"/>
  <c r="F197" i="9"/>
  <c r="F196" i="9"/>
  <c r="F195" i="9"/>
  <c r="F194" i="9"/>
  <c r="F193" i="9"/>
  <c r="F192" i="9"/>
  <c r="F190" i="9"/>
  <c r="F189" i="9"/>
  <c r="F188" i="9"/>
  <c r="F187" i="9"/>
  <c r="F185" i="9"/>
  <c r="F184" i="9"/>
  <c r="F183" i="9"/>
  <c r="F182" i="9"/>
  <c r="F181" i="9"/>
  <c r="F180" i="9"/>
  <c r="F179" i="9"/>
  <c r="F176" i="9"/>
  <c r="F175" i="9"/>
  <c r="F173" i="9"/>
  <c r="F172" i="9"/>
  <c r="F171" i="9"/>
  <c r="F169" i="9"/>
  <c r="F168" i="9"/>
  <c r="F167" i="9"/>
  <c r="F166" i="9"/>
  <c r="F165" i="9"/>
  <c r="F164" i="9"/>
  <c r="F163" i="9"/>
  <c r="F162" i="9"/>
  <c r="F161" i="9"/>
  <c r="F160" i="9"/>
  <c r="F159" i="9"/>
  <c r="F158" i="9"/>
  <c r="F157" i="9"/>
  <c r="F156" i="9"/>
  <c r="F155" i="9"/>
  <c r="F154" i="9"/>
  <c r="F153" i="9"/>
  <c r="F152" i="9"/>
  <c r="F151" i="9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F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3" i="9"/>
  <c r="D3" i="9"/>
  <c r="E2" i="9"/>
  <c r="D2" i="9"/>
  <c r="B26" i="4"/>
  <c r="E782" i="9"/>
  <c r="E781" i="9"/>
  <c r="E779" i="9"/>
  <c r="E778" i="9"/>
  <c r="E777" i="9"/>
  <c r="E776" i="9"/>
  <c r="E775" i="9"/>
  <c r="E774" i="9"/>
  <c r="E773" i="9"/>
  <c r="E772" i="9"/>
  <c r="E771" i="9"/>
  <c r="E770" i="9"/>
  <c r="E769" i="9"/>
  <c r="E768" i="9"/>
  <c r="E766" i="9"/>
  <c r="E764" i="9"/>
  <c r="E763" i="9"/>
  <c r="E762" i="9"/>
  <c r="E760" i="9"/>
  <c r="E759" i="9"/>
  <c r="E757" i="9"/>
  <c r="E756" i="9"/>
  <c r="E755" i="9"/>
  <c r="E754" i="9"/>
  <c r="E753" i="9"/>
  <c r="E752" i="9"/>
  <c r="E751" i="9"/>
  <c r="E750" i="9"/>
  <c r="E749" i="9"/>
  <c r="E748" i="9"/>
  <c r="E747" i="9"/>
  <c r="E746" i="9"/>
  <c r="E745" i="9"/>
  <c r="E744" i="9"/>
  <c r="E743" i="9"/>
  <c r="E742" i="9"/>
  <c r="E741" i="9"/>
  <c r="E740" i="9"/>
  <c r="E739" i="9"/>
  <c r="E738" i="9"/>
  <c r="E737" i="9"/>
  <c r="E736" i="9"/>
  <c r="E735" i="9"/>
  <c r="E734" i="9"/>
  <c r="E733" i="9"/>
  <c r="E731" i="9"/>
  <c r="E730" i="9"/>
  <c r="E729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0" i="9"/>
  <c r="E709" i="9"/>
  <c r="E708" i="9"/>
  <c r="E706" i="9"/>
  <c r="E705" i="9"/>
  <c r="E704" i="9"/>
  <c r="E703" i="9"/>
  <c r="E701" i="9"/>
  <c r="E699" i="9"/>
  <c r="E698" i="9"/>
  <c r="E697" i="9"/>
  <c r="E695" i="9"/>
  <c r="E693" i="9"/>
  <c r="E692" i="9"/>
  <c r="E691" i="9"/>
  <c r="E690" i="9"/>
  <c r="E689" i="9"/>
  <c r="E688" i="9"/>
  <c r="E687" i="9"/>
  <c r="E686" i="9"/>
  <c r="E685" i="9"/>
  <c r="E684" i="9"/>
  <c r="E682" i="9"/>
  <c r="E681" i="9"/>
  <c r="E680" i="9"/>
  <c r="E679" i="9"/>
  <c r="E677" i="9"/>
  <c r="E675" i="9"/>
  <c r="E674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7" i="9"/>
  <c r="E646" i="9"/>
  <c r="E644" i="9"/>
  <c r="E643" i="9"/>
  <c r="E642" i="9"/>
  <c r="E641" i="9"/>
  <c r="E640" i="9"/>
  <c r="E639" i="9"/>
  <c r="E637" i="9"/>
  <c r="E636" i="9"/>
  <c r="E634" i="9"/>
  <c r="E633" i="9"/>
  <c r="E631" i="9"/>
  <c r="E630" i="9"/>
  <c r="E629" i="9"/>
  <c r="E628" i="9"/>
  <c r="E627" i="9"/>
  <c r="E625" i="9"/>
  <c r="E624" i="9"/>
  <c r="E623" i="9"/>
  <c r="E622" i="9"/>
  <c r="E620" i="9"/>
  <c r="E619" i="9"/>
  <c r="E618" i="9"/>
  <c r="E617" i="9"/>
  <c r="E616" i="9"/>
  <c r="E614" i="9"/>
  <c r="E613" i="9"/>
  <c r="E612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6" i="9"/>
  <c r="E594" i="9"/>
  <c r="E593" i="9"/>
  <c r="E592" i="9"/>
  <c r="E591" i="9"/>
  <c r="E590" i="9"/>
  <c r="E589" i="9"/>
  <c r="E588" i="9"/>
  <c r="E586" i="9"/>
  <c r="E585" i="9"/>
  <c r="E584" i="9"/>
  <c r="E582" i="9"/>
  <c r="E581" i="9"/>
  <c r="E580" i="9"/>
  <c r="E579" i="9"/>
  <c r="E577" i="9"/>
  <c r="E576" i="9"/>
  <c r="E575" i="9"/>
  <c r="E574" i="9"/>
  <c r="E572" i="9"/>
  <c r="E571" i="9"/>
  <c r="E570" i="9"/>
  <c r="E568" i="9"/>
  <c r="E567" i="9"/>
  <c r="E566" i="9"/>
  <c r="E565" i="9"/>
  <c r="E564" i="9"/>
  <c r="E563" i="9"/>
  <c r="E562" i="9"/>
  <c r="E560" i="9"/>
  <c r="E559" i="9"/>
  <c r="E558" i="9"/>
  <c r="E557" i="9"/>
  <c r="E556" i="9"/>
  <c r="E555" i="9"/>
  <c r="E554" i="9"/>
  <c r="E552" i="9"/>
  <c r="E551" i="9"/>
  <c r="E550" i="9"/>
  <c r="E549" i="9"/>
  <c r="E548" i="9"/>
  <c r="E547" i="9"/>
  <c r="E546" i="9"/>
  <c r="E545" i="9"/>
  <c r="E543" i="9"/>
  <c r="E542" i="9"/>
  <c r="E541" i="9"/>
  <c r="E540" i="9"/>
  <c r="E539" i="9"/>
  <c r="E538" i="9"/>
  <c r="E537" i="9"/>
  <c r="E535" i="9"/>
  <c r="E534" i="9"/>
  <c r="E533" i="9"/>
  <c r="E532" i="9"/>
  <c r="E531" i="9"/>
  <c r="E530" i="9"/>
  <c r="E529" i="9"/>
  <c r="E528" i="9"/>
  <c r="E526" i="9"/>
  <c r="E524" i="9"/>
  <c r="E523" i="9"/>
  <c r="E522" i="9"/>
  <c r="E520" i="9"/>
  <c r="E519" i="9"/>
  <c r="E517" i="9"/>
  <c r="E516" i="9"/>
  <c r="E515" i="9"/>
  <c r="E514" i="9"/>
  <c r="E513" i="9"/>
  <c r="E512" i="9"/>
  <c r="E511" i="9"/>
  <c r="E510" i="9"/>
  <c r="E509" i="9"/>
  <c r="E508" i="9"/>
  <c r="E507" i="9"/>
  <c r="E506" i="9"/>
  <c r="E505" i="9"/>
  <c r="E504" i="9"/>
  <c r="E503" i="9"/>
  <c r="E502" i="9"/>
  <c r="E501" i="9"/>
  <c r="E500" i="9"/>
  <c r="E499" i="9"/>
  <c r="E498" i="9"/>
  <c r="E497" i="9"/>
  <c r="E496" i="9"/>
  <c r="E495" i="9"/>
  <c r="E494" i="9"/>
  <c r="E493" i="9"/>
  <c r="E492" i="9"/>
  <c r="E491" i="9"/>
  <c r="E490" i="9"/>
  <c r="E489" i="9"/>
  <c r="E488" i="9"/>
  <c r="E487" i="9"/>
  <c r="E486" i="9"/>
  <c r="E485" i="9"/>
  <c r="E484" i="9"/>
  <c r="E483" i="9"/>
  <c r="E482" i="9"/>
  <c r="E481" i="9"/>
  <c r="E480" i="9"/>
  <c r="E479" i="9"/>
  <c r="E478" i="9"/>
  <c r="E477" i="9"/>
  <c r="E476" i="9"/>
  <c r="E475" i="9"/>
  <c r="E473" i="9"/>
  <c r="E471" i="9"/>
  <c r="E469" i="9"/>
  <c r="E468" i="9"/>
  <c r="E466" i="9"/>
  <c r="E465" i="9"/>
  <c r="E464" i="9"/>
  <c r="E463" i="9"/>
  <c r="E462" i="9"/>
  <c r="E461" i="9"/>
  <c r="E460" i="9"/>
  <c r="E459" i="9"/>
  <c r="E458" i="9"/>
  <c r="E457" i="9"/>
  <c r="E456" i="9"/>
  <c r="E455" i="9"/>
  <c r="E454" i="9"/>
  <c r="E453" i="9"/>
  <c r="E452" i="9"/>
  <c r="E451" i="9"/>
  <c r="E450" i="9"/>
  <c r="E449" i="9"/>
  <c r="E448" i="9"/>
  <c r="E447" i="9"/>
  <c r="E446" i="9"/>
  <c r="E445" i="9"/>
  <c r="E444" i="9"/>
  <c r="E443" i="9"/>
  <c r="E442" i="9"/>
  <c r="E441" i="9"/>
  <c r="E440" i="9"/>
  <c r="E439" i="9"/>
  <c r="E438" i="9"/>
  <c r="E437" i="9"/>
  <c r="E436" i="9"/>
  <c r="E435" i="9"/>
  <c r="E434" i="9"/>
  <c r="E433" i="9"/>
  <c r="E432" i="9"/>
  <c r="E431" i="9"/>
  <c r="E430" i="9"/>
  <c r="E429" i="9"/>
  <c r="E428" i="9"/>
  <c r="E427" i="9"/>
  <c r="E426" i="9"/>
  <c r="E425" i="9"/>
  <c r="E424" i="9"/>
  <c r="E423" i="9"/>
  <c r="E422" i="9"/>
  <c r="E421" i="9"/>
  <c r="E420" i="9"/>
  <c r="E419" i="9"/>
  <c r="E418" i="9"/>
  <c r="E417" i="9"/>
  <c r="E416" i="9"/>
  <c r="E415" i="9"/>
  <c r="E414" i="9"/>
  <c r="E413" i="9"/>
  <c r="E412" i="9"/>
  <c r="E411" i="9"/>
  <c r="E410" i="9"/>
  <c r="E409" i="9"/>
  <c r="E407" i="9"/>
  <c r="E406" i="9"/>
  <c r="E405" i="9"/>
  <c r="E404" i="9"/>
  <c r="E403" i="9"/>
  <c r="E402" i="9"/>
  <c r="E401" i="9"/>
  <c r="E400" i="9"/>
  <c r="E399" i="9"/>
  <c r="E398" i="9"/>
  <c r="E397" i="9"/>
  <c r="E396" i="9"/>
  <c r="E395" i="9"/>
  <c r="E394" i="9"/>
  <c r="E393" i="9"/>
  <c r="E392" i="9"/>
  <c r="E391" i="9"/>
  <c r="E390" i="9"/>
  <c r="E389" i="9"/>
  <c r="E388" i="9"/>
  <c r="E387" i="9"/>
  <c r="E386" i="9"/>
  <c r="E385" i="9"/>
  <c r="E384" i="9"/>
  <c r="E383" i="9"/>
  <c r="E382" i="9"/>
  <c r="E381" i="9"/>
  <c r="E380" i="9"/>
  <c r="E379" i="9"/>
  <c r="E378" i="9"/>
  <c r="E377" i="9"/>
  <c r="E376" i="9"/>
  <c r="E375" i="9"/>
  <c r="E374" i="9"/>
  <c r="E373" i="9"/>
  <c r="E372" i="9"/>
  <c r="E371" i="9"/>
  <c r="E370" i="9"/>
  <c r="E369" i="9"/>
  <c r="E368" i="9"/>
  <c r="E367" i="9"/>
  <c r="E366" i="9"/>
  <c r="E365" i="9"/>
  <c r="E364" i="9"/>
  <c r="E363" i="9"/>
  <c r="E362" i="9"/>
  <c r="E361" i="9"/>
  <c r="E360" i="9"/>
  <c r="E359" i="9"/>
  <c r="E358" i="9"/>
  <c r="E357" i="9"/>
  <c r="E356" i="9"/>
  <c r="E355" i="9"/>
  <c r="E354" i="9"/>
  <c r="E353" i="9"/>
  <c r="E352" i="9"/>
  <c r="E351" i="9"/>
  <c r="E350" i="9"/>
  <c r="E349" i="9"/>
  <c r="E348" i="9"/>
  <c r="E347" i="9"/>
  <c r="E346" i="9"/>
  <c r="E345" i="9"/>
  <c r="E344" i="9"/>
  <c r="E343" i="9"/>
  <c r="E342" i="9"/>
  <c r="E341" i="9"/>
  <c r="E340" i="9"/>
  <c r="E339" i="9"/>
  <c r="E338" i="9"/>
  <c r="E337" i="9"/>
  <c r="E336" i="9"/>
  <c r="E335" i="9"/>
  <c r="E334" i="9"/>
  <c r="E333" i="9"/>
  <c r="E331" i="9"/>
  <c r="E329" i="9"/>
  <c r="E328" i="9"/>
  <c r="E327" i="9"/>
  <c r="E326" i="9"/>
  <c r="E325" i="9"/>
  <c r="E324" i="9"/>
  <c r="E323" i="9"/>
  <c r="E322" i="9"/>
  <c r="E321" i="9"/>
  <c r="E320" i="9"/>
  <c r="E319" i="9"/>
  <c r="E318" i="9"/>
  <c r="E317" i="9"/>
  <c r="E316" i="9"/>
  <c r="E315" i="9"/>
  <c r="E314" i="9"/>
  <c r="E313" i="9"/>
  <c r="E312" i="9"/>
  <c r="E311" i="9"/>
  <c r="E310" i="9"/>
  <c r="E309" i="9"/>
  <c r="E308" i="9"/>
  <c r="E307" i="9"/>
  <c r="E306" i="9"/>
  <c r="E304" i="9"/>
  <c r="E302" i="9"/>
  <c r="E300" i="9"/>
  <c r="E299" i="9"/>
  <c r="E297" i="9"/>
  <c r="E296" i="9"/>
  <c r="E295" i="9"/>
  <c r="E293" i="9"/>
  <c r="E292" i="9"/>
  <c r="E291" i="9"/>
  <c r="E290" i="9"/>
  <c r="E289" i="9"/>
  <c r="E287" i="9"/>
  <c r="E286" i="9"/>
  <c r="E285" i="9"/>
  <c r="E284" i="9"/>
  <c r="E283" i="9"/>
  <c r="E282" i="9"/>
  <c r="E281" i="9"/>
  <c r="E280" i="9"/>
  <c r="E279" i="9"/>
  <c r="E278" i="9"/>
  <c r="E277" i="9"/>
  <c r="E276" i="9"/>
  <c r="E274" i="9"/>
  <c r="E273" i="9"/>
  <c r="E272" i="9"/>
  <c r="E270" i="9"/>
  <c r="E269" i="9"/>
  <c r="E268" i="9"/>
  <c r="E266" i="9"/>
  <c r="E265" i="9"/>
  <c r="E264" i="9"/>
  <c r="E263" i="9"/>
  <c r="E262" i="9"/>
  <c r="E261" i="9"/>
  <c r="E259" i="9"/>
  <c r="E257" i="9"/>
  <c r="E256" i="9"/>
  <c r="E254" i="9"/>
  <c r="E253" i="9"/>
  <c r="E252" i="9"/>
  <c r="E250" i="9"/>
  <c r="E249" i="9"/>
  <c r="E248" i="9"/>
  <c r="E247" i="9"/>
  <c r="E246" i="9"/>
  <c r="E244" i="9"/>
  <c r="E243" i="9"/>
  <c r="E242" i="9"/>
  <c r="E240" i="9"/>
  <c r="E239" i="9"/>
  <c r="E238" i="9"/>
  <c r="E237" i="9"/>
  <c r="E236" i="9"/>
  <c r="E235" i="9"/>
  <c r="E234" i="9"/>
  <c r="E233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0" i="9"/>
  <c r="E209" i="9"/>
  <c r="E208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0" i="9"/>
  <c r="E189" i="9"/>
  <c r="E188" i="9"/>
  <c r="E187" i="9"/>
  <c r="E185" i="9"/>
  <c r="E184" i="9"/>
  <c r="E183" i="9"/>
  <c r="E182" i="9"/>
  <c r="E181" i="9"/>
  <c r="E180" i="9"/>
  <c r="E179" i="9"/>
  <c r="E176" i="9"/>
  <c r="E175" i="9"/>
  <c r="E173" i="9"/>
  <c r="E172" i="9"/>
  <c r="E171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1" i="9"/>
  <c r="D172" i="9"/>
  <c r="D173" i="9"/>
  <c r="D175" i="9"/>
  <c r="D176" i="9"/>
  <c r="D179" i="9"/>
  <c r="D180" i="9"/>
  <c r="D181" i="9"/>
  <c r="D182" i="9"/>
  <c r="D183" i="9"/>
  <c r="D184" i="9"/>
  <c r="D185" i="9"/>
  <c r="D187" i="9"/>
  <c r="D188" i="9"/>
  <c r="D189" i="9"/>
  <c r="D190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8" i="9"/>
  <c r="D209" i="9"/>
  <c r="D210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2" i="9"/>
  <c r="D243" i="9"/>
  <c r="D244" i="9"/>
  <c r="D246" i="9"/>
  <c r="D247" i="9"/>
  <c r="D248" i="9"/>
  <c r="D249" i="9"/>
  <c r="D250" i="9"/>
  <c r="D252" i="9"/>
  <c r="D253" i="9"/>
  <c r="D254" i="9"/>
  <c r="D256" i="9"/>
  <c r="D257" i="9"/>
  <c r="D259" i="9"/>
  <c r="D261" i="9"/>
  <c r="D262" i="9"/>
  <c r="D263" i="9"/>
  <c r="D264" i="9"/>
  <c r="D265" i="9"/>
  <c r="D266" i="9"/>
  <c r="D268" i="9"/>
  <c r="D269" i="9"/>
  <c r="D270" i="9"/>
  <c r="D272" i="9"/>
  <c r="D273" i="9"/>
  <c r="D274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9" i="9"/>
  <c r="D290" i="9"/>
  <c r="D291" i="9"/>
  <c r="D292" i="9"/>
  <c r="D293" i="9"/>
  <c r="D295" i="9"/>
  <c r="D296" i="9"/>
  <c r="D297" i="9"/>
  <c r="D299" i="9"/>
  <c r="D300" i="9"/>
  <c r="D302" i="9"/>
  <c r="D304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1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8" i="9"/>
  <c r="D469" i="9"/>
  <c r="D471" i="9"/>
  <c r="D473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9" i="9"/>
  <c r="D520" i="9"/>
  <c r="D522" i="9"/>
  <c r="D523" i="9"/>
  <c r="D524" i="9"/>
  <c r="D526" i="9"/>
  <c r="D528" i="9"/>
  <c r="D529" i="9"/>
  <c r="D530" i="9"/>
  <c r="D531" i="9"/>
  <c r="D532" i="9"/>
  <c r="D533" i="9"/>
  <c r="D534" i="9"/>
  <c r="D535" i="9"/>
  <c r="D537" i="9"/>
  <c r="D538" i="9"/>
  <c r="D539" i="9"/>
  <c r="D540" i="9"/>
  <c r="D541" i="9"/>
  <c r="D542" i="9"/>
  <c r="D543" i="9"/>
  <c r="D545" i="9"/>
  <c r="D546" i="9"/>
  <c r="D547" i="9"/>
  <c r="D548" i="9"/>
  <c r="D549" i="9"/>
  <c r="D550" i="9"/>
  <c r="D551" i="9"/>
  <c r="D552" i="9"/>
  <c r="D554" i="9"/>
  <c r="D555" i="9"/>
  <c r="D556" i="9"/>
  <c r="D557" i="9"/>
  <c r="D558" i="9"/>
  <c r="D559" i="9"/>
  <c r="D560" i="9"/>
  <c r="D562" i="9"/>
  <c r="D563" i="9"/>
  <c r="D564" i="9"/>
  <c r="D565" i="9"/>
  <c r="D566" i="9"/>
  <c r="D567" i="9"/>
  <c r="D568" i="9"/>
  <c r="D570" i="9"/>
  <c r="D571" i="9"/>
  <c r="D572" i="9"/>
  <c r="D574" i="9"/>
  <c r="D575" i="9"/>
  <c r="D576" i="9"/>
  <c r="D577" i="9"/>
  <c r="D579" i="9"/>
  <c r="D580" i="9"/>
  <c r="D581" i="9"/>
  <c r="D582" i="9"/>
  <c r="D584" i="9"/>
  <c r="D585" i="9"/>
  <c r="D586" i="9"/>
  <c r="D588" i="9"/>
  <c r="D589" i="9"/>
  <c r="D590" i="9"/>
  <c r="D591" i="9"/>
  <c r="D592" i="9"/>
  <c r="D593" i="9"/>
  <c r="D594" i="9"/>
  <c r="D596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2" i="9"/>
  <c r="D613" i="9"/>
  <c r="D614" i="9"/>
  <c r="D616" i="9"/>
  <c r="D617" i="9"/>
  <c r="D618" i="9"/>
  <c r="D619" i="9"/>
  <c r="D620" i="9"/>
  <c r="D622" i="9"/>
  <c r="D623" i="9"/>
  <c r="D624" i="9"/>
  <c r="D625" i="9"/>
  <c r="D627" i="9"/>
  <c r="D628" i="9"/>
  <c r="D629" i="9"/>
  <c r="D630" i="9"/>
  <c r="D631" i="9"/>
  <c r="D633" i="9"/>
  <c r="D634" i="9"/>
  <c r="D636" i="9"/>
  <c r="D637" i="9"/>
  <c r="D639" i="9"/>
  <c r="D640" i="9"/>
  <c r="D641" i="9"/>
  <c r="D642" i="9"/>
  <c r="D643" i="9"/>
  <c r="D644" i="9"/>
  <c r="D646" i="9"/>
  <c r="D647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4" i="9"/>
  <c r="D675" i="9"/>
  <c r="D677" i="9"/>
  <c r="D679" i="9"/>
  <c r="D680" i="9"/>
  <c r="D681" i="9"/>
  <c r="D682" i="9"/>
  <c r="D684" i="9"/>
  <c r="D685" i="9"/>
  <c r="D686" i="9"/>
  <c r="D687" i="9"/>
  <c r="D688" i="9"/>
  <c r="D689" i="9"/>
  <c r="D690" i="9"/>
  <c r="D691" i="9"/>
  <c r="D692" i="9"/>
  <c r="D693" i="9"/>
  <c r="D695" i="9"/>
  <c r="D697" i="9"/>
  <c r="D698" i="9"/>
  <c r="D699" i="9"/>
  <c r="D701" i="9"/>
  <c r="D703" i="9"/>
  <c r="D704" i="9"/>
  <c r="D705" i="9"/>
  <c r="D706" i="9"/>
  <c r="D708" i="9"/>
  <c r="D709" i="9"/>
  <c r="D710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9" i="9"/>
  <c r="D730" i="9"/>
  <c r="D731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9" i="9"/>
  <c r="D760" i="9"/>
  <c r="D762" i="9"/>
  <c r="D763" i="9"/>
  <c r="D764" i="9"/>
  <c r="D766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1" i="9"/>
  <c r="D782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035" i="9"/>
  <c r="D2036" i="9"/>
  <c r="D2037" i="9"/>
  <c r="D2038" i="9"/>
  <c r="D2039" i="9"/>
  <c r="D2040" i="9"/>
  <c r="D2041" i="9"/>
  <c r="D2042" i="9"/>
  <c r="D2043" i="9"/>
  <c r="D2044" i="9"/>
  <c r="D2045" i="9"/>
  <c r="D2046" i="9"/>
  <c r="D2047" i="9"/>
  <c r="D2048" i="9"/>
  <c r="D2049" i="9"/>
  <c r="D2050" i="9"/>
  <c r="D2051" i="9"/>
  <c r="D2052" i="9"/>
  <c r="D2053" i="9"/>
  <c r="D2054" i="9"/>
  <c r="D2055" i="9"/>
  <c r="D2056" i="9"/>
  <c r="D2057" i="9"/>
  <c r="D2058" i="9"/>
  <c r="D2059" i="9"/>
  <c r="D2060" i="9"/>
  <c r="D2061" i="9"/>
  <c r="D2062" i="9"/>
  <c r="D2063" i="9"/>
  <c r="D2064" i="9"/>
  <c r="D2065" i="9"/>
  <c r="D2066" i="9"/>
  <c r="D2067" i="9"/>
  <c r="D2068" i="9"/>
  <c r="D2069" i="9"/>
  <c r="D2070" i="9"/>
  <c r="D2071" i="9"/>
  <c r="D2072" i="9"/>
  <c r="D2073" i="9"/>
  <c r="D2074" i="9"/>
  <c r="D2075" i="9"/>
  <c r="D2076" i="9"/>
  <c r="D2077" i="9"/>
  <c r="D2078" i="9"/>
  <c r="D2079" i="9"/>
  <c r="D2080" i="9"/>
  <c r="D2081" i="9"/>
  <c r="D2082" i="9"/>
  <c r="D2083" i="9"/>
  <c r="D2084" i="9"/>
  <c r="D2085" i="9"/>
  <c r="D2086" i="9"/>
  <c r="D2087" i="9"/>
  <c r="D2088" i="9"/>
  <c r="D2089" i="9"/>
  <c r="D2090" i="9"/>
  <c r="D2091" i="9"/>
  <c r="D2092" i="9"/>
  <c r="D2093" i="9"/>
  <c r="D2094" i="9"/>
  <c r="D2095" i="9"/>
  <c r="D2096" i="9"/>
  <c r="D2097" i="9"/>
  <c r="D2098" i="9"/>
  <c r="D2099" i="9"/>
  <c r="D2100" i="9"/>
  <c r="D2101" i="9"/>
  <c r="D2102" i="9"/>
  <c r="D2103" i="9"/>
  <c r="D2104" i="9"/>
  <c r="D2105" i="9"/>
  <c r="D2106" i="9"/>
  <c r="D2107" i="9"/>
  <c r="D2108" i="9"/>
  <c r="D2109" i="9"/>
  <c r="D2110" i="9"/>
  <c r="D2111" i="9"/>
  <c r="D2112" i="9"/>
  <c r="D2113" i="9"/>
  <c r="D2114" i="9"/>
  <c r="D2115" i="9"/>
  <c r="D2116" i="9"/>
  <c r="D2117" i="9"/>
  <c r="D2118" i="9"/>
  <c r="D2119" i="9"/>
  <c r="D2120" i="9"/>
  <c r="D2121" i="9"/>
  <c r="D2122" i="9"/>
  <c r="D2123" i="9"/>
  <c r="D2124" i="9"/>
  <c r="D2125" i="9"/>
  <c r="D2126" i="9"/>
  <c r="D2127" i="9"/>
  <c r="D2128" i="9"/>
  <c r="D2129" i="9"/>
  <c r="D2130" i="9"/>
  <c r="D2131" i="9"/>
  <c r="D2132" i="9"/>
  <c r="D2133" i="9"/>
  <c r="D2134" i="9"/>
  <c r="D2135" i="9"/>
  <c r="D2136" i="9"/>
  <c r="D2137" i="9"/>
  <c r="D2138" i="9"/>
  <c r="D2139" i="9"/>
  <c r="D2140" i="9"/>
  <c r="D2141" i="9"/>
  <c r="D2142" i="9"/>
  <c r="D2143" i="9"/>
  <c r="D2144" i="9"/>
  <c r="D2145" i="9"/>
  <c r="D2146" i="9"/>
  <c r="D2147" i="9"/>
  <c r="D2148" i="9"/>
  <c r="D2149" i="9"/>
  <c r="D2150" i="9"/>
  <c r="D2151" i="9"/>
  <c r="D2152" i="9"/>
  <c r="D2153" i="9"/>
  <c r="D2154" i="9"/>
  <c r="D2155" i="9"/>
  <c r="D2156" i="9"/>
  <c r="D2157" i="9"/>
  <c r="D2158" i="9"/>
  <c r="D2159" i="9"/>
  <c r="D2160" i="9"/>
  <c r="D2161" i="9"/>
  <c r="D2162" i="9"/>
  <c r="D2163" i="9"/>
  <c r="D2164" i="9"/>
  <c r="D2165" i="9"/>
  <c r="D2166" i="9"/>
  <c r="D2167" i="9"/>
  <c r="D2168" i="9"/>
  <c r="D2169" i="9"/>
  <c r="D2170" i="9"/>
  <c r="D2171" i="9"/>
  <c r="D2172" i="9"/>
  <c r="D2173" i="9"/>
  <c r="D2174" i="9"/>
  <c r="D2175" i="9"/>
  <c r="D2176" i="9"/>
  <c r="D2177" i="9"/>
  <c r="D2178" i="9"/>
  <c r="D2179" i="9"/>
  <c r="D2180" i="9"/>
  <c r="D2181" i="9"/>
  <c r="D2182" i="9"/>
  <c r="D2183" i="9"/>
  <c r="D2184" i="9"/>
  <c r="D2185" i="9"/>
  <c r="D2186" i="9"/>
  <c r="D2187" i="9"/>
  <c r="D2188" i="9"/>
  <c r="D2189" i="9"/>
  <c r="D2190" i="9"/>
  <c r="D2191" i="9"/>
  <c r="D2192" i="9"/>
  <c r="D2193" i="9"/>
  <c r="D2194" i="9"/>
  <c r="D2195" i="9"/>
  <c r="D2196" i="9"/>
  <c r="D2197" i="9"/>
  <c r="D2198" i="9"/>
  <c r="D2199" i="9"/>
  <c r="D2200" i="9"/>
  <c r="D2201" i="9"/>
  <c r="D2202" i="9"/>
  <c r="D2203" i="9"/>
  <c r="D2204" i="9"/>
  <c r="D2205" i="9"/>
  <c r="D2206" i="9"/>
  <c r="D2207" i="9"/>
  <c r="D2208" i="9"/>
  <c r="D2209" i="9"/>
  <c r="D2210" i="9"/>
  <c r="D2211" i="9"/>
  <c r="D2212" i="9"/>
  <c r="D2213" i="9"/>
  <c r="D2214" i="9"/>
  <c r="D2215" i="9"/>
  <c r="D2216" i="9"/>
  <c r="D2217" i="9"/>
  <c r="D2218" i="9"/>
  <c r="D2219" i="9"/>
  <c r="D2220" i="9"/>
  <c r="D2221" i="9"/>
  <c r="D2222" i="9"/>
  <c r="D2223" i="9"/>
  <c r="D2224" i="9"/>
  <c r="D2225" i="9"/>
  <c r="D2226" i="9"/>
  <c r="D2227" i="9"/>
  <c r="D2228" i="9"/>
  <c r="D2229" i="9"/>
  <c r="D2230" i="9"/>
  <c r="D2231" i="9"/>
  <c r="D2232" i="9"/>
  <c r="D2233" i="9"/>
  <c r="D2234" i="9"/>
  <c r="D2235" i="9"/>
  <c r="D2236" i="9"/>
  <c r="D2237" i="9"/>
  <c r="D2238" i="9"/>
  <c r="D2239" i="9"/>
  <c r="D2240" i="9"/>
  <c r="D2241" i="9"/>
  <c r="D2242" i="9"/>
  <c r="D2243" i="9"/>
  <c r="D2244" i="9"/>
  <c r="D2245" i="9"/>
  <c r="D2246" i="9"/>
  <c r="D2247" i="9"/>
  <c r="D2248" i="9"/>
  <c r="D2249" i="9"/>
  <c r="D2250" i="9"/>
  <c r="D2251" i="9"/>
  <c r="D2252" i="9"/>
  <c r="D2253" i="9"/>
  <c r="D2254" i="9"/>
  <c r="D2255" i="9"/>
  <c r="D2256" i="9"/>
  <c r="D2257" i="9"/>
  <c r="D2258" i="9"/>
  <c r="D2259" i="9"/>
  <c r="D2260" i="9"/>
  <c r="D2261" i="9"/>
  <c r="D2262" i="9"/>
  <c r="D2263" i="9"/>
  <c r="D2264" i="9"/>
  <c r="D2265" i="9"/>
  <c r="D2266" i="9"/>
  <c r="D2267" i="9"/>
  <c r="D2268" i="9"/>
  <c r="D2269" i="9"/>
  <c r="D2270" i="9"/>
  <c r="D2271" i="9"/>
  <c r="D2272" i="9"/>
  <c r="D2273" i="9"/>
  <c r="D2274" i="9"/>
  <c r="D2275" i="9"/>
  <c r="D2276" i="9"/>
  <c r="D2277" i="9"/>
  <c r="D2278" i="9"/>
  <c r="D2279" i="9"/>
  <c r="D2280" i="9"/>
  <c r="D2281" i="9"/>
  <c r="D2282" i="9"/>
  <c r="D2283" i="9"/>
  <c r="D2284" i="9"/>
  <c r="D2285" i="9"/>
  <c r="D2286" i="9"/>
  <c r="D2287" i="9"/>
  <c r="D2288" i="9"/>
  <c r="D2289" i="9"/>
  <c r="D2290" i="9"/>
  <c r="D2291" i="9"/>
  <c r="D2292" i="9"/>
  <c r="D2293" i="9"/>
  <c r="D2294" i="9"/>
  <c r="D2295" i="9"/>
  <c r="D2296" i="9"/>
  <c r="D2297" i="9"/>
  <c r="D2298" i="9"/>
  <c r="D2299" i="9"/>
  <c r="D2300" i="9"/>
  <c r="D2301" i="9"/>
  <c r="D2302" i="9"/>
  <c r="D2303" i="9"/>
  <c r="D2304" i="9"/>
  <c r="D2305" i="9"/>
  <c r="D2306" i="9"/>
  <c r="D2307" i="9"/>
  <c r="D2308" i="9"/>
  <c r="D2309" i="9"/>
  <c r="D2310" i="9"/>
  <c r="D2311" i="9"/>
  <c r="D2312" i="9"/>
  <c r="D2313" i="9"/>
  <c r="D2314" i="9"/>
  <c r="D2315" i="9"/>
  <c r="D2316" i="9"/>
  <c r="D2317" i="9"/>
  <c r="D2318" i="9"/>
  <c r="D2319" i="9"/>
  <c r="D2320" i="9"/>
  <c r="D2321" i="9"/>
  <c r="D2322" i="9"/>
  <c r="D2323" i="9"/>
  <c r="D2324" i="9"/>
  <c r="D2325" i="9"/>
  <c r="D2326" i="9"/>
  <c r="D2327" i="9"/>
  <c r="D2328" i="9"/>
  <c r="D2329" i="9"/>
  <c r="D2330" i="9"/>
  <c r="D2331" i="9"/>
  <c r="D2332" i="9"/>
  <c r="D2333" i="9"/>
  <c r="D2334" i="9"/>
  <c r="D2335" i="9"/>
  <c r="D2336" i="9"/>
  <c r="D2337" i="9"/>
  <c r="D2338" i="9"/>
  <c r="D2339" i="9"/>
  <c r="D2340" i="9"/>
  <c r="D2341" i="9"/>
  <c r="D2342" i="9"/>
  <c r="D2343" i="9"/>
  <c r="D2344" i="9"/>
  <c r="D2345" i="9"/>
  <c r="D2346" i="9"/>
  <c r="D2347" i="9"/>
  <c r="D2348" i="9"/>
  <c r="D2349" i="9"/>
  <c r="D2350" i="9"/>
  <c r="D2351" i="9"/>
  <c r="D2352" i="9"/>
  <c r="D2353" i="9"/>
  <c r="D2354" i="9"/>
  <c r="D2355" i="9"/>
  <c r="D2356" i="9"/>
  <c r="D2357" i="9"/>
  <c r="D2358" i="9"/>
  <c r="D2359" i="9"/>
  <c r="D2360" i="9"/>
  <c r="D2361" i="9"/>
  <c r="D2362" i="9"/>
  <c r="D2363" i="9"/>
  <c r="D2364" i="9"/>
  <c r="D2365" i="9"/>
  <c r="D2366" i="9"/>
  <c r="D2367" i="9"/>
  <c r="D2368" i="9"/>
  <c r="D2369" i="9"/>
  <c r="D2370" i="9"/>
  <c r="D2371" i="9"/>
  <c r="D2372" i="9"/>
  <c r="D2373" i="9"/>
  <c r="D2374" i="9"/>
  <c r="D2375" i="9"/>
  <c r="D2376" i="9"/>
  <c r="D2377" i="9"/>
  <c r="D2378" i="9"/>
  <c r="D2379" i="9"/>
  <c r="D2380" i="9"/>
  <c r="D2381" i="9"/>
  <c r="D2382" i="9"/>
  <c r="D2383" i="9"/>
  <c r="D2384" i="9"/>
  <c r="D2385" i="9"/>
  <c r="D2386" i="9"/>
  <c r="D2387" i="9"/>
  <c r="D2388" i="9"/>
  <c r="D2389" i="9"/>
  <c r="D2390" i="9"/>
  <c r="D2391" i="9"/>
  <c r="D2392" i="9"/>
  <c r="D2393" i="9"/>
  <c r="D2394" i="9"/>
  <c r="D2395" i="9"/>
  <c r="D2396" i="9"/>
  <c r="D2397" i="9"/>
  <c r="D2398" i="9"/>
  <c r="D2399" i="9"/>
  <c r="D2400" i="9"/>
  <c r="D2401" i="9"/>
  <c r="D2402" i="9"/>
  <c r="D2403" i="9"/>
  <c r="D2404" i="9"/>
  <c r="D2405" i="9"/>
  <c r="D2406" i="9"/>
  <c r="D2407" i="9"/>
  <c r="D2408" i="9"/>
  <c r="D2409" i="9"/>
  <c r="D2410" i="9"/>
  <c r="D2411" i="9"/>
  <c r="D2412" i="9"/>
  <c r="D2413" i="9"/>
  <c r="D2414" i="9"/>
  <c r="D2415" i="9"/>
  <c r="D2416" i="9"/>
  <c r="D2417" i="9"/>
  <c r="D2418" i="9"/>
  <c r="D2419" i="9"/>
  <c r="D2420" i="9"/>
  <c r="D2421" i="9"/>
  <c r="D2422" i="9"/>
  <c r="D2423" i="9"/>
  <c r="D2424" i="9"/>
  <c r="D2425" i="9"/>
  <c r="D2426" i="9"/>
  <c r="D2427" i="9"/>
  <c r="D2428" i="9"/>
  <c r="D2429" i="9"/>
  <c r="D2430" i="9"/>
  <c r="D2431" i="9"/>
  <c r="D2432" i="9"/>
  <c r="D2433" i="9"/>
  <c r="D2434" i="9"/>
  <c r="D2435" i="9"/>
  <c r="D2436" i="9"/>
  <c r="D2437" i="9"/>
  <c r="D2438" i="9"/>
  <c r="D2439" i="9"/>
  <c r="D2440" i="9"/>
  <c r="D2441" i="9"/>
  <c r="D2442" i="9"/>
  <c r="D2443" i="9"/>
  <c r="D2444" i="9"/>
  <c r="D2445" i="9"/>
  <c r="D2446" i="9"/>
  <c r="D2447" i="9"/>
  <c r="D2448" i="9"/>
  <c r="D2449" i="9"/>
  <c r="D2450" i="9"/>
  <c r="D2451" i="9"/>
  <c r="D2452" i="9"/>
  <c r="D2453" i="9"/>
  <c r="D2454" i="9"/>
  <c r="D2455" i="9"/>
  <c r="D2456" i="9"/>
  <c r="D2457" i="9"/>
  <c r="D2458" i="9"/>
  <c r="D2459" i="9"/>
  <c r="D2460" i="9"/>
  <c r="D2461" i="9"/>
  <c r="D2462" i="9"/>
  <c r="D2463" i="9"/>
  <c r="D2464" i="9"/>
  <c r="D2465" i="9"/>
  <c r="D2466" i="9"/>
  <c r="D2467" i="9"/>
  <c r="D2468" i="9"/>
  <c r="D2469" i="9"/>
  <c r="D2470" i="9"/>
  <c r="D2471" i="9"/>
  <c r="D2472" i="9"/>
  <c r="D2473" i="9"/>
  <c r="D2474" i="9"/>
  <c r="D2475" i="9"/>
  <c r="D2476" i="9"/>
  <c r="D2477" i="9"/>
  <c r="D2478" i="9"/>
  <c r="D2479" i="9"/>
  <c r="D2480" i="9"/>
  <c r="D2481" i="9"/>
  <c r="D2482" i="9"/>
  <c r="D2483" i="9"/>
  <c r="D2484" i="9"/>
  <c r="D2485" i="9"/>
  <c r="D2486" i="9"/>
  <c r="D2487" i="9"/>
  <c r="D2488" i="9"/>
  <c r="D2489" i="9"/>
  <c r="D2490" i="9"/>
  <c r="D2491" i="9"/>
  <c r="D2492" i="9"/>
  <c r="D2493" i="9"/>
  <c r="D2494" i="9"/>
  <c r="D2495" i="9"/>
  <c r="D2496" i="9"/>
  <c r="D2497" i="9"/>
  <c r="D2498" i="9"/>
  <c r="D2499" i="9"/>
  <c r="D2500" i="9"/>
  <c r="D2501" i="9"/>
  <c r="D2502" i="9"/>
  <c r="D2503" i="9"/>
  <c r="D2504" i="9"/>
  <c r="D2505" i="9"/>
  <c r="D2506" i="9"/>
  <c r="D2507" i="9"/>
  <c r="D2508" i="9"/>
  <c r="D2509" i="9"/>
  <c r="D2510" i="9"/>
  <c r="D2511" i="9"/>
  <c r="D2512" i="9"/>
  <c r="D2513" i="9"/>
  <c r="D2514" i="9"/>
  <c r="D2515" i="9"/>
  <c r="D2516" i="9"/>
  <c r="D2517" i="9"/>
  <c r="D2518" i="9"/>
  <c r="D2519" i="9"/>
  <c r="D2520" i="9"/>
  <c r="D2521" i="9"/>
  <c r="D2522" i="9"/>
  <c r="D2523" i="9"/>
  <c r="D2524" i="9"/>
  <c r="D2525" i="9"/>
  <c r="D2526" i="9"/>
  <c r="D2527" i="9"/>
  <c r="D2528" i="9"/>
  <c r="D2529" i="9"/>
  <c r="D2530" i="9"/>
  <c r="D2531" i="9"/>
  <c r="D2532" i="9"/>
  <c r="D2533" i="9"/>
  <c r="D2534" i="9"/>
  <c r="D2535" i="9"/>
  <c r="D2536" i="9"/>
  <c r="D2537" i="9"/>
  <c r="D2538" i="9"/>
  <c r="D2539" i="9"/>
  <c r="D2540" i="9"/>
  <c r="D2541" i="9"/>
  <c r="D2542" i="9"/>
  <c r="D2543" i="9"/>
  <c r="D2544" i="9"/>
  <c r="D2545" i="9"/>
  <c r="D2546" i="9"/>
  <c r="D2547" i="9"/>
  <c r="D2548" i="9"/>
  <c r="D2549" i="9"/>
  <c r="D2550" i="9"/>
  <c r="D2551" i="9"/>
  <c r="D2552" i="9"/>
  <c r="D2553" i="9"/>
  <c r="D2554" i="9"/>
  <c r="D2555" i="9"/>
  <c r="D2556" i="9"/>
  <c r="D2557" i="9"/>
  <c r="D2558" i="9"/>
  <c r="D2559" i="9"/>
  <c r="D2560" i="9"/>
  <c r="D2561" i="9"/>
  <c r="D2562" i="9"/>
  <c r="D2563" i="9"/>
  <c r="D2564" i="9"/>
  <c r="D2565" i="9"/>
  <c r="D2566" i="9"/>
  <c r="D2567" i="9"/>
  <c r="D2568" i="9"/>
  <c r="D2569" i="9"/>
  <c r="D2570" i="9"/>
  <c r="D2571" i="9"/>
  <c r="D2572" i="9"/>
  <c r="D2573" i="9"/>
  <c r="D2574" i="9"/>
  <c r="D2575" i="9"/>
  <c r="D2576" i="9"/>
  <c r="D2577" i="9"/>
  <c r="D2578" i="9"/>
  <c r="D2579" i="9"/>
  <c r="D2580" i="9"/>
  <c r="D2581" i="9"/>
  <c r="D2582" i="9"/>
  <c r="D2583" i="9"/>
  <c r="D2584" i="9"/>
  <c r="D2585" i="9"/>
  <c r="D2586" i="9"/>
  <c r="D2587" i="9"/>
  <c r="D2588" i="9"/>
  <c r="D2589" i="9"/>
  <c r="D2590" i="9"/>
  <c r="D2591" i="9"/>
  <c r="D2592" i="9"/>
  <c r="D2593" i="9"/>
  <c r="D2594" i="9"/>
  <c r="D2595" i="9"/>
  <c r="D2596" i="9"/>
  <c r="D2597" i="9"/>
  <c r="D2598" i="9"/>
  <c r="D2599" i="9"/>
  <c r="D2600" i="9"/>
  <c r="D2601" i="9"/>
  <c r="D2602" i="9"/>
  <c r="D2603" i="9"/>
  <c r="D2604" i="9"/>
  <c r="D2605" i="9"/>
  <c r="D2606" i="9"/>
  <c r="D2607" i="9"/>
  <c r="D2608" i="9"/>
  <c r="D2609" i="9"/>
  <c r="D2610" i="9"/>
  <c r="D2611" i="9"/>
  <c r="D2612" i="9"/>
  <c r="D2613" i="9"/>
  <c r="D2614" i="9"/>
  <c r="D2615" i="9"/>
  <c r="D2616" i="9"/>
  <c r="D2617" i="9"/>
  <c r="D2618" i="9"/>
  <c r="D2619" i="9"/>
  <c r="D2620" i="9"/>
  <c r="D2621" i="9"/>
  <c r="D2622" i="9"/>
  <c r="D2623" i="9"/>
  <c r="D2624" i="9"/>
  <c r="D2625" i="9"/>
  <c r="D2626" i="9"/>
  <c r="D2627" i="9"/>
  <c r="D2628" i="9"/>
  <c r="D2629" i="9"/>
  <c r="D2630" i="9"/>
  <c r="D2631" i="9"/>
  <c r="D2632" i="9"/>
  <c r="D2633" i="9"/>
  <c r="D2634" i="9"/>
  <c r="D2635" i="9"/>
  <c r="D2636" i="9"/>
  <c r="D2637" i="9"/>
  <c r="D2638" i="9"/>
  <c r="D2639" i="9"/>
  <c r="D2640" i="9"/>
  <c r="D2641" i="9"/>
  <c r="D2642" i="9"/>
  <c r="D2643" i="9"/>
  <c r="D2644" i="9"/>
  <c r="D2645" i="9"/>
  <c r="D2646" i="9"/>
  <c r="D2647" i="9"/>
  <c r="D2648" i="9"/>
  <c r="D2649" i="9"/>
  <c r="D2650" i="9"/>
  <c r="D2651" i="9"/>
  <c r="D2652" i="9"/>
  <c r="D2653" i="9"/>
  <c r="D2654" i="9"/>
  <c r="D2655" i="9"/>
  <c r="D2656" i="9"/>
  <c r="D2657" i="9"/>
  <c r="D2658" i="9"/>
  <c r="D2659" i="9"/>
  <c r="D2660" i="9"/>
  <c r="D2661" i="9"/>
  <c r="D2662" i="9"/>
  <c r="D2663" i="9"/>
  <c r="D2664" i="9"/>
  <c r="D2665" i="9"/>
  <c r="D2666" i="9"/>
  <c r="D2667" i="9"/>
  <c r="D2668" i="9"/>
  <c r="D2669" i="9"/>
  <c r="D2670" i="9"/>
  <c r="D2671" i="9"/>
  <c r="D2672" i="9"/>
  <c r="D2673" i="9"/>
  <c r="D2674" i="9"/>
  <c r="D2675" i="9"/>
  <c r="D2676" i="9"/>
  <c r="D2677" i="9"/>
  <c r="D2678" i="9"/>
  <c r="D2679" i="9"/>
  <c r="D2680" i="9"/>
  <c r="D2681" i="9"/>
  <c r="D2682" i="9"/>
  <c r="D2683" i="9"/>
  <c r="D2684" i="9"/>
  <c r="D2685" i="9"/>
  <c r="D2686" i="9"/>
  <c r="D2687" i="9"/>
  <c r="D2688" i="9"/>
  <c r="D2689" i="9"/>
  <c r="D2690" i="9"/>
  <c r="D2691" i="9"/>
  <c r="D2692" i="9"/>
  <c r="D2693" i="9"/>
  <c r="D2694" i="9"/>
  <c r="D2695" i="9"/>
  <c r="D2696" i="9"/>
  <c r="D2697" i="9"/>
  <c r="D2698" i="9"/>
  <c r="D2699" i="9"/>
  <c r="D2700" i="9"/>
  <c r="D2701" i="9"/>
  <c r="D2702" i="9"/>
  <c r="D2703" i="9"/>
  <c r="D2704" i="9"/>
  <c r="D2705" i="9"/>
  <c r="D2706" i="9"/>
  <c r="D2707" i="9"/>
  <c r="D2708" i="9"/>
  <c r="D2709" i="9"/>
  <c r="D2710" i="9"/>
  <c r="D2711" i="9"/>
  <c r="D2712" i="9"/>
  <c r="D2713" i="9"/>
  <c r="D2714" i="9"/>
  <c r="D2715" i="9"/>
  <c r="D2716" i="9"/>
  <c r="D2717" i="9"/>
  <c r="D2718" i="9"/>
  <c r="D2719" i="9"/>
  <c r="D2720" i="9"/>
  <c r="D2721" i="9"/>
  <c r="D2722" i="9"/>
  <c r="D2723" i="9"/>
  <c r="D2724" i="9"/>
  <c r="D2725" i="9"/>
  <c r="D2726" i="9"/>
  <c r="D2727" i="9"/>
  <c r="D2728" i="9"/>
  <c r="D2729" i="9"/>
  <c r="D2730" i="9"/>
  <c r="D2731" i="9"/>
  <c r="D2732" i="9"/>
  <c r="D2733" i="9"/>
  <c r="D2734" i="9"/>
  <c r="D2735" i="9"/>
  <c r="D2736" i="9"/>
  <c r="D2737" i="9"/>
  <c r="D2738" i="9"/>
  <c r="D2739" i="9"/>
  <c r="D2740" i="9"/>
  <c r="D2741" i="9"/>
  <c r="D2742" i="9"/>
  <c r="D2743" i="9"/>
  <c r="D2744" i="9"/>
  <c r="D2745" i="9"/>
  <c r="D2746" i="9"/>
  <c r="D2747" i="9"/>
  <c r="D2748" i="9"/>
  <c r="D2749" i="9"/>
  <c r="D2750" i="9"/>
  <c r="D2751" i="9"/>
  <c r="D2752" i="9"/>
  <c r="D2753" i="9"/>
  <c r="D2754" i="9"/>
  <c r="D2755" i="9"/>
  <c r="D2756" i="9"/>
  <c r="D2757" i="9"/>
  <c r="D2758" i="9"/>
  <c r="D2759" i="9"/>
  <c r="D2760" i="9"/>
  <c r="D2761" i="9"/>
  <c r="D2762" i="9"/>
  <c r="D2763" i="9"/>
  <c r="D2764" i="9"/>
  <c r="D2765" i="9"/>
  <c r="D2766" i="9"/>
  <c r="D2767" i="9"/>
  <c r="D2768" i="9"/>
  <c r="D2769" i="9"/>
  <c r="D2770" i="9"/>
  <c r="D2771" i="9"/>
  <c r="D2772" i="9"/>
  <c r="D2773" i="9"/>
  <c r="D2774" i="9"/>
  <c r="D2775" i="9"/>
  <c r="D2776" i="9"/>
  <c r="D2777" i="9"/>
  <c r="D2778" i="9"/>
  <c r="D2779" i="9"/>
  <c r="D2780" i="9"/>
  <c r="D2781" i="9"/>
  <c r="D2782" i="9"/>
  <c r="D2783" i="9"/>
  <c r="D2784" i="9"/>
  <c r="D2785" i="9"/>
  <c r="D2786" i="9"/>
  <c r="D2787" i="9"/>
  <c r="D2788" i="9"/>
  <c r="D2789" i="9"/>
  <c r="D2790" i="9"/>
  <c r="D2791" i="9"/>
  <c r="D2792" i="9"/>
  <c r="D2793" i="9"/>
  <c r="D2794" i="9"/>
  <c r="D2795" i="9"/>
  <c r="D2796" i="9"/>
  <c r="D2797" i="9"/>
  <c r="D2798" i="9"/>
  <c r="D2799" i="9"/>
  <c r="D2800" i="9"/>
  <c r="D2801" i="9"/>
  <c r="D2802" i="9"/>
  <c r="D2803" i="9"/>
  <c r="D2804" i="9"/>
  <c r="D2805" i="9"/>
  <c r="D2806" i="9"/>
  <c r="D2807" i="9"/>
  <c r="D2808" i="9"/>
  <c r="D2809" i="9"/>
  <c r="D2810" i="9"/>
  <c r="D2811" i="9"/>
  <c r="D2812" i="9"/>
  <c r="D2813" i="9"/>
  <c r="D2814" i="9"/>
  <c r="D2815" i="9"/>
  <c r="D2816" i="9"/>
  <c r="D2817" i="9"/>
  <c r="D2818" i="9"/>
  <c r="D2819" i="9"/>
  <c r="D2820" i="9"/>
  <c r="D2821" i="9"/>
  <c r="D2822" i="9"/>
  <c r="D2823" i="9"/>
  <c r="D2824" i="9"/>
  <c r="D2825" i="9"/>
  <c r="D2826" i="9"/>
  <c r="D2827" i="9"/>
  <c r="D2828" i="9"/>
  <c r="D2829" i="9"/>
  <c r="D2830" i="9"/>
  <c r="D2831" i="9"/>
  <c r="D2832" i="9"/>
  <c r="D2833" i="9"/>
  <c r="D2834" i="9"/>
  <c r="D2835" i="9"/>
  <c r="D2836" i="9"/>
  <c r="D2837" i="9"/>
  <c r="D2838" i="9"/>
  <c r="D2839" i="9"/>
  <c r="D2840" i="9"/>
  <c r="D2841" i="9"/>
  <c r="D2842" i="9"/>
  <c r="D2843" i="9"/>
  <c r="D2844" i="9"/>
  <c r="D2845" i="9"/>
  <c r="D2846" i="9"/>
  <c r="D2847" i="9"/>
  <c r="D2848" i="9"/>
  <c r="D2849" i="9"/>
  <c r="D2850" i="9"/>
  <c r="D2851" i="9"/>
  <c r="D2852" i="9"/>
  <c r="D2853" i="9"/>
  <c r="D2854" i="9"/>
  <c r="D2855" i="9"/>
  <c r="D2856" i="9"/>
  <c r="D2857" i="9"/>
  <c r="D2858" i="9"/>
  <c r="D2859" i="9"/>
  <c r="D2860" i="9"/>
  <c r="D2861" i="9"/>
  <c r="D2862" i="9"/>
  <c r="D2863" i="9"/>
  <c r="D2864" i="9"/>
  <c r="D2865" i="9"/>
  <c r="D2866" i="9"/>
  <c r="D2867" i="9"/>
  <c r="D2868" i="9"/>
  <c r="D2869" i="9"/>
  <c r="D2870" i="9"/>
  <c r="D2871" i="9"/>
  <c r="D2872" i="9"/>
  <c r="D2873" i="9"/>
  <c r="D2874" i="9"/>
  <c r="D2875" i="9"/>
  <c r="D2876" i="9"/>
  <c r="D2877" i="9"/>
  <c r="D2878" i="9"/>
  <c r="D2879" i="9"/>
  <c r="D2880" i="9"/>
  <c r="D2881" i="9"/>
  <c r="D2882" i="9"/>
  <c r="D2883" i="9"/>
  <c r="D2884" i="9"/>
  <c r="D2885" i="9"/>
  <c r="D2886" i="9"/>
  <c r="D2887" i="9"/>
  <c r="D2888" i="9"/>
  <c r="D2889" i="9"/>
  <c r="D2890" i="9"/>
  <c r="D2891" i="9"/>
  <c r="D2892" i="9"/>
  <c r="D2893" i="9"/>
  <c r="D2894" i="9"/>
  <c r="D2895" i="9"/>
  <c r="D2896" i="9"/>
  <c r="D2897" i="9"/>
  <c r="D2898" i="9"/>
  <c r="D2899" i="9"/>
  <c r="D2900" i="9"/>
  <c r="D2901" i="9"/>
  <c r="D2902" i="9"/>
  <c r="D2903" i="9"/>
  <c r="D2904" i="9"/>
  <c r="D2905" i="9"/>
  <c r="D2906" i="9"/>
  <c r="D2907" i="9"/>
  <c r="D2908" i="9"/>
  <c r="D2909" i="9"/>
  <c r="D2910" i="9"/>
  <c r="D2911" i="9"/>
  <c r="D2912" i="9"/>
  <c r="D2913" i="9"/>
  <c r="D2914" i="9"/>
  <c r="D2915" i="9"/>
  <c r="D2916" i="9"/>
  <c r="D2917" i="9"/>
  <c r="D2918" i="9"/>
  <c r="D2919" i="9"/>
  <c r="D2920" i="9"/>
  <c r="D2921" i="9"/>
  <c r="D2922" i="9"/>
  <c r="D2923" i="9"/>
  <c r="D2924" i="9"/>
  <c r="D2925" i="9"/>
  <c r="D2926" i="9"/>
  <c r="D2927" i="9"/>
  <c r="D2928" i="9"/>
  <c r="D2929" i="9"/>
  <c r="D2930" i="9"/>
  <c r="D2931" i="9"/>
  <c r="D2932" i="9"/>
  <c r="D2933" i="9"/>
  <c r="D2934" i="9"/>
  <c r="D2935" i="9"/>
  <c r="D2936" i="9"/>
  <c r="D2937" i="9"/>
  <c r="D2938" i="9"/>
  <c r="D2939" i="9"/>
  <c r="D2940" i="9"/>
  <c r="D2941" i="9"/>
  <c r="D2942" i="9"/>
  <c r="D2943" i="9"/>
  <c r="D2944" i="9"/>
  <c r="D2945" i="9"/>
  <c r="D2946" i="9"/>
  <c r="D2947" i="9"/>
  <c r="D2948" i="9"/>
  <c r="D2949" i="9"/>
  <c r="D2950" i="9"/>
  <c r="D2951" i="9"/>
  <c r="D2952" i="9"/>
  <c r="D2953" i="9"/>
  <c r="D2954" i="9"/>
  <c r="D2955" i="9"/>
  <c r="D2956" i="9"/>
  <c r="D2957" i="9"/>
  <c r="D2958" i="9"/>
  <c r="D2959" i="9"/>
  <c r="D2960" i="9"/>
  <c r="D2961" i="9"/>
  <c r="D2962" i="9"/>
  <c r="D2963" i="9"/>
  <c r="D2964" i="9"/>
  <c r="D2965" i="9"/>
  <c r="D2966" i="9"/>
  <c r="D2967" i="9"/>
  <c r="D2968" i="9"/>
  <c r="D2969" i="9"/>
  <c r="D2970" i="9"/>
  <c r="D2971" i="9"/>
  <c r="D2972" i="9"/>
  <c r="D2973" i="9"/>
  <c r="D2974" i="9"/>
  <c r="D2975" i="9"/>
  <c r="D2976" i="9"/>
  <c r="D2977" i="9"/>
  <c r="D2978" i="9"/>
  <c r="D2979" i="9"/>
  <c r="D2980" i="9"/>
  <c r="D2981" i="9"/>
  <c r="D2982" i="9"/>
  <c r="D2983" i="9"/>
  <c r="D2984" i="9"/>
  <c r="D2985" i="9"/>
  <c r="D2986" i="9"/>
  <c r="D2987" i="9"/>
  <c r="D2988" i="9"/>
  <c r="D2989" i="9"/>
  <c r="D2990" i="9"/>
  <c r="D2991" i="9"/>
  <c r="D2992" i="9"/>
  <c r="D2993" i="9"/>
  <c r="D2994" i="9"/>
  <c r="D2995" i="9"/>
  <c r="D2996" i="9"/>
  <c r="D2997" i="9"/>
  <c r="D2998" i="9"/>
  <c r="D2999" i="9"/>
  <c r="D3000" i="9"/>
  <c r="D3001" i="9"/>
  <c r="D3002" i="9"/>
  <c r="D3003" i="9"/>
  <c r="D3004" i="9"/>
  <c r="D3005" i="9"/>
  <c r="D3006" i="9"/>
  <c r="D3007" i="9"/>
  <c r="D3008" i="9"/>
  <c r="D3009" i="9"/>
  <c r="D3010" i="9"/>
  <c r="D3011" i="9"/>
  <c r="D3012" i="9"/>
  <c r="D3013" i="9"/>
  <c r="D3014" i="9"/>
  <c r="D3015" i="9"/>
  <c r="D3016" i="9"/>
  <c r="D3017" i="9"/>
  <c r="D3018" i="9"/>
  <c r="D3019" i="9"/>
  <c r="D3020" i="9"/>
  <c r="D3021" i="9"/>
  <c r="D3022" i="9"/>
  <c r="D3023" i="9"/>
  <c r="D3024" i="9"/>
  <c r="D3025" i="9"/>
  <c r="D3026" i="9"/>
  <c r="D3027" i="9"/>
  <c r="D3028" i="9"/>
  <c r="D3029" i="9"/>
  <c r="D3030" i="9"/>
  <c r="D3031" i="9"/>
  <c r="D3032" i="9"/>
  <c r="D3033" i="9"/>
  <c r="D3034" i="9"/>
  <c r="D3035" i="9"/>
  <c r="D3036" i="9"/>
  <c r="D3037" i="9"/>
  <c r="D3038" i="9"/>
  <c r="D3039" i="9"/>
  <c r="D3040" i="9"/>
  <c r="D3041" i="9"/>
  <c r="D3042" i="9"/>
  <c r="D3043" i="9"/>
  <c r="D3044" i="9"/>
  <c r="D3045" i="9"/>
  <c r="D3046" i="9"/>
  <c r="D3047" i="9"/>
  <c r="D3048" i="9"/>
  <c r="D3049" i="9"/>
  <c r="D3050" i="9"/>
  <c r="D3051" i="9"/>
  <c r="D3052" i="9"/>
  <c r="D3053" i="9"/>
  <c r="D3054" i="9"/>
  <c r="D3055" i="9"/>
  <c r="D3056" i="9"/>
  <c r="D3057" i="9"/>
  <c r="D3058" i="9"/>
  <c r="D3059" i="9"/>
  <c r="D3060" i="9"/>
  <c r="D3061" i="9"/>
  <c r="D3062" i="9"/>
  <c r="D3063" i="9"/>
  <c r="D3064" i="9"/>
  <c r="D3065" i="9"/>
  <c r="D3066" i="9"/>
  <c r="D3067" i="9"/>
  <c r="D3068" i="9"/>
  <c r="D3069" i="9"/>
  <c r="D3070" i="9"/>
  <c r="D3071" i="9"/>
  <c r="D3072" i="9"/>
  <c r="D3073" i="9"/>
  <c r="D3074" i="9"/>
  <c r="D3075" i="9"/>
  <c r="D3076" i="9"/>
  <c r="D3077" i="9"/>
  <c r="D3078" i="9"/>
  <c r="D3079" i="9"/>
  <c r="D3080" i="9"/>
  <c r="D3081" i="9"/>
  <c r="D3082" i="9"/>
  <c r="D3083" i="9"/>
  <c r="D3084" i="9"/>
  <c r="D3085" i="9"/>
  <c r="D3086" i="9"/>
  <c r="D3087" i="9"/>
  <c r="D3088" i="9"/>
  <c r="D3089" i="9"/>
  <c r="D3090" i="9"/>
  <c r="D3091" i="9"/>
  <c r="D3092" i="9"/>
  <c r="D3093" i="9"/>
  <c r="D3094" i="9"/>
  <c r="D3095" i="9"/>
  <c r="D3096" i="9"/>
  <c r="D3097" i="9"/>
  <c r="D3098" i="9"/>
  <c r="D3099" i="9"/>
  <c r="D3100" i="9"/>
  <c r="D3101" i="9"/>
  <c r="D3102" i="9"/>
  <c r="D3103" i="9"/>
  <c r="D3104" i="9"/>
  <c r="D3105" i="9"/>
  <c r="D3106" i="9"/>
  <c r="D3107" i="9"/>
  <c r="D3108" i="9"/>
  <c r="D3109" i="9"/>
  <c r="D3110" i="9"/>
  <c r="D3111" i="9"/>
  <c r="D3112" i="9"/>
  <c r="D3113" i="9"/>
  <c r="D3114" i="9"/>
  <c r="D3115" i="9"/>
  <c r="D3116" i="9"/>
  <c r="D3117" i="9"/>
  <c r="D3118" i="9"/>
  <c r="D3119" i="9"/>
  <c r="D3120" i="9"/>
  <c r="D3121" i="9"/>
  <c r="D3122" i="9"/>
  <c r="D3123" i="9"/>
  <c r="D3124" i="9"/>
  <c r="D3125" i="9"/>
  <c r="D3126" i="9"/>
  <c r="D3127" i="9"/>
  <c r="D3128" i="9"/>
  <c r="D3129" i="9"/>
  <c r="D3130" i="9"/>
  <c r="D3131" i="9"/>
  <c r="D3132" i="9"/>
  <c r="D3133" i="9"/>
  <c r="D3134" i="9"/>
  <c r="D3135" i="9"/>
  <c r="D3136" i="9"/>
  <c r="D3137" i="9"/>
  <c r="D3138" i="9"/>
  <c r="D3139" i="9"/>
  <c r="D3140" i="9"/>
  <c r="D3141" i="9"/>
  <c r="D3142" i="9"/>
  <c r="D3143" i="9"/>
  <c r="D3144" i="9"/>
  <c r="D3145" i="9"/>
  <c r="D3146" i="9"/>
  <c r="D3147" i="9"/>
  <c r="D3148" i="9"/>
  <c r="D3149" i="9"/>
  <c r="D3150" i="9"/>
  <c r="D3151" i="9"/>
  <c r="D3152" i="9"/>
  <c r="D3153" i="9"/>
  <c r="D3154" i="9"/>
  <c r="D3155" i="9"/>
  <c r="D3156" i="9"/>
  <c r="D3157" i="9"/>
  <c r="D3158" i="9"/>
  <c r="D3159" i="9"/>
  <c r="D3160" i="9"/>
  <c r="D3161" i="9"/>
  <c r="D3162" i="9"/>
  <c r="D3163" i="9"/>
  <c r="D3164" i="9"/>
  <c r="D3165" i="9"/>
  <c r="D3166" i="9"/>
  <c r="D3167" i="9"/>
  <c r="D3168" i="9"/>
  <c r="D3169" i="9"/>
  <c r="D3170" i="9"/>
  <c r="D3171" i="9"/>
  <c r="D3172" i="9"/>
  <c r="D3173" i="9"/>
  <c r="D3174" i="9"/>
  <c r="D3175" i="9"/>
  <c r="D3176" i="9"/>
  <c r="D3177" i="9"/>
  <c r="D3178" i="9"/>
  <c r="D3179" i="9"/>
  <c r="D3180" i="9"/>
  <c r="D3181" i="9"/>
  <c r="D3182" i="9"/>
  <c r="D3183" i="9"/>
  <c r="D3184" i="9"/>
  <c r="D3185" i="9"/>
  <c r="D3186" i="9"/>
  <c r="D3187" i="9"/>
  <c r="D3188" i="9"/>
  <c r="D3189" i="9"/>
  <c r="D3190" i="9"/>
  <c r="D3191" i="9"/>
  <c r="D3192" i="9"/>
  <c r="D3193" i="9"/>
  <c r="D3194" i="9"/>
  <c r="D3195" i="9"/>
  <c r="D3196" i="9"/>
  <c r="D3197" i="9"/>
  <c r="D3198" i="9"/>
  <c r="D3199" i="9"/>
  <c r="D3200" i="9"/>
  <c r="D3201" i="9"/>
  <c r="D3202" i="9"/>
  <c r="D3203" i="9"/>
  <c r="D3204" i="9"/>
  <c r="D3205" i="9"/>
  <c r="D3206" i="9"/>
  <c r="D3207" i="9"/>
  <c r="D3208" i="9"/>
  <c r="D3209" i="9"/>
  <c r="D3210" i="9"/>
  <c r="D3211" i="9"/>
  <c r="D3212" i="9"/>
  <c r="D3213" i="9"/>
  <c r="D3214" i="9"/>
  <c r="D3215" i="9"/>
  <c r="D3216" i="9"/>
  <c r="D3217" i="9"/>
  <c r="D3218" i="9"/>
  <c r="D3219" i="9"/>
  <c r="D3220" i="9"/>
  <c r="D3221" i="9"/>
  <c r="D3222" i="9"/>
  <c r="D3223" i="9"/>
  <c r="D3224" i="9"/>
  <c r="D3225" i="9"/>
  <c r="D3226" i="9"/>
  <c r="D3227" i="9"/>
  <c r="D3228" i="9"/>
  <c r="D3229" i="9"/>
  <c r="D3230" i="9"/>
  <c r="D3231" i="9"/>
  <c r="D3232" i="9"/>
  <c r="D3233" i="9"/>
  <c r="D3234" i="9"/>
  <c r="D3235" i="9"/>
  <c r="D3236" i="9"/>
  <c r="D3237" i="9"/>
  <c r="D3238" i="9"/>
  <c r="D3239" i="9"/>
  <c r="D3240" i="9"/>
  <c r="D3241" i="9"/>
  <c r="D3242" i="9"/>
  <c r="D3243" i="9"/>
  <c r="D3244" i="9"/>
  <c r="D3245" i="9"/>
  <c r="D3246" i="9"/>
  <c r="D3247" i="9"/>
  <c r="D3248" i="9"/>
  <c r="D3249" i="9"/>
  <c r="D3250" i="9"/>
  <c r="D3251" i="9"/>
  <c r="D3252" i="9"/>
  <c r="D3253" i="9"/>
  <c r="D3254" i="9"/>
  <c r="D3255" i="9"/>
  <c r="D3256" i="9"/>
  <c r="D3257" i="9"/>
  <c r="D3258" i="9"/>
  <c r="D3259" i="9"/>
  <c r="D3260" i="9"/>
  <c r="D3261" i="9"/>
  <c r="D3262" i="9"/>
  <c r="D3263" i="9"/>
  <c r="D3264" i="9"/>
  <c r="D3265" i="9"/>
  <c r="D3266" i="9"/>
  <c r="D3267" i="9"/>
  <c r="D3268" i="9"/>
  <c r="D3269" i="9"/>
  <c r="D3270" i="9"/>
  <c r="D3271" i="9"/>
  <c r="D3272" i="9"/>
  <c r="D3273" i="9"/>
  <c r="D3274" i="9"/>
  <c r="D3275" i="9"/>
  <c r="D3276" i="9"/>
  <c r="D3277" i="9"/>
  <c r="D3278" i="9"/>
  <c r="D3279" i="9"/>
  <c r="D3280" i="9"/>
  <c r="D3281" i="9"/>
  <c r="D3282" i="9"/>
  <c r="D3283" i="9"/>
  <c r="D3284" i="9"/>
  <c r="D3285" i="9"/>
  <c r="D3286" i="9"/>
  <c r="D3287" i="9"/>
  <c r="D3288" i="9"/>
  <c r="D3289" i="9"/>
  <c r="D3290" i="9"/>
  <c r="D3291" i="9"/>
  <c r="D3292" i="9"/>
  <c r="D3293" i="9"/>
  <c r="D3294" i="9"/>
  <c r="D3295" i="9"/>
  <c r="D3296" i="9"/>
  <c r="D3297" i="9"/>
  <c r="D3298" i="9"/>
  <c r="D3299" i="9"/>
  <c r="D3300" i="9"/>
  <c r="D3301" i="9"/>
  <c r="D3302" i="9"/>
  <c r="D3303" i="9"/>
  <c r="D3304" i="9"/>
  <c r="D3305" i="9"/>
  <c r="D3306" i="9"/>
  <c r="D3307" i="9"/>
  <c r="D3308" i="9"/>
  <c r="D3309" i="9"/>
  <c r="D3310" i="9"/>
  <c r="D3311" i="9"/>
  <c r="D3312" i="9"/>
  <c r="D3313" i="9"/>
  <c r="D3314" i="9"/>
  <c r="D3315" i="9"/>
  <c r="D3316" i="9"/>
  <c r="D3317" i="9"/>
  <c r="D3318" i="9"/>
  <c r="D3319" i="9"/>
  <c r="D3320" i="9"/>
  <c r="D3321" i="9"/>
  <c r="D3322" i="9"/>
  <c r="D3323" i="9"/>
  <c r="D3324" i="9"/>
  <c r="D3325" i="9"/>
  <c r="D3326" i="9"/>
  <c r="D3327" i="9"/>
  <c r="D3328" i="9"/>
  <c r="D3329" i="9"/>
  <c r="D3330" i="9"/>
  <c r="D3331" i="9"/>
  <c r="D3332" i="9"/>
  <c r="D3333" i="9"/>
  <c r="D3334" i="9"/>
  <c r="D3335" i="9"/>
  <c r="D3336" i="9"/>
  <c r="D3337" i="9"/>
  <c r="D3338" i="9"/>
  <c r="D3339" i="9"/>
  <c r="D3340" i="9"/>
  <c r="D3341" i="9"/>
  <c r="D3342" i="9"/>
  <c r="D3343" i="9"/>
  <c r="D3344" i="9"/>
  <c r="D3345" i="9"/>
  <c r="D3346" i="9"/>
  <c r="D3347" i="9"/>
  <c r="D3348" i="9"/>
  <c r="D3349" i="9"/>
  <c r="D3350" i="9"/>
  <c r="D3351" i="9"/>
  <c r="D3352" i="9"/>
  <c r="D3353" i="9"/>
  <c r="D3354" i="9"/>
  <c r="D3355" i="9"/>
  <c r="D3356" i="9"/>
  <c r="D3357" i="9"/>
  <c r="D3358" i="9"/>
  <c r="D3359" i="9"/>
  <c r="D3360" i="9"/>
  <c r="D3361" i="9"/>
  <c r="D3362" i="9"/>
  <c r="D3363" i="9"/>
  <c r="D3364" i="9"/>
  <c r="D3365" i="9"/>
  <c r="D3366" i="9"/>
  <c r="D3367" i="9"/>
  <c r="D3368" i="9"/>
  <c r="D3369" i="9"/>
  <c r="D3370" i="9"/>
  <c r="D3371" i="9"/>
  <c r="D3372" i="9"/>
  <c r="D3373" i="9"/>
  <c r="D3374" i="9"/>
  <c r="D3375" i="9"/>
  <c r="D3376" i="9"/>
  <c r="D3377" i="9"/>
  <c r="D3378" i="9"/>
  <c r="D3379" i="9"/>
  <c r="D3380" i="9"/>
  <c r="D3381" i="9"/>
  <c r="D3382" i="9"/>
  <c r="D3383" i="9"/>
  <c r="D3384" i="9"/>
  <c r="D3385" i="9"/>
  <c r="D3386" i="9"/>
  <c r="D3387" i="9"/>
  <c r="D3388" i="9"/>
  <c r="D3389" i="9"/>
  <c r="D3390" i="9"/>
  <c r="D3391" i="9"/>
  <c r="D3392" i="9"/>
  <c r="D3393" i="9"/>
  <c r="D3394" i="9"/>
  <c r="D3395" i="9"/>
  <c r="D3396" i="9"/>
  <c r="D3397" i="9"/>
  <c r="D3398" i="9"/>
  <c r="D3399" i="9"/>
  <c r="D3400" i="9"/>
  <c r="D3401" i="9"/>
  <c r="D3402" i="9"/>
  <c r="D3403" i="9"/>
  <c r="D3404" i="9"/>
  <c r="D3405" i="9"/>
  <c r="D3406" i="9"/>
  <c r="D3407" i="9"/>
  <c r="D3408" i="9"/>
  <c r="D3409" i="9"/>
  <c r="D3410" i="9"/>
  <c r="D3411" i="9"/>
  <c r="D3412" i="9"/>
  <c r="D3413" i="9"/>
  <c r="D3414" i="9"/>
  <c r="D3415" i="9"/>
  <c r="D3416" i="9"/>
  <c r="D3417" i="9"/>
  <c r="D3418" i="9"/>
  <c r="D3419" i="9"/>
  <c r="D3420" i="9"/>
  <c r="D3421" i="9"/>
  <c r="D3422" i="9"/>
  <c r="D3423" i="9"/>
  <c r="D3424" i="9"/>
  <c r="D3425" i="9"/>
  <c r="D3426" i="9"/>
  <c r="D3427" i="9"/>
  <c r="D3428" i="9"/>
  <c r="D3429" i="9"/>
  <c r="D3430" i="9"/>
  <c r="D3431" i="9"/>
  <c r="D3432" i="9"/>
  <c r="D3433" i="9"/>
  <c r="D3434" i="9"/>
  <c r="D3435" i="9"/>
  <c r="D3436" i="9"/>
  <c r="D3437" i="9"/>
  <c r="D3438" i="9"/>
  <c r="D3439" i="9"/>
  <c r="D3440" i="9"/>
  <c r="D3441" i="9"/>
  <c r="D3442" i="9"/>
  <c r="D3443" i="9"/>
  <c r="D3444" i="9"/>
  <c r="D3445" i="9"/>
  <c r="D3446" i="9"/>
  <c r="D3447" i="9"/>
  <c r="D3448" i="9"/>
  <c r="D3449" i="9"/>
  <c r="D3450" i="9"/>
  <c r="D3451" i="9"/>
  <c r="D3452" i="9"/>
  <c r="D3453" i="9"/>
  <c r="D3454" i="9"/>
  <c r="D3455" i="9"/>
  <c r="D3456" i="9"/>
  <c r="D3457" i="9"/>
  <c r="D3458" i="9"/>
  <c r="D3459" i="9"/>
  <c r="D3460" i="9"/>
  <c r="D3461" i="9"/>
  <c r="D3462" i="9"/>
  <c r="D3463" i="9"/>
  <c r="D3464" i="9"/>
  <c r="D3465" i="9"/>
  <c r="D3466" i="9"/>
  <c r="D3467" i="9"/>
  <c r="D3468" i="9"/>
  <c r="D3469" i="9"/>
  <c r="D3470" i="9"/>
  <c r="D3471" i="9"/>
  <c r="D3472" i="9"/>
  <c r="D3473" i="9"/>
  <c r="D3474" i="9"/>
  <c r="D3475" i="9"/>
  <c r="D3476" i="9"/>
  <c r="D3477" i="9"/>
  <c r="D3478" i="9"/>
  <c r="D3479" i="9"/>
  <c r="D3480" i="9"/>
  <c r="D3481" i="9"/>
  <c r="D3482" i="9"/>
  <c r="D3483" i="9"/>
  <c r="D3484" i="9"/>
  <c r="D3485" i="9"/>
  <c r="D3486" i="9"/>
  <c r="D3487" i="9"/>
  <c r="D3488" i="9"/>
  <c r="D3489" i="9"/>
  <c r="D3490" i="9"/>
  <c r="D3491" i="9"/>
  <c r="D3492" i="9"/>
  <c r="D3493" i="9"/>
  <c r="D3494" i="9"/>
  <c r="D3495" i="9"/>
  <c r="D3496" i="9"/>
  <c r="D3497" i="9"/>
  <c r="D3498" i="9"/>
  <c r="D3499" i="9"/>
  <c r="D3500" i="9"/>
  <c r="D3501" i="9"/>
  <c r="D3502" i="9"/>
  <c r="D3503" i="9"/>
  <c r="D3504" i="9"/>
  <c r="D3505" i="9"/>
  <c r="D3506" i="9"/>
  <c r="D3507" i="9"/>
  <c r="D3508" i="9"/>
  <c r="D3509" i="9"/>
  <c r="D3510" i="9"/>
  <c r="D3511" i="9"/>
  <c r="D3512" i="9"/>
  <c r="D3513" i="9"/>
  <c r="D3514" i="9"/>
  <c r="D3515" i="9"/>
  <c r="D3516" i="9"/>
  <c r="D3517" i="9"/>
  <c r="D3518" i="9"/>
  <c r="D3519" i="9"/>
  <c r="D3520" i="9"/>
  <c r="D3521" i="9"/>
  <c r="D3522" i="9"/>
  <c r="D3523" i="9"/>
  <c r="D3524" i="9"/>
  <c r="D3525" i="9"/>
  <c r="D3526" i="9"/>
  <c r="D3527" i="9"/>
  <c r="D3528" i="9"/>
  <c r="D3529" i="9"/>
  <c r="D3530" i="9"/>
  <c r="D3531" i="9"/>
  <c r="D3532" i="9"/>
  <c r="D3533" i="9"/>
  <c r="D3534" i="9"/>
  <c r="D3535" i="9"/>
  <c r="D3536" i="9"/>
  <c r="D3537" i="9"/>
  <c r="D3538" i="9"/>
  <c r="D3539" i="9"/>
  <c r="D3540" i="9"/>
  <c r="D3541" i="9"/>
  <c r="D3542" i="9"/>
  <c r="D3543" i="9"/>
  <c r="D3544" i="9"/>
  <c r="D3545" i="9"/>
  <c r="D3546" i="9"/>
  <c r="D3547" i="9"/>
  <c r="D3548" i="9"/>
  <c r="D3549" i="9"/>
  <c r="D3550" i="9"/>
  <c r="D3551" i="9"/>
  <c r="D3552" i="9"/>
  <c r="D3553" i="9"/>
  <c r="D3554" i="9"/>
  <c r="D3555" i="9"/>
  <c r="D3556" i="9"/>
  <c r="D3557" i="9"/>
  <c r="D3558" i="9"/>
  <c r="D3559" i="9"/>
  <c r="D3560" i="9"/>
  <c r="D3561" i="9"/>
  <c r="D3562" i="9"/>
  <c r="D3563" i="9"/>
  <c r="D3564" i="9"/>
  <c r="D3565" i="9"/>
  <c r="D3566" i="9"/>
  <c r="D3567" i="9"/>
  <c r="D3568" i="9"/>
  <c r="D3569" i="9"/>
  <c r="D3570" i="9"/>
  <c r="D3571" i="9"/>
  <c r="D3572" i="9"/>
  <c r="D3573" i="9"/>
  <c r="D3574" i="9"/>
  <c r="D3575" i="9"/>
  <c r="D3576" i="9"/>
  <c r="D3577" i="9"/>
  <c r="D3578" i="9"/>
  <c r="D3579" i="9"/>
  <c r="D3580" i="9"/>
  <c r="D3581" i="9"/>
  <c r="D3582" i="9"/>
  <c r="D3583" i="9"/>
  <c r="D3584" i="9"/>
  <c r="D3585" i="9"/>
  <c r="D3586" i="9"/>
  <c r="D3587" i="9"/>
  <c r="D3588" i="9"/>
  <c r="D3589" i="9"/>
  <c r="D3590" i="9"/>
  <c r="D3591" i="9"/>
  <c r="D3592" i="9"/>
  <c r="D3593" i="9"/>
  <c r="D3594" i="9"/>
  <c r="D3595" i="9"/>
  <c r="D3596" i="9"/>
  <c r="D3597" i="9"/>
  <c r="D3598" i="9"/>
  <c r="D3599" i="9"/>
  <c r="D3600" i="9"/>
  <c r="D3601" i="9"/>
  <c r="D3602" i="9"/>
  <c r="D3603" i="9"/>
  <c r="D3604" i="9"/>
  <c r="D3605" i="9"/>
  <c r="D3606" i="9"/>
  <c r="D3607" i="9"/>
  <c r="D3608" i="9"/>
  <c r="D3609" i="9"/>
  <c r="D3610" i="9"/>
  <c r="D3611" i="9"/>
  <c r="D3612" i="9"/>
  <c r="D3613" i="9"/>
  <c r="D3614" i="9"/>
  <c r="D3615" i="9"/>
  <c r="D3616" i="9"/>
  <c r="D3617" i="9"/>
  <c r="D3618" i="9"/>
  <c r="D3619" i="9"/>
  <c r="D3620" i="9"/>
  <c r="D3621" i="9"/>
  <c r="D3622" i="9"/>
  <c r="D3623" i="9"/>
  <c r="D3624" i="9"/>
  <c r="D3625" i="9"/>
  <c r="D3626" i="9"/>
  <c r="D3627" i="9"/>
  <c r="D3628" i="9"/>
  <c r="D3629" i="9"/>
  <c r="D3630" i="9"/>
  <c r="D3631" i="9"/>
  <c r="D3632" i="9"/>
  <c r="D3633" i="9"/>
  <c r="D3634" i="9"/>
  <c r="D3635" i="9"/>
  <c r="D3636" i="9"/>
  <c r="D3637" i="9"/>
  <c r="D3638" i="9"/>
  <c r="D3639" i="9"/>
  <c r="D3640" i="9"/>
  <c r="D3641" i="9"/>
  <c r="D3642" i="9"/>
  <c r="D3643" i="9"/>
  <c r="D3644" i="9"/>
  <c r="D3645" i="9"/>
  <c r="D3646" i="9"/>
  <c r="D3647" i="9"/>
  <c r="D3648" i="9"/>
  <c r="D3649" i="9"/>
  <c r="D3650" i="9"/>
  <c r="D3651" i="9"/>
  <c r="D3652" i="9"/>
  <c r="D3653" i="9"/>
  <c r="D3654" i="9"/>
  <c r="D3655" i="9"/>
  <c r="D3656" i="9"/>
  <c r="D3657" i="9"/>
  <c r="D3658" i="9"/>
  <c r="D3659" i="9"/>
  <c r="D3660" i="9"/>
  <c r="D3661" i="9"/>
  <c r="D3662" i="9"/>
  <c r="D3663" i="9"/>
  <c r="D3664" i="9"/>
  <c r="D3665" i="9"/>
  <c r="D3666" i="9"/>
  <c r="D3667" i="9"/>
  <c r="D3668" i="9"/>
  <c r="D3669" i="9"/>
  <c r="D3670" i="9"/>
  <c r="D3671" i="9"/>
  <c r="D3672" i="9"/>
  <c r="D3673" i="9"/>
  <c r="D3674" i="9"/>
  <c r="D3675" i="9"/>
  <c r="D3676" i="9"/>
  <c r="D3677" i="9"/>
  <c r="D3678" i="9"/>
  <c r="D3679" i="9"/>
  <c r="D3680" i="9"/>
  <c r="D3681" i="9"/>
  <c r="D3682" i="9"/>
  <c r="D3683" i="9"/>
  <c r="D3684" i="9"/>
  <c r="D3685" i="9"/>
  <c r="D3686" i="9"/>
  <c r="D3687" i="9"/>
  <c r="D3688" i="9"/>
  <c r="D3689" i="9"/>
  <c r="D3690" i="9"/>
  <c r="D3691" i="9"/>
  <c r="D3692" i="9"/>
  <c r="D3693" i="9"/>
  <c r="D3694" i="9"/>
  <c r="D3695" i="9"/>
  <c r="D3696" i="9"/>
  <c r="D3697" i="9"/>
  <c r="D3698" i="9"/>
  <c r="D3699" i="9"/>
  <c r="D3700" i="9"/>
  <c r="D3701" i="9"/>
  <c r="D3702" i="9"/>
  <c r="D3703" i="9"/>
  <c r="D3704" i="9"/>
  <c r="D3705" i="9"/>
  <c r="D3706" i="9"/>
  <c r="D3707" i="9"/>
  <c r="D3708" i="9"/>
  <c r="D3709" i="9"/>
  <c r="D3710" i="9"/>
  <c r="D3711" i="9"/>
  <c r="D3712" i="9"/>
  <c r="D3713" i="9"/>
  <c r="D3714" i="9"/>
  <c r="D3715" i="9"/>
  <c r="D3716" i="9"/>
  <c r="D3717" i="9"/>
  <c r="D3718" i="9"/>
  <c r="D3719" i="9"/>
  <c r="D3720" i="9"/>
  <c r="D3721" i="9"/>
  <c r="D3722" i="9"/>
  <c r="D3723" i="9"/>
  <c r="D3724" i="9"/>
  <c r="D3725" i="9"/>
  <c r="D3726" i="9"/>
  <c r="D3727" i="9"/>
  <c r="D3728" i="9"/>
  <c r="D3729" i="9"/>
  <c r="D3730" i="9"/>
  <c r="D3731" i="9"/>
  <c r="D3732" i="9"/>
  <c r="D3733" i="9"/>
  <c r="D3734" i="9"/>
  <c r="D3735" i="9"/>
  <c r="D3736" i="9"/>
  <c r="D3737" i="9"/>
  <c r="D3738" i="9"/>
  <c r="D3739" i="9"/>
  <c r="D3740" i="9"/>
  <c r="D3741" i="9"/>
  <c r="D3742" i="9"/>
  <c r="D3743" i="9"/>
  <c r="D3744" i="9"/>
  <c r="D3745" i="9"/>
  <c r="D3746" i="9"/>
  <c r="D3747" i="9"/>
  <c r="D3748" i="9"/>
  <c r="D3749" i="9"/>
  <c r="D3750" i="9"/>
  <c r="D3751" i="9"/>
  <c r="D3752" i="9"/>
  <c r="D3753" i="9"/>
  <c r="D3754" i="9"/>
  <c r="D3755" i="9"/>
  <c r="D3756" i="9"/>
  <c r="D3757" i="9"/>
  <c r="D3758" i="9"/>
  <c r="D3759" i="9"/>
  <c r="D3760" i="9"/>
  <c r="D3761" i="9"/>
  <c r="D3762" i="9"/>
  <c r="D3763" i="9"/>
  <c r="D3764" i="9"/>
  <c r="D3765" i="9"/>
  <c r="D3766" i="9"/>
  <c r="D3767" i="9"/>
  <c r="D3768" i="9"/>
  <c r="D3769" i="9"/>
  <c r="D3770" i="9"/>
  <c r="D3771" i="9"/>
  <c r="D3772" i="9"/>
  <c r="D3773" i="9"/>
  <c r="D3774" i="9"/>
  <c r="D3775" i="9"/>
  <c r="D3776" i="9"/>
  <c r="D3777" i="9"/>
  <c r="D3778" i="9"/>
  <c r="D3779" i="9"/>
  <c r="D3780" i="9"/>
  <c r="D3781" i="9"/>
  <c r="D3782" i="9"/>
  <c r="D3783" i="9"/>
  <c r="D3784" i="9"/>
  <c r="D3785" i="9"/>
  <c r="D3786" i="9"/>
  <c r="D3787" i="9"/>
  <c r="D3788" i="9"/>
  <c r="D3789" i="9"/>
  <c r="D3790" i="9"/>
  <c r="D3791" i="9"/>
  <c r="D3792" i="9"/>
  <c r="D3793" i="9"/>
  <c r="D3794" i="9"/>
  <c r="D3795" i="9"/>
  <c r="D3796" i="9"/>
  <c r="D3797" i="9"/>
  <c r="D3798" i="9"/>
  <c r="D3799" i="9"/>
  <c r="D3800" i="9"/>
  <c r="D3801" i="9"/>
  <c r="D3802" i="9"/>
  <c r="D3803" i="9"/>
  <c r="D3804" i="9"/>
  <c r="D3805" i="9"/>
  <c r="D3806" i="9"/>
  <c r="D3807" i="9"/>
  <c r="D3808" i="9"/>
  <c r="D3809" i="9"/>
  <c r="D3810" i="9"/>
  <c r="D3811" i="9"/>
  <c r="D3812" i="9"/>
  <c r="D3813" i="9"/>
  <c r="D3814" i="9"/>
  <c r="D3815" i="9"/>
  <c r="D3816" i="9"/>
  <c r="D3817" i="9"/>
  <c r="D3818" i="9"/>
  <c r="D3819" i="9"/>
  <c r="D3820" i="9"/>
  <c r="D3821" i="9"/>
  <c r="D3822" i="9"/>
  <c r="D3823" i="9"/>
  <c r="D3824" i="9"/>
  <c r="D3825" i="9"/>
  <c r="D3826" i="9"/>
  <c r="D3827" i="9"/>
  <c r="D3828" i="9"/>
  <c r="D3829" i="9"/>
  <c r="D3830" i="9"/>
  <c r="D3831" i="9"/>
  <c r="D3832" i="9"/>
  <c r="D3833" i="9"/>
  <c r="D3834" i="9"/>
  <c r="D3835" i="9"/>
  <c r="D3836" i="9"/>
  <c r="D3837" i="9"/>
  <c r="D3838" i="9"/>
  <c r="D3839" i="9"/>
  <c r="D3840" i="9"/>
  <c r="D3841" i="9"/>
  <c r="D3842" i="9"/>
  <c r="D3843" i="9"/>
  <c r="D3844" i="9"/>
  <c r="D3845" i="9"/>
  <c r="D3846" i="9"/>
  <c r="D3847" i="9"/>
  <c r="D3848" i="9"/>
  <c r="D3849" i="9"/>
  <c r="D3850" i="9"/>
  <c r="D3851" i="9"/>
  <c r="D3852" i="9"/>
  <c r="D3853" i="9"/>
  <c r="D3854" i="9"/>
  <c r="D3855" i="9"/>
  <c r="D3856" i="9"/>
  <c r="D3857" i="9"/>
  <c r="D3858" i="9"/>
  <c r="D3859" i="9"/>
  <c r="D3860" i="9"/>
  <c r="D3861" i="9"/>
  <c r="D3862" i="9"/>
  <c r="D3863" i="9"/>
  <c r="D3864" i="9"/>
  <c r="D3865" i="9"/>
  <c r="D3866" i="9"/>
  <c r="D3867" i="9"/>
  <c r="D3868" i="9"/>
  <c r="D3869" i="9"/>
  <c r="D3870" i="9"/>
  <c r="D3871" i="9"/>
  <c r="D3872" i="9"/>
  <c r="D3873" i="9"/>
  <c r="D3874" i="9"/>
  <c r="D3875" i="9"/>
  <c r="D3876" i="9"/>
  <c r="D3877" i="9"/>
  <c r="D3878" i="9"/>
  <c r="D3879" i="9"/>
  <c r="D3880" i="9"/>
  <c r="D3881" i="9"/>
  <c r="D3882" i="9"/>
  <c r="D3883" i="9"/>
  <c r="D3884" i="9"/>
  <c r="D3885" i="9"/>
  <c r="D3886" i="9"/>
  <c r="D3887" i="9"/>
  <c r="D3888" i="9"/>
  <c r="D3889" i="9"/>
  <c r="D3890" i="9"/>
  <c r="D3891" i="9"/>
  <c r="D3892" i="9"/>
  <c r="D3893" i="9"/>
  <c r="D3894" i="9"/>
  <c r="D3895" i="9"/>
  <c r="D3896" i="9"/>
  <c r="D3897" i="9"/>
  <c r="D3898" i="9"/>
  <c r="D3899" i="9"/>
  <c r="D3900" i="9"/>
  <c r="D3901" i="9"/>
  <c r="D3902" i="9"/>
  <c r="D3903" i="9"/>
  <c r="D3904" i="9"/>
  <c r="D3905" i="9"/>
  <c r="D3906" i="9"/>
  <c r="D3907" i="9"/>
  <c r="D3908" i="9"/>
  <c r="D3909" i="9"/>
  <c r="D3910" i="9"/>
  <c r="D3911" i="9"/>
  <c r="D3912" i="9"/>
  <c r="D3913" i="9"/>
  <c r="D3914" i="9"/>
  <c r="D3915" i="9"/>
  <c r="D3916" i="9"/>
  <c r="D3917" i="9"/>
  <c r="D3918" i="9"/>
  <c r="D3919" i="9"/>
  <c r="D3920" i="9"/>
  <c r="D3921" i="9"/>
  <c r="D3922" i="9"/>
  <c r="D3923" i="9"/>
  <c r="D3924" i="9"/>
  <c r="D3925" i="9"/>
  <c r="D3926" i="9"/>
  <c r="D3927" i="9"/>
  <c r="D3928" i="9"/>
  <c r="D3929" i="9"/>
  <c r="D3930" i="9"/>
  <c r="D3931" i="9"/>
  <c r="D3932" i="9"/>
  <c r="D3933" i="9"/>
  <c r="D3934" i="9"/>
  <c r="D3935" i="9"/>
  <c r="D3936" i="9"/>
  <c r="D3937" i="9"/>
  <c r="D3938" i="9"/>
  <c r="D3939" i="9"/>
  <c r="D3940" i="9"/>
  <c r="D3941" i="9"/>
  <c r="D3942" i="9"/>
  <c r="D3943" i="9"/>
  <c r="D3944" i="9"/>
  <c r="D3945" i="9"/>
  <c r="D3946" i="9"/>
  <c r="D3947" i="9"/>
  <c r="D3948" i="9"/>
  <c r="D3949" i="9"/>
  <c r="D3950" i="9"/>
  <c r="D3951" i="9"/>
  <c r="D3952" i="9"/>
  <c r="D3953" i="9"/>
  <c r="D3954" i="9"/>
  <c r="D3955" i="9"/>
  <c r="D3956" i="9"/>
  <c r="D3957" i="9"/>
  <c r="D3958" i="9"/>
  <c r="D3959" i="9"/>
  <c r="D3960" i="9"/>
  <c r="D3961" i="9"/>
  <c r="D3962" i="9"/>
  <c r="D3963" i="9"/>
  <c r="D3964" i="9"/>
  <c r="D3965" i="9"/>
  <c r="D3966" i="9"/>
  <c r="D3967" i="9"/>
  <c r="D3968" i="9"/>
  <c r="D3969" i="9"/>
  <c r="D3970" i="9"/>
  <c r="D3971" i="9"/>
  <c r="D3972" i="9"/>
  <c r="D3973" i="9"/>
  <c r="D3974" i="9"/>
  <c r="D3975" i="9"/>
  <c r="D3976" i="9"/>
  <c r="D3977" i="9"/>
  <c r="D3978" i="9"/>
  <c r="D3979" i="9"/>
  <c r="D3980" i="9"/>
  <c r="D3981" i="9"/>
  <c r="D3982" i="9"/>
  <c r="D3983" i="9"/>
  <c r="D3984" i="9"/>
  <c r="D3985" i="9"/>
  <c r="D3986" i="9"/>
  <c r="D3987" i="9"/>
  <c r="D3988" i="9"/>
  <c r="D3989" i="9"/>
  <c r="D3990" i="9"/>
  <c r="D3991" i="9"/>
  <c r="D3992" i="9"/>
  <c r="D3993" i="9"/>
  <c r="D3994" i="9"/>
  <c r="D3995" i="9"/>
  <c r="D3996" i="9"/>
  <c r="D3997" i="9"/>
  <c r="D3998" i="9"/>
  <c r="D3999" i="9"/>
  <c r="D4000" i="9"/>
  <c r="D4001" i="9"/>
  <c r="D4002" i="9"/>
  <c r="D4003" i="9"/>
  <c r="D4004" i="9"/>
  <c r="D4005" i="9"/>
  <c r="D4006" i="9"/>
  <c r="D4007" i="9"/>
  <c r="D4008" i="9"/>
  <c r="D4009" i="9"/>
  <c r="D4010" i="9"/>
  <c r="D4011" i="9"/>
  <c r="D4012" i="9"/>
  <c r="D4013" i="9"/>
  <c r="D4014" i="9"/>
  <c r="D4015" i="9"/>
  <c r="D4016" i="9"/>
  <c r="D4017" i="9"/>
  <c r="D4018" i="9"/>
  <c r="D4019" i="9"/>
  <c r="D4020" i="9"/>
  <c r="D4021" i="9"/>
  <c r="D4022" i="9"/>
  <c r="D4023" i="9"/>
  <c r="D4024" i="9"/>
  <c r="D4025" i="9"/>
  <c r="D4026" i="9"/>
  <c r="D4027" i="9"/>
  <c r="D4028" i="9"/>
  <c r="D4029" i="9"/>
  <c r="D4030" i="9"/>
  <c r="D4031" i="9"/>
  <c r="D4032" i="9"/>
  <c r="D4033" i="9"/>
  <c r="D4034" i="9"/>
  <c r="D4035" i="9"/>
  <c r="D4036" i="9"/>
  <c r="D4037" i="9"/>
  <c r="D4038" i="9"/>
  <c r="D4039" i="9"/>
  <c r="D4040" i="9"/>
  <c r="D4041" i="9"/>
  <c r="D4042" i="9"/>
  <c r="D4043" i="9"/>
  <c r="D4044" i="9"/>
  <c r="D4045" i="9"/>
  <c r="D4046" i="9"/>
  <c r="D4047" i="9"/>
  <c r="D4048" i="9"/>
  <c r="D4049" i="9"/>
  <c r="D4050" i="9"/>
  <c r="D4051" i="9"/>
  <c r="D4052" i="9"/>
  <c r="D4053" i="9"/>
  <c r="D4054" i="9"/>
  <c r="D4055" i="9"/>
  <c r="D4056" i="9"/>
  <c r="D4057" i="9"/>
  <c r="D4058" i="9"/>
  <c r="D4059" i="9"/>
  <c r="D4060" i="9"/>
  <c r="D4061" i="9"/>
  <c r="D4062" i="9"/>
  <c r="D4063" i="9"/>
  <c r="D4064" i="9"/>
  <c r="D4065" i="9"/>
  <c r="D4066" i="9"/>
  <c r="D4067" i="9"/>
  <c r="D4068" i="9"/>
  <c r="D4069" i="9"/>
  <c r="D4070" i="9"/>
  <c r="D4071" i="9"/>
  <c r="D4072" i="9"/>
  <c r="D4073" i="9"/>
  <c r="D4074" i="9"/>
  <c r="D4075" i="9"/>
  <c r="D4076" i="9"/>
  <c r="D4077" i="9"/>
  <c r="D4078" i="9"/>
  <c r="D4079" i="9"/>
  <c r="D4080" i="9"/>
  <c r="D4081" i="9"/>
  <c r="D4082" i="9"/>
  <c r="D4083" i="9"/>
  <c r="D4084" i="9"/>
  <c r="D4085" i="9"/>
  <c r="D4086" i="9"/>
  <c r="D4087" i="9"/>
  <c r="D4088" i="9"/>
  <c r="D4089" i="9"/>
  <c r="D4090" i="9"/>
  <c r="D4091" i="9"/>
  <c r="D4092" i="9"/>
  <c r="D4093" i="9"/>
  <c r="D4094" i="9"/>
  <c r="D4095" i="9"/>
  <c r="D4096" i="9"/>
  <c r="D4097" i="9"/>
  <c r="D4098" i="9"/>
  <c r="D4099" i="9"/>
  <c r="D4100" i="9"/>
  <c r="D4101" i="9"/>
  <c r="D4102" i="9"/>
  <c r="D4103" i="9"/>
  <c r="D4104" i="9"/>
  <c r="D4105" i="9"/>
  <c r="D4106" i="9"/>
  <c r="D4107" i="9"/>
  <c r="D4108" i="9"/>
  <c r="D4109" i="9"/>
  <c r="D4110" i="9"/>
  <c r="D4111" i="9"/>
  <c r="D4112" i="9"/>
  <c r="D4113" i="9"/>
  <c r="D4114" i="9"/>
  <c r="D4115" i="9"/>
  <c r="D4116" i="9"/>
  <c r="D4117" i="9"/>
  <c r="D4118" i="9"/>
  <c r="D4119" i="9"/>
  <c r="D4120" i="9"/>
  <c r="D4121" i="9"/>
  <c r="D4122" i="9"/>
  <c r="D4123" i="9"/>
  <c r="D4124" i="9"/>
  <c r="D4125" i="9"/>
  <c r="D4126" i="9"/>
  <c r="D4127" i="9"/>
  <c r="D4128" i="9"/>
  <c r="D4129" i="9"/>
  <c r="D4130" i="9"/>
  <c r="D4131" i="9"/>
  <c r="D4132" i="9"/>
  <c r="D4133" i="9"/>
  <c r="D4134" i="9"/>
  <c r="D4135" i="9"/>
  <c r="D4136" i="9"/>
  <c r="D4137" i="9"/>
  <c r="D4138" i="9"/>
  <c r="D4139" i="9"/>
  <c r="D4140" i="9"/>
  <c r="D4141" i="9"/>
  <c r="D4142" i="9"/>
  <c r="D4143" i="9"/>
  <c r="D4144" i="9"/>
  <c r="D4145" i="9"/>
  <c r="D4146" i="9"/>
  <c r="D4147" i="9"/>
  <c r="D4148" i="9"/>
  <c r="D4149" i="9"/>
  <c r="D4150" i="9"/>
  <c r="D4151" i="9"/>
  <c r="D4152" i="9"/>
  <c r="D4153" i="9"/>
  <c r="D4154" i="9"/>
  <c r="D4155" i="9"/>
  <c r="D4156" i="9"/>
  <c r="D4157" i="9"/>
  <c r="D4158" i="9"/>
  <c r="D4159" i="9"/>
  <c r="D4160" i="9"/>
  <c r="D4161" i="9"/>
  <c r="D4162" i="9"/>
  <c r="D4163" i="9"/>
  <c r="D4164" i="9"/>
  <c r="D4165" i="9"/>
  <c r="D4166" i="9"/>
  <c r="D4167" i="9"/>
  <c r="D4168" i="9"/>
  <c r="D4169" i="9"/>
  <c r="D4170" i="9"/>
  <c r="D4171" i="9"/>
  <c r="D4172" i="9"/>
  <c r="D4173" i="9"/>
  <c r="D4174" i="9"/>
  <c r="D4175" i="9"/>
  <c r="D4176" i="9"/>
  <c r="D4177" i="9"/>
  <c r="D4178" i="9"/>
  <c r="D4179" i="9"/>
  <c r="D4180" i="9"/>
  <c r="D4181" i="9"/>
  <c r="D4182" i="9"/>
  <c r="D4183" i="9"/>
  <c r="D4184" i="9"/>
  <c r="D4185" i="9"/>
  <c r="D4186" i="9"/>
  <c r="D4187" i="9"/>
  <c r="D4188" i="9"/>
  <c r="D4189" i="9"/>
  <c r="D4190" i="9"/>
  <c r="D4191" i="9"/>
  <c r="D4192" i="9"/>
  <c r="D4193" i="9"/>
  <c r="D4194" i="9"/>
  <c r="D4195" i="9"/>
  <c r="D4196" i="9"/>
  <c r="D4197" i="9"/>
  <c r="D4198" i="9"/>
  <c r="D4199" i="9"/>
  <c r="D4200" i="9"/>
  <c r="D4201" i="9"/>
  <c r="D4202" i="9"/>
  <c r="D4203" i="9"/>
  <c r="D4204" i="9"/>
  <c r="D4205" i="9"/>
  <c r="D4206" i="9"/>
  <c r="D4207" i="9"/>
  <c r="D4208" i="9"/>
  <c r="D4209" i="9"/>
  <c r="D4210" i="9"/>
  <c r="D4211" i="9"/>
  <c r="D4212" i="9"/>
  <c r="D4213" i="9"/>
  <c r="D4214" i="9"/>
  <c r="D4215" i="9"/>
  <c r="D4216" i="9"/>
  <c r="D4217" i="9"/>
  <c r="D4218" i="9"/>
  <c r="D4219" i="9"/>
  <c r="D4220" i="9"/>
  <c r="D4221" i="9"/>
  <c r="D4222" i="9"/>
  <c r="D4223" i="9"/>
  <c r="D4224" i="9"/>
  <c r="D4225" i="9"/>
  <c r="D4226" i="9"/>
  <c r="D4227" i="9"/>
  <c r="D4228" i="9"/>
  <c r="D4229" i="9"/>
  <c r="D4230" i="9"/>
  <c r="D4231" i="9"/>
  <c r="D4232" i="9"/>
  <c r="D4233" i="9"/>
  <c r="D4234" i="9"/>
  <c r="D4235" i="9"/>
  <c r="D4236" i="9"/>
  <c r="D4237" i="9"/>
  <c r="D4238" i="9"/>
  <c r="D4239" i="9"/>
  <c r="D4240" i="9"/>
  <c r="D4241" i="9"/>
  <c r="D4242" i="9"/>
  <c r="D4243" i="9"/>
  <c r="D4244" i="9"/>
  <c r="D4245" i="9"/>
  <c r="D4246" i="9"/>
  <c r="D4247" i="9"/>
  <c r="D4248" i="9"/>
  <c r="D4249" i="9"/>
  <c r="D4250" i="9"/>
  <c r="D4251" i="9"/>
  <c r="D4252" i="9"/>
  <c r="D4253" i="9"/>
  <c r="D4254" i="9"/>
  <c r="D4255" i="9"/>
  <c r="D4256" i="9"/>
  <c r="D4257" i="9"/>
  <c r="D4258" i="9"/>
  <c r="D4259" i="9"/>
  <c r="D4260" i="9"/>
  <c r="D4261" i="9"/>
  <c r="D4262" i="9"/>
  <c r="D4263" i="9"/>
  <c r="D4264" i="9"/>
  <c r="D4265" i="9"/>
  <c r="D4266" i="9"/>
  <c r="D4267" i="9"/>
  <c r="D4268" i="9"/>
  <c r="D4269" i="9"/>
  <c r="D4270" i="9"/>
  <c r="D4271" i="9"/>
  <c r="D4272" i="9"/>
  <c r="D4273" i="9"/>
  <c r="D4274" i="9"/>
  <c r="D4275" i="9"/>
  <c r="D4276" i="9"/>
  <c r="D4277" i="9"/>
  <c r="D4278" i="9"/>
  <c r="D4279" i="9"/>
  <c r="D4280" i="9"/>
  <c r="D4281" i="9"/>
  <c r="D4282" i="9"/>
  <c r="D4283" i="9"/>
  <c r="D4284" i="9"/>
  <c r="D4285" i="9"/>
  <c r="D4286" i="9"/>
  <c r="D4287" i="9"/>
  <c r="D4288" i="9"/>
  <c r="D4289" i="9"/>
  <c r="D4290" i="9"/>
  <c r="D4291" i="9"/>
  <c r="D4292" i="9"/>
  <c r="D4293" i="9"/>
  <c r="D4294" i="9"/>
  <c r="D4295" i="9"/>
  <c r="D4296" i="9"/>
  <c r="D4297" i="9"/>
  <c r="D4298" i="9"/>
  <c r="D4299" i="9"/>
  <c r="D4300" i="9"/>
  <c r="D4301" i="9"/>
  <c r="D4302" i="9"/>
  <c r="D4303" i="9"/>
  <c r="D4304" i="9"/>
  <c r="D4305" i="9"/>
  <c r="D4306" i="9"/>
  <c r="D4307" i="9"/>
  <c r="D4308" i="9"/>
  <c r="D4309" i="9"/>
  <c r="D4310" i="9"/>
  <c r="D4311" i="9"/>
  <c r="D4312" i="9"/>
  <c r="D4313" i="9"/>
  <c r="D4314" i="9"/>
  <c r="D4315" i="9"/>
  <c r="D4316" i="9"/>
  <c r="D4317" i="9"/>
  <c r="D4318" i="9"/>
  <c r="D4319" i="9"/>
  <c r="D4320" i="9"/>
  <c r="D4321" i="9"/>
  <c r="D4322" i="9"/>
  <c r="D4323" i="9"/>
  <c r="D4324" i="9"/>
  <c r="D4325" i="9"/>
  <c r="D4326" i="9"/>
  <c r="D4327" i="9"/>
  <c r="D4328" i="9"/>
  <c r="D4329" i="9"/>
  <c r="D4330" i="9"/>
  <c r="D4331" i="9"/>
  <c r="D4332" i="9"/>
  <c r="D4333" i="9"/>
  <c r="D4334" i="9"/>
  <c r="D4335" i="9"/>
  <c r="D4336" i="9"/>
  <c r="D4337" i="9"/>
  <c r="D4338" i="9"/>
  <c r="D4339" i="9"/>
  <c r="D4340" i="9"/>
  <c r="D4341" i="9"/>
  <c r="D4342" i="9"/>
  <c r="D4343" i="9"/>
  <c r="D4344" i="9"/>
  <c r="D4345" i="9"/>
  <c r="D4346" i="9"/>
  <c r="D4347" i="9"/>
  <c r="D4348" i="9"/>
  <c r="D4349" i="9"/>
  <c r="D4350" i="9"/>
  <c r="D4351" i="9"/>
  <c r="D4352" i="9"/>
  <c r="D4353" i="9"/>
  <c r="D4354" i="9"/>
  <c r="D4355" i="9"/>
  <c r="D4356" i="9"/>
  <c r="D4357" i="9"/>
  <c r="D4358" i="9"/>
  <c r="D4359" i="9"/>
  <c r="D4360" i="9"/>
  <c r="D4361" i="9"/>
  <c r="D4362" i="9"/>
  <c r="D4363" i="9"/>
  <c r="D4364" i="9"/>
  <c r="D4365" i="9"/>
  <c r="D4366" i="9"/>
  <c r="D4367" i="9"/>
  <c r="D4368" i="9"/>
  <c r="D4369" i="9"/>
  <c r="D4370" i="9"/>
  <c r="D4371" i="9"/>
  <c r="D4372" i="9"/>
  <c r="D4373" i="9"/>
  <c r="D4374" i="9"/>
  <c r="D4375" i="9"/>
  <c r="D4376" i="9"/>
  <c r="D4377" i="9"/>
  <c r="D4378" i="9"/>
  <c r="D4379" i="9"/>
  <c r="D4380" i="9"/>
  <c r="D4381" i="9"/>
  <c r="D4382" i="9"/>
  <c r="D4383" i="9"/>
  <c r="D4384" i="9"/>
  <c r="D4385" i="9"/>
  <c r="D4386" i="9"/>
  <c r="D4387" i="9"/>
  <c r="D4388" i="9"/>
  <c r="D4389" i="9"/>
  <c r="D4390" i="9"/>
  <c r="D4391" i="9"/>
  <c r="D4392" i="9"/>
  <c r="D4393" i="9"/>
  <c r="D4394" i="9"/>
  <c r="D4395" i="9"/>
  <c r="D4396" i="9"/>
  <c r="D4397" i="9"/>
  <c r="D4398" i="9"/>
  <c r="D4399" i="9"/>
  <c r="D4400" i="9"/>
  <c r="D4401" i="9"/>
  <c r="D4402" i="9"/>
  <c r="D4403" i="9"/>
  <c r="D4404" i="9"/>
  <c r="D4405" i="9"/>
  <c r="D4406" i="9"/>
  <c r="D4407" i="9"/>
  <c r="D4408" i="9"/>
  <c r="D4409" i="9"/>
  <c r="D4410" i="9"/>
  <c r="D4411" i="9"/>
  <c r="D4412" i="9"/>
  <c r="D4413" i="9"/>
  <c r="D4414" i="9"/>
  <c r="D4415" i="9"/>
  <c r="D4416" i="9"/>
  <c r="D4417" i="9"/>
  <c r="D4418" i="9"/>
  <c r="D4419" i="9"/>
  <c r="D4420" i="9"/>
  <c r="D4421" i="9"/>
  <c r="D4422" i="9"/>
  <c r="D4423" i="9"/>
  <c r="D4424" i="9"/>
  <c r="D4425" i="9"/>
  <c r="D4426" i="9"/>
  <c r="D4427" i="9"/>
  <c r="D4428" i="9"/>
  <c r="D4429" i="9"/>
  <c r="D4430" i="9"/>
  <c r="D4431" i="9"/>
  <c r="D4432" i="9"/>
  <c r="D4433" i="9"/>
  <c r="D4434" i="9"/>
  <c r="D4435" i="9"/>
  <c r="D4436" i="9"/>
  <c r="D4437" i="9"/>
  <c r="D4438" i="9"/>
  <c r="D4439" i="9"/>
  <c r="D4440" i="9"/>
  <c r="D4441" i="9"/>
  <c r="D4442" i="9"/>
  <c r="D4443" i="9"/>
  <c r="D4444" i="9"/>
  <c r="D4445" i="9"/>
  <c r="D4446" i="9"/>
  <c r="D4447" i="9"/>
  <c r="D4448" i="9"/>
  <c r="D4449" i="9"/>
  <c r="D4450" i="9"/>
  <c r="D4451" i="9"/>
  <c r="D4452" i="9"/>
  <c r="D4453" i="9"/>
  <c r="D4454" i="9"/>
  <c r="D4455" i="9"/>
  <c r="D4456" i="9"/>
  <c r="D4457" i="9"/>
  <c r="D4458" i="9"/>
  <c r="D4459" i="9"/>
  <c r="D4460" i="9"/>
  <c r="D4461" i="9"/>
  <c r="D4462" i="9"/>
  <c r="D4463" i="9"/>
  <c r="D4464" i="9"/>
  <c r="D4465" i="9"/>
  <c r="D4466" i="9"/>
  <c r="D4467" i="9"/>
  <c r="D4468" i="9"/>
  <c r="D4469" i="9"/>
  <c r="D4470" i="9"/>
  <c r="D4471" i="9"/>
  <c r="D4472" i="9"/>
  <c r="D4473" i="9"/>
  <c r="D4474" i="9"/>
  <c r="D4475" i="9"/>
  <c r="D4476" i="9"/>
  <c r="D4477" i="9"/>
  <c r="D4478" i="9"/>
  <c r="D4479" i="9"/>
  <c r="D4480" i="9"/>
  <c r="D4481" i="9"/>
  <c r="D4482" i="9"/>
  <c r="D4483" i="9"/>
  <c r="D4484" i="9"/>
  <c r="D4485" i="9"/>
  <c r="D4486" i="9"/>
  <c r="D4487" i="9"/>
  <c r="D4488" i="9"/>
  <c r="D4489" i="9"/>
  <c r="D4490" i="9"/>
  <c r="D4491" i="9"/>
  <c r="D4492" i="9"/>
  <c r="D4493" i="9"/>
  <c r="D4494" i="9"/>
  <c r="D4495" i="9"/>
  <c r="D4496" i="9"/>
  <c r="D4497" i="9"/>
  <c r="D4498" i="9"/>
  <c r="D4499" i="9"/>
  <c r="D4500" i="9"/>
  <c r="D4501" i="9"/>
  <c r="D4502" i="9"/>
  <c r="D4503" i="9"/>
  <c r="D4504" i="9"/>
  <c r="D4505" i="9"/>
  <c r="D4506" i="9"/>
  <c r="D4507" i="9"/>
  <c r="D4508" i="9"/>
  <c r="D4509" i="9"/>
  <c r="D4510" i="9"/>
  <c r="D4511" i="9"/>
  <c r="D4512" i="9"/>
  <c r="D4513" i="9"/>
  <c r="D4514" i="9"/>
  <c r="D4515" i="9"/>
  <c r="D4516" i="9"/>
  <c r="D4517" i="9"/>
  <c r="D4518" i="9"/>
  <c r="D4519" i="9"/>
  <c r="D4520" i="9"/>
  <c r="D4521" i="9"/>
  <c r="D4522" i="9"/>
  <c r="D4523" i="9"/>
  <c r="D4524" i="9"/>
  <c r="D4525" i="9"/>
  <c r="D4526" i="9"/>
  <c r="D4527" i="9"/>
  <c r="D4528" i="9"/>
  <c r="D4529" i="9"/>
  <c r="D4530" i="9"/>
  <c r="D4531" i="9"/>
  <c r="D4532" i="9"/>
  <c r="D4533" i="9"/>
  <c r="D4534" i="9"/>
  <c r="D4535" i="9"/>
  <c r="D4536" i="9"/>
  <c r="D4537" i="9"/>
  <c r="D4538" i="9"/>
  <c r="D4539" i="9"/>
  <c r="D4540" i="9"/>
  <c r="D4541" i="9"/>
  <c r="D4542" i="9"/>
  <c r="D4543" i="9"/>
  <c r="D4544" i="9"/>
  <c r="D4545" i="9"/>
  <c r="D4546" i="9"/>
  <c r="D4547" i="9"/>
  <c r="D4548" i="9"/>
  <c r="D4549" i="9"/>
  <c r="D4550" i="9"/>
  <c r="D4551" i="9"/>
  <c r="D4552" i="9"/>
  <c r="D4553" i="9"/>
  <c r="D4554" i="9"/>
  <c r="D4555" i="9"/>
  <c r="D4556" i="9"/>
  <c r="D4557" i="9"/>
  <c r="D4558" i="9"/>
  <c r="D4559" i="9"/>
  <c r="D4560" i="9"/>
  <c r="D4561" i="9"/>
  <c r="D4562" i="9"/>
  <c r="D4563" i="9"/>
  <c r="D4564" i="9"/>
  <c r="D4565" i="9"/>
  <c r="D4566" i="9"/>
  <c r="D4567" i="9"/>
  <c r="D4568" i="9"/>
  <c r="D4569" i="9"/>
  <c r="D4570" i="9"/>
  <c r="D4571" i="9"/>
  <c r="D4572" i="9"/>
  <c r="D4573" i="9"/>
  <c r="D4574" i="9"/>
  <c r="D4575" i="9"/>
  <c r="D4576" i="9"/>
  <c r="D4577" i="9"/>
  <c r="D4578" i="9"/>
  <c r="D4579" i="9"/>
  <c r="D4580" i="9"/>
  <c r="D4581" i="9"/>
  <c r="D4582" i="9"/>
  <c r="D4583" i="9"/>
  <c r="D4584" i="9"/>
  <c r="D4585" i="9"/>
  <c r="D4586" i="9"/>
  <c r="D4587" i="9"/>
  <c r="D4588" i="9"/>
  <c r="D4589" i="9"/>
  <c r="D4590" i="9"/>
  <c r="D4591" i="9"/>
  <c r="D4592" i="9"/>
  <c r="D4593" i="9"/>
  <c r="D4594" i="9"/>
  <c r="D4595" i="9"/>
  <c r="D4596" i="9"/>
  <c r="D4597" i="9"/>
  <c r="D4598" i="9"/>
  <c r="D4599" i="9"/>
  <c r="D4600" i="9"/>
  <c r="D4601" i="9"/>
  <c r="D4602" i="9"/>
  <c r="D4603" i="9"/>
  <c r="D4604" i="9"/>
  <c r="D4605" i="9"/>
  <c r="D4606" i="9"/>
  <c r="D4607" i="9"/>
  <c r="D4608" i="9"/>
  <c r="D4609" i="9"/>
  <c r="D4610" i="9"/>
  <c r="D4611" i="9"/>
  <c r="D4612" i="9"/>
  <c r="D4613" i="9"/>
  <c r="D4614" i="9"/>
  <c r="D4615" i="9"/>
  <c r="D4616" i="9"/>
  <c r="D4617" i="9"/>
  <c r="D4618" i="9"/>
  <c r="D4619" i="9"/>
  <c r="D4620" i="9"/>
  <c r="D4621" i="9"/>
  <c r="D4622" i="9"/>
  <c r="D4623" i="9"/>
  <c r="D4624" i="9"/>
  <c r="D4625" i="9"/>
  <c r="D4626" i="9"/>
  <c r="D4627" i="9"/>
  <c r="D4628" i="9"/>
  <c r="D4629" i="9"/>
  <c r="D4630" i="9"/>
  <c r="D4631" i="9"/>
  <c r="D4632" i="9"/>
  <c r="D4633" i="9"/>
  <c r="D4634" i="9"/>
  <c r="D4635" i="9"/>
  <c r="D4636" i="9"/>
  <c r="D4637" i="9"/>
  <c r="D4638" i="9"/>
  <c r="D4639" i="9"/>
  <c r="D4640" i="9"/>
  <c r="D4641" i="9"/>
  <c r="D4642" i="9"/>
  <c r="D4643" i="9"/>
  <c r="D4644" i="9"/>
  <c r="D4645" i="9"/>
  <c r="D4646" i="9"/>
  <c r="D4647" i="9"/>
  <c r="D4648" i="9"/>
  <c r="D4649" i="9"/>
  <c r="D4650" i="9"/>
  <c r="D4651" i="9"/>
  <c r="D4652" i="9"/>
  <c r="D4653" i="9"/>
  <c r="D4654" i="9"/>
  <c r="D4655" i="9"/>
  <c r="D4656" i="9"/>
  <c r="D4657" i="9"/>
  <c r="D4658" i="9"/>
  <c r="D4659" i="9"/>
  <c r="D4660" i="9"/>
  <c r="D4661" i="9"/>
  <c r="D4662" i="9"/>
  <c r="D4663" i="9"/>
  <c r="D4664" i="9"/>
  <c r="D4665" i="9"/>
  <c r="D4666" i="9"/>
  <c r="D4667" i="9"/>
  <c r="D4668" i="9"/>
  <c r="D4669" i="9"/>
  <c r="D4670" i="9"/>
  <c r="D4671" i="9"/>
  <c r="D4672" i="9"/>
  <c r="D4673" i="9"/>
  <c r="D4674" i="9"/>
  <c r="D4675" i="9"/>
  <c r="D4676" i="9"/>
  <c r="D4677" i="9"/>
  <c r="D4678" i="9"/>
  <c r="D4679" i="9"/>
  <c r="D4680" i="9"/>
  <c r="D4681" i="9"/>
  <c r="D4682" i="9"/>
  <c r="D4683" i="9"/>
  <c r="D4684" i="9"/>
  <c r="D4685" i="9"/>
  <c r="D4686" i="9"/>
  <c r="D4687" i="9"/>
  <c r="D4688" i="9"/>
  <c r="D4689" i="9"/>
  <c r="D4690" i="9"/>
  <c r="D4691" i="9"/>
  <c r="D4692" i="9"/>
  <c r="D4693" i="9"/>
  <c r="D4694" i="9"/>
  <c r="D4695" i="9"/>
  <c r="D4696" i="9"/>
  <c r="D4697" i="9"/>
  <c r="D4698" i="9"/>
  <c r="D4699" i="9"/>
  <c r="D4700" i="9"/>
  <c r="D4701" i="9"/>
  <c r="D4702" i="9"/>
  <c r="D4703" i="9"/>
  <c r="D4704" i="9"/>
  <c r="D4705" i="9"/>
  <c r="D4706" i="9"/>
  <c r="D4707" i="9"/>
  <c r="D4708" i="9"/>
  <c r="D4709" i="9"/>
  <c r="D4710" i="9"/>
  <c r="D4711" i="9"/>
  <c r="D4712" i="9"/>
  <c r="D4713" i="9"/>
  <c r="D4714" i="9"/>
  <c r="D4715" i="9"/>
  <c r="D4716" i="9"/>
  <c r="D4717" i="9"/>
  <c r="D4718" i="9"/>
  <c r="D4719" i="9"/>
  <c r="D4720" i="9"/>
  <c r="D4721" i="9"/>
  <c r="D4722" i="9"/>
  <c r="D4723" i="9"/>
  <c r="D4724" i="9"/>
  <c r="D4725" i="9"/>
  <c r="D4726" i="9"/>
  <c r="D4727" i="9"/>
  <c r="D4728" i="9"/>
  <c r="D4729" i="9"/>
  <c r="D4730" i="9"/>
  <c r="D4731" i="9"/>
  <c r="D4732" i="9"/>
  <c r="D4733" i="9"/>
  <c r="D4734" i="9"/>
  <c r="D4735" i="9"/>
  <c r="D4736" i="9"/>
  <c r="D4737" i="9"/>
  <c r="D4738" i="9"/>
  <c r="D4739" i="9"/>
  <c r="D4740" i="9"/>
  <c r="D4741" i="9"/>
  <c r="D4742" i="9"/>
  <c r="D4743" i="9"/>
  <c r="D4744" i="9"/>
  <c r="D4745" i="9"/>
  <c r="D4746" i="9"/>
  <c r="D4747" i="9"/>
  <c r="D4748" i="9"/>
  <c r="D4749" i="9"/>
  <c r="D4750" i="9"/>
  <c r="D4751" i="9"/>
  <c r="D4752" i="9"/>
  <c r="D4753" i="9"/>
  <c r="D4754" i="9"/>
  <c r="D4755" i="9"/>
  <c r="D4756" i="9"/>
  <c r="D4757" i="9"/>
  <c r="D4758" i="9"/>
  <c r="D4759" i="9"/>
  <c r="D4760" i="9"/>
  <c r="D4761" i="9"/>
  <c r="D4762" i="9"/>
  <c r="D4763" i="9"/>
  <c r="D4764" i="9"/>
  <c r="D4765" i="9"/>
  <c r="D4766" i="9"/>
  <c r="D4767" i="9"/>
  <c r="D4768" i="9"/>
  <c r="D4769" i="9"/>
  <c r="D4770" i="9"/>
  <c r="D4771" i="9"/>
  <c r="D4772" i="9"/>
  <c r="D4773" i="9"/>
  <c r="D4774" i="9"/>
  <c r="D4775" i="9"/>
  <c r="D4776" i="9"/>
  <c r="D4777" i="9"/>
  <c r="D4778" i="9"/>
  <c r="D4779" i="9"/>
  <c r="D4780" i="9"/>
  <c r="D4781" i="9"/>
  <c r="D4782" i="9"/>
  <c r="D4783" i="9"/>
  <c r="D4784" i="9"/>
  <c r="D4785" i="9"/>
  <c r="D4786" i="9"/>
  <c r="D4787" i="9"/>
  <c r="D4788" i="9"/>
  <c r="D4789" i="9"/>
  <c r="D4790" i="9"/>
  <c r="D4791" i="9"/>
  <c r="D4792" i="9"/>
  <c r="D4793" i="9"/>
  <c r="D4794" i="9"/>
  <c r="D4795" i="9"/>
  <c r="D4796" i="9"/>
  <c r="D4797" i="9"/>
  <c r="D4798" i="9"/>
  <c r="D4799" i="9"/>
  <c r="D4800" i="9"/>
  <c r="D4801" i="9"/>
  <c r="D4802" i="9"/>
  <c r="D4803" i="9"/>
  <c r="D4804" i="9"/>
  <c r="D4805" i="9"/>
  <c r="D4806" i="9"/>
  <c r="D4807" i="9"/>
  <c r="D4808" i="9"/>
  <c r="D4809" i="9"/>
  <c r="D4810" i="9"/>
  <c r="D4811" i="9"/>
  <c r="D4812" i="9"/>
  <c r="D4813" i="9"/>
  <c r="D4814" i="9"/>
  <c r="D4815" i="9"/>
  <c r="D4816" i="9"/>
  <c r="D4817" i="9"/>
  <c r="D4818" i="9"/>
  <c r="D4819" i="9"/>
  <c r="D4820" i="9"/>
  <c r="D4821" i="9"/>
  <c r="D4822" i="9"/>
  <c r="D4823" i="9"/>
  <c r="D4824" i="9"/>
  <c r="D4825" i="9"/>
  <c r="D4826" i="9"/>
  <c r="D4827" i="9"/>
  <c r="D4828" i="9"/>
  <c r="D4829" i="9"/>
  <c r="D4830" i="9"/>
  <c r="D4831" i="9"/>
  <c r="D4832" i="9"/>
  <c r="D4833" i="9"/>
  <c r="D4834" i="9"/>
  <c r="D4835" i="9"/>
  <c r="D4836" i="9"/>
  <c r="D4837" i="9"/>
  <c r="D4838" i="9"/>
  <c r="D4839" i="9"/>
  <c r="D4840" i="9"/>
  <c r="D4841" i="9"/>
  <c r="D4842" i="9"/>
  <c r="D4843" i="9"/>
  <c r="D4844" i="9"/>
  <c r="D4845" i="9"/>
  <c r="D4846" i="9"/>
  <c r="D4847" i="9"/>
  <c r="D4848" i="9"/>
  <c r="D4849" i="9"/>
  <c r="D4850" i="9"/>
  <c r="D4851" i="9"/>
  <c r="D4852" i="9"/>
  <c r="D4853" i="9"/>
  <c r="D4854" i="9"/>
  <c r="D4855" i="9"/>
  <c r="D4856" i="9"/>
  <c r="D4857" i="9"/>
  <c r="D4858" i="9"/>
  <c r="D4859" i="9"/>
  <c r="D4860" i="9"/>
  <c r="D4861" i="9"/>
  <c r="D4862" i="9"/>
  <c r="D4863" i="9"/>
  <c r="D4864" i="9"/>
  <c r="D4865" i="9"/>
  <c r="D4866" i="9"/>
  <c r="D4867" i="9"/>
  <c r="D4868" i="9"/>
  <c r="D4869" i="9"/>
  <c r="D4870" i="9"/>
  <c r="D4871" i="9"/>
  <c r="D4872" i="9"/>
  <c r="D4873" i="9"/>
  <c r="D4874" i="9"/>
  <c r="D4875" i="9"/>
  <c r="D4876" i="9"/>
  <c r="D4877" i="9"/>
  <c r="D4878" i="9"/>
  <c r="D4879" i="9"/>
  <c r="D4880" i="9"/>
  <c r="D4881" i="9"/>
  <c r="D4882" i="9"/>
  <c r="D4883" i="9"/>
  <c r="D4884" i="9"/>
  <c r="D4885" i="9"/>
  <c r="D4886" i="9"/>
  <c r="D4887" i="9"/>
  <c r="D4888" i="9"/>
  <c r="D4889" i="9"/>
  <c r="D4890" i="9"/>
  <c r="D4891" i="9"/>
  <c r="D4892" i="9"/>
  <c r="D4893" i="9"/>
  <c r="D4894" i="9"/>
  <c r="D4895" i="9"/>
  <c r="D4896" i="9"/>
  <c r="D4897" i="9"/>
  <c r="D4898" i="9"/>
  <c r="D4899" i="9"/>
  <c r="D4900" i="9"/>
  <c r="D4901" i="9"/>
  <c r="D4902" i="9"/>
  <c r="D4903" i="9"/>
  <c r="D4904" i="9"/>
  <c r="D4905" i="9"/>
  <c r="D4906" i="9"/>
  <c r="D4907" i="9"/>
  <c r="D4908" i="9"/>
  <c r="D4909" i="9"/>
  <c r="D4910" i="9"/>
  <c r="D4911" i="9"/>
  <c r="D4912" i="9"/>
  <c r="D4913" i="9"/>
  <c r="D4914" i="9"/>
  <c r="D4915" i="9"/>
  <c r="D4916" i="9"/>
  <c r="D4917" i="9"/>
  <c r="D4918" i="9"/>
  <c r="D4919" i="9"/>
  <c r="D4920" i="9"/>
  <c r="D4921" i="9"/>
  <c r="D4922" i="9"/>
  <c r="D4923" i="9"/>
  <c r="D4924" i="9"/>
  <c r="D4925" i="9"/>
  <c r="D4926" i="9"/>
  <c r="D4927" i="9"/>
  <c r="D4928" i="9"/>
  <c r="D4929" i="9"/>
  <c r="D4930" i="9"/>
  <c r="D4931" i="9"/>
  <c r="D4932" i="9"/>
  <c r="D4933" i="9"/>
  <c r="D4934" i="9"/>
  <c r="D4935" i="9"/>
  <c r="D4936" i="9"/>
  <c r="D4937" i="9"/>
  <c r="D4938" i="9"/>
  <c r="D4939" i="9"/>
  <c r="D4940" i="9"/>
  <c r="D4941" i="9"/>
  <c r="D4942" i="9"/>
  <c r="D4943" i="9"/>
  <c r="D4944" i="9"/>
  <c r="D4945" i="9"/>
  <c r="D4946" i="9"/>
  <c r="D4947" i="9"/>
  <c r="D4948" i="9"/>
  <c r="D4949" i="9"/>
  <c r="D4950" i="9"/>
  <c r="D4951" i="9"/>
  <c r="D4952" i="9"/>
  <c r="D4953" i="9"/>
  <c r="D4954" i="9"/>
  <c r="D4955" i="9"/>
  <c r="D4956" i="9"/>
  <c r="D4957" i="9"/>
  <c r="D4958" i="9"/>
  <c r="D4959" i="9"/>
  <c r="D4960" i="9"/>
  <c r="D4961" i="9"/>
  <c r="D4962" i="9"/>
  <c r="D4963" i="9"/>
  <c r="D4964" i="9"/>
  <c r="D4965" i="9"/>
  <c r="D4966" i="9"/>
  <c r="D4967" i="9"/>
  <c r="D4968" i="9"/>
  <c r="D4969" i="9"/>
  <c r="D4970" i="9"/>
  <c r="D4971" i="9"/>
  <c r="D4972" i="9"/>
  <c r="D4973" i="9"/>
  <c r="D4974" i="9"/>
  <c r="D4975" i="9"/>
  <c r="D4976" i="9"/>
  <c r="D4977" i="9"/>
  <c r="D4978" i="9"/>
  <c r="D4979" i="9"/>
  <c r="D4980" i="9"/>
  <c r="D4981" i="9"/>
  <c r="D4982" i="9"/>
  <c r="D4983" i="9"/>
  <c r="D4984" i="9"/>
  <c r="D4985" i="9"/>
  <c r="D4986" i="9"/>
  <c r="D4987" i="9"/>
  <c r="D4988" i="9"/>
  <c r="D4989" i="9"/>
  <c r="D4990" i="9"/>
  <c r="D4991" i="9"/>
  <c r="D4992" i="9"/>
  <c r="D4993" i="9"/>
  <c r="D4994" i="9"/>
  <c r="D4995" i="9"/>
  <c r="D4996" i="9"/>
  <c r="D4997" i="9"/>
  <c r="D4998" i="9"/>
  <c r="D4999" i="9"/>
  <c r="D5000" i="9"/>
  <c r="D5001" i="9"/>
  <c r="D5002" i="9"/>
  <c r="D5003" i="9"/>
  <c r="D5004" i="9"/>
  <c r="D5005" i="9"/>
  <c r="D5006" i="9"/>
  <c r="D5007" i="9"/>
  <c r="D5008" i="9"/>
  <c r="D5009" i="9"/>
  <c r="D5010" i="9"/>
  <c r="D5011" i="9"/>
  <c r="D5012" i="9"/>
  <c r="D5013" i="9"/>
  <c r="D5014" i="9"/>
  <c r="D5015" i="9"/>
  <c r="D5016" i="9"/>
  <c r="D5017" i="9"/>
  <c r="D5018" i="9"/>
  <c r="D5019" i="9"/>
  <c r="D5020" i="9"/>
  <c r="D5021" i="9"/>
  <c r="D5022" i="9"/>
  <c r="D5023" i="9"/>
  <c r="D5024" i="9"/>
  <c r="D5025" i="9"/>
  <c r="D5026" i="9"/>
  <c r="D5027" i="9"/>
  <c r="D5028" i="9"/>
  <c r="D5029" i="9"/>
  <c r="D5030" i="9"/>
  <c r="D5031" i="9"/>
  <c r="D5032" i="9"/>
  <c r="D5033" i="9"/>
  <c r="D5034" i="9"/>
  <c r="D5035" i="9"/>
  <c r="D5036" i="9"/>
  <c r="D5037" i="9"/>
  <c r="D5038" i="9"/>
  <c r="D5039" i="9"/>
  <c r="D5040" i="9"/>
  <c r="D5041" i="9"/>
  <c r="D5042" i="9"/>
  <c r="D5043" i="9"/>
  <c r="D5044" i="9"/>
  <c r="D5045" i="9"/>
  <c r="D5046" i="9"/>
  <c r="D5047" i="9"/>
  <c r="D5048" i="9"/>
  <c r="D5049" i="9"/>
  <c r="D5050" i="9"/>
  <c r="D5051" i="9"/>
  <c r="D5052" i="9"/>
  <c r="D5053" i="9"/>
  <c r="D5054" i="9"/>
  <c r="D5055" i="9"/>
  <c r="D5056" i="9"/>
  <c r="D5057" i="9"/>
  <c r="D5058" i="9"/>
  <c r="D5059" i="9"/>
  <c r="D5060" i="9"/>
  <c r="D5061" i="9"/>
  <c r="D5062" i="9"/>
  <c r="D5063" i="9"/>
  <c r="D5064" i="9"/>
  <c r="D5065" i="9"/>
  <c r="D5066" i="9"/>
  <c r="D5067" i="9"/>
  <c r="D5068" i="9"/>
  <c r="D5069" i="9"/>
  <c r="D5070" i="9"/>
  <c r="D5071" i="9"/>
  <c r="D5072" i="9"/>
  <c r="D5073" i="9"/>
  <c r="D5074" i="9"/>
  <c r="D5075" i="9"/>
  <c r="D5076" i="9"/>
  <c r="D5077" i="9"/>
  <c r="D5078" i="9"/>
  <c r="D5079" i="9"/>
  <c r="D5080" i="9"/>
  <c r="D5081" i="9"/>
  <c r="D5082" i="9"/>
  <c r="D5083" i="9"/>
  <c r="D5084" i="9"/>
  <c r="D5085" i="9"/>
  <c r="D5086" i="9"/>
  <c r="D5087" i="9"/>
  <c r="D5088" i="9"/>
  <c r="D5089" i="9"/>
  <c r="D5090" i="9"/>
  <c r="D5091" i="9"/>
  <c r="D5092" i="9"/>
  <c r="D5093" i="9"/>
  <c r="D5094" i="9"/>
  <c r="D5095" i="9"/>
  <c r="D5096" i="9"/>
  <c r="D5097" i="9"/>
  <c r="D5098" i="9"/>
  <c r="D5099" i="9"/>
  <c r="D5100" i="9"/>
  <c r="D5101" i="9"/>
  <c r="D5102" i="9"/>
  <c r="D5103" i="9"/>
  <c r="D5104" i="9"/>
  <c r="D5105" i="9"/>
  <c r="D5106" i="9"/>
  <c r="D5107" i="9"/>
  <c r="D5108" i="9"/>
  <c r="D5109" i="9"/>
  <c r="D5110" i="9"/>
  <c r="D5111" i="9"/>
  <c r="D5112" i="9"/>
  <c r="D5113" i="9"/>
  <c r="D5114" i="9"/>
  <c r="D5115" i="9"/>
  <c r="D5116" i="9"/>
  <c r="D5117" i="9"/>
  <c r="D5118" i="9"/>
  <c r="D5119" i="9"/>
  <c r="D5120" i="9"/>
  <c r="D5121" i="9"/>
  <c r="D5122" i="9"/>
  <c r="D5123" i="9"/>
  <c r="D5124" i="9"/>
  <c r="D5125" i="9"/>
  <c r="D5126" i="9"/>
  <c r="D5127" i="9"/>
  <c r="D5128" i="9"/>
  <c r="D5129" i="9"/>
  <c r="D5130" i="9"/>
  <c r="D5131" i="9"/>
  <c r="D5132" i="9"/>
  <c r="D5133" i="9"/>
  <c r="D5134" i="9"/>
  <c r="D5135" i="9"/>
  <c r="D5136" i="9"/>
  <c r="D5137" i="9"/>
  <c r="D5138" i="9"/>
  <c r="D5139" i="9"/>
  <c r="D5140" i="9"/>
  <c r="D5141" i="9"/>
  <c r="D5142" i="9"/>
  <c r="D5143" i="9"/>
  <c r="D5144" i="9"/>
  <c r="D5145" i="9"/>
  <c r="D5146" i="9"/>
  <c r="D5147" i="9"/>
  <c r="D5148" i="9"/>
  <c r="D5149" i="9"/>
  <c r="D5150" i="9"/>
  <c r="D5151" i="9"/>
  <c r="D5152" i="9"/>
  <c r="D5153" i="9"/>
  <c r="D5154" i="9"/>
  <c r="D5155" i="9"/>
  <c r="D5156" i="9"/>
  <c r="D5157" i="9"/>
  <c r="D5158" i="9"/>
  <c r="D5159" i="9"/>
  <c r="D5160" i="9"/>
  <c r="D5161" i="9"/>
  <c r="D5162" i="9"/>
  <c r="D5163" i="9"/>
  <c r="D5164" i="9"/>
  <c r="D5165" i="9"/>
  <c r="D5166" i="9"/>
  <c r="D5167" i="9"/>
  <c r="D5168" i="9"/>
  <c r="D5169" i="9"/>
  <c r="D5170" i="9"/>
  <c r="D5171" i="9"/>
  <c r="D5172" i="9"/>
  <c r="D5173" i="9"/>
  <c r="D5174" i="9"/>
  <c r="D5175" i="9"/>
  <c r="D5176" i="9"/>
  <c r="D5177" i="9"/>
  <c r="D5178" i="9"/>
  <c r="D5179" i="9"/>
  <c r="D5180" i="9"/>
  <c r="D5181" i="9"/>
  <c r="D5182" i="9"/>
  <c r="D5183" i="9"/>
  <c r="D5184" i="9"/>
  <c r="D5185" i="9"/>
  <c r="D5186" i="9"/>
  <c r="D5187" i="9"/>
  <c r="D5188" i="9"/>
  <c r="D5189" i="9"/>
  <c r="D5190" i="9"/>
  <c r="D5191" i="9"/>
  <c r="D5192" i="9"/>
  <c r="D5193" i="9"/>
  <c r="D5194" i="9"/>
  <c r="D5195" i="9"/>
  <c r="D5196" i="9"/>
  <c r="D5197" i="9"/>
  <c r="D5198" i="9"/>
  <c r="D5199" i="9"/>
  <c r="D5200" i="9"/>
  <c r="D5201" i="9"/>
  <c r="D5202" i="9"/>
  <c r="D5203" i="9"/>
  <c r="D5204" i="9"/>
  <c r="D5205" i="9"/>
  <c r="D5206" i="9"/>
  <c r="D5207" i="9"/>
  <c r="D5208" i="9"/>
  <c r="D5209" i="9"/>
  <c r="D5210" i="9"/>
  <c r="D5211" i="9"/>
  <c r="D5212" i="9"/>
  <c r="D5213" i="9"/>
  <c r="D5214" i="9"/>
  <c r="D5215" i="9"/>
  <c r="D5216" i="9"/>
  <c r="D5217" i="9"/>
  <c r="D5218" i="9"/>
  <c r="D5219" i="9"/>
  <c r="D5220" i="9"/>
  <c r="D5221" i="9"/>
  <c r="D5222" i="9"/>
  <c r="D5223" i="9"/>
  <c r="D5224" i="9"/>
  <c r="D5225" i="9"/>
  <c r="D5226" i="9"/>
  <c r="D5227" i="9"/>
  <c r="D5228" i="9"/>
  <c r="D5229" i="9"/>
  <c r="D5230" i="9"/>
  <c r="D5231" i="9"/>
  <c r="D5232" i="9"/>
  <c r="D5233" i="9"/>
  <c r="D5234" i="9"/>
  <c r="D5235" i="9"/>
  <c r="D5236" i="9"/>
  <c r="D5237" i="9"/>
  <c r="D5238" i="9"/>
  <c r="D5239" i="9"/>
  <c r="D5240" i="9"/>
  <c r="D5241" i="9"/>
  <c r="D5242" i="9"/>
  <c r="D5243" i="9"/>
  <c r="D5244" i="9"/>
  <c r="D5245" i="9"/>
  <c r="D5246" i="9"/>
  <c r="D5247" i="9"/>
  <c r="D5248" i="9"/>
  <c r="D5249" i="9"/>
  <c r="D5250" i="9"/>
  <c r="D5251" i="9"/>
  <c r="D5252" i="9"/>
  <c r="D5253" i="9"/>
  <c r="D5254" i="9"/>
  <c r="D5255" i="9"/>
  <c r="D5256" i="9"/>
  <c r="D5257" i="9"/>
  <c r="D5258" i="9"/>
  <c r="D5259" i="9"/>
  <c r="D5260" i="9"/>
  <c r="D5261" i="9"/>
  <c r="D5262" i="9"/>
  <c r="D5263" i="9"/>
  <c r="D5264" i="9"/>
  <c r="D5265" i="9"/>
  <c r="D5266" i="9"/>
  <c r="D5267" i="9"/>
  <c r="D5268" i="9"/>
  <c r="D5269" i="9"/>
  <c r="D5270" i="9"/>
  <c r="D5271" i="9"/>
  <c r="D5272" i="9"/>
  <c r="D5273" i="9"/>
  <c r="D5274" i="9"/>
  <c r="D5275" i="9"/>
  <c r="D5276" i="9"/>
  <c r="D5277" i="9"/>
  <c r="D5278" i="9"/>
  <c r="D5279" i="9"/>
  <c r="D5280" i="9"/>
  <c r="D5281" i="9"/>
  <c r="D5282" i="9"/>
  <c r="D5283" i="9"/>
  <c r="D5284" i="9"/>
  <c r="D5285" i="9"/>
  <c r="D5286" i="9"/>
  <c r="D5287" i="9"/>
  <c r="D5288" i="9"/>
  <c r="D5289" i="9"/>
  <c r="D5290" i="9"/>
  <c r="D5291" i="9"/>
  <c r="D5292" i="9"/>
  <c r="D5293" i="9"/>
  <c r="D5294" i="9"/>
  <c r="D5295" i="9"/>
  <c r="D5296" i="9"/>
  <c r="D5297" i="9"/>
  <c r="D5298" i="9"/>
  <c r="D5299" i="9"/>
  <c r="D5300" i="9"/>
  <c r="D5301" i="9"/>
  <c r="D5302" i="9"/>
  <c r="D5303" i="9"/>
  <c r="D5304" i="9"/>
  <c r="D5305" i="9"/>
  <c r="D5306" i="9"/>
  <c r="D5307" i="9"/>
  <c r="D5308" i="9"/>
  <c r="D5309" i="9"/>
  <c r="D5310" i="9"/>
  <c r="D5311" i="9"/>
  <c r="D5312" i="9"/>
  <c r="D5313" i="9"/>
  <c r="D5314" i="9"/>
  <c r="D5315" i="9"/>
  <c r="D5316" i="9"/>
  <c r="D5317" i="9"/>
  <c r="D5318" i="9"/>
  <c r="D5319" i="9"/>
  <c r="D5320" i="9"/>
  <c r="D5321" i="9"/>
  <c r="D5322" i="9"/>
  <c r="D5323" i="9"/>
  <c r="D5324" i="9"/>
  <c r="D5325" i="9"/>
  <c r="D5326" i="9"/>
  <c r="D5327" i="9"/>
  <c r="D5328" i="9"/>
  <c r="D5329" i="9"/>
  <c r="D5330" i="9"/>
  <c r="D5331" i="9"/>
  <c r="D5332" i="9"/>
  <c r="D5333" i="9"/>
  <c r="D5334" i="9"/>
  <c r="D5335" i="9"/>
  <c r="D5336" i="9"/>
  <c r="D5337" i="9"/>
  <c r="D5338" i="9"/>
  <c r="D5339" i="9"/>
  <c r="D5340" i="9"/>
  <c r="D5341" i="9"/>
  <c r="D5342" i="9"/>
  <c r="D5343" i="9"/>
  <c r="D5344" i="9"/>
  <c r="D5345" i="9"/>
  <c r="D5346" i="9"/>
  <c r="D5347" i="9"/>
  <c r="D5348" i="9"/>
  <c r="D5349" i="9"/>
  <c r="D5350" i="9"/>
  <c r="D5351" i="9"/>
  <c r="D5352" i="9"/>
  <c r="D5353" i="9"/>
  <c r="D5354" i="9"/>
  <c r="D5355" i="9"/>
  <c r="D5356" i="9"/>
  <c r="D5357" i="9"/>
  <c r="D5358" i="9"/>
  <c r="D5359" i="9"/>
  <c r="D5360" i="9"/>
  <c r="D5361" i="9"/>
  <c r="D5362" i="9"/>
  <c r="D5363" i="9"/>
  <c r="D5364" i="9"/>
  <c r="D5365" i="9"/>
  <c r="D5366" i="9"/>
  <c r="D5367" i="9"/>
  <c r="D5368" i="9"/>
  <c r="D5369" i="9"/>
  <c r="D5370" i="9"/>
  <c r="D5371" i="9"/>
  <c r="D5372" i="9"/>
  <c r="D5373" i="9"/>
  <c r="D5374" i="9"/>
  <c r="D5375" i="9"/>
  <c r="D5376" i="9"/>
  <c r="D5377" i="9"/>
  <c r="D5378" i="9"/>
  <c r="D5379" i="9"/>
  <c r="D5380" i="9"/>
  <c r="D5381" i="9"/>
  <c r="D5382" i="9"/>
  <c r="D5383" i="9"/>
  <c r="D5384" i="9"/>
  <c r="D5385" i="9"/>
  <c r="D5386" i="9"/>
  <c r="D5387" i="9"/>
  <c r="D5388" i="9"/>
  <c r="D5389" i="9"/>
  <c r="D5390" i="9"/>
  <c r="D5391" i="9"/>
  <c r="D5392" i="9"/>
  <c r="D5393" i="9"/>
  <c r="D5394" i="9"/>
  <c r="D5395" i="9"/>
  <c r="D5396" i="9"/>
  <c r="D5397" i="9"/>
  <c r="D5398" i="9"/>
  <c r="D5399" i="9"/>
  <c r="D5400" i="9"/>
  <c r="D5401" i="9"/>
  <c r="D5402" i="9"/>
  <c r="D5403" i="9"/>
  <c r="D5404" i="9"/>
  <c r="D5405" i="9"/>
  <c r="D5406" i="9"/>
  <c r="D5407" i="9"/>
  <c r="D5408" i="9"/>
  <c r="D5409" i="9"/>
  <c r="D5410" i="9"/>
  <c r="D5411" i="9"/>
  <c r="D5412" i="9"/>
  <c r="D5413" i="9"/>
  <c r="D5414" i="9"/>
  <c r="D5415" i="9"/>
  <c r="D5416" i="9"/>
  <c r="D5417" i="9"/>
  <c r="D5418" i="9"/>
  <c r="D5419" i="9"/>
  <c r="D5420" i="9"/>
  <c r="D5421" i="9"/>
  <c r="D5422" i="9"/>
  <c r="D5423" i="9"/>
  <c r="D5424" i="9"/>
  <c r="D5425" i="9"/>
  <c r="D5426" i="9"/>
  <c r="D5427" i="9"/>
  <c r="D5428" i="9"/>
  <c r="D5429" i="9"/>
  <c r="D5430" i="9"/>
  <c r="D5431" i="9"/>
  <c r="D5432" i="9"/>
  <c r="D5433" i="9"/>
  <c r="D5434" i="9"/>
  <c r="D5435" i="9"/>
  <c r="D5436" i="9"/>
  <c r="D5437" i="9"/>
  <c r="D5438" i="9"/>
  <c r="D5439" i="9"/>
  <c r="D5440" i="9"/>
  <c r="D5441" i="9"/>
  <c r="D5442" i="9"/>
  <c r="D5443" i="9"/>
  <c r="D5444" i="9"/>
  <c r="D5445" i="9"/>
  <c r="D5446" i="9"/>
  <c r="D5447" i="9"/>
  <c r="D5448" i="9"/>
  <c r="D5449" i="9"/>
  <c r="D5450" i="9"/>
  <c r="D5451" i="9"/>
  <c r="D5452" i="9"/>
  <c r="D5453" i="9"/>
  <c r="D5454" i="9"/>
  <c r="D5455" i="9"/>
  <c r="D5456" i="9"/>
  <c r="D5457" i="9"/>
  <c r="D5458" i="9"/>
  <c r="D5459" i="9"/>
  <c r="D5460" i="9"/>
  <c r="D5461" i="9"/>
  <c r="D5462" i="9"/>
  <c r="D5463" i="9"/>
  <c r="D5464" i="9"/>
  <c r="D5465" i="9"/>
  <c r="D5466" i="9"/>
  <c r="D5467" i="9"/>
  <c r="D5468" i="9"/>
  <c r="D5469" i="9"/>
  <c r="D5470" i="9"/>
  <c r="D5471" i="9"/>
  <c r="D5472" i="9"/>
  <c r="D5473" i="9"/>
  <c r="D5474" i="9"/>
  <c r="D5475" i="9"/>
  <c r="D5476" i="9"/>
  <c r="D5477" i="9"/>
  <c r="D5478" i="9"/>
  <c r="D5479" i="9"/>
  <c r="D5480" i="9"/>
  <c r="D5481" i="9"/>
  <c r="D5482" i="9"/>
  <c r="D5483" i="9"/>
  <c r="D5484" i="9"/>
  <c r="D5485" i="9"/>
  <c r="D5486" i="9"/>
  <c r="D5487" i="9"/>
  <c r="D5488" i="9"/>
  <c r="D5489" i="9"/>
  <c r="D5490" i="9"/>
  <c r="D5491" i="9"/>
  <c r="D5492" i="9"/>
  <c r="D5493" i="9"/>
  <c r="D5494" i="9"/>
  <c r="D5495" i="9"/>
  <c r="D5496" i="9"/>
  <c r="D5497" i="9"/>
  <c r="D5498" i="9"/>
  <c r="D5499" i="9"/>
  <c r="D5500" i="9"/>
  <c r="D5501" i="9"/>
  <c r="D5502" i="9"/>
  <c r="D5503" i="9"/>
  <c r="D5504" i="9"/>
  <c r="D5505" i="9"/>
  <c r="D5506" i="9"/>
  <c r="D5507" i="9"/>
  <c r="D5508" i="9"/>
  <c r="D5509" i="9"/>
  <c r="D5510" i="9"/>
  <c r="D5511" i="9"/>
  <c r="D5512" i="9"/>
  <c r="D5513" i="9"/>
  <c r="D5514" i="9"/>
  <c r="D5515" i="9"/>
  <c r="D5516" i="9"/>
  <c r="D5517" i="9"/>
  <c r="D5518" i="9"/>
  <c r="D5519" i="9"/>
  <c r="D5520" i="9"/>
  <c r="D5521" i="9"/>
  <c r="D5522" i="9"/>
  <c r="D5523" i="9"/>
  <c r="D5524" i="9"/>
  <c r="D5525" i="9"/>
  <c r="D5526" i="9"/>
  <c r="D5527" i="9"/>
  <c r="D5528" i="9"/>
  <c r="D5529" i="9"/>
  <c r="D5530" i="9"/>
  <c r="D5531" i="9"/>
  <c r="D5532" i="9"/>
  <c r="D5533" i="9"/>
  <c r="D5534" i="9"/>
  <c r="D5535" i="9"/>
  <c r="D5536" i="9"/>
  <c r="D5537" i="9"/>
  <c r="D5538" i="9"/>
  <c r="D5539" i="9"/>
  <c r="D5540" i="9"/>
  <c r="D5541" i="9"/>
  <c r="D5542" i="9"/>
  <c r="D5543" i="9"/>
  <c r="D5544" i="9"/>
  <c r="D5545" i="9"/>
  <c r="D5546" i="9"/>
  <c r="D5547" i="9"/>
  <c r="D5548" i="9"/>
  <c r="D5549" i="9"/>
  <c r="D5550" i="9"/>
  <c r="D5551" i="9"/>
  <c r="D5552" i="9"/>
  <c r="D5553" i="9"/>
  <c r="D5554" i="9"/>
  <c r="D5555" i="9"/>
  <c r="D5556" i="9"/>
  <c r="D5557" i="9"/>
  <c r="D5558" i="9"/>
  <c r="D5559" i="9"/>
  <c r="D5560" i="9"/>
  <c r="D5561" i="9"/>
  <c r="D5562" i="9"/>
  <c r="D5563" i="9"/>
  <c r="D5564" i="9"/>
  <c r="D5565" i="9"/>
  <c r="D5566" i="9"/>
  <c r="D5567" i="9"/>
  <c r="D5568" i="9"/>
  <c r="D5569" i="9"/>
  <c r="D5570" i="9"/>
  <c r="D5571" i="9"/>
  <c r="D5572" i="9"/>
  <c r="D5573" i="9"/>
  <c r="D5574" i="9"/>
  <c r="D5575" i="9"/>
  <c r="D5576" i="9"/>
  <c r="D5577" i="9"/>
  <c r="D5578" i="9"/>
  <c r="D5579" i="9"/>
  <c r="D5580" i="9"/>
  <c r="D5581" i="9"/>
  <c r="D5582" i="9"/>
  <c r="D5583" i="9"/>
  <c r="D5584" i="9"/>
  <c r="D5585" i="9"/>
  <c r="D5586" i="9"/>
  <c r="D5587" i="9"/>
  <c r="D5588" i="9"/>
  <c r="D5589" i="9"/>
  <c r="D5590" i="9"/>
  <c r="D5591" i="9"/>
  <c r="D5592" i="9"/>
  <c r="D5593" i="9"/>
  <c r="D5594" i="9"/>
  <c r="D5595" i="9"/>
  <c r="D5596" i="9"/>
  <c r="D5597" i="9"/>
  <c r="D5598" i="9"/>
  <c r="D5599" i="9"/>
  <c r="D5600" i="9"/>
  <c r="D5601" i="9"/>
  <c r="D5602" i="9"/>
  <c r="D5603" i="9"/>
  <c r="D5604" i="9"/>
  <c r="D5605" i="9"/>
  <c r="D5606" i="9"/>
  <c r="D5607" i="9"/>
  <c r="D5608" i="9"/>
  <c r="D5609" i="9"/>
  <c r="D5610" i="9"/>
  <c r="D5611" i="9"/>
  <c r="D5612" i="9"/>
  <c r="D5613" i="9"/>
  <c r="D5614" i="9"/>
  <c r="D5615" i="9"/>
  <c r="D5616" i="9"/>
  <c r="D5617" i="9"/>
  <c r="D5618" i="9"/>
  <c r="D5619" i="9"/>
  <c r="D5620" i="9"/>
  <c r="D5621" i="9"/>
  <c r="D5622" i="9"/>
  <c r="D5623" i="9"/>
  <c r="D5624" i="9"/>
  <c r="D5625" i="9"/>
  <c r="D5626" i="9"/>
  <c r="D5627" i="9"/>
  <c r="D5628" i="9"/>
  <c r="D5629" i="9"/>
  <c r="D5630" i="9"/>
  <c r="D5631" i="9"/>
  <c r="D5632" i="9"/>
  <c r="D5633" i="9"/>
  <c r="D5634" i="9"/>
  <c r="D5635" i="9"/>
  <c r="D5636" i="9"/>
  <c r="D5637" i="9"/>
  <c r="D5638" i="9"/>
  <c r="D5639" i="9"/>
  <c r="D5640" i="9"/>
  <c r="D5641" i="9"/>
  <c r="D5642" i="9"/>
  <c r="D5643" i="9"/>
  <c r="D5644" i="9"/>
  <c r="D5645" i="9"/>
  <c r="D5646" i="9"/>
  <c r="D5647" i="9"/>
  <c r="D5648" i="9"/>
  <c r="D5649" i="9"/>
  <c r="D5650" i="9"/>
  <c r="D5651" i="9"/>
  <c r="D5652" i="9"/>
  <c r="D5653" i="9"/>
  <c r="D5654" i="9"/>
  <c r="D5655" i="9"/>
  <c r="D5656" i="9"/>
  <c r="D5657" i="9"/>
  <c r="D5658" i="9"/>
  <c r="D5659" i="9"/>
  <c r="D5660" i="9"/>
  <c r="D5661" i="9"/>
  <c r="D5662" i="9"/>
  <c r="D5663" i="9"/>
  <c r="D5664" i="9"/>
  <c r="D5665" i="9"/>
  <c r="D5666" i="9"/>
  <c r="D5667" i="9"/>
  <c r="D5668" i="9"/>
  <c r="D5669" i="9"/>
  <c r="D5670" i="9"/>
  <c r="D5671" i="9"/>
  <c r="D5672" i="9"/>
  <c r="D5673" i="9"/>
  <c r="D5674" i="9"/>
  <c r="D5675" i="9"/>
  <c r="D5676" i="9"/>
  <c r="D5677" i="9"/>
  <c r="D5678" i="9"/>
  <c r="D5679" i="9"/>
  <c r="D5680" i="9"/>
  <c r="D5681" i="9"/>
  <c r="D5682" i="9"/>
  <c r="D5683" i="9"/>
  <c r="D5684" i="9"/>
  <c r="D5685" i="9"/>
  <c r="D5686" i="9"/>
  <c r="D5687" i="9"/>
  <c r="D5688" i="9"/>
  <c r="D5689" i="9"/>
  <c r="D5690" i="9"/>
  <c r="D5691" i="9"/>
  <c r="D5692" i="9"/>
  <c r="D5693" i="9"/>
  <c r="D5694" i="9"/>
  <c r="D5695" i="9"/>
  <c r="D5696" i="9"/>
  <c r="D5697" i="9"/>
  <c r="D5698" i="9"/>
  <c r="D5699" i="9"/>
  <c r="D5700" i="9"/>
  <c r="D5701" i="9"/>
  <c r="D5702" i="9"/>
  <c r="D5703" i="9"/>
  <c r="D5704" i="9"/>
  <c r="D5705" i="9"/>
  <c r="D5706" i="9"/>
  <c r="D5707" i="9"/>
  <c r="D5708" i="9"/>
  <c r="D5709" i="9"/>
  <c r="D5710" i="9"/>
  <c r="D5711" i="9"/>
  <c r="D5712" i="9"/>
  <c r="D5713" i="9"/>
  <c r="D5714" i="9"/>
  <c r="D5715" i="9"/>
  <c r="D5716" i="9"/>
  <c r="D5717" i="9"/>
  <c r="D5718" i="9"/>
  <c r="D5719" i="9"/>
  <c r="D5720" i="9"/>
  <c r="D5721" i="9"/>
  <c r="D5722" i="9"/>
  <c r="D5723" i="9"/>
  <c r="D5724" i="9"/>
  <c r="D5725" i="9"/>
  <c r="D5726" i="9"/>
  <c r="D5727" i="9"/>
  <c r="D5728" i="9"/>
  <c r="D5729" i="9"/>
  <c r="D5730" i="9"/>
  <c r="D5731" i="9"/>
  <c r="D5732" i="9"/>
  <c r="D5733" i="9"/>
  <c r="D5734" i="9"/>
  <c r="D5735" i="9"/>
  <c r="D5736" i="9"/>
  <c r="D5737" i="9"/>
  <c r="D5738" i="9"/>
  <c r="D5739" i="9"/>
  <c r="D5740" i="9"/>
  <c r="D5741" i="9"/>
  <c r="D5742" i="9"/>
  <c r="D5743" i="9"/>
  <c r="D5744" i="9"/>
  <c r="D5745" i="9"/>
  <c r="D5746" i="9"/>
  <c r="D5747" i="9"/>
  <c r="D5748" i="9"/>
  <c r="D5749" i="9"/>
  <c r="D5750" i="9"/>
  <c r="D5751" i="9"/>
  <c r="D5752" i="9"/>
  <c r="D5753" i="9"/>
  <c r="D5754" i="9"/>
  <c r="D5755" i="9"/>
  <c r="D5756" i="9"/>
  <c r="D5757" i="9"/>
  <c r="D5758" i="9"/>
  <c r="D5759" i="9"/>
  <c r="D5760" i="9"/>
  <c r="D5761" i="9"/>
  <c r="D5762" i="9"/>
  <c r="D5763" i="9"/>
  <c r="D5764" i="9"/>
  <c r="D5765" i="9"/>
  <c r="D5766" i="9"/>
  <c r="D5767" i="9"/>
  <c r="D5768" i="9"/>
  <c r="D5769" i="9"/>
  <c r="D5770" i="9"/>
  <c r="D5771" i="9"/>
  <c r="D5772" i="9"/>
  <c r="D5773" i="9"/>
  <c r="D5774" i="9"/>
  <c r="D5775" i="9"/>
  <c r="D5776" i="9"/>
  <c r="D5777" i="9"/>
  <c r="D5778" i="9"/>
  <c r="D5779" i="9"/>
  <c r="D5780" i="9"/>
  <c r="D5781" i="9"/>
  <c r="D5782" i="9"/>
  <c r="D5783" i="9"/>
  <c r="D5784" i="9"/>
  <c r="D5785" i="9"/>
  <c r="D5786" i="9"/>
  <c r="D5787" i="9"/>
  <c r="D5788" i="9"/>
  <c r="D5789" i="9"/>
  <c r="D5790" i="9"/>
  <c r="D5791" i="9"/>
  <c r="D5792" i="9"/>
  <c r="D5793" i="9"/>
  <c r="D5794" i="9"/>
  <c r="D5795" i="9"/>
  <c r="D5796" i="9"/>
  <c r="D5797" i="9"/>
  <c r="D5798" i="9"/>
  <c r="D5799" i="9"/>
  <c r="D5800" i="9"/>
  <c r="D5801" i="9"/>
  <c r="D5802" i="9"/>
  <c r="D5803" i="9"/>
  <c r="D5804" i="9"/>
  <c r="D5805" i="9"/>
  <c r="D5806" i="9"/>
  <c r="D5807" i="9"/>
  <c r="D5808" i="9"/>
  <c r="D5809" i="9"/>
  <c r="D5810" i="9"/>
  <c r="D5811" i="9"/>
  <c r="D5812" i="9"/>
  <c r="D5813" i="9"/>
  <c r="D5814" i="9"/>
  <c r="D5815" i="9"/>
  <c r="D5816" i="9"/>
  <c r="D5817" i="9"/>
  <c r="D5818" i="9"/>
  <c r="D5819" i="9"/>
  <c r="D5820" i="9"/>
  <c r="D5821" i="9"/>
  <c r="D5822" i="9"/>
  <c r="D5823" i="9"/>
  <c r="D5824" i="9"/>
  <c r="D5825" i="9"/>
  <c r="D5826" i="9"/>
  <c r="D5827" i="9"/>
  <c r="D5828" i="9"/>
  <c r="D5829" i="9"/>
  <c r="D5830" i="9"/>
  <c r="D5831" i="9"/>
  <c r="D5832" i="9"/>
  <c r="D5833" i="9"/>
  <c r="D5834" i="9"/>
  <c r="D5835" i="9"/>
  <c r="D5836" i="9"/>
  <c r="D5837" i="9"/>
  <c r="D5838" i="9"/>
  <c r="D5839" i="9"/>
  <c r="D5840" i="9"/>
  <c r="D5841" i="9"/>
  <c r="D5842" i="9"/>
  <c r="D5843" i="9"/>
  <c r="D5844" i="9"/>
  <c r="D5845" i="9"/>
  <c r="D5846" i="9"/>
  <c r="D5847" i="9"/>
  <c r="D5848" i="9"/>
  <c r="D5849" i="9"/>
  <c r="D5850" i="9"/>
  <c r="D5851" i="9"/>
  <c r="D5852" i="9"/>
  <c r="D5853" i="9"/>
  <c r="D5854" i="9"/>
  <c r="D5855" i="9"/>
  <c r="D5856" i="9"/>
  <c r="D5857" i="9"/>
  <c r="D5858" i="9"/>
  <c r="D5859" i="9"/>
  <c r="D5860" i="9"/>
  <c r="D5861" i="9"/>
  <c r="D5862" i="9"/>
  <c r="D5863" i="9"/>
  <c r="D5864" i="9"/>
  <c r="D5865" i="9"/>
  <c r="D5866" i="9"/>
  <c r="D5867" i="9"/>
  <c r="D5868" i="9"/>
  <c r="D5869" i="9"/>
  <c r="D5870" i="9"/>
  <c r="D5871" i="9"/>
  <c r="D5872" i="9"/>
  <c r="D5873" i="9"/>
  <c r="D5874" i="9"/>
  <c r="D5875" i="9"/>
  <c r="D5876" i="9"/>
  <c r="D5877" i="9"/>
  <c r="D5878" i="9"/>
  <c r="D5879" i="9"/>
  <c r="D5880" i="9"/>
  <c r="D5881" i="9"/>
  <c r="D5882" i="9"/>
  <c r="D5883" i="9"/>
  <c r="D5884" i="9"/>
  <c r="D5885" i="9"/>
  <c r="D5886" i="9"/>
  <c r="D5887" i="9"/>
  <c r="D5888" i="9"/>
  <c r="D5889" i="9"/>
  <c r="D5890" i="9"/>
  <c r="D5891" i="9"/>
  <c r="D5892" i="9"/>
  <c r="D5893" i="9"/>
  <c r="D5894" i="9"/>
  <c r="D5895" i="9"/>
  <c r="D5896" i="9"/>
  <c r="D5897" i="9"/>
  <c r="D5898" i="9"/>
  <c r="D5899" i="9"/>
  <c r="D5900" i="9"/>
  <c r="D5901" i="9"/>
  <c r="D5902" i="9"/>
  <c r="D5903" i="9"/>
  <c r="D5904" i="9"/>
  <c r="D5905" i="9"/>
  <c r="D5906" i="9"/>
  <c r="D5907" i="9"/>
  <c r="D5908" i="9"/>
  <c r="D5909" i="9"/>
  <c r="D5910" i="9"/>
  <c r="D5911" i="9"/>
  <c r="D5912" i="9"/>
  <c r="D5913" i="9"/>
  <c r="D5914" i="9"/>
  <c r="D5915" i="9"/>
  <c r="D5916" i="9"/>
  <c r="D5917" i="9"/>
  <c r="D5918" i="9"/>
  <c r="D5919" i="9"/>
  <c r="D5920" i="9"/>
  <c r="D5921" i="9"/>
  <c r="D5922" i="9"/>
  <c r="D5923" i="9"/>
  <c r="D5924" i="9"/>
  <c r="D5925" i="9"/>
  <c r="D5926" i="9"/>
  <c r="D5927" i="9"/>
  <c r="D5928" i="9"/>
  <c r="D5929" i="9"/>
  <c r="D5930" i="9"/>
  <c r="D5931" i="9"/>
  <c r="D5932" i="9"/>
  <c r="D5933" i="9"/>
  <c r="D5934" i="9"/>
  <c r="D5935" i="9"/>
  <c r="D5936" i="9"/>
  <c r="D5937" i="9"/>
  <c r="D5938" i="9"/>
  <c r="D5939" i="9"/>
  <c r="D5940" i="9"/>
  <c r="D5941" i="9"/>
  <c r="D5942" i="9"/>
  <c r="D5943" i="9"/>
  <c r="D5944" i="9"/>
  <c r="D5945" i="9"/>
  <c r="D5946" i="9"/>
  <c r="D5947" i="9"/>
  <c r="D5948" i="9"/>
  <c r="D5949" i="9"/>
  <c r="D5950" i="9"/>
  <c r="D5951" i="9"/>
  <c r="D5952" i="9"/>
  <c r="D5953" i="9"/>
  <c r="D5954" i="9"/>
  <c r="D5955" i="9"/>
  <c r="D5956" i="9"/>
  <c r="D5957" i="9"/>
  <c r="D5958" i="9"/>
  <c r="D5959" i="9"/>
  <c r="D5960" i="9"/>
  <c r="D5961" i="9"/>
  <c r="D5962" i="9"/>
  <c r="D5963" i="9"/>
  <c r="D5964" i="9"/>
  <c r="D5965" i="9"/>
  <c r="D5966" i="9"/>
  <c r="D5967" i="9"/>
  <c r="D5968" i="9"/>
  <c r="D5969" i="9"/>
  <c r="D5970" i="9"/>
  <c r="D5971" i="9"/>
  <c r="D5972" i="9"/>
  <c r="D5973" i="9"/>
  <c r="D5974" i="9"/>
  <c r="D5975" i="9"/>
  <c r="D5976" i="9"/>
  <c r="D5977" i="9"/>
  <c r="D5978" i="9"/>
  <c r="D5979" i="9"/>
  <c r="D5980" i="9"/>
  <c r="D5981" i="9"/>
  <c r="D5982" i="9"/>
  <c r="D5983" i="9"/>
  <c r="D5984" i="9"/>
  <c r="D5985" i="9"/>
  <c r="D5986" i="9"/>
  <c r="D5987" i="9"/>
  <c r="D5988" i="9"/>
  <c r="D5989" i="9"/>
  <c r="D5990" i="9"/>
  <c r="D5991" i="9"/>
  <c r="D5992" i="9"/>
  <c r="D5993" i="9"/>
  <c r="D5994" i="9"/>
  <c r="D5995" i="9"/>
  <c r="D5996" i="9"/>
  <c r="D5997" i="9"/>
  <c r="D5998" i="9"/>
  <c r="D5999" i="9"/>
  <c r="D6000" i="9"/>
  <c r="D6001" i="9"/>
  <c r="D6002" i="9"/>
  <c r="D6003" i="9"/>
  <c r="D6004" i="9"/>
  <c r="D6005" i="9"/>
  <c r="D6006" i="9"/>
  <c r="D6007" i="9"/>
  <c r="D6008" i="9"/>
  <c r="D6009" i="9"/>
  <c r="D6010" i="9"/>
  <c r="D6011" i="9"/>
  <c r="D6012" i="9"/>
  <c r="D6013" i="9"/>
  <c r="D6014" i="9"/>
  <c r="D6015" i="9"/>
  <c r="D6016" i="9"/>
  <c r="D6017" i="9"/>
  <c r="D6018" i="9"/>
  <c r="D6019" i="9"/>
  <c r="D6020" i="9"/>
  <c r="D6021" i="9"/>
  <c r="D6022" i="9"/>
  <c r="D6023" i="9"/>
  <c r="D6024" i="9"/>
  <c r="D6025" i="9"/>
  <c r="D6026" i="9"/>
  <c r="D6027" i="9"/>
  <c r="D6028" i="9"/>
  <c r="D6029" i="9"/>
  <c r="D6030" i="9"/>
  <c r="D6031" i="9"/>
  <c r="D6032" i="9"/>
  <c r="D6033" i="9"/>
  <c r="D6034" i="9"/>
  <c r="D6035" i="9"/>
  <c r="D6036" i="9"/>
  <c r="D6037" i="9"/>
  <c r="D6038" i="9"/>
  <c r="D6039" i="9"/>
  <c r="D6040" i="9"/>
  <c r="D6041" i="9"/>
  <c r="D6042" i="9"/>
  <c r="D6043" i="9"/>
  <c r="D6044" i="9"/>
  <c r="D6045" i="9"/>
  <c r="D6046" i="9"/>
  <c r="D6047" i="9"/>
  <c r="D6048" i="9"/>
  <c r="D6049" i="9"/>
  <c r="D6050" i="9"/>
  <c r="D6051" i="9"/>
  <c r="D6052" i="9"/>
  <c r="D6053" i="9"/>
  <c r="D6054" i="9"/>
  <c r="D6055" i="9"/>
  <c r="D6056" i="9"/>
  <c r="D6057" i="9"/>
  <c r="D6058" i="9"/>
  <c r="D6059" i="9"/>
  <c r="D6060" i="9"/>
  <c r="D6061" i="9"/>
  <c r="D6062" i="9"/>
  <c r="D6063" i="9"/>
  <c r="D6064" i="9"/>
  <c r="D6065" i="9"/>
  <c r="D6066" i="9"/>
  <c r="D6067" i="9"/>
  <c r="D6068" i="9"/>
  <c r="D6069" i="9"/>
  <c r="D6070" i="9"/>
  <c r="D6071" i="9"/>
  <c r="D6072" i="9"/>
  <c r="D6073" i="9"/>
  <c r="D6074" i="9"/>
  <c r="D6075" i="9"/>
  <c r="D6076" i="9"/>
  <c r="D6077" i="9"/>
  <c r="D6078" i="9"/>
  <c r="D6079" i="9"/>
  <c r="D6080" i="9"/>
  <c r="D6081" i="9"/>
  <c r="D6082" i="9"/>
  <c r="D6083" i="9"/>
  <c r="D6084" i="9"/>
  <c r="D6085" i="9"/>
  <c r="D6086" i="9"/>
  <c r="D6087" i="9"/>
  <c r="D6088" i="9"/>
  <c r="D6089" i="9"/>
  <c r="D6090" i="9"/>
  <c r="D6091" i="9"/>
  <c r="D6092" i="9"/>
  <c r="D6093" i="9"/>
  <c r="D6094" i="9"/>
  <c r="D6095" i="9"/>
  <c r="D6096" i="9"/>
  <c r="D6097" i="9"/>
  <c r="D6098" i="9"/>
  <c r="D6099" i="9"/>
  <c r="D6100" i="9"/>
  <c r="D6101" i="9"/>
  <c r="D6102" i="9"/>
  <c r="D6103" i="9"/>
  <c r="D6104" i="9"/>
  <c r="D6105" i="9"/>
  <c r="D6106" i="9"/>
  <c r="D6107" i="9"/>
  <c r="D6108" i="9"/>
  <c r="D6109" i="9"/>
  <c r="D6110" i="9"/>
  <c r="D6111" i="9"/>
  <c r="D6112" i="9"/>
  <c r="D6113" i="9"/>
  <c r="D6114" i="9"/>
  <c r="D6115" i="9"/>
  <c r="D6116" i="9"/>
  <c r="D6117" i="9"/>
  <c r="D6118" i="9"/>
  <c r="D6119" i="9"/>
  <c r="D6120" i="9"/>
  <c r="D6121" i="9"/>
  <c r="D6122" i="9"/>
  <c r="D6123" i="9"/>
  <c r="D6124" i="9"/>
  <c r="D6125" i="9"/>
  <c r="D6126" i="9"/>
  <c r="D6127" i="9"/>
  <c r="D6128" i="9"/>
  <c r="D6129" i="9"/>
  <c r="D6130" i="9"/>
  <c r="D6131" i="9"/>
  <c r="D6132" i="9"/>
  <c r="D6133" i="9"/>
  <c r="D6134" i="9"/>
  <c r="D6135" i="9"/>
  <c r="D6136" i="9"/>
  <c r="D6137" i="9"/>
  <c r="D6138" i="9"/>
  <c r="D6139" i="9"/>
  <c r="D6140" i="9"/>
  <c r="D6141" i="9"/>
  <c r="D6142" i="9"/>
  <c r="D6143" i="9"/>
  <c r="D6144" i="9"/>
  <c r="D6145" i="9"/>
  <c r="D6146" i="9"/>
  <c r="D6147" i="9"/>
  <c r="D6148" i="9"/>
  <c r="D6149" i="9"/>
  <c r="D6150" i="9"/>
  <c r="D6151" i="9"/>
  <c r="D6152" i="9"/>
  <c r="D6153" i="9"/>
  <c r="D6154" i="9"/>
  <c r="D6155" i="9"/>
  <c r="D6156" i="9"/>
  <c r="D6157" i="9"/>
  <c r="D6158" i="9"/>
  <c r="D6159" i="9"/>
  <c r="D6160" i="9"/>
  <c r="D6161" i="9"/>
  <c r="D6162" i="9"/>
  <c r="D6163" i="9"/>
  <c r="D6164" i="9"/>
  <c r="D6165" i="9"/>
  <c r="D6166" i="9"/>
  <c r="D6167" i="9"/>
  <c r="D6168" i="9"/>
  <c r="D6169" i="9"/>
  <c r="D6170" i="9"/>
  <c r="D6171" i="9"/>
  <c r="D6172" i="9"/>
  <c r="D6173" i="9"/>
  <c r="D6174" i="9"/>
  <c r="D6175" i="9"/>
  <c r="D6176" i="9"/>
  <c r="D6177" i="9"/>
  <c r="D6178" i="9"/>
  <c r="D6179" i="9"/>
  <c r="D6180" i="9"/>
  <c r="D6181" i="9"/>
  <c r="D6182" i="9"/>
  <c r="D6183" i="9"/>
  <c r="D6184" i="9"/>
  <c r="D6185" i="9"/>
  <c r="D6186" i="9"/>
  <c r="D6187" i="9"/>
  <c r="D6188" i="9"/>
  <c r="D6189" i="9"/>
  <c r="D6190" i="9"/>
  <c r="D6191" i="9"/>
  <c r="D6192" i="9"/>
  <c r="D6193" i="9"/>
  <c r="D6194" i="9"/>
  <c r="D6195" i="9"/>
  <c r="D6196" i="9"/>
  <c r="D6197" i="9"/>
  <c r="D6198" i="9"/>
  <c r="D6199" i="9"/>
  <c r="D6200" i="9"/>
  <c r="D6201" i="9"/>
  <c r="D6202" i="9"/>
  <c r="D6203" i="9"/>
  <c r="D6204" i="9"/>
  <c r="D6205" i="9"/>
  <c r="D6206" i="9"/>
  <c r="D6207" i="9"/>
  <c r="D6208" i="9"/>
  <c r="D6209" i="9"/>
  <c r="D6210" i="9"/>
  <c r="D6211" i="9"/>
  <c r="D6212" i="9"/>
  <c r="D6213" i="9"/>
  <c r="D6214" i="9"/>
  <c r="D6215" i="9"/>
  <c r="D6216" i="9"/>
  <c r="D6217" i="9"/>
  <c r="D6218" i="9"/>
  <c r="D6219" i="9"/>
  <c r="D6220" i="9"/>
  <c r="D6221" i="9"/>
  <c r="D6222" i="9"/>
  <c r="D6223" i="9"/>
  <c r="D6224" i="9"/>
  <c r="D6225" i="9"/>
  <c r="D6226" i="9"/>
  <c r="D6227" i="9"/>
  <c r="D6228" i="9"/>
  <c r="D6229" i="9"/>
  <c r="D6230" i="9"/>
  <c r="D6231" i="9"/>
  <c r="D6232" i="9"/>
  <c r="D6233" i="9"/>
  <c r="D6234" i="9"/>
  <c r="D6235" i="9"/>
  <c r="D6236" i="9"/>
  <c r="D6237" i="9"/>
  <c r="D6238" i="9"/>
  <c r="D6239" i="9"/>
  <c r="D6240" i="9"/>
  <c r="D6241" i="9"/>
  <c r="D6242" i="9"/>
  <c r="D6243" i="9"/>
  <c r="D6244" i="9"/>
  <c r="D6245" i="9"/>
  <c r="D6246" i="9"/>
  <c r="D6247" i="9"/>
  <c r="D6248" i="9"/>
  <c r="D6249" i="9"/>
  <c r="D6250" i="9"/>
  <c r="D6251" i="9"/>
  <c r="D6252" i="9"/>
  <c r="D6253" i="9"/>
  <c r="D6254" i="9"/>
  <c r="D6255" i="9"/>
  <c r="D6256" i="9"/>
  <c r="D6257" i="9"/>
  <c r="D6258" i="9"/>
  <c r="D6259" i="9"/>
  <c r="D6260" i="9"/>
  <c r="D6261" i="9"/>
  <c r="D6262" i="9"/>
  <c r="D6263" i="9"/>
  <c r="D6264" i="9"/>
  <c r="D6265" i="9"/>
  <c r="D6266" i="9"/>
  <c r="D6267" i="9"/>
  <c r="D6268" i="9"/>
  <c r="D6269" i="9"/>
  <c r="D6270" i="9"/>
  <c r="D6271" i="9"/>
  <c r="D6272" i="9"/>
  <c r="D6273" i="9"/>
  <c r="D6274" i="9"/>
  <c r="D6275" i="9"/>
  <c r="D6276" i="9"/>
  <c r="D6277" i="9"/>
  <c r="D6278" i="9"/>
  <c r="D6279" i="9"/>
  <c r="D6280" i="9"/>
  <c r="D6281" i="9"/>
  <c r="D6282" i="9"/>
  <c r="D6283" i="9"/>
  <c r="D6284" i="9"/>
  <c r="D6285" i="9"/>
  <c r="D6286" i="9"/>
  <c r="D6287" i="9"/>
  <c r="D6288" i="9"/>
  <c r="D6289" i="9"/>
  <c r="D6290" i="9"/>
  <c r="D6291" i="9"/>
  <c r="D6292" i="9"/>
  <c r="D6293" i="9"/>
  <c r="D6294" i="9"/>
  <c r="D6295" i="9"/>
  <c r="D6296" i="9"/>
  <c r="D6297" i="9"/>
  <c r="D6298" i="9"/>
  <c r="D6299" i="9"/>
  <c r="D6300" i="9"/>
  <c r="D6301" i="9"/>
  <c r="D6302" i="9"/>
  <c r="D6303" i="9"/>
  <c r="D6304" i="9"/>
  <c r="D6305" i="9"/>
  <c r="D6306" i="9"/>
  <c r="D6307" i="9"/>
  <c r="D6308" i="9"/>
  <c r="D6309" i="9"/>
  <c r="D6310" i="9"/>
  <c r="D6311" i="9"/>
  <c r="D6312" i="9"/>
  <c r="D6313" i="9"/>
  <c r="D6314" i="9"/>
  <c r="D6315" i="9"/>
  <c r="D6316" i="9"/>
  <c r="D6317" i="9"/>
  <c r="D6318" i="9"/>
  <c r="D6319" i="9"/>
  <c r="D6320" i="9"/>
  <c r="D6321" i="9"/>
  <c r="D6322" i="9"/>
  <c r="D6323" i="9"/>
  <c r="D6324" i="9"/>
  <c r="D6325" i="9"/>
  <c r="D6326" i="9"/>
  <c r="D6327" i="9"/>
  <c r="D6328" i="9"/>
  <c r="D6329" i="9"/>
  <c r="D6330" i="9"/>
  <c r="D6331" i="9"/>
  <c r="D6332" i="9"/>
  <c r="D6333" i="9"/>
  <c r="D6334" i="9"/>
  <c r="D6335" i="9"/>
  <c r="D6336" i="9"/>
  <c r="D6337" i="9"/>
  <c r="D6338" i="9"/>
  <c r="D6339" i="9"/>
  <c r="D6340" i="9"/>
  <c r="D6341" i="9"/>
  <c r="D6342" i="9"/>
  <c r="D6343" i="9"/>
  <c r="D6344" i="9"/>
  <c r="D6345" i="9"/>
  <c r="D6346" i="9"/>
  <c r="D6347" i="9"/>
  <c r="D6348" i="9"/>
  <c r="D6349" i="9"/>
  <c r="D6350" i="9"/>
  <c r="D6351" i="9"/>
  <c r="D6352" i="9"/>
  <c r="D6353" i="9"/>
  <c r="D6354" i="9"/>
  <c r="D6355" i="9"/>
  <c r="D6356" i="9"/>
  <c r="D6357" i="9"/>
  <c r="D6358" i="9"/>
  <c r="D6359" i="9"/>
  <c r="D6360" i="9"/>
  <c r="D6361" i="9"/>
  <c r="D6362" i="9"/>
  <c r="D6363" i="9"/>
  <c r="D6364" i="9"/>
  <c r="D6365" i="9"/>
  <c r="D6366" i="9"/>
  <c r="D6367" i="9"/>
  <c r="D6368" i="9"/>
  <c r="D6369" i="9"/>
  <c r="D6370" i="9"/>
  <c r="D6371" i="9"/>
  <c r="D6372" i="9"/>
  <c r="D6373" i="9"/>
  <c r="D6374" i="9"/>
  <c r="D6375" i="9"/>
  <c r="D6376" i="9"/>
  <c r="D6377" i="9"/>
  <c r="D6378" i="9"/>
  <c r="D6379" i="9"/>
  <c r="D6380" i="9"/>
  <c r="D6381" i="9"/>
  <c r="D6382" i="9"/>
  <c r="D6383" i="9"/>
  <c r="D6384" i="9"/>
  <c r="D6385" i="9"/>
  <c r="D6386" i="9"/>
  <c r="D6387" i="9"/>
  <c r="D6388" i="9"/>
  <c r="D6389" i="9"/>
  <c r="D6390" i="9"/>
  <c r="D6391" i="9"/>
  <c r="D6392" i="9"/>
  <c r="D6393" i="9"/>
  <c r="D6394" i="9"/>
  <c r="D6395" i="9"/>
  <c r="D6396" i="9"/>
  <c r="D6397" i="9"/>
  <c r="D6398" i="9"/>
  <c r="D6399" i="9"/>
  <c r="D6400" i="9"/>
  <c r="D6401" i="9"/>
  <c r="D6402" i="9"/>
  <c r="D6403" i="9"/>
  <c r="D6404" i="9"/>
  <c r="D6405" i="9"/>
  <c r="D6406" i="9"/>
  <c r="D6407" i="9"/>
  <c r="D6408" i="9"/>
  <c r="D6409" i="9"/>
  <c r="D6410" i="9"/>
  <c r="D6411" i="9"/>
  <c r="D6412" i="9"/>
  <c r="D6413" i="9"/>
  <c r="D6414" i="9"/>
  <c r="D6415" i="9"/>
  <c r="D6416" i="9"/>
  <c r="D6417" i="9"/>
  <c r="D6418" i="9"/>
  <c r="D6419" i="9"/>
  <c r="D6420" i="9"/>
  <c r="D6421" i="9"/>
  <c r="D6422" i="9"/>
  <c r="D6423" i="9"/>
  <c r="D6424" i="9"/>
  <c r="D6425" i="9"/>
  <c r="D6426" i="9"/>
  <c r="D6427" i="9"/>
  <c r="D6428" i="9"/>
  <c r="D6429" i="9"/>
  <c r="D6430" i="9"/>
  <c r="D6431" i="9"/>
  <c r="D6432" i="9"/>
  <c r="D6433" i="9"/>
  <c r="D6434" i="9"/>
  <c r="AH500" i="1"/>
  <c r="AH499" i="1"/>
  <c r="AH498" i="1"/>
  <c r="AH497" i="1"/>
  <c r="AH496" i="1"/>
  <c r="AH495" i="1"/>
  <c r="AH494" i="1"/>
  <c r="AH493" i="1"/>
  <c r="AH492" i="1"/>
  <c r="AH491" i="1"/>
  <c r="AH490" i="1"/>
  <c r="AH489" i="1"/>
  <c r="AH488" i="1"/>
  <c r="AH487" i="1"/>
  <c r="AH486" i="1"/>
  <c r="AH485" i="1"/>
  <c r="AH484" i="1"/>
  <c r="AH483" i="1"/>
  <c r="AH482" i="1"/>
  <c r="AH481" i="1"/>
  <c r="AH480" i="1"/>
  <c r="AH479" i="1"/>
  <c r="AH478" i="1"/>
  <c r="AH477" i="1"/>
  <c r="AH476" i="1"/>
  <c r="AH475" i="1"/>
  <c r="AH474" i="1"/>
  <c r="AH473" i="1"/>
  <c r="AH472" i="1"/>
  <c r="AH471" i="1"/>
  <c r="AH470" i="1"/>
  <c r="AH469" i="1"/>
  <c r="AH468" i="1"/>
  <c r="AH467" i="1"/>
  <c r="AH466" i="1"/>
  <c r="AH465" i="1"/>
  <c r="AH464" i="1"/>
  <c r="AH463" i="1"/>
  <c r="AH462" i="1"/>
  <c r="AH461" i="1"/>
  <c r="AH460" i="1"/>
  <c r="AH459" i="1"/>
  <c r="AH458" i="1"/>
  <c r="AH457" i="1"/>
  <c r="AH456" i="1"/>
  <c r="AH455" i="1"/>
  <c r="AH454" i="1"/>
  <c r="AH453" i="1"/>
  <c r="AH452" i="1"/>
  <c r="AH451" i="1"/>
  <c r="AH450" i="1"/>
  <c r="AH449" i="1"/>
  <c r="AH448" i="1"/>
  <c r="AH447" i="1"/>
  <c r="AH446" i="1"/>
  <c r="AH445" i="1"/>
  <c r="AH444" i="1"/>
  <c r="AH443" i="1"/>
  <c r="AH442" i="1"/>
  <c r="AH441" i="1"/>
  <c r="AH440" i="1"/>
  <c r="AH439" i="1"/>
  <c r="AH438" i="1"/>
  <c r="AH437" i="1"/>
  <c r="AH436" i="1"/>
  <c r="AH435" i="1"/>
  <c r="AH434" i="1"/>
  <c r="AH433" i="1"/>
  <c r="AH432" i="1"/>
  <c r="AH431" i="1"/>
  <c r="AH430" i="1"/>
  <c r="AH429" i="1"/>
  <c r="AH428" i="1"/>
  <c r="AH427" i="1"/>
  <c r="AH426" i="1"/>
  <c r="AH425" i="1"/>
  <c r="AH424" i="1"/>
  <c r="AH423" i="1"/>
  <c r="AH422" i="1"/>
  <c r="AH421" i="1"/>
  <c r="AH420" i="1"/>
  <c r="AH419" i="1"/>
  <c r="AH418" i="1"/>
  <c r="AH417" i="1"/>
  <c r="AH416" i="1"/>
  <c r="AH415" i="1"/>
  <c r="AH414" i="1"/>
  <c r="AH413" i="1"/>
  <c r="AH412" i="1"/>
  <c r="AH411" i="1"/>
  <c r="AH410" i="1"/>
  <c r="AH409" i="1"/>
  <c r="AH408" i="1"/>
  <c r="AH407" i="1"/>
  <c r="AH406" i="1"/>
  <c r="AH405" i="1"/>
  <c r="AH404" i="1"/>
  <c r="AH403" i="1"/>
  <c r="AH402" i="1"/>
  <c r="AH401" i="1"/>
  <c r="AH400" i="1"/>
  <c r="AH399" i="1"/>
  <c r="AH398" i="1"/>
  <c r="AH397" i="1"/>
  <c r="AH396" i="1"/>
  <c r="AH395" i="1"/>
  <c r="AH394" i="1"/>
  <c r="AH393" i="1"/>
  <c r="AH392" i="1"/>
  <c r="AH391" i="1"/>
  <c r="AH390" i="1"/>
  <c r="AH389" i="1"/>
  <c r="AH388" i="1"/>
  <c r="AH387" i="1"/>
  <c r="AH386" i="1"/>
  <c r="AH385" i="1"/>
  <c r="AH384" i="1"/>
  <c r="AH383" i="1"/>
  <c r="AH382" i="1"/>
  <c r="AH381" i="1"/>
  <c r="AH380" i="1"/>
  <c r="AH379" i="1"/>
  <c r="AH378" i="1"/>
  <c r="AH377" i="1"/>
  <c r="AH376" i="1"/>
  <c r="AH375" i="1"/>
  <c r="AH374" i="1"/>
  <c r="AH373" i="1"/>
  <c r="AH372" i="1"/>
  <c r="AH371" i="1"/>
  <c r="AH370" i="1"/>
  <c r="AH369" i="1"/>
  <c r="AH368" i="1"/>
  <c r="AH367" i="1"/>
  <c r="AH366" i="1"/>
  <c r="AH365" i="1"/>
  <c r="AH364" i="1"/>
  <c r="AH363" i="1"/>
  <c r="AH362" i="1"/>
  <c r="AH361" i="1"/>
  <c r="AH360" i="1"/>
  <c r="AH359" i="1"/>
  <c r="AH358" i="1"/>
  <c r="AH357" i="1"/>
  <c r="AH356" i="1"/>
  <c r="AH355" i="1"/>
  <c r="AH354" i="1"/>
  <c r="AH353" i="1"/>
  <c r="AH352" i="1"/>
  <c r="AH351" i="1"/>
  <c r="AH350" i="1"/>
  <c r="AH349" i="1"/>
  <c r="AH348" i="1"/>
  <c r="AH347" i="1"/>
  <c r="AH346" i="1"/>
  <c r="AH345" i="1"/>
  <c r="AH344" i="1"/>
  <c r="AH343" i="1"/>
  <c r="AH342" i="1"/>
  <c r="AH341" i="1"/>
  <c r="AH340" i="1"/>
  <c r="AH339" i="1"/>
  <c r="AH338" i="1"/>
  <c r="AH337" i="1"/>
  <c r="AH336" i="1"/>
  <c r="AH335" i="1"/>
  <c r="AH334" i="1"/>
  <c r="AH333" i="1"/>
  <c r="AH332" i="1"/>
  <c r="AH331" i="1"/>
  <c r="AH330" i="1"/>
  <c r="AH329" i="1"/>
  <c r="AH328" i="1"/>
  <c r="AH327" i="1"/>
  <c r="AH326" i="1"/>
  <c r="AH325" i="1"/>
  <c r="AH324" i="1"/>
  <c r="AH323" i="1"/>
  <c r="AH322" i="1"/>
  <c r="AH321" i="1"/>
  <c r="AH320" i="1"/>
  <c r="AH319" i="1"/>
  <c r="AH318" i="1"/>
  <c r="AH317" i="1"/>
  <c r="AH316" i="1"/>
  <c r="AH315" i="1"/>
  <c r="AH314" i="1"/>
  <c r="AH313" i="1"/>
  <c r="AH312" i="1"/>
  <c r="AH311" i="1"/>
  <c r="AH310" i="1"/>
  <c r="AH309" i="1"/>
  <c r="AH308" i="1"/>
  <c r="AH307" i="1"/>
  <c r="AH306" i="1"/>
  <c r="AH305" i="1"/>
  <c r="AH304" i="1"/>
  <c r="AH303" i="1"/>
  <c r="AH302" i="1"/>
  <c r="AH301" i="1"/>
  <c r="AH300" i="1"/>
  <c r="AH299" i="1"/>
  <c r="AH298" i="1"/>
  <c r="AH297" i="1"/>
  <c r="AH296" i="1"/>
  <c r="AH295" i="1"/>
  <c r="AH294" i="1"/>
  <c r="AH293" i="1"/>
  <c r="AH292" i="1"/>
  <c r="AH291" i="1"/>
  <c r="AH290" i="1"/>
  <c r="AH289" i="1"/>
  <c r="AH288" i="1"/>
  <c r="AH287" i="1"/>
  <c r="AH286" i="1"/>
  <c r="AH285" i="1"/>
  <c r="AH284" i="1"/>
  <c r="AH283" i="1"/>
  <c r="AH282" i="1"/>
  <c r="AH281" i="1"/>
  <c r="AH280" i="1"/>
  <c r="AH279" i="1"/>
  <c r="AH278" i="1"/>
  <c r="AH277" i="1"/>
  <c r="AH276" i="1"/>
  <c r="AH275" i="1"/>
  <c r="AH274" i="1"/>
  <c r="AH273" i="1"/>
  <c r="AH272" i="1"/>
  <c r="AH271" i="1"/>
  <c r="AH270" i="1"/>
  <c r="AH269" i="1"/>
  <c r="AH268" i="1"/>
  <c r="AH267" i="1"/>
  <c r="AH266" i="1"/>
  <c r="AH265" i="1"/>
  <c r="AH264" i="1"/>
  <c r="AH263" i="1"/>
  <c r="AH262" i="1"/>
  <c r="AH261" i="1"/>
  <c r="AH260" i="1"/>
  <c r="AH259" i="1"/>
  <c r="AH258" i="1"/>
  <c r="AH257" i="1"/>
  <c r="AH256" i="1"/>
  <c r="AH255" i="1"/>
  <c r="AH254" i="1"/>
  <c r="AH253" i="1"/>
  <c r="AH252" i="1"/>
  <c r="AH251" i="1"/>
  <c r="AH250" i="1"/>
  <c r="AH249" i="1"/>
  <c r="AH248" i="1"/>
  <c r="AH247" i="1"/>
  <c r="AH246" i="1"/>
  <c r="AH245" i="1"/>
  <c r="AH244" i="1"/>
  <c r="AH243" i="1"/>
  <c r="AH242" i="1"/>
  <c r="AH241" i="1"/>
  <c r="AH240" i="1"/>
  <c r="AH239" i="1"/>
  <c r="AH238" i="1"/>
  <c r="AH237" i="1"/>
  <c r="AH236" i="1"/>
  <c r="AH235" i="1"/>
  <c r="AH234" i="1"/>
  <c r="AH233" i="1"/>
  <c r="AH232" i="1"/>
  <c r="AH231" i="1"/>
  <c r="AH230" i="1"/>
  <c r="AH229" i="1"/>
  <c r="AH228" i="1"/>
  <c r="AH227" i="1"/>
  <c r="AH226" i="1"/>
  <c r="AH225" i="1"/>
  <c r="AH224" i="1"/>
  <c r="AH223" i="1"/>
  <c r="AH222" i="1"/>
  <c r="AH221" i="1"/>
  <c r="AH220" i="1"/>
  <c r="AH219" i="1"/>
  <c r="AH218" i="1"/>
  <c r="AH217" i="1"/>
  <c r="AH216" i="1"/>
  <c r="AH215" i="1"/>
  <c r="AH214" i="1"/>
  <c r="AH213" i="1"/>
  <c r="AH212" i="1"/>
  <c r="AH211" i="1"/>
  <c r="AH210" i="1"/>
  <c r="AH209" i="1"/>
  <c r="AH208" i="1"/>
  <c r="AH207" i="1"/>
  <c r="AH206" i="1"/>
  <c r="AH205" i="1"/>
  <c r="AH204" i="1"/>
  <c r="AH203" i="1"/>
  <c r="AH202" i="1"/>
  <c r="AH201" i="1"/>
  <c r="AH200" i="1"/>
  <c r="AH199" i="1"/>
  <c r="AH198" i="1"/>
  <c r="AH197" i="1"/>
  <c r="AH196" i="1"/>
  <c r="AH195" i="1"/>
  <c r="AH194" i="1"/>
  <c r="AH193" i="1"/>
  <c r="AH192" i="1"/>
  <c r="AH191" i="1"/>
  <c r="AH190" i="1"/>
  <c r="AH189" i="1"/>
  <c r="AH188" i="1"/>
  <c r="AH187" i="1"/>
  <c r="AH186" i="1"/>
  <c r="AH185" i="1"/>
  <c r="AH184" i="1"/>
  <c r="AH183" i="1"/>
  <c r="AH182" i="1"/>
  <c r="AH181" i="1"/>
  <c r="AH180" i="1"/>
  <c r="AH179" i="1"/>
  <c r="AH178" i="1"/>
  <c r="AH177" i="1"/>
  <c r="AH176" i="1"/>
  <c r="AH175" i="1"/>
  <c r="AH174" i="1"/>
  <c r="AH173" i="1"/>
  <c r="AH172" i="1"/>
  <c r="AH171" i="1"/>
  <c r="AH170" i="1"/>
  <c r="AH169" i="1"/>
  <c r="AH168" i="1"/>
  <c r="AH167" i="1"/>
  <c r="AH166" i="1"/>
  <c r="AH165" i="1"/>
  <c r="AH164" i="1"/>
  <c r="AH163" i="1"/>
  <c r="AH162" i="1"/>
  <c r="AH161" i="1"/>
  <c r="AH160" i="1"/>
  <c r="AH159" i="1"/>
  <c r="AH158" i="1"/>
  <c r="AH157" i="1"/>
  <c r="AH156" i="1"/>
  <c r="AH155" i="1"/>
  <c r="AH154" i="1"/>
  <c r="AH153" i="1"/>
  <c r="AH152" i="1"/>
  <c r="AH151" i="1"/>
  <c r="AH150" i="1"/>
  <c r="AH149" i="1"/>
  <c r="AH148" i="1"/>
  <c r="AH147" i="1"/>
  <c r="AH146" i="1"/>
  <c r="AH145" i="1"/>
  <c r="AH144" i="1"/>
  <c r="AH143" i="1"/>
  <c r="AH142" i="1"/>
  <c r="AH141" i="1"/>
  <c r="AH140" i="1"/>
  <c r="AH139" i="1"/>
  <c r="AH138" i="1"/>
  <c r="AH137" i="1"/>
  <c r="AH136" i="1"/>
  <c r="AH135" i="1"/>
  <c r="AH134" i="1"/>
  <c r="AH133" i="1"/>
  <c r="AH132" i="1"/>
  <c r="AH131" i="1"/>
  <c r="AH130" i="1"/>
  <c r="AH129" i="1"/>
  <c r="AH128" i="1"/>
  <c r="AH127" i="1"/>
  <c r="AH126" i="1"/>
  <c r="AH125" i="1"/>
  <c r="AH124" i="1"/>
  <c r="AH123" i="1"/>
  <c r="AH122" i="1"/>
  <c r="AH121" i="1"/>
  <c r="AH120" i="1"/>
  <c r="AH119" i="1"/>
  <c r="AH118" i="1"/>
  <c r="AH117" i="1"/>
  <c r="AH116" i="1"/>
  <c r="AH115" i="1"/>
  <c r="AH114" i="1"/>
  <c r="AH113" i="1"/>
  <c r="AH112" i="1"/>
  <c r="AH111" i="1"/>
  <c r="AH110" i="1"/>
  <c r="AH109" i="1"/>
  <c r="AH108" i="1"/>
  <c r="AH107" i="1"/>
  <c r="AH106" i="1"/>
  <c r="AH105" i="1"/>
  <c r="AH104" i="1"/>
  <c r="AH103" i="1"/>
  <c r="AH102" i="1"/>
  <c r="AH101" i="1"/>
  <c r="AH100" i="1"/>
  <c r="AH99" i="1"/>
  <c r="AH98" i="1"/>
  <c r="AH97" i="1"/>
  <c r="AH96" i="1"/>
  <c r="AH95" i="1"/>
  <c r="AH94" i="1"/>
  <c r="AH93" i="1"/>
  <c r="AH92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H2" i="1"/>
  <c r="A3" i="1"/>
  <c r="A4" i="1"/>
  <c r="AB4" i="1" s="1"/>
  <c r="A5" i="1"/>
  <c r="A6" i="1" s="1"/>
  <c r="A7" i="1"/>
  <c r="AB6" i="1"/>
  <c r="AB5" i="1"/>
  <c r="AB3" i="1"/>
  <c r="AB2" i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DB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BK28" i="5"/>
  <c r="BL28" i="5"/>
  <c r="BM28" i="5"/>
  <c r="BN28" i="5"/>
  <c r="BO28" i="5"/>
  <c r="BP28" i="5"/>
  <c r="BQ28" i="5"/>
  <c r="BR28" i="5"/>
  <c r="BS28" i="5"/>
  <c r="BT28" i="5"/>
  <c r="BU28" i="5"/>
  <c r="BV28" i="5"/>
  <c r="BW28" i="5"/>
  <c r="BX28" i="5"/>
  <c r="BY28" i="5"/>
  <c r="BZ28" i="5"/>
  <c r="CA28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A27" i="5"/>
  <c r="BB27" i="5"/>
  <c r="BC27" i="5"/>
  <c r="BD27" i="5"/>
  <c r="BE27" i="5"/>
  <c r="BF27" i="5"/>
  <c r="BG27" i="5"/>
  <c r="BH27" i="5"/>
  <c r="BI27" i="5"/>
  <c r="BJ27" i="5"/>
  <c r="BK27" i="5"/>
  <c r="BL27" i="5"/>
  <c r="BM27" i="5"/>
  <c r="BN27" i="5"/>
  <c r="BO27" i="5"/>
  <c r="BP27" i="5"/>
  <c r="BQ27" i="5"/>
  <c r="BR27" i="5"/>
  <c r="BS27" i="5"/>
  <c r="BT27" i="5"/>
  <c r="BU27" i="5"/>
  <c r="BV27" i="5"/>
  <c r="BW27" i="5"/>
  <c r="BX27" i="5"/>
  <c r="BY27" i="5"/>
  <c r="BZ27" i="5"/>
  <c r="CA27" i="5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F500" i="1"/>
  <c r="AC500" i="1"/>
  <c r="AF499" i="1"/>
  <c r="AC499" i="1"/>
  <c r="AF498" i="1"/>
  <c r="AC498" i="1"/>
  <c r="AF497" i="1"/>
  <c r="AC497" i="1"/>
  <c r="AF496" i="1"/>
  <c r="AC496" i="1"/>
  <c r="AF495" i="1"/>
  <c r="AC495" i="1"/>
  <c r="AF494" i="1"/>
  <c r="AC494" i="1"/>
  <c r="AF493" i="1"/>
  <c r="AC493" i="1"/>
  <c r="AF492" i="1"/>
  <c r="AC492" i="1"/>
  <c r="AF491" i="1"/>
  <c r="AC491" i="1"/>
  <c r="AF490" i="1"/>
  <c r="AC490" i="1"/>
  <c r="AF489" i="1"/>
  <c r="AC489" i="1"/>
  <c r="AF488" i="1"/>
  <c r="AC488" i="1"/>
  <c r="AF487" i="1"/>
  <c r="AC487" i="1"/>
  <c r="AF486" i="1"/>
  <c r="AC486" i="1"/>
  <c r="AF485" i="1"/>
  <c r="AC485" i="1"/>
  <c r="AF484" i="1"/>
  <c r="AC484" i="1"/>
  <c r="AF483" i="1"/>
  <c r="AC483" i="1"/>
  <c r="AF482" i="1"/>
  <c r="AC482" i="1"/>
  <c r="AF481" i="1"/>
  <c r="AC481" i="1"/>
  <c r="AF480" i="1"/>
  <c r="AC480" i="1"/>
  <c r="AF479" i="1"/>
  <c r="AC479" i="1"/>
  <c r="AF478" i="1"/>
  <c r="AC478" i="1"/>
  <c r="AF477" i="1"/>
  <c r="AC477" i="1"/>
  <c r="AF476" i="1"/>
  <c r="AC476" i="1"/>
  <c r="AF475" i="1"/>
  <c r="AC475" i="1"/>
  <c r="AF474" i="1"/>
  <c r="AC474" i="1"/>
  <c r="AF473" i="1"/>
  <c r="AC473" i="1"/>
  <c r="AF472" i="1"/>
  <c r="AC472" i="1"/>
  <c r="AF471" i="1"/>
  <c r="AC471" i="1"/>
  <c r="AF470" i="1"/>
  <c r="AC470" i="1"/>
  <c r="AF469" i="1"/>
  <c r="AC469" i="1"/>
  <c r="AF468" i="1"/>
  <c r="AC468" i="1"/>
  <c r="AF467" i="1"/>
  <c r="AC467" i="1"/>
  <c r="AF466" i="1"/>
  <c r="AC466" i="1"/>
  <c r="AF465" i="1"/>
  <c r="AC465" i="1"/>
  <c r="AF464" i="1"/>
  <c r="AC464" i="1"/>
  <c r="AF463" i="1"/>
  <c r="AC463" i="1"/>
  <c r="AF462" i="1"/>
  <c r="AC462" i="1"/>
  <c r="AF461" i="1"/>
  <c r="AC461" i="1"/>
  <c r="AF460" i="1"/>
  <c r="AC460" i="1"/>
  <c r="AF459" i="1"/>
  <c r="AC459" i="1"/>
  <c r="AF458" i="1"/>
  <c r="AC458" i="1"/>
  <c r="AF457" i="1"/>
  <c r="AC457" i="1"/>
  <c r="AF456" i="1"/>
  <c r="AC456" i="1"/>
  <c r="AF455" i="1"/>
  <c r="AC455" i="1"/>
  <c r="AF454" i="1"/>
  <c r="AC454" i="1"/>
  <c r="AF453" i="1"/>
  <c r="AC453" i="1"/>
  <c r="AF452" i="1"/>
  <c r="AC452" i="1"/>
  <c r="AF451" i="1"/>
  <c r="AC451" i="1"/>
  <c r="AF450" i="1"/>
  <c r="AC450" i="1"/>
  <c r="AF449" i="1"/>
  <c r="AC449" i="1"/>
  <c r="AF448" i="1"/>
  <c r="AC448" i="1"/>
  <c r="AF447" i="1"/>
  <c r="AC447" i="1"/>
  <c r="AF446" i="1"/>
  <c r="AC446" i="1"/>
  <c r="AF445" i="1"/>
  <c r="AC445" i="1"/>
  <c r="AF444" i="1"/>
  <c r="AC444" i="1"/>
  <c r="AF443" i="1"/>
  <c r="AC443" i="1"/>
  <c r="AF442" i="1"/>
  <c r="AC442" i="1"/>
  <c r="AF441" i="1"/>
  <c r="AC441" i="1"/>
  <c r="AF440" i="1"/>
  <c r="AC440" i="1"/>
  <c r="AF439" i="1"/>
  <c r="AC439" i="1"/>
  <c r="AF438" i="1"/>
  <c r="AC438" i="1"/>
  <c r="AF437" i="1"/>
  <c r="AC437" i="1"/>
  <c r="AF436" i="1"/>
  <c r="AC436" i="1"/>
  <c r="AF435" i="1"/>
  <c r="AC435" i="1"/>
  <c r="AF434" i="1"/>
  <c r="AC434" i="1"/>
  <c r="AF433" i="1"/>
  <c r="AC433" i="1"/>
  <c r="AF432" i="1"/>
  <c r="AC432" i="1"/>
  <c r="AF431" i="1"/>
  <c r="AC431" i="1"/>
  <c r="AF430" i="1"/>
  <c r="AC430" i="1"/>
  <c r="AF429" i="1"/>
  <c r="AC429" i="1"/>
  <c r="AF428" i="1"/>
  <c r="AC428" i="1"/>
  <c r="AF427" i="1"/>
  <c r="AC427" i="1"/>
  <c r="AF426" i="1"/>
  <c r="AC426" i="1"/>
  <c r="AF425" i="1"/>
  <c r="AC425" i="1"/>
  <c r="AF424" i="1"/>
  <c r="AC424" i="1"/>
  <c r="AF423" i="1"/>
  <c r="AC423" i="1"/>
  <c r="AF422" i="1"/>
  <c r="AC422" i="1"/>
  <c r="AF421" i="1"/>
  <c r="AC421" i="1"/>
  <c r="AF420" i="1"/>
  <c r="AC420" i="1"/>
  <c r="AF419" i="1"/>
  <c r="AC419" i="1"/>
  <c r="AF418" i="1"/>
  <c r="AC418" i="1"/>
  <c r="AF417" i="1"/>
  <c r="AC417" i="1"/>
  <c r="AF416" i="1"/>
  <c r="AC416" i="1"/>
  <c r="AF415" i="1"/>
  <c r="AC415" i="1"/>
  <c r="AF414" i="1"/>
  <c r="AC414" i="1"/>
  <c r="AF413" i="1"/>
  <c r="AC413" i="1"/>
  <c r="AF412" i="1"/>
  <c r="AC412" i="1"/>
  <c r="AF411" i="1"/>
  <c r="AC411" i="1"/>
  <c r="AF410" i="1"/>
  <c r="AC410" i="1"/>
  <c r="AF409" i="1"/>
  <c r="AC409" i="1"/>
  <c r="AF408" i="1"/>
  <c r="AC408" i="1"/>
  <c r="AF407" i="1"/>
  <c r="AC407" i="1"/>
  <c r="AF406" i="1"/>
  <c r="AC406" i="1"/>
  <c r="AF405" i="1"/>
  <c r="AC405" i="1"/>
  <c r="AF404" i="1"/>
  <c r="AC404" i="1"/>
  <c r="AF403" i="1"/>
  <c r="AC403" i="1"/>
  <c r="AF402" i="1"/>
  <c r="AC402" i="1"/>
  <c r="AF401" i="1"/>
  <c r="AC401" i="1"/>
  <c r="AF400" i="1"/>
  <c r="AC400" i="1"/>
  <c r="AF399" i="1"/>
  <c r="AC399" i="1"/>
  <c r="AF398" i="1"/>
  <c r="AC398" i="1"/>
  <c r="AF397" i="1"/>
  <c r="AC397" i="1"/>
  <c r="AF396" i="1"/>
  <c r="AC396" i="1"/>
  <c r="AF395" i="1"/>
  <c r="AC395" i="1"/>
  <c r="AF394" i="1"/>
  <c r="AC394" i="1"/>
  <c r="AF393" i="1"/>
  <c r="AC393" i="1"/>
  <c r="AF392" i="1"/>
  <c r="AC392" i="1"/>
  <c r="AF391" i="1"/>
  <c r="AC391" i="1"/>
  <c r="AF390" i="1"/>
  <c r="AC390" i="1"/>
  <c r="AF389" i="1"/>
  <c r="AC389" i="1"/>
  <c r="AF388" i="1"/>
  <c r="AC388" i="1"/>
  <c r="AF387" i="1"/>
  <c r="AC387" i="1"/>
  <c r="AF386" i="1"/>
  <c r="AC386" i="1"/>
  <c r="AF385" i="1"/>
  <c r="AC385" i="1"/>
  <c r="AF384" i="1"/>
  <c r="AC384" i="1"/>
  <c r="AF383" i="1"/>
  <c r="AC383" i="1"/>
  <c r="AF382" i="1"/>
  <c r="AC382" i="1"/>
  <c r="AF381" i="1"/>
  <c r="AC381" i="1"/>
  <c r="AF380" i="1"/>
  <c r="AC380" i="1"/>
  <c r="AF379" i="1"/>
  <c r="AC379" i="1"/>
  <c r="AF378" i="1"/>
  <c r="AC378" i="1"/>
  <c r="AF377" i="1"/>
  <c r="AC377" i="1"/>
  <c r="AF376" i="1"/>
  <c r="AC376" i="1"/>
  <c r="AF375" i="1"/>
  <c r="AC375" i="1"/>
  <c r="AF374" i="1"/>
  <c r="AC374" i="1"/>
  <c r="AF373" i="1"/>
  <c r="AC373" i="1"/>
  <c r="AF372" i="1"/>
  <c r="AC372" i="1"/>
  <c r="AF371" i="1"/>
  <c r="AC371" i="1"/>
  <c r="AF370" i="1"/>
  <c r="AC370" i="1"/>
  <c r="AF369" i="1"/>
  <c r="AC369" i="1"/>
  <c r="AF368" i="1"/>
  <c r="AC368" i="1"/>
  <c r="AF367" i="1"/>
  <c r="AC367" i="1"/>
  <c r="AF366" i="1"/>
  <c r="AC366" i="1"/>
  <c r="AF365" i="1"/>
  <c r="AC365" i="1"/>
  <c r="AF364" i="1"/>
  <c r="AC364" i="1"/>
  <c r="AF363" i="1"/>
  <c r="AC363" i="1"/>
  <c r="AF362" i="1"/>
  <c r="AC362" i="1"/>
  <c r="AF361" i="1"/>
  <c r="AC361" i="1"/>
  <c r="AF360" i="1"/>
  <c r="AC360" i="1"/>
  <c r="AF359" i="1"/>
  <c r="AC359" i="1"/>
  <c r="AF358" i="1"/>
  <c r="AC358" i="1"/>
  <c r="AF357" i="1"/>
  <c r="AC357" i="1"/>
  <c r="AF356" i="1"/>
  <c r="AC356" i="1"/>
  <c r="AF355" i="1"/>
  <c r="AC355" i="1"/>
  <c r="AF354" i="1"/>
  <c r="AC354" i="1"/>
  <c r="AF353" i="1"/>
  <c r="AC353" i="1"/>
  <c r="AF352" i="1"/>
  <c r="AC352" i="1"/>
  <c r="AF351" i="1"/>
  <c r="AC351" i="1"/>
  <c r="AF350" i="1"/>
  <c r="AC350" i="1"/>
  <c r="AF349" i="1"/>
  <c r="AC349" i="1"/>
  <c r="AF348" i="1"/>
  <c r="AC348" i="1"/>
  <c r="AF347" i="1"/>
  <c r="AC347" i="1"/>
  <c r="AF346" i="1"/>
  <c r="AC346" i="1"/>
  <c r="AF345" i="1"/>
  <c r="AC345" i="1"/>
  <c r="AF344" i="1"/>
  <c r="AC344" i="1"/>
  <c r="AF343" i="1"/>
  <c r="AC343" i="1"/>
  <c r="AF342" i="1"/>
  <c r="AC342" i="1"/>
  <c r="AF341" i="1"/>
  <c r="AC341" i="1"/>
  <c r="AF340" i="1"/>
  <c r="AC340" i="1"/>
  <c r="AF339" i="1"/>
  <c r="AC339" i="1"/>
  <c r="AF338" i="1"/>
  <c r="AC338" i="1"/>
  <c r="AF337" i="1"/>
  <c r="AC337" i="1"/>
  <c r="AF336" i="1"/>
  <c r="AC336" i="1"/>
  <c r="AF335" i="1"/>
  <c r="AC335" i="1"/>
  <c r="AF334" i="1"/>
  <c r="AC334" i="1"/>
  <c r="AF333" i="1"/>
  <c r="AC333" i="1"/>
  <c r="AF332" i="1"/>
  <c r="AC332" i="1"/>
  <c r="AF331" i="1"/>
  <c r="AC331" i="1"/>
  <c r="AF330" i="1"/>
  <c r="AC330" i="1"/>
  <c r="AF329" i="1"/>
  <c r="AC329" i="1"/>
  <c r="AF328" i="1"/>
  <c r="AC328" i="1"/>
  <c r="AF327" i="1"/>
  <c r="AC327" i="1"/>
  <c r="AF326" i="1"/>
  <c r="AC326" i="1"/>
  <c r="AF325" i="1"/>
  <c r="AC325" i="1"/>
  <c r="AF324" i="1"/>
  <c r="AC324" i="1"/>
  <c r="AF323" i="1"/>
  <c r="AC323" i="1"/>
  <c r="AF322" i="1"/>
  <c r="AC322" i="1"/>
  <c r="AF321" i="1"/>
  <c r="AC321" i="1"/>
  <c r="AF320" i="1"/>
  <c r="AC320" i="1"/>
  <c r="AF319" i="1"/>
  <c r="AC319" i="1"/>
  <c r="AF318" i="1"/>
  <c r="AC318" i="1"/>
  <c r="AF317" i="1"/>
  <c r="AC317" i="1"/>
  <c r="AF316" i="1"/>
  <c r="AC316" i="1"/>
  <c r="AF315" i="1"/>
  <c r="AC315" i="1"/>
  <c r="AF314" i="1"/>
  <c r="AC314" i="1"/>
  <c r="AF313" i="1"/>
  <c r="AC313" i="1"/>
  <c r="AF312" i="1"/>
  <c r="AC312" i="1"/>
  <c r="AF311" i="1"/>
  <c r="AC311" i="1"/>
  <c r="AF310" i="1"/>
  <c r="AC310" i="1"/>
  <c r="AF309" i="1"/>
  <c r="AC309" i="1"/>
  <c r="AF308" i="1"/>
  <c r="AC308" i="1"/>
  <c r="AF307" i="1"/>
  <c r="AC307" i="1"/>
  <c r="AF306" i="1"/>
  <c r="AC306" i="1"/>
  <c r="AF305" i="1"/>
  <c r="AC305" i="1"/>
  <c r="AF304" i="1"/>
  <c r="AC304" i="1"/>
  <c r="AF303" i="1"/>
  <c r="AC303" i="1"/>
  <c r="AF302" i="1"/>
  <c r="AC302" i="1"/>
  <c r="AF301" i="1"/>
  <c r="AC301" i="1"/>
  <c r="AF300" i="1"/>
  <c r="AC300" i="1"/>
  <c r="AF299" i="1"/>
  <c r="AC299" i="1"/>
  <c r="AF298" i="1"/>
  <c r="AC298" i="1"/>
  <c r="AF297" i="1"/>
  <c r="AC297" i="1"/>
  <c r="AF296" i="1"/>
  <c r="AC296" i="1"/>
  <c r="AF295" i="1"/>
  <c r="AC295" i="1"/>
  <c r="AF294" i="1"/>
  <c r="AC294" i="1"/>
  <c r="AF293" i="1"/>
  <c r="AC293" i="1"/>
  <c r="AF292" i="1"/>
  <c r="AC292" i="1"/>
  <c r="AF291" i="1"/>
  <c r="AC291" i="1"/>
  <c r="AF290" i="1"/>
  <c r="AC290" i="1"/>
  <c r="AF289" i="1"/>
  <c r="AC289" i="1"/>
  <c r="AF288" i="1"/>
  <c r="AC288" i="1"/>
  <c r="AF287" i="1"/>
  <c r="AC287" i="1"/>
  <c r="AF286" i="1"/>
  <c r="AC286" i="1"/>
  <c r="AF285" i="1"/>
  <c r="AC285" i="1"/>
  <c r="AF284" i="1"/>
  <c r="AC284" i="1"/>
  <c r="AF283" i="1"/>
  <c r="AC283" i="1"/>
  <c r="AF282" i="1"/>
  <c r="AC282" i="1"/>
  <c r="AF281" i="1"/>
  <c r="AC281" i="1"/>
  <c r="AF280" i="1"/>
  <c r="AC280" i="1"/>
  <c r="AF279" i="1"/>
  <c r="AC279" i="1"/>
  <c r="AF278" i="1"/>
  <c r="AC278" i="1"/>
  <c r="AF277" i="1"/>
  <c r="AC277" i="1"/>
  <c r="AF276" i="1"/>
  <c r="AC276" i="1"/>
  <c r="AF275" i="1"/>
  <c r="AC275" i="1"/>
  <c r="AF274" i="1"/>
  <c r="AC274" i="1"/>
  <c r="AF273" i="1"/>
  <c r="AC273" i="1"/>
  <c r="AF272" i="1"/>
  <c r="AC272" i="1"/>
  <c r="AF271" i="1"/>
  <c r="AC271" i="1"/>
  <c r="AF270" i="1"/>
  <c r="AC270" i="1"/>
  <c r="AF269" i="1"/>
  <c r="AC269" i="1"/>
  <c r="AF268" i="1"/>
  <c r="AC268" i="1"/>
  <c r="AF267" i="1"/>
  <c r="AC267" i="1"/>
  <c r="AF266" i="1"/>
  <c r="AC266" i="1"/>
  <c r="AF265" i="1"/>
  <c r="AC265" i="1"/>
  <c r="AF264" i="1"/>
  <c r="AC264" i="1"/>
  <c r="AF263" i="1"/>
  <c r="AC263" i="1"/>
  <c r="AF262" i="1"/>
  <c r="AC262" i="1"/>
  <c r="AF261" i="1"/>
  <c r="AC261" i="1"/>
  <c r="AF260" i="1"/>
  <c r="AC260" i="1"/>
  <c r="AF259" i="1"/>
  <c r="AC259" i="1"/>
  <c r="AF258" i="1"/>
  <c r="AC258" i="1"/>
  <c r="AF257" i="1"/>
  <c r="AC257" i="1"/>
  <c r="AF256" i="1"/>
  <c r="AC256" i="1"/>
  <c r="AF255" i="1"/>
  <c r="AC255" i="1"/>
  <c r="AF254" i="1"/>
  <c r="AC254" i="1"/>
  <c r="AF253" i="1"/>
  <c r="AC253" i="1"/>
  <c r="AF252" i="1"/>
  <c r="AC252" i="1"/>
  <c r="AF251" i="1"/>
  <c r="AC251" i="1"/>
  <c r="AF250" i="1"/>
  <c r="AC250" i="1"/>
  <c r="AF249" i="1"/>
  <c r="AC249" i="1"/>
  <c r="AF248" i="1"/>
  <c r="AC248" i="1"/>
  <c r="AF247" i="1"/>
  <c r="AC247" i="1"/>
  <c r="AF246" i="1"/>
  <c r="AC246" i="1"/>
  <c r="AF245" i="1"/>
  <c r="AC245" i="1"/>
  <c r="AF244" i="1"/>
  <c r="AC244" i="1"/>
  <c r="AF243" i="1"/>
  <c r="AC243" i="1"/>
  <c r="AF242" i="1"/>
  <c r="AC242" i="1"/>
  <c r="AF241" i="1"/>
  <c r="AC241" i="1"/>
  <c r="AF240" i="1"/>
  <c r="AC240" i="1"/>
  <c r="AF239" i="1"/>
  <c r="AC239" i="1"/>
  <c r="AF238" i="1"/>
  <c r="AC238" i="1"/>
  <c r="AF237" i="1"/>
  <c r="AC237" i="1"/>
  <c r="AF236" i="1"/>
  <c r="AC236" i="1"/>
  <c r="AF235" i="1"/>
  <c r="AC235" i="1"/>
  <c r="AF234" i="1"/>
  <c r="AC234" i="1"/>
  <c r="AF233" i="1"/>
  <c r="AC233" i="1"/>
  <c r="AF232" i="1"/>
  <c r="AC232" i="1"/>
  <c r="AF231" i="1"/>
  <c r="AC231" i="1"/>
  <c r="AF230" i="1"/>
  <c r="AC230" i="1"/>
  <c r="AF229" i="1"/>
  <c r="AC229" i="1"/>
  <c r="AF228" i="1"/>
  <c r="AC228" i="1"/>
  <c r="AF227" i="1"/>
  <c r="AC227" i="1"/>
  <c r="AF226" i="1"/>
  <c r="AC226" i="1"/>
  <c r="AF225" i="1"/>
  <c r="AC225" i="1"/>
  <c r="AF224" i="1"/>
  <c r="AC224" i="1"/>
  <c r="AF223" i="1"/>
  <c r="AC223" i="1"/>
  <c r="AF222" i="1"/>
  <c r="AC222" i="1"/>
  <c r="AF221" i="1"/>
  <c r="AC221" i="1"/>
  <c r="AF220" i="1"/>
  <c r="AC220" i="1"/>
  <c r="AF219" i="1"/>
  <c r="AC219" i="1"/>
  <c r="AF218" i="1"/>
  <c r="AC218" i="1"/>
  <c r="AF217" i="1"/>
  <c r="AC217" i="1"/>
  <c r="AF216" i="1"/>
  <c r="AC216" i="1"/>
  <c r="AF215" i="1"/>
  <c r="AC215" i="1"/>
  <c r="AF214" i="1"/>
  <c r="AC214" i="1"/>
  <c r="AF213" i="1"/>
  <c r="AC213" i="1"/>
  <c r="AF212" i="1"/>
  <c r="AC212" i="1"/>
  <c r="AF211" i="1"/>
  <c r="AC211" i="1"/>
  <c r="AF210" i="1"/>
  <c r="AC210" i="1"/>
  <c r="AF209" i="1"/>
  <c r="AC209" i="1"/>
  <c r="AF208" i="1"/>
  <c r="AC208" i="1"/>
  <c r="AF207" i="1"/>
  <c r="AC207" i="1"/>
  <c r="AF206" i="1"/>
  <c r="AC206" i="1"/>
  <c r="AF205" i="1"/>
  <c r="AC205" i="1"/>
  <c r="AF204" i="1"/>
  <c r="AC204" i="1"/>
  <c r="AF203" i="1"/>
  <c r="AC203" i="1"/>
  <c r="AF202" i="1"/>
  <c r="AC202" i="1"/>
  <c r="AF201" i="1"/>
  <c r="AC201" i="1"/>
  <c r="AF200" i="1"/>
  <c r="AC200" i="1"/>
  <c r="AF199" i="1"/>
  <c r="AC199" i="1"/>
  <c r="AF198" i="1"/>
  <c r="AC198" i="1"/>
  <c r="AF197" i="1"/>
  <c r="AC197" i="1"/>
  <c r="AF196" i="1"/>
  <c r="AC196" i="1"/>
  <c r="AF195" i="1"/>
  <c r="AC195" i="1"/>
  <c r="AF194" i="1"/>
  <c r="AC194" i="1"/>
  <c r="AF193" i="1"/>
  <c r="AC193" i="1"/>
  <c r="AF192" i="1"/>
  <c r="AC192" i="1"/>
  <c r="AF191" i="1"/>
  <c r="AC191" i="1"/>
  <c r="AF190" i="1"/>
  <c r="AC190" i="1"/>
  <c r="AF189" i="1"/>
  <c r="AC189" i="1"/>
  <c r="AF188" i="1"/>
  <c r="AC188" i="1"/>
  <c r="AF187" i="1"/>
  <c r="AC187" i="1"/>
  <c r="AF186" i="1"/>
  <c r="AC186" i="1"/>
  <c r="AF185" i="1"/>
  <c r="AC185" i="1"/>
  <c r="AF184" i="1"/>
  <c r="AC184" i="1"/>
  <c r="AF183" i="1"/>
  <c r="AC183" i="1"/>
  <c r="AF182" i="1"/>
  <c r="AC182" i="1"/>
  <c r="AF181" i="1"/>
  <c r="AC181" i="1"/>
  <c r="AF180" i="1"/>
  <c r="AC180" i="1"/>
  <c r="AF179" i="1"/>
  <c r="AC179" i="1"/>
  <c r="AF178" i="1"/>
  <c r="AC178" i="1"/>
  <c r="AF177" i="1"/>
  <c r="AC177" i="1"/>
  <c r="AF176" i="1"/>
  <c r="AC176" i="1"/>
  <c r="AF175" i="1"/>
  <c r="AC175" i="1"/>
  <c r="AF174" i="1"/>
  <c r="AC174" i="1"/>
  <c r="AF173" i="1"/>
  <c r="AC173" i="1"/>
  <c r="AF172" i="1"/>
  <c r="AC172" i="1"/>
  <c r="AF171" i="1"/>
  <c r="AC171" i="1"/>
  <c r="AF170" i="1"/>
  <c r="AC170" i="1"/>
  <c r="AF169" i="1"/>
  <c r="AC169" i="1"/>
  <c r="AF168" i="1"/>
  <c r="AC168" i="1"/>
  <c r="AF167" i="1"/>
  <c r="AC167" i="1"/>
  <c r="AF166" i="1"/>
  <c r="AC166" i="1"/>
  <c r="AF165" i="1"/>
  <c r="AC165" i="1"/>
  <c r="AF164" i="1"/>
  <c r="AC164" i="1"/>
  <c r="AF163" i="1"/>
  <c r="AC163" i="1"/>
  <c r="AF162" i="1"/>
  <c r="AC162" i="1"/>
  <c r="AF161" i="1"/>
  <c r="AC161" i="1"/>
  <c r="AF160" i="1"/>
  <c r="AC160" i="1"/>
  <c r="AF159" i="1"/>
  <c r="AC159" i="1"/>
  <c r="AF158" i="1"/>
  <c r="AC158" i="1"/>
  <c r="AF157" i="1"/>
  <c r="AC157" i="1"/>
  <c r="AF156" i="1"/>
  <c r="AC156" i="1"/>
  <c r="AF155" i="1"/>
  <c r="AC155" i="1"/>
  <c r="AF154" i="1"/>
  <c r="AC154" i="1"/>
  <c r="AF153" i="1"/>
  <c r="AC153" i="1"/>
  <c r="AF152" i="1"/>
  <c r="AC152" i="1"/>
  <c r="AF151" i="1"/>
  <c r="AC151" i="1"/>
  <c r="AF150" i="1"/>
  <c r="AC150" i="1"/>
  <c r="AF149" i="1"/>
  <c r="AC149" i="1"/>
  <c r="AF148" i="1"/>
  <c r="AC148" i="1"/>
  <c r="AF147" i="1"/>
  <c r="AC147" i="1"/>
  <c r="AF146" i="1"/>
  <c r="AC146" i="1"/>
  <c r="AF145" i="1"/>
  <c r="AC145" i="1"/>
  <c r="AF144" i="1"/>
  <c r="AC144" i="1"/>
  <c r="AF143" i="1"/>
  <c r="AC143" i="1"/>
  <c r="AF142" i="1"/>
  <c r="AC142" i="1"/>
  <c r="AF141" i="1"/>
  <c r="AC141" i="1"/>
  <c r="AF140" i="1"/>
  <c r="AC140" i="1"/>
  <c r="AF139" i="1"/>
  <c r="AC139" i="1"/>
  <c r="AF138" i="1"/>
  <c r="AC138" i="1"/>
  <c r="AF137" i="1"/>
  <c r="AC137" i="1"/>
  <c r="AF136" i="1"/>
  <c r="AC136" i="1"/>
  <c r="AF135" i="1"/>
  <c r="AC135" i="1"/>
  <c r="AF134" i="1"/>
  <c r="AC134" i="1"/>
  <c r="AF133" i="1"/>
  <c r="AC133" i="1"/>
  <c r="AF132" i="1"/>
  <c r="AC132" i="1"/>
  <c r="AF131" i="1"/>
  <c r="AC131" i="1"/>
  <c r="AF130" i="1"/>
  <c r="AC130" i="1"/>
  <c r="AF129" i="1"/>
  <c r="AC129" i="1"/>
  <c r="AF128" i="1"/>
  <c r="AC128" i="1"/>
  <c r="AF127" i="1"/>
  <c r="AC127" i="1"/>
  <c r="AF126" i="1"/>
  <c r="AC126" i="1"/>
  <c r="AF125" i="1"/>
  <c r="AC125" i="1"/>
  <c r="AF124" i="1"/>
  <c r="AC124" i="1"/>
  <c r="AF123" i="1"/>
  <c r="AC123" i="1"/>
  <c r="AF122" i="1"/>
  <c r="AC122" i="1"/>
  <c r="AF121" i="1"/>
  <c r="AC121" i="1"/>
  <c r="AF120" i="1"/>
  <c r="AC120" i="1"/>
  <c r="AF119" i="1"/>
  <c r="AC119" i="1"/>
  <c r="AF118" i="1"/>
  <c r="AC118" i="1"/>
  <c r="AF117" i="1"/>
  <c r="AC117" i="1"/>
  <c r="AF116" i="1"/>
  <c r="AC116" i="1"/>
  <c r="AF115" i="1"/>
  <c r="AC115" i="1"/>
  <c r="AF114" i="1"/>
  <c r="AC114" i="1"/>
  <c r="AF113" i="1"/>
  <c r="AC113" i="1"/>
  <c r="AF112" i="1"/>
  <c r="AC112" i="1"/>
  <c r="AF111" i="1"/>
  <c r="AC111" i="1"/>
  <c r="AF110" i="1"/>
  <c r="AC110" i="1"/>
  <c r="AF109" i="1"/>
  <c r="AC109" i="1"/>
  <c r="AF108" i="1"/>
  <c r="AC108" i="1"/>
  <c r="AF107" i="1"/>
  <c r="AC107" i="1"/>
  <c r="AF106" i="1"/>
  <c r="AC106" i="1"/>
  <c r="AF105" i="1"/>
  <c r="AC105" i="1"/>
  <c r="AF104" i="1"/>
  <c r="AC104" i="1"/>
  <c r="AF103" i="1"/>
  <c r="AC103" i="1"/>
  <c r="AF102" i="1"/>
  <c r="AC102" i="1"/>
  <c r="AF101" i="1"/>
  <c r="AC101" i="1"/>
  <c r="AF100" i="1"/>
  <c r="AC100" i="1"/>
  <c r="AF99" i="1"/>
  <c r="AC99" i="1"/>
  <c r="AF98" i="1"/>
  <c r="AC98" i="1"/>
  <c r="AF97" i="1"/>
  <c r="AC97" i="1"/>
  <c r="AF96" i="1"/>
  <c r="AC96" i="1"/>
  <c r="AF95" i="1"/>
  <c r="AC95" i="1"/>
  <c r="AF94" i="1"/>
  <c r="AC94" i="1"/>
  <c r="AF93" i="1"/>
  <c r="AC93" i="1"/>
  <c r="AF92" i="1"/>
  <c r="AC92" i="1"/>
  <c r="AF91" i="1"/>
  <c r="AC91" i="1"/>
  <c r="AF90" i="1"/>
  <c r="AC90" i="1"/>
  <c r="AF89" i="1"/>
  <c r="AC89" i="1"/>
  <c r="AF88" i="1"/>
  <c r="AC88" i="1"/>
  <c r="AF87" i="1"/>
  <c r="AC87" i="1"/>
  <c r="AF86" i="1"/>
  <c r="AC86" i="1"/>
  <c r="AF85" i="1"/>
  <c r="AC85" i="1"/>
  <c r="AF84" i="1"/>
  <c r="AC84" i="1"/>
  <c r="AF83" i="1"/>
  <c r="AC83" i="1"/>
  <c r="AF82" i="1"/>
  <c r="AC82" i="1"/>
  <c r="AF81" i="1"/>
  <c r="AC81" i="1"/>
  <c r="AF80" i="1"/>
  <c r="AC80" i="1"/>
  <c r="AF79" i="1"/>
  <c r="AC79" i="1"/>
  <c r="AF78" i="1"/>
  <c r="AC78" i="1"/>
  <c r="AF77" i="1"/>
  <c r="AC77" i="1"/>
  <c r="AF76" i="1"/>
  <c r="AC76" i="1"/>
  <c r="AF75" i="1"/>
  <c r="AC75" i="1"/>
  <c r="AF74" i="1"/>
  <c r="AC74" i="1"/>
  <c r="AF73" i="1"/>
  <c r="AC73" i="1"/>
  <c r="AF72" i="1"/>
  <c r="AC72" i="1"/>
  <c r="AF71" i="1"/>
  <c r="AC71" i="1"/>
  <c r="AF70" i="1"/>
  <c r="AC70" i="1"/>
  <c r="AF69" i="1"/>
  <c r="AC69" i="1"/>
  <c r="AF68" i="1"/>
  <c r="AC68" i="1"/>
  <c r="AF67" i="1"/>
  <c r="AC67" i="1"/>
  <c r="AF66" i="1"/>
  <c r="AC66" i="1"/>
  <c r="AF65" i="1"/>
  <c r="AC65" i="1"/>
  <c r="AF64" i="1"/>
  <c r="AC64" i="1"/>
  <c r="AF63" i="1"/>
  <c r="AC63" i="1"/>
  <c r="AF62" i="1"/>
  <c r="AC62" i="1"/>
  <c r="AF61" i="1"/>
  <c r="AC61" i="1"/>
  <c r="AF60" i="1"/>
  <c r="AC60" i="1"/>
  <c r="AF59" i="1"/>
  <c r="AC59" i="1"/>
  <c r="AF58" i="1"/>
  <c r="AC58" i="1"/>
  <c r="AF57" i="1"/>
  <c r="AC57" i="1"/>
  <c r="AF56" i="1"/>
  <c r="AC56" i="1"/>
  <c r="AF55" i="1"/>
  <c r="AC55" i="1"/>
  <c r="AF54" i="1"/>
  <c r="AC54" i="1"/>
  <c r="AF53" i="1"/>
  <c r="AC53" i="1"/>
  <c r="AF52" i="1"/>
  <c r="AC52" i="1"/>
  <c r="AF51" i="1"/>
  <c r="AC51" i="1"/>
  <c r="AF50" i="1"/>
  <c r="AC50" i="1"/>
  <c r="AF49" i="1"/>
  <c r="AC49" i="1"/>
  <c r="AF48" i="1"/>
  <c r="AC48" i="1"/>
  <c r="AF47" i="1"/>
  <c r="AC47" i="1"/>
  <c r="AF46" i="1"/>
  <c r="AC46" i="1"/>
  <c r="AF45" i="1"/>
  <c r="AC45" i="1"/>
  <c r="AF44" i="1"/>
  <c r="AC44" i="1"/>
  <c r="AF43" i="1"/>
  <c r="AC43" i="1"/>
  <c r="AF42" i="1"/>
  <c r="AC42" i="1"/>
  <c r="AF41" i="1"/>
  <c r="AC41" i="1"/>
  <c r="AF40" i="1"/>
  <c r="AC40" i="1"/>
  <c r="AF39" i="1"/>
  <c r="AC39" i="1"/>
  <c r="AF38" i="1"/>
  <c r="AC38" i="1"/>
  <c r="AF37" i="1"/>
  <c r="AC37" i="1"/>
  <c r="AF36" i="1"/>
  <c r="AC36" i="1"/>
  <c r="AF35" i="1"/>
  <c r="AC35" i="1"/>
  <c r="AF34" i="1"/>
  <c r="AC34" i="1"/>
  <c r="AF33" i="1"/>
  <c r="AC33" i="1"/>
  <c r="AF32" i="1"/>
  <c r="AC32" i="1"/>
  <c r="AF31" i="1"/>
  <c r="AC31" i="1"/>
  <c r="AF30" i="1"/>
  <c r="AC30" i="1"/>
  <c r="AF29" i="1"/>
  <c r="AC29" i="1"/>
  <c r="AF28" i="1"/>
  <c r="AC28" i="1"/>
  <c r="AF27" i="1"/>
  <c r="AC27" i="1"/>
  <c r="AF26" i="1"/>
  <c r="AC26" i="1"/>
  <c r="AF25" i="1"/>
  <c r="AC25" i="1"/>
  <c r="AF24" i="1"/>
  <c r="AC24" i="1"/>
  <c r="AF23" i="1"/>
  <c r="AC23" i="1"/>
  <c r="AF22" i="1"/>
  <c r="AC22" i="1"/>
  <c r="AF21" i="1"/>
  <c r="AC21" i="1"/>
  <c r="AF20" i="1"/>
  <c r="AC20" i="1"/>
  <c r="AF19" i="1"/>
  <c r="AC19" i="1"/>
  <c r="AF18" i="1"/>
  <c r="AC18" i="1"/>
  <c r="AF17" i="1"/>
  <c r="AC17" i="1"/>
  <c r="AF16" i="1"/>
  <c r="AC16" i="1"/>
  <c r="AF15" i="1"/>
  <c r="AC15" i="1"/>
  <c r="AF14" i="1"/>
  <c r="AC14" i="1"/>
  <c r="AF13" i="1"/>
  <c r="AC13" i="1"/>
  <c r="AF12" i="1"/>
  <c r="AC12" i="1"/>
  <c r="AF11" i="1"/>
  <c r="AC11" i="1"/>
  <c r="AF10" i="1"/>
  <c r="AC10" i="1"/>
  <c r="AF9" i="1"/>
  <c r="AC9" i="1"/>
  <c r="AF8" i="1"/>
  <c r="AC8" i="1"/>
  <c r="AF7" i="1"/>
  <c r="AC7" i="1"/>
  <c r="AF6" i="1"/>
  <c r="AC6" i="1"/>
  <c r="AF5" i="1"/>
  <c r="AC5" i="1"/>
  <c r="AF4" i="1"/>
  <c r="AC4" i="1"/>
  <c r="AF3" i="1"/>
  <c r="AC3" i="1"/>
  <c r="DA25" i="5"/>
  <c r="DA24" i="5"/>
  <c r="DA23" i="5"/>
  <c r="DA22" i="5"/>
  <c r="DA21" i="5"/>
  <c r="DA20" i="5"/>
  <c r="DA19" i="5"/>
  <c r="DA18" i="5"/>
  <c r="DA17" i="5"/>
  <c r="DA16" i="5"/>
  <c r="DA15" i="5"/>
  <c r="DA14" i="5"/>
  <c r="DA13" i="5"/>
  <c r="DA12" i="5"/>
  <c r="DA11" i="5"/>
  <c r="DA10" i="5"/>
  <c r="DA9" i="5"/>
  <c r="DA8" i="5"/>
  <c r="DA7" i="5"/>
  <c r="DA6" i="5"/>
  <c r="DA5" i="5"/>
  <c r="DA4" i="5"/>
  <c r="DA3" i="5"/>
  <c r="DA2" i="5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C25" i="4"/>
  <c r="B25" i="4"/>
  <c r="C24" i="4"/>
  <c r="B24" i="4"/>
  <c r="C23" i="4"/>
  <c r="B23" i="4"/>
  <c r="B22" i="4"/>
  <c r="C21" i="4"/>
  <c r="B21" i="4"/>
  <c r="C20" i="4"/>
  <c r="B20" i="4"/>
  <c r="C19" i="4"/>
  <c r="B19" i="4"/>
  <c r="B18" i="4"/>
  <c r="C17" i="4"/>
  <c r="B17" i="4"/>
  <c r="C16" i="4"/>
  <c r="B16" i="4"/>
  <c r="C15" i="4"/>
  <c r="B15" i="4"/>
  <c r="B14" i="4"/>
  <c r="C13" i="4"/>
  <c r="B13" i="4"/>
  <c r="C12" i="4"/>
  <c r="B12" i="4"/>
  <c r="C11" i="4"/>
  <c r="B11" i="4"/>
  <c r="B10" i="4"/>
  <c r="C9" i="4"/>
  <c r="B9" i="4"/>
  <c r="C8" i="4"/>
  <c r="B8" i="4"/>
  <c r="C7" i="4"/>
  <c r="B7" i="4"/>
  <c r="P21" i="1" l="1"/>
  <c r="T276" i="1"/>
  <c r="AG276" i="1" s="1"/>
  <c r="U253" i="1"/>
  <c r="W253" i="1" s="1"/>
  <c r="U251" i="1"/>
  <c r="W251" i="1" s="1"/>
  <c r="U249" i="1"/>
  <c r="W249" i="1" s="1"/>
  <c r="U247" i="1"/>
  <c r="W247" i="1" s="1"/>
  <c r="U245" i="1"/>
  <c r="W245" i="1" s="1"/>
  <c r="U243" i="1"/>
  <c r="W243" i="1" s="1"/>
  <c r="U241" i="1"/>
  <c r="W241" i="1" s="1"/>
  <c r="U239" i="1"/>
  <c r="W239" i="1" s="1"/>
  <c r="U237" i="1"/>
  <c r="W237" i="1" s="1"/>
  <c r="U235" i="1"/>
  <c r="W235" i="1" s="1"/>
  <c r="U233" i="1"/>
  <c r="W233" i="1" s="1"/>
  <c r="U231" i="1"/>
  <c r="W231" i="1" s="1"/>
  <c r="U229" i="1"/>
  <c r="W229" i="1" s="1"/>
  <c r="U227" i="1"/>
  <c r="W227" i="1" s="1"/>
  <c r="U225" i="1"/>
  <c r="W225" i="1" s="1"/>
  <c r="U223" i="1"/>
  <c r="W223" i="1" s="1"/>
  <c r="U221" i="1"/>
  <c r="W221" i="1" s="1"/>
  <c r="U219" i="1"/>
  <c r="W219" i="1" s="1"/>
  <c r="U217" i="1"/>
  <c r="W217" i="1" s="1"/>
  <c r="U215" i="1"/>
  <c r="W215" i="1" s="1"/>
  <c r="U213" i="1"/>
  <c r="W213" i="1" s="1"/>
  <c r="U211" i="1"/>
  <c r="W211" i="1" s="1"/>
  <c r="U209" i="1"/>
  <c r="W209" i="1" s="1"/>
  <c r="U207" i="1"/>
  <c r="W207" i="1" s="1"/>
  <c r="U205" i="1"/>
  <c r="W205" i="1" s="1"/>
  <c r="U203" i="1"/>
  <c r="W203" i="1" s="1"/>
  <c r="T253" i="1"/>
  <c r="AG253" i="1" s="1"/>
  <c r="T251" i="1"/>
  <c r="AG251" i="1" s="1"/>
  <c r="T249" i="1"/>
  <c r="AG249" i="1" s="1"/>
  <c r="T247" i="1"/>
  <c r="AG247" i="1" s="1"/>
  <c r="T245" i="1"/>
  <c r="AG245" i="1" s="1"/>
  <c r="T243" i="1"/>
  <c r="AG243" i="1" s="1"/>
  <c r="T241" i="1"/>
  <c r="AG241" i="1" s="1"/>
  <c r="T239" i="1"/>
  <c r="AG239" i="1" s="1"/>
  <c r="T237" i="1"/>
  <c r="AG237" i="1" s="1"/>
  <c r="T235" i="1"/>
  <c r="AG235" i="1" s="1"/>
  <c r="T233" i="1"/>
  <c r="AG233" i="1" s="1"/>
  <c r="T231" i="1"/>
  <c r="AG231" i="1" s="1"/>
  <c r="T229" i="1"/>
  <c r="AG229" i="1" s="1"/>
  <c r="T227" i="1"/>
  <c r="AG227" i="1" s="1"/>
  <c r="T225" i="1"/>
  <c r="AG225" i="1" s="1"/>
  <c r="T223" i="1"/>
  <c r="AG223" i="1" s="1"/>
  <c r="T221" i="1"/>
  <c r="AG221" i="1" s="1"/>
  <c r="T219" i="1"/>
  <c r="AG219" i="1" s="1"/>
  <c r="T217" i="1"/>
  <c r="AG217" i="1" s="1"/>
  <c r="T215" i="1"/>
  <c r="AG215" i="1" s="1"/>
  <c r="T213" i="1"/>
  <c r="AG213" i="1" s="1"/>
  <c r="T211" i="1"/>
  <c r="AG211" i="1" s="1"/>
  <c r="T209" i="1"/>
  <c r="AG209" i="1" s="1"/>
  <c r="T207" i="1"/>
  <c r="AG207" i="1" s="1"/>
  <c r="T205" i="1"/>
  <c r="AG205" i="1" s="1"/>
  <c r="R253" i="1"/>
  <c r="V253" i="1" s="1"/>
  <c r="R251" i="1"/>
  <c r="V251" i="1" s="1"/>
  <c r="R249" i="1"/>
  <c r="V249" i="1" s="1"/>
  <c r="R247" i="1"/>
  <c r="V247" i="1" s="1"/>
  <c r="R245" i="1"/>
  <c r="V245" i="1" s="1"/>
  <c r="R243" i="1"/>
  <c r="V243" i="1" s="1"/>
  <c r="R241" i="1"/>
  <c r="V241" i="1" s="1"/>
  <c r="R239" i="1"/>
  <c r="V239" i="1" s="1"/>
  <c r="R237" i="1"/>
  <c r="V237" i="1" s="1"/>
  <c r="R235" i="1"/>
  <c r="V235" i="1" s="1"/>
  <c r="R233" i="1"/>
  <c r="V233" i="1" s="1"/>
  <c r="R231" i="1"/>
  <c r="V231" i="1" s="1"/>
  <c r="R229" i="1"/>
  <c r="V229" i="1" s="1"/>
  <c r="R227" i="1"/>
  <c r="V227" i="1" s="1"/>
  <c r="R225" i="1"/>
  <c r="V225" i="1" s="1"/>
  <c r="R223" i="1"/>
  <c r="V223" i="1" s="1"/>
  <c r="R221" i="1"/>
  <c r="V221" i="1" s="1"/>
  <c r="R219" i="1"/>
  <c r="V219" i="1" s="1"/>
  <c r="R217" i="1"/>
  <c r="V217" i="1" s="1"/>
  <c r="R215" i="1"/>
  <c r="V215" i="1" s="1"/>
  <c r="R213" i="1"/>
  <c r="V213" i="1" s="1"/>
  <c r="R211" i="1"/>
  <c r="V211" i="1" s="1"/>
  <c r="R209" i="1"/>
  <c r="V209" i="1" s="1"/>
  <c r="R207" i="1"/>
  <c r="V207" i="1" s="1"/>
  <c r="R205" i="1"/>
  <c r="V205" i="1" s="1"/>
  <c r="R203" i="1"/>
  <c r="V203" i="1" s="1"/>
  <c r="R201" i="1"/>
  <c r="V201" i="1" s="1"/>
  <c r="R199" i="1"/>
  <c r="V199" i="1" s="1"/>
  <c r="R197" i="1"/>
  <c r="V197" i="1" s="1"/>
  <c r="R195" i="1"/>
  <c r="V195" i="1" s="1"/>
  <c r="R193" i="1"/>
  <c r="V193" i="1" s="1"/>
  <c r="P253" i="1"/>
  <c r="P251" i="1"/>
  <c r="P249" i="1"/>
  <c r="P247" i="1"/>
  <c r="P245" i="1"/>
  <c r="P243" i="1"/>
  <c r="P241" i="1"/>
  <c r="P239" i="1"/>
  <c r="P237" i="1"/>
  <c r="P235" i="1"/>
  <c r="P233" i="1"/>
  <c r="P231" i="1"/>
  <c r="P229" i="1"/>
  <c r="P227" i="1"/>
  <c r="P225" i="1"/>
  <c r="P223" i="1"/>
  <c r="P221" i="1"/>
  <c r="P219" i="1"/>
  <c r="P217" i="1"/>
  <c r="P215" i="1"/>
  <c r="P213" i="1"/>
  <c r="P211" i="1"/>
  <c r="P209" i="1"/>
  <c r="P207" i="1"/>
  <c r="P205" i="1"/>
  <c r="P203" i="1"/>
  <c r="P201" i="1"/>
  <c r="P199" i="1"/>
  <c r="P197" i="1"/>
  <c r="P195" i="1"/>
  <c r="P193" i="1"/>
  <c r="P191" i="1"/>
  <c r="P189" i="1"/>
  <c r="P187" i="1"/>
  <c r="P185" i="1"/>
  <c r="P183" i="1"/>
  <c r="P181" i="1"/>
  <c r="P179" i="1"/>
  <c r="P177" i="1"/>
  <c r="P175" i="1"/>
  <c r="P173" i="1"/>
  <c r="P171" i="1"/>
  <c r="P169" i="1"/>
  <c r="P167" i="1"/>
  <c r="P165" i="1"/>
  <c r="P163" i="1"/>
  <c r="P161" i="1"/>
  <c r="S276" i="1"/>
  <c r="Y276" i="1" s="1"/>
  <c r="S254" i="1"/>
  <c r="Y254" i="1" s="1"/>
  <c r="S252" i="1"/>
  <c r="Y252" i="1" s="1"/>
  <c r="S250" i="1"/>
  <c r="Y250" i="1" s="1"/>
  <c r="S248" i="1"/>
  <c r="Y248" i="1" s="1"/>
  <c r="S246" i="1"/>
  <c r="Y246" i="1" s="1"/>
  <c r="S244" i="1"/>
  <c r="Y244" i="1" s="1"/>
  <c r="S242" i="1"/>
  <c r="Y242" i="1" s="1"/>
  <c r="S240" i="1"/>
  <c r="Y240" i="1" s="1"/>
  <c r="S238" i="1"/>
  <c r="Y238" i="1" s="1"/>
  <c r="S236" i="1"/>
  <c r="Y236" i="1" s="1"/>
  <c r="S234" i="1"/>
  <c r="Y234" i="1" s="1"/>
  <c r="S232" i="1"/>
  <c r="Y232" i="1" s="1"/>
  <c r="S230" i="1"/>
  <c r="Y230" i="1" s="1"/>
  <c r="S228" i="1"/>
  <c r="Y228" i="1" s="1"/>
  <c r="S226" i="1"/>
  <c r="Y226" i="1" s="1"/>
  <c r="S224" i="1"/>
  <c r="Y224" i="1" s="1"/>
  <c r="S222" i="1"/>
  <c r="Y222" i="1" s="1"/>
  <c r="S220" i="1"/>
  <c r="Y220" i="1" s="1"/>
  <c r="S218" i="1"/>
  <c r="Y218" i="1" s="1"/>
  <c r="S216" i="1"/>
  <c r="Y216" i="1" s="1"/>
  <c r="S214" i="1"/>
  <c r="Y214" i="1" s="1"/>
  <c r="S212" i="1"/>
  <c r="Y212" i="1" s="1"/>
  <c r="S210" i="1"/>
  <c r="Y210" i="1" s="1"/>
  <c r="S208" i="1"/>
  <c r="Y208" i="1" s="1"/>
  <c r="S206" i="1"/>
  <c r="Y206" i="1" s="1"/>
  <c r="S204" i="1"/>
  <c r="Y204" i="1" s="1"/>
  <c r="S202" i="1"/>
  <c r="Y202" i="1" s="1"/>
  <c r="S200" i="1"/>
  <c r="Y200" i="1" s="1"/>
  <c r="S198" i="1"/>
  <c r="Y198" i="1" s="1"/>
  <c r="S196" i="1"/>
  <c r="Y196" i="1" s="1"/>
  <c r="S194" i="1"/>
  <c r="Y194" i="1" s="1"/>
  <c r="S192" i="1"/>
  <c r="Y192" i="1" s="1"/>
  <c r="S190" i="1"/>
  <c r="Y190" i="1" s="1"/>
  <c r="S188" i="1"/>
  <c r="Y188" i="1" s="1"/>
  <c r="S186" i="1"/>
  <c r="Y186" i="1" s="1"/>
  <c r="S184" i="1"/>
  <c r="Y184" i="1" s="1"/>
  <c r="S182" i="1"/>
  <c r="Y182" i="1" s="1"/>
  <c r="S180" i="1"/>
  <c r="Y180" i="1" s="1"/>
  <c r="S178" i="1"/>
  <c r="Y178" i="1" s="1"/>
  <c r="S176" i="1"/>
  <c r="Y176" i="1" s="1"/>
  <c r="S174" i="1"/>
  <c r="Y174" i="1" s="1"/>
  <c r="S172" i="1"/>
  <c r="Y172" i="1" s="1"/>
  <c r="S170" i="1"/>
  <c r="Y170" i="1" s="1"/>
  <c r="S168" i="1"/>
  <c r="Y168" i="1" s="1"/>
  <c r="S166" i="1"/>
  <c r="Y166" i="1" s="1"/>
  <c r="S164" i="1"/>
  <c r="Y164" i="1" s="1"/>
  <c r="S162" i="1"/>
  <c r="Y162" i="1" s="1"/>
  <c r="S160" i="1"/>
  <c r="Y160" i="1" s="1"/>
  <c r="S158" i="1"/>
  <c r="Y158" i="1" s="1"/>
  <c r="S156" i="1"/>
  <c r="Y156" i="1" s="1"/>
  <c r="S154" i="1"/>
  <c r="Y154" i="1" s="1"/>
  <c r="S152" i="1"/>
  <c r="Y152" i="1" s="1"/>
  <c r="P252" i="1"/>
  <c r="R248" i="1"/>
  <c r="V248" i="1" s="1"/>
  <c r="U244" i="1"/>
  <c r="W244" i="1" s="1"/>
  <c r="S241" i="1"/>
  <c r="Y241" i="1" s="1"/>
  <c r="Q238" i="1"/>
  <c r="X238" i="1" s="1"/>
  <c r="T234" i="1"/>
  <c r="AG234" i="1" s="1"/>
  <c r="Q231" i="1"/>
  <c r="X231" i="1" s="1"/>
  <c r="P228" i="1"/>
  <c r="R224" i="1"/>
  <c r="V224" i="1" s="1"/>
  <c r="U220" i="1"/>
  <c r="W220" i="1" s="1"/>
  <c r="S217" i="1"/>
  <c r="Y217" i="1" s="1"/>
  <c r="Q214" i="1"/>
  <c r="X214" i="1" s="1"/>
  <c r="T210" i="1"/>
  <c r="AG210" i="1" s="1"/>
  <c r="Q207" i="1"/>
  <c r="X207" i="1" s="1"/>
  <c r="P204" i="1"/>
  <c r="Q201" i="1"/>
  <c r="X201" i="1" s="1"/>
  <c r="R198" i="1"/>
  <c r="V198" i="1" s="1"/>
  <c r="U195" i="1"/>
  <c r="W195" i="1" s="1"/>
  <c r="Q193" i="1"/>
  <c r="X193" i="1" s="1"/>
  <c r="T190" i="1"/>
  <c r="AG190" i="1" s="1"/>
  <c r="Q188" i="1"/>
  <c r="X188" i="1" s="1"/>
  <c r="U185" i="1"/>
  <c r="W185" i="1" s="1"/>
  <c r="S183" i="1"/>
  <c r="Y183" i="1" s="1"/>
  <c r="Q181" i="1"/>
  <c r="X181" i="1" s="1"/>
  <c r="T178" i="1"/>
  <c r="AG178" i="1" s="1"/>
  <c r="Q176" i="1"/>
  <c r="X176" i="1" s="1"/>
  <c r="U173" i="1"/>
  <c r="W173" i="1" s="1"/>
  <c r="S171" i="1"/>
  <c r="Y171" i="1" s="1"/>
  <c r="Q169" i="1"/>
  <c r="X169" i="1" s="1"/>
  <c r="T166" i="1"/>
  <c r="AG166" i="1" s="1"/>
  <c r="Q164" i="1"/>
  <c r="X164" i="1" s="1"/>
  <c r="U161" i="1"/>
  <c r="W161" i="1" s="1"/>
  <c r="S159" i="1"/>
  <c r="Y159" i="1" s="1"/>
  <c r="R157" i="1"/>
  <c r="V157" i="1" s="1"/>
  <c r="Q155" i="1"/>
  <c r="X155" i="1" s="1"/>
  <c r="P153" i="1"/>
  <c r="U150" i="1"/>
  <c r="W150" i="1" s="1"/>
  <c r="U148" i="1"/>
  <c r="W148" i="1" s="1"/>
  <c r="U146" i="1"/>
  <c r="W146" i="1" s="1"/>
  <c r="U144" i="1"/>
  <c r="W144" i="1" s="1"/>
  <c r="U142" i="1"/>
  <c r="W142" i="1" s="1"/>
  <c r="U140" i="1"/>
  <c r="W140" i="1" s="1"/>
  <c r="U138" i="1"/>
  <c r="W138" i="1" s="1"/>
  <c r="U136" i="1"/>
  <c r="W136" i="1" s="1"/>
  <c r="U134" i="1"/>
  <c r="W134" i="1" s="1"/>
  <c r="U132" i="1"/>
  <c r="W132" i="1" s="1"/>
  <c r="U130" i="1"/>
  <c r="W130" i="1" s="1"/>
  <c r="U128" i="1"/>
  <c r="W128" i="1" s="1"/>
  <c r="U126" i="1"/>
  <c r="W126" i="1" s="1"/>
  <c r="U124" i="1"/>
  <c r="W124" i="1" s="1"/>
  <c r="U122" i="1"/>
  <c r="W122" i="1" s="1"/>
  <c r="U120" i="1"/>
  <c r="W120" i="1" s="1"/>
  <c r="U118" i="1"/>
  <c r="W118" i="1" s="1"/>
  <c r="U116" i="1"/>
  <c r="W116" i="1" s="1"/>
  <c r="T254" i="1"/>
  <c r="AG254" i="1" s="1"/>
  <c r="Q251" i="1"/>
  <c r="X251" i="1" s="1"/>
  <c r="P248" i="1"/>
  <c r="R244" i="1"/>
  <c r="V244" i="1" s="1"/>
  <c r="U240" i="1"/>
  <c r="W240" i="1" s="1"/>
  <c r="S237" i="1"/>
  <c r="Y237" i="1" s="1"/>
  <c r="Q234" i="1"/>
  <c r="X234" i="1" s="1"/>
  <c r="T230" i="1"/>
  <c r="AG230" i="1" s="1"/>
  <c r="Q227" i="1"/>
  <c r="X227" i="1" s="1"/>
  <c r="P224" i="1"/>
  <c r="R220" i="1"/>
  <c r="V220" i="1" s="1"/>
  <c r="U216" i="1"/>
  <c r="W216" i="1" s="1"/>
  <c r="S213" i="1"/>
  <c r="Y213" i="1" s="1"/>
  <c r="Q210" i="1"/>
  <c r="X210" i="1" s="1"/>
  <c r="T206" i="1"/>
  <c r="AG206" i="1" s="1"/>
  <c r="S203" i="1"/>
  <c r="Y203" i="1" s="1"/>
  <c r="T200" i="1"/>
  <c r="AG200" i="1" s="1"/>
  <c r="P198" i="1"/>
  <c r="S195" i="1"/>
  <c r="Y195" i="1" s="1"/>
  <c r="T192" i="1"/>
  <c r="AG192" i="1" s="1"/>
  <c r="Q190" i="1"/>
  <c r="X190" i="1" s="1"/>
  <c r="U187" i="1"/>
  <c r="W187" i="1" s="1"/>
  <c r="S185" i="1"/>
  <c r="Y185" i="1" s="1"/>
  <c r="Q183" i="1"/>
  <c r="X183" i="1" s="1"/>
  <c r="T180" i="1"/>
  <c r="AG180" i="1" s="1"/>
  <c r="Q178" i="1"/>
  <c r="X178" i="1" s="1"/>
  <c r="U175" i="1"/>
  <c r="W175" i="1" s="1"/>
  <c r="S173" i="1"/>
  <c r="Y173" i="1" s="1"/>
  <c r="Q171" i="1"/>
  <c r="X171" i="1" s="1"/>
  <c r="T168" i="1"/>
  <c r="AG168" i="1" s="1"/>
  <c r="Q166" i="1"/>
  <c r="X166" i="1" s="1"/>
  <c r="U163" i="1"/>
  <c r="W163" i="1" s="1"/>
  <c r="S161" i="1"/>
  <c r="Y161" i="1" s="1"/>
  <c r="Q159" i="1"/>
  <c r="X159" i="1" s="1"/>
  <c r="P157" i="1"/>
  <c r="U154" i="1"/>
  <c r="W154" i="1" s="1"/>
  <c r="T152" i="1"/>
  <c r="AG152" i="1" s="1"/>
  <c r="S150" i="1"/>
  <c r="Y150" i="1" s="1"/>
  <c r="S148" i="1"/>
  <c r="Y148" i="1" s="1"/>
  <c r="S146" i="1"/>
  <c r="Y146" i="1" s="1"/>
  <c r="S144" i="1"/>
  <c r="Y144" i="1" s="1"/>
  <c r="S142" i="1"/>
  <c r="Y142" i="1" s="1"/>
  <c r="S140" i="1"/>
  <c r="Y140" i="1" s="1"/>
  <c r="S138" i="1"/>
  <c r="Y138" i="1" s="1"/>
  <c r="S136" i="1"/>
  <c r="Y136" i="1" s="1"/>
  <c r="S134" i="1"/>
  <c r="Y134" i="1" s="1"/>
  <c r="S132" i="1"/>
  <c r="Y132" i="1" s="1"/>
  <c r="S130" i="1"/>
  <c r="Y130" i="1" s="1"/>
  <c r="S128" i="1"/>
  <c r="Y128" i="1" s="1"/>
  <c r="S126" i="1"/>
  <c r="Y126" i="1" s="1"/>
  <c r="S124" i="1"/>
  <c r="Y124" i="1" s="1"/>
  <c r="S122" i="1"/>
  <c r="Y122" i="1" s="1"/>
  <c r="S120" i="1"/>
  <c r="Y120" i="1" s="1"/>
  <c r="S118" i="1"/>
  <c r="Y118" i="1" s="1"/>
  <c r="S116" i="1"/>
  <c r="Y116" i="1" s="1"/>
  <c r="S114" i="1"/>
  <c r="Y114" i="1" s="1"/>
  <c r="S112" i="1"/>
  <c r="Y112" i="1" s="1"/>
  <c r="S110" i="1"/>
  <c r="Y110" i="1" s="1"/>
  <c r="S108" i="1"/>
  <c r="Y108" i="1" s="1"/>
  <c r="S106" i="1"/>
  <c r="Y106" i="1" s="1"/>
  <c r="S104" i="1"/>
  <c r="Y104" i="1" s="1"/>
  <c r="S102" i="1"/>
  <c r="Y102" i="1" s="1"/>
  <c r="S100" i="1"/>
  <c r="Y100" i="1" s="1"/>
  <c r="S98" i="1"/>
  <c r="Y98" i="1" s="1"/>
  <c r="S96" i="1"/>
  <c r="Y96" i="1" s="1"/>
  <c r="S94" i="1"/>
  <c r="Y94" i="1" s="1"/>
  <c r="S92" i="1"/>
  <c r="Y92" i="1" s="1"/>
  <c r="R254" i="1"/>
  <c r="V254" i="1" s="1"/>
  <c r="U250" i="1"/>
  <c r="W250" i="1" s="1"/>
  <c r="S247" i="1"/>
  <c r="Y247" i="1" s="1"/>
  <c r="Q244" i="1"/>
  <c r="X244" i="1" s="1"/>
  <c r="T240" i="1"/>
  <c r="AG240" i="1" s="1"/>
  <c r="Q237" i="1"/>
  <c r="X237" i="1" s="1"/>
  <c r="P234" i="1"/>
  <c r="R230" i="1"/>
  <c r="V230" i="1" s="1"/>
  <c r="U226" i="1"/>
  <c r="W226" i="1" s="1"/>
  <c r="S223" i="1"/>
  <c r="Y223" i="1" s="1"/>
  <c r="Q220" i="1"/>
  <c r="X220" i="1" s="1"/>
  <c r="T216" i="1"/>
  <c r="AG216" i="1" s="1"/>
  <c r="Q213" i="1"/>
  <c r="X213" i="1" s="1"/>
  <c r="P210" i="1"/>
  <c r="R206" i="1"/>
  <c r="V206" i="1" s="1"/>
  <c r="Q203" i="1"/>
  <c r="X203" i="1" s="1"/>
  <c r="R200" i="1"/>
  <c r="V200" i="1" s="1"/>
  <c r="R276" i="1"/>
  <c r="V276" i="1" s="1"/>
  <c r="P254" i="1"/>
  <c r="R250" i="1"/>
  <c r="V250" i="1" s="1"/>
  <c r="U246" i="1"/>
  <c r="W246" i="1" s="1"/>
  <c r="S243" i="1"/>
  <c r="Y243" i="1" s="1"/>
  <c r="Q240" i="1"/>
  <c r="X240" i="1" s="1"/>
  <c r="T236" i="1"/>
  <c r="AG236" i="1" s="1"/>
  <c r="Q233" i="1"/>
  <c r="X233" i="1" s="1"/>
  <c r="P230" i="1"/>
  <c r="R226" i="1"/>
  <c r="V226" i="1" s="1"/>
  <c r="U222" i="1"/>
  <c r="W222" i="1" s="1"/>
  <c r="S219" i="1"/>
  <c r="Y219" i="1" s="1"/>
  <c r="Q216" i="1"/>
  <c r="X216" i="1" s="1"/>
  <c r="T212" i="1"/>
  <c r="AG212" i="1" s="1"/>
  <c r="Q209" i="1"/>
  <c r="X209" i="1" s="1"/>
  <c r="P206" i="1"/>
  <c r="T202" i="1"/>
  <c r="AG202" i="1" s="1"/>
  <c r="P200" i="1"/>
  <c r="S197" i="1"/>
  <c r="Y197" i="1" s="1"/>
  <c r="T194" i="1"/>
  <c r="AG194" i="1" s="1"/>
  <c r="P192" i="1"/>
  <c r="T189" i="1"/>
  <c r="AG189" i="1" s="1"/>
  <c r="R187" i="1"/>
  <c r="V187" i="1" s="1"/>
  <c r="U184" i="1"/>
  <c r="W184" i="1" s="1"/>
  <c r="R182" i="1"/>
  <c r="V182" i="1" s="1"/>
  <c r="P180" i="1"/>
  <c r="T177" i="1"/>
  <c r="AG177" i="1" s="1"/>
  <c r="R175" i="1"/>
  <c r="V175" i="1" s="1"/>
  <c r="P276" i="1"/>
  <c r="Q253" i="1"/>
  <c r="X253" i="1" s="1"/>
  <c r="P250" i="1"/>
  <c r="R246" i="1"/>
  <c r="V246" i="1" s="1"/>
  <c r="U242" i="1"/>
  <c r="W242" i="1" s="1"/>
  <c r="S239" i="1"/>
  <c r="Y239" i="1" s="1"/>
  <c r="Q236" i="1"/>
  <c r="X236" i="1" s="1"/>
  <c r="T232" i="1"/>
  <c r="AG232" i="1" s="1"/>
  <c r="Q229" i="1"/>
  <c r="X229" i="1" s="1"/>
  <c r="P226" i="1"/>
  <c r="R222" i="1"/>
  <c r="V222" i="1" s="1"/>
  <c r="U218" i="1"/>
  <c r="W218" i="1" s="1"/>
  <c r="S215" i="1"/>
  <c r="Y215" i="1" s="1"/>
  <c r="Q212" i="1"/>
  <c r="X212" i="1" s="1"/>
  <c r="T208" i="1"/>
  <c r="AG208" i="1" s="1"/>
  <c r="Q205" i="1"/>
  <c r="X205" i="1" s="1"/>
  <c r="Q202" i="1"/>
  <c r="X202" i="1" s="1"/>
  <c r="T199" i="1"/>
  <c r="AG199" i="1" s="1"/>
  <c r="U196" i="1"/>
  <c r="W196" i="1" s="1"/>
  <c r="Q194" i="1"/>
  <c r="X194" i="1" s="1"/>
  <c r="T191" i="1"/>
  <c r="AG191" i="1" s="1"/>
  <c r="R189" i="1"/>
  <c r="V189" i="1" s="1"/>
  <c r="U186" i="1"/>
  <c r="W186" i="1" s="1"/>
  <c r="R184" i="1"/>
  <c r="V184" i="1" s="1"/>
  <c r="P182" i="1"/>
  <c r="T179" i="1"/>
  <c r="AG179" i="1" s="1"/>
  <c r="R177" i="1"/>
  <c r="V177" i="1" s="1"/>
  <c r="U174" i="1"/>
  <c r="W174" i="1" s="1"/>
  <c r="R172" i="1"/>
  <c r="V172" i="1" s="1"/>
  <c r="P170" i="1"/>
  <c r="T167" i="1"/>
  <c r="AG167" i="1" s="1"/>
  <c r="R165" i="1"/>
  <c r="V165" i="1" s="1"/>
  <c r="U162" i="1"/>
  <c r="W162" i="1" s="1"/>
  <c r="R160" i="1"/>
  <c r="V160" i="1" s="1"/>
  <c r="Q158" i="1"/>
  <c r="X158" i="1" s="1"/>
  <c r="P156" i="1"/>
  <c r="U153" i="1"/>
  <c r="W153" i="1" s="1"/>
  <c r="T151" i="1"/>
  <c r="AG151" i="1" s="1"/>
  <c r="T149" i="1"/>
  <c r="AG149" i="1" s="1"/>
  <c r="T147" i="1"/>
  <c r="AG147" i="1" s="1"/>
  <c r="T145" i="1"/>
  <c r="AG145" i="1" s="1"/>
  <c r="T143" i="1"/>
  <c r="AG143" i="1" s="1"/>
  <c r="T141" i="1"/>
  <c r="AG141" i="1" s="1"/>
  <c r="T139" i="1"/>
  <c r="AG139" i="1" s="1"/>
  <c r="T137" i="1"/>
  <c r="AG137" i="1" s="1"/>
  <c r="T135" i="1"/>
  <c r="AG135" i="1" s="1"/>
  <c r="T133" i="1"/>
  <c r="AG133" i="1" s="1"/>
  <c r="T131" i="1"/>
  <c r="AG131" i="1" s="1"/>
  <c r="T129" i="1"/>
  <c r="AG129" i="1" s="1"/>
  <c r="T127" i="1"/>
  <c r="AG127" i="1" s="1"/>
  <c r="T125" i="1"/>
  <c r="AG125" i="1" s="1"/>
  <c r="T123" i="1"/>
  <c r="AG123" i="1" s="1"/>
  <c r="T121" i="1"/>
  <c r="AG121" i="1" s="1"/>
  <c r="T119" i="1"/>
  <c r="AG119" i="1" s="1"/>
  <c r="T117" i="1"/>
  <c r="AG117" i="1" s="1"/>
  <c r="T115" i="1"/>
  <c r="AG115" i="1" s="1"/>
  <c r="T113" i="1"/>
  <c r="AG113" i="1" s="1"/>
  <c r="T111" i="1"/>
  <c r="AG111" i="1" s="1"/>
  <c r="T109" i="1"/>
  <c r="AG109" i="1" s="1"/>
  <c r="T107" i="1"/>
  <c r="AG107" i="1" s="1"/>
  <c r="T105" i="1"/>
  <c r="AG105" i="1" s="1"/>
  <c r="T103" i="1"/>
  <c r="AG103" i="1" s="1"/>
  <c r="T101" i="1"/>
  <c r="AG101" i="1" s="1"/>
  <c r="T99" i="1"/>
  <c r="AG99" i="1" s="1"/>
  <c r="T97" i="1"/>
  <c r="AG97" i="1" s="1"/>
  <c r="T95" i="1"/>
  <c r="AG95" i="1" s="1"/>
  <c r="T93" i="1"/>
  <c r="AG93" i="1" s="1"/>
  <c r="T91" i="1"/>
  <c r="AG91" i="1" s="1"/>
  <c r="T89" i="1"/>
  <c r="AG89" i="1" s="1"/>
  <c r="T87" i="1"/>
  <c r="AG87" i="1" s="1"/>
  <c r="R252" i="1"/>
  <c r="V252" i="1" s="1"/>
  <c r="U248" i="1"/>
  <c r="W248" i="1" s="1"/>
  <c r="S245" i="1"/>
  <c r="Y245" i="1" s="1"/>
  <c r="Q242" i="1"/>
  <c r="X242" i="1" s="1"/>
  <c r="T238" i="1"/>
  <c r="AG238" i="1" s="1"/>
  <c r="Q235" i="1"/>
  <c r="X235" i="1" s="1"/>
  <c r="P232" i="1"/>
  <c r="R228" i="1"/>
  <c r="V228" i="1" s="1"/>
  <c r="U224" i="1"/>
  <c r="W224" i="1" s="1"/>
  <c r="S221" i="1"/>
  <c r="Y221" i="1" s="1"/>
  <c r="Q218" i="1"/>
  <c r="X218" i="1" s="1"/>
  <c r="T214" i="1"/>
  <c r="AG214" i="1" s="1"/>
  <c r="Q211" i="1"/>
  <c r="X211" i="1" s="1"/>
  <c r="P208" i="1"/>
  <c r="R204" i="1"/>
  <c r="V204" i="1" s="1"/>
  <c r="T201" i="1"/>
  <c r="AG201" i="1" s="1"/>
  <c r="U198" i="1"/>
  <c r="W198" i="1" s="1"/>
  <c r="Q196" i="1"/>
  <c r="X196" i="1" s="1"/>
  <c r="T193" i="1"/>
  <c r="AG193" i="1" s="1"/>
  <c r="Q191" i="1"/>
  <c r="X191" i="1" s="1"/>
  <c r="T188" i="1"/>
  <c r="AG188" i="1" s="1"/>
  <c r="Q186" i="1"/>
  <c r="X186" i="1" s="1"/>
  <c r="U183" i="1"/>
  <c r="W183" i="1" s="1"/>
  <c r="S181" i="1"/>
  <c r="Y181" i="1" s="1"/>
  <c r="Q179" i="1"/>
  <c r="X179" i="1" s="1"/>
  <c r="T176" i="1"/>
  <c r="AG176" i="1" s="1"/>
  <c r="Q174" i="1"/>
  <c r="X174" i="1" s="1"/>
  <c r="Q252" i="1"/>
  <c r="X252" i="1" s="1"/>
  <c r="T248" i="1"/>
  <c r="AG248" i="1" s="1"/>
  <c r="Q245" i="1"/>
  <c r="X245" i="1" s="1"/>
  <c r="P242" i="1"/>
  <c r="R238" i="1"/>
  <c r="V238" i="1" s="1"/>
  <c r="U234" i="1"/>
  <c r="W234" i="1" s="1"/>
  <c r="S231" i="1"/>
  <c r="Y231" i="1" s="1"/>
  <c r="Q228" i="1"/>
  <c r="X228" i="1" s="1"/>
  <c r="T224" i="1"/>
  <c r="AG224" i="1" s="1"/>
  <c r="Q221" i="1"/>
  <c r="X221" i="1" s="1"/>
  <c r="P218" i="1"/>
  <c r="R214" i="1"/>
  <c r="V214" i="1" s="1"/>
  <c r="U210" i="1"/>
  <c r="W210" i="1" s="1"/>
  <c r="S207" i="1"/>
  <c r="Y207" i="1" s="1"/>
  <c r="Q204" i="1"/>
  <c r="X204" i="1" s="1"/>
  <c r="S201" i="1"/>
  <c r="Y201" i="1" s="1"/>
  <c r="T198" i="1"/>
  <c r="AG198" i="1" s="1"/>
  <c r="P196" i="1"/>
  <c r="S193" i="1"/>
  <c r="Y193" i="1" s="1"/>
  <c r="U190" i="1"/>
  <c r="W190" i="1" s="1"/>
  <c r="R188" i="1"/>
  <c r="V188" i="1" s="1"/>
  <c r="P186" i="1"/>
  <c r="T183" i="1"/>
  <c r="AG183" i="1" s="1"/>
  <c r="R181" i="1"/>
  <c r="V181" i="1" s="1"/>
  <c r="U178" i="1"/>
  <c r="W178" i="1" s="1"/>
  <c r="R176" i="1"/>
  <c r="V176" i="1" s="1"/>
  <c r="P174" i="1"/>
  <c r="T171" i="1"/>
  <c r="AG171" i="1" s="1"/>
  <c r="R169" i="1"/>
  <c r="V169" i="1" s="1"/>
  <c r="U166" i="1"/>
  <c r="W166" i="1" s="1"/>
  <c r="R164" i="1"/>
  <c r="V164" i="1" s="1"/>
  <c r="P162" i="1"/>
  <c r="T159" i="1"/>
  <c r="AG159" i="1" s="1"/>
  <c r="S157" i="1"/>
  <c r="Y157" i="1" s="1"/>
  <c r="R155" i="1"/>
  <c r="V155" i="1" s="1"/>
  <c r="Q153" i="1"/>
  <c r="X153" i="1" s="1"/>
  <c r="P151" i="1"/>
  <c r="P149" i="1"/>
  <c r="P147" i="1"/>
  <c r="P145" i="1"/>
  <c r="P143" i="1"/>
  <c r="P141" i="1"/>
  <c r="P139" i="1"/>
  <c r="P137" i="1"/>
  <c r="P135" i="1"/>
  <c r="P133" i="1"/>
  <c r="P131" i="1"/>
  <c r="P129" i="1"/>
  <c r="P127" i="1"/>
  <c r="P125" i="1"/>
  <c r="P123" i="1"/>
  <c r="P121" i="1"/>
  <c r="Q248" i="1"/>
  <c r="X248" i="1" s="1"/>
  <c r="P240" i="1"/>
  <c r="Q232" i="1"/>
  <c r="X232" i="1" s="1"/>
  <c r="Q223" i="1"/>
  <c r="X223" i="1" s="1"/>
  <c r="Q215" i="1"/>
  <c r="X215" i="1" s="1"/>
  <c r="U206" i="1"/>
  <c r="W206" i="1" s="1"/>
  <c r="U199" i="1"/>
  <c r="W199" i="1" s="1"/>
  <c r="R194" i="1"/>
  <c r="V194" i="1" s="1"/>
  <c r="S189" i="1"/>
  <c r="Y189" i="1" s="1"/>
  <c r="T184" i="1"/>
  <c r="AG184" i="1" s="1"/>
  <c r="U179" i="1"/>
  <c r="W179" i="1" s="1"/>
  <c r="Q175" i="1"/>
  <c r="X175" i="1" s="1"/>
  <c r="U170" i="1"/>
  <c r="W170" i="1" s="1"/>
  <c r="S167" i="1"/>
  <c r="Y167" i="1" s="1"/>
  <c r="T163" i="1"/>
  <c r="AG163" i="1" s="1"/>
  <c r="Q160" i="1"/>
  <c r="X160" i="1" s="1"/>
  <c r="U156" i="1"/>
  <c r="W156" i="1" s="1"/>
  <c r="T153" i="1"/>
  <c r="AG153" i="1" s="1"/>
  <c r="R150" i="1"/>
  <c r="V150" i="1" s="1"/>
  <c r="S147" i="1"/>
  <c r="Y147" i="1" s="1"/>
  <c r="R144" i="1"/>
  <c r="V144" i="1" s="1"/>
  <c r="S141" i="1"/>
  <c r="Y141" i="1" s="1"/>
  <c r="R138" i="1"/>
  <c r="V138" i="1" s="1"/>
  <c r="S135" i="1"/>
  <c r="Y135" i="1" s="1"/>
  <c r="R132" i="1"/>
  <c r="V132" i="1" s="1"/>
  <c r="S129" i="1"/>
  <c r="Y129" i="1" s="1"/>
  <c r="R126" i="1"/>
  <c r="V126" i="1" s="1"/>
  <c r="S123" i="1"/>
  <c r="Y123" i="1" s="1"/>
  <c r="R120" i="1"/>
  <c r="V120" i="1" s="1"/>
  <c r="U117" i="1"/>
  <c r="W117" i="1" s="1"/>
  <c r="Q115" i="1"/>
  <c r="X115" i="1" s="1"/>
  <c r="U112" i="1"/>
  <c r="W112" i="1" s="1"/>
  <c r="R110" i="1"/>
  <c r="V110" i="1" s="1"/>
  <c r="P108" i="1"/>
  <c r="S105" i="1"/>
  <c r="Y105" i="1" s="1"/>
  <c r="Q103" i="1"/>
  <c r="X103" i="1" s="1"/>
  <c r="U100" i="1"/>
  <c r="W100" i="1" s="1"/>
  <c r="R98" i="1"/>
  <c r="V98" i="1" s="1"/>
  <c r="P96" i="1"/>
  <c r="S93" i="1"/>
  <c r="Y93" i="1" s="1"/>
  <c r="Q91" i="1"/>
  <c r="X91" i="1" s="1"/>
  <c r="P89" i="1"/>
  <c r="U254" i="1"/>
  <c r="W254" i="1" s="1"/>
  <c r="T246" i="1"/>
  <c r="AG246" i="1" s="1"/>
  <c r="U238" i="1"/>
  <c r="W238" i="1" s="1"/>
  <c r="Q230" i="1"/>
  <c r="X230" i="1" s="1"/>
  <c r="Q222" i="1"/>
  <c r="X222" i="1" s="1"/>
  <c r="P214" i="1"/>
  <c r="S205" i="1"/>
  <c r="Y205" i="1" s="1"/>
  <c r="Q199" i="1"/>
  <c r="X199" i="1" s="1"/>
  <c r="U193" i="1"/>
  <c r="W193" i="1" s="1"/>
  <c r="U188" i="1"/>
  <c r="W188" i="1" s="1"/>
  <c r="P184" i="1"/>
  <c r="R179" i="1"/>
  <c r="V179" i="1" s="1"/>
  <c r="R174" i="1"/>
  <c r="V174" i="1" s="1"/>
  <c r="R170" i="1"/>
  <c r="V170" i="1" s="1"/>
  <c r="Q167" i="1"/>
  <c r="X167" i="1" s="1"/>
  <c r="R163" i="1"/>
  <c r="V163" i="1" s="1"/>
  <c r="U159" i="1"/>
  <c r="W159" i="1" s="1"/>
  <c r="R156" i="1"/>
  <c r="V156" i="1" s="1"/>
  <c r="R153" i="1"/>
  <c r="V153" i="1" s="1"/>
  <c r="P150" i="1"/>
  <c r="Q147" i="1"/>
  <c r="X147" i="1" s="1"/>
  <c r="P144" i="1"/>
  <c r="Q141" i="1"/>
  <c r="X141" i="1" s="1"/>
  <c r="P138" i="1"/>
  <c r="Q135" i="1"/>
  <c r="X135" i="1" s="1"/>
  <c r="P132" i="1"/>
  <c r="Q129" i="1"/>
  <c r="X129" i="1" s="1"/>
  <c r="P126" i="1"/>
  <c r="Q123" i="1"/>
  <c r="X123" i="1" s="1"/>
  <c r="P120" i="1"/>
  <c r="R117" i="1"/>
  <c r="V117" i="1" s="1"/>
  <c r="U114" i="1"/>
  <c r="W114" i="1" s="1"/>
  <c r="R112" i="1"/>
  <c r="V112" i="1" s="1"/>
  <c r="P110" i="1"/>
  <c r="S107" i="1"/>
  <c r="Y107" i="1" s="1"/>
  <c r="Q105" i="1"/>
  <c r="X105" i="1" s="1"/>
  <c r="U102" i="1"/>
  <c r="W102" i="1" s="1"/>
  <c r="R100" i="1"/>
  <c r="V100" i="1" s="1"/>
  <c r="P98" i="1"/>
  <c r="S95" i="1"/>
  <c r="Y95" i="1" s="1"/>
  <c r="Q93" i="1"/>
  <c r="X93" i="1" s="1"/>
  <c r="U90" i="1"/>
  <c r="W90" i="1" s="1"/>
  <c r="T88" i="1"/>
  <c r="AG88" i="1" s="1"/>
  <c r="S86" i="1"/>
  <c r="Y86" i="1" s="1"/>
  <c r="S84" i="1"/>
  <c r="Y84" i="1" s="1"/>
  <c r="S82" i="1"/>
  <c r="Y82" i="1" s="1"/>
  <c r="S80" i="1"/>
  <c r="Y80" i="1" s="1"/>
  <c r="S78" i="1"/>
  <c r="Y78" i="1" s="1"/>
  <c r="S76" i="1"/>
  <c r="Y76" i="1" s="1"/>
  <c r="S74" i="1"/>
  <c r="Y74" i="1" s="1"/>
  <c r="S72" i="1"/>
  <c r="Y72" i="1" s="1"/>
  <c r="S70" i="1"/>
  <c r="Y70" i="1" s="1"/>
  <c r="S68" i="1"/>
  <c r="Y68" i="1" s="1"/>
  <c r="S66" i="1"/>
  <c r="Y66" i="1" s="1"/>
  <c r="S64" i="1"/>
  <c r="Y64" i="1" s="1"/>
  <c r="S62" i="1"/>
  <c r="Y62" i="1" s="1"/>
  <c r="S60" i="1"/>
  <c r="Y60" i="1" s="1"/>
  <c r="S58" i="1"/>
  <c r="Y58" i="1" s="1"/>
  <c r="S56" i="1"/>
  <c r="Y56" i="1" s="1"/>
  <c r="S54" i="1"/>
  <c r="Y54" i="1" s="1"/>
  <c r="S52" i="1"/>
  <c r="Y52" i="1" s="1"/>
  <c r="S50" i="1"/>
  <c r="Y50" i="1" s="1"/>
  <c r="S48" i="1"/>
  <c r="Y48" i="1" s="1"/>
  <c r="S46" i="1"/>
  <c r="Y46" i="1" s="1"/>
  <c r="S44" i="1"/>
  <c r="Y44" i="1" s="1"/>
  <c r="S42" i="1"/>
  <c r="Y42" i="1" s="1"/>
  <c r="S40" i="1"/>
  <c r="Y40" i="1" s="1"/>
  <c r="S38" i="1"/>
  <c r="Y38" i="1" s="1"/>
  <c r="S36" i="1"/>
  <c r="Y36" i="1" s="1"/>
  <c r="S34" i="1"/>
  <c r="Y34" i="1" s="1"/>
  <c r="S32" i="1"/>
  <c r="Y32" i="1" s="1"/>
  <c r="S30" i="1"/>
  <c r="Y30" i="1" s="1"/>
  <c r="S28" i="1"/>
  <c r="Y28" i="1" s="1"/>
  <c r="S26" i="1"/>
  <c r="Y26" i="1" s="1"/>
  <c r="S24" i="1"/>
  <c r="Y24" i="1" s="1"/>
  <c r="Q254" i="1"/>
  <c r="X254" i="1" s="1"/>
  <c r="Q246" i="1"/>
  <c r="X246" i="1" s="1"/>
  <c r="P238" i="1"/>
  <c r="S229" i="1"/>
  <c r="Y229" i="1" s="1"/>
  <c r="P222" i="1"/>
  <c r="U212" i="1"/>
  <c r="W212" i="1" s="1"/>
  <c r="U204" i="1"/>
  <c r="W204" i="1" s="1"/>
  <c r="Q198" i="1"/>
  <c r="X198" i="1" s="1"/>
  <c r="U192" i="1"/>
  <c r="W192" i="1" s="1"/>
  <c r="P188" i="1"/>
  <c r="R183" i="1"/>
  <c r="V183" i="1" s="1"/>
  <c r="R178" i="1"/>
  <c r="V178" i="1" s="1"/>
  <c r="T173" i="1"/>
  <c r="AG173" i="1" s="1"/>
  <c r="Q170" i="1"/>
  <c r="X170" i="1" s="1"/>
  <c r="R166" i="1"/>
  <c r="V166" i="1" s="1"/>
  <c r="Q163" i="1"/>
  <c r="X163" i="1" s="1"/>
  <c r="R159" i="1"/>
  <c r="V159" i="1" s="1"/>
  <c r="Q156" i="1"/>
  <c r="X156" i="1" s="1"/>
  <c r="U152" i="1"/>
  <c r="W152" i="1" s="1"/>
  <c r="U149" i="1"/>
  <c r="W149" i="1" s="1"/>
  <c r="T146" i="1"/>
  <c r="AG146" i="1" s="1"/>
  <c r="U143" i="1"/>
  <c r="W143" i="1" s="1"/>
  <c r="T140" i="1"/>
  <c r="AG140" i="1" s="1"/>
  <c r="U137" i="1"/>
  <c r="W137" i="1" s="1"/>
  <c r="T134" i="1"/>
  <c r="AG134" i="1" s="1"/>
  <c r="U131" i="1"/>
  <c r="W131" i="1" s="1"/>
  <c r="T128" i="1"/>
  <c r="AG128" i="1" s="1"/>
  <c r="U125" i="1"/>
  <c r="W125" i="1" s="1"/>
  <c r="T122" i="1"/>
  <c r="AG122" i="1" s="1"/>
  <c r="U119" i="1"/>
  <c r="W119" i="1" s="1"/>
  <c r="Q117" i="1"/>
  <c r="X117" i="1" s="1"/>
  <c r="T114" i="1"/>
  <c r="AG114" i="1" s="1"/>
  <c r="Q112" i="1"/>
  <c r="X112" i="1" s="1"/>
  <c r="U109" i="1"/>
  <c r="W109" i="1" s="1"/>
  <c r="R107" i="1"/>
  <c r="V107" i="1" s="1"/>
  <c r="P105" i="1"/>
  <c r="T102" i="1"/>
  <c r="AG102" i="1" s="1"/>
  <c r="Q100" i="1"/>
  <c r="X100" i="1" s="1"/>
  <c r="U97" i="1"/>
  <c r="W97" i="1" s="1"/>
  <c r="R95" i="1"/>
  <c r="V95" i="1" s="1"/>
  <c r="P93" i="1"/>
  <c r="T90" i="1"/>
  <c r="AG90" i="1" s="1"/>
  <c r="S88" i="1"/>
  <c r="Y88" i="1" s="1"/>
  <c r="R86" i="1"/>
  <c r="V86" i="1" s="1"/>
  <c r="R84" i="1"/>
  <c r="V84" i="1" s="1"/>
  <c r="R82" i="1"/>
  <c r="V82" i="1" s="1"/>
  <c r="R80" i="1"/>
  <c r="V80" i="1" s="1"/>
  <c r="R78" i="1"/>
  <c r="V78" i="1" s="1"/>
  <c r="R76" i="1"/>
  <c r="V76" i="1" s="1"/>
  <c r="R74" i="1"/>
  <c r="V74" i="1" s="1"/>
  <c r="R72" i="1"/>
  <c r="V72" i="1" s="1"/>
  <c r="R70" i="1"/>
  <c r="V70" i="1" s="1"/>
  <c r="R68" i="1"/>
  <c r="V68" i="1" s="1"/>
  <c r="R66" i="1"/>
  <c r="V66" i="1" s="1"/>
  <c r="R64" i="1"/>
  <c r="V64" i="1" s="1"/>
  <c r="R62" i="1"/>
  <c r="V62" i="1" s="1"/>
  <c r="R60" i="1"/>
  <c r="V60" i="1" s="1"/>
  <c r="R58" i="1"/>
  <c r="V58" i="1" s="1"/>
  <c r="R56" i="1"/>
  <c r="V56" i="1" s="1"/>
  <c r="R54" i="1"/>
  <c r="V54" i="1" s="1"/>
  <c r="R52" i="1"/>
  <c r="V52" i="1" s="1"/>
  <c r="R50" i="1"/>
  <c r="V50" i="1" s="1"/>
  <c r="R48" i="1"/>
  <c r="V48" i="1" s="1"/>
  <c r="R46" i="1"/>
  <c r="V46" i="1" s="1"/>
  <c r="R44" i="1"/>
  <c r="V44" i="1" s="1"/>
  <c r="R42" i="1"/>
  <c r="V42" i="1" s="1"/>
  <c r="R40" i="1"/>
  <c r="V40" i="1" s="1"/>
  <c r="R38" i="1"/>
  <c r="V38" i="1" s="1"/>
  <c r="R36" i="1"/>
  <c r="V36" i="1" s="1"/>
  <c r="R34" i="1"/>
  <c r="V34" i="1" s="1"/>
  <c r="R32" i="1"/>
  <c r="V32" i="1" s="1"/>
  <c r="R30" i="1"/>
  <c r="V30" i="1" s="1"/>
  <c r="U252" i="1"/>
  <c r="W252" i="1" s="1"/>
  <c r="T244" i="1"/>
  <c r="AG244" i="1" s="1"/>
  <c r="R236" i="1"/>
  <c r="V236" i="1" s="1"/>
  <c r="T228" i="1"/>
  <c r="AG228" i="1" s="1"/>
  <c r="P220" i="1"/>
  <c r="P212" i="1"/>
  <c r="T203" i="1"/>
  <c r="AG203" i="1" s="1"/>
  <c r="T197" i="1"/>
  <c r="AG197" i="1" s="1"/>
  <c r="Q192" i="1"/>
  <c r="X192" i="1" s="1"/>
  <c r="S187" i="1"/>
  <c r="Y187" i="1" s="1"/>
  <c r="T182" i="1"/>
  <c r="AG182" i="1" s="1"/>
  <c r="U177" i="1"/>
  <c r="W177" i="1" s="1"/>
  <c r="Q173" i="1"/>
  <c r="X173" i="1" s="1"/>
  <c r="T169" i="1"/>
  <c r="AG169" i="1" s="1"/>
  <c r="U165" i="1"/>
  <c r="W165" i="1" s="1"/>
  <c r="R162" i="1"/>
  <c r="V162" i="1" s="1"/>
  <c r="U158" i="1"/>
  <c r="W158" i="1" s="1"/>
  <c r="T155" i="1"/>
  <c r="AG155" i="1" s="1"/>
  <c r="Q152" i="1"/>
  <c r="X152" i="1" s="1"/>
  <c r="R149" i="1"/>
  <c r="V149" i="1" s="1"/>
  <c r="Q146" i="1"/>
  <c r="X146" i="1" s="1"/>
  <c r="R143" i="1"/>
  <c r="V143" i="1" s="1"/>
  <c r="Q140" i="1"/>
  <c r="X140" i="1" s="1"/>
  <c r="R137" i="1"/>
  <c r="V137" i="1" s="1"/>
  <c r="Q134" i="1"/>
  <c r="X134" i="1" s="1"/>
  <c r="R131" i="1"/>
  <c r="V131" i="1" s="1"/>
  <c r="Q128" i="1"/>
  <c r="X128" i="1" s="1"/>
  <c r="R125" i="1"/>
  <c r="V125" i="1" s="1"/>
  <c r="Q122" i="1"/>
  <c r="X122" i="1" s="1"/>
  <c r="R119" i="1"/>
  <c r="V119" i="1" s="1"/>
  <c r="T116" i="1"/>
  <c r="AG116" i="1" s="1"/>
  <c r="Q114" i="1"/>
  <c r="X114" i="1" s="1"/>
  <c r="U111" i="1"/>
  <c r="W111" i="1" s="1"/>
  <c r="R109" i="1"/>
  <c r="V109" i="1" s="1"/>
  <c r="P107" i="1"/>
  <c r="T104" i="1"/>
  <c r="AG104" i="1" s="1"/>
  <c r="Q102" i="1"/>
  <c r="X102" i="1" s="1"/>
  <c r="U99" i="1"/>
  <c r="W99" i="1" s="1"/>
  <c r="R97" i="1"/>
  <c r="V97" i="1" s="1"/>
  <c r="P95" i="1"/>
  <c r="T92" i="1"/>
  <c r="AG92" i="1" s="1"/>
  <c r="R90" i="1"/>
  <c r="V90" i="1" s="1"/>
  <c r="Q88" i="1"/>
  <c r="X88" i="1" s="1"/>
  <c r="P86" i="1"/>
  <c r="P84" i="1"/>
  <c r="P82" i="1"/>
  <c r="P80" i="1"/>
  <c r="P78" i="1"/>
  <c r="P76" i="1"/>
  <c r="P74" i="1"/>
  <c r="P72" i="1"/>
  <c r="P70" i="1"/>
  <c r="P68" i="1"/>
  <c r="P66" i="1"/>
  <c r="P64" i="1"/>
  <c r="P62" i="1"/>
  <c r="P60" i="1"/>
  <c r="P58" i="1"/>
  <c r="P56" i="1"/>
  <c r="P54" i="1"/>
  <c r="P52" i="1"/>
  <c r="S251" i="1"/>
  <c r="Y251" i="1" s="1"/>
  <c r="Q243" i="1"/>
  <c r="X243" i="1" s="1"/>
  <c r="S235" i="1"/>
  <c r="Y235" i="1" s="1"/>
  <c r="T226" i="1"/>
  <c r="AG226" i="1" s="1"/>
  <c r="T218" i="1"/>
  <c r="AG218" i="1" s="1"/>
  <c r="R210" i="1"/>
  <c r="V210" i="1" s="1"/>
  <c r="R202" i="1"/>
  <c r="V202" i="1" s="1"/>
  <c r="T196" i="1"/>
  <c r="AG196" i="1" s="1"/>
  <c r="S191" i="1"/>
  <c r="Y191" i="1" s="1"/>
  <c r="T186" i="1"/>
  <c r="AG186" i="1" s="1"/>
  <c r="U181" i="1"/>
  <c r="W181" i="1" s="1"/>
  <c r="Q177" i="1"/>
  <c r="X177" i="1" s="1"/>
  <c r="T172" i="1"/>
  <c r="AG172" i="1" s="1"/>
  <c r="U168" i="1"/>
  <c r="W168" i="1" s="1"/>
  <c r="S165" i="1"/>
  <c r="Y165" i="1" s="1"/>
  <c r="T161" i="1"/>
  <c r="AG161" i="1" s="1"/>
  <c r="R158" i="1"/>
  <c r="V158" i="1" s="1"/>
  <c r="P155" i="1"/>
  <c r="U151" i="1"/>
  <c r="W151" i="1" s="1"/>
  <c r="T148" i="1"/>
  <c r="AG148" i="1" s="1"/>
  <c r="U145" i="1"/>
  <c r="W145" i="1" s="1"/>
  <c r="T142" i="1"/>
  <c r="AG142" i="1" s="1"/>
  <c r="U139" i="1"/>
  <c r="W139" i="1" s="1"/>
  <c r="T136" i="1"/>
  <c r="AG136" i="1" s="1"/>
  <c r="U133" i="1"/>
  <c r="W133" i="1" s="1"/>
  <c r="T130" i="1"/>
  <c r="AG130" i="1" s="1"/>
  <c r="U127" i="1"/>
  <c r="W127" i="1" s="1"/>
  <c r="T124" i="1"/>
  <c r="AG124" i="1" s="1"/>
  <c r="U121" i="1"/>
  <c r="W121" i="1" s="1"/>
  <c r="P119" i="1"/>
  <c r="Q116" i="1"/>
  <c r="X116" i="1" s="1"/>
  <c r="U113" i="1"/>
  <c r="W113" i="1" s="1"/>
  <c r="R111" i="1"/>
  <c r="V111" i="1" s="1"/>
  <c r="P109" i="1"/>
  <c r="T106" i="1"/>
  <c r="AG106" i="1" s="1"/>
  <c r="Q104" i="1"/>
  <c r="X104" i="1" s="1"/>
  <c r="U101" i="1"/>
  <c r="W101" i="1" s="1"/>
  <c r="R99" i="1"/>
  <c r="V99" i="1" s="1"/>
  <c r="Q276" i="1"/>
  <c r="X276" i="1" s="1"/>
  <c r="S249" i="1"/>
  <c r="Y249" i="1" s="1"/>
  <c r="Q241" i="1"/>
  <c r="X241" i="1" s="1"/>
  <c r="U232" i="1"/>
  <c r="W232" i="1" s="1"/>
  <c r="Q225" i="1"/>
  <c r="X225" i="1" s="1"/>
  <c r="R216" i="1"/>
  <c r="V216" i="1" s="1"/>
  <c r="R208" i="1"/>
  <c r="V208" i="1" s="1"/>
  <c r="U200" i="1"/>
  <c r="W200" i="1" s="1"/>
  <c r="Q195" i="1"/>
  <c r="X195" i="1" s="1"/>
  <c r="P190" i="1"/>
  <c r="R185" i="1"/>
  <c r="V185" i="1" s="1"/>
  <c r="R180" i="1"/>
  <c r="V180" i="1" s="1"/>
  <c r="T175" i="1"/>
  <c r="AG175" i="1" s="1"/>
  <c r="U171" i="1"/>
  <c r="W171" i="1" s="1"/>
  <c r="P168" i="1"/>
  <c r="T164" i="1"/>
  <c r="AG164" i="1" s="1"/>
  <c r="U160" i="1"/>
  <c r="W160" i="1" s="1"/>
  <c r="T157" i="1"/>
  <c r="AG157" i="1" s="1"/>
  <c r="Q154" i="1"/>
  <c r="X154" i="1" s="1"/>
  <c r="Q151" i="1"/>
  <c r="X151" i="1" s="1"/>
  <c r="P148" i="1"/>
  <c r="Q145" i="1"/>
  <c r="X145" i="1" s="1"/>
  <c r="P142" i="1"/>
  <c r="Q139" i="1"/>
  <c r="X139" i="1" s="1"/>
  <c r="P136" i="1"/>
  <c r="Q133" i="1"/>
  <c r="X133" i="1" s="1"/>
  <c r="P130" i="1"/>
  <c r="Q127" i="1"/>
  <c r="X127" i="1" s="1"/>
  <c r="P124" i="1"/>
  <c r="Q121" i="1"/>
  <c r="X121" i="1" s="1"/>
  <c r="Q118" i="1"/>
  <c r="X118" i="1" s="1"/>
  <c r="S115" i="1"/>
  <c r="Y115" i="1" s="1"/>
  <c r="Q113" i="1"/>
  <c r="X113" i="1" s="1"/>
  <c r="U110" i="1"/>
  <c r="W110" i="1" s="1"/>
  <c r="R108" i="1"/>
  <c r="V108" i="1" s="1"/>
  <c r="P106" i="1"/>
  <c r="S103" i="1"/>
  <c r="Y103" i="1" s="1"/>
  <c r="Q101" i="1"/>
  <c r="X101" i="1" s="1"/>
  <c r="U98" i="1"/>
  <c r="W98" i="1" s="1"/>
  <c r="R96" i="1"/>
  <c r="V96" i="1" s="1"/>
  <c r="P94" i="1"/>
  <c r="S91" i="1"/>
  <c r="Y91" i="1" s="1"/>
  <c r="R89" i="1"/>
  <c r="V89" i="1" s="1"/>
  <c r="Q87" i="1"/>
  <c r="X87" i="1" s="1"/>
  <c r="Q85" i="1"/>
  <c r="X85" i="1" s="1"/>
  <c r="Q83" i="1"/>
  <c r="X83" i="1" s="1"/>
  <c r="Q81" i="1"/>
  <c r="X81" i="1" s="1"/>
  <c r="Q79" i="1"/>
  <c r="X79" i="1" s="1"/>
  <c r="Q77" i="1"/>
  <c r="X77" i="1" s="1"/>
  <c r="Q75" i="1"/>
  <c r="X75" i="1" s="1"/>
  <c r="Q73" i="1"/>
  <c r="X73" i="1" s="1"/>
  <c r="Q71" i="1"/>
  <c r="X71" i="1" s="1"/>
  <c r="Q69" i="1"/>
  <c r="X69" i="1" s="1"/>
  <c r="Q67" i="1"/>
  <c r="X67" i="1" s="1"/>
  <c r="Q65" i="1"/>
  <c r="X65" i="1" s="1"/>
  <c r="Q63" i="1"/>
  <c r="X63" i="1" s="1"/>
  <c r="Q61" i="1"/>
  <c r="X61" i="1" s="1"/>
  <c r="Q59" i="1"/>
  <c r="X59" i="1" s="1"/>
  <c r="Q57" i="1"/>
  <c r="X57" i="1" s="1"/>
  <c r="Q55" i="1"/>
  <c r="X55" i="1" s="1"/>
  <c r="Q53" i="1"/>
  <c r="X53" i="1" s="1"/>
  <c r="Q51" i="1"/>
  <c r="X51" i="1" s="1"/>
  <c r="Q49" i="1"/>
  <c r="X49" i="1" s="1"/>
  <c r="Q47" i="1"/>
  <c r="X47" i="1" s="1"/>
  <c r="Q45" i="1"/>
  <c r="X45" i="1" s="1"/>
  <c r="Q43" i="1"/>
  <c r="X43" i="1" s="1"/>
  <c r="Q41" i="1"/>
  <c r="X41" i="1" s="1"/>
  <c r="Q39" i="1"/>
  <c r="X39" i="1" s="1"/>
  <c r="Q37" i="1"/>
  <c r="X37" i="1" s="1"/>
  <c r="Q35" i="1"/>
  <c r="X35" i="1" s="1"/>
  <c r="Q33" i="1"/>
  <c r="X33" i="1" s="1"/>
  <c r="Q31" i="1"/>
  <c r="X31" i="1" s="1"/>
  <c r="Q29" i="1"/>
  <c r="X29" i="1" s="1"/>
  <c r="Q27" i="1"/>
  <c r="X27" i="1" s="1"/>
  <c r="T250" i="1"/>
  <c r="AG250" i="1" s="1"/>
  <c r="R234" i="1"/>
  <c r="V234" i="1" s="1"/>
  <c r="R218" i="1"/>
  <c r="V218" i="1" s="1"/>
  <c r="P202" i="1"/>
  <c r="R191" i="1"/>
  <c r="V191" i="1" s="1"/>
  <c r="T181" i="1"/>
  <c r="AG181" i="1" s="1"/>
  <c r="Q172" i="1"/>
  <c r="X172" i="1" s="1"/>
  <c r="Q165" i="1"/>
  <c r="X165" i="1" s="1"/>
  <c r="P158" i="1"/>
  <c r="S151" i="1"/>
  <c r="Y151" i="1" s="1"/>
  <c r="S145" i="1"/>
  <c r="Y145" i="1" s="1"/>
  <c r="S139" i="1"/>
  <c r="Y139" i="1" s="1"/>
  <c r="S133" i="1"/>
  <c r="Y133" i="1" s="1"/>
  <c r="S127" i="1"/>
  <c r="Y127" i="1" s="1"/>
  <c r="S121" i="1"/>
  <c r="Y121" i="1" s="1"/>
  <c r="P116" i="1"/>
  <c r="Q111" i="1"/>
  <c r="X111" i="1" s="1"/>
  <c r="R106" i="1"/>
  <c r="V106" i="1" s="1"/>
  <c r="S101" i="1"/>
  <c r="Y101" i="1" s="1"/>
  <c r="P97" i="1"/>
  <c r="U92" i="1"/>
  <c r="W92" i="1" s="1"/>
  <c r="Q89" i="1"/>
  <c r="X89" i="1" s="1"/>
  <c r="T85" i="1"/>
  <c r="AG85" i="1" s="1"/>
  <c r="U82" i="1"/>
  <c r="W82" i="1" s="1"/>
  <c r="T79" i="1"/>
  <c r="AG79" i="1" s="1"/>
  <c r="U76" i="1"/>
  <c r="W76" i="1" s="1"/>
  <c r="T73" i="1"/>
  <c r="AG73" i="1" s="1"/>
  <c r="U70" i="1"/>
  <c r="W70" i="1" s="1"/>
  <c r="T67" i="1"/>
  <c r="AG67" i="1" s="1"/>
  <c r="U64" i="1"/>
  <c r="W64" i="1" s="1"/>
  <c r="T61" i="1"/>
  <c r="AG61" i="1" s="1"/>
  <c r="U58" i="1"/>
  <c r="W58" i="1" s="1"/>
  <c r="T55" i="1"/>
  <c r="AG55" i="1" s="1"/>
  <c r="U52" i="1"/>
  <c r="W52" i="1" s="1"/>
  <c r="U49" i="1"/>
  <c r="W49" i="1" s="1"/>
  <c r="R47" i="1"/>
  <c r="V47" i="1" s="1"/>
  <c r="T44" i="1"/>
  <c r="AG44" i="1" s="1"/>
  <c r="U41" i="1"/>
  <c r="W41" i="1" s="1"/>
  <c r="R39" i="1"/>
  <c r="V39" i="1" s="1"/>
  <c r="T36" i="1"/>
  <c r="AG36" i="1" s="1"/>
  <c r="U33" i="1"/>
  <c r="W33" i="1" s="1"/>
  <c r="R31" i="1"/>
  <c r="V31" i="1" s="1"/>
  <c r="T28" i="1"/>
  <c r="AG28" i="1" s="1"/>
  <c r="Q26" i="1"/>
  <c r="X26" i="1" s="1"/>
  <c r="P24" i="1"/>
  <c r="P22" i="1"/>
  <c r="U19" i="1"/>
  <c r="W19" i="1" s="1"/>
  <c r="U17" i="1"/>
  <c r="W17" i="1" s="1"/>
  <c r="U15" i="1"/>
  <c r="W15" i="1" s="1"/>
  <c r="U13" i="1"/>
  <c r="W13" i="1" s="1"/>
  <c r="U11" i="1"/>
  <c r="W11" i="1" s="1"/>
  <c r="U9" i="1"/>
  <c r="W9" i="1" s="1"/>
  <c r="U7" i="1"/>
  <c r="W7" i="1" s="1"/>
  <c r="U5" i="1"/>
  <c r="W5" i="1" s="1"/>
  <c r="U3" i="1"/>
  <c r="W3" i="1" s="1"/>
  <c r="Q250" i="1"/>
  <c r="X250" i="1" s="1"/>
  <c r="S233" i="1"/>
  <c r="Y233" i="1" s="1"/>
  <c r="Q217" i="1"/>
  <c r="X217" i="1" s="1"/>
  <c r="U201" i="1"/>
  <c r="W201" i="1" s="1"/>
  <c r="R190" i="1"/>
  <c r="V190" i="1" s="1"/>
  <c r="U180" i="1"/>
  <c r="W180" i="1" s="1"/>
  <c r="P172" i="1"/>
  <c r="U164" i="1"/>
  <c r="W164" i="1" s="1"/>
  <c r="U157" i="1"/>
  <c r="W157" i="1" s="1"/>
  <c r="R151" i="1"/>
  <c r="V151" i="1" s="1"/>
  <c r="R145" i="1"/>
  <c r="V145" i="1" s="1"/>
  <c r="R139" i="1"/>
  <c r="V139" i="1" s="1"/>
  <c r="R133" i="1"/>
  <c r="V133" i="1" s="1"/>
  <c r="R127" i="1"/>
  <c r="V127" i="1" s="1"/>
  <c r="R121" i="1"/>
  <c r="V121" i="1" s="1"/>
  <c r="U115" i="1"/>
  <c r="W115" i="1" s="1"/>
  <c r="P111" i="1"/>
  <c r="Q106" i="1"/>
  <c r="X106" i="1" s="1"/>
  <c r="R101" i="1"/>
  <c r="V101" i="1" s="1"/>
  <c r="U96" i="1"/>
  <c r="W96" i="1" s="1"/>
  <c r="R92" i="1"/>
  <c r="V92" i="1" s="1"/>
  <c r="U88" i="1"/>
  <c r="W88" i="1" s="1"/>
  <c r="S85" i="1"/>
  <c r="Y85" i="1" s="1"/>
  <c r="T82" i="1"/>
  <c r="AG82" i="1" s="1"/>
  <c r="S79" i="1"/>
  <c r="Y79" i="1" s="1"/>
  <c r="T76" i="1"/>
  <c r="AG76" i="1" s="1"/>
  <c r="S73" i="1"/>
  <c r="Y73" i="1" s="1"/>
  <c r="T70" i="1"/>
  <c r="AG70" i="1" s="1"/>
  <c r="S67" i="1"/>
  <c r="Y67" i="1" s="1"/>
  <c r="T64" i="1"/>
  <c r="AG64" i="1" s="1"/>
  <c r="S61" i="1"/>
  <c r="Y61" i="1" s="1"/>
  <c r="T58" i="1"/>
  <c r="AG58" i="1" s="1"/>
  <c r="S55" i="1"/>
  <c r="Y55" i="1" s="1"/>
  <c r="T52" i="1"/>
  <c r="AG52" i="1" s="1"/>
  <c r="T49" i="1"/>
  <c r="AG49" i="1" s="1"/>
  <c r="P47" i="1"/>
  <c r="Q44" i="1"/>
  <c r="X44" i="1" s="1"/>
  <c r="T41" i="1"/>
  <c r="AG41" i="1" s="1"/>
  <c r="P39" i="1"/>
  <c r="Q36" i="1"/>
  <c r="X36" i="1" s="1"/>
  <c r="T33" i="1"/>
  <c r="AG33" i="1" s="1"/>
  <c r="P31" i="1"/>
  <c r="R28" i="1"/>
  <c r="V28" i="1" s="1"/>
  <c r="P26" i="1"/>
  <c r="U23" i="1"/>
  <c r="W23" i="1" s="1"/>
  <c r="U21" i="1"/>
  <c r="W21" i="1" s="1"/>
  <c r="T19" i="1"/>
  <c r="AG19" i="1" s="1"/>
  <c r="T17" i="1"/>
  <c r="AG17" i="1" s="1"/>
  <c r="T15" i="1"/>
  <c r="AG15" i="1" s="1"/>
  <c r="T13" i="1"/>
  <c r="AG13" i="1" s="1"/>
  <c r="T11" i="1"/>
  <c r="AG11" i="1" s="1"/>
  <c r="T9" i="1"/>
  <c r="AG9" i="1" s="1"/>
  <c r="T7" i="1"/>
  <c r="AG7" i="1" s="1"/>
  <c r="T5" i="1"/>
  <c r="AG5" i="1" s="1"/>
  <c r="T3" i="1"/>
  <c r="AG3" i="1" s="1"/>
  <c r="Q249" i="1"/>
  <c r="X249" i="1" s="1"/>
  <c r="R232" i="1"/>
  <c r="V232" i="1" s="1"/>
  <c r="P216" i="1"/>
  <c r="Q200" i="1"/>
  <c r="X200" i="1" s="1"/>
  <c r="U189" i="1"/>
  <c r="W189" i="1" s="1"/>
  <c r="Q180" i="1"/>
  <c r="X180" i="1" s="1"/>
  <c r="R171" i="1"/>
  <c r="V171" i="1" s="1"/>
  <c r="P164" i="1"/>
  <c r="Q157" i="1"/>
  <c r="X157" i="1" s="1"/>
  <c r="T150" i="1"/>
  <c r="AG150" i="1" s="1"/>
  <c r="T144" i="1"/>
  <c r="AG144" i="1" s="1"/>
  <c r="T138" i="1"/>
  <c r="AG138" i="1" s="1"/>
  <c r="T132" i="1"/>
  <c r="AG132" i="1" s="1"/>
  <c r="T126" i="1"/>
  <c r="AG126" i="1" s="1"/>
  <c r="T120" i="1"/>
  <c r="AG120" i="1" s="1"/>
  <c r="R115" i="1"/>
  <c r="V115" i="1" s="1"/>
  <c r="T110" i="1"/>
  <c r="AG110" i="1" s="1"/>
  <c r="U105" i="1"/>
  <c r="W105" i="1" s="1"/>
  <c r="P101" i="1"/>
  <c r="T96" i="1"/>
  <c r="AG96" i="1" s="1"/>
  <c r="Q92" i="1"/>
  <c r="X92" i="1" s="1"/>
  <c r="R88" i="1"/>
  <c r="V88" i="1" s="1"/>
  <c r="R85" i="1"/>
  <c r="V85" i="1" s="1"/>
  <c r="Q82" i="1"/>
  <c r="X82" i="1" s="1"/>
  <c r="R79" i="1"/>
  <c r="V79" i="1" s="1"/>
  <c r="Q76" i="1"/>
  <c r="X76" i="1" s="1"/>
  <c r="R73" i="1"/>
  <c r="V73" i="1" s="1"/>
  <c r="Q70" i="1"/>
  <c r="X70" i="1" s="1"/>
  <c r="R67" i="1"/>
  <c r="V67" i="1" s="1"/>
  <c r="Q64" i="1"/>
  <c r="X64" i="1" s="1"/>
  <c r="R61" i="1"/>
  <c r="V61" i="1" s="1"/>
  <c r="Q58" i="1"/>
  <c r="X58" i="1" s="1"/>
  <c r="R55" i="1"/>
  <c r="V55" i="1" s="1"/>
  <c r="Q52" i="1"/>
  <c r="X52" i="1" s="1"/>
  <c r="S49" i="1"/>
  <c r="Y49" i="1" s="1"/>
  <c r="U46" i="1"/>
  <c r="W46" i="1" s="1"/>
  <c r="P44" i="1"/>
  <c r="S41" i="1"/>
  <c r="Y41" i="1" s="1"/>
  <c r="U38" i="1"/>
  <c r="W38" i="1" s="1"/>
  <c r="P36" i="1"/>
  <c r="S33" i="1"/>
  <c r="Y33" i="1" s="1"/>
  <c r="U30" i="1"/>
  <c r="W30" i="1" s="1"/>
  <c r="Q28" i="1"/>
  <c r="X28" i="1" s="1"/>
  <c r="U25" i="1"/>
  <c r="W25" i="1" s="1"/>
  <c r="T23" i="1"/>
  <c r="AG23" i="1" s="1"/>
  <c r="T21" i="1"/>
  <c r="AG21" i="1" s="1"/>
  <c r="S19" i="1"/>
  <c r="Y19" i="1" s="1"/>
  <c r="S17" i="1"/>
  <c r="Y17" i="1" s="1"/>
  <c r="S15" i="1"/>
  <c r="Y15" i="1" s="1"/>
  <c r="S13" i="1"/>
  <c r="Y13" i="1" s="1"/>
  <c r="S11" i="1"/>
  <c r="Y11" i="1" s="1"/>
  <c r="S9" i="1"/>
  <c r="Y9" i="1" s="1"/>
  <c r="S7" i="1"/>
  <c r="Y7" i="1" s="1"/>
  <c r="S5" i="1"/>
  <c r="Y5" i="1" s="1"/>
  <c r="S3" i="1"/>
  <c r="Y3" i="1" s="1"/>
  <c r="Q247" i="1"/>
  <c r="X247" i="1" s="1"/>
  <c r="U230" i="1"/>
  <c r="W230" i="1" s="1"/>
  <c r="U214" i="1"/>
  <c r="W214" i="1" s="1"/>
  <c r="S199" i="1"/>
  <c r="Y199" i="1" s="1"/>
  <c r="Q189" i="1"/>
  <c r="X189" i="1" s="1"/>
  <c r="S179" i="1"/>
  <c r="Y179" i="1" s="1"/>
  <c r="T170" i="1"/>
  <c r="AG170" i="1" s="1"/>
  <c r="S163" i="1"/>
  <c r="Y163" i="1" s="1"/>
  <c r="T156" i="1"/>
  <c r="AG156" i="1" s="1"/>
  <c r="Q150" i="1"/>
  <c r="X150" i="1" s="1"/>
  <c r="Q144" i="1"/>
  <c r="X144" i="1" s="1"/>
  <c r="Q138" i="1"/>
  <c r="X138" i="1" s="1"/>
  <c r="Q132" i="1"/>
  <c r="X132" i="1" s="1"/>
  <c r="Q126" i="1"/>
  <c r="X126" i="1" s="1"/>
  <c r="Q120" i="1"/>
  <c r="X120" i="1" s="1"/>
  <c r="P115" i="1"/>
  <c r="Q110" i="1"/>
  <c r="X110" i="1" s="1"/>
  <c r="R105" i="1"/>
  <c r="V105" i="1" s="1"/>
  <c r="T100" i="1"/>
  <c r="AG100" i="1" s="1"/>
  <c r="Q96" i="1"/>
  <c r="X96" i="1" s="1"/>
  <c r="P92" i="1"/>
  <c r="P88" i="1"/>
  <c r="P85" i="1"/>
  <c r="U81" i="1"/>
  <c r="W81" i="1" s="1"/>
  <c r="P79" i="1"/>
  <c r="U75" i="1"/>
  <c r="W75" i="1" s="1"/>
  <c r="P73" i="1"/>
  <c r="U69" i="1"/>
  <c r="W69" i="1" s="1"/>
  <c r="P67" i="1"/>
  <c r="U63" i="1"/>
  <c r="W63" i="1" s="1"/>
  <c r="P61" i="1"/>
  <c r="U57" i="1"/>
  <c r="W57" i="1" s="1"/>
  <c r="P55" i="1"/>
  <c r="U51" i="1"/>
  <c r="W51" i="1" s="1"/>
  <c r="R49" i="1"/>
  <c r="V49" i="1" s="1"/>
  <c r="T46" i="1"/>
  <c r="AG46" i="1" s="1"/>
  <c r="U43" i="1"/>
  <c r="W43" i="1" s="1"/>
  <c r="R41" i="1"/>
  <c r="V41" i="1" s="1"/>
  <c r="T38" i="1"/>
  <c r="AG38" i="1" s="1"/>
  <c r="U35" i="1"/>
  <c r="W35" i="1" s="1"/>
  <c r="R33" i="1"/>
  <c r="V33" i="1" s="1"/>
  <c r="T30" i="1"/>
  <c r="AG30" i="1" s="1"/>
  <c r="P28" i="1"/>
  <c r="T25" i="1"/>
  <c r="AG25" i="1" s="1"/>
  <c r="S23" i="1"/>
  <c r="Y23" i="1" s="1"/>
  <c r="S21" i="1"/>
  <c r="Y21" i="1" s="1"/>
  <c r="R19" i="1"/>
  <c r="V19" i="1" s="1"/>
  <c r="R17" i="1"/>
  <c r="V17" i="1" s="1"/>
  <c r="R15" i="1"/>
  <c r="V15" i="1" s="1"/>
  <c r="R13" i="1"/>
  <c r="V13" i="1" s="1"/>
  <c r="R11" i="1"/>
  <c r="V11" i="1" s="1"/>
  <c r="R9" i="1"/>
  <c r="V9" i="1" s="1"/>
  <c r="R7" i="1"/>
  <c r="V7" i="1" s="1"/>
  <c r="R5" i="1"/>
  <c r="V5" i="1" s="1"/>
  <c r="R3" i="1"/>
  <c r="V3" i="1" s="1"/>
  <c r="P244" i="1"/>
  <c r="S227" i="1"/>
  <c r="Y227" i="1" s="1"/>
  <c r="S211" i="1"/>
  <c r="Y211" i="1" s="1"/>
  <c r="Q197" i="1"/>
  <c r="X197" i="1" s="1"/>
  <c r="Q187" i="1"/>
  <c r="X187" i="1" s="1"/>
  <c r="S177" i="1"/>
  <c r="Y177" i="1" s="1"/>
  <c r="S169" i="1"/>
  <c r="Y169" i="1" s="1"/>
  <c r="Q162" i="1"/>
  <c r="X162" i="1" s="1"/>
  <c r="S155" i="1"/>
  <c r="Y155" i="1" s="1"/>
  <c r="Q149" i="1"/>
  <c r="X149" i="1" s="1"/>
  <c r="Q143" i="1"/>
  <c r="X143" i="1" s="1"/>
  <c r="Q137" i="1"/>
  <c r="X137" i="1" s="1"/>
  <c r="Q131" i="1"/>
  <c r="X131" i="1" s="1"/>
  <c r="Q125" i="1"/>
  <c r="X125" i="1" s="1"/>
  <c r="Q119" i="1"/>
  <c r="X119" i="1" s="1"/>
  <c r="P114" i="1"/>
  <c r="Q109" i="1"/>
  <c r="X109" i="1" s="1"/>
  <c r="R104" i="1"/>
  <c r="V104" i="1" s="1"/>
  <c r="S99" i="1"/>
  <c r="Y99" i="1" s="1"/>
  <c r="Q95" i="1"/>
  <c r="X95" i="1" s="1"/>
  <c r="R91" i="1"/>
  <c r="V91" i="1" s="1"/>
  <c r="S87" i="1"/>
  <c r="Y87" i="1" s="1"/>
  <c r="T84" i="1"/>
  <c r="AG84" i="1" s="1"/>
  <c r="S81" i="1"/>
  <c r="Y81" i="1" s="1"/>
  <c r="T78" i="1"/>
  <c r="AG78" i="1" s="1"/>
  <c r="S75" i="1"/>
  <c r="Y75" i="1" s="1"/>
  <c r="T72" i="1"/>
  <c r="AG72" i="1" s="1"/>
  <c r="S69" i="1"/>
  <c r="Y69" i="1" s="1"/>
  <c r="T66" i="1"/>
  <c r="AG66" i="1" s="1"/>
  <c r="S63" i="1"/>
  <c r="Y63" i="1" s="1"/>
  <c r="T60" i="1"/>
  <c r="AG60" i="1" s="1"/>
  <c r="S57" i="1"/>
  <c r="Y57" i="1" s="1"/>
  <c r="T54" i="1"/>
  <c r="AG54" i="1" s="1"/>
  <c r="S51" i="1"/>
  <c r="Y51" i="1" s="1"/>
  <c r="U48" i="1"/>
  <c r="W48" i="1" s="1"/>
  <c r="P46" i="1"/>
  <c r="S43" i="1"/>
  <c r="Y43" i="1" s="1"/>
  <c r="U40" i="1"/>
  <c r="W40" i="1" s="1"/>
  <c r="P38" i="1"/>
  <c r="S35" i="1"/>
  <c r="Y35" i="1" s="1"/>
  <c r="U32" i="1"/>
  <c r="W32" i="1" s="1"/>
  <c r="P30" i="1"/>
  <c r="T27" i="1"/>
  <c r="AG27" i="1" s="1"/>
  <c r="R25" i="1"/>
  <c r="V25" i="1" s="1"/>
  <c r="Q23" i="1"/>
  <c r="X23" i="1" s="1"/>
  <c r="Q21" i="1"/>
  <c r="X21" i="1" s="1"/>
  <c r="P19" i="1"/>
  <c r="P17" i="1"/>
  <c r="P15" i="1"/>
  <c r="P13" i="1"/>
  <c r="P11" i="1"/>
  <c r="P9" i="1"/>
  <c r="P7" i="1"/>
  <c r="P5" i="1"/>
  <c r="P3" i="1"/>
  <c r="U276" i="1"/>
  <c r="W276" i="1" s="1"/>
  <c r="R242" i="1"/>
  <c r="V242" i="1" s="1"/>
  <c r="S225" i="1"/>
  <c r="Y225" i="1" s="1"/>
  <c r="U208" i="1"/>
  <c r="W208" i="1" s="1"/>
  <c r="T195" i="1"/>
  <c r="AG195" i="1" s="1"/>
  <c r="T185" i="1"/>
  <c r="AG185" i="1" s="1"/>
  <c r="P176" i="1"/>
  <c r="Q168" i="1"/>
  <c r="X168" i="1" s="1"/>
  <c r="Q161" i="1"/>
  <c r="X161" i="1" s="1"/>
  <c r="R154" i="1"/>
  <c r="V154" i="1" s="1"/>
  <c r="Q148" i="1"/>
  <c r="X148" i="1" s="1"/>
  <c r="Q142" i="1"/>
  <c r="X142" i="1" s="1"/>
  <c r="Q136" i="1"/>
  <c r="X136" i="1" s="1"/>
  <c r="Q130" i="1"/>
  <c r="X130" i="1" s="1"/>
  <c r="Q124" i="1"/>
  <c r="X124" i="1" s="1"/>
  <c r="R118" i="1"/>
  <c r="V118" i="1" s="1"/>
  <c r="R113" i="1"/>
  <c r="V113" i="1" s="1"/>
  <c r="T108" i="1"/>
  <c r="AG108" i="1" s="1"/>
  <c r="U103" i="1"/>
  <c r="W103" i="1" s="1"/>
  <c r="P99" i="1"/>
  <c r="T94" i="1"/>
  <c r="AG94" i="1" s="1"/>
  <c r="S90" i="1"/>
  <c r="Y90" i="1" s="1"/>
  <c r="P87" i="1"/>
  <c r="U83" i="1"/>
  <c r="W83" i="1" s="1"/>
  <c r="P81" i="1"/>
  <c r="U77" i="1"/>
  <c r="W77" i="1" s="1"/>
  <c r="P75" i="1"/>
  <c r="U71" i="1"/>
  <c r="W71" i="1" s="1"/>
  <c r="P69" i="1"/>
  <c r="U65" i="1"/>
  <c r="W65" i="1" s="1"/>
  <c r="P63" i="1"/>
  <c r="U59" i="1"/>
  <c r="W59" i="1" s="1"/>
  <c r="P57" i="1"/>
  <c r="U53" i="1"/>
  <c r="W53" i="1" s="1"/>
  <c r="P51" i="1"/>
  <c r="Q48" i="1"/>
  <c r="X48" i="1" s="1"/>
  <c r="T45" i="1"/>
  <c r="AG45" i="1" s="1"/>
  <c r="P43" i="1"/>
  <c r="Q40" i="1"/>
  <c r="X40" i="1" s="1"/>
  <c r="T37" i="1"/>
  <c r="AG37" i="1" s="1"/>
  <c r="P35" i="1"/>
  <c r="Q32" i="1"/>
  <c r="X32" i="1" s="1"/>
  <c r="T29" i="1"/>
  <c r="AG29" i="1" s="1"/>
  <c r="R27" i="1"/>
  <c r="V27" i="1" s="1"/>
  <c r="P25" i="1"/>
  <c r="U22" i="1"/>
  <c r="W22" i="1" s="1"/>
  <c r="T20" i="1"/>
  <c r="AG20" i="1" s="1"/>
  <c r="T18" i="1"/>
  <c r="AG18" i="1" s="1"/>
  <c r="T16" i="1"/>
  <c r="AG16" i="1" s="1"/>
  <c r="T14" i="1"/>
  <c r="AG14" i="1" s="1"/>
  <c r="T12" i="1"/>
  <c r="AG12" i="1" s="1"/>
  <c r="T10" i="1"/>
  <c r="AG10" i="1" s="1"/>
  <c r="T8" i="1"/>
  <c r="AG8" i="1" s="1"/>
  <c r="T6" i="1"/>
  <c r="AG6" i="1" s="1"/>
  <c r="T4" i="1"/>
  <c r="AG4" i="1" s="1"/>
  <c r="T2" i="1"/>
  <c r="AG2" i="1" s="1"/>
  <c r="S253" i="1"/>
  <c r="Y253" i="1" s="1"/>
  <c r="U236" i="1"/>
  <c r="W236" i="1" s="1"/>
  <c r="T220" i="1"/>
  <c r="AG220" i="1" s="1"/>
  <c r="T204" i="1"/>
  <c r="AG204" i="1" s="1"/>
  <c r="R192" i="1"/>
  <c r="V192" i="1" s="1"/>
  <c r="U182" i="1"/>
  <c r="W182" i="1" s="1"/>
  <c r="R173" i="1"/>
  <c r="V173" i="1" s="1"/>
  <c r="P166" i="1"/>
  <c r="P159" i="1"/>
  <c r="R152" i="1"/>
  <c r="V152" i="1" s="1"/>
  <c r="R146" i="1"/>
  <c r="V146" i="1" s="1"/>
  <c r="R140" i="1"/>
  <c r="V140" i="1" s="1"/>
  <c r="R134" i="1"/>
  <c r="V134" i="1" s="1"/>
  <c r="R128" i="1"/>
  <c r="V128" i="1" s="1"/>
  <c r="R122" i="1"/>
  <c r="V122" i="1" s="1"/>
  <c r="P117" i="1"/>
  <c r="P112" i="1"/>
  <c r="Q107" i="1"/>
  <c r="X107" i="1" s="1"/>
  <c r="R102" i="1"/>
  <c r="V102" i="1" s="1"/>
  <c r="S97" i="1"/>
  <c r="Y97" i="1" s="1"/>
  <c r="U93" i="1"/>
  <c r="W93" i="1" s="1"/>
  <c r="U89" i="1"/>
  <c r="W89" i="1" s="1"/>
  <c r="Q86" i="1"/>
  <c r="X86" i="1" s="1"/>
  <c r="R83" i="1"/>
  <c r="V83" i="1" s="1"/>
  <c r="Q80" i="1"/>
  <c r="X80" i="1" s="1"/>
  <c r="R77" i="1"/>
  <c r="V77" i="1" s="1"/>
  <c r="Q74" i="1"/>
  <c r="X74" i="1" s="1"/>
  <c r="R71" i="1"/>
  <c r="V71" i="1" s="1"/>
  <c r="Q68" i="1"/>
  <c r="X68" i="1" s="1"/>
  <c r="R65" i="1"/>
  <c r="V65" i="1" s="1"/>
  <c r="Q62" i="1"/>
  <c r="X62" i="1" s="1"/>
  <c r="R59" i="1"/>
  <c r="V59" i="1" s="1"/>
  <c r="Q56" i="1"/>
  <c r="X56" i="1" s="1"/>
  <c r="R53" i="1"/>
  <c r="V53" i="1" s="1"/>
  <c r="Q50" i="1"/>
  <c r="X50" i="1" s="1"/>
  <c r="T47" i="1"/>
  <c r="AG47" i="1" s="1"/>
  <c r="P45" i="1"/>
  <c r="Q42" i="1"/>
  <c r="X42" i="1" s="1"/>
  <c r="T39" i="1"/>
  <c r="AG39" i="1" s="1"/>
  <c r="P37" i="1"/>
  <c r="Q34" i="1"/>
  <c r="X34" i="1" s="1"/>
  <c r="T31" i="1"/>
  <c r="AG31" i="1" s="1"/>
  <c r="P29" i="1"/>
  <c r="T26" i="1"/>
  <c r="AG26" i="1" s="1"/>
  <c r="R24" i="1"/>
  <c r="V24" i="1" s="1"/>
  <c r="R22" i="1"/>
  <c r="V22" i="1" s="1"/>
  <c r="Q20" i="1"/>
  <c r="X20" i="1" s="1"/>
  <c r="Q18" i="1"/>
  <c r="X18" i="1" s="1"/>
  <c r="Q16" i="1"/>
  <c r="X16" i="1" s="1"/>
  <c r="Q14" i="1"/>
  <c r="X14" i="1" s="1"/>
  <c r="Q12" i="1"/>
  <c r="X12" i="1" s="1"/>
  <c r="Q10" i="1"/>
  <c r="X10" i="1" s="1"/>
  <c r="Q8" i="1"/>
  <c r="X8" i="1" s="1"/>
  <c r="Q6" i="1"/>
  <c r="X6" i="1" s="1"/>
  <c r="Q4" i="1"/>
  <c r="X4" i="1" s="1"/>
  <c r="Q2" i="1"/>
  <c r="X2" i="1" s="1"/>
  <c r="T252" i="1"/>
  <c r="AG252" i="1" s="1"/>
  <c r="P236" i="1"/>
  <c r="Q219" i="1"/>
  <c r="X219" i="1" s="1"/>
  <c r="U202" i="1"/>
  <c r="W202" i="1" s="1"/>
  <c r="U191" i="1"/>
  <c r="W191" i="1" s="1"/>
  <c r="Q182" i="1"/>
  <c r="X182" i="1" s="1"/>
  <c r="U172" i="1"/>
  <c r="W172" i="1" s="1"/>
  <c r="T165" i="1"/>
  <c r="AG165" i="1" s="1"/>
  <c r="T158" i="1"/>
  <c r="AG158" i="1" s="1"/>
  <c r="P152" i="1"/>
  <c r="P146" i="1"/>
  <c r="P140" i="1"/>
  <c r="P134" i="1"/>
  <c r="P128" i="1"/>
  <c r="P122" i="1"/>
  <c r="R116" i="1"/>
  <c r="V116" i="1" s="1"/>
  <c r="S111" i="1"/>
  <c r="Y111" i="1" s="1"/>
  <c r="U106" i="1"/>
  <c r="W106" i="1" s="1"/>
  <c r="P102" i="1"/>
  <c r="Q97" i="1"/>
  <c r="X97" i="1" s="1"/>
  <c r="R93" i="1"/>
  <c r="V93" i="1" s="1"/>
  <c r="S89" i="1"/>
  <c r="Y89" i="1" s="1"/>
  <c r="U85" i="1"/>
  <c r="W85" i="1" s="1"/>
  <c r="P83" i="1"/>
  <c r="U79" i="1"/>
  <c r="W79" i="1" s="1"/>
  <c r="P77" i="1"/>
  <c r="U73" i="1"/>
  <c r="W73" i="1" s="1"/>
  <c r="P71" i="1"/>
  <c r="U67" i="1"/>
  <c r="W67" i="1" s="1"/>
  <c r="P65" i="1"/>
  <c r="U61" i="1"/>
  <c r="W61" i="1" s="1"/>
  <c r="P59" i="1"/>
  <c r="U55" i="1"/>
  <c r="W55" i="1" s="1"/>
  <c r="P53" i="1"/>
  <c r="P50" i="1"/>
  <c r="S47" i="1"/>
  <c r="Y47" i="1" s="1"/>
  <c r="U44" i="1"/>
  <c r="W44" i="1" s="1"/>
  <c r="P42" i="1"/>
  <c r="S39" i="1"/>
  <c r="Y39" i="1" s="1"/>
  <c r="U36" i="1"/>
  <c r="W36" i="1" s="1"/>
  <c r="P34" i="1"/>
  <c r="S31" i="1"/>
  <c r="Y31" i="1" s="1"/>
  <c r="U28" i="1"/>
  <c r="W28" i="1" s="1"/>
  <c r="R26" i="1"/>
  <c r="V26" i="1" s="1"/>
  <c r="Q24" i="1"/>
  <c r="X24" i="1" s="1"/>
  <c r="Q22" i="1"/>
  <c r="X22" i="1" s="1"/>
  <c r="P20" i="1"/>
  <c r="P18" i="1"/>
  <c r="P16" i="1"/>
  <c r="P14" i="1"/>
  <c r="P12" i="1"/>
  <c r="P10" i="1"/>
  <c r="P8" i="1"/>
  <c r="P6" i="1"/>
  <c r="P4" i="1"/>
  <c r="P2" i="1"/>
  <c r="U228" i="1"/>
  <c r="W228" i="1" s="1"/>
  <c r="T187" i="1"/>
  <c r="AG187" i="1" s="1"/>
  <c r="T162" i="1"/>
  <c r="AG162" i="1" s="1"/>
  <c r="S143" i="1"/>
  <c r="Y143" i="1" s="1"/>
  <c r="S125" i="1"/>
  <c r="Y125" i="1" s="1"/>
  <c r="S109" i="1"/>
  <c r="Y109" i="1" s="1"/>
  <c r="U95" i="1"/>
  <c r="W95" i="1" s="1"/>
  <c r="U84" i="1"/>
  <c r="W84" i="1" s="1"/>
  <c r="T75" i="1"/>
  <c r="AG75" i="1" s="1"/>
  <c r="U66" i="1"/>
  <c r="W66" i="1" s="1"/>
  <c r="T57" i="1"/>
  <c r="AG57" i="1" s="1"/>
  <c r="P49" i="1"/>
  <c r="P41" i="1"/>
  <c r="P33" i="1"/>
  <c r="S25" i="1"/>
  <c r="Y25" i="1" s="1"/>
  <c r="Q19" i="1"/>
  <c r="X19" i="1" s="1"/>
  <c r="Q13" i="1"/>
  <c r="X13" i="1" s="1"/>
  <c r="Q7" i="1"/>
  <c r="X7" i="1" s="1"/>
  <c r="Q226" i="1"/>
  <c r="X226" i="1" s="1"/>
  <c r="R186" i="1"/>
  <c r="V186" i="1" s="1"/>
  <c r="R161" i="1"/>
  <c r="V161" i="1" s="1"/>
  <c r="R142" i="1"/>
  <c r="V142" i="1" s="1"/>
  <c r="R124" i="1"/>
  <c r="V124" i="1" s="1"/>
  <c r="U108" i="1"/>
  <c r="W108" i="1" s="1"/>
  <c r="U94" i="1"/>
  <c r="W94" i="1" s="1"/>
  <c r="Q84" i="1"/>
  <c r="X84" i="1" s="1"/>
  <c r="R75" i="1"/>
  <c r="V75" i="1" s="1"/>
  <c r="Q66" i="1"/>
  <c r="X66" i="1" s="1"/>
  <c r="R57" i="1"/>
  <c r="V57" i="1" s="1"/>
  <c r="T48" i="1"/>
  <c r="AG48" i="1" s="1"/>
  <c r="T40" i="1"/>
  <c r="AG40" i="1" s="1"/>
  <c r="T32" i="1"/>
  <c r="AG32" i="1" s="1"/>
  <c r="Q25" i="1"/>
  <c r="X25" i="1" s="1"/>
  <c r="U18" i="1"/>
  <c r="W18" i="1" s="1"/>
  <c r="U12" i="1"/>
  <c r="W12" i="1" s="1"/>
  <c r="U6" i="1"/>
  <c r="W6" i="1" s="1"/>
  <c r="A257" i="2"/>
  <c r="R255" i="1" s="1"/>
  <c r="V255" i="1" s="1"/>
  <c r="Q224" i="1"/>
  <c r="X224" i="1" s="1"/>
  <c r="Q185" i="1"/>
  <c r="X185" i="1" s="1"/>
  <c r="T160" i="1"/>
  <c r="AG160" i="1" s="1"/>
  <c r="U141" i="1"/>
  <c r="W141" i="1" s="1"/>
  <c r="U123" i="1"/>
  <c r="W123" i="1" s="1"/>
  <c r="Q108" i="1"/>
  <c r="X108" i="1" s="1"/>
  <c r="R94" i="1"/>
  <c r="V94" i="1" s="1"/>
  <c r="T83" i="1"/>
  <c r="AG83" i="1" s="1"/>
  <c r="U74" i="1"/>
  <c r="W74" i="1" s="1"/>
  <c r="T65" i="1"/>
  <c r="AG65" i="1" s="1"/>
  <c r="U56" i="1"/>
  <c r="W56" i="1" s="1"/>
  <c r="P48" i="1"/>
  <c r="P40" i="1"/>
  <c r="P32" i="1"/>
  <c r="U24" i="1"/>
  <c r="W24" i="1" s="1"/>
  <c r="S18" i="1"/>
  <c r="Y18" i="1" s="1"/>
  <c r="S12" i="1"/>
  <c r="Y12" i="1" s="1"/>
  <c r="S6" i="1"/>
  <c r="Y6" i="1" s="1"/>
  <c r="T222" i="1"/>
  <c r="AG222" i="1" s="1"/>
  <c r="Q184" i="1"/>
  <c r="X184" i="1" s="1"/>
  <c r="P160" i="1"/>
  <c r="R141" i="1"/>
  <c r="V141" i="1" s="1"/>
  <c r="R123" i="1"/>
  <c r="V123" i="1" s="1"/>
  <c r="U107" i="1"/>
  <c r="W107" i="1" s="1"/>
  <c r="Q94" i="1"/>
  <c r="X94" i="1" s="1"/>
  <c r="S83" i="1"/>
  <c r="Y83" i="1" s="1"/>
  <c r="T74" i="1"/>
  <c r="AG74" i="1" s="1"/>
  <c r="S65" i="1"/>
  <c r="Y65" i="1" s="1"/>
  <c r="T56" i="1"/>
  <c r="AG56" i="1" s="1"/>
  <c r="U47" i="1"/>
  <c r="W47" i="1" s="1"/>
  <c r="U39" i="1"/>
  <c r="W39" i="1" s="1"/>
  <c r="U31" i="1"/>
  <c r="W31" i="1" s="1"/>
  <c r="T24" i="1"/>
  <c r="AG24" i="1" s="1"/>
  <c r="R18" i="1"/>
  <c r="V18" i="1" s="1"/>
  <c r="R12" i="1"/>
  <c r="V12" i="1" s="1"/>
  <c r="R6" i="1"/>
  <c r="V6" i="1" s="1"/>
  <c r="S209" i="1"/>
  <c r="Y209" i="1" s="1"/>
  <c r="U176" i="1"/>
  <c r="W176" i="1" s="1"/>
  <c r="T154" i="1"/>
  <c r="AG154" i="1" s="1"/>
  <c r="R136" i="1"/>
  <c r="V136" i="1" s="1"/>
  <c r="T118" i="1"/>
  <c r="AG118" i="1" s="1"/>
  <c r="P104" i="1"/>
  <c r="P91" i="1"/>
  <c r="R81" i="1"/>
  <c r="V81" i="1" s="1"/>
  <c r="Q72" i="1"/>
  <c r="X72" i="1" s="1"/>
  <c r="R63" i="1"/>
  <c r="V63" i="1" s="1"/>
  <c r="Q54" i="1"/>
  <c r="X54" i="1" s="1"/>
  <c r="U45" i="1"/>
  <c r="W45" i="1" s="1"/>
  <c r="U37" i="1"/>
  <c r="W37" i="1" s="1"/>
  <c r="U29" i="1"/>
  <c r="W29" i="1" s="1"/>
  <c r="P23" i="1"/>
  <c r="U16" i="1"/>
  <c r="W16" i="1" s="1"/>
  <c r="U10" i="1"/>
  <c r="W10" i="1" s="1"/>
  <c r="U4" i="1"/>
  <c r="W4" i="1" s="1"/>
  <c r="R240" i="1"/>
  <c r="V240" i="1" s="1"/>
  <c r="U194" i="1"/>
  <c r="W194" i="1" s="1"/>
  <c r="U167" i="1"/>
  <c r="W167" i="1" s="1"/>
  <c r="U147" i="1"/>
  <c r="W147" i="1" s="1"/>
  <c r="U129" i="1"/>
  <c r="W129" i="1" s="1"/>
  <c r="P113" i="1"/>
  <c r="T98" i="1"/>
  <c r="AG98" i="1" s="1"/>
  <c r="U86" i="1"/>
  <c r="W86" i="1" s="1"/>
  <c r="T77" i="1"/>
  <c r="AG77" i="1" s="1"/>
  <c r="U68" i="1"/>
  <c r="W68" i="1" s="1"/>
  <c r="T59" i="1"/>
  <c r="AG59" i="1" s="1"/>
  <c r="U50" i="1"/>
  <c r="W50" i="1" s="1"/>
  <c r="U42" i="1"/>
  <c r="W42" i="1" s="1"/>
  <c r="U34" i="1"/>
  <c r="W34" i="1" s="1"/>
  <c r="P27" i="1"/>
  <c r="S20" i="1"/>
  <c r="Y20" i="1" s="1"/>
  <c r="S14" i="1"/>
  <c r="Y14" i="1" s="1"/>
  <c r="S8" i="1"/>
  <c r="Y8" i="1" s="1"/>
  <c r="S2" i="1"/>
  <c r="Y2" i="1" s="1"/>
  <c r="U197" i="1"/>
  <c r="W197" i="1" s="1"/>
  <c r="S149" i="1"/>
  <c r="Y149" i="1" s="1"/>
  <c r="R114" i="1"/>
  <c r="V114" i="1" s="1"/>
  <c r="U87" i="1"/>
  <c r="W87" i="1" s="1"/>
  <c r="T69" i="1"/>
  <c r="AG69" i="1" s="1"/>
  <c r="T51" i="1"/>
  <c r="AG51" i="1" s="1"/>
  <c r="T35" i="1"/>
  <c r="AG35" i="1" s="1"/>
  <c r="R21" i="1"/>
  <c r="V21" i="1" s="1"/>
  <c r="Q9" i="1"/>
  <c r="X9" i="1" s="1"/>
  <c r="R196" i="1"/>
  <c r="V196" i="1" s="1"/>
  <c r="R148" i="1"/>
  <c r="V148" i="1" s="1"/>
  <c r="S113" i="1"/>
  <c r="Y113" i="1" s="1"/>
  <c r="R87" i="1"/>
  <c r="V87" i="1" s="1"/>
  <c r="R69" i="1"/>
  <c r="V69" i="1" s="1"/>
  <c r="R51" i="1"/>
  <c r="V51" i="1" s="1"/>
  <c r="R35" i="1"/>
  <c r="V35" i="1" s="1"/>
  <c r="U20" i="1"/>
  <c r="W20" i="1" s="1"/>
  <c r="U8" i="1"/>
  <c r="W8" i="1" s="1"/>
  <c r="P194" i="1"/>
  <c r="R147" i="1"/>
  <c r="V147" i="1" s="1"/>
  <c r="T112" i="1"/>
  <c r="AG112" i="1" s="1"/>
  <c r="T86" i="1"/>
  <c r="AG86" i="1" s="1"/>
  <c r="T68" i="1"/>
  <c r="AG68" i="1" s="1"/>
  <c r="T50" i="1"/>
  <c r="AG50" i="1" s="1"/>
  <c r="T34" i="1"/>
  <c r="AG34" i="1" s="1"/>
  <c r="R20" i="1"/>
  <c r="V20" i="1" s="1"/>
  <c r="R8" i="1"/>
  <c r="V8" i="1" s="1"/>
  <c r="P178" i="1"/>
  <c r="S137" i="1"/>
  <c r="Y137" i="1" s="1"/>
  <c r="U104" i="1"/>
  <c r="W104" i="1" s="1"/>
  <c r="T81" i="1"/>
  <c r="AG81" i="1" s="1"/>
  <c r="T63" i="1"/>
  <c r="AG63" i="1" s="1"/>
  <c r="Q46" i="1"/>
  <c r="X46" i="1" s="1"/>
  <c r="Q30" i="1"/>
  <c r="X30" i="1" s="1"/>
  <c r="Q17" i="1"/>
  <c r="X17" i="1" s="1"/>
  <c r="Q5" i="1"/>
  <c r="X5" i="1" s="1"/>
  <c r="T174" i="1"/>
  <c r="AG174" i="1" s="1"/>
  <c r="R135" i="1"/>
  <c r="V135" i="1" s="1"/>
  <c r="P103" i="1"/>
  <c r="T80" i="1"/>
  <c r="AG80" i="1" s="1"/>
  <c r="T62" i="1"/>
  <c r="AG62" i="1" s="1"/>
  <c r="R45" i="1"/>
  <c r="V45" i="1" s="1"/>
  <c r="R29" i="1"/>
  <c r="V29" i="1" s="1"/>
  <c r="R16" i="1"/>
  <c r="V16" i="1" s="1"/>
  <c r="R4" i="1"/>
  <c r="V4" i="1" s="1"/>
  <c r="T242" i="1"/>
  <c r="AG242" i="1" s="1"/>
  <c r="R168" i="1"/>
  <c r="V168" i="1" s="1"/>
  <c r="R130" i="1"/>
  <c r="V130" i="1" s="1"/>
  <c r="Q99" i="1"/>
  <c r="X99" i="1" s="1"/>
  <c r="Q78" i="1"/>
  <c r="X78" i="1" s="1"/>
  <c r="Q60" i="1"/>
  <c r="X60" i="1" s="1"/>
  <c r="R43" i="1"/>
  <c r="V43" i="1" s="1"/>
  <c r="S27" i="1"/>
  <c r="Y27" i="1" s="1"/>
  <c r="U14" i="1"/>
  <c r="W14" i="1" s="1"/>
  <c r="U2" i="1"/>
  <c r="W2" i="1" s="1"/>
  <c r="P246" i="1"/>
  <c r="S131" i="1"/>
  <c r="Y131" i="1" s="1"/>
  <c r="U78" i="1"/>
  <c r="W78" i="1" s="1"/>
  <c r="T43" i="1"/>
  <c r="AG43" i="1" s="1"/>
  <c r="Q15" i="1"/>
  <c r="X15" i="1" s="1"/>
  <c r="Q239" i="1"/>
  <c r="X239" i="1" s="1"/>
  <c r="R129" i="1"/>
  <c r="V129" i="1" s="1"/>
  <c r="S77" i="1"/>
  <c r="Y77" i="1" s="1"/>
  <c r="T42" i="1"/>
  <c r="AG42" i="1" s="1"/>
  <c r="R14" i="1"/>
  <c r="V14" i="1" s="1"/>
  <c r="R212" i="1"/>
  <c r="V212" i="1" s="1"/>
  <c r="S119" i="1"/>
  <c r="Y119" i="1" s="1"/>
  <c r="U72" i="1"/>
  <c r="W72" i="1" s="1"/>
  <c r="Q38" i="1"/>
  <c r="X38" i="1" s="1"/>
  <c r="Q11" i="1"/>
  <c r="X11" i="1" s="1"/>
  <c r="S175" i="1"/>
  <c r="Y175" i="1" s="1"/>
  <c r="R103" i="1"/>
  <c r="V103" i="1" s="1"/>
  <c r="U62" i="1"/>
  <c r="W62" i="1" s="1"/>
  <c r="S29" i="1"/>
  <c r="Y29" i="1" s="1"/>
  <c r="S4" i="1"/>
  <c r="Y4" i="1" s="1"/>
  <c r="R167" i="1"/>
  <c r="V167" i="1" s="1"/>
  <c r="Q98" i="1"/>
  <c r="X98" i="1" s="1"/>
  <c r="S59" i="1"/>
  <c r="Y59" i="1" s="1"/>
  <c r="U26" i="1"/>
  <c r="W26" i="1" s="1"/>
  <c r="R2" i="1"/>
  <c r="V2" i="1" s="1"/>
  <c r="Q206" i="1"/>
  <c r="X206" i="1" s="1"/>
  <c r="U80" i="1"/>
  <c r="W80" i="1" s="1"/>
  <c r="T22" i="1"/>
  <c r="AG22" i="1" s="1"/>
  <c r="U169" i="1"/>
  <c r="W169" i="1" s="1"/>
  <c r="T71" i="1"/>
  <c r="AG71" i="1" s="1"/>
  <c r="S22" i="1"/>
  <c r="Y22" i="1" s="1"/>
  <c r="U155" i="1"/>
  <c r="W155" i="1" s="1"/>
  <c r="S71" i="1"/>
  <c r="Y71" i="1" s="1"/>
  <c r="S16" i="1"/>
  <c r="Y16" i="1" s="1"/>
  <c r="P154" i="1"/>
  <c r="U60" i="1"/>
  <c r="W60" i="1" s="1"/>
  <c r="S10" i="1"/>
  <c r="Y10" i="1" s="1"/>
  <c r="U135" i="1"/>
  <c r="W135" i="1" s="1"/>
  <c r="T53" i="1"/>
  <c r="AG53" i="1" s="1"/>
  <c r="Q3" i="1"/>
  <c r="X3" i="1" s="1"/>
  <c r="S117" i="1"/>
  <c r="Y117" i="1" s="1"/>
  <c r="S45" i="1"/>
  <c r="Y45" i="1" s="1"/>
  <c r="P118" i="1"/>
  <c r="U91" i="1"/>
  <c r="W91" i="1" s="1"/>
  <c r="Q90" i="1"/>
  <c r="X90" i="1" s="1"/>
  <c r="S37" i="1"/>
  <c r="Y37" i="1" s="1"/>
  <c r="P90" i="1"/>
  <c r="U54" i="1"/>
  <c r="W54" i="1" s="1"/>
  <c r="S53" i="1"/>
  <c r="Y53" i="1" s="1"/>
  <c r="R37" i="1"/>
  <c r="V37" i="1" s="1"/>
  <c r="U27" i="1"/>
  <c r="W27" i="1" s="1"/>
  <c r="R10" i="1"/>
  <c r="V10" i="1" s="1"/>
  <c r="R23" i="1"/>
  <c r="V23" i="1" s="1"/>
  <c r="Q208" i="1"/>
  <c r="X208" i="1" s="1"/>
  <c r="S153" i="1"/>
  <c r="Y153" i="1" s="1"/>
  <c r="P100" i="1"/>
  <c r="A8" i="1"/>
  <c r="AB7" i="1"/>
  <c r="DA32" i="5"/>
  <c r="DB32" i="5" s="1"/>
  <c r="DA30" i="5"/>
  <c r="DB30" i="5" s="1"/>
  <c r="DA28" i="5"/>
  <c r="DB28" i="5" s="1"/>
  <c r="DA31" i="5"/>
  <c r="DB31" i="5" s="1"/>
  <c r="DA29" i="5"/>
  <c r="DB29" i="5" s="1"/>
  <c r="DA27" i="5"/>
  <c r="DB27" i="5" s="1"/>
  <c r="AD19" i="1" l="1"/>
  <c r="AA19" i="1"/>
  <c r="Z19" i="1"/>
  <c r="AA249" i="1"/>
  <c r="Z249" i="1"/>
  <c r="AD249" i="1"/>
  <c r="AD59" i="1"/>
  <c r="AA59" i="1"/>
  <c r="Z59" i="1"/>
  <c r="AD159" i="1"/>
  <c r="AA159" i="1"/>
  <c r="Z159" i="1"/>
  <c r="AD85" i="1"/>
  <c r="AA85" i="1"/>
  <c r="Z85" i="1"/>
  <c r="AD179" i="1"/>
  <c r="AA179" i="1"/>
  <c r="Z179" i="1"/>
  <c r="AD166" i="1"/>
  <c r="AA166" i="1"/>
  <c r="Z166" i="1"/>
  <c r="AD192" i="1"/>
  <c r="AA192" i="1"/>
  <c r="Z192" i="1"/>
  <c r="AD230" i="1"/>
  <c r="AA230" i="1"/>
  <c r="Z230" i="1"/>
  <c r="Z181" i="1"/>
  <c r="AD181" i="1"/>
  <c r="AA181" i="1"/>
  <c r="AA205" i="1"/>
  <c r="Z205" i="1"/>
  <c r="AD205" i="1"/>
  <c r="AA229" i="1"/>
  <c r="Z229" i="1"/>
  <c r="AD229" i="1"/>
  <c r="AA253" i="1"/>
  <c r="Z253" i="1"/>
  <c r="AD253" i="1"/>
  <c r="AA51" i="1"/>
  <c r="Z51" i="1"/>
  <c r="AD51" i="1"/>
  <c r="AA177" i="1"/>
  <c r="Z177" i="1"/>
  <c r="AD177" i="1"/>
  <c r="Z80" i="1"/>
  <c r="AD80" i="1"/>
  <c r="AA80" i="1"/>
  <c r="Z138" i="1"/>
  <c r="AA138" i="1"/>
  <c r="AD138" i="1"/>
  <c r="AA251" i="1"/>
  <c r="Z251" i="1"/>
  <c r="AD251" i="1"/>
  <c r="AD25" i="1"/>
  <c r="AA25" i="1"/>
  <c r="Z25" i="1"/>
  <c r="Z148" i="1"/>
  <c r="AA148" i="1"/>
  <c r="AD148" i="1"/>
  <c r="AD184" i="1"/>
  <c r="AA184" i="1"/>
  <c r="Z184" i="1"/>
  <c r="Z137" i="1"/>
  <c r="AD137" i="1"/>
  <c r="AA137" i="1"/>
  <c r="AD103" i="1"/>
  <c r="AA103" i="1"/>
  <c r="Z103" i="1"/>
  <c r="AD178" i="1"/>
  <c r="Z178" i="1"/>
  <c r="AA178" i="1"/>
  <c r="AD27" i="1"/>
  <c r="Z27" i="1"/>
  <c r="AA27" i="1"/>
  <c r="AD6" i="1"/>
  <c r="AA6" i="1"/>
  <c r="Z6" i="1"/>
  <c r="AD65" i="1"/>
  <c r="Z65" i="1"/>
  <c r="AA65" i="1"/>
  <c r="AA29" i="1"/>
  <c r="Z29" i="1"/>
  <c r="AD29" i="1"/>
  <c r="Z99" i="1"/>
  <c r="AD99" i="1"/>
  <c r="AA99" i="1"/>
  <c r="AD55" i="1"/>
  <c r="AA55" i="1"/>
  <c r="Z55" i="1"/>
  <c r="Z92" i="1"/>
  <c r="AD92" i="1"/>
  <c r="AA92" i="1"/>
  <c r="AA60" i="1"/>
  <c r="AD60" i="1"/>
  <c r="Z60" i="1"/>
  <c r="AA84" i="1"/>
  <c r="Z84" i="1"/>
  <c r="AD84" i="1"/>
  <c r="Z110" i="1"/>
  <c r="AD110" i="1"/>
  <c r="AA110" i="1"/>
  <c r="AD144" i="1"/>
  <c r="Z144" i="1"/>
  <c r="AA144" i="1"/>
  <c r="AA96" i="1"/>
  <c r="AD96" i="1"/>
  <c r="Z96" i="1"/>
  <c r="Z139" i="1"/>
  <c r="AD139" i="1"/>
  <c r="AA139" i="1"/>
  <c r="AA208" i="1"/>
  <c r="Z208" i="1"/>
  <c r="AD208" i="1"/>
  <c r="Z248" i="1"/>
  <c r="AA248" i="1"/>
  <c r="AD248" i="1"/>
  <c r="AD183" i="1"/>
  <c r="AA183" i="1"/>
  <c r="Z183" i="1"/>
  <c r="AA207" i="1"/>
  <c r="Z207" i="1"/>
  <c r="AD207" i="1"/>
  <c r="Z231" i="1"/>
  <c r="AD231" i="1"/>
  <c r="AA231" i="1"/>
  <c r="P255" i="1"/>
  <c r="AA54" i="1"/>
  <c r="AD54" i="1"/>
  <c r="Z54" i="1"/>
  <c r="AD201" i="1"/>
  <c r="Z201" i="1"/>
  <c r="AA201" i="1"/>
  <c r="AD88" i="1"/>
  <c r="AA88" i="1"/>
  <c r="Z88" i="1"/>
  <c r="Z162" i="1"/>
  <c r="AA162" i="1"/>
  <c r="AD162" i="1"/>
  <c r="AA32" i="1"/>
  <c r="Z32" i="1"/>
  <c r="AD32" i="1"/>
  <c r="AD8" i="1"/>
  <c r="AA8" i="1"/>
  <c r="Z8" i="1"/>
  <c r="Z34" i="1"/>
  <c r="AA34" i="1"/>
  <c r="AD34" i="1"/>
  <c r="AD63" i="1"/>
  <c r="Z63" i="1"/>
  <c r="AA63" i="1"/>
  <c r="AD176" i="1"/>
  <c r="AA176" i="1"/>
  <c r="Z176" i="1"/>
  <c r="AD3" i="1"/>
  <c r="Z3" i="1"/>
  <c r="AA3" i="1"/>
  <c r="Z62" i="1"/>
  <c r="AA62" i="1"/>
  <c r="AD62" i="1"/>
  <c r="Z86" i="1"/>
  <c r="AD86" i="1"/>
  <c r="AA86" i="1"/>
  <c r="Z240" i="1"/>
  <c r="AA240" i="1"/>
  <c r="AD240" i="1"/>
  <c r="AD141" i="1"/>
  <c r="Z141" i="1"/>
  <c r="AA141" i="1"/>
  <c r="AD196" i="1"/>
  <c r="AA196" i="1"/>
  <c r="Z196" i="1"/>
  <c r="AA250" i="1"/>
  <c r="Z250" i="1"/>
  <c r="AD250" i="1"/>
  <c r="AA204" i="1"/>
  <c r="AD204" i="1"/>
  <c r="Z204" i="1"/>
  <c r="Z161" i="1"/>
  <c r="AD161" i="1"/>
  <c r="AA161" i="1"/>
  <c r="AA185" i="1"/>
  <c r="AD185" i="1"/>
  <c r="Z185" i="1"/>
  <c r="AD209" i="1"/>
  <c r="AA209" i="1"/>
  <c r="Z209" i="1"/>
  <c r="AD233" i="1"/>
  <c r="AA233" i="1"/>
  <c r="Z233" i="1"/>
  <c r="Z89" i="1"/>
  <c r="AD89" i="1"/>
  <c r="AA89" i="1"/>
  <c r="AA186" i="1"/>
  <c r="AD186" i="1"/>
  <c r="Z186" i="1"/>
  <c r="AD198" i="1"/>
  <c r="AA198" i="1"/>
  <c r="Z198" i="1"/>
  <c r="AD225" i="1"/>
  <c r="Z225" i="1"/>
  <c r="AA225" i="1"/>
  <c r="AD194" i="1"/>
  <c r="AA194" i="1"/>
  <c r="Z194" i="1"/>
  <c r="AD170" i="1"/>
  <c r="Z170" i="1"/>
  <c r="AA170" i="1"/>
  <c r="AA102" i="1"/>
  <c r="AD102" i="1"/>
  <c r="Z102" i="1"/>
  <c r="AD71" i="1"/>
  <c r="AA71" i="1"/>
  <c r="Z71" i="1"/>
  <c r="Z112" i="1"/>
  <c r="AD112" i="1"/>
  <c r="AA112" i="1"/>
  <c r="AA5" i="1"/>
  <c r="Z5" i="1"/>
  <c r="AD5" i="1"/>
  <c r="AD30" i="1"/>
  <c r="AA30" i="1"/>
  <c r="Z30" i="1"/>
  <c r="Z28" i="1"/>
  <c r="AD28" i="1"/>
  <c r="AA28" i="1"/>
  <c r="AD61" i="1"/>
  <c r="Z61" i="1"/>
  <c r="AA61" i="1"/>
  <c r="AA164" i="1"/>
  <c r="Z164" i="1"/>
  <c r="AD164" i="1"/>
  <c r="Z22" i="1"/>
  <c r="AD22" i="1"/>
  <c r="AA22" i="1"/>
  <c r="AD64" i="1"/>
  <c r="AA64" i="1"/>
  <c r="Z64" i="1"/>
  <c r="AD150" i="1"/>
  <c r="Z150" i="1"/>
  <c r="AA150" i="1"/>
  <c r="Z143" i="1"/>
  <c r="AD143" i="1"/>
  <c r="AA143" i="1"/>
  <c r="AD200" i="1"/>
  <c r="Z200" i="1"/>
  <c r="AA200" i="1"/>
  <c r="AD44" i="1"/>
  <c r="AA44" i="1"/>
  <c r="Z44" i="1"/>
  <c r="Z133" i="1"/>
  <c r="AD133" i="1"/>
  <c r="AA133" i="1"/>
  <c r="AD2" i="1"/>
  <c r="Z2" i="1"/>
  <c r="AA2" i="1"/>
  <c r="AD188" i="1"/>
  <c r="AA188" i="1"/>
  <c r="Z188" i="1"/>
  <c r="AD10" i="1"/>
  <c r="AA10" i="1"/>
  <c r="Z10" i="1"/>
  <c r="AA48" i="1"/>
  <c r="AD48" i="1"/>
  <c r="Z48" i="1"/>
  <c r="AD12" i="1"/>
  <c r="AA12" i="1"/>
  <c r="Z12" i="1"/>
  <c r="AD122" i="1"/>
  <c r="AA122" i="1"/>
  <c r="Z122" i="1"/>
  <c r="AD37" i="1"/>
  <c r="AA37" i="1"/>
  <c r="Z37" i="1"/>
  <c r="Z117" i="1"/>
  <c r="AD117" i="1"/>
  <c r="AA117" i="1"/>
  <c r="AA35" i="1"/>
  <c r="Z35" i="1"/>
  <c r="AD35" i="1"/>
  <c r="Z69" i="1"/>
  <c r="AD69" i="1"/>
  <c r="AA69" i="1"/>
  <c r="AD7" i="1"/>
  <c r="AA7" i="1"/>
  <c r="Z7" i="1"/>
  <c r="AD101" i="1"/>
  <c r="AA101" i="1"/>
  <c r="Z101" i="1"/>
  <c r="AD26" i="1"/>
  <c r="Z26" i="1"/>
  <c r="AA26" i="1"/>
  <c r="AD24" i="1"/>
  <c r="AA24" i="1"/>
  <c r="Z24" i="1"/>
  <c r="AA158" i="1"/>
  <c r="AD158" i="1"/>
  <c r="Z158" i="1"/>
  <c r="AD94" i="1"/>
  <c r="AA94" i="1"/>
  <c r="Z94" i="1"/>
  <c r="Z124" i="1"/>
  <c r="AD124" i="1"/>
  <c r="AA124" i="1"/>
  <c r="AA119" i="1"/>
  <c r="AD119" i="1"/>
  <c r="Z119" i="1"/>
  <c r="AD155" i="1"/>
  <c r="AA155" i="1"/>
  <c r="Z155" i="1"/>
  <c r="AA66" i="1"/>
  <c r="AD66" i="1"/>
  <c r="Z66" i="1"/>
  <c r="AD212" i="1"/>
  <c r="AA212" i="1"/>
  <c r="Z212" i="1"/>
  <c r="Z93" i="1"/>
  <c r="AA93" i="1"/>
  <c r="AD93" i="1"/>
  <c r="AA222" i="1"/>
  <c r="AD222" i="1"/>
  <c r="Z222" i="1"/>
  <c r="Z121" i="1"/>
  <c r="AA121" i="1"/>
  <c r="AD121" i="1"/>
  <c r="Z145" i="1"/>
  <c r="AD145" i="1"/>
  <c r="AA145" i="1"/>
  <c r="Z242" i="1"/>
  <c r="AD242" i="1"/>
  <c r="AA242" i="1"/>
  <c r="AA182" i="1"/>
  <c r="AD182" i="1"/>
  <c r="Z182" i="1"/>
  <c r="Z252" i="1"/>
  <c r="AA252" i="1"/>
  <c r="AD252" i="1"/>
  <c r="Z56" i="1"/>
  <c r="AD56" i="1"/>
  <c r="AA56" i="1"/>
  <c r="AD135" i="1"/>
  <c r="AA135" i="1"/>
  <c r="Z135" i="1"/>
  <c r="AD4" i="1"/>
  <c r="AA4" i="1"/>
  <c r="Z4" i="1"/>
  <c r="AD57" i="1"/>
  <c r="AA57" i="1"/>
  <c r="Z57" i="1"/>
  <c r="AD109" i="1"/>
  <c r="Z109" i="1"/>
  <c r="AA109" i="1"/>
  <c r="AD91" i="1"/>
  <c r="AA91" i="1"/>
  <c r="Z91" i="1"/>
  <c r="AD42" i="1"/>
  <c r="AA42" i="1"/>
  <c r="Z42" i="1"/>
  <c r="AD9" i="1"/>
  <c r="AA9" i="1"/>
  <c r="Z9" i="1"/>
  <c r="AA114" i="1"/>
  <c r="AD114" i="1"/>
  <c r="Z114" i="1"/>
  <c r="AD67" i="1"/>
  <c r="AA67" i="1"/>
  <c r="Z67" i="1"/>
  <c r="Z172" i="1"/>
  <c r="AA172" i="1"/>
  <c r="AD172" i="1"/>
  <c r="AD97" i="1"/>
  <c r="AA97" i="1"/>
  <c r="Z97" i="1"/>
  <c r="Z68" i="1"/>
  <c r="AD68" i="1"/>
  <c r="AA68" i="1"/>
  <c r="AD220" i="1"/>
  <c r="Z220" i="1"/>
  <c r="AA220" i="1"/>
  <c r="AD120" i="1"/>
  <c r="AA120" i="1"/>
  <c r="Z120" i="1"/>
  <c r="AA214" i="1"/>
  <c r="Z214" i="1"/>
  <c r="AD214" i="1"/>
  <c r="Z123" i="1"/>
  <c r="AA123" i="1"/>
  <c r="AD123" i="1"/>
  <c r="AD147" i="1"/>
  <c r="AA147" i="1"/>
  <c r="Z147" i="1"/>
  <c r="AD174" i="1"/>
  <c r="AA174" i="1"/>
  <c r="Z174" i="1"/>
  <c r="AA156" i="1"/>
  <c r="Z156" i="1"/>
  <c r="AD156" i="1"/>
  <c r="AD206" i="1"/>
  <c r="Z206" i="1"/>
  <c r="AA206" i="1"/>
  <c r="Z234" i="1"/>
  <c r="AA234" i="1"/>
  <c r="AD234" i="1"/>
  <c r="AA153" i="1"/>
  <c r="Z153" i="1"/>
  <c r="AD153" i="1"/>
  <c r="Q255" i="1"/>
  <c r="X255" i="1" s="1"/>
  <c r="AD113" i="1"/>
  <c r="AA113" i="1"/>
  <c r="Z113" i="1"/>
  <c r="Z87" i="1"/>
  <c r="AA87" i="1"/>
  <c r="AD87" i="1"/>
  <c r="AD227" i="1"/>
  <c r="AA227" i="1"/>
  <c r="Z227" i="1"/>
  <c r="AA47" i="1"/>
  <c r="Z47" i="1"/>
  <c r="AD47" i="1"/>
  <c r="AD82" i="1"/>
  <c r="AA82" i="1"/>
  <c r="Z82" i="1"/>
  <c r="AA236" i="1"/>
  <c r="Z236" i="1"/>
  <c r="AD236" i="1"/>
  <c r="Z75" i="1"/>
  <c r="AD75" i="1"/>
  <c r="AA75" i="1"/>
  <c r="AA11" i="1"/>
  <c r="Z11" i="1"/>
  <c r="AD11" i="1"/>
  <c r="Z38" i="1"/>
  <c r="AA38" i="1"/>
  <c r="AD38" i="1"/>
  <c r="AD115" i="1"/>
  <c r="AA115" i="1"/>
  <c r="Z115" i="1"/>
  <c r="AD31" i="1"/>
  <c r="AA31" i="1"/>
  <c r="Z31" i="1"/>
  <c r="AD130" i="1"/>
  <c r="Z130" i="1"/>
  <c r="AA130" i="1"/>
  <c r="AD168" i="1"/>
  <c r="Z168" i="1"/>
  <c r="AA168" i="1"/>
  <c r="AD70" i="1"/>
  <c r="AA70" i="1"/>
  <c r="Z70" i="1"/>
  <c r="AD95" i="1"/>
  <c r="AA95" i="1"/>
  <c r="Z95" i="1"/>
  <c r="AD238" i="1"/>
  <c r="AA238" i="1"/>
  <c r="Z238" i="1"/>
  <c r="AA108" i="1"/>
  <c r="Z108" i="1"/>
  <c r="AD108" i="1"/>
  <c r="AD125" i="1"/>
  <c r="Z125" i="1"/>
  <c r="AA125" i="1"/>
  <c r="AD149" i="1"/>
  <c r="Z149" i="1"/>
  <c r="AA149" i="1"/>
  <c r="AD224" i="1"/>
  <c r="AA224" i="1"/>
  <c r="Z224" i="1"/>
  <c r="AA78" i="1"/>
  <c r="Z78" i="1"/>
  <c r="AD78" i="1"/>
  <c r="AD210" i="1"/>
  <c r="AA210" i="1"/>
  <c r="Z210" i="1"/>
  <c r="AA190" i="1"/>
  <c r="AD190" i="1"/>
  <c r="Z190" i="1"/>
  <c r="AD107" i="1"/>
  <c r="AA107" i="1"/>
  <c r="Z107" i="1"/>
  <c r="AD203" i="1"/>
  <c r="Z203" i="1"/>
  <c r="AA203" i="1"/>
  <c r="Z58" i="1"/>
  <c r="AA58" i="1"/>
  <c r="AD58" i="1"/>
  <c r="AD160" i="1"/>
  <c r="AA160" i="1"/>
  <c r="Z160" i="1"/>
  <c r="A258" i="2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T255" i="1"/>
  <c r="AG255" i="1" s="1"/>
  <c r="U255" i="1"/>
  <c r="W255" i="1" s="1"/>
  <c r="Z246" i="1"/>
  <c r="AD246" i="1"/>
  <c r="AA246" i="1"/>
  <c r="AA33" i="1"/>
  <c r="Z33" i="1"/>
  <c r="AD33" i="1"/>
  <c r="AD18" i="1"/>
  <c r="AA18" i="1"/>
  <c r="Z18" i="1"/>
  <c r="Z83" i="1"/>
  <c r="AD83" i="1"/>
  <c r="AA83" i="1"/>
  <c r="AA140" i="1"/>
  <c r="Z140" i="1"/>
  <c r="AD140" i="1"/>
  <c r="AD45" i="1"/>
  <c r="Z45" i="1"/>
  <c r="AA45" i="1"/>
  <c r="AD43" i="1"/>
  <c r="AA43" i="1"/>
  <c r="Z43" i="1"/>
  <c r="AD13" i="1"/>
  <c r="AA13" i="1"/>
  <c r="Z13" i="1"/>
  <c r="AD73" i="1"/>
  <c r="AA73" i="1"/>
  <c r="Z73" i="1"/>
  <c r="AD36" i="1"/>
  <c r="AA36" i="1"/>
  <c r="Z36" i="1"/>
  <c r="Z111" i="1"/>
  <c r="AD111" i="1"/>
  <c r="AA111" i="1"/>
  <c r="AA72" i="1"/>
  <c r="Z72" i="1"/>
  <c r="AD72" i="1"/>
  <c r="AD126" i="1"/>
  <c r="AA126" i="1"/>
  <c r="Z126" i="1"/>
  <c r="Z127" i="1"/>
  <c r="AD127" i="1"/>
  <c r="AA127" i="1"/>
  <c r="Z151" i="1"/>
  <c r="AD151" i="1"/>
  <c r="AA151" i="1"/>
  <c r="AA226" i="1"/>
  <c r="Z226" i="1"/>
  <c r="AD226" i="1"/>
  <c r="AD180" i="1"/>
  <c r="AA180" i="1"/>
  <c r="Z180" i="1"/>
  <c r="AD254" i="1"/>
  <c r="AA254" i="1"/>
  <c r="Z254" i="1"/>
  <c r="AD142" i="1"/>
  <c r="AA142" i="1"/>
  <c r="Z142" i="1"/>
  <c r="Z40" i="1"/>
  <c r="AA40" i="1"/>
  <c r="AD40" i="1"/>
  <c r="AA14" i="1"/>
  <c r="Z14" i="1"/>
  <c r="AD14" i="1"/>
  <c r="AD128" i="1"/>
  <c r="AA128" i="1"/>
  <c r="Z128" i="1"/>
  <c r="AA90" i="1"/>
  <c r="AD90" i="1"/>
  <c r="Z90" i="1"/>
  <c r="Z104" i="1"/>
  <c r="AD104" i="1"/>
  <c r="AA104" i="1"/>
  <c r="AA16" i="1"/>
  <c r="Z16" i="1"/>
  <c r="AD16" i="1"/>
  <c r="AA134" i="1"/>
  <c r="Z134" i="1"/>
  <c r="AD134" i="1"/>
  <c r="AD154" i="1"/>
  <c r="Z154" i="1"/>
  <c r="AA154" i="1"/>
  <c r="AA41" i="1"/>
  <c r="Z41" i="1"/>
  <c r="AD41" i="1"/>
  <c r="AD20" i="1"/>
  <c r="AA20" i="1"/>
  <c r="Z20" i="1"/>
  <c r="AD50" i="1"/>
  <c r="AA50" i="1"/>
  <c r="Z50" i="1"/>
  <c r="AD146" i="1"/>
  <c r="AA146" i="1"/>
  <c r="Z146" i="1"/>
  <c r="Z81" i="1"/>
  <c r="AA81" i="1"/>
  <c r="AD81" i="1"/>
  <c r="AD15" i="1"/>
  <c r="Z15" i="1"/>
  <c r="AA15" i="1"/>
  <c r="AA244" i="1"/>
  <c r="AD244" i="1"/>
  <c r="Z244" i="1"/>
  <c r="AD216" i="1"/>
  <c r="AA216" i="1"/>
  <c r="Z216" i="1"/>
  <c r="AD136" i="1"/>
  <c r="AA136" i="1"/>
  <c r="Z136" i="1"/>
  <c r="Z74" i="1"/>
  <c r="AD74" i="1"/>
  <c r="AA74" i="1"/>
  <c r="Z98" i="1"/>
  <c r="AD98" i="1"/>
  <c r="AA98" i="1"/>
  <c r="AA129" i="1"/>
  <c r="Z129" i="1"/>
  <c r="AD129" i="1"/>
  <c r="S255" i="1"/>
  <c r="Y255" i="1" s="1"/>
  <c r="AA232" i="1"/>
  <c r="AD232" i="1"/>
  <c r="Z232" i="1"/>
  <c r="Z276" i="1"/>
  <c r="AA276" i="1"/>
  <c r="AD276" i="1"/>
  <c r="AA118" i="1"/>
  <c r="Z118" i="1"/>
  <c r="AD118" i="1"/>
  <c r="A9" i="1"/>
  <c r="AB8" i="1"/>
  <c r="AA77" i="1"/>
  <c r="Z77" i="1"/>
  <c r="AD77" i="1"/>
  <c r="AA100" i="1"/>
  <c r="Z100" i="1"/>
  <c r="AD100" i="1"/>
  <c r="AA23" i="1"/>
  <c r="Z23" i="1"/>
  <c r="AD23" i="1"/>
  <c r="AD49" i="1"/>
  <c r="AA49" i="1"/>
  <c r="Z49" i="1"/>
  <c r="AA53" i="1"/>
  <c r="AD53" i="1"/>
  <c r="Z53" i="1"/>
  <c r="AD152" i="1"/>
  <c r="AA152" i="1"/>
  <c r="Z152" i="1"/>
  <c r="AA17" i="1"/>
  <c r="Z17" i="1"/>
  <c r="AD17" i="1"/>
  <c r="Z46" i="1"/>
  <c r="AD46" i="1"/>
  <c r="AA46" i="1"/>
  <c r="AD79" i="1"/>
  <c r="AA79" i="1"/>
  <c r="Z79" i="1"/>
  <c r="Z39" i="1"/>
  <c r="AD39" i="1"/>
  <c r="AA39" i="1"/>
  <c r="Z116" i="1"/>
  <c r="AD116" i="1"/>
  <c r="AA116" i="1"/>
  <c r="AD202" i="1"/>
  <c r="AA202" i="1"/>
  <c r="Z202" i="1"/>
  <c r="AA106" i="1"/>
  <c r="Z106" i="1"/>
  <c r="AD106" i="1"/>
  <c r="AD52" i="1"/>
  <c r="AA52" i="1"/>
  <c r="Z52" i="1"/>
  <c r="AD76" i="1"/>
  <c r="AA76" i="1"/>
  <c r="Z76" i="1"/>
  <c r="Z105" i="1"/>
  <c r="AA105" i="1"/>
  <c r="AD105" i="1"/>
  <c r="AA132" i="1"/>
  <c r="Z132" i="1"/>
  <c r="AD132" i="1"/>
  <c r="AD131" i="1"/>
  <c r="AA131" i="1"/>
  <c r="Z131" i="1"/>
  <c r="AD218" i="1"/>
  <c r="Z218" i="1"/>
  <c r="AA218" i="1"/>
  <c r="Z163" i="1"/>
  <c r="AD163" i="1"/>
  <c r="AA163" i="1"/>
  <c r="AA187" i="1"/>
  <c r="Z187" i="1"/>
  <c r="AD187" i="1"/>
  <c r="AA211" i="1"/>
  <c r="Z211" i="1"/>
  <c r="AD211" i="1"/>
  <c r="AD235" i="1"/>
  <c r="Z235" i="1"/>
  <c r="AA235" i="1"/>
  <c r="AD165" i="1"/>
  <c r="Z165" i="1"/>
  <c r="AA165" i="1"/>
  <c r="AD189" i="1"/>
  <c r="Z189" i="1"/>
  <c r="AA189" i="1"/>
  <c r="AD213" i="1"/>
  <c r="AA213" i="1"/>
  <c r="Z213" i="1"/>
  <c r="AD237" i="1"/>
  <c r="Z237" i="1"/>
  <c r="AA237" i="1"/>
  <c r="Z157" i="1"/>
  <c r="AD157" i="1"/>
  <c r="AA157" i="1"/>
  <c r="AA228" i="1"/>
  <c r="AD228" i="1"/>
  <c r="Z228" i="1"/>
  <c r="Z167" i="1"/>
  <c r="AD167" i="1"/>
  <c r="AA167" i="1"/>
  <c r="AD191" i="1"/>
  <c r="Z191" i="1"/>
  <c r="AA191" i="1"/>
  <c r="AA215" i="1"/>
  <c r="AD215" i="1"/>
  <c r="Z215" i="1"/>
  <c r="AA239" i="1"/>
  <c r="Z239" i="1"/>
  <c r="AD239" i="1"/>
  <c r="Z169" i="1"/>
  <c r="AD169" i="1"/>
  <c r="AA169" i="1"/>
  <c r="AA193" i="1"/>
  <c r="Z193" i="1"/>
  <c r="AD193" i="1"/>
  <c r="AA217" i="1"/>
  <c r="Z217" i="1"/>
  <c r="AD217" i="1"/>
  <c r="AD241" i="1"/>
  <c r="Z241" i="1"/>
  <c r="AA241" i="1"/>
  <c r="AD21" i="1"/>
  <c r="Z21" i="1"/>
  <c r="AA21" i="1"/>
  <c r="AD171" i="1"/>
  <c r="AA171" i="1"/>
  <c r="Z171" i="1"/>
  <c r="AD195" i="1"/>
  <c r="AA195" i="1"/>
  <c r="Z195" i="1"/>
  <c r="AD219" i="1"/>
  <c r="Z219" i="1"/>
  <c r="AA219" i="1"/>
  <c r="AD243" i="1"/>
  <c r="AA243" i="1"/>
  <c r="Z243" i="1"/>
  <c r="AD173" i="1"/>
  <c r="Z173" i="1"/>
  <c r="AA173" i="1"/>
  <c r="AA197" i="1"/>
  <c r="AD197" i="1"/>
  <c r="Z197" i="1"/>
  <c r="Z221" i="1"/>
  <c r="AA221" i="1"/>
  <c r="AD221" i="1"/>
  <c r="AD245" i="1"/>
  <c r="AA245" i="1"/>
  <c r="Z245" i="1"/>
  <c r="Z175" i="1"/>
  <c r="AD175" i="1"/>
  <c r="AA175" i="1"/>
  <c r="AA199" i="1"/>
  <c r="Z199" i="1"/>
  <c r="AD199" i="1"/>
  <c r="AA223" i="1"/>
  <c r="Z223" i="1"/>
  <c r="AD223" i="1"/>
  <c r="Z247" i="1"/>
  <c r="AD247" i="1"/>
  <c r="AA247" i="1"/>
  <c r="AB9" i="1" l="1"/>
  <c r="A10" i="1"/>
  <c r="Z255" i="1"/>
  <c r="AD255" i="1"/>
  <c r="AA255" i="1"/>
  <c r="A385" i="2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R490" i="1"/>
  <c r="V490" i="1" s="1"/>
  <c r="P420" i="1"/>
  <c r="T457" i="1"/>
  <c r="AG457" i="1" s="1"/>
  <c r="T433" i="1"/>
  <c r="AG433" i="1" s="1"/>
  <c r="Q447" i="1"/>
  <c r="X447" i="1" s="1"/>
  <c r="U397" i="1"/>
  <c r="W397" i="1" s="1"/>
  <c r="U373" i="1"/>
  <c r="W373" i="1" s="1"/>
  <c r="U349" i="1"/>
  <c r="W349" i="1" s="1"/>
  <c r="R451" i="1"/>
  <c r="V451" i="1" s="1"/>
  <c r="R391" i="1"/>
  <c r="V391" i="1" s="1"/>
  <c r="R367" i="1"/>
  <c r="V367" i="1" s="1"/>
  <c r="R343" i="1"/>
  <c r="V343" i="1" s="1"/>
  <c r="Q462" i="1"/>
  <c r="X462" i="1" s="1"/>
  <c r="P391" i="1"/>
  <c r="P367" i="1"/>
  <c r="P343" i="1"/>
  <c r="S429" i="1"/>
  <c r="Y429" i="1" s="1"/>
  <c r="T374" i="1"/>
  <c r="AG374" i="1" s="1"/>
  <c r="T350" i="1"/>
  <c r="AG350" i="1" s="1"/>
  <c r="R404" i="1"/>
  <c r="V404" i="1" s="1"/>
  <c r="Q460" i="1"/>
  <c r="X460" i="1" s="1"/>
  <c r="S364" i="1"/>
  <c r="Y364" i="1" s="1"/>
  <c r="R330" i="1"/>
  <c r="V330" i="1" s="1"/>
  <c r="P306" i="1"/>
  <c r="Q422" i="1"/>
  <c r="X422" i="1" s="1"/>
  <c r="R382" i="1"/>
  <c r="V382" i="1" s="1"/>
  <c r="R346" i="1"/>
  <c r="V346" i="1" s="1"/>
  <c r="U317" i="1"/>
  <c r="W317" i="1" s="1"/>
  <c r="U437" i="1"/>
  <c r="W437" i="1" s="1"/>
  <c r="U390" i="1"/>
  <c r="W390" i="1" s="1"/>
  <c r="U354" i="1"/>
  <c r="W354" i="1" s="1"/>
  <c r="T436" i="1"/>
  <c r="AG436" i="1" s="1"/>
  <c r="R354" i="1"/>
  <c r="V354" i="1" s="1"/>
  <c r="Q323" i="1"/>
  <c r="X323" i="1" s="1"/>
  <c r="Q299" i="1"/>
  <c r="X299" i="1" s="1"/>
  <c r="Q275" i="1"/>
  <c r="X275" i="1" s="1"/>
  <c r="R441" i="1"/>
  <c r="V441" i="1" s="1"/>
  <c r="S356" i="1"/>
  <c r="Y356" i="1" s="1"/>
  <c r="T324" i="1"/>
  <c r="AG324" i="1" s="1"/>
  <c r="T300" i="1"/>
  <c r="AG300" i="1" s="1"/>
  <c r="T363" i="1"/>
  <c r="AG363" i="1" s="1"/>
  <c r="Q316" i="1"/>
  <c r="X316" i="1" s="1"/>
  <c r="U285" i="1"/>
  <c r="W285" i="1" s="1"/>
  <c r="S383" i="1"/>
  <c r="Y383" i="1" s="1"/>
  <c r="S327" i="1"/>
  <c r="Y327" i="1" s="1"/>
  <c r="P295" i="1"/>
  <c r="R266" i="1"/>
  <c r="V266" i="1" s="1"/>
  <c r="U433" i="1"/>
  <c r="W433" i="1" s="1"/>
  <c r="Q357" i="1"/>
  <c r="X357" i="1" s="1"/>
  <c r="R312" i="1"/>
  <c r="V312" i="1" s="1"/>
  <c r="U282" i="1"/>
  <c r="W282" i="1" s="1"/>
  <c r="T393" i="1"/>
  <c r="AG393" i="1" s="1"/>
  <c r="T333" i="1"/>
  <c r="AG333" i="1" s="1"/>
  <c r="R299" i="1"/>
  <c r="V299" i="1" s="1"/>
  <c r="R270" i="1"/>
  <c r="V270" i="1" s="1"/>
  <c r="U398" i="1"/>
  <c r="W398" i="1" s="1"/>
  <c r="U336" i="1"/>
  <c r="W336" i="1" s="1"/>
  <c r="R301" i="1"/>
  <c r="V301" i="1" s="1"/>
  <c r="R272" i="1"/>
  <c r="V272" i="1" s="1"/>
  <c r="S438" i="1"/>
  <c r="Y438" i="1" s="1"/>
  <c r="S359" i="1"/>
  <c r="Y359" i="1" s="1"/>
  <c r="S313" i="1"/>
  <c r="Y313" i="1" s="1"/>
  <c r="U283" i="1"/>
  <c r="W283" i="1" s="1"/>
  <c r="S256" i="1"/>
  <c r="Y256" i="1" s="1"/>
  <c r="S365" i="1"/>
  <c r="Y365" i="1" s="1"/>
  <c r="S286" i="1"/>
  <c r="Y286" i="1" s="1"/>
  <c r="Q344" i="1"/>
  <c r="X344" i="1" s="1"/>
  <c r="S277" i="1"/>
  <c r="Y277" i="1" s="1"/>
  <c r="T327" i="1"/>
  <c r="AG327" i="1" s="1"/>
  <c r="P269" i="1"/>
  <c r="R420" i="1"/>
  <c r="V420" i="1" s="1"/>
  <c r="P309" i="1"/>
  <c r="Q257" i="1"/>
  <c r="X257" i="1" s="1"/>
  <c r="U462" i="1"/>
  <c r="W462" i="1" s="1"/>
  <c r="U438" i="1"/>
  <c r="W438" i="1" s="1"/>
  <c r="R464" i="1"/>
  <c r="V464" i="1" s="1"/>
  <c r="R440" i="1"/>
  <c r="V440" i="1" s="1"/>
  <c r="P490" i="1"/>
  <c r="P442" i="1"/>
  <c r="P418" i="1"/>
  <c r="T455" i="1"/>
  <c r="AG455" i="1" s="1"/>
  <c r="T431" i="1"/>
  <c r="AG431" i="1" s="1"/>
  <c r="Q469" i="1"/>
  <c r="X469" i="1" s="1"/>
  <c r="Q445" i="1"/>
  <c r="X445" i="1" s="1"/>
  <c r="Q421" i="1"/>
  <c r="X421" i="1" s="1"/>
  <c r="P471" i="1"/>
  <c r="P423" i="1"/>
  <c r="R424" i="1"/>
  <c r="V424" i="1" s="1"/>
  <c r="U395" i="1"/>
  <c r="W395" i="1" s="1"/>
  <c r="U371" i="1"/>
  <c r="W371" i="1" s="1"/>
  <c r="U347" i="1"/>
  <c r="W347" i="1" s="1"/>
  <c r="T458" i="1"/>
  <c r="AG458" i="1" s="1"/>
  <c r="S414" i="1"/>
  <c r="Y414" i="1" s="1"/>
  <c r="R389" i="1"/>
  <c r="V389" i="1" s="1"/>
  <c r="R365" i="1"/>
  <c r="V365" i="1" s="1"/>
  <c r="R341" i="1"/>
  <c r="V341" i="1" s="1"/>
  <c r="Q414" i="1"/>
  <c r="X414" i="1" s="1"/>
  <c r="P389" i="1"/>
  <c r="P365" i="1"/>
  <c r="P341" i="1"/>
  <c r="S473" i="1"/>
  <c r="Y473" i="1" s="1"/>
  <c r="S425" i="1"/>
  <c r="Y425" i="1" s="1"/>
  <c r="T396" i="1"/>
  <c r="AG396" i="1" s="1"/>
  <c r="T372" i="1"/>
  <c r="AG372" i="1" s="1"/>
  <c r="T348" i="1"/>
  <c r="AG348" i="1" s="1"/>
  <c r="T460" i="1"/>
  <c r="AG460" i="1" s="1"/>
  <c r="Q401" i="1"/>
  <c r="X401" i="1" s="1"/>
  <c r="T397" i="1"/>
  <c r="AG397" i="1" s="1"/>
  <c r="T361" i="1"/>
  <c r="AG361" i="1" s="1"/>
  <c r="Q328" i="1"/>
  <c r="X328" i="1" s="1"/>
  <c r="U417" i="1"/>
  <c r="W417" i="1" s="1"/>
  <c r="S379" i="1"/>
  <c r="Y379" i="1" s="1"/>
  <c r="S343" i="1"/>
  <c r="Y343" i="1" s="1"/>
  <c r="U315" i="1"/>
  <c r="W315" i="1" s="1"/>
  <c r="Q432" i="1"/>
  <c r="X432" i="1" s="1"/>
  <c r="P388" i="1"/>
  <c r="P352" i="1"/>
  <c r="R431" i="1"/>
  <c r="V431" i="1" s="1"/>
  <c r="S387" i="1"/>
  <c r="Y387" i="1" s="1"/>
  <c r="S351" i="1"/>
  <c r="Y351" i="1" s="1"/>
  <c r="Q321" i="1"/>
  <c r="X321" i="1" s="1"/>
  <c r="Q297" i="1"/>
  <c r="X297" i="1" s="1"/>
  <c r="Q273" i="1"/>
  <c r="X273" i="1" s="1"/>
  <c r="S435" i="1"/>
  <c r="Y435" i="1" s="1"/>
  <c r="T389" i="1"/>
  <c r="AG389" i="1" s="1"/>
  <c r="T353" i="1"/>
  <c r="AG353" i="1" s="1"/>
  <c r="T322" i="1"/>
  <c r="AG322" i="1" s="1"/>
  <c r="T298" i="1"/>
  <c r="AG298" i="1" s="1"/>
  <c r="T274" i="1"/>
  <c r="AG274" i="1" s="1"/>
  <c r="S436" i="1"/>
  <c r="Y436" i="1" s="1"/>
  <c r="U358" i="1"/>
  <c r="W358" i="1" s="1"/>
  <c r="P313" i="1"/>
  <c r="T488" i="1"/>
  <c r="AG488" i="1" s="1"/>
  <c r="Q378" i="1"/>
  <c r="X378" i="1" s="1"/>
  <c r="S324" i="1"/>
  <c r="Y324" i="1" s="1"/>
  <c r="S292" i="1"/>
  <c r="Y292" i="1" s="1"/>
  <c r="Q264" i="1"/>
  <c r="X264" i="1" s="1"/>
  <c r="T422" i="1"/>
  <c r="AG422" i="1" s="1"/>
  <c r="Q352" i="1"/>
  <c r="X352" i="1" s="1"/>
  <c r="T309" i="1"/>
  <c r="AG309" i="1" s="1"/>
  <c r="R280" i="1"/>
  <c r="V280" i="1" s="1"/>
  <c r="T387" i="1"/>
  <c r="AG387" i="1" s="1"/>
  <c r="P330" i="1"/>
  <c r="U296" i="1"/>
  <c r="W296" i="1" s="1"/>
  <c r="P268" i="1"/>
  <c r="U392" i="1"/>
  <c r="W392" i="1" s="1"/>
  <c r="Q333" i="1"/>
  <c r="X333" i="1" s="1"/>
  <c r="U298" i="1"/>
  <c r="W298" i="1" s="1"/>
  <c r="P270" i="1"/>
  <c r="S426" i="1"/>
  <c r="Y426" i="1" s="1"/>
  <c r="Q354" i="1"/>
  <c r="X354" i="1" s="1"/>
  <c r="U310" i="1"/>
  <c r="W310" i="1" s="1"/>
  <c r="S281" i="1"/>
  <c r="Y281" i="1" s="1"/>
  <c r="U460" i="1"/>
  <c r="W460" i="1" s="1"/>
  <c r="U436" i="1"/>
  <c r="W436" i="1" s="1"/>
  <c r="R486" i="1"/>
  <c r="V486" i="1" s="1"/>
  <c r="R462" i="1"/>
  <c r="V462" i="1" s="1"/>
  <c r="R438" i="1"/>
  <c r="V438" i="1" s="1"/>
  <c r="P488" i="1"/>
  <c r="P464" i="1"/>
  <c r="P440" i="1"/>
  <c r="P416" i="1"/>
  <c r="T453" i="1"/>
  <c r="AG453" i="1" s="1"/>
  <c r="T429" i="1"/>
  <c r="AG429" i="1" s="1"/>
  <c r="Q467" i="1"/>
  <c r="X467" i="1" s="1"/>
  <c r="Q443" i="1"/>
  <c r="X443" i="1" s="1"/>
  <c r="Q419" i="1"/>
  <c r="X419" i="1" s="1"/>
  <c r="P469" i="1"/>
  <c r="P445" i="1"/>
  <c r="P421" i="1"/>
  <c r="U467" i="1"/>
  <c r="W467" i="1" s="1"/>
  <c r="R421" i="1"/>
  <c r="V421" i="1" s="1"/>
  <c r="U393" i="1"/>
  <c r="W393" i="1" s="1"/>
  <c r="U369" i="1"/>
  <c r="W369" i="1" s="1"/>
  <c r="U345" i="1"/>
  <c r="W345" i="1" s="1"/>
  <c r="R443" i="1"/>
  <c r="V443" i="1" s="1"/>
  <c r="T454" i="1"/>
  <c r="AG454" i="1" s="1"/>
  <c r="Q412" i="1"/>
  <c r="X412" i="1" s="1"/>
  <c r="R387" i="1"/>
  <c r="V387" i="1" s="1"/>
  <c r="R363" i="1"/>
  <c r="V363" i="1" s="1"/>
  <c r="R339" i="1"/>
  <c r="V339" i="1" s="1"/>
  <c r="Q454" i="1"/>
  <c r="X454" i="1" s="1"/>
  <c r="U411" i="1"/>
  <c r="W411" i="1" s="1"/>
  <c r="P387" i="1"/>
  <c r="P363" i="1"/>
  <c r="P339" i="1"/>
  <c r="S469" i="1"/>
  <c r="Y469" i="1" s="1"/>
  <c r="S422" i="1"/>
  <c r="Y422" i="1" s="1"/>
  <c r="T394" i="1"/>
  <c r="AG394" i="1" s="1"/>
  <c r="T370" i="1"/>
  <c r="AG370" i="1" s="1"/>
  <c r="T346" i="1"/>
  <c r="AG346" i="1" s="1"/>
  <c r="U453" i="1"/>
  <c r="W453" i="1" s="1"/>
  <c r="Q398" i="1"/>
  <c r="X398" i="1" s="1"/>
  <c r="U445" i="1"/>
  <c r="W445" i="1" s="1"/>
  <c r="S394" i="1"/>
  <c r="Y394" i="1" s="1"/>
  <c r="S358" i="1"/>
  <c r="Y358" i="1" s="1"/>
  <c r="P326" i="1"/>
  <c r="S486" i="1"/>
  <c r="Y486" i="1" s="1"/>
  <c r="S413" i="1"/>
  <c r="Y413" i="1" s="1"/>
  <c r="R376" i="1"/>
  <c r="V376" i="1" s="1"/>
  <c r="R340" i="1"/>
  <c r="V340" i="1" s="1"/>
  <c r="U313" i="1"/>
  <c r="W313" i="1" s="1"/>
  <c r="U425" i="1"/>
  <c r="W425" i="1" s="1"/>
  <c r="U384" i="1"/>
  <c r="W384" i="1" s="1"/>
  <c r="U348" i="1"/>
  <c r="W348" i="1" s="1"/>
  <c r="U424" i="1"/>
  <c r="W424" i="1" s="1"/>
  <c r="R384" i="1"/>
  <c r="V384" i="1" s="1"/>
  <c r="R348" i="1"/>
  <c r="V348" i="1" s="1"/>
  <c r="Q319" i="1"/>
  <c r="X319" i="1" s="1"/>
  <c r="Q295" i="1"/>
  <c r="X295" i="1" s="1"/>
  <c r="Q271" i="1"/>
  <c r="X271" i="1" s="1"/>
  <c r="R429" i="1"/>
  <c r="V429" i="1" s="1"/>
  <c r="S386" i="1"/>
  <c r="Y386" i="1" s="1"/>
  <c r="S350" i="1"/>
  <c r="Y350" i="1" s="1"/>
  <c r="T320" i="1"/>
  <c r="AG320" i="1" s="1"/>
  <c r="T296" i="1"/>
  <c r="AG296" i="1" s="1"/>
  <c r="T272" i="1"/>
  <c r="AG272" i="1" s="1"/>
  <c r="T424" i="1"/>
  <c r="AG424" i="1" s="1"/>
  <c r="S353" i="1"/>
  <c r="Y353" i="1" s="1"/>
  <c r="R310" i="1"/>
  <c r="V310" i="1" s="1"/>
  <c r="Q373" i="1"/>
  <c r="X373" i="1" s="1"/>
  <c r="S321" i="1"/>
  <c r="Y321" i="1" s="1"/>
  <c r="Q290" i="1"/>
  <c r="X290" i="1" s="1"/>
  <c r="P262" i="1"/>
  <c r="P414" i="1"/>
  <c r="Q347" i="1"/>
  <c r="X347" i="1" s="1"/>
  <c r="P307" i="1"/>
  <c r="P278" i="1"/>
  <c r="Q382" i="1"/>
  <c r="X382" i="1" s="1"/>
  <c r="U326" i="1"/>
  <c r="W326" i="1" s="1"/>
  <c r="R294" i="1"/>
  <c r="V294" i="1" s="1"/>
  <c r="U265" i="1"/>
  <c r="W265" i="1" s="1"/>
  <c r="U386" i="1"/>
  <c r="W386" i="1" s="1"/>
  <c r="S329" i="1"/>
  <c r="Y329" i="1" s="1"/>
  <c r="R296" i="1"/>
  <c r="V296" i="1" s="1"/>
  <c r="T267" i="1"/>
  <c r="AG267" i="1" s="1"/>
  <c r="R417" i="1"/>
  <c r="V417" i="1" s="1"/>
  <c r="Q349" i="1"/>
  <c r="X349" i="1" s="1"/>
  <c r="Q308" i="1"/>
  <c r="X308" i="1" s="1"/>
  <c r="P279" i="1"/>
  <c r="Q345" i="1"/>
  <c r="X345" i="1" s="1"/>
  <c r="R278" i="1"/>
  <c r="V278" i="1" s="1"/>
  <c r="U458" i="1"/>
  <c r="W458" i="1" s="1"/>
  <c r="U434" i="1"/>
  <c r="W434" i="1" s="1"/>
  <c r="R460" i="1"/>
  <c r="V460" i="1" s="1"/>
  <c r="R436" i="1"/>
  <c r="V436" i="1" s="1"/>
  <c r="P486" i="1"/>
  <c r="P462" i="1"/>
  <c r="P438" i="1"/>
  <c r="T451" i="1"/>
  <c r="AG451" i="1" s="1"/>
  <c r="T427" i="1"/>
  <c r="AG427" i="1" s="1"/>
  <c r="Q489" i="1"/>
  <c r="X489" i="1" s="1"/>
  <c r="Q465" i="1"/>
  <c r="X465" i="1" s="1"/>
  <c r="Q441" i="1"/>
  <c r="X441" i="1" s="1"/>
  <c r="Q417" i="1"/>
  <c r="X417" i="1" s="1"/>
  <c r="P467" i="1"/>
  <c r="P443" i="1"/>
  <c r="P419" i="1"/>
  <c r="U463" i="1"/>
  <c r="W463" i="1" s="1"/>
  <c r="R418" i="1"/>
  <c r="V418" i="1" s="1"/>
  <c r="U391" i="1"/>
  <c r="W391" i="1" s="1"/>
  <c r="U367" i="1"/>
  <c r="W367" i="1" s="1"/>
  <c r="U343" i="1"/>
  <c r="W343" i="1" s="1"/>
  <c r="R487" i="1"/>
  <c r="V487" i="1" s="1"/>
  <c r="T450" i="1"/>
  <c r="AG450" i="1" s="1"/>
  <c r="P410" i="1"/>
  <c r="R385" i="1"/>
  <c r="V385" i="1" s="1"/>
  <c r="R361" i="1"/>
  <c r="V361" i="1" s="1"/>
  <c r="Q450" i="1"/>
  <c r="X450" i="1" s="1"/>
  <c r="T409" i="1"/>
  <c r="AG409" i="1" s="1"/>
  <c r="P385" i="1"/>
  <c r="P361" i="1"/>
  <c r="P337" i="1"/>
  <c r="S465" i="1"/>
  <c r="Y465" i="1" s="1"/>
  <c r="S419" i="1"/>
  <c r="Y419" i="1" s="1"/>
  <c r="T392" i="1"/>
  <c r="AG392" i="1" s="1"/>
  <c r="T368" i="1"/>
  <c r="AG368" i="1" s="1"/>
  <c r="T344" i="1"/>
  <c r="AG344" i="1" s="1"/>
  <c r="S447" i="1"/>
  <c r="Y447" i="1" s="1"/>
  <c r="Q395" i="1"/>
  <c r="X395" i="1" s="1"/>
  <c r="S439" i="1"/>
  <c r="Y439" i="1" s="1"/>
  <c r="T391" i="1"/>
  <c r="AG391" i="1" s="1"/>
  <c r="T355" i="1"/>
  <c r="AG355" i="1" s="1"/>
  <c r="P324" i="1"/>
  <c r="Q410" i="1"/>
  <c r="X410" i="1" s="1"/>
  <c r="S373" i="1"/>
  <c r="Y373" i="1" s="1"/>
  <c r="S337" i="1"/>
  <c r="Y337" i="1" s="1"/>
  <c r="S421" i="1"/>
  <c r="Y421" i="1" s="1"/>
  <c r="P382" i="1"/>
  <c r="T420" i="1"/>
  <c r="AG420" i="1" s="1"/>
  <c r="S381" i="1"/>
  <c r="Y381" i="1" s="1"/>
  <c r="S345" i="1"/>
  <c r="Y345" i="1" s="1"/>
  <c r="Q317" i="1"/>
  <c r="X317" i="1" s="1"/>
  <c r="Q293" i="1"/>
  <c r="X293" i="1" s="1"/>
  <c r="Q269" i="1"/>
  <c r="X269" i="1" s="1"/>
  <c r="Q424" i="1"/>
  <c r="X424" i="1" s="1"/>
  <c r="T383" i="1"/>
  <c r="AG383" i="1" s="1"/>
  <c r="T347" i="1"/>
  <c r="AG347" i="1" s="1"/>
  <c r="T318" i="1"/>
  <c r="AG318" i="1" s="1"/>
  <c r="T294" i="1"/>
  <c r="AG294" i="1" s="1"/>
  <c r="T270" i="1"/>
  <c r="AG270" i="1" s="1"/>
  <c r="U415" i="1"/>
  <c r="W415" i="1" s="1"/>
  <c r="Q348" i="1"/>
  <c r="X348" i="1" s="1"/>
  <c r="T307" i="1"/>
  <c r="AG307" i="1" s="1"/>
  <c r="R461" i="1"/>
  <c r="V461" i="1" s="1"/>
  <c r="Q368" i="1"/>
  <c r="X368" i="1" s="1"/>
  <c r="S318" i="1"/>
  <c r="Y318" i="1" s="1"/>
  <c r="U287" i="1"/>
  <c r="W287" i="1" s="1"/>
  <c r="U259" i="1"/>
  <c r="W259" i="1" s="1"/>
  <c r="R407" i="1"/>
  <c r="V407" i="1" s="1"/>
  <c r="S342" i="1"/>
  <c r="Y342" i="1" s="1"/>
  <c r="R304" i="1"/>
  <c r="V304" i="1" s="1"/>
  <c r="T275" i="1"/>
  <c r="AG275" i="1" s="1"/>
  <c r="Q377" i="1"/>
  <c r="X377" i="1" s="1"/>
  <c r="T323" i="1"/>
  <c r="AG323" i="1" s="1"/>
  <c r="P292" i="1"/>
  <c r="T263" i="1"/>
  <c r="AG263" i="1" s="1"/>
  <c r="Q381" i="1"/>
  <c r="X381" i="1" s="1"/>
  <c r="R326" i="1"/>
  <c r="V326" i="1" s="1"/>
  <c r="P294" i="1"/>
  <c r="S265" i="1"/>
  <c r="Y265" i="1" s="1"/>
  <c r="U409" i="1"/>
  <c r="W409" i="1" s="1"/>
  <c r="R344" i="1"/>
  <c r="V344" i="1" s="1"/>
  <c r="S305" i="1"/>
  <c r="Y305" i="1" s="1"/>
  <c r="U456" i="1"/>
  <c r="W456" i="1" s="1"/>
  <c r="U432" i="1"/>
  <c r="W432" i="1" s="1"/>
  <c r="R458" i="1"/>
  <c r="V458" i="1" s="1"/>
  <c r="R434" i="1"/>
  <c r="V434" i="1" s="1"/>
  <c r="P460" i="1"/>
  <c r="P436" i="1"/>
  <c r="T473" i="1"/>
  <c r="AG473" i="1" s="1"/>
  <c r="T449" i="1"/>
  <c r="AG449" i="1" s="1"/>
  <c r="T425" i="1"/>
  <c r="AG425" i="1" s="1"/>
  <c r="Q487" i="1"/>
  <c r="X487" i="1" s="1"/>
  <c r="Q463" i="1"/>
  <c r="X463" i="1" s="1"/>
  <c r="Q439" i="1"/>
  <c r="X439" i="1" s="1"/>
  <c r="Q415" i="1"/>
  <c r="X415" i="1" s="1"/>
  <c r="P489" i="1"/>
  <c r="P465" i="1"/>
  <c r="P441" i="1"/>
  <c r="P417" i="1"/>
  <c r="U459" i="1"/>
  <c r="W459" i="1" s="1"/>
  <c r="R415" i="1"/>
  <c r="V415" i="1" s="1"/>
  <c r="U389" i="1"/>
  <c r="W389" i="1" s="1"/>
  <c r="U365" i="1"/>
  <c r="W365" i="1" s="1"/>
  <c r="U341" i="1"/>
  <c r="W341" i="1" s="1"/>
  <c r="T446" i="1"/>
  <c r="AG446" i="1" s="1"/>
  <c r="U407" i="1"/>
  <c r="W407" i="1" s="1"/>
  <c r="R383" i="1"/>
  <c r="V383" i="1" s="1"/>
  <c r="R359" i="1"/>
  <c r="V359" i="1" s="1"/>
  <c r="Q446" i="1"/>
  <c r="X446" i="1" s="1"/>
  <c r="S407" i="1"/>
  <c r="Y407" i="1" s="1"/>
  <c r="P383" i="1"/>
  <c r="P359" i="1"/>
  <c r="P335" i="1"/>
  <c r="S461" i="1"/>
  <c r="Y461" i="1" s="1"/>
  <c r="S416" i="1"/>
  <c r="Y416" i="1" s="1"/>
  <c r="T390" i="1"/>
  <c r="AG390" i="1" s="1"/>
  <c r="T366" i="1"/>
  <c r="AG366" i="1" s="1"/>
  <c r="T342" i="1"/>
  <c r="AG342" i="1" s="1"/>
  <c r="S440" i="1"/>
  <c r="Y440" i="1" s="1"/>
  <c r="Q392" i="1"/>
  <c r="X392" i="1" s="1"/>
  <c r="R433" i="1"/>
  <c r="V433" i="1" s="1"/>
  <c r="S388" i="1"/>
  <c r="Y388" i="1" s="1"/>
  <c r="S352" i="1"/>
  <c r="Y352" i="1" s="1"/>
  <c r="P322" i="1"/>
  <c r="T472" i="1"/>
  <c r="AG472" i="1" s="1"/>
  <c r="T406" i="1"/>
  <c r="AG406" i="1" s="1"/>
  <c r="R370" i="1"/>
  <c r="V370" i="1" s="1"/>
  <c r="U334" i="1"/>
  <c r="W334" i="1" s="1"/>
  <c r="T416" i="1"/>
  <c r="AG416" i="1" s="1"/>
  <c r="U378" i="1"/>
  <c r="W378" i="1" s="1"/>
  <c r="Q416" i="1"/>
  <c r="X416" i="1" s="1"/>
  <c r="R378" i="1"/>
  <c r="V378" i="1" s="1"/>
  <c r="R342" i="1"/>
  <c r="V342" i="1" s="1"/>
  <c r="Q315" i="1"/>
  <c r="X315" i="1" s="1"/>
  <c r="Q291" i="1"/>
  <c r="X291" i="1" s="1"/>
  <c r="R419" i="1"/>
  <c r="V419" i="1" s="1"/>
  <c r="S380" i="1"/>
  <c r="Y380" i="1" s="1"/>
  <c r="S344" i="1"/>
  <c r="Y344" i="1" s="1"/>
  <c r="T316" i="1"/>
  <c r="AG316" i="1" s="1"/>
  <c r="T292" i="1"/>
  <c r="AG292" i="1" s="1"/>
  <c r="T268" i="1"/>
  <c r="AG268" i="1" s="1"/>
  <c r="T408" i="1"/>
  <c r="AG408" i="1" s="1"/>
  <c r="P344" i="1"/>
  <c r="P305" i="1"/>
  <c r="Q448" i="1"/>
  <c r="X448" i="1" s="1"/>
  <c r="U362" i="1"/>
  <c r="W362" i="1" s="1"/>
  <c r="S315" i="1"/>
  <c r="Y315" i="1" s="1"/>
  <c r="S285" i="1"/>
  <c r="Y285" i="1" s="1"/>
  <c r="U257" i="1"/>
  <c r="W257" i="1" s="1"/>
  <c r="U400" i="1"/>
  <c r="W400" i="1" s="1"/>
  <c r="Q338" i="1"/>
  <c r="X338" i="1" s="1"/>
  <c r="P302" i="1"/>
  <c r="R273" i="1"/>
  <c r="V273" i="1" s="1"/>
  <c r="S471" i="1"/>
  <c r="Y471" i="1" s="1"/>
  <c r="P372" i="1"/>
  <c r="U320" i="1"/>
  <c r="W320" i="1" s="1"/>
  <c r="T289" i="1"/>
  <c r="AG289" i="1" s="1"/>
  <c r="S261" i="1"/>
  <c r="Y261" i="1" s="1"/>
  <c r="Q376" i="1"/>
  <c r="X376" i="1" s="1"/>
  <c r="R323" i="1"/>
  <c r="V323" i="1" s="1"/>
  <c r="T291" i="1"/>
  <c r="AG291" i="1" s="1"/>
  <c r="R263" i="1"/>
  <c r="V263" i="1" s="1"/>
  <c r="R403" i="1"/>
  <c r="V403" i="1" s="1"/>
  <c r="P340" i="1"/>
  <c r="P303" i="1"/>
  <c r="Q274" i="1"/>
  <c r="X274" i="1" s="1"/>
  <c r="Q329" i="1"/>
  <c r="X329" i="1" s="1"/>
  <c r="U269" i="1"/>
  <c r="W269" i="1" s="1"/>
  <c r="S450" i="1"/>
  <c r="Y450" i="1" s="1"/>
  <c r="R316" i="1"/>
  <c r="V316" i="1" s="1"/>
  <c r="T261" i="1"/>
  <c r="AG261" i="1" s="1"/>
  <c r="S408" i="1"/>
  <c r="Y408" i="1" s="1"/>
  <c r="U304" i="1"/>
  <c r="W304" i="1" s="1"/>
  <c r="S371" i="1"/>
  <c r="Y371" i="1" s="1"/>
  <c r="S289" i="1"/>
  <c r="Y289" i="1" s="1"/>
  <c r="T325" i="1"/>
  <c r="AG325" i="1" s="1"/>
  <c r="S267" i="1"/>
  <c r="Y267" i="1" s="1"/>
  <c r="U454" i="1"/>
  <c r="W454" i="1" s="1"/>
  <c r="U430" i="1"/>
  <c r="W430" i="1" s="1"/>
  <c r="R456" i="1"/>
  <c r="V456" i="1" s="1"/>
  <c r="R432" i="1"/>
  <c r="V432" i="1" s="1"/>
  <c r="P458" i="1"/>
  <c r="P434" i="1"/>
  <c r="T471" i="1"/>
  <c r="AG471" i="1" s="1"/>
  <c r="T447" i="1"/>
  <c r="AG447" i="1" s="1"/>
  <c r="T423" i="1"/>
  <c r="AG423" i="1" s="1"/>
  <c r="Q461" i="1"/>
  <c r="X461" i="1" s="1"/>
  <c r="Q437" i="1"/>
  <c r="X437" i="1" s="1"/>
  <c r="Q413" i="1"/>
  <c r="X413" i="1" s="1"/>
  <c r="P487" i="1"/>
  <c r="P463" i="1"/>
  <c r="P439" i="1"/>
  <c r="P415" i="1"/>
  <c r="U455" i="1"/>
  <c r="W455" i="1" s="1"/>
  <c r="T412" i="1"/>
  <c r="AG412" i="1" s="1"/>
  <c r="U387" i="1"/>
  <c r="W387" i="1" s="1"/>
  <c r="U363" i="1"/>
  <c r="W363" i="1" s="1"/>
  <c r="U339" i="1"/>
  <c r="W339" i="1" s="1"/>
  <c r="T490" i="1"/>
  <c r="AG490" i="1" s="1"/>
  <c r="T442" i="1"/>
  <c r="AG442" i="1" s="1"/>
  <c r="T405" i="1"/>
  <c r="AG405" i="1" s="1"/>
  <c r="R381" i="1"/>
  <c r="V381" i="1" s="1"/>
  <c r="R357" i="1"/>
  <c r="V357" i="1" s="1"/>
  <c r="Q490" i="1"/>
  <c r="X490" i="1" s="1"/>
  <c r="Q442" i="1"/>
  <c r="X442" i="1" s="1"/>
  <c r="R405" i="1"/>
  <c r="V405" i="1" s="1"/>
  <c r="P381" i="1"/>
  <c r="P357" i="1"/>
  <c r="P333" i="1"/>
  <c r="S457" i="1"/>
  <c r="Y457" i="1" s="1"/>
  <c r="U413" i="1"/>
  <c r="W413" i="1" s="1"/>
  <c r="T388" i="1"/>
  <c r="AG388" i="1" s="1"/>
  <c r="T364" i="1"/>
  <c r="AG364" i="1" s="1"/>
  <c r="T340" i="1"/>
  <c r="AG340" i="1" s="1"/>
  <c r="S434" i="1"/>
  <c r="Y434" i="1" s="1"/>
  <c r="Q389" i="1"/>
  <c r="X389" i="1" s="1"/>
  <c r="S427" i="1"/>
  <c r="Y427" i="1" s="1"/>
  <c r="T385" i="1"/>
  <c r="AG385" i="1" s="1"/>
  <c r="T349" i="1"/>
  <c r="AG349" i="1" s="1"/>
  <c r="P320" i="1"/>
  <c r="U465" i="1"/>
  <c r="W465" i="1" s="1"/>
  <c r="T403" i="1"/>
  <c r="AG403" i="1" s="1"/>
  <c r="S367" i="1"/>
  <c r="Y367" i="1" s="1"/>
  <c r="S332" i="1"/>
  <c r="Y332" i="1" s="1"/>
  <c r="U412" i="1"/>
  <c r="W412" i="1" s="1"/>
  <c r="P376" i="1"/>
  <c r="R412" i="1"/>
  <c r="V412" i="1" s="1"/>
  <c r="S375" i="1"/>
  <c r="Y375" i="1" s="1"/>
  <c r="S339" i="1"/>
  <c r="Y339" i="1" s="1"/>
  <c r="Q313" i="1"/>
  <c r="X313" i="1" s="1"/>
  <c r="Q289" i="1"/>
  <c r="X289" i="1" s="1"/>
  <c r="R489" i="1"/>
  <c r="V489" i="1" s="1"/>
  <c r="U414" i="1"/>
  <c r="W414" i="1" s="1"/>
  <c r="T377" i="1"/>
  <c r="AG377" i="1" s="1"/>
  <c r="T341" i="1"/>
  <c r="AG341" i="1" s="1"/>
  <c r="T314" i="1"/>
  <c r="AG314" i="1" s="1"/>
  <c r="T290" i="1"/>
  <c r="AG290" i="1" s="1"/>
  <c r="T266" i="1"/>
  <c r="AG266" i="1" s="1"/>
  <c r="Q402" i="1"/>
  <c r="X402" i="1" s="1"/>
  <c r="Q339" i="1"/>
  <c r="X339" i="1" s="1"/>
  <c r="S302" i="1"/>
  <c r="Y302" i="1" s="1"/>
  <c r="R435" i="1"/>
  <c r="V435" i="1" s="1"/>
  <c r="T357" i="1"/>
  <c r="AG357" i="1" s="1"/>
  <c r="S312" i="1"/>
  <c r="Y312" i="1" s="1"/>
  <c r="P283" i="1"/>
  <c r="U394" i="1"/>
  <c r="W394" i="1" s="1"/>
  <c r="R334" i="1"/>
  <c r="V334" i="1" s="1"/>
  <c r="T299" i="1"/>
  <c r="AG299" i="1" s="1"/>
  <c r="U270" i="1"/>
  <c r="W270" i="1" s="1"/>
  <c r="R457" i="1"/>
  <c r="V457" i="1" s="1"/>
  <c r="S366" i="1"/>
  <c r="Y366" i="1" s="1"/>
  <c r="T317" i="1"/>
  <c r="AG317" i="1" s="1"/>
  <c r="R287" i="1"/>
  <c r="V287" i="1" s="1"/>
  <c r="R259" i="1"/>
  <c r="V259" i="1" s="1"/>
  <c r="R469" i="1"/>
  <c r="V469" i="1" s="1"/>
  <c r="Q371" i="1"/>
  <c r="X371" i="1" s="1"/>
  <c r="R320" i="1"/>
  <c r="V320" i="1" s="1"/>
  <c r="R289" i="1"/>
  <c r="V289" i="1" s="1"/>
  <c r="Q261" i="1"/>
  <c r="X261" i="1" s="1"/>
  <c r="Q397" i="1"/>
  <c r="X397" i="1" s="1"/>
  <c r="T335" i="1"/>
  <c r="AG335" i="1" s="1"/>
  <c r="S300" i="1"/>
  <c r="Y300" i="1" s="1"/>
  <c r="U271" i="1"/>
  <c r="W271" i="1" s="1"/>
  <c r="P323" i="1"/>
  <c r="P266" i="1"/>
  <c r="R425" i="1"/>
  <c r="V425" i="1" s="1"/>
  <c r="S310" i="1"/>
  <c r="Y310" i="1" s="1"/>
  <c r="Q258" i="1"/>
  <c r="X258" i="1" s="1"/>
  <c r="P396" i="1"/>
  <c r="P300" i="1"/>
  <c r="U452" i="1"/>
  <c r="W452" i="1" s="1"/>
  <c r="U428" i="1"/>
  <c r="W428" i="1" s="1"/>
  <c r="R454" i="1"/>
  <c r="V454" i="1" s="1"/>
  <c r="R430" i="1"/>
  <c r="V430" i="1" s="1"/>
  <c r="P456" i="1"/>
  <c r="P432" i="1"/>
  <c r="T469" i="1"/>
  <c r="AG469" i="1" s="1"/>
  <c r="T445" i="1"/>
  <c r="AG445" i="1" s="1"/>
  <c r="T421" i="1"/>
  <c r="AG421" i="1" s="1"/>
  <c r="Q459" i="1"/>
  <c r="X459" i="1" s="1"/>
  <c r="Q435" i="1"/>
  <c r="X435" i="1" s="1"/>
  <c r="Q411" i="1"/>
  <c r="X411" i="1" s="1"/>
  <c r="P461" i="1"/>
  <c r="P437" i="1"/>
  <c r="P413" i="1"/>
  <c r="U451" i="1"/>
  <c r="W451" i="1" s="1"/>
  <c r="S410" i="1"/>
  <c r="Y410" i="1" s="1"/>
  <c r="U385" i="1"/>
  <c r="W385" i="1" s="1"/>
  <c r="U361" i="1"/>
  <c r="W361" i="1" s="1"/>
  <c r="U337" i="1"/>
  <c r="W337" i="1" s="1"/>
  <c r="T486" i="1"/>
  <c r="AG486" i="1" s="1"/>
  <c r="T438" i="1"/>
  <c r="AG438" i="1" s="1"/>
  <c r="S403" i="1"/>
  <c r="Y403" i="1" s="1"/>
  <c r="R379" i="1"/>
  <c r="V379" i="1" s="1"/>
  <c r="R355" i="1"/>
  <c r="V355" i="1" s="1"/>
  <c r="Q486" i="1"/>
  <c r="X486" i="1" s="1"/>
  <c r="Q438" i="1"/>
  <c r="X438" i="1" s="1"/>
  <c r="P403" i="1"/>
  <c r="P379" i="1"/>
  <c r="P355" i="1"/>
  <c r="P331" i="1"/>
  <c r="S453" i="1"/>
  <c r="Y453" i="1" s="1"/>
  <c r="S411" i="1"/>
  <c r="Y411" i="1" s="1"/>
  <c r="T386" i="1"/>
  <c r="AG386" i="1" s="1"/>
  <c r="T362" i="1"/>
  <c r="AG362" i="1" s="1"/>
  <c r="T338" i="1"/>
  <c r="AG338" i="1" s="1"/>
  <c r="S428" i="1"/>
  <c r="Y428" i="1" s="1"/>
  <c r="Q386" i="1"/>
  <c r="X386" i="1" s="1"/>
  <c r="R422" i="1"/>
  <c r="V422" i="1" s="1"/>
  <c r="S382" i="1"/>
  <c r="Y382" i="1" s="1"/>
  <c r="S346" i="1"/>
  <c r="Y346" i="1" s="1"/>
  <c r="P318" i="1"/>
  <c r="S459" i="1"/>
  <c r="Y459" i="1" s="1"/>
  <c r="R400" i="1"/>
  <c r="V400" i="1" s="1"/>
  <c r="R364" i="1"/>
  <c r="V364" i="1" s="1"/>
  <c r="Q330" i="1"/>
  <c r="X330" i="1" s="1"/>
  <c r="S409" i="1"/>
  <c r="Y409" i="1" s="1"/>
  <c r="U372" i="1"/>
  <c r="W372" i="1" s="1"/>
  <c r="U408" i="1"/>
  <c r="W408" i="1" s="1"/>
  <c r="R372" i="1"/>
  <c r="V372" i="1" s="1"/>
  <c r="S336" i="1"/>
  <c r="Y336" i="1" s="1"/>
  <c r="Q311" i="1"/>
  <c r="X311" i="1" s="1"/>
  <c r="Q287" i="1"/>
  <c r="X287" i="1" s="1"/>
  <c r="R411" i="1"/>
  <c r="V411" i="1" s="1"/>
  <c r="S374" i="1"/>
  <c r="Y374" i="1" s="1"/>
  <c r="S338" i="1"/>
  <c r="Y338" i="1" s="1"/>
  <c r="T312" i="1"/>
  <c r="AG312" i="1" s="1"/>
  <c r="T288" i="1"/>
  <c r="AG288" i="1" s="1"/>
  <c r="T264" i="1"/>
  <c r="AG264" i="1" s="1"/>
  <c r="Q396" i="1"/>
  <c r="X396" i="1" s="1"/>
  <c r="R335" i="1"/>
  <c r="V335" i="1" s="1"/>
  <c r="Q300" i="1"/>
  <c r="X300" i="1" s="1"/>
  <c r="U423" i="1"/>
  <c r="W423" i="1" s="1"/>
  <c r="U352" i="1"/>
  <c r="W352" i="1" s="1"/>
  <c r="U309" i="1"/>
  <c r="W309" i="1" s="1"/>
  <c r="S280" i="1"/>
  <c r="Y280" i="1" s="1"/>
  <c r="U388" i="1"/>
  <c r="W388" i="1" s="1"/>
  <c r="T330" i="1"/>
  <c r="AG330" i="1" s="1"/>
  <c r="R297" i="1"/>
  <c r="V297" i="1" s="1"/>
  <c r="R268" i="1"/>
  <c r="V268" i="1" s="1"/>
  <c r="Q444" i="1"/>
  <c r="X444" i="1" s="1"/>
  <c r="P362" i="1"/>
  <c r="U314" i="1"/>
  <c r="W314" i="1" s="1"/>
  <c r="U284" i="1"/>
  <c r="W284" i="1" s="1"/>
  <c r="R257" i="1"/>
  <c r="V257" i="1" s="1"/>
  <c r="Q456" i="1"/>
  <c r="X456" i="1" s="1"/>
  <c r="P366" i="1"/>
  <c r="R317" i="1"/>
  <c r="V317" i="1" s="1"/>
  <c r="U286" i="1"/>
  <c r="W286" i="1" s="1"/>
  <c r="P259" i="1"/>
  <c r="Q391" i="1"/>
  <c r="X391" i="1" s="1"/>
  <c r="Q332" i="1"/>
  <c r="X332" i="1" s="1"/>
  <c r="Q298" i="1"/>
  <c r="X298" i="1" s="1"/>
  <c r="S269" i="1"/>
  <c r="Y269" i="1" s="1"/>
  <c r="S454" i="1"/>
  <c r="Y454" i="1" s="1"/>
  <c r="P317" i="1"/>
  <c r="R262" i="1"/>
  <c r="V262" i="1" s="1"/>
  <c r="U450" i="1"/>
  <c r="W450" i="1" s="1"/>
  <c r="U426" i="1"/>
  <c r="W426" i="1" s="1"/>
  <c r="R452" i="1"/>
  <c r="V452" i="1" s="1"/>
  <c r="R428" i="1"/>
  <c r="V428" i="1" s="1"/>
  <c r="P454" i="1"/>
  <c r="P430" i="1"/>
  <c r="T467" i="1"/>
  <c r="AG467" i="1" s="1"/>
  <c r="T443" i="1"/>
  <c r="AG443" i="1" s="1"/>
  <c r="T419" i="1"/>
  <c r="AG419" i="1" s="1"/>
  <c r="Q457" i="1"/>
  <c r="X457" i="1" s="1"/>
  <c r="Q433" i="1"/>
  <c r="X433" i="1" s="1"/>
  <c r="Q409" i="1"/>
  <c r="X409" i="1" s="1"/>
  <c r="P459" i="1"/>
  <c r="P435" i="1"/>
  <c r="U447" i="1"/>
  <c r="W447" i="1" s="1"/>
  <c r="R408" i="1"/>
  <c r="V408" i="1" s="1"/>
  <c r="U383" i="1"/>
  <c r="W383" i="1" s="1"/>
  <c r="U359" i="1"/>
  <c r="W359" i="1" s="1"/>
  <c r="U335" i="1"/>
  <c r="W335" i="1" s="1"/>
  <c r="R471" i="1"/>
  <c r="V471" i="1" s="1"/>
  <c r="T434" i="1"/>
  <c r="AG434" i="1" s="1"/>
  <c r="R401" i="1"/>
  <c r="V401" i="1" s="1"/>
  <c r="R377" i="1"/>
  <c r="V377" i="1" s="1"/>
  <c r="R353" i="1"/>
  <c r="V353" i="1" s="1"/>
  <c r="Q434" i="1"/>
  <c r="X434" i="1" s="1"/>
  <c r="P401" i="1"/>
  <c r="P377" i="1"/>
  <c r="P353" i="1"/>
  <c r="S449" i="1"/>
  <c r="Y449" i="1" s="1"/>
  <c r="R409" i="1"/>
  <c r="V409" i="1" s="1"/>
  <c r="T384" i="1"/>
  <c r="AG384" i="1" s="1"/>
  <c r="T360" i="1"/>
  <c r="AG360" i="1" s="1"/>
  <c r="T336" i="1"/>
  <c r="AG336" i="1" s="1"/>
  <c r="R423" i="1"/>
  <c r="V423" i="1" s="1"/>
  <c r="Q418" i="1"/>
  <c r="X418" i="1" s="1"/>
  <c r="T379" i="1"/>
  <c r="AG379" i="1" s="1"/>
  <c r="T343" i="1"/>
  <c r="AG343" i="1" s="1"/>
  <c r="P316" i="1"/>
  <c r="S452" i="1"/>
  <c r="Y452" i="1" s="1"/>
  <c r="S397" i="1"/>
  <c r="Y397" i="1" s="1"/>
  <c r="S361" i="1"/>
  <c r="Y361" i="1" s="1"/>
  <c r="P328" i="1"/>
  <c r="Q472" i="1"/>
  <c r="X472" i="1" s="1"/>
  <c r="R406" i="1"/>
  <c r="V406" i="1" s="1"/>
  <c r="P370" i="1"/>
  <c r="S470" i="1"/>
  <c r="Y470" i="1" s="1"/>
  <c r="U405" i="1"/>
  <c r="W405" i="1" s="1"/>
  <c r="S369" i="1"/>
  <c r="Y369" i="1" s="1"/>
  <c r="Q334" i="1"/>
  <c r="X334" i="1" s="1"/>
  <c r="Q309" i="1"/>
  <c r="X309" i="1" s="1"/>
  <c r="Q285" i="1"/>
  <c r="X285" i="1" s="1"/>
  <c r="Q408" i="1"/>
  <c r="X408" i="1" s="1"/>
  <c r="T371" i="1"/>
  <c r="AG371" i="1" s="1"/>
  <c r="P336" i="1"/>
  <c r="T310" i="1"/>
  <c r="AG310" i="1" s="1"/>
  <c r="T286" i="1"/>
  <c r="AG286" i="1" s="1"/>
  <c r="T262" i="1"/>
  <c r="AG262" i="1" s="1"/>
  <c r="Q390" i="1"/>
  <c r="X390" i="1" s="1"/>
  <c r="S331" i="1"/>
  <c r="Y331" i="1" s="1"/>
  <c r="U297" i="1"/>
  <c r="W297" i="1" s="1"/>
  <c r="T414" i="1"/>
  <c r="AG414" i="1" s="1"/>
  <c r="S347" i="1"/>
  <c r="Y347" i="1" s="1"/>
  <c r="R307" i="1"/>
  <c r="V307" i="1" s="1"/>
  <c r="Q278" i="1"/>
  <c r="X278" i="1" s="1"/>
  <c r="Q383" i="1"/>
  <c r="X383" i="1" s="1"/>
  <c r="R327" i="1"/>
  <c r="V327" i="1" s="1"/>
  <c r="U294" i="1"/>
  <c r="W294" i="1" s="1"/>
  <c r="Q266" i="1"/>
  <c r="X266" i="1" s="1"/>
  <c r="S431" i="1"/>
  <c r="Y431" i="1" s="1"/>
  <c r="R356" i="1"/>
  <c r="V356" i="1" s="1"/>
  <c r="U311" i="1"/>
  <c r="W311" i="1" s="1"/>
  <c r="R282" i="1"/>
  <c r="V282" i="1" s="1"/>
  <c r="U472" i="1"/>
  <c r="W472" i="1" s="1"/>
  <c r="U448" i="1"/>
  <c r="W448" i="1" s="1"/>
  <c r="R450" i="1"/>
  <c r="V450" i="1" s="1"/>
  <c r="R426" i="1"/>
  <c r="V426" i="1" s="1"/>
  <c r="P452" i="1"/>
  <c r="P428" i="1"/>
  <c r="T489" i="1"/>
  <c r="AG489" i="1" s="1"/>
  <c r="T465" i="1"/>
  <c r="AG465" i="1" s="1"/>
  <c r="T441" i="1"/>
  <c r="AG441" i="1" s="1"/>
  <c r="T417" i="1"/>
  <c r="AG417" i="1" s="1"/>
  <c r="Q455" i="1"/>
  <c r="X455" i="1" s="1"/>
  <c r="Q431" i="1"/>
  <c r="X431" i="1" s="1"/>
  <c r="Q407" i="1"/>
  <c r="X407" i="1" s="1"/>
  <c r="P457" i="1"/>
  <c r="P433" i="1"/>
  <c r="U443" i="1"/>
  <c r="W443" i="1" s="1"/>
  <c r="Q406" i="1"/>
  <c r="X406" i="1" s="1"/>
  <c r="U381" i="1"/>
  <c r="W381" i="1" s="1"/>
  <c r="U357" i="1"/>
  <c r="W357" i="1" s="1"/>
  <c r="U333" i="1"/>
  <c r="W333" i="1" s="1"/>
  <c r="R467" i="1"/>
  <c r="V467" i="1" s="1"/>
  <c r="T430" i="1"/>
  <c r="AG430" i="1" s="1"/>
  <c r="R399" i="1"/>
  <c r="V399" i="1" s="1"/>
  <c r="R375" i="1"/>
  <c r="V375" i="1" s="1"/>
  <c r="R351" i="1"/>
  <c r="V351" i="1" s="1"/>
  <c r="Q430" i="1"/>
  <c r="X430" i="1" s="1"/>
  <c r="P399" i="1"/>
  <c r="P375" i="1"/>
  <c r="P351" i="1"/>
  <c r="S445" i="1"/>
  <c r="Y445" i="1" s="1"/>
  <c r="P407" i="1"/>
  <c r="T382" i="1"/>
  <c r="AG382" i="1" s="1"/>
  <c r="T358" i="1"/>
  <c r="AG358" i="1" s="1"/>
  <c r="T418" i="1"/>
  <c r="AG418" i="1" s="1"/>
  <c r="S487" i="1"/>
  <c r="Y487" i="1" s="1"/>
  <c r="T413" i="1"/>
  <c r="AG413" i="1" s="1"/>
  <c r="S376" i="1"/>
  <c r="Y376" i="1" s="1"/>
  <c r="S340" i="1"/>
  <c r="Y340" i="1" s="1"/>
  <c r="P314" i="1"/>
  <c r="R445" i="1"/>
  <c r="V445" i="1" s="1"/>
  <c r="R394" i="1"/>
  <c r="V394" i="1" s="1"/>
  <c r="R358" i="1"/>
  <c r="V358" i="1" s="1"/>
  <c r="U325" i="1"/>
  <c r="W325" i="1" s="1"/>
  <c r="T464" i="1"/>
  <c r="AG464" i="1" s="1"/>
  <c r="U402" i="1"/>
  <c r="W402" i="1" s="1"/>
  <c r="U366" i="1"/>
  <c r="W366" i="1" s="1"/>
  <c r="Q464" i="1"/>
  <c r="X464" i="1" s="1"/>
  <c r="R402" i="1"/>
  <c r="V402" i="1" s="1"/>
  <c r="R366" i="1"/>
  <c r="V366" i="1" s="1"/>
  <c r="T331" i="1"/>
  <c r="AG331" i="1" s="1"/>
  <c r="Q307" i="1"/>
  <c r="X307" i="1" s="1"/>
  <c r="Q283" i="1"/>
  <c r="X283" i="1" s="1"/>
  <c r="T468" i="1"/>
  <c r="AG468" i="1" s="1"/>
  <c r="T404" i="1"/>
  <c r="AG404" i="1" s="1"/>
  <c r="S368" i="1"/>
  <c r="Y368" i="1" s="1"/>
  <c r="S333" i="1"/>
  <c r="Y333" i="1" s="1"/>
  <c r="T308" i="1"/>
  <c r="AG308" i="1" s="1"/>
  <c r="T284" i="1"/>
  <c r="AG284" i="1" s="1"/>
  <c r="T260" i="1"/>
  <c r="AG260" i="1" s="1"/>
  <c r="Q384" i="1"/>
  <c r="X384" i="1" s="1"/>
  <c r="R328" i="1"/>
  <c r="V328" i="1" s="1"/>
  <c r="S295" i="1"/>
  <c r="Y295" i="1" s="1"/>
  <c r="P408" i="1"/>
  <c r="U342" i="1"/>
  <c r="W342" i="1" s="1"/>
  <c r="S304" i="1"/>
  <c r="Y304" i="1" s="1"/>
  <c r="U275" i="1"/>
  <c r="W275" i="1" s="1"/>
  <c r="Q488" i="1"/>
  <c r="X488" i="1" s="1"/>
  <c r="P378" i="1"/>
  <c r="R324" i="1"/>
  <c r="V324" i="1" s="1"/>
  <c r="R292" i="1"/>
  <c r="V292" i="1" s="1"/>
  <c r="P264" i="1"/>
  <c r="P470" i="1"/>
  <c r="T459" i="1"/>
  <c r="AG459" i="1" s="1"/>
  <c r="Q449" i="1"/>
  <c r="X449" i="1" s="1"/>
  <c r="P451" i="1"/>
  <c r="U399" i="1"/>
  <c r="W399" i="1" s="1"/>
  <c r="R455" i="1"/>
  <c r="V455" i="1" s="1"/>
  <c r="R369" i="1"/>
  <c r="V369" i="1" s="1"/>
  <c r="P393" i="1"/>
  <c r="S433" i="1"/>
  <c r="Y433" i="1" s="1"/>
  <c r="T367" i="1"/>
  <c r="AG367" i="1" s="1"/>
  <c r="S385" i="1"/>
  <c r="Y385" i="1" s="1"/>
  <c r="P394" i="1"/>
  <c r="S357" i="1"/>
  <c r="Y357" i="1" s="1"/>
  <c r="S448" i="1"/>
  <c r="Y448" i="1" s="1"/>
  <c r="T302" i="1"/>
  <c r="AG302" i="1" s="1"/>
  <c r="Q322" i="1"/>
  <c r="X322" i="1" s="1"/>
  <c r="U299" i="1"/>
  <c r="W299" i="1" s="1"/>
  <c r="R362" i="1"/>
  <c r="V362" i="1" s="1"/>
  <c r="S412" i="1"/>
  <c r="Y412" i="1" s="1"/>
  <c r="T277" i="1"/>
  <c r="AG277" i="1" s="1"/>
  <c r="U429" i="1"/>
  <c r="W429" i="1" s="1"/>
  <c r="Q306" i="1"/>
  <c r="X306" i="1" s="1"/>
  <c r="Q385" i="1"/>
  <c r="X385" i="1" s="1"/>
  <c r="P291" i="1"/>
  <c r="S291" i="1"/>
  <c r="Y291" i="1" s="1"/>
  <c r="P409" i="1"/>
  <c r="U290" i="1"/>
  <c r="W290" i="1" s="1"/>
  <c r="Q310" i="1"/>
  <c r="X310" i="1" s="1"/>
  <c r="R333" i="1"/>
  <c r="V333" i="1" s="1"/>
  <c r="S264" i="1"/>
  <c r="Y264" i="1" s="1"/>
  <c r="P360" i="1"/>
  <c r="U279" i="1"/>
  <c r="W279" i="1" s="1"/>
  <c r="U346" i="1"/>
  <c r="W346" i="1" s="1"/>
  <c r="U278" i="1"/>
  <c r="W278" i="1" s="1"/>
  <c r="S430" i="1"/>
  <c r="Y430" i="1" s="1"/>
  <c r="T311" i="1"/>
  <c r="AG311" i="1" s="1"/>
  <c r="U258" i="1"/>
  <c r="W258" i="1" s="1"/>
  <c r="U307" i="1"/>
  <c r="W307" i="1" s="1"/>
  <c r="S464" i="1"/>
  <c r="Y464" i="1" s="1"/>
  <c r="Q263" i="1"/>
  <c r="X263" i="1" s="1"/>
  <c r="P267" i="1"/>
  <c r="R260" i="1"/>
  <c r="V260" i="1" s="1"/>
  <c r="U292" i="1"/>
  <c r="W292" i="1" s="1"/>
  <c r="Q314" i="1"/>
  <c r="X314" i="1" s="1"/>
  <c r="P281" i="1"/>
  <c r="Q359" i="1"/>
  <c r="X359" i="1" s="1"/>
  <c r="Q362" i="1"/>
  <c r="X362" i="1" s="1"/>
  <c r="S404" i="1"/>
  <c r="Y404" i="1" s="1"/>
  <c r="R373" i="1"/>
  <c r="V373" i="1" s="1"/>
  <c r="S266" i="1"/>
  <c r="Y266" i="1" s="1"/>
  <c r="T283" i="1"/>
  <c r="AG283" i="1" s="1"/>
  <c r="R459" i="1"/>
  <c r="V459" i="1" s="1"/>
  <c r="S455" i="1"/>
  <c r="Y455" i="1" s="1"/>
  <c r="U441" i="1"/>
  <c r="W441" i="1" s="1"/>
  <c r="T315" i="1"/>
  <c r="AG315" i="1" s="1"/>
  <c r="R283" i="1"/>
  <c r="V283" i="1" s="1"/>
  <c r="S279" i="1"/>
  <c r="Y279" i="1" s="1"/>
  <c r="S298" i="1"/>
  <c r="Y298" i="1" s="1"/>
  <c r="R472" i="1"/>
  <c r="V472" i="1" s="1"/>
  <c r="P450" i="1"/>
  <c r="T439" i="1"/>
  <c r="AG439" i="1" s="1"/>
  <c r="Q429" i="1"/>
  <c r="X429" i="1" s="1"/>
  <c r="P431" i="1"/>
  <c r="U379" i="1"/>
  <c r="W379" i="1" s="1"/>
  <c r="R349" i="1"/>
  <c r="V349" i="1" s="1"/>
  <c r="P373" i="1"/>
  <c r="U404" i="1"/>
  <c r="W404" i="1" s="1"/>
  <c r="R414" i="1"/>
  <c r="V414" i="1" s="1"/>
  <c r="T337" i="1"/>
  <c r="AG337" i="1" s="1"/>
  <c r="S355" i="1"/>
  <c r="Y355" i="1" s="1"/>
  <c r="P364" i="1"/>
  <c r="R329" i="1"/>
  <c r="V329" i="1" s="1"/>
  <c r="T401" i="1"/>
  <c r="AG401" i="1" s="1"/>
  <c r="T282" i="1"/>
  <c r="AG282" i="1" s="1"/>
  <c r="P319" i="1"/>
  <c r="S297" i="1"/>
  <c r="Y297" i="1" s="1"/>
  <c r="R321" i="1"/>
  <c r="V321" i="1" s="1"/>
  <c r="P406" i="1"/>
  <c r="R275" i="1"/>
  <c r="V275" i="1" s="1"/>
  <c r="U419" i="1"/>
  <c r="W419" i="1" s="1"/>
  <c r="T303" i="1"/>
  <c r="AG303" i="1" s="1"/>
  <c r="Q380" i="1"/>
  <c r="X380" i="1" s="1"/>
  <c r="S288" i="1"/>
  <c r="Y288" i="1" s="1"/>
  <c r="T428" i="1"/>
  <c r="AG428" i="1" s="1"/>
  <c r="Q282" i="1"/>
  <c r="X282" i="1" s="1"/>
  <c r="S396" i="1"/>
  <c r="Y396" i="1" s="1"/>
  <c r="P286" i="1"/>
  <c r="R295" i="1"/>
  <c r="V295" i="1" s="1"/>
  <c r="S326" i="1"/>
  <c r="Y326" i="1" s="1"/>
  <c r="U260" i="1"/>
  <c r="W260" i="1" s="1"/>
  <c r="P350" i="1"/>
  <c r="P338" i="1"/>
  <c r="S274" i="1"/>
  <c r="Y274" i="1" s="1"/>
  <c r="P412" i="1"/>
  <c r="R306" i="1"/>
  <c r="V306" i="1" s="1"/>
  <c r="P296" i="1"/>
  <c r="T410" i="1"/>
  <c r="AG410" i="1" s="1"/>
  <c r="T444" i="1"/>
  <c r="AG444" i="1" s="1"/>
  <c r="R437" i="1"/>
  <c r="V437" i="1" s="1"/>
  <c r="S257" i="1"/>
  <c r="Y257" i="1" s="1"/>
  <c r="R258" i="1"/>
  <c r="V258" i="1" s="1"/>
  <c r="S271" i="1"/>
  <c r="Y271" i="1" s="1"/>
  <c r="U289" i="1"/>
  <c r="W289" i="1" s="1"/>
  <c r="U273" i="1"/>
  <c r="W273" i="1" s="1"/>
  <c r="S303" i="1"/>
  <c r="Y303" i="1" s="1"/>
  <c r="U322" i="1"/>
  <c r="W322" i="1" s="1"/>
  <c r="Q436" i="1"/>
  <c r="X436" i="1" s="1"/>
  <c r="U418" i="1"/>
  <c r="W418" i="1" s="1"/>
  <c r="P455" i="1"/>
  <c r="S488" i="1"/>
  <c r="Y488" i="1" s="1"/>
  <c r="S363" i="1"/>
  <c r="Y363" i="1" s="1"/>
  <c r="U295" i="1"/>
  <c r="W295" i="1" s="1"/>
  <c r="Q272" i="1"/>
  <c r="X272" i="1" s="1"/>
  <c r="P453" i="1"/>
  <c r="U308" i="1"/>
  <c r="W308" i="1" s="1"/>
  <c r="S293" i="1"/>
  <c r="Y293" i="1" s="1"/>
  <c r="T295" i="1"/>
  <c r="AG295" i="1" s="1"/>
  <c r="S341" i="1"/>
  <c r="Y341" i="1" s="1"/>
  <c r="S456" i="1"/>
  <c r="Y456" i="1" s="1"/>
  <c r="P321" i="1"/>
  <c r="P260" i="1"/>
  <c r="U256" i="1"/>
  <c r="W256" i="1" s="1"/>
  <c r="R470" i="1"/>
  <c r="V470" i="1" s="1"/>
  <c r="P448" i="1"/>
  <c r="T437" i="1"/>
  <c r="AG437" i="1" s="1"/>
  <c r="Q427" i="1"/>
  <c r="X427" i="1" s="1"/>
  <c r="P429" i="1"/>
  <c r="U377" i="1"/>
  <c r="W377" i="1" s="1"/>
  <c r="T470" i="1"/>
  <c r="AG470" i="1" s="1"/>
  <c r="R347" i="1"/>
  <c r="V347" i="1" s="1"/>
  <c r="P371" i="1"/>
  <c r="T402" i="1"/>
  <c r="AG402" i="1" s="1"/>
  <c r="U410" i="1"/>
  <c r="W410" i="1" s="1"/>
  <c r="Q335" i="1"/>
  <c r="X335" i="1" s="1"/>
  <c r="R352" i="1"/>
  <c r="V352" i="1" s="1"/>
  <c r="U360" i="1"/>
  <c r="W360" i="1" s="1"/>
  <c r="Q327" i="1"/>
  <c r="X327" i="1" s="1"/>
  <c r="S398" i="1"/>
  <c r="Y398" i="1" s="1"/>
  <c r="T280" i="1"/>
  <c r="AG280" i="1" s="1"/>
  <c r="P293" i="1"/>
  <c r="S273" i="1"/>
  <c r="Y273" i="1" s="1"/>
  <c r="R318" i="1"/>
  <c r="V318" i="1" s="1"/>
  <c r="T399" i="1"/>
  <c r="AG399" i="1" s="1"/>
  <c r="U272" i="1"/>
  <c r="W272" i="1" s="1"/>
  <c r="T411" i="1"/>
  <c r="AG411" i="1" s="1"/>
  <c r="R284" i="1"/>
  <c r="V284" i="1" s="1"/>
  <c r="U374" i="1"/>
  <c r="W374" i="1" s="1"/>
  <c r="Q286" i="1"/>
  <c r="X286" i="1" s="1"/>
  <c r="P411" i="1"/>
  <c r="P274" i="1"/>
  <c r="S384" i="1"/>
  <c r="Y384" i="1" s="1"/>
  <c r="T281" i="1"/>
  <c r="AG281" i="1" s="1"/>
  <c r="T448" i="1"/>
  <c r="AG448" i="1" s="1"/>
  <c r="R290" i="1"/>
  <c r="V290" i="1" s="1"/>
  <c r="S320" i="1"/>
  <c r="Y320" i="1" s="1"/>
  <c r="Q340" i="1"/>
  <c r="X340" i="1" s="1"/>
  <c r="T271" i="1"/>
  <c r="AG271" i="1" s="1"/>
  <c r="S330" i="1"/>
  <c r="Y330" i="1" s="1"/>
  <c r="S270" i="1"/>
  <c r="Y270" i="1" s="1"/>
  <c r="Q399" i="1"/>
  <c r="X399" i="1" s="1"/>
  <c r="S301" i="1"/>
  <c r="Y301" i="1" s="1"/>
  <c r="Q284" i="1"/>
  <c r="X284" i="1" s="1"/>
  <c r="U380" i="1"/>
  <c r="W380" i="1" s="1"/>
  <c r="S462" i="1"/>
  <c r="Y462" i="1" s="1"/>
  <c r="S402" i="1"/>
  <c r="Y402" i="1" s="1"/>
  <c r="P398" i="1"/>
  <c r="U489" i="1"/>
  <c r="W489" i="1" s="1"/>
  <c r="T269" i="1"/>
  <c r="AG269" i="1" s="1"/>
  <c r="U461" i="1"/>
  <c r="W461" i="1" s="1"/>
  <c r="T301" i="1"/>
  <c r="AG301" i="1" s="1"/>
  <c r="P301" i="1"/>
  <c r="U281" i="1"/>
  <c r="W281" i="1" s="1"/>
  <c r="R271" i="1"/>
  <c r="V271" i="1" s="1"/>
  <c r="T265" i="1"/>
  <c r="AG265" i="1" s="1"/>
  <c r="P472" i="1"/>
  <c r="R360" i="1"/>
  <c r="V360" i="1" s="1"/>
  <c r="P280" i="1"/>
  <c r="U356" i="1"/>
  <c r="W356" i="1" s="1"/>
  <c r="U316" i="1"/>
  <c r="W316" i="1" s="1"/>
  <c r="U490" i="1"/>
  <c r="W490" i="1" s="1"/>
  <c r="R468" i="1"/>
  <c r="V468" i="1" s="1"/>
  <c r="P446" i="1"/>
  <c r="T435" i="1"/>
  <c r="AG435" i="1" s="1"/>
  <c r="Q425" i="1"/>
  <c r="X425" i="1" s="1"/>
  <c r="P427" i="1"/>
  <c r="U375" i="1"/>
  <c r="W375" i="1" s="1"/>
  <c r="T466" i="1"/>
  <c r="AG466" i="1" s="1"/>
  <c r="R345" i="1"/>
  <c r="V345" i="1" s="1"/>
  <c r="P369" i="1"/>
  <c r="T400" i="1"/>
  <c r="AG400" i="1" s="1"/>
  <c r="T407" i="1"/>
  <c r="AG407" i="1" s="1"/>
  <c r="T332" i="1"/>
  <c r="AG332" i="1" s="1"/>
  <c r="S349" i="1"/>
  <c r="Y349" i="1" s="1"/>
  <c r="P358" i="1"/>
  <c r="Q325" i="1"/>
  <c r="X325" i="1" s="1"/>
  <c r="T395" i="1"/>
  <c r="AG395" i="1" s="1"/>
  <c r="T278" i="1"/>
  <c r="AG278" i="1" s="1"/>
  <c r="S290" i="1"/>
  <c r="Y290" i="1" s="1"/>
  <c r="P271" i="1"/>
  <c r="R315" i="1"/>
  <c r="V315" i="1" s="1"/>
  <c r="Q351" i="1"/>
  <c r="X351" i="1" s="1"/>
  <c r="P405" i="1"/>
  <c r="P282" i="1"/>
  <c r="T369" i="1"/>
  <c r="AG369" i="1" s="1"/>
  <c r="R398" i="1"/>
  <c r="V398" i="1" s="1"/>
  <c r="T258" i="1"/>
  <c r="AG258" i="1" s="1"/>
  <c r="R374" i="1"/>
  <c r="V374" i="1" s="1"/>
  <c r="T273" i="1"/>
  <c r="AG273" i="1" s="1"/>
  <c r="S424" i="1"/>
  <c r="Y424" i="1" s="1"/>
  <c r="T285" i="1"/>
  <c r="AG285" i="1" s="1"/>
  <c r="S314" i="1"/>
  <c r="Y314" i="1" s="1"/>
  <c r="R332" i="1"/>
  <c r="V332" i="1" s="1"/>
  <c r="U263" i="1"/>
  <c r="W263" i="1" s="1"/>
  <c r="Q324" i="1"/>
  <c r="X324" i="1" s="1"/>
  <c r="U266" i="1"/>
  <c r="W266" i="1" s="1"/>
  <c r="Q387" i="1"/>
  <c r="X387" i="1" s="1"/>
  <c r="S296" i="1"/>
  <c r="Y296" i="1" s="1"/>
  <c r="P275" i="1"/>
  <c r="Q358" i="1"/>
  <c r="X358" i="1" s="1"/>
  <c r="S406" i="1"/>
  <c r="Y406" i="1" s="1"/>
  <c r="Q375" i="1"/>
  <c r="X375" i="1" s="1"/>
  <c r="U370" i="1"/>
  <c r="W370" i="1" s="1"/>
  <c r="U421" i="1"/>
  <c r="W421" i="1" s="1"/>
  <c r="P397" i="1"/>
  <c r="R286" i="1"/>
  <c r="V286" i="1" s="1"/>
  <c r="T351" i="1"/>
  <c r="AG351" i="1" s="1"/>
  <c r="S437" i="1"/>
  <c r="Y437" i="1" s="1"/>
  <c r="Q268" i="1"/>
  <c r="X268" i="1" s="1"/>
  <c r="R264" i="1"/>
  <c r="V264" i="1" s="1"/>
  <c r="U470" i="1"/>
  <c r="W470" i="1" s="1"/>
  <c r="R448" i="1"/>
  <c r="V448" i="1" s="1"/>
  <c r="P426" i="1"/>
  <c r="T415" i="1"/>
  <c r="AG415" i="1" s="1"/>
  <c r="Q405" i="1"/>
  <c r="X405" i="1" s="1"/>
  <c r="U487" i="1"/>
  <c r="W487" i="1" s="1"/>
  <c r="U355" i="1"/>
  <c r="W355" i="1" s="1"/>
  <c r="T426" i="1"/>
  <c r="AG426" i="1" s="1"/>
  <c r="P349" i="1"/>
  <c r="T380" i="1"/>
  <c r="AG380" i="1" s="1"/>
  <c r="P312" i="1"/>
  <c r="U323" i="1"/>
  <c r="W323" i="1" s="1"/>
  <c r="T456" i="1"/>
  <c r="AG456" i="1" s="1"/>
  <c r="Q305" i="1"/>
  <c r="X305" i="1" s="1"/>
  <c r="T365" i="1"/>
  <c r="AG365" i="1" s="1"/>
  <c r="Q288" i="1"/>
  <c r="X288" i="1" s="1"/>
  <c r="S268" i="1"/>
  <c r="Y268" i="1" s="1"/>
  <c r="P290" i="1"/>
  <c r="Q346" i="1"/>
  <c r="X346" i="1" s="1"/>
  <c r="S360" i="1"/>
  <c r="Y360" i="1" s="1"/>
  <c r="T279" i="1"/>
  <c r="AG279" i="1" s="1"/>
  <c r="U364" i="1"/>
  <c r="W364" i="1" s="1"/>
  <c r="Q267" i="1"/>
  <c r="X267" i="1" s="1"/>
  <c r="R386" i="1"/>
  <c r="V386" i="1" s="1"/>
  <c r="Q364" i="1"/>
  <c r="X364" i="1" s="1"/>
  <c r="R269" i="1"/>
  <c r="V269" i="1" s="1"/>
  <c r="P384" i="1"/>
  <c r="R281" i="1"/>
  <c r="V281" i="1" s="1"/>
  <c r="U469" i="1"/>
  <c r="W469" i="1" s="1"/>
  <c r="U303" i="1"/>
  <c r="W303" i="1" s="1"/>
  <c r="T319" i="1"/>
  <c r="AG319" i="1" s="1"/>
  <c r="Q260" i="1"/>
  <c r="X260" i="1" s="1"/>
  <c r="S458" i="1"/>
  <c r="Y458" i="1" s="1"/>
  <c r="Q318" i="1"/>
  <c r="X318" i="1" s="1"/>
  <c r="P263" i="1"/>
  <c r="U376" i="1"/>
  <c r="W376" i="1" s="1"/>
  <c r="U291" i="1"/>
  <c r="W291" i="1" s="1"/>
  <c r="U264" i="1"/>
  <c r="W264" i="1" s="1"/>
  <c r="P334" i="1"/>
  <c r="P380" i="1"/>
  <c r="Q350" i="1"/>
  <c r="X350" i="1" s="1"/>
  <c r="P348" i="1"/>
  <c r="S390" i="1"/>
  <c r="Y390" i="1" s="1"/>
  <c r="Q394" i="1"/>
  <c r="X394" i="1" s="1"/>
  <c r="S441" i="1"/>
  <c r="Y441" i="1" s="1"/>
  <c r="R302" i="1"/>
  <c r="V302" i="1" s="1"/>
  <c r="R371" i="1"/>
  <c r="V371" i="1" s="1"/>
  <c r="P261" i="1"/>
  <c r="U468" i="1"/>
  <c r="W468" i="1" s="1"/>
  <c r="R446" i="1"/>
  <c r="V446" i="1" s="1"/>
  <c r="P424" i="1"/>
  <c r="Q403" i="1"/>
  <c r="X403" i="1" s="1"/>
  <c r="U353" i="1"/>
  <c r="W353" i="1" s="1"/>
  <c r="S423" i="1"/>
  <c r="Y423" i="1" s="1"/>
  <c r="Q470" i="1"/>
  <c r="X470" i="1" s="1"/>
  <c r="P347" i="1"/>
  <c r="T378" i="1"/>
  <c r="AG378" i="1" s="1"/>
  <c r="R473" i="1"/>
  <c r="V473" i="1" s="1"/>
  <c r="P310" i="1"/>
  <c r="U321" i="1"/>
  <c r="W321" i="1" s="1"/>
  <c r="U449" i="1"/>
  <c r="W449" i="1" s="1"/>
  <c r="Q303" i="1"/>
  <c r="X303" i="1" s="1"/>
  <c r="S362" i="1"/>
  <c r="Y362" i="1" s="1"/>
  <c r="S490" i="1"/>
  <c r="Y490" i="1" s="1"/>
  <c r="S401" i="1"/>
  <c r="Y401" i="1" s="1"/>
  <c r="T287" i="1"/>
  <c r="AG287" i="1" s="1"/>
  <c r="P342" i="1"/>
  <c r="P356" i="1"/>
  <c r="R277" i="1"/>
  <c r="V277" i="1" s="1"/>
  <c r="T328" i="1"/>
  <c r="AG328" i="1" s="1"/>
  <c r="P265" i="1"/>
  <c r="T375" i="1"/>
  <c r="AG375" i="1" s="1"/>
  <c r="P354" i="1"/>
  <c r="R265" i="1"/>
  <c r="V265" i="1" s="1"/>
  <c r="P374" i="1"/>
  <c r="P277" i="1"/>
  <c r="S442" i="1"/>
  <c r="Y442" i="1" s="1"/>
  <c r="P299" i="1"/>
  <c r="S467" i="1"/>
  <c r="Y467" i="1" s="1"/>
  <c r="T313" i="1"/>
  <c r="AG313" i="1" s="1"/>
  <c r="T256" i="1"/>
  <c r="AG256" i="1" s="1"/>
  <c r="S432" i="1"/>
  <c r="Y432" i="1" s="1"/>
  <c r="Q312" i="1"/>
  <c r="X312" i="1" s="1"/>
  <c r="Q259" i="1"/>
  <c r="X259" i="1" s="1"/>
  <c r="Q366" i="1"/>
  <c r="X366" i="1" s="1"/>
  <c r="P287" i="1"/>
  <c r="R256" i="1"/>
  <c r="V256" i="1" s="1"/>
  <c r="R319" i="1"/>
  <c r="V319" i="1" s="1"/>
  <c r="S354" i="1"/>
  <c r="Y354" i="1" s="1"/>
  <c r="R331" i="1"/>
  <c r="V331" i="1" s="1"/>
  <c r="P327" i="1"/>
  <c r="Q365" i="1"/>
  <c r="X365" i="1" s="1"/>
  <c r="U344" i="1"/>
  <c r="W344" i="1" s="1"/>
  <c r="R392" i="1"/>
  <c r="V392" i="1" s="1"/>
  <c r="S275" i="1"/>
  <c r="Y275" i="1" s="1"/>
  <c r="T297" i="1"/>
  <c r="AG297" i="1" s="1"/>
  <c r="Q256" i="1"/>
  <c r="X256" i="1" s="1"/>
  <c r="R267" i="1"/>
  <c r="V267" i="1" s="1"/>
  <c r="T463" i="1"/>
  <c r="AG463" i="1" s="1"/>
  <c r="T373" i="1"/>
  <c r="AG373" i="1" s="1"/>
  <c r="T306" i="1"/>
  <c r="AG306" i="1" s="1"/>
  <c r="S311" i="1"/>
  <c r="Y311" i="1" s="1"/>
  <c r="R465" i="1"/>
  <c r="V465" i="1" s="1"/>
  <c r="R453" i="1"/>
  <c r="V453" i="1" s="1"/>
  <c r="U401" i="1"/>
  <c r="W401" i="1" s="1"/>
  <c r="U396" i="1"/>
  <c r="W396" i="1" s="1"/>
  <c r="P368" i="1"/>
  <c r="Q452" i="1"/>
  <c r="X452" i="1" s="1"/>
  <c r="Q370" i="1"/>
  <c r="X370" i="1" s="1"/>
  <c r="S317" i="1"/>
  <c r="Y317" i="1" s="1"/>
  <c r="U466" i="1"/>
  <c r="W466" i="1" s="1"/>
  <c r="R444" i="1"/>
  <c r="V444" i="1" s="1"/>
  <c r="P422" i="1"/>
  <c r="U351" i="1"/>
  <c r="W351" i="1" s="1"/>
  <c r="S420" i="1"/>
  <c r="Y420" i="1" s="1"/>
  <c r="Q466" i="1"/>
  <c r="X466" i="1" s="1"/>
  <c r="P345" i="1"/>
  <c r="T376" i="1"/>
  <c r="AG376" i="1" s="1"/>
  <c r="S466" i="1"/>
  <c r="Y466" i="1" s="1"/>
  <c r="P308" i="1"/>
  <c r="U319" i="1"/>
  <c r="W319" i="1" s="1"/>
  <c r="S443" i="1"/>
  <c r="Y443" i="1" s="1"/>
  <c r="Q301" i="1"/>
  <c r="X301" i="1" s="1"/>
  <c r="T359" i="1"/>
  <c r="AG359" i="1" s="1"/>
  <c r="S395" i="1"/>
  <c r="Y395" i="1" s="1"/>
  <c r="R285" i="1"/>
  <c r="V285" i="1" s="1"/>
  <c r="R337" i="1"/>
  <c r="V337" i="1" s="1"/>
  <c r="R350" i="1"/>
  <c r="V350" i="1" s="1"/>
  <c r="U274" i="1"/>
  <c r="W274" i="1" s="1"/>
  <c r="S325" i="1"/>
  <c r="Y325" i="1" s="1"/>
  <c r="U262" i="1"/>
  <c r="W262" i="1" s="1"/>
  <c r="Q355" i="1"/>
  <c r="X355" i="1" s="1"/>
  <c r="S335" i="1"/>
  <c r="Y335" i="1" s="1"/>
  <c r="Q363" i="1"/>
  <c r="X363" i="1" s="1"/>
  <c r="P273" i="1"/>
  <c r="S405" i="1"/>
  <c r="Y405" i="1" s="1"/>
  <c r="Q294" i="1"/>
  <c r="X294" i="1" s="1"/>
  <c r="Q440" i="1"/>
  <c r="X440" i="1" s="1"/>
  <c r="R308" i="1"/>
  <c r="V308" i="1" s="1"/>
  <c r="R413" i="1"/>
  <c r="V413" i="1" s="1"/>
  <c r="U306" i="1"/>
  <c r="W306" i="1" s="1"/>
  <c r="P256" i="1"/>
  <c r="Q356" i="1"/>
  <c r="X356" i="1" s="1"/>
  <c r="S282" i="1"/>
  <c r="Y282" i="1" s="1"/>
  <c r="S472" i="1"/>
  <c r="Y472" i="1" s="1"/>
  <c r="T305" i="1"/>
  <c r="AG305" i="1" s="1"/>
  <c r="U332" i="1"/>
  <c r="W332" i="1" s="1"/>
  <c r="P315" i="1"/>
  <c r="R313" i="1"/>
  <c r="V313" i="1" s="1"/>
  <c r="U340" i="1"/>
  <c r="W340" i="1" s="1"/>
  <c r="U312" i="1"/>
  <c r="W312" i="1" s="1"/>
  <c r="Q342" i="1"/>
  <c r="X342" i="1" s="1"/>
  <c r="P390" i="1"/>
  <c r="S468" i="1"/>
  <c r="Y468" i="1" s="1"/>
  <c r="P298" i="1"/>
  <c r="S307" i="1"/>
  <c r="Y307" i="1" s="1"/>
  <c r="P329" i="1"/>
  <c r="P404" i="1"/>
  <c r="P395" i="1"/>
  <c r="S370" i="1"/>
  <c r="Y370" i="1" s="1"/>
  <c r="Q302" i="1"/>
  <c r="X302" i="1" s="1"/>
  <c r="P272" i="1"/>
  <c r="U446" i="1"/>
  <c r="W446" i="1" s="1"/>
  <c r="T487" i="1"/>
  <c r="AG487" i="1" s="1"/>
  <c r="U439" i="1"/>
  <c r="W439" i="1" s="1"/>
  <c r="U331" i="1"/>
  <c r="W331" i="1" s="1"/>
  <c r="R397" i="1"/>
  <c r="V397" i="1" s="1"/>
  <c r="Q426" i="1"/>
  <c r="X426" i="1" s="1"/>
  <c r="S489" i="1"/>
  <c r="Y489" i="1" s="1"/>
  <c r="T356" i="1"/>
  <c r="AG356" i="1" s="1"/>
  <c r="R410" i="1"/>
  <c r="V410" i="1" s="1"/>
  <c r="R439" i="1"/>
  <c r="V439" i="1" s="1"/>
  <c r="U457" i="1"/>
  <c r="W457" i="1" s="1"/>
  <c r="S399" i="1"/>
  <c r="Y399" i="1" s="1"/>
  <c r="Q281" i="1"/>
  <c r="X281" i="1" s="1"/>
  <c r="Q331" i="1"/>
  <c r="X331" i="1" s="1"/>
  <c r="S463" i="1"/>
  <c r="Y463" i="1" s="1"/>
  <c r="S389" i="1"/>
  <c r="Y389" i="1" s="1"/>
  <c r="U473" i="1"/>
  <c r="W473" i="1" s="1"/>
  <c r="U261" i="1"/>
  <c r="W261" i="1" s="1"/>
  <c r="R309" i="1"/>
  <c r="V309" i="1" s="1"/>
  <c r="T345" i="1"/>
  <c r="AG345" i="1" s="1"/>
  <c r="P257" i="1"/>
  <c r="S322" i="1"/>
  <c r="Y322" i="1" s="1"/>
  <c r="S260" i="1"/>
  <c r="Y260" i="1" s="1"/>
  <c r="R336" i="1"/>
  <c r="V336" i="1" s="1"/>
  <c r="S328" i="1"/>
  <c r="Y328" i="1" s="1"/>
  <c r="Q353" i="1"/>
  <c r="X353" i="1" s="1"/>
  <c r="Q265" i="1"/>
  <c r="X265" i="1" s="1"/>
  <c r="Q393" i="1"/>
  <c r="X393" i="1" s="1"/>
  <c r="S284" i="1"/>
  <c r="Y284" i="1" s="1"/>
  <c r="S418" i="1"/>
  <c r="Y418" i="1" s="1"/>
  <c r="R303" i="1"/>
  <c r="V303" i="1" s="1"/>
  <c r="Q400" i="1"/>
  <c r="X400" i="1" s="1"/>
  <c r="U301" i="1"/>
  <c r="W301" i="1" s="1"/>
  <c r="P346" i="1"/>
  <c r="S278" i="1"/>
  <c r="Y278" i="1" s="1"/>
  <c r="R416" i="1"/>
  <c r="V416" i="1" s="1"/>
  <c r="U293" i="1"/>
  <c r="W293" i="1" s="1"/>
  <c r="U318" i="1"/>
  <c r="W318" i="1" s="1"/>
  <c r="U302" i="1"/>
  <c r="W302" i="1" s="1"/>
  <c r="U300" i="1"/>
  <c r="W300" i="1" s="1"/>
  <c r="U324" i="1"/>
  <c r="W324" i="1" s="1"/>
  <c r="R288" i="1"/>
  <c r="V288" i="1" s="1"/>
  <c r="P311" i="1"/>
  <c r="T339" i="1"/>
  <c r="AG339" i="1" s="1"/>
  <c r="U382" i="1"/>
  <c r="W382" i="1" s="1"/>
  <c r="T440" i="1"/>
  <c r="AG440" i="1" s="1"/>
  <c r="Q369" i="1"/>
  <c r="X369" i="1" s="1"/>
  <c r="Q262" i="1"/>
  <c r="X262" i="1" s="1"/>
  <c r="P332" i="1"/>
  <c r="R293" i="1"/>
  <c r="V293" i="1" s="1"/>
  <c r="R368" i="1"/>
  <c r="V368" i="1" s="1"/>
  <c r="S294" i="1"/>
  <c r="Y294" i="1" s="1"/>
  <c r="R300" i="1"/>
  <c r="V300" i="1" s="1"/>
  <c r="T321" i="1"/>
  <c r="AG321" i="1" s="1"/>
  <c r="U350" i="1"/>
  <c r="W350" i="1" s="1"/>
  <c r="U288" i="1"/>
  <c r="W288" i="1" s="1"/>
  <c r="T461" i="1"/>
  <c r="AG461" i="1" s="1"/>
  <c r="T304" i="1"/>
  <c r="AG304" i="1" s="1"/>
  <c r="S378" i="1"/>
  <c r="Y378" i="1" s="1"/>
  <c r="U444" i="1"/>
  <c r="W444" i="1" s="1"/>
  <c r="U435" i="1"/>
  <c r="W435" i="1" s="1"/>
  <c r="U329" i="1"/>
  <c r="W329" i="1" s="1"/>
  <c r="R395" i="1"/>
  <c r="V395" i="1" s="1"/>
  <c r="U422" i="1"/>
  <c r="W422" i="1" s="1"/>
  <c r="T354" i="1"/>
  <c r="AG354" i="1" s="1"/>
  <c r="U406" i="1"/>
  <c r="W406" i="1" s="1"/>
  <c r="T432" i="1"/>
  <c r="AG432" i="1" s="1"/>
  <c r="S451" i="1"/>
  <c r="Y451" i="1" s="1"/>
  <c r="R396" i="1"/>
  <c r="V396" i="1" s="1"/>
  <c r="Q279" i="1"/>
  <c r="X279" i="1" s="1"/>
  <c r="U328" i="1"/>
  <c r="W328" i="1" s="1"/>
  <c r="Q379" i="1"/>
  <c r="X379" i="1" s="1"/>
  <c r="R338" i="1"/>
  <c r="V338" i="1" s="1"/>
  <c r="S460" i="1"/>
  <c r="Y460" i="1" s="1"/>
  <c r="T259" i="1"/>
  <c r="AG259" i="1" s="1"/>
  <c r="S306" i="1"/>
  <c r="Y306" i="1" s="1"/>
  <c r="Q341" i="1"/>
  <c r="X341" i="1" s="1"/>
  <c r="S319" i="1"/>
  <c r="Y319" i="1" s="1"/>
  <c r="S258" i="1"/>
  <c r="Y258" i="1" s="1"/>
  <c r="R311" i="1"/>
  <c r="V311" i="1" s="1"/>
  <c r="R322" i="1"/>
  <c r="V322" i="1" s="1"/>
  <c r="Q343" i="1"/>
  <c r="X343" i="1" s="1"/>
  <c r="R261" i="1"/>
  <c r="V261" i="1" s="1"/>
  <c r="T381" i="1"/>
  <c r="AG381" i="1" s="1"/>
  <c r="U280" i="1"/>
  <c r="W280" i="1" s="1"/>
  <c r="Q404" i="1"/>
  <c r="X404" i="1" s="1"/>
  <c r="R298" i="1"/>
  <c r="V298" i="1" s="1"/>
  <c r="Q388" i="1"/>
  <c r="X388" i="1" s="1"/>
  <c r="P297" i="1"/>
  <c r="Q337" i="1"/>
  <c r="X337" i="1" s="1"/>
  <c r="R274" i="1"/>
  <c r="V274" i="1" s="1"/>
  <c r="P386" i="1"/>
  <c r="S283" i="1"/>
  <c r="Y283" i="1" s="1"/>
  <c r="Q304" i="1"/>
  <c r="X304" i="1" s="1"/>
  <c r="R291" i="1"/>
  <c r="V291" i="1" s="1"/>
  <c r="P289" i="1"/>
  <c r="S309" i="1"/>
  <c r="Y309" i="1" s="1"/>
  <c r="U267" i="1"/>
  <c r="W267" i="1" s="1"/>
  <c r="P288" i="1"/>
  <c r="S308" i="1"/>
  <c r="Y308" i="1" s="1"/>
  <c r="Q336" i="1"/>
  <c r="X336" i="1" s="1"/>
  <c r="Q372" i="1"/>
  <c r="X372" i="1" s="1"/>
  <c r="Q428" i="1"/>
  <c r="X428" i="1" s="1"/>
  <c r="U277" i="1"/>
  <c r="W277" i="1" s="1"/>
  <c r="Q326" i="1"/>
  <c r="X326" i="1" s="1"/>
  <c r="Q320" i="1"/>
  <c r="X320" i="1" s="1"/>
  <c r="P392" i="1"/>
  <c r="S377" i="1"/>
  <c r="Y377" i="1" s="1"/>
  <c r="Q292" i="1"/>
  <c r="X292" i="1" s="1"/>
  <c r="Q270" i="1"/>
  <c r="X270" i="1" s="1"/>
  <c r="S272" i="1"/>
  <c r="Y272" i="1" s="1"/>
  <c r="P285" i="1"/>
  <c r="S259" i="1"/>
  <c r="Y259" i="1" s="1"/>
  <c r="Q453" i="1"/>
  <c r="X453" i="1" s="1"/>
  <c r="S391" i="1"/>
  <c r="Y391" i="1" s="1"/>
  <c r="U368" i="1"/>
  <c r="W368" i="1" s="1"/>
  <c r="S372" i="1"/>
  <c r="Y372" i="1" s="1"/>
  <c r="S287" i="1"/>
  <c r="Y287" i="1" s="1"/>
  <c r="P402" i="1"/>
  <c r="S415" i="1"/>
  <c r="Y415" i="1" s="1"/>
  <c r="R388" i="1"/>
  <c r="V388" i="1" s="1"/>
  <c r="U420" i="1"/>
  <c r="W420" i="1" s="1"/>
  <c r="S348" i="1"/>
  <c r="Y348" i="1" s="1"/>
  <c r="U442" i="1"/>
  <c r="W442" i="1" s="1"/>
  <c r="Q473" i="1"/>
  <c r="X473" i="1" s="1"/>
  <c r="U431" i="1"/>
  <c r="W431" i="1" s="1"/>
  <c r="U327" i="1"/>
  <c r="W327" i="1" s="1"/>
  <c r="R393" i="1"/>
  <c r="V393" i="1" s="1"/>
  <c r="Q420" i="1"/>
  <c r="X420" i="1" s="1"/>
  <c r="T352" i="1"/>
  <c r="AG352" i="1" s="1"/>
  <c r="U403" i="1"/>
  <c r="W403" i="1" s="1"/>
  <c r="R427" i="1"/>
  <c r="V427" i="1" s="1"/>
  <c r="S444" i="1"/>
  <c r="Y444" i="1" s="1"/>
  <c r="S393" i="1"/>
  <c r="Y393" i="1" s="1"/>
  <c r="Q277" i="1"/>
  <c r="X277" i="1" s="1"/>
  <c r="T326" i="1"/>
  <c r="AG326" i="1" s="1"/>
  <c r="Q374" i="1"/>
  <c r="X374" i="1" s="1"/>
  <c r="S334" i="1"/>
  <c r="Y334" i="1" s="1"/>
  <c r="S446" i="1"/>
  <c r="Y446" i="1" s="1"/>
  <c r="T257" i="1"/>
  <c r="AG257" i="1" s="1"/>
  <c r="P304" i="1"/>
  <c r="R314" i="1"/>
  <c r="V314" i="1" s="1"/>
  <c r="S316" i="1"/>
  <c r="Y316" i="1" s="1"/>
  <c r="U305" i="1"/>
  <c r="W305" i="1" s="1"/>
  <c r="R305" i="1"/>
  <c r="V305" i="1" s="1"/>
  <c r="T334" i="1"/>
  <c r="AG334" i="1" s="1"/>
  <c r="P258" i="1"/>
  <c r="Q361" i="1"/>
  <c r="X361" i="1" s="1"/>
  <c r="T293" i="1"/>
  <c r="AG293" i="1" s="1"/>
  <c r="T329" i="1"/>
  <c r="AG329" i="1" s="1"/>
  <c r="Q360" i="1"/>
  <c r="X360" i="1" s="1"/>
  <c r="Q280" i="1"/>
  <c r="X280" i="1" s="1"/>
  <c r="R279" i="1"/>
  <c r="V279" i="1" s="1"/>
  <c r="R463" i="1"/>
  <c r="V463" i="1" s="1"/>
  <c r="P400" i="1"/>
  <c r="U330" i="1"/>
  <c r="W330" i="1" s="1"/>
  <c r="R380" i="1"/>
  <c r="V380" i="1" s="1"/>
  <c r="Q367" i="1"/>
  <c r="X367" i="1" s="1"/>
  <c r="S323" i="1"/>
  <c r="Y323" i="1" s="1"/>
  <c r="U338" i="1"/>
  <c r="W338" i="1" s="1"/>
  <c r="S263" i="1"/>
  <c r="Y263" i="1" s="1"/>
  <c r="U268" i="1"/>
  <c r="W268" i="1" s="1"/>
  <c r="R325" i="1"/>
  <c r="V325" i="1" s="1"/>
  <c r="Q451" i="1"/>
  <c r="X451" i="1" s="1"/>
  <c r="P325" i="1"/>
  <c r="Q296" i="1"/>
  <c r="X296" i="1" s="1"/>
  <c r="P284" i="1"/>
  <c r="S262" i="1"/>
  <c r="Y262" i="1" s="1"/>
  <c r="S299" i="1"/>
  <c r="Y299" i="1" s="1"/>
  <c r="P475" i="1" l="1"/>
  <c r="AA274" i="1"/>
  <c r="Z274" i="1"/>
  <c r="AD274" i="1"/>
  <c r="AD302" i="1"/>
  <c r="AA302" i="1"/>
  <c r="Z302" i="1"/>
  <c r="AA304" i="1"/>
  <c r="Z304" i="1"/>
  <c r="AD304" i="1"/>
  <c r="Q496" i="1"/>
  <c r="X496" i="1" s="1"/>
  <c r="AD368" i="1"/>
  <c r="AA368" i="1"/>
  <c r="Z368" i="1"/>
  <c r="AA280" i="1"/>
  <c r="Z280" i="1"/>
  <c r="AD280" i="1"/>
  <c r="AA398" i="1"/>
  <c r="AD398" i="1"/>
  <c r="Z398" i="1"/>
  <c r="AD296" i="1"/>
  <c r="AA296" i="1"/>
  <c r="Z296" i="1"/>
  <c r="AD451" i="1"/>
  <c r="Z451" i="1"/>
  <c r="AA451" i="1"/>
  <c r="Q479" i="1"/>
  <c r="X479" i="1" s="1"/>
  <c r="Q476" i="1"/>
  <c r="X476" i="1" s="1"/>
  <c r="AD323" i="1"/>
  <c r="AA323" i="1"/>
  <c r="Z323" i="1"/>
  <c r="Z381" i="1"/>
  <c r="AD381" i="1"/>
  <c r="AA381" i="1"/>
  <c r="Q499" i="1"/>
  <c r="X499" i="1" s="1"/>
  <c r="AD305" i="1"/>
  <c r="AA305" i="1"/>
  <c r="Z305" i="1"/>
  <c r="AD383" i="1"/>
  <c r="AA383" i="1"/>
  <c r="Z383" i="1"/>
  <c r="R499" i="1"/>
  <c r="V499" i="1" s="1"/>
  <c r="T475" i="1"/>
  <c r="AG475" i="1" s="1"/>
  <c r="T477" i="1"/>
  <c r="AG477" i="1" s="1"/>
  <c r="AA352" i="1"/>
  <c r="Z352" i="1"/>
  <c r="AD352" i="1"/>
  <c r="AD423" i="1"/>
  <c r="Z423" i="1"/>
  <c r="AA423" i="1"/>
  <c r="AA442" i="1"/>
  <c r="Z442" i="1"/>
  <c r="AD442" i="1"/>
  <c r="AD257" i="1"/>
  <c r="AA257" i="1"/>
  <c r="Z257" i="1"/>
  <c r="AA272" i="1"/>
  <c r="Z272" i="1"/>
  <c r="AD272" i="1"/>
  <c r="AA424" i="1"/>
  <c r="Z424" i="1"/>
  <c r="AD424" i="1"/>
  <c r="AD405" i="1"/>
  <c r="AA405" i="1"/>
  <c r="Z405" i="1"/>
  <c r="AD371" i="1"/>
  <c r="Z371" i="1"/>
  <c r="AA371" i="1"/>
  <c r="R494" i="1"/>
  <c r="V494" i="1" s="1"/>
  <c r="AA334" i="1"/>
  <c r="Z334" i="1"/>
  <c r="AD334" i="1"/>
  <c r="AA384" i="1"/>
  <c r="Z384" i="1"/>
  <c r="AD384" i="1"/>
  <c r="AA369" i="1"/>
  <c r="Z369" i="1"/>
  <c r="AD369" i="1"/>
  <c r="S493" i="1"/>
  <c r="Y493" i="1" s="1"/>
  <c r="AD289" i="1"/>
  <c r="AA289" i="1"/>
  <c r="Z289" i="1"/>
  <c r="AD311" i="1"/>
  <c r="AA311" i="1"/>
  <c r="Z311" i="1"/>
  <c r="T480" i="1"/>
  <c r="AG480" i="1" s="1"/>
  <c r="Z265" i="1"/>
  <c r="AD265" i="1"/>
  <c r="AA265" i="1"/>
  <c r="AA310" i="1"/>
  <c r="Z310" i="1"/>
  <c r="AD310" i="1"/>
  <c r="AD409" i="1"/>
  <c r="AA409" i="1"/>
  <c r="Z409" i="1"/>
  <c r="AA408" i="1"/>
  <c r="AD408" i="1"/>
  <c r="Z408" i="1"/>
  <c r="AA314" i="1"/>
  <c r="Z314" i="1"/>
  <c r="AD314" i="1"/>
  <c r="AD351" i="1"/>
  <c r="Z351" i="1"/>
  <c r="AA351" i="1"/>
  <c r="T497" i="1"/>
  <c r="AG497" i="1" s="1"/>
  <c r="Q481" i="1"/>
  <c r="X481" i="1" s="1"/>
  <c r="R478" i="1"/>
  <c r="V478" i="1" s="1"/>
  <c r="U481" i="1"/>
  <c r="W481" i="1" s="1"/>
  <c r="AA372" i="1"/>
  <c r="AD372" i="1"/>
  <c r="Z372" i="1"/>
  <c r="Z344" i="1"/>
  <c r="AA344" i="1"/>
  <c r="AD344" i="1"/>
  <c r="T484" i="1"/>
  <c r="AG484" i="1" s="1"/>
  <c r="U500" i="1"/>
  <c r="W500" i="1" s="1"/>
  <c r="AA279" i="1"/>
  <c r="AD279" i="1"/>
  <c r="Z279" i="1"/>
  <c r="T498" i="1"/>
  <c r="AG498" i="1" s="1"/>
  <c r="AA416" i="1"/>
  <c r="Z416" i="1"/>
  <c r="AD416" i="1"/>
  <c r="AA388" i="1"/>
  <c r="AD388" i="1"/>
  <c r="Z388" i="1"/>
  <c r="P447" i="1"/>
  <c r="P466" i="1"/>
  <c r="AD269" i="1"/>
  <c r="AA269" i="1"/>
  <c r="Z269" i="1"/>
  <c r="Z295" i="1"/>
  <c r="AD295" i="1"/>
  <c r="AA295" i="1"/>
  <c r="S477" i="1"/>
  <c r="Y477" i="1" s="1"/>
  <c r="R500" i="1"/>
  <c r="V500" i="1" s="1"/>
  <c r="Q471" i="1"/>
  <c r="X471" i="1" s="1"/>
  <c r="U440" i="1"/>
  <c r="W440" i="1" s="1"/>
  <c r="Z273" i="1"/>
  <c r="AA273" i="1"/>
  <c r="AD273" i="1"/>
  <c r="AA404" i="1"/>
  <c r="AD404" i="1"/>
  <c r="Z404" i="1"/>
  <c r="Z356" i="1"/>
  <c r="AD356" i="1"/>
  <c r="AA356" i="1"/>
  <c r="AD355" i="1"/>
  <c r="Z355" i="1"/>
  <c r="AA355" i="1"/>
  <c r="AA458" i="1"/>
  <c r="Z458" i="1"/>
  <c r="AD458" i="1"/>
  <c r="AA354" i="1"/>
  <c r="AD354" i="1"/>
  <c r="Z354" i="1"/>
  <c r="AA380" i="1"/>
  <c r="AD380" i="1"/>
  <c r="Z380" i="1"/>
  <c r="Z455" i="1"/>
  <c r="AA455" i="1"/>
  <c r="AD455" i="1"/>
  <c r="S498" i="1"/>
  <c r="Y498" i="1" s="1"/>
  <c r="T482" i="1"/>
  <c r="AG482" i="1" s="1"/>
  <c r="AA402" i="1"/>
  <c r="AD402" i="1"/>
  <c r="Z402" i="1"/>
  <c r="AA392" i="1"/>
  <c r="Z392" i="1"/>
  <c r="AD392" i="1"/>
  <c r="AD395" i="1"/>
  <c r="Z395" i="1"/>
  <c r="AA395" i="1"/>
  <c r="Z315" i="1"/>
  <c r="AA315" i="1"/>
  <c r="AD315" i="1"/>
  <c r="T476" i="1"/>
  <c r="AG476" i="1" s="1"/>
  <c r="U479" i="1"/>
  <c r="W479" i="1" s="1"/>
  <c r="AA261" i="1"/>
  <c r="AD261" i="1"/>
  <c r="Z261" i="1"/>
  <c r="AA426" i="1"/>
  <c r="Z426" i="1"/>
  <c r="AD426" i="1"/>
  <c r="S497" i="1"/>
  <c r="Y497" i="1" s="1"/>
  <c r="AD271" i="1"/>
  <c r="Z271" i="1"/>
  <c r="AA271" i="1"/>
  <c r="AA472" i="1"/>
  <c r="Z472" i="1"/>
  <c r="AD472" i="1"/>
  <c r="AD293" i="1"/>
  <c r="AA293" i="1"/>
  <c r="Z293" i="1"/>
  <c r="AD412" i="1"/>
  <c r="AA412" i="1"/>
  <c r="Z412" i="1"/>
  <c r="AD364" i="1"/>
  <c r="AA364" i="1"/>
  <c r="Z364" i="1"/>
  <c r="AA450" i="1"/>
  <c r="Z450" i="1"/>
  <c r="AD450" i="1"/>
  <c r="AD375" i="1"/>
  <c r="AA375" i="1"/>
  <c r="Z375" i="1"/>
  <c r="U496" i="1"/>
  <c r="W496" i="1" s="1"/>
  <c r="AA316" i="1"/>
  <c r="AD316" i="1"/>
  <c r="Z316" i="1"/>
  <c r="AA353" i="1"/>
  <c r="Z353" i="1"/>
  <c r="AD353" i="1"/>
  <c r="U474" i="1"/>
  <c r="W474" i="1" s="1"/>
  <c r="AA366" i="1"/>
  <c r="AD366" i="1"/>
  <c r="Z366" i="1"/>
  <c r="S482" i="1"/>
  <c r="Y482" i="1" s="1"/>
  <c r="R475" i="1"/>
  <c r="V475" i="1" s="1"/>
  <c r="T495" i="1"/>
  <c r="AG495" i="1" s="1"/>
  <c r="AD303" i="1"/>
  <c r="AA303" i="1"/>
  <c r="Z303" i="1"/>
  <c r="U497" i="1"/>
  <c r="W497" i="1" s="1"/>
  <c r="P498" i="1"/>
  <c r="R498" i="1"/>
  <c r="V498" i="1" s="1"/>
  <c r="Z419" i="1"/>
  <c r="AA419" i="1"/>
  <c r="AD419" i="1"/>
  <c r="AA438" i="1"/>
  <c r="Z438" i="1"/>
  <c r="AD438" i="1"/>
  <c r="AA278" i="1"/>
  <c r="Z278" i="1"/>
  <c r="AD278" i="1"/>
  <c r="AD421" i="1"/>
  <c r="AA421" i="1"/>
  <c r="Z421" i="1"/>
  <c r="AA440" i="1"/>
  <c r="Z440" i="1"/>
  <c r="AD440" i="1"/>
  <c r="AD471" i="1"/>
  <c r="AA471" i="1"/>
  <c r="Z471" i="1"/>
  <c r="AD490" i="1"/>
  <c r="AA490" i="1"/>
  <c r="Z490" i="1"/>
  <c r="AD306" i="1"/>
  <c r="Z306" i="1"/>
  <c r="AA306" i="1"/>
  <c r="AD343" i="1"/>
  <c r="Z343" i="1"/>
  <c r="AA343" i="1"/>
  <c r="Q495" i="1"/>
  <c r="X495" i="1" s="1"/>
  <c r="U464" i="1"/>
  <c r="W464" i="1" s="1"/>
  <c r="AD429" i="1"/>
  <c r="AA429" i="1"/>
  <c r="Z429" i="1"/>
  <c r="AD291" i="1"/>
  <c r="Z291" i="1"/>
  <c r="AA291" i="1"/>
  <c r="AD394" i="1"/>
  <c r="Z394" i="1"/>
  <c r="AA394" i="1"/>
  <c r="AA470" i="1"/>
  <c r="Z470" i="1"/>
  <c r="AD470" i="1"/>
  <c r="AD399" i="1"/>
  <c r="AA399" i="1"/>
  <c r="Z399" i="1"/>
  <c r="Z377" i="1"/>
  <c r="AA377" i="1"/>
  <c r="AD377" i="1"/>
  <c r="S499" i="1"/>
  <c r="Y499" i="1" s="1"/>
  <c r="Z331" i="1"/>
  <c r="AD331" i="1"/>
  <c r="AA331" i="1"/>
  <c r="Q483" i="1"/>
  <c r="X483" i="1" s="1"/>
  <c r="S484" i="1"/>
  <c r="Y484" i="1" s="1"/>
  <c r="AD415" i="1"/>
  <c r="Z415" i="1"/>
  <c r="AA415" i="1"/>
  <c r="AA434" i="1"/>
  <c r="Z434" i="1"/>
  <c r="AD434" i="1"/>
  <c r="S494" i="1"/>
  <c r="Y494" i="1" s="1"/>
  <c r="AA340" i="1"/>
  <c r="Z340" i="1"/>
  <c r="AD340" i="1"/>
  <c r="S491" i="1"/>
  <c r="Y491" i="1" s="1"/>
  <c r="Q494" i="1"/>
  <c r="X494" i="1" s="1"/>
  <c r="AD417" i="1"/>
  <c r="AA417" i="1"/>
  <c r="Z417" i="1"/>
  <c r="AA436" i="1"/>
  <c r="AD436" i="1"/>
  <c r="Z436" i="1"/>
  <c r="Z382" i="1"/>
  <c r="AA382" i="1"/>
  <c r="AD382" i="1"/>
  <c r="Z443" i="1"/>
  <c r="AD443" i="1"/>
  <c r="AA443" i="1"/>
  <c r="AA462" i="1"/>
  <c r="Z462" i="1"/>
  <c r="AD462" i="1"/>
  <c r="AA307" i="1"/>
  <c r="Z307" i="1"/>
  <c r="AD307" i="1"/>
  <c r="AD445" i="1"/>
  <c r="AA445" i="1"/>
  <c r="Z445" i="1"/>
  <c r="AA464" i="1"/>
  <c r="AD464" i="1"/>
  <c r="Z464" i="1"/>
  <c r="P495" i="1"/>
  <c r="AD367" i="1"/>
  <c r="Z367" i="1"/>
  <c r="AA367" i="1"/>
  <c r="U488" i="1"/>
  <c r="W488" i="1" s="1"/>
  <c r="P477" i="1"/>
  <c r="Q475" i="1"/>
  <c r="X475" i="1" s="1"/>
  <c r="AA401" i="1"/>
  <c r="AD401" i="1"/>
  <c r="Z401" i="1"/>
  <c r="AD318" i="1"/>
  <c r="Z318" i="1"/>
  <c r="AA318" i="1"/>
  <c r="U476" i="1"/>
  <c r="W476" i="1" s="1"/>
  <c r="AD441" i="1"/>
  <c r="Z441" i="1"/>
  <c r="AA441" i="1"/>
  <c r="AD460" i="1"/>
  <c r="AA460" i="1"/>
  <c r="Z460" i="1"/>
  <c r="Z467" i="1"/>
  <c r="AA467" i="1"/>
  <c r="AD467" i="1"/>
  <c r="AA486" i="1"/>
  <c r="Z486" i="1"/>
  <c r="AD486" i="1"/>
  <c r="AD469" i="1"/>
  <c r="Z469" i="1"/>
  <c r="AA469" i="1"/>
  <c r="AA488" i="1"/>
  <c r="AD488" i="1"/>
  <c r="Z488" i="1"/>
  <c r="Z270" i="1"/>
  <c r="AD270" i="1"/>
  <c r="AA270" i="1"/>
  <c r="AD391" i="1"/>
  <c r="Z391" i="1"/>
  <c r="AA391" i="1"/>
  <c r="S500" i="1"/>
  <c r="Y500" i="1" s="1"/>
  <c r="AD386" i="1"/>
  <c r="AA386" i="1"/>
  <c r="Z386" i="1"/>
  <c r="T485" i="1"/>
  <c r="AG485" i="1" s="1"/>
  <c r="AD329" i="1"/>
  <c r="AA329" i="1"/>
  <c r="Z329" i="1"/>
  <c r="AA422" i="1"/>
  <c r="Z422" i="1"/>
  <c r="AD422" i="1"/>
  <c r="Z327" i="1"/>
  <c r="AD327" i="1"/>
  <c r="AA327" i="1"/>
  <c r="AA342" i="1"/>
  <c r="AD342" i="1"/>
  <c r="Z342" i="1"/>
  <c r="S480" i="1"/>
  <c r="Y480" i="1" s="1"/>
  <c r="AD275" i="1"/>
  <c r="AA275" i="1"/>
  <c r="Z275" i="1"/>
  <c r="AD411" i="1"/>
  <c r="Z411" i="1"/>
  <c r="AA411" i="1"/>
  <c r="R481" i="1"/>
  <c r="V481" i="1" s="1"/>
  <c r="AD350" i="1"/>
  <c r="Z350" i="1"/>
  <c r="AA350" i="1"/>
  <c r="Z264" i="1"/>
  <c r="AD264" i="1"/>
  <c r="AA264" i="1"/>
  <c r="Q478" i="1"/>
  <c r="X478" i="1" s="1"/>
  <c r="U491" i="1"/>
  <c r="W491" i="1" s="1"/>
  <c r="AA428" i="1"/>
  <c r="AD428" i="1"/>
  <c r="Z428" i="1"/>
  <c r="T491" i="1"/>
  <c r="AG491" i="1" s="1"/>
  <c r="AD317" i="1"/>
  <c r="AA317" i="1"/>
  <c r="Z317" i="1"/>
  <c r="AD379" i="1"/>
  <c r="AA379" i="1"/>
  <c r="Z379" i="1"/>
  <c r="Q497" i="1"/>
  <c r="X497" i="1" s="1"/>
  <c r="AD463" i="1"/>
  <c r="AA463" i="1"/>
  <c r="Z463" i="1"/>
  <c r="P482" i="1"/>
  <c r="AD465" i="1"/>
  <c r="AA465" i="1"/>
  <c r="Z465" i="1"/>
  <c r="P484" i="1"/>
  <c r="AD294" i="1"/>
  <c r="Z294" i="1"/>
  <c r="AA294" i="1"/>
  <c r="T500" i="1"/>
  <c r="AG500" i="1" s="1"/>
  <c r="AA410" i="1"/>
  <c r="AD410" i="1"/>
  <c r="Z410" i="1"/>
  <c r="P491" i="1"/>
  <c r="AA414" i="1"/>
  <c r="Z414" i="1"/>
  <c r="AD414" i="1"/>
  <c r="P493" i="1"/>
  <c r="R447" i="1"/>
  <c r="V447" i="1" s="1"/>
  <c r="R488" i="1"/>
  <c r="V488" i="1" s="1"/>
  <c r="R390" i="1"/>
  <c r="V390" i="1" s="1"/>
  <c r="S400" i="1"/>
  <c r="Y400" i="1" s="1"/>
  <c r="U416" i="1"/>
  <c r="W416" i="1" s="1"/>
  <c r="U427" i="1"/>
  <c r="W427" i="1" s="1"/>
  <c r="T481" i="1"/>
  <c r="AG481" i="1" s="1"/>
  <c r="P499" i="1"/>
  <c r="R492" i="1"/>
  <c r="V492" i="1" s="1"/>
  <c r="Q492" i="1"/>
  <c r="X492" i="1" s="1"/>
  <c r="AD453" i="1"/>
  <c r="AA453" i="1"/>
  <c r="Z453" i="1"/>
  <c r="Q482" i="1"/>
  <c r="X482" i="1" s="1"/>
  <c r="AD403" i="1"/>
  <c r="AA403" i="1"/>
  <c r="Z403" i="1"/>
  <c r="R485" i="1"/>
  <c r="V485" i="1" s="1"/>
  <c r="U475" i="1"/>
  <c r="W475" i="1" s="1"/>
  <c r="Q477" i="1"/>
  <c r="X477" i="1" s="1"/>
  <c r="AA298" i="1"/>
  <c r="AD298" i="1"/>
  <c r="Z298" i="1"/>
  <c r="AD349" i="1"/>
  <c r="AA349" i="1"/>
  <c r="Z349" i="1"/>
  <c r="AD358" i="1"/>
  <c r="Z358" i="1"/>
  <c r="AA358" i="1"/>
  <c r="AA446" i="1"/>
  <c r="AD446" i="1"/>
  <c r="Z446" i="1"/>
  <c r="AA406" i="1"/>
  <c r="Z406" i="1"/>
  <c r="AD406" i="1"/>
  <c r="AD373" i="1"/>
  <c r="AA373" i="1"/>
  <c r="Z373" i="1"/>
  <c r="S495" i="1"/>
  <c r="Y495" i="1" s="1"/>
  <c r="AD457" i="1"/>
  <c r="Z457" i="1"/>
  <c r="AA457" i="1"/>
  <c r="P476" i="1"/>
  <c r="AA370" i="1"/>
  <c r="Z370" i="1"/>
  <c r="AD370" i="1"/>
  <c r="AD435" i="1"/>
  <c r="AA435" i="1"/>
  <c r="Z435" i="1"/>
  <c r="AA454" i="1"/>
  <c r="Z454" i="1"/>
  <c r="AD454" i="1"/>
  <c r="AD362" i="1"/>
  <c r="AA362" i="1"/>
  <c r="Z362" i="1"/>
  <c r="T493" i="1"/>
  <c r="AG493" i="1" s="1"/>
  <c r="AA396" i="1"/>
  <c r="AD396" i="1"/>
  <c r="Z396" i="1"/>
  <c r="U498" i="1"/>
  <c r="W498" i="1" s="1"/>
  <c r="R484" i="1"/>
  <c r="V484" i="1" s="1"/>
  <c r="R493" i="1"/>
  <c r="V493" i="1" s="1"/>
  <c r="AD341" i="1"/>
  <c r="Z341" i="1"/>
  <c r="AA341" i="1"/>
  <c r="Q493" i="1"/>
  <c r="X493" i="1" s="1"/>
  <c r="R449" i="1"/>
  <c r="V449" i="1" s="1"/>
  <c r="P425" i="1"/>
  <c r="P444" i="1"/>
  <c r="R497" i="1"/>
  <c r="V497" i="1" s="1"/>
  <c r="Z376" i="1"/>
  <c r="AA376" i="1"/>
  <c r="AD376" i="1"/>
  <c r="AD299" i="1"/>
  <c r="AA299" i="1"/>
  <c r="Z299" i="1"/>
  <c r="AD430" i="1"/>
  <c r="AA430" i="1"/>
  <c r="Z430" i="1"/>
  <c r="AD487" i="1"/>
  <c r="Z487" i="1"/>
  <c r="AA487" i="1"/>
  <c r="S492" i="1"/>
  <c r="Y492" i="1" s="1"/>
  <c r="AD489" i="1"/>
  <c r="AA489" i="1"/>
  <c r="Z489" i="1"/>
  <c r="AA420" i="1"/>
  <c r="Z420" i="1"/>
  <c r="AD420" i="1"/>
  <c r="P494" i="1"/>
  <c r="AD332" i="1"/>
  <c r="AA332" i="1"/>
  <c r="Z332" i="1"/>
  <c r="AD308" i="1"/>
  <c r="AA308" i="1"/>
  <c r="Z308" i="1"/>
  <c r="AA284" i="1"/>
  <c r="Z284" i="1"/>
  <c r="AD284" i="1"/>
  <c r="AA400" i="1"/>
  <c r="Z400" i="1"/>
  <c r="AD400" i="1"/>
  <c r="AA297" i="1"/>
  <c r="Z297" i="1"/>
  <c r="AD297" i="1"/>
  <c r="T492" i="1"/>
  <c r="AG492" i="1" s="1"/>
  <c r="AD256" i="1"/>
  <c r="Z256" i="1"/>
  <c r="AA256" i="1"/>
  <c r="AA277" i="1"/>
  <c r="AD277" i="1"/>
  <c r="Z277" i="1"/>
  <c r="U483" i="1"/>
  <c r="W483" i="1" s="1"/>
  <c r="Q474" i="1"/>
  <c r="X474" i="1" s="1"/>
  <c r="U492" i="1"/>
  <c r="W492" i="1" s="1"/>
  <c r="AA360" i="1"/>
  <c r="AD360" i="1"/>
  <c r="Z360" i="1"/>
  <c r="AD393" i="1"/>
  <c r="Z393" i="1"/>
  <c r="AA393" i="1"/>
  <c r="AA378" i="1"/>
  <c r="Z378" i="1"/>
  <c r="AD378" i="1"/>
  <c r="P481" i="1"/>
  <c r="AD459" i="1"/>
  <c r="Z459" i="1"/>
  <c r="AA459" i="1"/>
  <c r="P478" i="1"/>
  <c r="R477" i="1"/>
  <c r="V477" i="1" s="1"/>
  <c r="Z413" i="1"/>
  <c r="AD413" i="1"/>
  <c r="AA413" i="1"/>
  <c r="AA432" i="1"/>
  <c r="Z432" i="1"/>
  <c r="AD432" i="1"/>
  <c r="AA283" i="1"/>
  <c r="AD283" i="1"/>
  <c r="Z283" i="1"/>
  <c r="R480" i="1"/>
  <c r="V480" i="1" s="1"/>
  <c r="T494" i="1"/>
  <c r="AG494" i="1" s="1"/>
  <c r="R482" i="1"/>
  <c r="V482" i="1" s="1"/>
  <c r="T496" i="1"/>
  <c r="AG496" i="1" s="1"/>
  <c r="R491" i="1"/>
  <c r="V491" i="1" s="1"/>
  <c r="AA268" i="1"/>
  <c r="Z268" i="1"/>
  <c r="AD268" i="1"/>
  <c r="Z365" i="1"/>
  <c r="AA365" i="1"/>
  <c r="AD365" i="1"/>
  <c r="U486" i="1"/>
  <c r="W486" i="1" s="1"/>
  <c r="Q468" i="1"/>
  <c r="X468" i="1" s="1"/>
  <c r="P449" i="1"/>
  <c r="P468" i="1"/>
  <c r="Z258" i="1"/>
  <c r="AA258" i="1"/>
  <c r="AD258" i="1"/>
  <c r="AA263" i="1"/>
  <c r="AD263" i="1"/>
  <c r="Z263" i="1"/>
  <c r="Z338" i="1"/>
  <c r="AD338" i="1"/>
  <c r="AA338" i="1"/>
  <c r="AD439" i="1"/>
  <c r="Z439" i="1"/>
  <c r="AA439" i="1"/>
  <c r="T483" i="1"/>
  <c r="AG483" i="1" s="1"/>
  <c r="P496" i="1"/>
  <c r="AD281" i="1"/>
  <c r="AA281" i="1"/>
  <c r="Z281" i="1"/>
  <c r="S474" i="1"/>
  <c r="Y474" i="1" s="1"/>
  <c r="AA452" i="1"/>
  <c r="Z452" i="1"/>
  <c r="AD452" i="1"/>
  <c r="U493" i="1"/>
  <c r="W493" i="1" s="1"/>
  <c r="AA262" i="1"/>
  <c r="Z262" i="1"/>
  <c r="AD262" i="1"/>
  <c r="S479" i="1"/>
  <c r="Y479" i="1" s="1"/>
  <c r="Q498" i="1"/>
  <c r="X498" i="1" s="1"/>
  <c r="AA390" i="1"/>
  <c r="Z390" i="1"/>
  <c r="AD390" i="1"/>
  <c r="AA374" i="1"/>
  <c r="Z374" i="1"/>
  <c r="AD374" i="1"/>
  <c r="AA348" i="1"/>
  <c r="AD348" i="1"/>
  <c r="Z348" i="1"/>
  <c r="AA290" i="1"/>
  <c r="AD290" i="1"/>
  <c r="Z290" i="1"/>
  <c r="R496" i="1"/>
  <c r="V496" i="1" s="1"/>
  <c r="S476" i="1"/>
  <c r="Y476" i="1" s="1"/>
  <c r="T474" i="1"/>
  <c r="AG474" i="1" s="1"/>
  <c r="AD336" i="1"/>
  <c r="Z336" i="1"/>
  <c r="AA336" i="1"/>
  <c r="P483" i="1"/>
  <c r="Z437" i="1"/>
  <c r="AA437" i="1"/>
  <c r="AD437" i="1"/>
  <c r="AA456" i="1"/>
  <c r="Z456" i="1"/>
  <c r="AD456" i="1"/>
  <c r="R479" i="1"/>
  <c r="V479" i="1" s="1"/>
  <c r="S483" i="1"/>
  <c r="Y483" i="1" s="1"/>
  <c r="S496" i="1"/>
  <c r="Y496" i="1" s="1"/>
  <c r="R483" i="1"/>
  <c r="V483" i="1" s="1"/>
  <c r="Q480" i="1"/>
  <c r="X480" i="1" s="1"/>
  <c r="Z337" i="1"/>
  <c r="AD337" i="1"/>
  <c r="AA337" i="1"/>
  <c r="Z339" i="1"/>
  <c r="AD339" i="1"/>
  <c r="AA339" i="1"/>
  <c r="Q491" i="1"/>
  <c r="X491" i="1" s="1"/>
  <c r="AA313" i="1"/>
  <c r="AD313" i="1"/>
  <c r="Z313" i="1"/>
  <c r="AD389" i="1"/>
  <c r="Z389" i="1"/>
  <c r="AA389" i="1"/>
  <c r="Q500" i="1"/>
  <c r="X500" i="1" s="1"/>
  <c r="P473" i="1"/>
  <c r="P492" i="1"/>
  <c r="P474" i="1"/>
  <c r="Q484" i="1"/>
  <c r="X484" i="1" s="1"/>
  <c r="T499" i="1"/>
  <c r="AG499" i="1" s="1"/>
  <c r="AA347" i="1"/>
  <c r="Z347" i="1"/>
  <c r="AD347" i="1"/>
  <c r="AD427" i="1"/>
  <c r="AA427" i="1"/>
  <c r="Z427" i="1"/>
  <c r="U494" i="1"/>
  <c r="W494" i="1" s="1"/>
  <c r="P479" i="1"/>
  <c r="Z301" i="1"/>
  <c r="AD301" i="1"/>
  <c r="AA301" i="1"/>
  <c r="AD448" i="1"/>
  <c r="AA448" i="1"/>
  <c r="Z448" i="1"/>
  <c r="AD433" i="1"/>
  <c r="Z433" i="1"/>
  <c r="AA433" i="1"/>
  <c r="U495" i="1"/>
  <c r="W495" i="1" s="1"/>
  <c r="AD300" i="1"/>
  <c r="Z300" i="1"/>
  <c r="AA300" i="1"/>
  <c r="R495" i="1"/>
  <c r="V495" i="1" s="1"/>
  <c r="Z285" i="1"/>
  <c r="AD285" i="1"/>
  <c r="AA285" i="1"/>
  <c r="AD325" i="1"/>
  <c r="AA325" i="1"/>
  <c r="Z325" i="1"/>
  <c r="AD288" i="1"/>
  <c r="Z288" i="1"/>
  <c r="AA288" i="1"/>
  <c r="S485" i="1"/>
  <c r="Y485" i="1" s="1"/>
  <c r="AA346" i="1"/>
  <c r="AD346" i="1"/>
  <c r="Z346" i="1"/>
  <c r="AD345" i="1"/>
  <c r="AA345" i="1"/>
  <c r="Z345" i="1"/>
  <c r="U477" i="1"/>
  <c r="W477" i="1" s="1"/>
  <c r="AD287" i="1"/>
  <c r="AA287" i="1"/>
  <c r="Z287" i="1"/>
  <c r="P500" i="1"/>
  <c r="AD397" i="1"/>
  <c r="AA397" i="1"/>
  <c r="Z397" i="1"/>
  <c r="U485" i="1"/>
  <c r="W485" i="1" s="1"/>
  <c r="AD282" i="1"/>
  <c r="Z282" i="1"/>
  <c r="AA282" i="1"/>
  <c r="AA260" i="1"/>
  <c r="Z260" i="1"/>
  <c r="AD260" i="1"/>
  <c r="AA286" i="1"/>
  <c r="AD286" i="1"/>
  <c r="Z286" i="1"/>
  <c r="AD319" i="1"/>
  <c r="Z319" i="1"/>
  <c r="AA319" i="1"/>
  <c r="AA267" i="1"/>
  <c r="Z267" i="1"/>
  <c r="AD267" i="1"/>
  <c r="Z407" i="1"/>
  <c r="AA407" i="1"/>
  <c r="AD407" i="1"/>
  <c r="T478" i="1"/>
  <c r="AG478" i="1" s="1"/>
  <c r="R474" i="1"/>
  <c r="V474" i="1" s="1"/>
  <c r="AA328" i="1"/>
  <c r="Z328" i="1"/>
  <c r="AD328" i="1"/>
  <c r="Z461" i="1"/>
  <c r="AD461" i="1"/>
  <c r="AA461" i="1"/>
  <c r="P480" i="1"/>
  <c r="AA333" i="1"/>
  <c r="Z333" i="1"/>
  <c r="AD333" i="1"/>
  <c r="Q485" i="1"/>
  <c r="X485" i="1" s="1"/>
  <c r="AD335" i="1"/>
  <c r="AA335" i="1"/>
  <c r="Z335" i="1"/>
  <c r="AA292" i="1"/>
  <c r="AD292" i="1"/>
  <c r="Z292" i="1"/>
  <c r="AD324" i="1"/>
  <c r="Z324" i="1"/>
  <c r="AA324" i="1"/>
  <c r="AD361" i="1"/>
  <c r="Z361" i="1"/>
  <c r="AA361" i="1"/>
  <c r="U482" i="1"/>
  <c r="W482" i="1" s="1"/>
  <c r="S475" i="1"/>
  <c r="Y475" i="1" s="1"/>
  <c r="AD326" i="1"/>
  <c r="Z326" i="1"/>
  <c r="AA326" i="1"/>
  <c r="AA363" i="1"/>
  <c r="Z363" i="1"/>
  <c r="AD363" i="1"/>
  <c r="U484" i="1"/>
  <c r="W484" i="1" s="1"/>
  <c r="AD330" i="1"/>
  <c r="Z330" i="1"/>
  <c r="AA330" i="1"/>
  <c r="T479" i="1"/>
  <c r="AG479" i="1" s="1"/>
  <c r="S417" i="1"/>
  <c r="Y417" i="1" s="1"/>
  <c r="P497" i="1"/>
  <c r="R442" i="1"/>
  <c r="V442" i="1" s="1"/>
  <c r="A11" i="1"/>
  <c r="AB10" i="1"/>
  <c r="AD312" i="1"/>
  <c r="Z312" i="1"/>
  <c r="AA312" i="1"/>
  <c r="S481" i="1"/>
  <c r="Y481" i="1" s="1"/>
  <c r="AA321" i="1"/>
  <c r="Z321" i="1"/>
  <c r="AD321" i="1"/>
  <c r="Z431" i="1"/>
  <c r="AA431" i="1"/>
  <c r="AD431" i="1"/>
  <c r="R476" i="1"/>
  <c r="V476" i="1" s="1"/>
  <c r="AD259" i="1"/>
  <c r="AA259" i="1"/>
  <c r="Z259" i="1"/>
  <c r="S478" i="1"/>
  <c r="Y478" i="1" s="1"/>
  <c r="P485" i="1"/>
  <c r="AD266" i="1"/>
  <c r="AA266" i="1"/>
  <c r="Z266" i="1"/>
  <c r="AA320" i="1"/>
  <c r="AD320" i="1"/>
  <c r="Z320" i="1"/>
  <c r="AA357" i="1"/>
  <c r="Z357" i="1"/>
  <c r="AD357" i="1"/>
  <c r="U478" i="1"/>
  <c r="W478" i="1" s="1"/>
  <c r="AA322" i="1"/>
  <c r="AD322" i="1"/>
  <c r="Z322" i="1"/>
  <c r="Z359" i="1"/>
  <c r="AD359" i="1"/>
  <c r="AA359" i="1"/>
  <c r="U480" i="1"/>
  <c r="W480" i="1" s="1"/>
  <c r="AD385" i="1"/>
  <c r="Z385" i="1"/>
  <c r="AA385" i="1"/>
  <c r="AD387" i="1"/>
  <c r="AA387" i="1"/>
  <c r="Z387" i="1"/>
  <c r="U499" i="1"/>
  <c r="W499" i="1" s="1"/>
  <c r="T452" i="1"/>
  <c r="AG452" i="1" s="1"/>
  <c r="Q458" i="1"/>
  <c r="X458" i="1" s="1"/>
  <c r="U471" i="1"/>
  <c r="W471" i="1" s="1"/>
  <c r="AD418" i="1"/>
  <c r="Z418" i="1"/>
  <c r="AA418" i="1"/>
  <c r="Z309" i="1"/>
  <c r="AA309" i="1"/>
  <c r="AD309" i="1"/>
  <c r="S392" i="1"/>
  <c r="Y392" i="1" s="1"/>
  <c r="T398" i="1"/>
  <c r="AG398" i="1" s="1"/>
  <c r="T462" i="1"/>
  <c r="AG462" i="1" s="1"/>
  <c r="Q423" i="1"/>
  <c r="X423" i="1" s="1"/>
  <c r="R466" i="1"/>
  <c r="V466" i="1" s="1"/>
  <c r="AA474" i="1" l="1"/>
  <c r="Z474" i="1"/>
  <c r="AD474" i="1"/>
  <c r="AA496" i="1"/>
  <c r="Z496" i="1"/>
  <c r="AD496" i="1"/>
  <c r="AD493" i="1"/>
  <c r="AA493" i="1"/>
  <c r="Z493" i="1"/>
  <c r="AD484" i="1"/>
  <c r="AA484" i="1"/>
  <c r="Z484" i="1"/>
  <c r="AD477" i="1"/>
  <c r="Z477" i="1"/>
  <c r="AA477" i="1"/>
  <c r="AA498" i="1"/>
  <c r="Z498" i="1"/>
  <c r="AD498" i="1"/>
  <c r="Z479" i="1"/>
  <c r="AD479" i="1"/>
  <c r="AA479" i="1"/>
  <c r="Z473" i="1"/>
  <c r="AA473" i="1"/>
  <c r="AD473" i="1"/>
  <c r="AA468" i="1"/>
  <c r="Z468" i="1"/>
  <c r="AD468" i="1"/>
  <c r="AD447" i="1"/>
  <c r="AA447" i="1"/>
  <c r="Z447" i="1"/>
  <c r="AA500" i="1"/>
  <c r="AD500" i="1"/>
  <c r="Z500" i="1"/>
  <c r="Z449" i="1"/>
  <c r="AA449" i="1"/>
  <c r="AD449" i="1"/>
  <c r="AA478" i="1"/>
  <c r="Z478" i="1"/>
  <c r="AD478" i="1"/>
  <c r="AA444" i="1"/>
  <c r="Z444" i="1"/>
  <c r="AD444" i="1"/>
  <c r="Z497" i="1"/>
  <c r="AD497" i="1"/>
  <c r="AA497" i="1"/>
  <c r="AD483" i="1"/>
  <c r="AA483" i="1"/>
  <c r="Z483" i="1"/>
  <c r="Z425" i="1"/>
  <c r="AD425" i="1"/>
  <c r="AA425" i="1"/>
  <c r="AD499" i="1"/>
  <c r="AA499" i="1"/>
  <c r="Z499" i="1"/>
  <c r="Z491" i="1"/>
  <c r="AA491" i="1"/>
  <c r="AD491" i="1"/>
  <c r="AA482" i="1"/>
  <c r="AD482" i="1"/>
  <c r="Z482" i="1"/>
  <c r="AB11" i="1"/>
  <c r="A12" i="1"/>
  <c r="AA476" i="1"/>
  <c r="Z476" i="1"/>
  <c r="AD476" i="1"/>
  <c r="AD495" i="1"/>
  <c r="Z495" i="1"/>
  <c r="AA495" i="1"/>
  <c r="AA494" i="1"/>
  <c r="Z494" i="1"/>
  <c r="AD494" i="1"/>
  <c r="AD466" i="1"/>
  <c r="AA466" i="1"/>
  <c r="Z466" i="1"/>
  <c r="Z485" i="1"/>
  <c r="AD485" i="1"/>
  <c r="AA485" i="1"/>
  <c r="AD481" i="1"/>
  <c r="AA481" i="1"/>
  <c r="Z481" i="1"/>
  <c r="AA492" i="1"/>
  <c r="Z492" i="1"/>
  <c r="AD492" i="1"/>
  <c r="AA480" i="1"/>
  <c r="Z480" i="1"/>
  <c r="AD480" i="1"/>
  <c r="AD475" i="1"/>
  <c r="AA475" i="1"/>
  <c r="Z475" i="1"/>
  <c r="A13" i="1" l="1"/>
  <c r="AB12" i="1"/>
  <c r="A14" i="1" l="1"/>
  <c r="AB13" i="1"/>
  <c r="A15" i="1" l="1"/>
  <c r="AB14" i="1"/>
  <c r="AB15" i="1" l="1"/>
  <c r="A16" i="1"/>
  <c r="AB16" i="1" l="1"/>
  <c r="A17" i="1"/>
  <c r="A18" i="1" l="1"/>
  <c r="AB17" i="1"/>
  <c r="A19" i="1" l="1"/>
  <c r="AB18" i="1"/>
  <c r="A20" i="1" l="1"/>
  <c r="AB19" i="1"/>
  <c r="A21" i="1" l="1"/>
  <c r="AB20" i="1"/>
  <c r="AB21" i="1" l="1"/>
  <c r="A22" i="1"/>
  <c r="AB22" i="1" l="1"/>
  <c r="A23" i="1"/>
  <c r="AB23" i="1" l="1"/>
  <c r="A24" i="1"/>
  <c r="A25" i="1" l="1"/>
  <c r="AB24" i="1"/>
  <c r="A26" i="1" l="1"/>
  <c r="AB25" i="1"/>
  <c r="A27" i="1" l="1"/>
  <c r="AB26" i="1"/>
  <c r="AB27" i="1" l="1"/>
  <c r="A28" i="1"/>
  <c r="AB28" i="1" l="1"/>
  <c r="A29" i="1"/>
  <c r="A30" i="1" l="1"/>
  <c r="AB29" i="1"/>
  <c r="AB30" i="1" l="1"/>
  <c r="A31" i="1"/>
  <c r="A32" i="1" l="1"/>
  <c r="AB31" i="1"/>
  <c r="AB32" i="1" l="1"/>
  <c r="A33" i="1"/>
  <c r="AB33" i="1" l="1"/>
  <c r="A34" i="1"/>
  <c r="A35" i="1" l="1"/>
  <c r="AB34" i="1"/>
  <c r="AB35" i="1" l="1"/>
  <c r="A36" i="1"/>
  <c r="A37" i="1" l="1"/>
  <c r="AB36" i="1"/>
  <c r="A38" i="1" l="1"/>
  <c r="AB37" i="1"/>
  <c r="A39" i="1" l="1"/>
  <c r="AB38" i="1"/>
  <c r="AB39" i="1" l="1"/>
  <c r="A40" i="1"/>
  <c r="AB40" i="1" l="1"/>
  <c r="A41" i="1"/>
  <c r="A42" i="1" l="1"/>
  <c r="AB41" i="1"/>
  <c r="A43" i="1" l="1"/>
  <c r="AB42" i="1"/>
  <c r="A44" i="1" l="1"/>
  <c r="AB43" i="1"/>
  <c r="A45" i="1" l="1"/>
  <c r="AB44" i="1"/>
  <c r="AB45" i="1" l="1"/>
  <c r="A46" i="1"/>
  <c r="AB46" i="1" l="1"/>
  <c r="A47" i="1"/>
  <c r="AB47" i="1" l="1"/>
  <c r="A48" i="1"/>
  <c r="A49" i="1" l="1"/>
  <c r="AB48" i="1"/>
  <c r="A50" i="1" l="1"/>
  <c r="AB49" i="1"/>
  <c r="A51" i="1" l="1"/>
  <c r="AB50" i="1"/>
  <c r="AB51" i="1" l="1"/>
  <c r="A52" i="1"/>
  <c r="AB52" i="1" l="1"/>
  <c r="A53" i="1"/>
  <c r="A54" i="1" l="1"/>
  <c r="AB53" i="1"/>
  <c r="AB54" i="1" l="1"/>
  <c r="A55" i="1"/>
  <c r="A56" i="1" l="1"/>
  <c r="AB55" i="1"/>
  <c r="A57" i="1" l="1"/>
  <c r="AB56" i="1"/>
  <c r="AB57" i="1" l="1"/>
  <c r="A58" i="1"/>
  <c r="A59" i="1" l="1"/>
  <c r="AB58" i="1"/>
  <c r="AB59" i="1" l="1"/>
  <c r="A60" i="1"/>
  <c r="A61" i="1" l="1"/>
  <c r="AB60" i="1"/>
  <c r="A62" i="1" l="1"/>
  <c r="AB61" i="1"/>
  <c r="A63" i="1" l="1"/>
  <c r="AB62" i="1"/>
  <c r="AB63" i="1" l="1"/>
  <c r="A64" i="1"/>
  <c r="AB64" i="1" l="1"/>
  <c r="A65" i="1"/>
  <c r="A66" i="1" l="1"/>
  <c r="AB65" i="1"/>
  <c r="A67" i="1" l="1"/>
  <c r="AB66" i="1"/>
  <c r="A68" i="1" l="1"/>
  <c r="AB67" i="1"/>
  <c r="A69" i="1" l="1"/>
  <c r="AB68" i="1"/>
  <c r="AB69" i="1" l="1"/>
  <c r="A70" i="1"/>
  <c r="AB70" i="1" l="1"/>
  <c r="A71" i="1"/>
  <c r="AB71" i="1" l="1"/>
  <c r="A72" i="1"/>
  <c r="A73" i="1" l="1"/>
  <c r="AB72" i="1"/>
  <c r="A74" i="1" l="1"/>
  <c r="AB73" i="1"/>
  <c r="A75" i="1" l="1"/>
  <c r="AB74" i="1"/>
  <c r="AB75" i="1" l="1"/>
  <c r="A76" i="1"/>
  <c r="AB76" i="1" l="1"/>
  <c r="A77" i="1"/>
  <c r="A78" i="1" l="1"/>
  <c r="AB77" i="1"/>
  <c r="AB78" i="1" l="1"/>
  <c r="A79" i="1"/>
  <c r="A80" i="1" l="1"/>
  <c r="AB79" i="1"/>
  <c r="AB80" i="1" l="1"/>
  <c r="A81" i="1"/>
  <c r="AB81" i="1" l="1"/>
  <c r="A82" i="1"/>
  <c r="A83" i="1" l="1"/>
  <c r="AB82" i="1"/>
  <c r="AB83" i="1" l="1"/>
  <c r="A84" i="1"/>
  <c r="A85" i="1" l="1"/>
  <c r="AB84" i="1"/>
  <c r="A86" i="1" l="1"/>
  <c r="AB85" i="1"/>
  <c r="A87" i="1" l="1"/>
  <c r="AB86" i="1"/>
  <c r="AB87" i="1" l="1"/>
  <c r="A88" i="1"/>
  <c r="AB88" i="1" l="1"/>
  <c r="A89" i="1"/>
  <c r="A90" i="1" l="1"/>
  <c r="AB89" i="1"/>
  <c r="A91" i="1" l="1"/>
  <c r="AB90" i="1"/>
  <c r="A92" i="1" l="1"/>
  <c r="AB91" i="1"/>
  <c r="A93" i="1" l="1"/>
  <c r="AB92" i="1"/>
  <c r="AB93" i="1" l="1"/>
  <c r="A94" i="1"/>
  <c r="AB94" i="1" l="1"/>
  <c r="A95" i="1"/>
  <c r="AB95" i="1" l="1"/>
  <c r="A96" i="1"/>
  <c r="A97" i="1" l="1"/>
  <c r="AB96" i="1"/>
  <c r="A98" i="1" l="1"/>
  <c r="AB97" i="1"/>
  <c r="A99" i="1" l="1"/>
  <c r="AB98" i="1"/>
  <c r="AB99" i="1" l="1"/>
  <c r="A100" i="1"/>
  <c r="AB100" i="1" l="1"/>
  <c r="A101" i="1"/>
  <c r="A102" i="1" l="1"/>
  <c r="AB101" i="1"/>
  <c r="AB102" i="1" l="1"/>
  <c r="A103" i="1"/>
  <c r="A104" i="1" l="1"/>
  <c r="AB103" i="1"/>
  <c r="A105" i="1" l="1"/>
  <c r="AB104" i="1"/>
  <c r="AB105" i="1" l="1"/>
  <c r="A106" i="1"/>
  <c r="A107" i="1" l="1"/>
  <c r="AB106" i="1"/>
  <c r="AB107" i="1" l="1"/>
  <c r="A108" i="1"/>
  <c r="A109" i="1" l="1"/>
  <c r="AB108" i="1"/>
  <c r="A110" i="1" l="1"/>
  <c r="AB109" i="1"/>
  <c r="A111" i="1" l="1"/>
  <c r="AB110" i="1"/>
  <c r="AB111" i="1" l="1"/>
  <c r="A112" i="1"/>
  <c r="AB112" i="1" l="1"/>
  <c r="A113" i="1"/>
  <c r="A114" i="1" l="1"/>
  <c r="AB113" i="1"/>
  <c r="A115" i="1" l="1"/>
  <c r="AB114" i="1"/>
  <c r="A116" i="1" l="1"/>
  <c r="AB115" i="1"/>
  <c r="A117" i="1" l="1"/>
  <c r="AB116" i="1"/>
  <c r="AB117" i="1" l="1"/>
  <c r="A118" i="1"/>
  <c r="AB118" i="1" l="1"/>
  <c r="A119" i="1"/>
  <c r="AB119" i="1" l="1"/>
  <c r="A120" i="1"/>
  <c r="A121" i="1" l="1"/>
  <c r="AB120" i="1"/>
  <c r="A122" i="1" l="1"/>
  <c r="AB121" i="1"/>
  <c r="A123" i="1" l="1"/>
  <c r="AB122" i="1"/>
  <c r="AB123" i="1" l="1"/>
  <c r="A124" i="1"/>
  <c r="AB124" i="1" l="1"/>
  <c r="A125" i="1"/>
  <c r="A126" i="1" l="1"/>
  <c r="AB125" i="1"/>
  <c r="AB126" i="1" l="1"/>
  <c r="A127" i="1"/>
  <c r="A128" i="1" l="1"/>
  <c r="AB127" i="1"/>
  <c r="AB128" i="1" l="1"/>
  <c r="A129" i="1"/>
  <c r="AB129" i="1" l="1"/>
  <c r="A130" i="1"/>
  <c r="A131" i="1" l="1"/>
  <c r="AB130" i="1"/>
  <c r="AB131" i="1" l="1"/>
  <c r="A132" i="1"/>
  <c r="A133" i="1" l="1"/>
  <c r="AB132" i="1"/>
  <c r="A134" i="1" l="1"/>
  <c r="AB133" i="1"/>
  <c r="A135" i="1" l="1"/>
  <c r="AB134" i="1"/>
  <c r="AB135" i="1" l="1"/>
  <c r="A136" i="1"/>
  <c r="AB136" i="1" l="1"/>
  <c r="A137" i="1"/>
  <c r="A138" i="1" l="1"/>
  <c r="AB137" i="1"/>
  <c r="A139" i="1" l="1"/>
  <c r="AB138" i="1"/>
  <c r="A140" i="1" l="1"/>
  <c r="AB139" i="1"/>
  <c r="AB140" i="1" l="1"/>
  <c r="A141" i="1"/>
  <c r="AB141" i="1" l="1"/>
  <c r="A142" i="1"/>
  <c r="AB142" i="1" l="1"/>
  <c r="A143" i="1"/>
  <c r="AB143" i="1" l="1"/>
  <c r="A144" i="1"/>
  <c r="A145" i="1" l="1"/>
  <c r="AB144" i="1"/>
  <c r="A146" i="1" l="1"/>
  <c r="AB145" i="1"/>
  <c r="A147" i="1" l="1"/>
  <c r="AB146" i="1"/>
  <c r="AB147" i="1" l="1"/>
  <c r="A148" i="1"/>
  <c r="AB148" i="1" l="1"/>
  <c r="A149" i="1"/>
  <c r="A150" i="1" l="1"/>
  <c r="AB149" i="1"/>
  <c r="AB150" i="1" l="1"/>
  <c r="A151" i="1"/>
  <c r="A152" i="1" l="1"/>
  <c r="AB151" i="1"/>
  <c r="A153" i="1" l="1"/>
  <c r="AB152" i="1"/>
  <c r="AB153" i="1" l="1"/>
  <c r="A154" i="1"/>
  <c r="A155" i="1" l="1"/>
  <c r="AB154" i="1"/>
  <c r="AB155" i="1" l="1"/>
  <c r="A156" i="1"/>
  <c r="A157" i="1" l="1"/>
  <c r="AB156" i="1"/>
  <c r="A158" i="1" l="1"/>
  <c r="AB157" i="1"/>
  <c r="A159" i="1" l="1"/>
  <c r="AB158" i="1"/>
  <c r="AB159" i="1" l="1"/>
  <c r="A160" i="1"/>
  <c r="AB160" i="1" l="1"/>
  <c r="A161" i="1"/>
  <c r="A162" i="1" l="1"/>
  <c r="AB161" i="1"/>
  <c r="A163" i="1" l="1"/>
  <c r="AB162" i="1"/>
  <c r="A164" i="1" l="1"/>
  <c r="AB163" i="1"/>
  <c r="A165" i="1" l="1"/>
  <c r="AB164" i="1"/>
  <c r="AB165" i="1" l="1"/>
  <c r="A166" i="1"/>
  <c r="AB166" i="1" l="1"/>
  <c r="A167" i="1"/>
  <c r="AB167" i="1" l="1"/>
  <c r="A168" i="1"/>
  <c r="A169" i="1" l="1"/>
  <c r="AB168" i="1"/>
  <c r="A170" i="1" l="1"/>
  <c r="AB169" i="1"/>
  <c r="A171" i="1" l="1"/>
  <c r="AB170" i="1"/>
  <c r="AB171" i="1" l="1"/>
  <c r="A172" i="1"/>
  <c r="AB172" i="1" l="1"/>
  <c r="A173" i="1"/>
  <c r="A174" i="1" l="1"/>
  <c r="AB173" i="1"/>
  <c r="AB174" i="1" l="1"/>
  <c r="A175" i="1"/>
  <c r="A176" i="1" l="1"/>
  <c r="AB175" i="1"/>
  <c r="AB176" i="1" l="1"/>
  <c r="A177" i="1"/>
  <c r="AB177" i="1" l="1"/>
  <c r="A178" i="1"/>
  <c r="A179" i="1" l="1"/>
  <c r="AB178" i="1"/>
  <c r="AB179" i="1" l="1"/>
  <c r="A180" i="1"/>
  <c r="A181" i="1" l="1"/>
  <c r="AB180" i="1"/>
  <c r="A182" i="1" l="1"/>
  <c r="AB181" i="1"/>
  <c r="A183" i="1" l="1"/>
  <c r="AB182" i="1"/>
  <c r="AB183" i="1" l="1"/>
  <c r="A184" i="1"/>
  <c r="AB184" i="1" l="1"/>
  <c r="A185" i="1"/>
  <c r="A186" i="1" l="1"/>
  <c r="AB185" i="1"/>
  <c r="A187" i="1" l="1"/>
  <c r="AB186" i="1"/>
  <c r="A188" i="1" l="1"/>
  <c r="AB187" i="1"/>
  <c r="AB188" i="1" l="1"/>
  <c r="A189" i="1"/>
  <c r="AB189" i="1" l="1"/>
  <c r="A190" i="1"/>
  <c r="AB190" i="1" l="1"/>
  <c r="A191" i="1"/>
  <c r="AB191" i="1" l="1"/>
  <c r="A192" i="1"/>
  <c r="A193" i="1" l="1"/>
  <c r="AB192" i="1"/>
  <c r="A194" i="1" l="1"/>
  <c r="AB193" i="1"/>
  <c r="A195" i="1" l="1"/>
  <c r="AB194" i="1"/>
  <c r="AB195" i="1" l="1"/>
  <c r="A196" i="1"/>
  <c r="AB196" i="1" l="1"/>
  <c r="A197" i="1"/>
  <c r="A198" i="1" l="1"/>
  <c r="AB197" i="1"/>
  <c r="AB198" i="1" l="1"/>
  <c r="A199" i="1"/>
  <c r="A200" i="1" l="1"/>
  <c r="AB199" i="1"/>
  <c r="A201" i="1" l="1"/>
  <c r="AB200" i="1"/>
  <c r="AB201" i="1" l="1"/>
  <c r="A202" i="1"/>
  <c r="A203" i="1" l="1"/>
  <c r="AB202" i="1"/>
  <c r="AB203" i="1" l="1"/>
  <c r="A204" i="1"/>
  <c r="A205" i="1" l="1"/>
  <c r="AB204" i="1"/>
  <c r="A206" i="1" l="1"/>
  <c r="AB205" i="1"/>
  <c r="A207" i="1" l="1"/>
  <c r="AB206" i="1"/>
  <c r="AB207" i="1" l="1"/>
  <c r="A208" i="1"/>
  <c r="AB208" i="1" l="1"/>
  <c r="A209" i="1"/>
  <c r="A210" i="1" l="1"/>
  <c r="AB209" i="1"/>
  <c r="A211" i="1" l="1"/>
  <c r="AB210" i="1"/>
  <c r="A212" i="1" l="1"/>
  <c r="AB211" i="1"/>
  <c r="A213" i="1" l="1"/>
  <c r="AB212" i="1"/>
  <c r="AB213" i="1" l="1"/>
  <c r="A214" i="1"/>
  <c r="AB214" i="1" l="1"/>
  <c r="A215" i="1"/>
  <c r="AB215" i="1" l="1"/>
  <c r="A216" i="1"/>
  <c r="A217" i="1" l="1"/>
  <c r="AB216" i="1"/>
  <c r="A218" i="1" l="1"/>
  <c r="AB217" i="1"/>
  <c r="A219" i="1" l="1"/>
  <c r="AB218" i="1"/>
  <c r="AB219" i="1" l="1"/>
  <c r="A220" i="1"/>
  <c r="AB220" i="1" l="1"/>
  <c r="A221" i="1"/>
  <c r="A222" i="1" l="1"/>
  <c r="AB221" i="1"/>
  <c r="AB222" i="1" l="1"/>
  <c r="A223" i="1"/>
  <c r="A224" i="1" l="1"/>
  <c r="AB223" i="1"/>
  <c r="AB224" i="1" l="1"/>
  <c r="A225" i="1"/>
  <c r="AB225" i="1" l="1"/>
  <c r="A226" i="1"/>
  <c r="A227" i="1" l="1"/>
  <c r="AB226" i="1"/>
  <c r="AB227" i="1" l="1"/>
  <c r="A228" i="1"/>
  <c r="A229" i="1" l="1"/>
  <c r="AB228" i="1"/>
  <c r="A230" i="1" l="1"/>
  <c r="AB229" i="1"/>
  <c r="A231" i="1" l="1"/>
  <c r="AB230" i="1"/>
  <c r="AB231" i="1" l="1"/>
  <c r="A232" i="1"/>
  <c r="AB232" i="1" l="1"/>
  <c r="A233" i="1"/>
  <c r="A234" i="1" l="1"/>
  <c r="AB233" i="1"/>
  <c r="A235" i="1" l="1"/>
  <c r="AB234" i="1"/>
  <c r="A236" i="1" l="1"/>
  <c r="AB235" i="1"/>
  <c r="AB236" i="1" l="1"/>
  <c r="A237" i="1"/>
  <c r="AB237" i="1" l="1"/>
  <c r="A238" i="1"/>
  <c r="AB238" i="1" l="1"/>
  <c r="A239" i="1"/>
  <c r="AB239" i="1" l="1"/>
  <c r="A240" i="1"/>
  <c r="A241" i="1" l="1"/>
  <c r="AB240" i="1"/>
  <c r="A242" i="1" l="1"/>
  <c r="AB241" i="1"/>
  <c r="A243" i="1" l="1"/>
  <c r="AB242" i="1"/>
  <c r="AB243" i="1" l="1"/>
  <c r="A244" i="1"/>
  <c r="AB244" i="1" l="1"/>
  <c r="A245" i="1"/>
  <c r="A246" i="1" l="1"/>
  <c r="AB245" i="1"/>
  <c r="AB246" i="1" l="1"/>
  <c r="A247" i="1"/>
  <c r="A248" i="1" l="1"/>
  <c r="AB247" i="1"/>
  <c r="A249" i="1" l="1"/>
  <c r="AB248" i="1"/>
  <c r="AB249" i="1" l="1"/>
  <c r="A250" i="1"/>
  <c r="A251" i="1" l="1"/>
  <c r="AB250" i="1"/>
  <c r="AB251" i="1" l="1"/>
  <c r="A252" i="1"/>
  <c r="A253" i="1" l="1"/>
  <c r="AB252" i="1"/>
  <c r="A254" i="1" l="1"/>
  <c r="AB253" i="1"/>
  <c r="A255" i="1" l="1"/>
  <c r="AB254" i="1"/>
  <c r="AB255" i="1" l="1"/>
  <c r="A256" i="1"/>
  <c r="AB256" i="1" l="1"/>
  <c r="A257" i="1"/>
  <c r="A258" i="1" l="1"/>
  <c r="AB257" i="1"/>
  <c r="A259" i="1" l="1"/>
  <c r="AB258" i="1"/>
  <c r="A260" i="1" l="1"/>
  <c r="AB259" i="1"/>
  <c r="A261" i="1" l="1"/>
  <c r="AB260" i="1"/>
  <c r="AB261" i="1" l="1"/>
  <c r="A262" i="1"/>
  <c r="AB262" i="1" l="1"/>
  <c r="A263" i="1"/>
  <c r="AB263" i="1" l="1"/>
  <c r="A264" i="1"/>
  <c r="A265" i="1" l="1"/>
  <c r="AB264" i="1"/>
  <c r="A266" i="1" l="1"/>
  <c r="AB265" i="1"/>
  <c r="A267" i="1" l="1"/>
  <c r="AB266" i="1"/>
  <c r="AB267" i="1" l="1"/>
  <c r="A268" i="1"/>
  <c r="AB268" i="1" l="1"/>
  <c r="A269" i="1"/>
  <c r="A270" i="1" l="1"/>
  <c r="AB269" i="1"/>
  <c r="AB270" i="1" l="1"/>
  <c r="A271" i="1"/>
  <c r="A272" i="1" l="1"/>
  <c r="AB271" i="1"/>
  <c r="AB272" i="1" l="1"/>
  <c r="A273" i="1"/>
  <c r="AB273" i="1" l="1"/>
  <c r="A274" i="1"/>
  <c r="A275" i="1" l="1"/>
  <c r="AB274" i="1"/>
  <c r="AB275" i="1" l="1"/>
  <c r="A276" i="1"/>
  <c r="A277" i="1" l="1"/>
  <c r="AB276" i="1"/>
  <c r="A278" i="1" l="1"/>
  <c r="AB277" i="1"/>
  <c r="A279" i="1" l="1"/>
  <c r="AB278" i="1"/>
  <c r="AB279" i="1" l="1"/>
  <c r="A280" i="1"/>
  <c r="AB280" i="1" l="1"/>
  <c r="A281" i="1"/>
  <c r="A282" i="1" l="1"/>
  <c r="AB281" i="1"/>
  <c r="A283" i="1" l="1"/>
  <c r="AB282" i="1"/>
  <c r="A284" i="1" l="1"/>
  <c r="AB283" i="1"/>
  <c r="AB284" i="1" l="1"/>
  <c r="A285" i="1"/>
  <c r="AB285" i="1" l="1"/>
  <c r="A286" i="1"/>
  <c r="AB286" i="1" l="1"/>
  <c r="A287" i="1"/>
  <c r="AB287" i="1" l="1"/>
  <c r="A288" i="1"/>
  <c r="A289" i="1" l="1"/>
  <c r="AB288" i="1"/>
  <c r="A290" i="1" l="1"/>
  <c r="AB289" i="1"/>
  <c r="A291" i="1" l="1"/>
  <c r="AB290" i="1"/>
  <c r="AB291" i="1" l="1"/>
  <c r="A292" i="1"/>
  <c r="AB292" i="1" l="1"/>
  <c r="A293" i="1"/>
  <c r="A294" i="1" l="1"/>
  <c r="AB293" i="1"/>
  <c r="AB294" i="1" l="1"/>
  <c r="A295" i="1"/>
  <c r="A296" i="1" l="1"/>
  <c r="AB295" i="1"/>
  <c r="A297" i="1" l="1"/>
  <c r="AB296" i="1"/>
  <c r="AB297" i="1" l="1"/>
  <c r="A298" i="1"/>
  <c r="A299" i="1" l="1"/>
  <c r="AB298" i="1"/>
  <c r="AB299" i="1" l="1"/>
  <c r="A300" i="1"/>
  <c r="A301" i="1" l="1"/>
  <c r="AB300" i="1"/>
  <c r="A302" i="1" l="1"/>
  <c r="AB301" i="1"/>
  <c r="A303" i="1" l="1"/>
  <c r="AB302" i="1"/>
  <c r="AB303" i="1" l="1"/>
  <c r="A304" i="1"/>
  <c r="AB304" i="1" l="1"/>
  <c r="A305" i="1"/>
  <c r="A306" i="1" l="1"/>
  <c r="AB305" i="1"/>
  <c r="A307" i="1" l="1"/>
  <c r="AB306" i="1"/>
  <c r="A308" i="1" l="1"/>
  <c r="AB307" i="1"/>
  <c r="A309" i="1" l="1"/>
  <c r="AB308" i="1"/>
  <c r="AB309" i="1" l="1"/>
  <c r="A310" i="1"/>
  <c r="AB310" i="1" l="1"/>
  <c r="A311" i="1"/>
  <c r="AB311" i="1" l="1"/>
  <c r="A312" i="1"/>
  <c r="A313" i="1" l="1"/>
  <c r="AB312" i="1"/>
  <c r="A314" i="1" l="1"/>
  <c r="AB313" i="1"/>
  <c r="A315" i="1" l="1"/>
  <c r="AB314" i="1"/>
  <c r="AB315" i="1" l="1"/>
  <c r="A316" i="1"/>
  <c r="AB316" i="1" l="1"/>
  <c r="A317" i="1"/>
  <c r="A318" i="1" l="1"/>
  <c r="AB317" i="1"/>
  <c r="AB318" i="1" l="1"/>
  <c r="A319" i="1"/>
  <c r="A320" i="1" l="1"/>
  <c r="AB319" i="1"/>
  <c r="AB320" i="1" l="1"/>
  <c r="A321" i="1"/>
  <c r="AB321" i="1" l="1"/>
  <c r="A322" i="1"/>
  <c r="A323" i="1" l="1"/>
  <c r="AB322" i="1"/>
  <c r="AB323" i="1" l="1"/>
  <c r="A324" i="1"/>
  <c r="A325" i="1" l="1"/>
  <c r="AB324" i="1"/>
  <c r="A326" i="1" l="1"/>
  <c r="AB325" i="1"/>
  <c r="A327" i="1" l="1"/>
  <c r="AB326" i="1"/>
  <c r="AB327" i="1" l="1"/>
  <c r="A328" i="1"/>
  <c r="AB328" i="1" l="1"/>
  <c r="A329" i="1"/>
  <c r="A330" i="1" l="1"/>
  <c r="AB329" i="1"/>
  <c r="A331" i="1" l="1"/>
  <c r="AB330" i="1"/>
  <c r="A332" i="1" l="1"/>
  <c r="AB331" i="1"/>
  <c r="AB332" i="1" l="1"/>
  <c r="A333" i="1"/>
  <c r="AB333" i="1" l="1"/>
  <c r="A334" i="1"/>
  <c r="AB334" i="1" l="1"/>
  <c r="A335" i="1"/>
  <c r="AB335" i="1" l="1"/>
  <c r="A336" i="1"/>
  <c r="A337" i="1" l="1"/>
  <c r="AB336" i="1"/>
  <c r="A338" i="1" l="1"/>
  <c r="AB337" i="1"/>
  <c r="A339" i="1" l="1"/>
  <c r="AB338" i="1"/>
  <c r="AB339" i="1" l="1"/>
  <c r="A340" i="1"/>
  <c r="AB340" i="1" l="1"/>
  <c r="A341" i="1"/>
  <c r="A342" i="1" l="1"/>
  <c r="AB341" i="1"/>
  <c r="AB342" i="1" l="1"/>
  <c r="A343" i="1"/>
  <c r="A344" i="1" l="1"/>
  <c r="AB343" i="1"/>
  <c r="A345" i="1" l="1"/>
  <c r="AB344" i="1"/>
  <c r="AB345" i="1" l="1"/>
  <c r="A346" i="1"/>
  <c r="A347" i="1" l="1"/>
  <c r="AB346" i="1"/>
  <c r="AB347" i="1" l="1"/>
  <c r="A348" i="1"/>
  <c r="A349" i="1" l="1"/>
  <c r="AB348" i="1"/>
  <c r="A350" i="1" l="1"/>
  <c r="AB349" i="1"/>
  <c r="A351" i="1" l="1"/>
  <c r="AB350" i="1"/>
  <c r="AB351" i="1" l="1"/>
  <c r="A352" i="1"/>
  <c r="AB352" i="1" l="1"/>
  <c r="A353" i="1"/>
  <c r="A354" i="1" l="1"/>
  <c r="AB353" i="1"/>
  <c r="A355" i="1" l="1"/>
  <c r="AB354" i="1"/>
  <c r="A356" i="1" l="1"/>
  <c r="AB355" i="1"/>
  <c r="A357" i="1" l="1"/>
  <c r="AB356" i="1"/>
  <c r="AB357" i="1" l="1"/>
  <c r="A358" i="1"/>
  <c r="AB358" i="1" l="1"/>
  <c r="A359" i="1"/>
  <c r="AB359" i="1" l="1"/>
  <c r="A360" i="1"/>
  <c r="A361" i="1" l="1"/>
  <c r="AB360" i="1"/>
  <c r="A362" i="1" l="1"/>
  <c r="AB361" i="1"/>
  <c r="A363" i="1" l="1"/>
  <c r="AB362" i="1"/>
  <c r="AB363" i="1" l="1"/>
  <c r="A364" i="1"/>
  <c r="AB364" i="1" l="1"/>
  <c r="A365" i="1"/>
  <c r="A366" i="1" l="1"/>
  <c r="AB365" i="1"/>
  <c r="AB366" i="1" l="1"/>
  <c r="A367" i="1"/>
  <c r="A368" i="1" l="1"/>
  <c r="AB367" i="1"/>
  <c r="AB368" i="1" l="1"/>
  <c r="A369" i="1"/>
  <c r="AB369" i="1" l="1"/>
  <c r="A370" i="1"/>
  <c r="A371" i="1" l="1"/>
  <c r="AB370" i="1"/>
  <c r="AB371" i="1" l="1"/>
  <c r="A372" i="1"/>
  <c r="A373" i="1" l="1"/>
  <c r="AB372" i="1"/>
  <c r="A374" i="1" l="1"/>
  <c r="AB373" i="1"/>
  <c r="A375" i="1" l="1"/>
  <c r="AB374" i="1"/>
  <c r="AB375" i="1" l="1"/>
  <c r="A376" i="1"/>
  <c r="AB376" i="1" l="1"/>
  <c r="A377" i="1"/>
  <c r="A378" i="1" l="1"/>
  <c r="AB377" i="1"/>
  <c r="A379" i="1" l="1"/>
  <c r="AB378" i="1"/>
  <c r="A380" i="1" l="1"/>
  <c r="AB379" i="1"/>
  <c r="AB380" i="1" l="1"/>
  <c r="A381" i="1"/>
  <c r="AB381" i="1" l="1"/>
  <c r="A382" i="1"/>
  <c r="AB382" i="1" l="1"/>
  <c r="A383" i="1"/>
  <c r="AB383" i="1" l="1"/>
  <c r="A384" i="1"/>
  <c r="A385" i="1" l="1"/>
  <c r="AB384" i="1"/>
  <c r="A386" i="1" l="1"/>
  <c r="AB385" i="1"/>
  <c r="A387" i="1" l="1"/>
  <c r="AB386" i="1"/>
  <c r="AB387" i="1" l="1"/>
  <c r="A388" i="1"/>
  <c r="AB388" i="1" l="1"/>
  <c r="A389" i="1"/>
  <c r="A390" i="1" l="1"/>
  <c r="AB389" i="1"/>
  <c r="AB390" i="1" l="1"/>
  <c r="A391" i="1"/>
  <c r="A392" i="1" l="1"/>
  <c r="AB391" i="1"/>
  <c r="A393" i="1" l="1"/>
  <c r="AB392" i="1"/>
  <c r="AB393" i="1" l="1"/>
  <c r="A394" i="1"/>
  <c r="A395" i="1" l="1"/>
  <c r="AB394" i="1"/>
  <c r="AB395" i="1" l="1"/>
  <c r="A396" i="1"/>
  <c r="A397" i="1" l="1"/>
  <c r="AB396" i="1"/>
  <c r="A398" i="1" l="1"/>
  <c r="AB397" i="1"/>
  <c r="A399" i="1" l="1"/>
  <c r="AB398" i="1"/>
  <c r="AB399" i="1" l="1"/>
  <c r="A400" i="1"/>
  <c r="AB400" i="1" l="1"/>
  <c r="A401" i="1"/>
  <c r="A402" i="1" l="1"/>
  <c r="AB401" i="1"/>
  <c r="A403" i="1" l="1"/>
  <c r="AB402" i="1"/>
  <c r="A404" i="1" l="1"/>
  <c r="AB403" i="1"/>
  <c r="A405" i="1" l="1"/>
  <c r="AB404" i="1"/>
  <c r="AB405" i="1" l="1"/>
  <c r="A406" i="1"/>
  <c r="AB406" i="1" l="1"/>
  <c r="A407" i="1"/>
  <c r="AB407" i="1" l="1"/>
  <c r="A408" i="1"/>
  <c r="A409" i="1" l="1"/>
  <c r="AB408" i="1"/>
  <c r="A410" i="1" l="1"/>
  <c r="AB409" i="1"/>
  <c r="A411" i="1" l="1"/>
  <c r="AB410" i="1"/>
  <c r="AB411" i="1" l="1"/>
  <c r="A412" i="1"/>
  <c r="AB412" i="1" l="1"/>
  <c r="A413" i="1"/>
  <c r="A414" i="1" l="1"/>
  <c r="AB413" i="1"/>
  <c r="AB414" i="1" l="1"/>
  <c r="A415" i="1"/>
  <c r="A416" i="1" l="1"/>
  <c r="AB415" i="1"/>
  <c r="AB416" i="1" l="1"/>
  <c r="A417" i="1"/>
  <c r="AB417" i="1" l="1"/>
  <c r="A418" i="1"/>
  <c r="A419" i="1" l="1"/>
  <c r="AB418" i="1"/>
  <c r="AB419" i="1" l="1"/>
  <c r="A420" i="1"/>
  <c r="A421" i="1" l="1"/>
  <c r="AB420" i="1"/>
  <c r="A422" i="1" l="1"/>
  <c r="AB421" i="1"/>
  <c r="A423" i="1" l="1"/>
  <c r="AB422" i="1"/>
  <c r="AB423" i="1" l="1"/>
  <c r="A424" i="1"/>
  <c r="AB424" i="1" l="1"/>
  <c r="A425" i="1"/>
  <c r="A426" i="1" l="1"/>
  <c r="AB425" i="1"/>
  <c r="A427" i="1" l="1"/>
  <c r="AB426" i="1"/>
  <c r="A428" i="1" l="1"/>
  <c r="AB427" i="1"/>
  <c r="AB428" i="1" l="1"/>
  <c r="A429" i="1"/>
  <c r="AB429" i="1" l="1"/>
  <c r="A430" i="1"/>
  <c r="AB430" i="1" l="1"/>
  <c r="A431" i="1"/>
  <c r="AB431" i="1" l="1"/>
  <c r="A432" i="1"/>
  <c r="A433" i="1" l="1"/>
  <c r="AB432" i="1"/>
  <c r="A434" i="1" l="1"/>
  <c r="AB433" i="1"/>
  <c r="A435" i="1" l="1"/>
  <c r="AB434" i="1"/>
  <c r="AB435" i="1" l="1"/>
  <c r="A436" i="1"/>
  <c r="AB436" i="1" l="1"/>
  <c r="A437" i="1"/>
  <c r="A438" i="1" l="1"/>
  <c r="AB437" i="1"/>
  <c r="AB438" i="1" l="1"/>
  <c r="A439" i="1"/>
  <c r="A440" i="1" l="1"/>
  <c r="AB439" i="1"/>
  <c r="A441" i="1" l="1"/>
  <c r="AB440" i="1"/>
  <c r="AB441" i="1" l="1"/>
  <c r="A442" i="1"/>
  <c r="A443" i="1" l="1"/>
  <c r="AB442" i="1"/>
  <c r="AB443" i="1" l="1"/>
  <c r="A444" i="1"/>
  <c r="A445" i="1" l="1"/>
  <c r="AB444" i="1"/>
  <c r="A446" i="1" l="1"/>
  <c r="AB445" i="1"/>
  <c r="A447" i="1" l="1"/>
  <c r="AB446" i="1"/>
  <c r="AB447" i="1" l="1"/>
  <c r="A448" i="1"/>
  <c r="AB448" i="1" l="1"/>
  <c r="A449" i="1"/>
  <c r="A450" i="1" l="1"/>
  <c r="AB449" i="1"/>
  <c r="A451" i="1" l="1"/>
  <c r="AB450" i="1"/>
  <c r="A452" i="1" l="1"/>
  <c r="AB451" i="1"/>
  <c r="A453" i="1" l="1"/>
  <c r="AB452" i="1"/>
  <c r="AB453" i="1" l="1"/>
  <c r="A454" i="1"/>
  <c r="AB454" i="1" l="1"/>
  <c r="A455" i="1"/>
  <c r="AB455" i="1" l="1"/>
  <c r="A456" i="1"/>
  <c r="A457" i="1" l="1"/>
  <c r="AB456" i="1"/>
  <c r="A458" i="1" l="1"/>
  <c r="AB457" i="1"/>
  <c r="A459" i="1" l="1"/>
  <c r="AB458" i="1"/>
  <c r="AB459" i="1" l="1"/>
  <c r="A460" i="1"/>
  <c r="AB460" i="1" l="1"/>
  <c r="A461" i="1"/>
  <c r="A462" i="1" l="1"/>
  <c r="AB461" i="1"/>
  <c r="AB462" i="1" l="1"/>
  <c r="A463" i="1"/>
  <c r="A464" i="1" l="1"/>
  <c r="AB463" i="1"/>
  <c r="AB464" i="1" l="1"/>
  <c r="A465" i="1"/>
  <c r="AB465" i="1" l="1"/>
  <c r="A466" i="1"/>
  <c r="A467" i="1" l="1"/>
  <c r="AB466" i="1"/>
  <c r="AB467" i="1" l="1"/>
  <c r="A468" i="1"/>
  <c r="A469" i="1" l="1"/>
  <c r="AB468" i="1"/>
  <c r="A470" i="1" l="1"/>
  <c r="AB469" i="1"/>
  <c r="A471" i="1" l="1"/>
  <c r="AB470" i="1"/>
  <c r="AB471" i="1" l="1"/>
  <c r="A472" i="1"/>
  <c r="AB472" i="1" l="1"/>
  <c r="A473" i="1"/>
  <c r="A474" i="1" l="1"/>
  <c r="AB473" i="1"/>
  <c r="A475" i="1" l="1"/>
  <c r="AB474" i="1"/>
  <c r="A476" i="1" l="1"/>
  <c r="AB475" i="1"/>
  <c r="AB476" i="1" l="1"/>
  <c r="A477" i="1"/>
  <c r="AB477" i="1" l="1"/>
  <c r="A478" i="1"/>
  <c r="AB478" i="1" l="1"/>
  <c r="A479" i="1"/>
  <c r="AB479" i="1" l="1"/>
  <c r="A480" i="1"/>
  <c r="A481" i="1" l="1"/>
  <c r="AB480" i="1"/>
  <c r="A482" i="1" l="1"/>
  <c r="AB481" i="1"/>
  <c r="A483" i="1" l="1"/>
  <c r="AB482" i="1"/>
  <c r="AB483" i="1" l="1"/>
  <c r="A484" i="1"/>
  <c r="AB484" i="1" l="1"/>
  <c r="A485" i="1"/>
  <c r="A486" i="1" l="1"/>
  <c r="AB485" i="1"/>
  <c r="AB486" i="1" l="1"/>
  <c r="A487" i="1"/>
  <c r="A488" i="1" l="1"/>
  <c r="AB487" i="1"/>
  <c r="A489" i="1" l="1"/>
  <c r="AB488" i="1"/>
  <c r="AB489" i="1" l="1"/>
  <c r="A490" i="1"/>
  <c r="A491" i="1" l="1"/>
  <c r="AB490" i="1"/>
  <c r="AB491" i="1" l="1"/>
  <c r="A492" i="1"/>
  <c r="A493" i="1" l="1"/>
  <c r="AB492" i="1"/>
  <c r="A494" i="1" l="1"/>
  <c r="AB493" i="1"/>
  <c r="A495" i="1" l="1"/>
  <c r="AB494" i="1"/>
  <c r="AB495" i="1" l="1"/>
  <c r="A496" i="1"/>
  <c r="AB496" i="1" l="1"/>
  <c r="A497" i="1"/>
  <c r="A498" i="1" l="1"/>
  <c r="AB497" i="1"/>
  <c r="A499" i="1" l="1"/>
  <c r="AB498" i="1"/>
  <c r="A500" i="1" l="1"/>
  <c r="AB500" i="1" s="1"/>
  <c r="AB499" i="1"/>
</calcChain>
</file>

<file path=xl/sharedStrings.xml><?xml version="1.0" encoding="utf-8"?>
<sst xmlns="http://schemas.openxmlformats.org/spreadsheetml/2006/main" count="12921" uniqueCount="3074">
  <si>
    <t>ID</t>
  </si>
  <si>
    <t>STime</t>
  </si>
  <si>
    <t>DepArr</t>
  </si>
  <si>
    <t>Origin</t>
  </si>
  <si>
    <t>Destination</t>
  </si>
  <si>
    <t>ACType</t>
  </si>
  <si>
    <t>ACSize</t>
  </si>
  <si>
    <t>Pax</t>
  </si>
  <si>
    <t>FLType</t>
  </si>
  <si>
    <t>Transfer</t>
  </si>
  <si>
    <t>AirlineCode</t>
  </si>
  <si>
    <t>Freight</t>
  </si>
  <si>
    <t>11:25</t>
  </si>
  <si>
    <t>Arr</t>
  </si>
  <si>
    <t>ABQ</t>
  </si>
  <si>
    <t>SEA</t>
  </si>
  <si>
    <t>733</t>
  </si>
  <si>
    <t>NAT</t>
  </si>
  <si>
    <t>WN</t>
  </si>
  <si>
    <t>18:15</t>
  </si>
  <si>
    <t>ALW</t>
  </si>
  <si>
    <t>DH8</t>
  </si>
  <si>
    <t>AS</t>
  </si>
  <si>
    <t>07:59</t>
  </si>
  <si>
    <t>12:34</t>
  </si>
  <si>
    <t>11:30</t>
  </si>
  <si>
    <t>AMS</t>
  </si>
  <si>
    <t>333</t>
  </si>
  <si>
    <t>INT</t>
  </si>
  <si>
    <t>NW</t>
  </si>
  <si>
    <t>19:58</t>
  </si>
  <si>
    <t>ANC</t>
  </si>
  <si>
    <t>M80</t>
  </si>
  <si>
    <t>21:36</t>
  </si>
  <si>
    <t>757</t>
  </si>
  <si>
    <t>CO</t>
  </si>
  <si>
    <t>16:56</t>
  </si>
  <si>
    <t>10:30</t>
  </si>
  <si>
    <t>11:31</t>
  </si>
  <si>
    <t>05:11</t>
  </si>
  <si>
    <t>319</t>
  </si>
  <si>
    <t>UA</t>
  </si>
  <si>
    <t>05:06</t>
  </si>
  <si>
    <t>739</t>
  </si>
  <si>
    <t>15:29</t>
  </si>
  <si>
    <t>734</t>
  </si>
  <si>
    <t>14:34</t>
  </si>
  <si>
    <t>07:05</t>
  </si>
  <si>
    <t>06:12</t>
  </si>
  <si>
    <t>18:39</t>
  </si>
  <si>
    <t>01:55</t>
  </si>
  <si>
    <t>19:10</t>
  </si>
  <si>
    <t>13:26</t>
  </si>
  <si>
    <t>73G</t>
  </si>
  <si>
    <t>06:29</t>
  </si>
  <si>
    <t>17:07</t>
  </si>
  <si>
    <t>12:24</t>
  </si>
  <si>
    <t>23:00</t>
  </si>
  <si>
    <t>23:44</t>
  </si>
  <si>
    <t>05:10</t>
  </si>
  <si>
    <t>20:51</t>
  </si>
  <si>
    <t>ATL</t>
  </si>
  <si>
    <t>767</t>
  </si>
  <si>
    <t>DL</t>
  </si>
  <si>
    <t>11:01</t>
  </si>
  <si>
    <t>764</t>
  </si>
  <si>
    <t>18:31</t>
  </si>
  <si>
    <t>22:50</t>
  </si>
  <si>
    <t>12:12</t>
  </si>
  <si>
    <t>13:59</t>
  </si>
  <si>
    <t>738</t>
  </si>
  <si>
    <t>20:00</t>
  </si>
  <si>
    <t>BIL</t>
  </si>
  <si>
    <t>DH4</t>
  </si>
  <si>
    <t>07:15</t>
  </si>
  <si>
    <t>20:10</t>
  </si>
  <si>
    <t>BLI</t>
  </si>
  <si>
    <t>14:18</t>
  </si>
  <si>
    <t>15:58</t>
  </si>
  <si>
    <t>17:58</t>
  </si>
  <si>
    <t>06:00</t>
  </si>
  <si>
    <t>09:45</t>
  </si>
  <si>
    <t>12:03</t>
  </si>
  <si>
    <t>14:45</t>
  </si>
  <si>
    <t>BNA</t>
  </si>
  <si>
    <t>08:05</t>
  </si>
  <si>
    <t>BOI</t>
  </si>
  <si>
    <t>12:15</t>
  </si>
  <si>
    <t>16:45</t>
  </si>
  <si>
    <t>14:49</t>
  </si>
  <si>
    <t>19:28</t>
  </si>
  <si>
    <t>06:48</t>
  </si>
  <si>
    <t>09:40</t>
  </si>
  <si>
    <t>12:00</t>
  </si>
  <si>
    <t>21:30</t>
  </si>
  <si>
    <t>21:10</t>
  </si>
  <si>
    <t>BOS</t>
  </si>
  <si>
    <t>11:28</t>
  </si>
  <si>
    <t>14:55</t>
  </si>
  <si>
    <t>BTM</t>
  </si>
  <si>
    <t>12:31</t>
  </si>
  <si>
    <t>BUR</t>
  </si>
  <si>
    <t>10:23</t>
  </si>
  <si>
    <t>19:56</t>
  </si>
  <si>
    <t>16:50</t>
  </si>
  <si>
    <t>BZN</t>
  </si>
  <si>
    <t>09:00</t>
  </si>
  <si>
    <t>22:21</t>
  </si>
  <si>
    <t>CLE</t>
  </si>
  <si>
    <t>21:56</t>
  </si>
  <si>
    <t>CLT</t>
  </si>
  <si>
    <t>321</t>
  </si>
  <si>
    <t>US</t>
  </si>
  <si>
    <t>10:00</t>
  </si>
  <si>
    <t>CPH</t>
  </si>
  <si>
    <t>343</t>
  </si>
  <si>
    <t>SK</t>
  </si>
  <si>
    <t>22:38</t>
  </si>
  <si>
    <t>CVG</t>
  </si>
  <si>
    <t>11:11</t>
  </si>
  <si>
    <t>20:20</t>
  </si>
  <si>
    <t>DCA</t>
  </si>
  <si>
    <t>11:53</t>
  </si>
  <si>
    <t>19:07</t>
  </si>
  <si>
    <t>DEN</t>
  </si>
  <si>
    <t>13:38</t>
  </si>
  <si>
    <t>735</t>
  </si>
  <si>
    <t>10:22</t>
  </si>
  <si>
    <t>21:41</t>
  </si>
  <si>
    <t>752</t>
  </si>
  <si>
    <t>16:32</t>
  </si>
  <si>
    <t>18:55</t>
  </si>
  <si>
    <t>13:00</t>
  </si>
  <si>
    <t>10:13</t>
  </si>
  <si>
    <t>10:15</t>
  </si>
  <si>
    <t>318</t>
  </si>
  <si>
    <t>F9</t>
  </si>
  <si>
    <t>12:33</t>
  </si>
  <si>
    <t>09:32</t>
  </si>
  <si>
    <t>20:41</t>
  </si>
  <si>
    <t>22:55</t>
  </si>
  <si>
    <t>08:45</t>
  </si>
  <si>
    <t>14:00</t>
  </si>
  <si>
    <t>19:35</t>
  </si>
  <si>
    <t>22:54</t>
  </si>
  <si>
    <t>DFW</t>
  </si>
  <si>
    <t>M83</t>
  </si>
  <si>
    <t>AA</t>
  </si>
  <si>
    <t>16:35</t>
  </si>
  <si>
    <t>22:34</t>
  </si>
  <si>
    <t>23:55</t>
  </si>
  <si>
    <t>10:49</t>
  </si>
  <si>
    <t>12:50</t>
  </si>
  <si>
    <t>20:47</t>
  </si>
  <si>
    <t>09:36</t>
  </si>
  <si>
    <t>11:13</t>
  </si>
  <si>
    <t>DTW</t>
  </si>
  <si>
    <t>17:32</t>
  </si>
  <si>
    <t>14:02</t>
  </si>
  <si>
    <t>21:20</t>
  </si>
  <si>
    <t>753</t>
  </si>
  <si>
    <t>15:33</t>
  </si>
  <si>
    <t>EAT</t>
  </si>
  <si>
    <t>19:40</t>
  </si>
  <si>
    <t>11:55</t>
  </si>
  <si>
    <t>06:45</t>
  </si>
  <si>
    <t>20:07</t>
  </si>
  <si>
    <t>EUG</t>
  </si>
  <si>
    <t>10:38</t>
  </si>
  <si>
    <t>16:10</t>
  </si>
  <si>
    <t>14:05</t>
  </si>
  <si>
    <t>16:14</t>
  </si>
  <si>
    <t>EWR</t>
  </si>
  <si>
    <t>20:25</t>
  </si>
  <si>
    <t>02:50</t>
  </si>
  <si>
    <t>74E</t>
  </si>
  <si>
    <t>BR</t>
  </si>
  <si>
    <t>21:13</t>
  </si>
  <si>
    <t>10:55</t>
  </si>
  <si>
    <t>20:35</t>
  </si>
  <si>
    <t>FAI</t>
  </si>
  <si>
    <t>11:40</t>
  </si>
  <si>
    <t>05:17</t>
  </si>
  <si>
    <t>11:07</t>
  </si>
  <si>
    <t>19:50</t>
  </si>
  <si>
    <t>FAT</t>
  </si>
  <si>
    <t>CR7</t>
  </si>
  <si>
    <t>08:00</t>
  </si>
  <si>
    <t>FCA</t>
  </si>
  <si>
    <t>13:30</t>
  </si>
  <si>
    <t>07:30</t>
  </si>
  <si>
    <t>07:45</t>
  </si>
  <si>
    <t>FWA</t>
  </si>
  <si>
    <t>73F</t>
  </si>
  <si>
    <t>7KR</t>
  </si>
  <si>
    <t>21:18</t>
  </si>
  <si>
    <t>GEG</t>
  </si>
  <si>
    <t>EM2</t>
  </si>
  <si>
    <t>14:58</t>
  </si>
  <si>
    <t>06:43</t>
  </si>
  <si>
    <t>11:36</t>
  </si>
  <si>
    <t>18:28</t>
  </si>
  <si>
    <t>08:01</t>
  </si>
  <si>
    <t>12:35</t>
  </si>
  <si>
    <t>08:30</t>
  </si>
  <si>
    <t>19:31</t>
  </si>
  <si>
    <t>13:31</t>
  </si>
  <si>
    <t>06:05</t>
  </si>
  <si>
    <t>16:31</t>
  </si>
  <si>
    <t>10:31</t>
  </si>
  <si>
    <t>17:35</t>
  </si>
  <si>
    <t>09:05</t>
  </si>
  <si>
    <t>14:28</t>
  </si>
  <si>
    <t>07:03</t>
  </si>
  <si>
    <t>20:33</t>
  </si>
  <si>
    <t>22:01</t>
  </si>
  <si>
    <t>15:31</t>
  </si>
  <si>
    <t>07:50</t>
  </si>
  <si>
    <t>GTF</t>
  </si>
  <si>
    <t>HLN</t>
  </si>
  <si>
    <t>21:45</t>
  </si>
  <si>
    <t>HNL</t>
  </si>
  <si>
    <t>D10</t>
  </si>
  <si>
    <t>763</t>
  </si>
  <si>
    <t>HA</t>
  </si>
  <si>
    <t>19:37</t>
  </si>
  <si>
    <t>IAD</t>
  </si>
  <si>
    <t>14:48</t>
  </si>
  <si>
    <t>10:20</t>
  </si>
  <si>
    <t>DH</t>
  </si>
  <si>
    <t>21:27</t>
  </si>
  <si>
    <t>12:13</t>
  </si>
  <si>
    <t>IAH</t>
  </si>
  <si>
    <t>23:04</t>
  </si>
  <si>
    <t>20:18</t>
  </si>
  <si>
    <t>21:50</t>
  </si>
  <si>
    <t>17:01</t>
  </si>
  <si>
    <t>10:12</t>
  </si>
  <si>
    <t>14:30</t>
  </si>
  <si>
    <t>12:05</t>
  </si>
  <si>
    <t>ICN</t>
  </si>
  <si>
    <t>772</t>
  </si>
  <si>
    <t>KE</t>
  </si>
  <si>
    <t>12:32</t>
  </si>
  <si>
    <t>IND</t>
  </si>
  <si>
    <t>320</t>
  </si>
  <si>
    <t>10:02</t>
  </si>
  <si>
    <t>JFK</t>
  </si>
  <si>
    <t>22:17</t>
  </si>
  <si>
    <t>20:54</t>
  </si>
  <si>
    <t>B6</t>
  </si>
  <si>
    <t>22:59</t>
  </si>
  <si>
    <t>JNU</t>
  </si>
  <si>
    <t>04:25</t>
  </si>
  <si>
    <t>09:20</t>
  </si>
  <si>
    <t>23:40</t>
  </si>
  <si>
    <t>18:45</t>
  </si>
  <si>
    <t>05:21</t>
  </si>
  <si>
    <t>KOA</t>
  </si>
  <si>
    <t>22:25</t>
  </si>
  <si>
    <t>KTN</t>
  </si>
  <si>
    <t>19:20</t>
  </si>
  <si>
    <t>15:47</t>
  </si>
  <si>
    <t>10:48</t>
  </si>
  <si>
    <t>23:05</t>
  </si>
  <si>
    <t>LAS</t>
  </si>
  <si>
    <t>HP</t>
  </si>
  <si>
    <t>13:57</t>
  </si>
  <si>
    <t>02:21</t>
  </si>
  <si>
    <t>12:10</t>
  </si>
  <si>
    <t>22:10</t>
  </si>
  <si>
    <t>13:34</t>
  </si>
  <si>
    <t>17:00</t>
  </si>
  <si>
    <t>09:33</t>
  </si>
  <si>
    <t>15:15</t>
  </si>
  <si>
    <t>23:58</t>
  </si>
  <si>
    <t>23:02</t>
  </si>
  <si>
    <t>20:36</t>
  </si>
  <si>
    <t>15:41</t>
  </si>
  <si>
    <t>LAX</t>
  </si>
  <si>
    <t>09:09</t>
  </si>
  <si>
    <t>18:33</t>
  </si>
  <si>
    <t>21:29</t>
  </si>
  <si>
    <t>21:43</t>
  </si>
  <si>
    <t>23:54</t>
  </si>
  <si>
    <t>22:31</t>
  </si>
  <si>
    <t>19:52</t>
  </si>
  <si>
    <t>17:56</t>
  </si>
  <si>
    <t>23:29</t>
  </si>
  <si>
    <t>09:16</t>
  </si>
  <si>
    <t>09:39</t>
  </si>
  <si>
    <t>16:01</t>
  </si>
  <si>
    <t>LGB</t>
  </si>
  <si>
    <t>09:29</t>
  </si>
  <si>
    <t>13:32</t>
  </si>
  <si>
    <t>16:15</t>
  </si>
  <si>
    <t>LHR</t>
  </si>
  <si>
    <t>744</t>
  </si>
  <si>
    <t>BA</t>
  </si>
  <si>
    <t>LWS</t>
  </si>
  <si>
    <t>13:15</t>
  </si>
  <si>
    <t>09:30</t>
  </si>
  <si>
    <t>16:30</t>
  </si>
  <si>
    <t>MCI</t>
  </si>
  <si>
    <t>21:05</t>
  </si>
  <si>
    <t>MCO</t>
  </si>
  <si>
    <t>21:00</t>
  </si>
  <si>
    <t>MDW</t>
  </si>
  <si>
    <t>09:25</t>
  </si>
  <si>
    <t>11:12</t>
  </si>
  <si>
    <t>MEM</t>
  </si>
  <si>
    <t>20:24</t>
  </si>
  <si>
    <t>MFR</t>
  </si>
  <si>
    <t>MSO</t>
  </si>
  <si>
    <t>13:11</t>
  </si>
  <si>
    <t>18:10</t>
  </si>
  <si>
    <t>20:44</t>
  </si>
  <si>
    <t>MSP</t>
  </si>
  <si>
    <t>15:11</t>
  </si>
  <si>
    <t>23:15</t>
  </si>
  <si>
    <t>SY</t>
  </si>
  <si>
    <t>15:50</t>
  </si>
  <si>
    <t>16:51</t>
  </si>
  <si>
    <t>16:04</t>
  </si>
  <si>
    <t>13:24</t>
  </si>
  <si>
    <t>19:02</t>
  </si>
  <si>
    <t>23:16</t>
  </si>
  <si>
    <t>09:01</t>
  </si>
  <si>
    <t>11:00</t>
  </si>
  <si>
    <t>10:05</t>
  </si>
  <si>
    <t>NRT</t>
  </si>
  <si>
    <t>777</t>
  </si>
  <si>
    <t>08:35</t>
  </si>
  <si>
    <t>332</t>
  </si>
  <si>
    <t>19:55</t>
  </si>
  <si>
    <t>OAK</t>
  </si>
  <si>
    <t>09:35</t>
  </si>
  <si>
    <t>21:40</t>
  </si>
  <si>
    <t>15:40</t>
  </si>
  <si>
    <t>18:25</t>
  </si>
  <si>
    <t>22:14</t>
  </si>
  <si>
    <t>10:57</t>
  </si>
  <si>
    <t>09:38</t>
  </si>
  <si>
    <t>07:54</t>
  </si>
  <si>
    <t>14:03</t>
  </si>
  <si>
    <t>04:05</t>
  </si>
  <si>
    <t>D1F</t>
  </si>
  <si>
    <t>FX</t>
  </si>
  <si>
    <t>09:02</t>
  </si>
  <si>
    <t>ONT</t>
  </si>
  <si>
    <t>21:01</t>
  </si>
  <si>
    <t>14:17</t>
  </si>
  <si>
    <t>ORD</t>
  </si>
  <si>
    <t>00:16</t>
  </si>
  <si>
    <t>14:22</t>
  </si>
  <si>
    <t>10:43</t>
  </si>
  <si>
    <t>23:17</t>
  </si>
  <si>
    <t>11:03</t>
  </si>
  <si>
    <t>21:55</t>
  </si>
  <si>
    <t>14:57</t>
  </si>
  <si>
    <t>18:44</t>
  </si>
  <si>
    <t>22:43</t>
  </si>
  <si>
    <t>19:15</t>
  </si>
  <si>
    <t>10:27</t>
  </si>
  <si>
    <t>17:41</t>
  </si>
  <si>
    <t>07:29</t>
  </si>
  <si>
    <t>PDX</t>
  </si>
  <si>
    <t>08:34</t>
  </si>
  <si>
    <t>20:02</t>
  </si>
  <si>
    <t>11:39</t>
  </si>
  <si>
    <t>17:17</t>
  </si>
  <si>
    <t>09:19</t>
  </si>
  <si>
    <t>08:50</t>
  </si>
  <si>
    <t>05:50</t>
  </si>
  <si>
    <t>19:47</t>
  </si>
  <si>
    <t>07:17</t>
  </si>
  <si>
    <t>20:15</t>
  </si>
  <si>
    <t>07:55</t>
  </si>
  <si>
    <t>09:55</t>
  </si>
  <si>
    <t>11:59</t>
  </si>
  <si>
    <t>16:22</t>
  </si>
  <si>
    <t>21:22</t>
  </si>
  <si>
    <t>16:52</t>
  </si>
  <si>
    <t>22:22</t>
  </si>
  <si>
    <t>07:40</t>
  </si>
  <si>
    <t>09:37</t>
  </si>
  <si>
    <t>14:59</t>
  </si>
  <si>
    <t>06:22</t>
  </si>
  <si>
    <t>13:52</t>
  </si>
  <si>
    <t>17:24</t>
  </si>
  <si>
    <t>18:57</t>
  </si>
  <si>
    <t>19:25</t>
  </si>
  <si>
    <t>17:52</t>
  </si>
  <si>
    <t>15:22</t>
  </si>
  <si>
    <t>18:27</t>
  </si>
  <si>
    <t>12:55</t>
  </si>
  <si>
    <t>13:25</t>
  </si>
  <si>
    <t>08:25</t>
  </si>
  <si>
    <t>06:54</t>
  </si>
  <si>
    <t>12:22</t>
  </si>
  <si>
    <t>21:11</t>
  </si>
  <si>
    <t>PHL</t>
  </si>
  <si>
    <t>12:40</t>
  </si>
  <si>
    <t>17:20</t>
  </si>
  <si>
    <t>PHX</t>
  </si>
  <si>
    <t>16:21</t>
  </si>
  <si>
    <t>00:38</t>
  </si>
  <si>
    <t>CR9</t>
  </si>
  <si>
    <t>14:40</t>
  </si>
  <si>
    <t>18:12</t>
  </si>
  <si>
    <t>22:18</t>
  </si>
  <si>
    <t>10:19</t>
  </si>
  <si>
    <t>22:40</t>
  </si>
  <si>
    <t>19:05</t>
  </si>
  <si>
    <t>10:28</t>
  </si>
  <si>
    <t>20:13</t>
  </si>
  <si>
    <t>PIT</t>
  </si>
  <si>
    <t>15:54</t>
  </si>
  <si>
    <t>PSC</t>
  </si>
  <si>
    <t>06:01</t>
  </si>
  <si>
    <t>15:06</t>
  </si>
  <si>
    <t>09:42</t>
  </si>
  <si>
    <t>06:59</t>
  </si>
  <si>
    <t>PUW</t>
  </si>
  <si>
    <t>RDM</t>
  </si>
  <si>
    <t>15:20</t>
  </si>
  <si>
    <t>17:30</t>
  </si>
  <si>
    <t>RNO</t>
  </si>
  <si>
    <t>22:15</t>
  </si>
  <si>
    <t>08:42</t>
  </si>
  <si>
    <t>13:53</t>
  </si>
  <si>
    <t>11:10</t>
  </si>
  <si>
    <t>SAN</t>
  </si>
  <si>
    <t>19:42</t>
  </si>
  <si>
    <t>09:22</t>
  </si>
  <si>
    <t>15:19</t>
  </si>
  <si>
    <t>23:45</t>
  </si>
  <si>
    <t>21:16</t>
  </si>
  <si>
    <t>SBA</t>
  </si>
  <si>
    <t>12:45</t>
  </si>
  <si>
    <t>SFO</t>
  </si>
  <si>
    <t>22:20</t>
  </si>
  <si>
    <t>08:08</t>
  </si>
  <si>
    <t>16:41</t>
  </si>
  <si>
    <t>17:46</t>
  </si>
  <si>
    <t>11:06</t>
  </si>
  <si>
    <t>08:59</t>
  </si>
  <si>
    <t>22:11</t>
  </si>
  <si>
    <t>20:34</t>
  </si>
  <si>
    <t>16:00</t>
  </si>
  <si>
    <t>20:23</t>
  </si>
  <si>
    <t>00:37</t>
  </si>
  <si>
    <t>13:36</t>
  </si>
  <si>
    <t>SIT</t>
  </si>
  <si>
    <t>11:15</t>
  </si>
  <si>
    <t>SJC</t>
  </si>
  <si>
    <t>20:40</t>
  </si>
  <si>
    <t>23:26</t>
  </si>
  <si>
    <t>16:46</t>
  </si>
  <si>
    <t>10:51</t>
  </si>
  <si>
    <t>14:41</t>
  </si>
  <si>
    <t>19:11</t>
  </si>
  <si>
    <t>12:30</t>
  </si>
  <si>
    <t>20:06</t>
  </si>
  <si>
    <t>SLC</t>
  </si>
  <si>
    <t>M90</t>
  </si>
  <si>
    <t>18:35</t>
  </si>
  <si>
    <t>10:50</t>
  </si>
  <si>
    <t>16:13</t>
  </si>
  <si>
    <t>09:06</t>
  </si>
  <si>
    <t>18:32</t>
  </si>
  <si>
    <t>17:36</t>
  </si>
  <si>
    <t>CRJ</t>
  </si>
  <si>
    <t>10:10</t>
  </si>
  <si>
    <t>YVR</t>
  </si>
  <si>
    <t>17:50</t>
  </si>
  <si>
    <t>19:30</t>
  </si>
  <si>
    <t>13:50</t>
  </si>
  <si>
    <t>14:50</t>
  </si>
  <si>
    <t>12:59</t>
  </si>
  <si>
    <t>09:50</t>
  </si>
  <si>
    <t>10:11</t>
  </si>
  <si>
    <t>15:05</t>
  </si>
  <si>
    <t>DH3</t>
  </si>
  <si>
    <t>AC</t>
  </si>
  <si>
    <t>12:25</t>
  </si>
  <si>
    <t>09:10</t>
  </si>
  <si>
    <t>17:55</t>
  </si>
  <si>
    <t>21:25</t>
  </si>
  <si>
    <t>18:30</t>
  </si>
  <si>
    <t>YYC</t>
  </si>
  <si>
    <t>13:40</t>
  </si>
  <si>
    <t>07:07</t>
  </si>
  <si>
    <t>YYJ</t>
  </si>
  <si>
    <t>06:58</t>
  </si>
  <si>
    <t>08:10</t>
  </si>
  <si>
    <t>12:28</t>
  </si>
  <si>
    <t>17:38</t>
  </si>
  <si>
    <t>19:46</t>
  </si>
  <si>
    <t>YYZ</t>
  </si>
  <si>
    <t>08:46</t>
  </si>
  <si>
    <t>SMF</t>
  </si>
  <si>
    <t>14:35</t>
  </si>
  <si>
    <t>23:10</t>
  </si>
  <si>
    <t>18:50</t>
  </si>
  <si>
    <t>10:25</t>
  </si>
  <si>
    <t>22:13</t>
  </si>
  <si>
    <t>13:58</t>
  </si>
  <si>
    <t>11:16</t>
  </si>
  <si>
    <t>18:21</t>
  </si>
  <si>
    <t>20:21</t>
  </si>
  <si>
    <t>SNA</t>
  </si>
  <si>
    <t>22:04</t>
  </si>
  <si>
    <t>12:21</t>
  </si>
  <si>
    <t>14:09</t>
  </si>
  <si>
    <t>15:07</t>
  </si>
  <si>
    <t>17:14</t>
  </si>
  <si>
    <t>STL</t>
  </si>
  <si>
    <t>11:41</t>
  </si>
  <si>
    <t>20:30</t>
  </si>
  <si>
    <t>SUN</t>
  </si>
  <si>
    <t>SVO</t>
  </si>
  <si>
    <t>SU</t>
  </si>
  <si>
    <t>TPE</t>
  </si>
  <si>
    <t>CI</t>
  </si>
  <si>
    <t>17:25</t>
  </si>
  <si>
    <t>TUS</t>
  </si>
  <si>
    <t>23:35</t>
  </si>
  <si>
    <t>YAK</t>
  </si>
  <si>
    <t>19:00</t>
  </si>
  <si>
    <t>YEG</t>
  </si>
  <si>
    <t>14:25</t>
  </si>
  <si>
    <t>YKM</t>
  </si>
  <si>
    <t>14:20</t>
  </si>
  <si>
    <t>YLW</t>
  </si>
  <si>
    <t>12:52</t>
  </si>
  <si>
    <t>07:20</t>
  </si>
  <si>
    <t>Dep</t>
  </si>
  <si>
    <t>18:48</t>
  </si>
  <si>
    <t>21:15</t>
  </si>
  <si>
    <t>05:25</t>
  </si>
  <si>
    <t>17:15</t>
  </si>
  <si>
    <t>22:00</t>
  </si>
  <si>
    <t>12:38</t>
  </si>
  <si>
    <t>20:38</t>
  </si>
  <si>
    <t>02:11</t>
  </si>
  <si>
    <t>12:06</t>
  </si>
  <si>
    <t>06:10</t>
  </si>
  <si>
    <t>15:00</t>
  </si>
  <si>
    <t>20:55</t>
  </si>
  <si>
    <t>09:56</t>
  </si>
  <si>
    <t>11:34</t>
  </si>
  <si>
    <t>18:05</t>
  </si>
  <si>
    <t>06:20</t>
  </si>
  <si>
    <t>23:13</t>
  </si>
  <si>
    <t>06:55</t>
  </si>
  <si>
    <t>16:05</t>
  </si>
  <si>
    <t>23:30</t>
  </si>
  <si>
    <t>13:55</t>
  </si>
  <si>
    <t>06:35</t>
  </si>
  <si>
    <t>13:05</t>
  </si>
  <si>
    <t>16:40</t>
  </si>
  <si>
    <t>15:48</t>
  </si>
  <si>
    <t>18:00</t>
  </si>
  <si>
    <t>06:15</t>
  </si>
  <si>
    <t>11:51</t>
  </si>
  <si>
    <t>07:56</t>
  </si>
  <si>
    <t>15:30</t>
  </si>
  <si>
    <t>10:18</t>
  </si>
  <si>
    <t>07:00</t>
  </si>
  <si>
    <t>14:23</t>
  </si>
  <si>
    <t>08:40</t>
  </si>
  <si>
    <t>07:25</t>
  </si>
  <si>
    <t>22:30</t>
  </si>
  <si>
    <t>00:20</t>
  </si>
  <si>
    <t>11:45</t>
  </si>
  <si>
    <t>08:13</t>
  </si>
  <si>
    <t>10:54</t>
  </si>
  <si>
    <t>23:59</t>
  </si>
  <si>
    <t>22:46</t>
  </si>
  <si>
    <t>20:14</t>
  </si>
  <si>
    <t>07:41</t>
  </si>
  <si>
    <t>M1F</t>
  </si>
  <si>
    <t>17:05</t>
  </si>
  <si>
    <t>17:19</t>
  </si>
  <si>
    <t>01:00</t>
  </si>
  <si>
    <t>12:20</t>
  </si>
  <si>
    <t>15:45</t>
  </si>
  <si>
    <t>20:05</t>
  </si>
  <si>
    <t>11:50</t>
  </si>
  <si>
    <t>17:10</t>
  </si>
  <si>
    <t>17:40</t>
  </si>
  <si>
    <t>19:27</t>
  </si>
  <si>
    <t>OGG</t>
  </si>
  <si>
    <t>15:24</t>
  </si>
  <si>
    <t>06:30</t>
  </si>
  <si>
    <t>17:02</t>
  </si>
  <si>
    <t>15:10</t>
  </si>
  <si>
    <t>15:55</t>
  </si>
  <si>
    <t>16:43</t>
  </si>
  <si>
    <t>07:10</t>
  </si>
  <si>
    <t>14:15</t>
  </si>
  <si>
    <t>05:30</t>
  </si>
  <si>
    <t>15:42</t>
  </si>
  <si>
    <t>23:06</t>
  </si>
  <si>
    <t>16:47</t>
  </si>
  <si>
    <t>14:33</t>
  </si>
  <si>
    <t>15:04</t>
  </si>
  <si>
    <t>11:21</t>
  </si>
  <si>
    <t>18:01</t>
  </si>
  <si>
    <t>09:41</t>
  </si>
  <si>
    <t>11:20</t>
  </si>
  <si>
    <t>14:29</t>
  </si>
  <si>
    <t>14:24</t>
  </si>
  <si>
    <t>06:25</t>
  </si>
  <si>
    <t>13:10</t>
  </si>
  <si>
    <t>06:40</t>
  </si>
  <si>
    <t>12:23</t>
  </si>
  <si>
    <t>04:20</t>
  </si>
  <si>
    <t>10:58</t>
  </si>
  <si>
    <t>20:45</t>
  </si>
  <si>
    <t>13:02</t>
  </si>
  <si>
    <t>08:15</t>
  </si>
  <si>
    <t>22:35</t>
  </si>
  <si>
    <t>13:45</t>
  </si>
  <si>
    <t>15:25</t>
  </si>
  <si>
    <t>15:35</t>
  </si>
  <si>
    <t>08:55</t>
  </si>
  <si>
    <t>21:21</t>
  </si>
  <si>
    <t>12:43</t>
  </si>
  <si>
    <t>22:51</t>
  </si>
  <si>
    <t>20:50</t>
  </si>
  <si>
    <t>19:24</t>
  </si>
  <si>
    <t>17:22</t>
  </si>
  <si>
    <t>14:38</t>
  </si>
  <si>
    <t>19:45</t>
  </si>
  <si>
    <t>11:18</t>
  </si>
  <si>
    <t>15:08</t>
  </si>
  <si>
    <t>15:36</t>
  </si>
  <si>
    <t>15:49</t>
  </si>
  <si>
    <t>09:51</t>
  </si>
  <si>
    <t>21:17</t>
  </si>
  <si>
    <t>17:49</t>
  </si>
  <si>
    <t>14:47</t>
  </si>
  <si>
    <t>13:39</t>
  </si>
  <si>
    <t>18:56</t>
  </si>
  <si>
    <t>14:07</t>
  </si>
  <si>
    <t>18:40</t>
  </si>
  <si>
    <t>23:20</t>
  </si>
  <si>
    <t>11:52</t>
  </si>
  <si>
    <t>15:39</t>
  </si>
  <si>
    <t>15:14</t>
  </si>
  <si>
    <t>22:45</t>
  </si>
  <si>
    <t>21:08</t>
  </si>
  <si>
    <t>09:21</t>
  </si>
  <si>
    <t>15:21</t>
  </si>
  <si>
    <t>18:34</t>
  </si>
  <si>
    <t>17:33</t>
  </si>
  <si>
    <t>13:16</t>
  </si>
  <si>
    <t>15:16</t>
  </si>
  <si>
    <t>11:57</t>
  </si>
  <si>
    <t>08:32</t>
  </si>
  <si>
    <t>15:12</t>
  </si>
  <si>
    <t>11:48</t>
  </si>
  <si>
    <t>10:40</t>
  </si>
  <si>
    <t>18:46</t>
  </si>
  <si>
    <t>20:42</t>
  </si>
  <si>
    <t>12:02</t>
  </si>
  <si>
    <t>18:20</t>
  </si>
  <si>
    <t>21:31</t>
  </si>
  <si>
    <t>18:17</t>
  </si>
  <si>
    <t>TypeID</t>
  </si>
  <si>
    <t>ReplaceType</t>
  </si>
  <si>
    <t>100</t>
  </si>
  <si>
    <t>F10062</t>
  </si>
  <si>
    <t>C</t>
  </si>
  <si>
    <t>141</t>
  </si>
  <si>
    <t>BAE146</t>
  </si>
  <si>
    <t>142</t>
  </si>
  <si>
    <t>143</t>
  </si>
  <si>
    <t>146</t>
  </si>
  <si>
    <t>14F</t>
  </si>
  <si>
    <t>310</t>
  </si>
  <si>
    <t>A310-304</t>
  </si>
  <si>
    <t>D</t>
  </si>
  <si>
    <t>312</t>
  </si>
  <si>
    <t>313</t>
  </si>
  <si>
    <t>A319-131</t>
  </si>
  <si>
    <t>A320-211</t>
  </si>
  <si>
    <t>A321-232</t>
  </si>
  <si>
    <t>32S</t>
  </si>
  <si>
    <t>330</t>
  </si>
  <si>
    <t>A330-301</t>
  </si>
  <si>
    <t>A330-343</t>
  </si>
  <si>
    <t>338</t>
  </si>
  <si>
    <t>339</t>
  </si>
  <si>
    <t>340</t>
  </si>
  <si>
    <t>A340-211</t>
  </si>
  <si>
    <t>342</t>
  </si>
  <si>
    <t>345</t>
  </si>
  <si>
    <t>346</t>
  </si>
  <si>
    <t>351</t>
  </si>
  <si>
    <t>359</t>
  </si>
  <si>
    <t>388</t>
  </si>
  <si>
    <t>A380-841</t>
  </si>
  <si>
    <t>707</t>
  </si>
  <si>
    <t>70F</t>
  </si>
  <si>
    <t>717</t>
  </si>
  <si>
    <t>717200</t>
  </si>
  <si>
    <t>721</t>
  </si>
  <si>
    <t>727200</t>
  </si>
  <si>
    <t>722</t>
  </si>
  <si>
    <t>727</t>
  </si>
  <si>
    <t>72A</t>
  </si>
  <si>
    <t>72F</t>
  </si>
  <si>
    <t>72M</t>
  </si>
  <si>
    <t>72S</t>
  </si>
  <si>
    <t>732</t>
  </si>
  <si>
    <t>737</t>
  </si>
  <si>
    <t>737300</t>
  </si>
  <si>
    <t>737400</t>
  </si>
  <si>
    <t>737500</t>
  </si>
  <si>
    <t>736</t>
  </si>
  <si>
    <t>737700</t>
  </si>
  <si>
    <t>737800</t>
  </si>
  <si>
    <t>73A</t>
  </si>
  <si>
    <t>73H</t>
  </si>
  <si>
    <t>73M</t>
  </si>
  <si>
    <t>73S</t>
  </si>
  <si>
    <t>73W</t>
  </si>
  <si>
    <t>73X</t>
  </si>
  <si>
    <t>73Y</t>
  </si>
  <si>
    <t>741</t>
  </si>
  <si>
    <t>747100</t>
  </si>
  <si>
    <t>742</t>
  </si>
  <si>
    <t>747200</t>
  </si>
  <si>
    <t>743</t>
  </si>
  <si>
    <t>74720B</t>
  </si>
  <si>
    <t>747400</t>
  </si>
  <si>
    <t>747</t>
  </si>
  <si>
    <t>74D</t>
  </si>
  <si>
    <t>74F</t>
  </si>
  <si>
    <t>74L</t>
  </si>
  <si>
    <t>74M</t>
  </si>
  <si>
    <t>74R</t>
  </si>
  <si>
    <t>74X</t>
  </si>
  <si>
    <t>74Y</t>
  </si>
  <si>
    <t>757PW</t>
  </si>
  <si>
    <t>757300</t>
  </si>
  <si>
    <t>75F</t>
  </si>
  <si>
    <t>762</t>
  </si>
  <si>
    <t>767CF6</t>
  </si>
  <si>
    <t>767300</t>
  </si>
  <si>
    <t>767400</t>
  </si>
  <si>
    <t>76F</t>
  </si>
  <si>
    <t>777200</t>
  </si>
  <si>
    <t>773</t>
  </si>
  <si>
    <t>777300</t>
  </si>
  <si>
    <t>77W</t>
  </si>
  <si>
    <t>781</t>
  </si>
  <si>
    <t>7878R</t>
  </si>
  <si>
    <t>788</t>
  </si>
  <si>
    <t>789</t>
  </si>
  <si>
    <t>A40</t>
  </si>
  <si>
    <t>DHC830</t>
  </si>
  <si>
    <t>B</t>
  </si>
  <si>
    <t>AB3</t>
  </si>
  <si>
    <t>A300B4-203</t>
  </si>
  <si>
    <t>AB4</t>
  </si>
  <si>
    <t>AB6</t>
  </si>
  <si>
    <t>ABF</t>
  </si>
  <si>
    <t>ABX</t>
  </si>
  <si>
    <t>ABY</t>
  </si>
  <si>
    <t>ACD</t>
  </si>
  <si>
    <t>DHC6</t>
  </si>
  <si>
    <t>AN4</t>
  </si>
  <si>
    <t>CVR580</t>
  </si>
  <si>
    <t>AN6</t>
  </si>
  <si>
    <t>ANF</t>
  </si>
  <si>
    <t>AR1</t>
  </si>
  <si>
    <t>AR7</t>
  </si>
  <si>
    <t>AR8</t>
  </si>
  <si>
    <t>ARJ</t>
  </si>
  <si>
    <t>AT4</t>
  </si>
  <si>
    <t>DHC8</t>
  </si>
  <si>
    <t>AT5</t>
  </si>
  <si>
    <t>AT7</t>
  </si>
  <si>
    <t>HS748A</t>
  </si>
  <si>
    <t>ATP</t>
  </si>
  <si>
    <t>SF340</t>
  </si>
  <si>
    <t>ATR</t>
  </si>
  <si>
    <t>B11</t>
  </si>
  <si>
    <t>BE1</t>
  </si>
  <si>
    <t>BE9</t>
  </si>
  <si>
    <t>BEC</t>
  </si>
  <si>
    <t>BEH</t>
  </si>
  <si>
    <t>BES</t>
  </si>
  <si>
    <t>BET</t>
  </si>
  <si>
    <t>BH2</t>
  </si>
  <si>
    <t>BNI</t>
  </si>
  <si>
    <t>BNT</t>
  </si>
  <si>
    <t>CNA</t>
  </si>
  <si>
    <t>CNA20T</t>
  </si>
  <si>
    <t>A</t>
  </si>
  <si>
    <t>CNC</t>
  </si>
  <si>
    <t>CNJ</t>
  </si>
  <si>
    <t>CR1</t>
  </si>
  <si>
    <t>CL600</t>
  </si>
  <si>
    <t>CR2</t>
  </si>
  <si>
    <t>CL601</t>
  </si>
  <si>
    <t>CRA</t>
  </si>
  <si>
    <t>CS2</t>
  </si>
  <si>
    <t>CS5</t>
  </si>
  <si>
    <t>CV5</t>
  </si>
  <si>
    <t>CVF</t>
  </si>
  <si>
    <t>CVR</t>
  </si>
  <si>
    <t>CWC</t>
  </si>
  <si>
    <t>DC3</t>
  </si>
  <si>
    <t>DC1010</t>
  </si>
  <si>
    <t>D11</t>
  </si>
  <si>
    <t>D1C</t>
  </si>
  <si>
    <t>DC1030</t>
  </si>
  <si>
    <t>D28</t>
  </si>
  <si>
    <t>D38</t>
  </si>
  <si>
    <t>D3F</t>
  </si>
  <si>
    <t>D6F</t>
  </si>
  <si>
    <t>DC860</t>
  </si>
  <si>
    <t>D8F</t>
  </si>
  <si>
    <t>D8Y</t>
  </si>
  <si>
    <t>D92</t>
  </si>
  <si>
    <t>D93</t>
  </si>
  <si>
    <t>DC930</t>
  </si>
  <si>
    <t>D95</t>
  </si>
  <si>
    <t>DC950</t>
  </si>
  <si>
    <t>D9F</t>
  </si>
  <si>
    <t>D9S</t>
  </si>
  <si>
    <t>DC8</t>
  </si>
  <si>
    <t>DC9</t>
  </si>
  <si>
    <t>DF2</t>
  </si>
  <si>
    <t>DH1</t>
  </si>
  <si>
    <t>DH2</t>
  </si>
  <si>
    <t>DH7</t>
  </si>
  <si>
    <t>DHC7</t>
  </si>
  <si>
    <t>DHL</t>
  </si>
  <si>
    <t>DHC2</t>
  </si>
  <si>
    <t>DHP</t>
  </si>
  <si>
    <t>DHT</t>
  </si>
  <si>
    <t>E70</t>
  </si>
  <si>
    <t>E75</t>
  </si>
  <si>
    <t>E90</t>
  </si>
  <si>
    <t>EMB</t>
  </si>
  <si>
    <t>ER3</t>
  </si>
  <si>
    <t>ER4</t>
  </si>
  <si>
    <t>ERD</t>
  </si>
  <si>
    <t>ERJ</t>
  </si>
  <si>
    <t>F24</t>
  </si>
  <si>
    <t>F27</t>
  </si>
  <si>
    <t>F28</t>
  </si>
  <si>
    <t>F50</t>
  </si>
  <si>
    <t>F70</t>
  </si>
  <si>
    <t>FK7</t>
  </si>
  <si>
    <t>FRJ</t>
  </si>
  <si>
    <t>GRG</t>
  </si>
  <si>
    <t>GRM</t>
  </si>
  <si>
    <t>GRS</t>
  </si>
  <si>
    <t>HS7</t>
  </si>
  <si>
    <t>I14</t>
  </si>
  <si>
    <t>YS11</t>
  </si>
  <si>
    <t>IL6</t>
  </si>
  <si>
    <t>IL62</t>
  </si>
  <si>
    <t>IL7</t>
  </si>
  <si>
    <t>IL76</t>
  </si>
  <si>
    <t>IL8</t>
  </si>
  <si>
    <t>IL9</t>
  </si>
  <si>
    <t>ILW</t>
  </si>
  <si>
    <t>IL86</t>
  </si>
  <si>
    <t>J31</t>
  </si>
  <si>
    <t>J32</t>
  </si>
  <si>
    <t>J41</t>
  </si>
  <si>
    <t>JST</t>
  </si>
  <si>
    <t>L10</t>
  </si>
  <si>
    <t>L11</t>
  </si>
  <si>
    <t>L15</t>
  </si>
  <si>
    <t>L1F</t>
  </si>
  <si>
    <t>L4T</t>
  </si>
  <si>
    <t>LOH</t>
  </si>
  <si>
    <t>C130</t>
  </si>
  <si>
    <t>LRJ</t>
  </si>
  <si>
    <t>M11</t>
  </si>
  <si>
    <t>M1M</t>
  </si>
  <si>
    <t>MD81</t>
  </si>
  <si>
    <t>M81</t>
  </si>
  <si>
    <t>M82</t>
  </si>
  <si>
    <t>MD82</t>
  </si>
  <si>
    <t>MD83</t>
  </si>
  <si>
    <t>M87</t>
  </si>
  <si>
    <t>MD87</t>
  </si>
  <si>
    <t>M88</t>
  </si>
  <si>
    <t>MD88</t>
  </si>
  <si>
    <t>ND2</t>
  </si>
  <si>
    <t>NDE</t>
  </si>
  <si>
    <t>PA46</t>
  </si>
  <si>
    <t>PAG</t>
  </si>
  <si>
    <t>PL2</t>
  </si>
  <si>
    <t>PC12</t>
  </si>
  <si>
    <t>PN6</t>
  </si>
  <si>
    <t>S20</t>
  </si>
  <si>
    <t>S61</t>
  </si>
  <si>
    <t>S76</t>
  </si>
  <si>
    <t>SF3</t>
  </si>
  <si>
    <t>SH3</t>
  </si>
  <si>
    <t>SH6</t>
  </si>
  <si>
    <t>SHS</t>
  </si>
  <si>
    <t>SWM</t>
  </si>
  <si>
    <t>T20</t>
  </si>
  <si>
    <t>TU3</t>
  </si>
  <si>
    <t>TU5</t>
  </si>
  <si>
    <t>WWP</t>
  </si>
  <si>
    <t>YK2</t>
  </si>
  <si>
    <t>YK4</t>
  </si>
  <si>
    <t>YN2</t>
  </si>
  <si>
    <t>YN7</t>
  </si>
  <si>
    <t>YS1</t>
  </si>
  <si>
    <t>E</t>
  </si>
  <si>
    <t>F</t>
  </si>
  <si>
    <t>Span</t>
  </si>
  <si>
    <t>Int</t>
  </si>
  <si>
    <t>Nat</t>
  </si>
  <si>
    <t>Border</t>
  </si>
  <si>
    <t>Contact</t>
  </si>
  <si>
    <t>AN</t>
  </si>
  <si>
    <t>AI</t>
  </si>
  <si>
    <t>BN</t>
  </si>
  <si>
    <t>BI</t>
  </si>
  <si>
    <t>CN</t>
  </si>
  <si>
    <t>DN</t>
  </si>
  <si>
    <t>DI</t>
  </si>
  <si>
    <t>BS</t>
  </si>
  <si>
    <t>CS</t>
  </si>
  <si>
    <t>DS</t>
  </si>
  <si>
    <t>EN</t>
  </si>
  <si>
    <t>EI</t>
  </si>
  <si>
    <t>ES</t>
  </si>
  <si>
    <t>AR</t>
  </si>
  <si>
    <t>CR</t>
  </si>
  <si>
    <t>DR</t>
  </si>
  <si>
    <t>ER</t>
  </si>
  <si>
    <t>FN</t>
  </si>
  <si>
    <t>FI</t>
  </si>
  <si>
    <t>FS</t>
  </si>
  <si>
    <t>FR</t>
  </si>
  <si>
    <t>Cost</t>
  </si>
  <si>
    <t>Per gate</t>
  </si>
  <si>
    <t>Type</t>
  </si>
  <si>
    <t>Capacity per Wingspan</t>
  </si>
  <si>
    <t>DepID</t>
  </si>
  <si>
    <t>Stime</t>
  </si>
  <si>
    <t>Dest</t>
  </si>
  <si>
    <t>ACCheck</t>
  </si>
  <si>
    <t>ALCheck</t>
  </si>
  <si>
    <t>ODCheck</t>
  </si>
  <si>
    <t>Per pax</t>
  </si>
  <si>
    <t>PaxCheck</t>
  </si>
  <si>
    <t>ArrInt</t>
  </si>
  <si>
    <t>DepInt</t>
  </si>
  <si>
    <t>Overnight</t>
  </si>
  <si>
    <t>A_Tot</t>
  </si>
  <si>
    <t>B_Tot</t>
  </si>
  <si>
    <t>C_Tot</t>
  </si>
  <si>
    <t>D_Tot</t>
  </si>
  <si>
    <t>E_Tot</t>
  </si>
  <si>
    <t>F_Tot</t>
  </si>
  <si>
    <t>Var</t>
  </si>
  <si>
    <t>Value</t>
  </si>
  <si>
    <t>obj</t>
  </si>
  <si>
    <t>SP_0007_0</t>
  </si>
  <si>
    <t>SP_0007_2</t>
  </si>
  <si>
    <t>SP_0008_0</t>
  </si>
  <si>
    <t>SP_0008_2</t>
  </si>
  <si>
    <t>SP_0009_0</t>
  </si>
  <si>
    <t>SP_0010_0</t>
  </si>
  <si>
    <t>SP_0010_2</t>
  </si>
  <si>
    <t>SP_0015_0</t>
  </si>
  <si>
    <t>SP_0015_2</t>
  </si>
  <si>
    <t>SP_0019_0</t>
  </si>
  <si>
    <t>SP_0019_2</t>
  </si>
  <si>
    <t>SP_0020_0</t>
  </si>
  <si>
    <t>SP_0021_0</t>
  </si>
  <si>
    <t>SP_0021_2</t>
  </si>
  <si>
    <t>SP_0022_0</t>
  </si>
  <si>
    <t>SP_0022_2</t>
  </si>
  <si>
    <t>SP_0023_0</t>
  </si>
  <si>
    <t>SP_0023_2</t>
  </si>
  <si>
    <t>SP_0024_0</t>
  </si>
  <si>
    <t>SP_0024_2</t>
  </si>
  <si>
    <t>SP_0030_0</t>
  </si>
  <si>
    <t>SP_0030_2</t>
  </si>
  <si>
    <t>SP_0031_0</t>
  </si>
  <si>
    <t>SP_0031_2</t>
  </si>
  <si>
    <t>SP_0032_0</t>
  </si>
  <si>
    <t>SP_0033_0</t>
  </si>
  <si>
    <t>SP_0034_0</t>
  </si>
  <si>
    <t>SP_0046_0</t>
  </si>
  <si>
    <t>SP_0046_2</t>
  </si>
  <si>
    <t>SP_0047_0</t>
  </si>
  <si>
    <t>SP_0047_2</t>
  </si>
  <si>
    <t>SP_0048_0</t>
  </si>
  <si>
    <t>SP_0048_2</t>
  </si>
  <si>
    <t>SP_0049_0</t>
  </si>
  <si>
    <t>SP_0050_0</t>
  </si>
  <si>
    <t>SP_0059_0</t>
  </si>
  <si>
    <t>SP_0060_0</t>
  </si>
  <si>
    <t>SP_0063_0</t>
  </si>
  <si>
    <t>SP_0064_0</t>
  </si>
  <si>
    <t>SP_0074_0</t>
  </si>
  <si>
    <t>SP_0074_2</t>
  </si>
  <si>
    <t>SP_0075_0</t>
  </si>
  <si>
    <t>SP_0075_2</t>
  </si>
  <si>
    <t>SP_0076_0</t>
  </si>
  <si>
    <t>SP_0076_2</t>
  </si>
  <si>
    <t>SP_0077_0</t>
  </si>
  <si>
    <t>SP_0078_0</t>
  </si>
  <si>
    <t>SP_0079_0</t>
  </si>
  <si>
    <t>SP_0080_0</t>
  </si>
  <si>
    <t>SP_0080_2</t>
  </si>
  <si>
    <t>SP_0081_0</t>
  </si>
  <si>
    <t>SP_0081_2</t>
  </si>
  <si>
    <t>SP_0082_0</t>
  </si>
  <si>
    <t>SP_0082_2</t>
  </si>
  <si>
    <t>SP_0083_0</t>
  </si>
  <si>
    <t>SP_0083_2</t>
  </si>
  <si>
    <t>SP_0087_0</t>
  </si>
  <si>
    <t>SP_0087_2</t>
  </si>
  <si>
    <t>SP_0088_0</t>
  </si>
  <si>
    <t>SP_0089_0</t>
  </si>
  <si>
    <t>SP_0089_2</t>
  </si>
  <si>
    <t>SP_0090_0</t>
  </si>
  <si>
    <t>SP_0091_0</t>
  </si>
  <si>
    <t>SP_0091_2</t>
  </si>
  <si>
    <t>SP_0100_0</t>
  </si>
  <si>
    <t>SP_0103_0</t>
  </si>
  <si>
    <t>SP_0103_2</t>
  </si>
  <si>
    <t>SP_0104_0</t>
  </si>
  <si>
    <t>SP_0105_0</t>
  </si>
  <si>
    <t>SP_0106_0</t>
  </si>
  <si>
    <t>SP_0107_0</t>
  </si>
  <si>
    <t>SP_0107_2</t>
  </si>
  <si>
    <t>SP_0108_0</t>
  </si>
  <si>
    <t>SP_0108_2</t>
  </si>
  <si>
    <t>SP_0109_0</t>
  </si>
  <si>
    <t>SP_0109_2</t>
  </si>
  <si>
    <t>SP_0110_0</t>
  </si>
  <si>
    <t>SP_0110_2</t>
  </si>
  <si>
    <t>SP_0111_0</t>
  </si>
  <si>
    <t>SP_0112_0</t>
  </si>
  <si>
    <t>SP_0113_0</t>
  </si>
  <si>
    <t>SP_0113_2</t>
  </si>
  <si>
    <t>SP_0114_0</t>
  </si>
  <si>
    <t>SP_0121_0</t>
  </si>
  <si>
    <t>SP_0130_0</t>
  </si>
  <si>
    <t>SP_0132_0</t>
  </si>
  <si>
    <t>SP_0133_0</t>
  </si>
  <si>
    <t>SP_0134_0</t>
  </si>
  <si>
    <t>SP_0134_2</t>
  </si>
  <si>
    <t>SP_0135_0</t>
  </si>
  <si>
    <t>SP_0135_2</t>
  </si>
  <si>
    <t>SP_0265_0</t>
  </si>
  <si>
    <t>SP_0265_2</t>
  </si>
  <si>
    <t>SP_0268_0</t>
  </si>
  <si>
    <t>SP_0268_2</t>
  </si>
  <si>
    <t>SP_0269_0</t>
  </si>
  <si>
    <t>SP_0269_2</t>
  </si>
  <si>
    <t>SP_0270_0</t>
  </si>
  <si>
    <t>SP_0270_2</t>
  </si>
  <si>
    <t>SP_0271_0</t>
  </si>
  <si>
    <t>SP_0271_2</t>
  </si>
  <si>
    <t>SP_0272_0</t>
  </si>
  <si>
    <t>SP_0272_2</t>
  </si>
  <si>
    <t>SP_0275_0</t>
  </si>
  <si>
    <t>SP_0313_0</t>
  </si>
  <si>
    <t>SP_0313_2</t>
  </si>
  <si>
    <t>SP_0314_0</t>
  </si>
  <si>
    <t>SP_0314_2</t>
  </si>
  <si>
    <t>SP_0315_0</t>
  </si>
  <si>
    <t>SP_0315_2</t>
  </si>
  <si>
    <t>SP_0316_0</t>
  </si>
  <si>
    <t>SP_0316_2</t>
  </si>
  <si>
    <t>SP_0319_0</t>
  </si>
  <si>
    <t>SP_0323_0</t>
  </si>
  <si>
    <t>SP_0323_2</t>
  </si>
  <si>
    <t>SP_0328_0</t>
  </si>
  <si>
    <t>SP_0328_2</t>
  </si>
  <si>
    <t>SP_0335_0</t>
  </si>
  <si>
    <t>SP_0336_0</t>
  </si>
  <si>
    <t>SP_0336_2</t>
  </si>
  <si>
    <t>SP_0341_0</t>
  </si>
  <si>
    <t>SP_0341_2</t>
  </si>
  <si>
    <t>SP_0347_0</t>
  </si>
  <si>
    <t>SP_0347_2</t>
  </si>
  <si>
    <t>SP_0348_0</t>
  </si>
  <si>
    <t>SP_0349_0</t>
  </si>
  <si>
    <t>SP_0349_2</t>
  </si>
  <si>
    <t>SP_0350_0</t>
  </si>
  <si>
    <t>SP_0350_2</t>
  </si>
  <si>
    <t>SP_0351_0</t>
  </si>
  <si>
    <t>SP_0353_0</t>
  </si>
  <si>
    <t>SP_0353_2</t>
  </si>
  <si>
    <t>SP_0359_0</t>
  </si>
  <si>
    <t>SP_0359_2</t>
  </si>
  <si>
    <t>SP_0364_0</t>
  </si>
  <si>
    <t>SP_0366_0</t>
  </si>
  <si>
    <t>SP_0366_2</t>
  </si>
  <si>
    <t>SP_0367_0</t>
  </si>
  <si>
    <t>SP_0367_2</t>
  </si>
  <si>
    <t>SP_0369_0</t>
  </si>
  <si>
    <t>SP_0369_2</t>
  </si>
  <si>
    <t>SP_0375_0</t>
  </si>
  <si>
    <t>SP_0377_0</t>
  </si>
  <si>
    <t>SP_0377_2</t>
  </si>
  <si>
    <t>SP_0378_0</t>
  </si>
  <si>
    <t>SP_0380_0</t>
  </si>
  <si>
    <t>SP_0380_2</t>
  </si>
  <si>
    <t>SP_0385_0</t>
  </si>
  <si>
    <t>SP_0385_2</t>
  </si>
  <si>
    <t>SP_0387_0</t>
  </si>
  <si>
    <t>SP_0387_2</t>
  </si>
  <si>
    <t>SP_0391_0</t>
  </si>
  <si>
    <t>SP_0391_2</t>
  </si>
  <si>
    <t>SP_0392_0</t>
  </si>
  <si>
    <t>SP_0392_2</t>
  </si>
  <si>
    <t>SP_0393_0</t>
  </si>
  <si>
    <t>SP_0393_2</t>
  </si>
  <si>
    <t>SP_0397_0</t>
  </si>
  <si>
    <t>SP_0397_2</t>
  </si>
  <si>
    <t>SP_0398_0</t>
  </si>
  <si>
    <t>SP_0398_2</t>
  </si>
  <si>
    <t>SP_0399_0</t>
  </si>
  <si>
    <t>SP_0399_2</t>
  </si>
  <si>
    <t>SP_0400_0</t>
  </si>
  <si>
    <t>SP_0404_0</t>
  </si>
  <si>
    <t>SP_0405_0</t>
  </si>
  <si>
    <t>SP_0412_0</t>
  </si>
  <si>
    <t>SP_0420_0</t>
  </si>
  <si>
    <t>SP_0420_2</t>
  </si>
  <si>
    <t>SP_0421_0</t>
  </si>
  <si>
    <t>SP_0421_2</t>
  </si>
  <si>
    <t>SP_0425_0</t>
  </si>
  <si>
    <t>SP_0425_2</t>
  </si>
  <si>
    <t>SP_0434_0</t>
  </si>
  <si>
    <t>SP_0434_2</t>
  </si>
  <si>
    <t>SP_0435_0</t>
  </si>
  <si>
    <t>SP_0435_2</t>
  </si>
  <si>
    <t>SP_0436_0</t>
  </si>
  <si>
    <t>SP_0437_0</t>
  </si>
  <si>
    <t>SP_0437_2</t>
  </si>
  <si>
    <t>SP_0438_0</t>
  </si>
  <si>
    <t>SP_0438_2</t>
  </si>
  <si>
    <t>SP_0439_0</t>
  </si>
  <si>
    <t>SP_0439_2</t>
  </si>
  <si>
    <t>SP_0458_0</t>
  </si>
  <si>
    <t>SP_0458_2</t>
  </si>
  <si>
    <t>SP_0459_0</t>
  </si>
  <si>
    <t>SP_0461_0</t>
  </si>
  <si>
    <t>SP_0461_2</t>
  </si>
  <si>
    <t>SP_0485_0</t>
  </si>
  <si>
    <t>SP_0485_2</t>
  </si>
  <si>
    <t>SP_0486_0</t>
  </si>
  <si>
    <t>SP_0486_2</t>
  </si>
  <si>
    <t>SP_0487_0</t>
  </si>
  <si>
    <t>SP_0487_2</t>
  </si>
  <si>
    <t>SP_0488_0</t>
  </si>
  <si>
    <t>SP_0488_2</t>
  </si>
  <si>
    <t>SP_0489_0</t>
  </si>
  <si>
    <t>SP_0489_2</t>
  </si>
  <si>
    <t>SP_0498_0</t>
  </si>
  <si>
    <t>SP_0498_2</t>
  </si>
  <si>
    <t>SP_0499_0</t>
  </si>
  <si>
    <t>SP_0499_2</t>
  </si>
  <si>
    <t>X_0001_CN</t>
  </si>
  <si>
    <t>X_0001_CR</t>
  </si>
  <si>
    <t>X_0001_DR</t>
  </si>
  <si>
    <t>X_0002_CR</t>
  </si>
  <si>
    <t>X_0003_CN</t>
  </si>
  <si>
    <t>X_0003_CR</t>
  </si>
  <si>
    <t>X_0003_CS</t>
  </si>
  <si>
    <t>X_0004_CN</t>
  </si>
  <si>
    <t>X_0004_CR</t>
  </si>
  <si>
    <t>X_0004_CS</t>
  </si>
  <si>
    <t>X_0005_CN</t>
  </si>
  <si>
    <t>X_0005_CR</t>
  </si>
  <si>
    <t>X_0005_CS</t>
  </si>
  <si>
    <t>X_0006_CN</t>
  </si>
  <si>
    <t>X_0006_CR</t>
  </si>
  <si>
    <t>X_0007_CN</t>
  </si>
  <si>
    <t>X_0007_CN_1</t>
  </si>
  <si>
    <t>X_0007_CN_3</t>
  </si>
  <si>
    <t>X_0007_CR</t>
  </si>
  <si>
    <t>X_0007_CR_2</t>
  </si>
  <si>
    <t>X_0008_CN_1</t>
  </si>
  <si>
    <t>X_0008_CN_3</t>
  </si>
  <si>
    <t>X_0008_CR</t>
  </si>
  <si>
    <t>X_0008_CR_2</t>
  </si>
  <si>
    <t>X_0008_CS</t>
  </si>
  <si>
    <t>X_0008_CS_1</t>
  </si>
  <si>
    <t>X_0009_CN</t>
  </si>
  <si>
    <t>X_0009_CR</t>
  </si>
  <si>
    <t>X_0010_CN</t>
  </si>
  <si>
    <t>X_0010_CN_1</t>
  </si>
  <si>
    <t>X_0010_CN_3</t>
  </si>
  <si>
    <t>X_0010_CR</t>
  </si>
  <si>
    <t>X_0010_CR_2</t>
  </si>
  <si>
    <t>X_0010_CS_3</t>
  </si>
  <si>
    <t>X_0011_CR</t>
  </si>
  <si>
    <t>X_0011_CS</t>
  </si>
  <si>
    <t>X_0011_DN</t>
  </si>
  <si>
    <t>X_0012_CN</t>
  </si>
  <si>
    <t>X_0012_CR</t>
  </si>
  <si>
    <t>X_0012_CS</t>
  </si>
  <si>
    <t>X_0013_CN</t>
  </si>
  <si>
    <t>X_0013_CR</t>
  </si>
  <si>
    <t>X_0014_CN</t>
  </si>
  <si>
    <t>X_0014_CR</t>
  </si>
  <si>
    <t>X_0015_CN_1</t>
  </si>
  <si>
    <t>X_0015_CR</t>
  </si>
  <si>
    <t>X_0015_CR_2</t>
  </si>
  <si>
    <t>X_0016_CN</t>
  </si>
  <si>
    <t>X_0016_CR</t>
  </si>
  <si>
    <t>X_0016_CS</t>
  </si>
  <si>
    <t>X_0016_DN</t>
  </si>
  <si>
    <t>X_0017_CN</t>
  </si>
  <si>
    <t>X_0017_CR</t>
  </si>
  <si>
    <t>X_0017_DN</t>
  </si>
  <si>
    <t>X_0018_CN</t>
  </si>
  <si>
    <t>X_0018_CR</t>
  </si>
  <si>
    <t>X_0019_CN</t>
  </si>
  <si>
    <t>X_0019_CN_1</t>
  </si>
  <si>
    <t>X_0019_CR</t>
  </si>
  <si>
    <t>X_0019_CR_2</t>
  </si>
  <si>
    <t>X_0019_DN_3</t>
  </si>
  <si>
    <t>X_0019_DS_3</t>
  </si>
  <si>
    <t>X_0020_CN</t>
  </si>
  <si>
    <t>X_0020_CR</t>
  </si>
  <si>
    <t>X_0021_CN_1</t>
  </si>
  <si>
    <t>X_0021_CN_3</t>
  </si>
  <si>
    <t>X_0021_CR</t>
  </si>
  <si>
    <t>X_0021_CR_2</t>
  </si>
  <si>
    <t>X_0022_CN_1</t>
  </si>
  <si>
    <t>X_0022_CN_3</t>
  </si>
  <si>
    <t>X_0022_CR</t>
  </si>
  <si>
    <t>X_0022_CR_2</t>
  </si>
  <si>
    <t>X_0023_CN</t>
  </si>
  <si>
    <t>X_0023_CN_1</t>
  </si>
  <si>
    <t>X_0023_CN_3</t>
  </si>
  <si>
    <t>X_0023_CR</t>
  </si>
  <si>
    <t>X_0023_CR_2</t>
  </si>
  <si>
    <t>X_0024_CR</t>
  </si>
  <si>
    <t>X_0024_CR_2</t>
  </si>
  <si>
    <t>X_0024_CS_1</t>
  </si>
  <si>
    <t>X_0024_DS_3</t>
  </si>
  <si>
    <t>X_0025_BI</t>
  </si>
  <si>
    <t>X_0025_CR</t>
  </si>
  <si>
    <t>X_0025_CS</t>
  </si>
  <si>
    <t>X_0026_BS</t>
  </si>
  <si>
    <t>X_0026_CR</t>
  </si>
  <si>
    <t>X_0026_CS</t>
  </si>
  <si>
    <t>X_0027_CR</t>
  </si>
  <si>
    <t>X_0027_CS</t>
  </si>
  <si>
    <t>X_0028_CR</t>
  </si>
  <si>
    <t>X_0028_CS</t>
  </si>
  <si>
    <t>X_0029_BS</t>
  </si>
  <si>
    <t>X_0029_CR</t>
  </si>
  <si>
    <t>X_0029_CS</t>
  </si>
  <si>
    <t>X_0030_BI_3</t>
  </si>
  <si>
    <t>X_0030_BR_2</t>
  </si>
  <si>
    <t>X_0030_CS_3</t>
  </si>
  <si>
    <t>X_0031_CN_1</t>
  </si>
  <si>
    <t>X_0031_CN_3</t>
  </si>
  <si>
    <t>X_0031_CR</t>
  </si>
  <si>
    <t>X_0031_CR_2</t>
  </si>
  <si>
    <t>X_0031_DN</t>
  </si>
  <si>
    <t>X_0032_CN</t>
  </si>
  <si>
    <t>X_0032_CR</t>
  </si>
  <si>
    <t>X_0033_CN</t>
  </si>
  <si>
    <t>X_0033_CR</t>
  </si>
  <si>
    <t>X_0034_CN</t>
  </si>
  <si>
    <t>X_0034_CR</t>
  </si>
  <si>
    <t>X_0035_CN</t>
  </si>
  <si>
    <t>X_0035_CR</t>
  </si>
  <si>
    <t>X_0036_CR</t>
  </si>
  <si>
    <t>X_0036_CS</t>
  </si>
  <si>
    <t>X_0037_CN</t>
  </si>
  <si>
    <t>X_0037_CR</t>
  </si>
  <si>
    <t>X_0038_CN</t>
  </si>
  <si>
    <t>X_0038_CR</t>
  </si>
  <si>
    <t>X_0039_CN</t>
  </si>
  <si>
    <t>X_0039_CR</t>
  </si>
  <si>
    <t>X_0040_CN</t>
  </si>
  <si>
    <t>X_0040_CR</t>
  </si>
  <si>
    <t>X_0041_CN</t>
  </si>
  <si>
    <t>X_0041_CR</t>
  </si>
  <si>
    <t>X_0042_CN</t>
  </si>
  <si>
    <t>X_0042_CR</t>
  </si>
  <si>
    <t>X_0043_CN</t>
  </si>
  <si>
    <t>X_0043_CR</t>
  </si>
  <si>
    <t>X_0043_DN</t>
  </si>
  <si>
    <t>X_0044_CN</t>
  </si>
  <si>
    <t>X_0044_CR</t>
  </si>
  <si>
    <t>X_0044_CS</t>
  </si>
  <si>
    <t>X_0045_CN</t>
  </si>
  <si>
    <t>X_0045_CR</t>
  </si>
  <si>
    <t>X_0046_CN</t>
  </si>
  <si>
    <t>X_0046_CN_3</t>
  </si>
  <si>
    <t>X_0046_CR</t>
  </si>
  <si>
    <t>X_0046_CR_2</t>
  </si>
  <si>
    <t>X_0046_CS</t>
  </si>
  <si>
    <t>X_0046_DS_1</t>
  </si>
  <si>
    <t>X_0047_CN</t>
  </si>
  <si>
    <t>X_0047_CN_1</t>
  </si>
  <si>
    <t>X_0047_CN_3</t>
  </si>
  <si>
    <t>X_0047_CR</t>
  </si>
  <si>
    <t>X_0047_CR_2</t>
  </si>
  <si>
    <t>X_0048_CN</t>
  </si>
  <si>
    <t>X_0048_CR</t>
  </si>
  <si>
    <t>X_0048_CR_2</t>
  </si>
  <si>
    <t>X_0048_CS_1</t>
  </si>
  <si>
    <t>X_0048_DN_3</t>
  </si>
  <si>
    <t>X_0049_CN</t>
  </si>
  <si>
    <t>X_0049_CR</t>
  </si>
  <si>
    <t>X_0050_CN</t>
  </si>
  <si>
    <t>X_0050_CR</t>
  </si>
  <si>
    <t>X_0050_DN</t>
  </si>
  <si>
    <t>X_0051_CR</t>
  </si>
  <si>
    <t>X_0051_CS</t>
  </si>
  <si>
    <t>X_0052_CN</t>
  </si>
  <si>
    <t>X_0052_CR</t>
  </si>
  <si>
    <t>X_0053_CN</t>
  </si>
  <si>
    <t>X_0053_CR</t>
  </si>
  <si>
    <t>X_0054_CN</t>
  </si>
  <si>
    <t>X_0054_CR</t>
  </si>
  <si>
    <t>X_0055_CN</t>
  </si>
  <si>
    <t>X_0055_CR</t>
  </si>
  <si>
    <t>X_0056_CN</t>
  </si>
  <si>
    <t>X_0056_CR</t>
  </si>
  <si>
    <t>X_0057_CN</t>
  </si>
  <si>
    <t>X_0057_CR</t>
  </si>
  <si>
    <t>X_0058_CN</t>
  </si>
  <si>
    <t>X_0058_CR</t>
  </si>
  <si>
    <t>X_0058_DN</t>
  </si>
  <si>
    <t>X_0059_CN</t>
  </si>
  <si>
    <t>X_0059_CR</t>
  </si>
  <si>
    <t>X_0060_CN</t>
  </si>
  <si>
    <t>X_0060_CR</t>
  </si>
  <si>
    <t>X_0061_CN</t>
  </si>
  <si>
    <t>X_0061_CR</t>
  </si>
  <si>
    <t>X_0062_CN</t>
  </si>
  <si>
    <t>X_0062_CR</t>
  </si>
  <si>
    <t>X_0063_CN</t>
  </si>
  <si>
    <t>X_0063_CR</t>
  </si>
  <si>
    <t>X_0064_CN</t>
  </si>
  <si>
    <t>X_0064_CR</t>
  </si>
  <si>
    <t>X_0065_CN</t>
  </si>
  <si>
    <t>X_0065_CR</t>
  </si>
  <si>
    <t>X_0066_CN</t>
  </si>
  <si>
    <t>X_0066_CR</t>
  </si>
  <si>
    <t>X_0067_CN</t>
  </si>
  <si>
    <t>X_0067_CR</t>
  </si>
  <si>
    <t>X_0067_DN</t>
  </si>
  <si>
    <t>X_0068_CN</t>
  </si>
  <si>
    <t>X_0068_CR</t>
  </si>
  <si>
    <t>X_0069_CN</t>
  </si>
  <si>
    <t>X_0069_CR</t>
  </si>
  <si>
    <t>X_0069_DS</t>
  </si>
  <si>
    <t>X_0070_CN</t>
  </si>
  <si>
    <t>X_0070_CR</t>
  </si>
  <si>
    <t>X_0071_CN</t>
  </si>
  <si>
    <t>X_0071_CR</t>
  </si>
  <si>
    <t>X_0072_CN</t>
  </si>
  <si>
    <t>X_0072_CR</t>
  </si>
  <si>
    <t>X_0073_CN</t>
  </si>
  <si>
    <t>X_0073_CR</t>
  </si>
  <si>
    <t>X_0073_DN</t>
  </si>
  <si>
    <t>X_0074_CN</t>
  </si>
  <si>
    <t>X_0074_CN_3</t>
  </si>
  <si>
    <t>X_0074_CR</t>
  </si>
  <si>
    <t>X_0074_CR_2</t>
  </si>
  <si>
    <t>X_0074_CS_1</t>
  </si>
  <si>
    <t>X_0075_CN</t>
  </si>
  <si>
    <t>X_0075_CR</t>
  </si>
  <si>
    <t>X_0075_DS_1</t>
  </si>
  <si>
    <t>X_0075_DS_3</t>
  </si>
  <si>
    <t>X_0076_CN</t>
  </si>
  <si>
    <t>X_0076_CN_1</t>
  </si>
  <si>
    <t>X_0076_CN_3</t>
  </si>
  <si>
    <t>X_0076_CR</t>
  </si>
  <si>
    <t>X_0076_CR_2</t>
  </si>
  <si>
    <t>X_0076_CS_3</t>
  </si>
  <si>
    <t>X_0077_CN</t>
  </si>
  <si>
    <t>X_0077_CR</t>
  </si>
  <si>
    <t>X_0078_CN</t>
  </si>
  <si>
    <t>X_0078_CR</t>
  </si>
  <si>
    <t>X_0079_CN</t>
  </si>
  <si>
    <t>X_0079_CR</t>
  </si>
  <si>
    <t>X_0079_CS</t>
  </si>
  <si>
    <t>X_0080_CN</t>
  </si>
  <si>
    <t>X_0080_CN_1</t>
  </si>
  <si>
    <t>X_0080_CN_3</t>
  </si>
  <si>
    <t>X_0080_CR</t>
  </si>
  <si>
    <t>X_0080_CR_2</t>
  </si>
  <si>
    <t>X_0080_CS_1</t>
  </si>
  <si>
    <t>X_0081_CN</t>
  </si>
  <si>
    <t>X_0081_CN_1</t>
  </si>
  <si>
    <t>X_0081_CN_3</t>
  </si>
  <si>
    <t>X_0081_CR</t>
  </si>
  <si>
    <t>X_0081_CR_2</t>
  </si>
  <si>
    <t>X_0082_CN_1</t>
  </si>
  <si>
    <t>X_0082_CN_3</t>
  </si>
  <si>
    <t>X_0082_CR</t>
  </si>
  <si>
    <t>X_0082_CR_2</t>
  </si>
  <si>
    <t>X_0082_CS</t>
  </si>
  <si>
    <t>X_0082_CS_1</t>
  </si>
  <si>
    <t>X_0082_CS_3</t>
  </si>
  <si>
    <t>X_0083_CN_3</t>
  </si>
  <si>
    <t>X_0083_CR</t>
  </si>
  <si>
    <t>X_0083_CR_2</t>
  </si>
  <si>
    <t>X_0083_CS_1</t>
  </si>
  <si>
    <t>X_0084_CN</t>
  </si>
  <si>
    <t>X_0084_CR</t>
  </si>
  <si>
    <t>X_0085_CN</t>
  </si>
  <si>
    <t>X_0085_CR</t>
  </si>
  <si>
    <t>X_0086_CN</t>
  </si>
  <si>
    <t>X_0086_CR</t>
  </si>
  <si>
    <t>X_0086_DN</t>
  </si>
  <si>
    <t>X_0087_CN</t>
  </si>
  <si>
    <t>X_0087_CN_1</t>
  </si>
  <si>
    <t>X_0087_CN_3</t>
  </si>
  <si>
    <t>X_0087_CR</t>
  </si>
  <si>
    <t>X_0087_CR_2</t>
  </si>
  <si>
    <t>X_0088_CN</t>
  </si>
  <si>
    <t>X_0088_CR</t>
  </si>
  <si>
    <t>X_0089_CN</t>
  </si>
  <si>
    <t>X_0089_CN_1</t>
  </si>
  <si>
    <t>X_0089_CN_3</t>
  </si>
  <si>
    <t>X_0089_CR</t>
  </si>
  <si>
    <t>X_0089_CR_2</t>
  </si>
  <si>
    <t>X_0090_CR</t>
  </si>
  <si>
    <t>X_0090_CS</t>
  </si>
  <si>
    <t>X_0091_CN</t>
  </si>
  <si>
    <t>X_0091_CN_1</t>
  </si>
  <si>
    <t>X_0091_CN_3</t>
  </si>
  <si>
    <t>X_0091_CR</t>
  </si>
  <si>
    <t>X_0091_CR_2</t>
  </si>
  <si>
    <t>X_0092_CN</t>
  </si>
  <si>
    <t>X_0092_CR</t>
  </si>
  <si>
    <t>X_0093_CN</t>
  </si>
  <si>
    <t>X_0093_CR</t>
  </si>
  <si>
    <t>X_0094_CN</t>
  </si>
  <si>
    <t>X_0094_CR</t>
  </si>
  <si>
    <t>X_0095_CN</t>
  </si>
  <si>
    <t>X_0095_CR</t>
  </si>
  <si>
    <t>X_0096_CN</t>
  </si>
  <si>
    <t>X_0096_CR</t>
  </si>
  <si>
    <t>X_0097_CN</t>
  </si>
  <si>
    <t>X_0097_CR</t>
  </si>
  <si>
    <t>X_0098_CN</t>
  </si>
  <si>
    <t>X_0098_CR</t>
  </si>
  <si>
    <t>X_0098_CS</t>
  </si>
  <si>
    <t>X_0098_DS</t>
  </si>
  <si>
    <t>X_0099_CN</t>
  </si>
  <si>
    <t>X_0099_CR</t>
  </si>
  <si>
    <t>X_0099_CS</t>
  </si>
  <si>
    <t>X_0100_CN</t>
  </si>
  <si>
    <t>X_0100_CR</t>
  </si>
  <si>
    <t>X_0101_CN</t>
  </si>
  <si>
    <t>X_0101_CR</t>
  </si>
  <si>
    <t>X_0101_CS</t>
  </si>
  <si>
    <t>X_0102_CR</t>
  </si>
  <si>
    <t>X_0102_CS</t>
  </si>
  <si>
    <t>X_0103_CN</t>
  </si>
  <si>
    <t>X_0103_CN_1</t>
  </si>
  <si>
    <t>X_0103_CR</t>
  </si>
  <si>
    <t>X_0103_CR_2</t>
  </si>
  <si>
    <t>X_0103_CS_3</t>
  </si>
  <si>
    <t>X_0104_CN</t>
  </si>
  <si>
    <t>X_0104_CR</t>
  </si>
  <si>
    <t>X_0105_CN</t>
  </si>
  <si>
    <t>X_0105_CR</t>
  </si>
  <si>
    <t>X_0105_CS</t>
  </si>
  <si>
    <t>X_0106_CN</t>
  </si>
  <si>
    <t>X_0106_CR</t>
  </si>
  <si>
    <t>X_0106_CS</t>
  </si>
  <si>
    <t>X_0107_CN</t>
  </si>
  <si>
    <t>X_0107_CN_1</t>
  </si>
  <si>
    <t>X_0107_CN_3</t>
  </si>
  <si>
    <t>X_0107_CR</t>
  </si>
  <si>
    <t>X_0107_CR_2</t>
  </si>
  <si>
    <t>X_0108_CN_1</t>
  </si>
  <si>
    <t>X_0108_CN_3</t>
  </si>
  <si>
    <t>X_0108_CR</t>
  </si>
  <si>
    <t>X_0108_CR_2</t>
  </si>
  <si>
    <t>X_0108_CS</t>
  </si>
  <si>
    <t>X_0109_CN</t>
  </si>
  <si>
    <t>X_0109_CN_1</t>
  </si>
  <si>
    <t>X_0109_CN_3</t>
  </si>
  <si>
    <t>X_0109_CR</t>
  </si>
  <si>
    <t>X_0109_CR_2</t>
  </si>
  <si>
    <t>X_0110_CN</t>
  </si>
  <si>
    <t>X_0110_CN_3</t>
  </si>
  <si>
    <t>X_0110_CR</t>
  </si>
  <si>
    <t>X_0110_CR_2</t>
  </si>
  <si>
    <t>X_0110_CS_1</t>
  </si>
  <si>
    <t>X_0110_CS_3</t>
  </si>
  <si>
    <t>X_0110_DN_1</t>
  </si>
  <si>
    <t>X_0111_CR</t>
  </si>
  <si>
    <t>X_0112_CN</t>
  </si>
  <si>
    <t>X_0112_CS</t>
  </si>
  <si>
    <t>X_0113_CR_2</t>
  </si>
  <si>
    <t>X_0113_CS_3</t>
  </si>
  <si>
    <t>X_0114_CN</t>
  </si>
  <si>
    <t>X_0114_CR</t>
  </si>
  <si>
    <t>X_0115_CN</t>
  </si>
  <si>
    <t>X_0115_CR</t>
  </si>
  <si>
    <t>X_0116_CN</t>
  </si>
  <si>
    <t>X_0116_CR</t>
  </si>
  <si>
    <t>X_0117_CN</t>
  </si>
  <si>
    <t>X_0117_CR</t>
  </si>
  <si>
    <t>X_0117_DN</t>
  </si>
  <si>
    <t>X_0118_CN</t>
  </si>
  <si>
    <t>X_0118_CR</t>
  </si>
  <si>
    <t>X_0119_CN</t>
  </si>
  <si>
    <t>X_0119_CR</t>
  </si>
  <si>
    <t>X_0120_CN</t>
  </si>
  <si>
    <t>X_0120_CR</t>
  </si>
  <si>
    <t>X_0121_CN</t>
  </si>
  <si>
    <t>X_0121_CR</t>
  </si>
  <si>
    <t>X_0122_CN</t>
  </si>
  <si>
    <t>X_0122_CR</t>
  </si>
  <si>
    <t>X_0123_CN</t>
  </si>
  <si>
    <t>X_0123_CR</t>
  </si>
  <si>
    <t>X_0124_CN</t>
  </si>
  <si>
    <t>X_0124_CR</t>
  </si>
  <si>
    <t>X_0124_CS</t>
  </si>
  <si>
    <t>X_0125_CN</t>
  </si>
  <si>
    <t>X_0125_CR</t>
  </si>
  <si>
    <t>X_0126_CN</t>
  </si>
  <si>
    <t>X_0126_CR</t>
  </si>
  <si>
    <t>X_0127_CN</t>
  </si>
  <si>
    <t>X_0127_CR</t>
  </si>
  <si>
    <t>X_0127_CS</t>
  </si>
  <si>
    <t>X_0128_CN</t>
  </si>
  <si>
    <t>X_0128_CR</t>
  </si>
  <si>
    <t>X_0129_CN</t>
  </si>
  <si>
    <t>X_0129_CR</t>
  </si>
  <si>
    <t>X_0129_CS</t>
  </si>
  <si>
    <t>X_0130_CN</t>
  </si>
  <si>
    <t>X_0130_CR</t>
  </si>
  <si>
    <t>X_0130_CS</t>
  </si>
  <si>
    <t>X_0131_CN</t>
  </si>
  <si>
    <t>X_0131_CR</t>
  </si>
  <si>
    <t>X_0132_CN</t>
  </si>
  <si>
    <t>X_0132_CR</t>
  </si>
  <si>
    <t>X_0132_CS</t>
  </si>
  <si>
    <t>X_0133_CN</t>
  </si>
  <si>
    <t>X_0133_CR</t>
  </si>
  <si>
    <t>X_0133_CS</t>
  </si>
  <si>
    <t>X_0134_CN_1</t>
  </si>
  <si>
    <t>X_0134_CN_3</t>
  </si>
  <si>
    <t>X_0134_CR</t>
  </si>
  <si>
    <t>X_0134_CR_2</t>
  </si>
  <si>
    <t>X_0135_CN</t>
  </si>
  <si>
    <t>X_0135_CN_1</t>
  </si>
  <si>
    <t>X_0135_CN_3</t>
  </si>
  <si>
    <t>X_0135_CR</t>
  </si>
  <si>
    <t>X_0135_CR_2</t>
  </si>
  <si>
    <t>X_0135_DS_1</t>
  </si>
  <si>
    <t>X_0136_CN</t>
  </si>
  <si>
    <t>X_0136_CR</t>
  </si>
  <si>
    <t>X_0137_CN</t>
  </si>
  <si>
    <t>X_0137_CR</t>
  </si>
  <si>
    <t>X_0138_CN</t>
  </si>
  <si>
    <t>X_0138_CR</t>
  </si>
  <si>
    <t>X_0139_CN</t>
  </si>
  <si>
    <t>X_0139_CR</t>
  </si>
  <si>
    <t>X_0140_CN</t>
  </si>
  <si>
    <t>X_0140_CR</t>
  </si>
  <si>
    <t>X_0141_CN</t>
  </si>
  <si>
    <t>X_0141_CR</t>
  </si>
  <si>
    <t>X_0142_CN</t>
  </si>
  <si>
    <t>X_0142_CR</t>
  </si>
  <si>
    <t>X_0143_CN</t>
  </si>
  <si>
    <t>X_0143_CR</t>
  </si>
  <si>
    <t>X_0144_CN</t>
  </si>
  <si>
    <t>X_0144_CR</t>
  </si>
  <si>
    <t>X_0145_CN</t>
  </si>
  <si>
    <t>X_0145_CR</t>
  </si>
  <si>
    <t>X_0146_CR</t>
  </si>
  <si>
    <t>X_0146_CS</t>
  </si>
  <si>
    <t>X_0147_CN</t>
  </si>
  <si>
    <t>X_0147_CR</t>
  </si>
  <si>
    <t>X_0147_DN</t>
  </si>
  <si>
    <t>X_0148_CN</t>
  </si>
  <si>
    <t>X_0148_CR</t>
  </si>
  <si>
    <t>X_0149_CN</t>
  </si>
  <si>
    <t>X_0149_CR</t>
  </si>
  <si>
    <t>X_0150_CN</t>
  </si>
  <si>
    <t>X_0150_CR</t>
  </si>
  <si>
    <t>X_0151_CN</t>
  </si>
  <si>
    <t>X_0151_CR</t>
  </si>
  <si>
    <t>X_0151_CS</t>
  </si>
  <si>
    <t>X_0152_CN</t>
  </si>
  <si>
    <t>X_0152_CR</t>
  </si>
  <si>
    <t>X_0152_DN</t>
  </si>
  <si>
    <t>X_0153_CN</t>
  </si>
  <si>
    <t>X_0153_CR</t>
  </si>
  <si>
    <t>X_0154_CN</t>
  </si>
  <si>
    <t>X_0154_CR</t>
  </si>
  <si>
    <t>X_0155_CN</t>
  </si>
  <si>
    <t>X_0155_CR</t>
  </si>
  <si>
    <t>X_0156_CN</t>
  </si>
  <si>
    <t>X_0156_CR</t>
  </si>
  <si>
    <t>X_0156_CS</t>
  </si>
  <si>
    <t>X_0156_DN</t>
  </si>
  <si>
    <t>X_0157_CR</t>
  </si>
  <si>
    <t>X_0157_CS</t>
  </si>
  <si>
    <t>X_0158_CN</t>
  </si>
  <si>
    <t>X_0158_CR</t>
  </si>
  <si>
    <t>X_0159_CR</t>
  </si>
  <si>
    <t>X_0159_CS</t>
  </si>
  <si>
    <t>X_0159_DS</t>
  </si>
  <si>
    <t>X_0160_CR</t>
  </si>
  <si>
    <t>X_0160_CS</t>
  </si>
  <si>
    <t>X_0161_CN</t>
  </si>
  <si>
    <t>X_0161_CR</t>
  </si>
  <si>
    <t>X_0162_CN</t>
  </si>
  <si>
    <t>X_0162_CR</t>
  </si>
  <si>
    <t>X_0163_CN</t>
  </si>
  <si>
    <t>X_0163_CR</t>
  </si>
  <si>
    <t>X_0164_CN</t>
  </si>
  <si>
    <t>X_0164_CR</t>
  </si>
  <si>
    <t>X_0165_CN</t>
  </si>
  <si>
    <t>X_0165_CR</t>
  </si>
  <si>
    <t>X_0166_CN</t>
  </si>
  <si>
    <t>X_0166_CR</t>
  </si>
  <si>
    <t>X_0167_CN</t>
  </si>
  <si>
    <t>X_0167_CR</t>
  </si>
  <si>
    <t>X_0167_CS</t>
  </si>
  <si>
    <t>X_0168_CR</t>
  </si>
  <si>
    <t>X_0168_CS</t>
  </si>
  <si>
    <t>X_0169_CR</t>
  </si>
  <si>
    <t>X_0169_CS</t>
  </si>
  <si>
    <t>X_0170_CN</t>
  </si>
  <si>
    <t>X_0170_CR</t>
  </si>
  <si>
    <t>X_0171_CN</t>
  </si>
  <si>
    <t>X_0171_CR</t>
  </si>
  <si>
    <t>X_0172_CN</t>
  </si>
  <si>
    <t>X_0172_CR</t>
  </si>
  <si>
    <t>X_0172_CS</t>
  </si>
  <si>
    <t>X_0172_DS</t>
  </si>
  <si>
    <t>X_0173_CR</t>
  </si>
  <si>
    <t>X_0173_CS</t>
  </si>
  <si>
    <t>X_0173_DS</t>
  </si>
  <si>
    <t>X_0174_CN</t>
  </si>
  <si>
    <t>X_0174_CR</t>
  </si>
  <si>
    <t>X_0174_DN</t>
  </si>
  <si>
    <t>X_0175_CN</t>
  </si>
  <si>
    <t>X_0175_DR</t>
  </si>
  <si>
    <t>X_0176_CN</t>
  </si>
  <si>
    <t>X_0176_CR</t>
  </si>
  <si>
    <t>X_0177_CN</t>
  </si>
  <si>
    <t>X_0177_CR</t>
  </si>
  <si>
    <t>X_0178_CN</t>
  </si>
  <si>
    <t>X_0178_CR</t>
  </si>
  <si>
    <t>X_0179_BS</t>
  </si>
  <si>
    <t>X_0179_CN</t>
  </si>
  <si>
    <t>X_0180_BN</t>
  </si>
  <si>
    <t>X_0180_BR</t>
  </si>
  <si>
    <t>X_0181_BR</t>
  </si>
  <si>
    <t>X_0181_BS</t>
  </si>
  <si>
    <t>X_0181_CN</t>
  </si>
  <si>
    <t>X_0182_CN</t>
  </si>
  <si>
    <t>X_0182_CR</t>
  </si>
  <si>
    <t>X_0182_CS</t>
  </si>
  <si>
    <t>X_0183_CN</t>
  </si>
  <si>
    <t>X_0183_CR</t>
  </si>
  <si>
    <t>X_0184_BS</t>
  </si>
  <si>
    <t>X_0184_CN</t>
  </si>
  <si>
    <t>X_0184_CR</t>
  </si>
  <si>
    <t>X_0185_BI</t>
  </si>
  <si>
    <t>X_0185_BS</t>
  </si>
  <si>
    <t>X_0185_CR</t>
  </si>
  <si>
    <t>X_0185_CS</t>
  </si>
  <si>
    <t>X_0186_BS</t>
  </si>
  <si>
    <t>X_0186_CS</t>
  </si>
  <si>
    <t>X_0187_BS</t>
  </si>
  <si>
    <t>X_0187_CR</t>
  </si>
  <si>
    <t>X_0187_CS</t>
  </si>
  <si>
    <t>X_0188_BN</t>
  </si>
  <si>
    <t>X_0188_CN</t>
  </si>
  <si>
    <t>X_0188_CR</t>
  </si>
  <si>
    <t>X_0189_CN</t>
  </si>
  <si>
    <t>X_0189_CR</t>
  </si>
  <si>
    <t>X_0190_BS</t>
  </si>
  <si>
    <t>X_0190_CR</t>
  </si>
  <si>
    <t>X_0190_CS</t>
  </si>
  <si>
    <t>X_0191_CR</t>
  </si>
  <si>
    <t>X_0191_CS</t>
  </si>
  <si>
    <t>X_0192_CN</t>
  </si>
  <si>
    <t>X_0192_CR</t>
  </si>
  <si>
    <t>X_0193_CN</t>
  </si>
  <si>
    <t>X_0193_CR</t>
  </si>
  <si>
    <t>X_0194_CR</t>
  </si>
  <si>
    <t>X_0194_CS</t>
  </si>
  <si>
    <t>X_0195_BS</t>
  </si>
  <si>
    <t>X_0195_CR</t>
  </si>
  <si>
    <t>X_0196_BS</t>
  </si>
  <si>
    <t>X_0196_CR</t>
  </si>
  <si>
    <t>X_0196_CS</t>
  </si>
  <si>
    <t>X_0197_CN</t>
  </si>
  <si>
    <t>X_0198_CN</t>
  </si>
  <si>
    <t>X_0199_BS</t>
  </si>
  <si>
    <t>X_0199_CR</t>
  </si>
  <si>
    <t>X_0199_CS</t>
  </si>
  <si>
    <t>X_0200_CN</t>
  </si>
  <si>
    <t>X_0200_CR</t>
  </si>
  <si>
    <t>X_0201_CN</t>
  </si>
  <si>
    <t>X_0201_CR</t>
  </si>
  <si>
    <t>X_0202_CS</t>
  </si>
  <si>
    <t>X_0203_CN</t>
  </si>
  <si>
    <t>X_0203_CR</t>
  </si>
  <si>
    <t>X_0204_CR</t>
  </si>
  <si>
    <t>X_0205_BS</t>
  </si>
  <si>
    <t>X_0205_CN</t>
  </si>
  <si>
    <t>X_0205_CR</t>
  </si>
  <si>
    <t>X_0205_CS</t>
  </si>
  <si>
    <t>X_0206_BS</t>
  </si>
  <si>
    <t>X_0206_CR</t>
  </si>
  <si>
    <t>X_0206_CS</t>
  </si>
  <si>
    <t>X_0207_CN</t>
  </si>
  <si>
    <t>X_0207_CR</t>
  </si>
  <si>
    <t>X_0207_CS</t>
  </si>
  <si>
    <t>X_0208_BN</t>
  </si>
  <si>
    <t>X_0208_BS</t>
  </si>
  <si>
    <t>X_0208_CN</t>
  </si>
  <si>
    <t>X_0208_CR</t>
  </si>
  <si>
    <t>X_0209_BS</t>
  </si>
  <si>
    <t>X_0209_CR</t>
  </si>
  <si>
    <t>X_0209_CS</t>
  </si>
  <si>
    <t>X_0210_BI</t>
  </si>
  <si>
    <t>X_0210_BR</t>
  </si>
  <si>
    <t>X_0210_CR</t>
  </si>
  <si>
    <t>X_0210_CS</t>
  </si>
  <si>
    <t>X_0211_BS</t>
  </si>
  <si>
    <t>X_0211_CN</t>
  </si>
  <si>
    <t>X_0211_CR</t>
  </si>
  <si>
    <t>X_0211_CS</t>
  </si>
  <si>
    <t>X_0212_CN</t>
  </si>
  <si>
    <t>X_0212_CR</t>
  </si>
  <si>
    <t>X_0213_CN</t>
  </si>
  <si>
    <t>X_0213_CR</t>
  </si>
  <si>
    <t>X_0214_CR</t>
  </si>
  <si>
    <t>X_0214_CS</t>
  </si>
  <si>
    <t>X_0215_BN</t>
  </si>
  <si>
    <t>X_0215_CN</t>
  </si>
  <si>
    <t>X_0215_CR</t>
  </si>
  <si>
    <t>X_0216_BS</t>
  </si>
  <si>
    <t>X_0216_CR</t>
  </si>
  <si>
    <t>X_0216_CS</t>
  </si>
  <si>
    <t>X_0217_BS</t>
  </si>
  <si>
    <t>X_0217_CN</t>
  </si>
  <si>
    <t>X_0217_CR</t>
  </si>
  <si>
    <t>X_0218_CN</t>
  </si>
  <si>
    <t>X_0218_CR</t>
  </si>
  <si>
    <t>X_0219_BI</t>
  </si>
  <si>
    <t>X_0219_BS</t>
  </si>
  <si>
    <t>X_0219_CR</t>
  </si>
  <si>
    <t>X_0219_CS</t>
  </si>
  <si>
    <t>X_0220_BS</t>
  </si>
  <si>
    <t>X_0220_CR</t>
  </si>
  <si>
    <t>X_0220_CS</t>
  </si>
  <si>
    <t>X_0221_BS</t>
  </si>
  <si>
    <t>X_0221_CR</t>
  </si>
  <si>
    <t>X_0221_CS</t>
  </si>
  <si>
    <t>X_0222_CR</t>
  </si>
  <si>
    <t>X_0222_CS</t>
  </si>
  <si>
    <t>X_0223_CR</t>
  </si>
  <si>
    <t>X_0223_CS</t>
  </si>
  <si>
    <t>X_0224_BN</t>
  </si>
  <si>
    <t>X_0224_CN</t>
  </si>
  <si>
    <t>X_0224_CR</t>
  </si>
  <si>
    <t>X_0225_CN</t>
  </si>
  <si>
    <t>X_0225_CR</t>
  </si>
  <si>
    <t>X_0226_BI</t>
  </si>
  <si>
    <t>X_0226_BS</t>
  </si>
  <si>
    <t>X_0226_CS</t>
  </si>
  <si>
    <t>X_0227_BN</t>
  </si>
  <si>
    <t>X_0227_CN</t>
  </si>
  <si>
    <t>X_0227_CR</t>
  </si>
  <si>
    <t>X_0228_BS</t>
  </si>
  <si>
    <t>X_0228_CR</t>
  </si>
  <si>
    <t>X_0228_CS</t>
  </si>
  <si>
    <t>X_0229_BS</t>
  </si>
  <si>
    <t>X_0229_CN</t>
  </si>
  <si>
    <t>X_0229_CR</t>
  </si>
  <si>
    <t>X_0229_CS</t>
  </si>
  <si>
    <t>X_0230_CN</t>
  </si>
  <si>
    <t>X_0230_CR</t>
  </si>
  <si>
    <t>X_0231_CN</t>
  </si>
  <si>
    <t>X_0231_CR</t>
  </si>
  <si>
    <t>X_0232_BS</t>
  </si>
  <si>
    <t>X_0232_CR</t>
  </si>
  <si>
    <t>X_0232_CS</t>
  </si>
  <si>
    <t>X_0233_BI</t>
  </si>
  <si>
    <t>X_0233_BS</t>
  </si>
  <si>
    <t>X_0233_CR</t>
  </si>
  <si>
    <t>X_0233_CS</t>
  </si>
  <si>
    <t>X_0234_BS</t>
  </si>
  <si>
    <t>X_0234_CN</t>
  </si>
  <si>
    <t>X_0234_CR</t>
  </si>
  <si>
    <t>X_0235_CN</t>
  </si>
  <si>
    <t>X_0235_CR</t>
  </si>
  <si>
    <t>X_0236_BN</t>
  </si>
  <si>
    <t>X_0236_CN</t>
  </si>
  <si>
    <t>X_0236_CS</t>
  </si>
  <si>
    <t>X_0237_CN</t>
  </si>
  <si>
    <t>X_0237_CR</t>
  </si>
  <si>
    <t>X_0238_CN</t>
  </si>
  <si>
    <t>X_0238_CR</t>
  </si>
  <si>
    <t>X_0239_BS</t>
  </si>
  <si>
    <t>X_0239_CR</t>
  </si>
  <si>
    <t>X_0239_CS</t>
  </si>
  <si>
    <t>X_0240_BS</t>
  </si>
  <si>
    <t>X_0240_CR</t>
  </si>
  <si>
    <t>X_0240_CS</t>
  </si>
  <si>
    <t>X_0241_BS</t>
  </si>
  <si>
    <t>X_0241_CN</t>
  </si>
  <si>
    <t>X_0241_CR</t>
  </si>
  <si>
    <t>X_0242_BI</t>
  </si>
  <si>
    <t>X_0242_CR</t>
  </si>
  <si>
    <t>X_0242_CS</t>
  </si>
  <si>
    <t>X_0243_BN</t>
  </si>
  <si>
    <t>X_0243_CN</t>
  </si>
  <si>
    <t>X_0243_CR</t>
  </si>
  <si>
    <t>X_0244_BS</t>
  </si>
  <si>
    <t>X_0244_CR</t>
  </si>
  <si>
    <t>X_0245_CN</t>
  </si>
  <si>
    <t>X_0245_CR</t>
  </si>
  <si>
    <t>X_0246_BS</t>
  </si>
  <si>
    <t>X_0246_CR</t>
  </si>
  <si>
    <t>X_0246_CS</t>
  </si>
  <si>
    <t>X_0247_CN</t>
  </si>
  <si>
    <t>X_0247_CS</t>
  </si>
  <si>
    <t>X_0248_BS</t>
  </si>
  <si>
    <t>X_0248_CN</t>
  </si>
  <si>
    <t>X_0248_CR</t>
  </si>
  <si>
    <t>X_0249_CN</t>
  </si>
  <si>
    <t>X_0249_CR</t>
  </si>
  <si>
    <t>X_0250_BS</t>
  </si>
  <si>
    <t>X_0250_CR</t>
  </si>
  <si>
    <t>X_0250_CS</t>
  </si>
  <si>
    <t>X_0251_BI</t>
  </si>
  <si>
    <t>X_0251_CR</t>
  </si>
  <si>
    <t>X_0251_CS</t>
  </si>
  <si>
    <t>X_0252_CR</t>
  </si>
  <si>
    <t>X_0252_CS</t>
  </si>
  <si>
    <t>X_0253_CN</t>
  </si>
  <si>
    <t>X_0254_CN</t>
  </si>
  <si>
    <t>X_0254_CR</t>
  </si>
  <si>
    <t>X_0255_BS</t>
  </si>
  <si>
    <t>X_0255_CN</t>
  </si>
  <si>
    <t>X_0255_CR</t>
  </si>
  <si>
    <t>X_0255_CS</t>
  </si>
  <si>
    <t>X_0256_BS</t>
  </si>
  <si>
    <t>X_0256_CR</t>
  </si>
  <si>
    <t>X_0256_CS</t>
  </si>
  <si>
    <t>X_0257_CN</t>
  </si>
  <si>
    <t>X_0257_CR</t>
  </si>
  <si>
    <t>X_0258_CN</t>
  </si>
  <si>
    <t>X_0258_CR</t>
  </si>
  <si>
    <t>X_0258_CS</t>
  </si>
  <si>
    <t>X_0259_CN</t>
  </si>
  <si>
    <t>X_0259_CR</t>
  </si>
  <si>
    <t>X_0260_BS</t>
  </si>
  <si>
    <t>X_0260_CR</t>
  </si>
  <si>
    <t>X_0260_CS</t>
  </si>
  <si>
    <t>X_0261_BS</t>
  </si>
  <si>
    <t>X_0261_CR</t>
  </si>
  <si>
    <t>X_0262_BS</t>
  </si>
  <si>
    <t>X_0262_CR</t>
  </si>
  <si>
    <t>X_0262_CS</t>
  </si>
  <si>
    <t>X_0263_BS</t>
  </si>
  <si>
    <t>X_0263_CN</t>
  </si>
  <si>
    <t>X_0263_CR</t>
  </si>
  <si>
    <t>X_0264_CR</t>
  </si>
  <si>
    <t>X_0264_CS</t>
  </si>
  <si>
    <t>X_0265_BI_1</t>
  </si>
  <si>
    <t>X_0265_BS_3</t>
  </si>
  <si>
    <t>X_0265_CR</t>
  </si>
  <si>
    <t>X_0265_CS</t>
  </si>
  <si>
    <t>X_0266_BN</t>
  </si>
  <si>
    <t>X_0266_BS</t>
  </si>
  <si>
    <t>X_0266_CR</t>
  </si>
  <si>
    <t>X_0267_CR</t>
  </si>
  <si>
    <t>X_0267_CS</t>
  </si>
  <si>
    <t>X_0268_CN_1</t>
  </si>
  <si>
    <t>X_0268_CR</t>
  </si>
  <si>
    <t>X_0268_CR_2</t>
  </si>
  <si>
    <t>X_0269_CN_1</t>
  </si>
  <si>
    <t>X_0269_CR</t>
  </si>
  <si>
    <t>X_0269_CR_2</t>
  </si>
  <si>
    <t>X_0270_BI_2</t>
  </si>
  <si>
    <t>X_0270_CN_1</t>
  </si>
  <si>
    <t>X_0270_CR</t>
  </si>
  <si>
    <t>X_0271_BI_3</t>
  </si>
  <si>
    <t>X_0271_BS_1</t>
  </si>
  <si>
    <t>X_0271_CN_1</t>
  </si>
  <si>
    <t>X_0271_CR</t>
  </si>
  <si>
    <t>X_0271_CR_2</t>
  </si>
  <si>
    <t>X_0271_CS_3</t>
  </si>
  <si>
    <t>X_0272_BN_3</t>
  </si>
  <si>
    <t>X_0272_CN</t>
  </si>
  <si>
    <t>X_0272_CN_1</t>
  </si>
  <si>
    <t>X_0272_CR</t>
  </si>
  <si>
    <t>X_0272_CR_2</t>
  </si>
  <si>
    <t>X_0273_BS</t>
  </si>
  <si>
    <t>X_0273_CR</t>
  </si>
  <si>
    <t>X_0274_CN</t>
  </si>
  <si>
    <t>X_0274_CR</t>
  </si>
  <si>
    <t>X_0275_BS</t>
  </si>
  <si>
    <t>X_0276_CN</t>
  </si>
  <si>
    <t>X_0276_CR</t>
  </si>
  <si>
    <t>X_0277_CN</t>
  </si>
  <si>
    <t>X_0277_CR</t>
  </si>
  <si>
    <t>X_0277_DN</t>
  </si>
  <si>
    <t>X_0278_CN</t>
  </si>
  <si>
    <t>X_0278_CR</t>
  </si>
  <si>
    <t>X_0279_CN</t>
  </si>
  <si>
    <t>X_0279_CR</t>
  </si>
  <si>
    <t>X_0280_CN</t>
  </si>
  <si>
    <t>X_0280_CR</t>
  </si>
  <si>
    <t>X_0280_DN</t>
  </si>
  <si>
    <t>X_0281_CN</t>
  </si>
  <si>
    <t>X_0281_CR</t>
  </si>
  <si>
    <t>X_0282_CN</t>
  </si>
  <si>
    <t>X_0282_CR</t>
  </si>
  <si>
    <t>X_0283_CN</t>
  </si>
  <si>
    <t>X_0283_CR</t>
  </si>
  <si>
    <t>X_0284_CN</t>
  </si>
  <si>
    <t>X_0284_CR</t>
  </si>
  <si>
    <t>X_0285_CN</t>
  </si>
  <si>
    <t>X_0285_CR</t>
  </si>
  <si>
    <t>X_0285_CS</t>
  </si>
  <si>
    <t>X_0286_CN</t>
  </si>
  <si>
    <t>X_0286_CR</t>
  </si>
  <si>
    <t>X_0287_CN</t>
  </si>
  <si>
    <t>X_0287_CR</t>
  </si>
  <si>
    <t>X_0287_DS</t>
  </si>
  <si>
    <t>X_0288_CN</t>
  </si>
  <si>
    <t>X_0288_CR</t>
  </si>
  <si>
    <t>X_0289_CN</t>
  </si>
  <si>
    <t>X_0289_CR</t>
  </si>
  <si>
    <t>X_0290_CN</t>
  </si>
  <si>
    <t>X_0290_CR</t>
  </si>
  <si>
    <t>X_0291_CN</t>
  </si>
  <si>
    <t>X_0291_CR</t>
  </si>
  <si>
    <t>X_0292_CN</t>
  </si>
  <si>
    <t>X_0292_CR</t>
  </si>
  <si>
    <t>X_0293_CN</t>
  </si>
  <si>
    <t>X_0293_CR</t>
  </si>
  <si>
    <t>X_0294_CN</t>
  </si>
  <si>
    <t>X_0294_DR</t>
  </si>
  <si>
    <t>X_0295_CN</t>
  </si>
  <si>
    <t>X_0295_CR</t>
  </si>
  <si>
    <t>X_0296_CN</t>
  </si>
  <si>
    <t>X_0296_CR</t>
  </si>
  <si>
    <t>X_0297_CN</t>
  </si>
  <si>
    <t>X_0297_CR</t>
  </si>
  <si>
    <t>X_0297_CS</t>
  </si>
  <si>
    <t>X_0298_CN</t>
  </si>
  <si>
    <t>X_0298_CR</t>
  </si>
  <si>
    <t>X_0299_CN</t>
  </si>
  <si>
    <t>X_0299_CR</t>
  </si>
  <si>
    <t>X_0299_DS</t>
  </si>
  <si>
    <t>X_0300_CN</t>
  </si>
  <si>
    <t>X_0300_CR</t>
  </si>
  <si>
    <t>X_0301_CN</t>
  </si>
  <si>
    <t>X_0301_CR</t>
  </si>
  <si>
    <t>X_0301_DN</t>
  </si>
  <si>
    <t>X_0302_CN</t>
  </si>
  <si>
    <t>X_0302_CR</t>
  </si>
  <si>
    <t>X_0302_CS</t>
  </si>
  <si>
    <t>X_0303_CN</t>
  </si>
  <si>
    <t>X_0303_CR</t>
  </si>
  <si>
    <t>X_0304_CN</t>
  </si>
  <si>
    <t>X_0304_CR</t>
  </si>
  <si>
    <t>X_0304_DN</t>
  </si>
  <si>
    <t>X_0305_CN</t>
  </si>
  <si>
    <t>X_0305_CR</t>
  </si>
  <si>
    <t>X_0306_CN</t>
  </si>
  <si>
    <t>X_0306_CR</t>
  </si>
  <si>
    <t>X_0307_CN</t>
  </si>
  <si>
    <t>X_0307_CR</t>
  </si>
  <si>
    <t>X_0308_CN</t>
  </si>
  <si>
    <t>X_0308_CR</t>
  </si>
  <si>
    <t>X_0309_CN</t>
  </si>
  <si>
    <t>X_0309_CR</t>
  </si>
  <si>
    <t>X_0310_CN</t>
  </si>
  <si>
    <t>X_0310_CR</t>
  </si>
  <si>
    <t>X_0310_CS</t>
  </si>
  <si>
    <t>X_0311_CN</t>
  </si>
  <si>
    <t>X_0311_CR</t>
  </si>
  <si>
    <t>X_0312_CN</t>
  </si>
  <si>
    <t>X_0312_CR</t>
  </si>
  <si>
    <t>X_0312_CS</t>
  </si>
  <si>
    <t>X_0313_CN_1</t>
  </si>
  <si>
    <t>X_0313_CN_3</t>
  </si>
  <si>
    <t>X_0313_CR</t>
  </si>
  <si>
    <t>X_0313_CR_2</t>
  </si>
  <si>
    <t>X_0313_DS_3</t>
  </si>
  <si>
    <t>X_0314_CN_1</t>
  </si>
  <si>
    <t>X_0314_CR</t>
  </si>
  <si>
    <t>X_0314_CR_2</t>
  </si>
  <si>
    <t>X_0314_CS</t>
  </si>
  <si>
    <t>X_0314_CS_3</t>
  </si>
  <si>
    <t>X_0315_CN</t>
  </si>
  <si>
    <t>X_0315_CN_1</t>
  </si>
  <si>
    <t>X_0315_CN_3</t>
  </si>
  <si>
    <t>X_0315_CR</t>
  </si>
  <si>
    <t>X_0315_CR_2</t>
  </si>
  <si>
    <t>X_0315_CS_1</t>
  </si>
  <si>
    <t>X_0316_CN</t>
  </si>
  <si>
    <t>X_0316_CN_3</t>
  </si>
  <si>
    <t>X_0316_CR</t>
  </si>
  <si>
    <t>X_0316_CR_2</t>
  </si>
  <si>
    <t>X_0316_CS_1</t>
  </si>
  <si>
    <t>X_0316_CS_3</t>
  </si>
  <si>
    <t>X_0317_CR</t>
  </si>
  <si>
    <t>X_0317_DN</t>
  </si>
  <si>
    <t>X_0317_DS</t>
  </si>
  <si>
    <t>X_0318_CN</t>
  </si>
  <si>
    <t>X_0318_CR</t>
  </si>
  <si>
    <t>X_0319_ES</t>
  </si>
  <si>
    <t>X_0319_FR</t>
  </si>
  <si>
    <t>X_0320_FR</t>
  </si>
  <si>
    <t>X_0321_FR</t>
  </si>
  <si>
    <t>X_0322_ES</t>
  </si>
  <si>
    <t>X_0322_FR</t>
  </si>
  <si>
    <t>X_0323_CN_3</t>
  </si>
  <si>
    <t>X_0323_CR</t>
  </si>
  <si>
    <t>X_0323_CR_2</t>
  </si>
  <si>
    <t>X_0324_CN</t>
  </si>
  <si>
    <t>X_0324_CR</t>
  </si>
  <si>
    <t>X_0325_CN</t>
  </si>
  <si>
    <t>X_0325_CR</t>
  </si>
  <si>
    <t>X_0326_CN</t>
  </si>
  <si>
    <t>X_0326_CR</t>
  </si>
  <si>
    <t>X_0327_CN</t>
  </si>
  <si>
    <t>X_0327_CR</t>
  </si>
  <si>
    <t>X_0327_DN</t>
  </si>
  <si>
    <t>X_0328_CN</t>
  </si>
  <si>
    <t>X_0328_CN_1</t>
  </si>
  <si>
    <t>X_0328_CN_3</t>
  </si>
  <si>
    <t>X_0328_CR</t>
  </si>
  <si>
    <t>X_0328_CR_2</t>
  </si>
  <si>
    <t>X_0329_CN</t>
  </si>
  <si>
    <t>X_0330_CN</t>
  </si>
  <si>
    <t>X_0330_CR</t>
  </si>
  <si>
    <t>X_0331_CN</t>
  </si>
  <si>
    <t>X_0331_CR</t>
  </si>
  <si>
    <t>X_0332_CN</t>
  </si>
  <si>
    <t>X_0332_CR</t>
  </si>
  <si>
    <t>X_0333_CN</t>
  </si>
  <si>
    <t>X_0333_CR</t>
  </si>
  <si>
    <t>X_0334_CN</t>
  </si>
  <si>
    <t>X_0334_CR</t>
  </si>
  <si>
    <t>X_0335_CN</t>
  </si>
  <si>
    <t>X_0335_CR</t>
  </si>
  <si>
    <t>X_0336_CN</t>
  </si>
  <si>
    <t>X_0336_CN_1</t>
  </si>
  <si>
    <t>X_0336_CN_3</t>
  </si>
  <si>
    <t>X_0336_CR</t>
  </si>
  <si>
    <t>X_0336_CR_2</t>
  </si>
  <si>
    <t>X_0336_DS_3</t>
  </si>
  <si>
    <t>X_0337_CN</t>
  </si>
  <si>
    <t>X_0337_CR</t>
  </si>
  <si>
    <t>X_0338_CN</t>
  </si>
  <si>
    <t>X_0338_CR</t>
  </si>
  <si>
    <t>X_0339_CN</t>
  </si>
  <si>
    <t>X_0339_CR</t>
  </si>
  <si>
    <t>X_0340_CN</t>
  </si>
  <si>
    <t>X_0340_CR</t>
  </si>
  <si>
    <t>X_0341_CN_1</t>
  </si>
  <si>
    <t>X_0341_CN_3</t>
  </si>
  <si>
    <t>X_0341_CR</t>
  </si>
  <si>
    <t>X_0341_CR_2</t>
  </si>
  <si>
    <t>X_0341_DS_3</t>
  </si>
  <si>
    <t>X_0342_CN</t>
  </si>
  <si>
    <t>X_0342_CR</t>
  </si>
  <si>
    <t>X_0342_CS</t>
  </si>
  <si>
    <t>X_0343_CN</t>
  </si>
  <si>
    <t>X_0343_CR</t>
  </si>
  <si>
    <t>X_0343_DN</t>
  </si>
  <si>
    <t>X_0344_CN</t>
  </si>
  <si>
    <t>X_0344_CR</t>
  </si>
  <si>
    <t>X_0344_DN</t>
  </si>
  <si>
    <t>X_0345_CN</t>
  </si>
  <si>
    <t>X_0345_CR</t>
  </si>
  <si>
    <t>X_0346_CN</t>
  </si>
  <si>
    <t>X_0346_CR</t>
  </si>
  <si>
    <t>X_0347_CN</t>
  </si>
  <si>
    <t>X_0347_CN_1</t>
  </si>
  <si>
    <t>X_0347_CN_3</t>
  </si>
  <si>
    <t>X_0347_CR</t>
  </si>
  <si>
    <t>X_0347_CR_2</t>
  </si>
  <si>
    <t>X_0348_CN</t>
  </si>
  <si>
    <t>X_0348_CR</t>
  </si>
  <si>
    <t>X_0349_CN</t>
  </si>
  <si>
    <t>X_0349_CN_1</t>
  </si>
  <si>
    <t>X_0349_CR</t>
  </si>
  <si>
    <t>X_0349_CR_2</t>
  </si>
  <si>
    <t>X_0349_DS_3</t>
  </si>
  <si>
    <t>X_0350_CN</t>
  </si>
  <si>
    <t>X_0350_CN_3</t>
  </si>
  <si>
    <t>X_0350_CR</t>
  </si>
  <si>
    <t>X_0350_CR_2</t>
  </si>
  <si>
    <t>X_0351_DR</t>
  </si>
  <si>
    <t>X_0351_ES</t>
  </si>
  <si>
    <t>X_0352_DR</t>
  </si>
  <si>
    <t>X_0352_ES</t>
  </si>
  <si>
    <t>X_0353_DN_3</t>
  </si>
  <si>
    <t>X_0353_DR</t>
  </si>
  <si>
    <t>X_0353_DR_2</t>
  </si>
  <si>
    <t>X_0353_DS_1</t>
  </si>
  <si>
    <t>X_0353_DS_3</t>
  </si>
  <si>
    <t>X_0353_ES</t>
  </si>
  <si>
    <t>X_0353_ES_1</t>
  </si>
  <si>
    <t>X_0354_DN</t>
  </si>
  <si>
    <t>X_0354_DS</t>
  </si>
  <si>
    <t>X_0354_ES</t>
  </si>
  <si>
    <t>X_0355_CN</t>
  </si>
  <si>
    <t>X_0355_CR</t>
  </si>
  <si>
    <t>X_0355_DN</t>
  </si>
  <si>
    <t>X_0356_CN</t>
  </si>
  <si>
    <t>X_0356_CR</t>
  </si>
  <si>
    <t>X_0356_CS</t>
  </si>
  <si>
    <t>X_0357_CR</t>
  </si>
  <si>
    <t>X_0357_DR</t>
  </si>
  <si>
    <t>X_0358_CN</t>
  </si>
  <si>
    <t>X_0358_CR</t>
  </si>
  <si>
    <t>X_0358_DS</t>
  </si>
  <si>
    <t>X_0359_CN_1</t>
  </si>
  <si>
    <t>X_0359_CN_3</t>
  </si>
  <si>
    <t>X_0359_CR</t>
  </si>
  <si>
    <t>X_0359_CR_2</t>
  </si>
  <si>
    <t>X_0360_CN</t>
  </si>
  <si>
    <t>X_0360_CR</t>
  </si>
  <si>
    <t>X_0360_CS</t>
  </si>
  <si>
    <t>X_0361_CN</t>
  </si>
  <si>
    <t>X_0361_CR</t>
  </si>
  <si>
    <t>X_0362_CN</t>
  </si>
  <si>
    <t>X_0362_CR</t>
  </si>
  <si>
    <t>X_0363_CN</t>
  </si>
  <si>
    <t>X_0363_CR</t>
  </si>
  <si>
    <t>X_0363_CS</t>
  </si>
  <si>
    <t>X_0364_CN</t>
  </si>
  <si>
    <t>X_0364_CR</t>
  </si>
  <si>
    <t>X_0365_DR</t>
  </si>
  <si>
    <t>X_0365_DS</t>
  </si>
  <si>
    <t>X_0366_DN_1</t>
  </si>
  <si>
    <t>X_0366_DN_3</t>
  </si>
  <si>
    <t>X_0366_DR</t>
  </si>
  <si>
    <t>X_0366_DR_2</t>
  </si>
  <si>
    <t>X_0366_DS_1</t>
  </si>
  <si>
    <t>X_0366_DS_3</t>
  </si>
  <si>
    <t>X_0367_DR</t>
  </si>
  <si>
    <t>X_0367_DR_2</t>
  </si>
  <si>
    <t>X_0367_DS_1</t>
  </si>
  <si>
    <t>X_0367_ES</t>
  </si>
  <si>
    <t>X_0367_ES_3</t>
  </si>
  <si>
    <t>X_0368_CN</t>
  </si>
  <si>
    <t>X_0368_CR</t>
  </si>
  <si>
    <t>X_0369_CN</t>
  </si>
  <si>
    <t>X_0369_CN_3</t>
  </si>
  <si>
    <t>X_0369_CR</t>
  </si>
  <si>
    <t>X_0369_DN</t>
  </si>
  <si>
    <t>X_0369_DS_1</t>
  </si>
  <si>
    <t>X_0370_CN</t>
  </si>
  <si>
    <t>X_0370_CR</t>
  </si>
  <si>
    <t>X_0371_CN</t>
  </si>
  <si>
    <t>X_0371_CR</t>
  </si>
  <si>
    <t>X_0372_CN</t>
  </si>
  <si>
    <t>X_0372_CR</t>
  </si>
  <si>
    <t>X_0373_CN</t>
  </si>
  <si>
    <t>X_0373_CR</t>
  </si>
  <si>
    <t>X_0373_DN</t>
  </si>
  <si>
    <t>X_0374_CN</t>
  </si>
  <si>
    <t>X_0374_CR</t>
  </si>
  <si>
    <t>X_0374_CS</t>
  </si>
  <si>
    <t>X_0375_CN</t>
  </si>
  <si>
    <t>X_0375_CR</t>
  </si>
  <si>
    <t>X_0376_CN</t>
  </si>
  <si>
    <t>X_0376_CR</t>
  </si>
  <si>
    <t>X_0377_CN_1</t>
  </si>
  <si>
    <t>X_0377_CN_3</t>
  </si>
  <si>
    <t>X_0377_CR</t>
  </si>
  <si>
    <t>X_0377_CR_2</t>
  </si>
  <si>
    <t>X_0378_CN</t>
  </si>
  <si>
    <t>X_0378_CR</t>
  </si>
  <si>
    <t>X_0378_CS</t>
  </si>
  <si>
    <t>X_0379_ES</t>
  </si>
  <si>
    <t>X_0379_FR</t>
  </si>
  <si>
    <t>X_0380_CN_1</t>
  </si>
  <si>
    <t>X_0380_CN_3</t>
  </si>
  <si>
    <t>X_0380_CR</t>
  </si>
  <si>
    <t>X_0380_CR_2</t>
  </si>
  <si>
    <t>X_0380_CS_1</t>
  </si>
  <si>
    <t>X_0381_CN</t>
  </si>
  <si>
    <t>X_0381_CR</t>
  </si>
  <si>
    <t>X_0381_CS</t>
  </si>
  <si>
    <t>X_0382_CN</t>
  </si>
  <si>
    <t>X_0382_CR</t>
  </si>
  <si>
    <t>X_0383_CN</t>
  </si>
  <si>
    <t>X_0383_CR</t>
  </si>
  <si>
    <t>X_0384_CN</t>
  </si>
  <si>
    <t>X_0384_CR</t>
  </si>
  <si>
    <t>X_0385_ES_3</t>
  </si>
  <si>
    <t>X_0385_FR</t>
  </si>
  <si>
    <t>X_0385_FR_2</t>
  </si>
  <si>
    <t>X_0386_FR</t>
  </si>
  <si>
    <t>X_0387_CN</t>
  </si>
  <si>
    <t>X_0387_CN_1</t>
  </si>
  <si>
    <t>X_0387_CN_3</t>
  </si>
  <si>
    <t>X_0387_CR_2</t>
  </si>
  <si>
    <t>X_0388_CN</t>
  </si>
  <si>
    <t>X_0388_CR</t>
  </si>
  <si>
    <t>X_0389_CN</t>
  </si>
  <si>
    <t>X_0389_CR</t>
  </si>
  <si>
    <t>X_0390_CN</t>
  </si>
  <si>
    <t>X_0390_CR</t>
  </si>
  <si>
    <t>X_0391_CN</t>
  </si>
  <si>
    <t>X_0391_CN_3</t>
  </si>
  <si>
    <t>X_0391_CR</t>
  </si>
  <si>
    <t>X_0391_CR_2</t>
  </si>
  <si>
    <t>X_0391_CS_1</t>
  </si>
  <si>
    <t>X_0391_DN_1</t>
  </si>
  <si>
    <t>X_0391_DR_2</t>
  </si>
  <si>
    <t>X_0392_CN</t>
  </si>
  <si>
    <t>X_0392_CN_1</t>
  </si>
  <si>
    <t>X_0392_CR</t>
  </si>
  <si>
    <t>X_0392_CR_2</t>
  </si>
  <si>
    <t>X_0392_CS_3</t>
  </si>
  <si>
    <t>X_0393_CN</t>
  </si>
  <si>
    <t>X_0393_CN_3</t>
  </si>
  <si>
    <t>X_0393_CR</t>
  </si>
  <si>
    <t>X_0393_CR_2</t>
  </si>
  <si>
    <t>X_0394_CN</t>
  </si>
  <si>
    <t>X_0394_CR</t>
  </si>
  <si>
    <t>X_0395_CN</t>
  </si>
  <si>
    <t>X_0395_CR</t>
  </si>
  <si>
    <t>X_0396_CN</t>
  </si>
  <si>
    <t>X_0396_CR</t>
  </si>
  <si>
    <t>X_0397_CN</t>
  </si>
  <si>
    <t>X_0397_CN_1</t>
  </si>
  <si>
    <t>X_0397_CN_3</t>
  </si>
  <si>
    <t>X_0397_CR</t>
  </si>
  <si>
    <t>X_0397_CR_2</t>
  </si>
  <si>
    <t>X_0397_DN_1</t>
  </si>
  <si>
    <t>X_0398_CN</t>
  </si>
  <si>
    <t>X_0398_CN_1</t>
  </si>
  <si>
    <t>X_0398_CN_3</t>
  </si>
  <si>
    <t>X_0398_CR</t>
  </si>
  <si>
    <t>X_0398_CR_2</t>
  </si>
  <si>
    <t>X_0399_DN</t>
  </si>
  <si>
    <t>X_0399_DR</t>
  </si>
  <si>
    <t>X_0399_DR_2</t>
  </si>
  <si>
    <t>X_0399_ES_1</t>
  </si>
  <si>
    <t>X_0399_ES_3</t>
  </si>
  <si>
    <t>X_0400_ES</t>
  </si>
  <si>
    <t>X_0400_FR</t>
  </si>
  <si>
    <t>X_0401_DR</t>
  </si>
  <si>
    <t>X_0401_DS</t>
  </si>
  <si>
    <t>X_0401_ES</t>
  </si>
  <si>
    <t>X_0402_CN</t>
  </si>
  <si>
    <t>X_0402_CR</t>
  </si>
  <si>
    <t>X_0403_CN</t>
  </si>
  <si>
    <t>X_0403_CR</t>
  </si>
  <si>
    <t>X_0403_CS</t>
  </si>
  <si>
    <t>X_0404_CN</t>
  </si>
  <si>
    <t>X_0404_CR</t>
  </si>
  <si>
    <t>X_0405_CN</t>
  </si>
  <si>
    <t>X_0405_CR</t>
  </si>
  <si>
    <t>X_0405_CS</t>
  </si>
  <si>
    <t>X_0406_CN</t>
  </si>
  <si>
    <t>X_0406_CR</t>
  </si>
  <si>
    <t>X_0407_CN</t>
  </si>
  <si>
    <t>X_0407_CR</t>
  </si>
  <si>
    <t>X_0408_CN</t>
  </si>
  <si>
    <t>X_0408_CR</t>
  </si>
  <si>
    <t>X_0409_CN</t>
  </si>
  <si>
    <t>X_0409_CR</t>
  </si>
  <si>
    <t>X_0410_CN</t>
  </si>
  <si>
    <t>X_0410_CR</t>
  </si>
  <si>
    <t>X_0411_CN</t>
  </si>
  <si>
    <t>X_0411_CR</t>
  </si>
  <si>
    <t>X_0412_CN</t>
  </si>
  <si>
    <t>X_0412_CR</t>
  </si>
  <si>
    <t>X_0413_CN</t>
  </si>
  <si>
    <t>X_0413_CR</t>
  </si>
  <si>
    <t>X_0413_CS</t>
  </si>
  <si>
    <t>X_0414_CN</t>
  </si>
  <si>
    <t>X_0414_CR</t>
  </si>
  <si>
    <t>X_0415_CN</t>
  </si>
  <si>
    <t>X_0415_CR</t>
  </si>
  <si>
    <t>X_0416_CN</t>
  </si>
  <si>
    <t>X_0416_CR</t>
  </si>
  <si>
    <t>X_0417_CN</t>
  </si>
  <si>
    <t>X_0417_CR</t>
  </si>
  <si>
    <t>X_0417_DN</t>
  </si>
  <si>
    <t>X_0418_CN</t>
  </si>
  <si>
    <t>X_0418_CR</t>
  </si>
  <si>
    <t>X_0418_CS</t>
  </si>
  <si>
    <t>X_0418_DN</t>
  </si>
  <si>
    <t>X_0419_CN</t>
  </si>
  <si>
    <t>X_0419_CR</t>
  </si>
  <si>
    <t>X_0420_CN</t>
  </si>
  <si>
    <t>X_0420_CN_3</t>
  </si>
  <si>
    <t>X_0420_CR</t>
  </si>
  <si>
    <t>X_0420_CR_2</t>
  </si>
  <si>
    <t>X_0421_CN</t>
  </si>
  <si>
    <t>X_0421_CN_3</t>
  </si>
  <si>
    <t>X_0421_CR</t>
  </si>
  <si>
    <t>X_0421_CR_2</t>
  </si>
  <si>
    <t>X_0421_DN_1</t>
  </si>
  <si>
    <t>X_0422_CN</t>
  </si>
  <si>
    <t>X_0422_CR</t>
  </si>
  <si>
    <t>X_0423_CN</t>
  </si>
  <si>
    <t>X_0423_CR</t>
  </si>
  <si>
    <t>X_0424_CN</t>
  </si>
  <si>
    <t>X_0424_CR</t>
  </si>
  <si>
    <t>X_0425_CN_1</t>
  </si>
  <si>
    <t>X_0425_CN_3</t>
  </si>
  <si>
    <t>X_0425_CR</t>
  </si>
  <si>
    <t>X_0425_CR_2</t>
  </si>
  <si>
    <t>X_0426_CN</t>
  </si>
  <si>
    <t>X_0426_CR</t>
  </si>
  <si>
    <t>X_0426_CS</t>
  </si>
  <si>
    <t>X_0427_CN</t>
  </si>
  <si>
    <t>X_0427_CR</t>
  </si>
  <si>
    <t>X_0428_CN</t>
  </si>
  <si>
    <t>X_0428_CR</t>
  </si>
  <si>
    <t>X_0429_CN</t>
  </si>
  <si>
    <t>X_0429_CR</t>
  </si>
  <si>
    <t>X_0430_CN</t>
  </si>
  <si>
    <t>X_0430_CR</t>
  </si>
  <si>
    <t>X_0431_CN</t>
  </si>
  <si>
    <t>X_0431_CR</t>
  </si>
  <si>
    <t>X_0431_DN</t>
  </si>
  <si>
    <t>X_0432_CN</t>
  </si>
  <si>
    <t>X_0432_CR</t>
  </si>
  <si>
    <t>X_0432_CS</t>
  </si>
  <si>
    <t>X_0433_CN</t>
  </si>
  <si>
    <t>X_0433_CR</t>
  </si>
  <si>
    <t>X_0433_CS</t>
  </si>
  <si>
    <t>X_0434_CN</t>
  </si>
  <si>
    <t>X_0434_CN_1</t>
  </si>
  <si>
    <t>X_0434_CN_3</t>
  </si>
  <si>
    <t>X_0434_CR_2</t>
  </si>
  <si>
    <t>X_0434_CS_3</t>
  </si>
  <si>
    <t>X_0435_CN</t>
  </si>
  <si>
    <t>X_0435_CN_1</t>
  </si>
  <si>
    <t>X_0435_CN_3</t>
  </si>
  <si>
    <t>X_0435_CR</t>
  </si>
  <si>
    <t>X_0435_CR_2</t>
  </si>
  <si>
    <t>X_0436_CN</t>
  </si>
  <si>
    <t>X_0436_CR</t>
  </si>
  <si>
    <t>X_0437_DN</t>
  </si>
  <si>
    <t>X_0437_DN_3</t>
  </si>
  <si>
    <t>X_0437_DR_2</t>
  </si>
  <si>
    <t>X_0437_DS_1</t>
  </si>
  <si>
    <t>X_0437_ES_1</t>
  </si>
  <si>
    <t>X_0438_DN_1</t>
  </si>
  <si>
    <t>X_0438_DR</t>
  </si>
  <si>
    <t>X_0438_DR_2</t>
  </si>
  <si>
    <t>X_0438_DS_3</t>
  </si>
  <si>
    <t>X_0438_ES_1</t>
  </si>
  <si>
    <t>X_0439_ES</t>
  </si>
  <si>
    <t>X_0439_ES_1</t>
  </si>
  <si>
    <t>X_0439_ES_3</t>
  </si>
  <si>
    <t>X_0439_FR</t>
  </si>
  <si>
    <t>X_0439_FR_2</t>
  </si>
  <si>
    <t>X_0440_CN</t>
  </si>
  <si>
    <t>X_0441_CR</t>
  </si>
  <si>
    <t>X_0441_CS</t>
  </si>
  <si>
    <t>X_0442_CN</t>
  </si>
  <si>
    <t>X_0442_CR</t>
  </si>
  <si>
    <t>X_0443_BN</t>
  </si>
  <si>
    <t>X_0443_CN</t>
  </si>
  <si>
    <t>X_0443_CR</t>
  </si>
  <si>
    <t>X_0444_BS</t>
  </si>
  <si>
    <t>X_0444_CR</t>
  </si>
  <si>
    <t>X_0445_BS</t>
  </si>
  <si>
    <t>X_0445_CS</t>
  </si>
  <si>
    <t>X_0446_BS</t>
  </si>
  <si>
    <t>X_0446_CN</t>
  </si>
  <si>
    <t>X_0446_CR</t>
  </si>
  <si>
    <t>X_0447_CN</t>
  </si>
  <si>
    <t>X_0448_CR</t>
  </si>
  <si>
    <t>X_0448_CS</t>
  </si>
  <si>
    <t>X_0449_CN</t>
  </si>
  <si>
    <t>X_0449_CR</t>
  </si>
  <si>
    <t>X_0450_BS</t>
  </si>
  <si>
    <t>X_0450_CR</t>
  </si>
  <si>
    <t>X_0451_BN</t>
  </si>
  <si>
    <t>X_0451_CN</t>
  </si>
  <si>
    <t>X_0451_CR</t>
  </si>
  <si>
    <t>X_0452_BS</t>
  </si>
  <si>
    <t>X_0452_CS</t>
  </si>
  <si>
    <t>X_0453_BN</t>
  </si>
  <si>
    <t>X_0453_CN</t>
  </si>
  <si>
    <t>X_0453_CR</t>
  </si>
  <si>
    <t>X_0454_CN</t>
  </si>
  <si>
    <t>X_0454_CR</t>
  </si>
  <si>
    <t>X_0455_CN</t>
  </si>
  <si>
    <t>X_0456_CN</t>
  </si>
  <si>
    <t>X_0456_CR</t>
  </si>
  <si>
    <t>X_0456_DS</t>
  </si>
  <si>
    <t>X_0457_CN</t>
  </si>
  <si>
    <t>X_0457_CR</t>
  </si>
  <si>
    <t>X_0458_CN</t>
  </si>
  <si>
    <t>X_0458_CN_1</t>
  </si>
  <si>
    <t>X_0458_CN_3</t>
  </si>
  <si>
    <t>X_0458_CR</t>
  </si>
  <si>
    <t>X_0458_CR_2</t>
  </si>
  <si>
    <t>X_0458_DS_3</t>
  </si>
  <si>
    <t>X_0459_CN</t>
  </si>
  <si>
    <t>X_0459_CR</t>
  </si>
  <si>
    <t>X_0460_CN</t>
  </si>
  <si>
    <t>X_0460_CR</t>
  </si>
  <si>
    <t>X_0460_CS</t>
  </si>
  <si>
    <t>X_0461_CN</t>
  </si>
  <si>
    <t>X_0461_CN_1</t>
  </si>
  <si>
    <t>X_0461_CN_3</t>
  </si>
  <si>
    <t>X_0461_CR</t>
  </si>
  <si>
    <t>X_0461_CR_2</t>
  </si>
  <si>
    <t>X_0461_CS_1</t>
  </si>
  <si>
    <t>X_0462_CN</t>
  </si>
  <si>
    <t>X_0462_CR</t>
  </si>
  <si>
    <t>X_0463_CN</t>
  </si>
  <si>
    <t>X_0463_CR</t>
  </si>
  <si>
    <t>X_0464_CN</t>
  </si>
  <si>
    <t>X_0464_CR</t>
  </si>
  <si>
    <t>X_0465_CN</t>
  </si>
  <si>
    <t>X_0465_CR</t>
  </si>
  <si>
    <t>X_0466_CN</t>
  </si>
  <si>
    <t>X_0466_CR</t>
  </si>
  <si>
    <t>X_0466_CS</t>
  </si>
  <si>
    <t>X_0467_CN</t>
  </si>
  <si>
    <t>X_0467_CR</t>
  </si>
  <si>
    <t>X_0468_CN</t>
  </si>
  <si>
    <t>X_0468_CR</t>
  </si>
  <si>
    <t>X_0469_CN</t>
  </si>
  <si>
    <t>X_0469_CR</t>
  </si>
  <si>
    <t>X_0470_CN</t>
  </si>
  <si>
    <t>X_0470_CR</t>
  </si>
  <si>
    <t>X_0471_CN</t>
  </si>
  <si>
    <t>X_0471_CR</t>
  </si>
  <si>
    <t>X_0472_CN</t>
  </si>
  <si>
    <t>X_0472_CR</t>
  </si>
  <si>
    <t>X_0473_CN</t>
  </si>
  <si>
    <t>X_0473_CR</t>
  </si>
  <si>
    <t>X_0473_DN</t>
  </si>
  <si>
    <t>X_0474_CN</t>
  </si>
  <si>
    <t>X_0474_CR</t>
  </si>
  <si>
    <t>X_0474_CS</t>
  </si>
  <si>
    <t>X_0474_DN</t>
  </si>
  <si>
    <t>X_0475_CN</t>
  </si>
  <si>
    <t>X_0475_CR</t>
  </si>
  <si>
    <t>X_0476_CN</t>
  </si>
  <si>
    <t>X_0476_CR</t>
  </si>
  <si>
    <t>X_0477_CN</t>
  </si>
  <si>
    <t>X_0477_CR</t>
  </si>
  <si>
    <t>X_0478_CN</t>
  </si>
  <si>
    <t>X_0478_CR</t>
  </si>
  <si>
    <t>X_0479_CN</t>
  </si>
  <si>
    <t>X_0479_CR</t>
  </si>
  <si>
    <t>X_0480_CN</t>
  </si>
  <si>
    <t>X_0480_CR</t>
  </si>
  <si>
    <t>X_0480_DN</t>
  </si>
  <si>
    <t>X_0481_CN</t>
  </si>
  <si>
    <t>X_0481_CR</t>
  </si>
  <si>
    <t>X_0482_CN</t>
  </si>
  <si>
    <t>X_0482_CR</t>
  </si>
  <si>
    <t>X_0482_CS</t>
  </si>
  <si>
    <t>X_0483_CN</t>
  </si>
  <si>
    <t>X_0483_CR</t>
  </si>
  <si>
    <t>X_0484_CN</t>
  </si>
  <si>
    <t>X_0484_CR</t>
  </si>
  <si>
    <t>X_0485_CN</t>
  </si>
  <si>
    <t>X_0485_CN_3</t>
  </si>
  <si>
    <t>X_0485_CR</t>
  </si>
  <si>
    <t>X_0485_CR_2</t>
  </si>
  <si>
    <t>X_0485_DN_1</t>
  </si>
  <si>
    <t>X_0486_CN_1</t>
  </si>
  <si>
    <t>X_0486_CN_3</t>
  </si>
  <si>
    <t>X_0486_CR</t>
  </si>
  <si>
    <t>X_0486_CR_2</t>
  </si>
  <si>
    <t>X_0487_CN_1</t>
  </si>
  <si>
    <t>X_0487_CN_3</t>
  </si>
  <si>
    <t>X_0487_CR</t>
  </si>
  <si>
    <t>X_0487_CR_2</t>
  </si>
  <si>
    <t>X_0488_CN_1</t>
  </si>
  <si>
    <t>X_0488_CN_3</t>
  </si>
  <si>
    <t>X_0488_CR</t>
  </si>
  <si>
    <t>X_0488_CR_2</t>
  </si>
  <si>
    <t>X_0488_CS_3</t>
  </si>
  <si>
    <t>X_0489_CN</t>
  </si>
  <si>
    <t>X_0489_CN_1</t>
  </si>
  <si>
    <t>X_0489_CN_3</t>
  </si>
  <si>
    <t>X_0489_CR</t>
  </si>
  <si>
    <t>X_0489_CR_2</t>
  </si>
  <si>
    <t>X_0490_CN</t>
  </si>
  <si>
    <t>X_0490_CR</t>
  </si>
  <si>
    <t>X_0490_DS</t>
  </si>
  <si>
    <t>X_0491_CN</t>
  </si>
  <si>
    <t>X_0491_CR</t>
  </si>
  <si>
    <t>X_0491_CS</t>
  </si>
  <si>
    <t>X_0491_DS</t>
  </si>
  <si>
    <t>X_0492_CN</t>
  </si>
  <si>
    <t>X_0492_CR</t>
  </si>
  <si>
    <t>X_0492_DN</t>
  </si>
  <si>
    <t>X_0493_CN</t>
  </si>
  <si>
    <t>X_0493_CR</t>
  </si>
  <si>
    <t>X_0493_DN</t>
  </si>
  <si>
    <t>X_0494_CN</t>
  </si>
  <si>
    <t>X_0494_CR</t>
  </si>
  <si>
    <t>X_0495_CN</t>
  </si>
  <si>
    <t>X_0495_CR</t>
  </si>
  <si>
    <t>X_0496_CN</t>
  </si>
  <si>
    <t>X_0496_CR</t>
  </si>
  <si>
    <t>X_0496_DS</t>
  </si>
  <si>
    <t>X_0497_CN</t>
  </si>
  <si>
    <t>X_0497_CR</t>
  </si>
  <si>
    <t>X_0498_CN</t>
  </si>
  <si>
    <t>X_0498_CN_1</t>
  </si>
  <si>
    <t>X_0498_CR</t>
  </si>
  <si>
    <t>X_0498_DS_3</t>
  </si>
  <si>
    <t>X_0499_CN_1</t>
  </si>
  <si>
    <t>X_0499_CN_3</t>
  </si>
  <si>
    <t>X_0499_CR</t>
  </si>
  <si>
    <t>X_0499_CR_2</t>
  </si>
  <si>
    <t>Flight</t>
  </si>
  <si>
    <t>Seg</t>
  </si>
  <si>
    <t>C_O</t>
  </si>
  <si>
    <t>C_T</t>
  </si>
  <si>
    <t>C_C</t>
  </si>
  <si>
    <t>MS</t>
  </si>
  <si>
    <t>X_0007_MS_3</t>
  </si>
  <si>
    <t>X_0028_MS</t>
  </si>
  <si>
    <t>X_0036_MS</t>
  </si>
  <si>
    <t>X_0065_MS</t>
  </si>
  <si>
    <t>X_0107_MS_3</t>
  </si>
  <si>
    <t>X_0161_MS</t>
  </si>
  <si>
    <t>X_0187_MS</t>
  </si>
  <si>
    <t>X_0239_MS</t>
  </si>
  <si>
    <t>X_0264_MS</t>
  </si>
  <si>
    <t>X_0265_MS</t>
  </si>
  <si>
    <t>X_0270_MS_3</t>
  </si>
  <si>
    <t>X_0355_MS</t>
  </si>
  <si>
    <t>X_0379_MS</t>
  </si>
  <si>
    <t>X_0385_MS_3</t>
  </si>
  <si>
    <t>X_0402_MS</t>
  </si>
  <si>
    <t>X_0001_FR</t>
  </si>
  <si>
    <t>X_0030_FR</t>
  </si>
  <si>
    <t>X_0112_FR</t>
  </si>
  <si>
    <t>X_0179_FR</t>
  </si>
  <si>
    <t>X_0202_DR</t>
  </si>
  <si>
    <t>X_0275_FR</t>
  </si>
  <si>
    <t>X_0329_FR</t>
  </si>
  <si>
    <t>X_0365_FR</t>
  </si>
  <si>
    <t>X_0387_FR</t>
  </si>
  <si>
    <t>X_0406_FR</t>
  </si>
  <si>
    <t>X_0437_FR</t>
  </si>
  <si>
    <t>X_0029_MS</t>
  </si>
  <si>
    <t>X_0090_MS</t>
  </si>
  <si>
    <t>X_0173_MS</t>
  </si>
  <si>
    <t>X_0256_MS</t>
  </si>
  <si>
    <t>X_0265_FR_2</t>
  </si>
  <si>
    <t>X_0269_MS_3</t>
  </si>
  <si>
    <t>X_0320_MS</t>
  </si>
  <si>
    <t>X_0321_MS</t>
  </si>
  <si>
    <t>X_0357_MS</t>
  </si>
  <si>
    <t>X_0386_MS</t>
  </si>
  <si>
    <t>X_0403_MS</t>
  </si>
  <si>
    <t>X_0499_MS_3</t>
  </si>
  <si>
    <t>Gate</t>
  </si>
  <si>
    <t>X_0015_MS_3</t>
  </si>
  <si>
    <t>X_0021_MS_3</t>
  </si>
  <si>
    <t>X_0024_MS_1</t>
  </si>
  <si>
    <t>X_0024_MS_3</t>
  </si>
  <si>
    <t>X_0025_MS</t>
  </si>
  <si>
    <t>X_0030_MS_1</t>
  </si>
  <si>
    <t>X_0040_MS</t>
  </si>
  <si>
    <t>X_0056_MS</t>
  </si>
  <si>
    <t>X_0082_FR_2</t>
  </si>
  <si>
    <t>X_0093_MS</t>
  </si>
  <si>
    <t>X_0102_MS</t>
  </si>
  <si>
    <t>X_0106_MS</t>
  </si>
  <si>
    <t>X_0113_MS</t>
  </si>
  <si>
    <t>X_0127_MS</t>
  </si>
  <si>
    <t>X_0153_MS</t>
  </si>
  <si>
    <t>X_0162_MS</t>
  </si>
  <si>
    <t>X_0168_MS</t>
  </si>
  <si>
    <t>X_0178_MS</t>
  </si>
  <si>
    <t>X_0180_MS</t>
  </si>
  <si>
    <t>X_0191_MS</t>
  </si>
  <si>
    <t>X_0202_MS</t>
  </si>
  <si>
    <t>X_0204_MS</t>
  </si>
  <si>
    <t>X_0238_MS</t>
  </si>
  <si>
    <t>X_0244_MS</t>
  </si>
  <si>
    <t>X_0251_MS</t>
  </si>
  <si>
    <t>X_0252_MS</t>
  </si>
  <si>
    <t>X_0259_MS</t>
  </si>
  <si>
    <t>X_0263_MS</t>
  </si>
  <si>
    <t>X_0268_MS_3</t>
  </si>
  <si>
    <t>X_0304_MS</t>
  </si>
  <si>
    <t>X_0305_MS</t>
  </si>
  <si>
    <t>X_0307_MS</t>
  </si>
  <si>
    <t>X_0318_MS</t>
  </si>
  <si>
    <t>X_0319_MS</t>
  </si>
  <si>
    <t>X_0323_MS_1</t>
  </si>
  <si>
    <t>X_0333_MS</t>
  </si>
  <si>
    <t>X_0334_MS</t>
  </si>
  <si>
    <t>X_0341_FR_2</t>
  </si>
  <si>
    <t>X_0350_MS_1</t>
  </si>
  <si>
    <t>X_0385_MS_1</t>
  </si>
  <si>
    <t>X_0387_FR_2</t>
  </si>
  <si>
    <t>X_0387_MS_1</t>
  </si>
  <si>
    <t>X_0392_MS_3</t>
  </si>
  <si>
    <t>X_0393_MS_1</t>
  </si>
  <si>
    <t>X_0397_FR_2</t>
  </si>
  <si>
    <t>X_0404_MS</t>
  </si>
  <si>
    <t>X_0410_MS</t>
  </si>
  <si>
    <t>X_0420_MS_1</t>
  </si>
  <si>
    <t>X_0427_MS</t>
  </si>
  <si>
    <t>X_0435_MS_1</t>
  </si>
  <si>
    <t>X_0443_DR</t>
  </si>
  <si>
    <t>X_0447_MS</t>
  </si>
  <si>
    <t>X_0450_MS</t>
  </si>
  <si>
    <t>X_0458_FR_2</t>
  </si>
  <si>
    <t>X_0466_MS</t>
  </si>
  <si>
    <t>X_0482_MS</t>
  </si>
  <si>
    <t>X_0486_MS_3</t>
  </si>
  <si>
    <t>X_0498_FR_2</t>
  </si>
  <si>
    <t>X_0003_MS</t>
  </si>
  <si>
    <t>X_0062_MS</t>
  </si>
  <si>
    <t>X_0070_MS</t>
  </si>
  <si>
    <t>X_0180_DR</t>
  </si>
  <si>
    <t>X_0181_DR</t>
  </si>
  <si>
    <t>X_0195_MS</t>
  </si>
  <si>
    <t>X_0196_MS</t>
  </si>
  <si>
    <t>X_0261_MS</t>
  </si>
  <si>
    <t>X_0267_FR</t>
  </si>
  <si>
    <t>X_0271_MS</t>
  </si>
  <si>
    <t>X_0273_MS</t>
  </si>
  <si>
    <t>X_0311_MS</t>
  </si>
  <si>
    <t>X_0329_MS</t>
  </si>
  <si>
    <t>X_0342_MS</t>
  </si>
  <si>
    <t>X_0441_MS</t>
  </si>
  <si>
    <t>X_0083_FR</t>
  </si>
  <si>
    <t>X_0113_FR</t>
  </si>
  <si>
    <t>X_0186_FR</t>
  </si>
  <si>
    <t>X_0197_DR</t>
  </si>
  <si>
    <t>X_0198_FR</t>
  </si>
  <si>
    <t>X_0226_DR</t>
  </si>
  <si>
    <t>X_0236_DR</t>
  </si>
  <si>
    <t>X_0247_FR</t>
  </si>
  <si>
    <t>X_0253_FR</t>
  </si>
  <si>
    <t>X_0354_FR</t>
  </si>
  <si>
    <t>X_0434_FR</t>
  </si>
  <si>
    <t>X_0440_FR</t>
  </si>
  <si>
    <t>X_0445_FR</t>
  </si>
  <si>
    <t>X_0447_FR</t>
  </si>
  <si>
    <t>X_0452_FR</t>
  </si>
  <si>
    <t>X_0455_FR</t>
  </si>
  <si>
    <t>X_0011_MS</t>
  </si>
  <si>
    <t>X_0015_MS_1</t>
  </si>
  <si>
    <t>X_0022_MS_3</t>
  </si>
  <si>
    <t>X_0027_MS</t>
  </si>
  <si>
    <t>X_0068_MS</t>
  </si>
  <si>
    <t>X_0075_FR_2</t>
  </si>
  <si>
    <t>X_0087_FR_2</t>
  </si>
  <si>
    <t>X_0103_MS_3</t>
  </si>
  <si>
    <t>X_0107_FR_2</t>
  </si>
  <si>
    <t>X_0112_MS</t>
  </si>
  <si>
    <t>X_0113_MS_1</t>
  </si>
  <si>
    <t>X_0141_MS</t>
  </si>
  <si>
    <t>X_0166_MS</t>
  </si>
  <si>
    <t>X_0169_MS</t>
  </si>
  <si>
    <t>X_0186_MS</t>
  </si>
  <si>
    <t>X_0190_MS</t>
  </si>
  <si>
    <t>X_0198_MS</t>
  </si>
  <si>
    <t>X_0206_MS</t>
  </si>
  <si>
    <t>X_0246_MS</t>
  </si>
  <si>
    <t>X_0260_MS</t>
  </si>
  <si>
    <t>X_0269_MS</t>
  </si>
  <si>
    <t>X_0284_MS</t>
  </si>
  <si>
    <t>X_0296_MS</t>
  </si>
  <si>
    <t>X_0313_MS_1</t>
  </si>
  <si>
    <t>X_0316_MS_1</t>
  </si>
  <si>
    <t>X_0322_MS</t>
  </si>
  <si>
    <t>X_0350_MS</t>
  </si>
  <si>
    <t>X_0364_MS</t>
  </si>
  <si>
    <t>X_0369_FR_2</t>
  </si>
  <si>
    <t>X_0377_MS_1</t>
  </si>
  <si>
    <t>X_0400_MS</t>
  </si>
  <si>
    <t>X_0406_MS</t>
  </si>
  <si>
    <t>X_0426_MS</t>
  </si>
  <si>
    <t>X_0428_MS</t>
  </si>
  <si>
    <t>X_0435_FR_2</t>
  </si>
  <si>
    <t>X_0439_MS_3</t>
  </si>
  <si>
    <t>X_0468_MS</t>
  </si>
  <si>
    <t>X_0487_MS_1</t>
  </si>
  <si>
    <t>SP_0088_2</t>
  </si>
  <si>
    <t>SP_0105_2</t>
  </si>
  <si>
    <t>SP_0436_2</t>
  </si>
  <si>
    <t>X_0007_CS_1</t>
  </si>
  <si>
    <t>X_0008_DS_1</t>
  </si>
  <si>
    <t>X_0010_DS_1</t>
  </si>
  <si>
    <t>X_0011_CN</t>
  </si>
  <si>
    <t>X_0021_CS_1</t>
  </si>
  <si>
    <t>X_0021_CS_3</t>
  </si>
  <si>
    <t>X_0024_DS_1</t>
  </si>
  <si>
    <t>X_0030_CS_1</t>
  </si>
  <si>
    <t>X_0030_MS_3</t>
  </si>
  <si>
    <t>X_0045_DS</t>
  </si>
  <si>
    <t>X_0046_CN_1</t>
  </si>
  <si>
    <t>X_0046_DN_3</t>
  </si>
  <si>
    <t>X_0046_DR_2</t>
  </si>
  <si>
    <t>X_0047_DR_2</t>
  </si>
  <si>
    <t>X_0047_MS_1</t>
  </si>
  <si>
    <t>X_0048_CN_1</t>
  </si>
  <si>
    <t>X_0048_CN_3</t>
  </si>
  <si>
    <t>X_0074_CN_1</t>
  </si>
  <si>
    <t>X_0074_MS_3</t>
  </si>
  <si>
    <t>X_0075_CN_1</t>
  </si>
  <si>
    <t>X_0075_CN_3</t>
  </si>
  <si>
    <t>X_0075_CR_2</t>
  </si>
  <si>
    <t>X_0076_CS</t>
  </si>
  <si>
    <t>X_0080_MS_3</t>
  </si>
  <si>
    <t>X_0081_DS_3</t>
  </si>
  <si>
    <t>X_0082_MS_1</t>
  </si>
  <si>
    <t>X_0083_DN_1</t>
  </si>
  <si>
    <t>X_0088_CN_1</t>
  </si>
  <si>
    <t>X_0088_CN_3</t>
  </si>
  <si>
    <t>X_0088_CR_2</t>
  </si>
  <si>
    <t>X_0091_MS_3</t>
  </si>
  <si>
    <t>X_0103_CN_3</t>
  </si>
  <si>
    <t>X_0103_CS_1</t>
  </si>
  <si>
    <t>X_0104_CS</t>
  </si>
  <si>
    <t>X_0105_CN_1</t>
  </si>
  <si>
    <t>X_0105_CR_2</t>
  </si>
  <si>
    <t>X_0105_CS_3</t>
  </si>
  <si>
    <t>X_0108_CS_1</t>
  </si>
  <si>
    <t>X_0108_CS_3</t>
  </si>
  <si>
    <t>X_0110_CN_1</t>
  </si>
  <si>
    <t>X_0113_CN_3</t>
  </si>
  <si>
    <t>X_0119_DS</t>
  </si>
  <si>
    <t>X_0134_MS_1</t>
  </si>
  <si>
    <t>X_0140_MS</t>
  </si>
  <si>
    <t>X_0153_CS</t>
  </si>
  <si>
    <t>X_0175_DS</t>
  </si>
  <si>
    <t>X_0180_BS</t>
  </si>
  <si>
    <t>X_0182_BS</t>
  </si>
  <si>
    <t>X_0191_BS</t>
  </si>
  <si>
    <t>X_0194_BS</t>
  </si>
  <si>
    <t>X_0195_CS</t>
  </si>
  <si>
    <t>X_0201_BS</t>
  </si>
  <si>
    <t>X_0204_CS</t>
  </si>
  <si>
    <t>X_0211_MS</t>
  </si>
  <si>
    <t>X_0223_BS</t>
  </si>
  <si>
    <t>X_0231_BS</t>
  </si>
  <si>
    <t>X_0233_MS</t>
  </si>
  <si>
    <t>X_0248_MS</t>
  </si>
  <si>
    <t>X_0249_BS</t>
  </si>
  <si>
    <t>X_0250_MS</t>
  </si>
  <si>
    <t>X_0251_BS</t>
  </si>
  <si>
    <t>X_0257_BS</t>
  </si>
  <si>
    <t>X_0258_BS</t>
  </si>
  <si>
    <t>X_0261_CS</t>
  </si>
  <si>
    <t>X_0265_BS</t>
  </si>
  <si>
    <t>X_0266_CN</t>
  </si>
  <si>
    <t>X_0267_MS</t>
  </si>
  <si>
    <t>X_0270_CR_2</t>
  </si>
  <si>
    <t>X_0270_CS_1</t>
  </si>
  <si>
    <t>X_0271_MS_3</t>
  </si>
  <si>
    <t>X_0274_BS</t>
  </si>
  <si>
    <t>X_0280_MS</t>
  </si>
  <si>
    <t>X_0283_DN</t>
  </si>
  <si>
    <t>X_0284_DS</t>
  </si>
  <si>
    <t>X_0289_DN</t>
  </si>
  <si>
    <t>X_0303_MS</t>
  </si>
  <si>
    <t>X_0314_CN_3</t>
  </si>
  <si>
    <t>X_0316_DN_1</t>
  </si>
  <si>
    <t>X_0317_CN</t>
  </si>
  <si>
    <t>X_0323_CN_1</t>
  </si>
  <si>
    <t>X_0328_MS_1</t>
  </si>
  <si>
    <t>X_0333_CS</t>
  </si>
  <si>
    <t>X_0334_DN</t>
  </si>
  <si>
    <t>X_0341_MS_3</t>
  </si>
  <si>
    <t>X_0350_CN_1</t>
  </si>
  <si>
    <t>X_0350_DN_3</t>
  </si>
  <si>
    <t>X_0353_ES_3</t>
  </si>
  <si>
    <t>X_0367_DN_1</t>
  </si>
  <si>
    <t>X_0369_CR_2</t>
  </si>
  <si>
    <t>X_0370_MS</t>
  </si>
  <si>
    <t>X_0377_CN</t>
  </si>
  <si>
    <t>X_0380_FR_2</t>
  </si>
  <si>
    <t>X_0385_ER_2</t>
  </si>
  <si>
    <t>X_0391_CN_1</t>
  </si>
  <si>
    <t>X_0391_FR_2</t>
  </si>
  <si>
    <t>X_0392_DN_3</t>
  </si>
  <si>
    <t>X_0393_CS_1</t>
  </si>
  <si>
    <t>X_0397_DN_3</t>
  </si>
  <si>
    <t>X_0399_DN_3</t>
  </si>
  <si>
    <t>X_0399_ER_2</t>
  </si>
  <si>
    <t>X_0406_CS</t>
  </si>
  <si>
    <t>X_0413_DS</t>
  </si>
  <si>
    <t>X_0419_DS</t>
  </si>
  <si>
    <t>X_0420_CN_1</t>
  </si>
  <si>
    <t>X_0420_MS_3</t>
  </si>
  <si>
    <t>X_0421_DS_1</t>
  </si>
  <si>
    <t>X_0436_CN_1</t>
  </si>
  <si>
    <t>X_0436_CR_2</t>
  </si>
  <si>
    <t>X_0436_MS_3</t>
  </si>
  <si>
    <t>X_0437_DS_3</t>
  </si>
  <si>
    <t>X_0438_DN_3</t>
  </si>
  <si>
    <t>X_0439_MS_1</t>
  </si>
  <si>
    <t>X_0440_MS</t>
  </si>
  <si>
    <t>X_0443_BR</t>
  </si>
  <si>
    <t>X_0444_BR</t>
  </si>
  <si>
    <t>X_0445_MS</t>
  </si>
  <si>
    <t>X_0446_CS</t>
  </si>
  <si>
    <t>X_0448_BS</t>
  </si>
  <si>
    <t>X_0449_BS</t>
  </si>
  <si>
    <t>X_0454_BS</t>
  </si>
  <si>
    <t>X_0456_MS</t>
  </si>
  <si>
    <t>X_0458_DR_2</t>
  </si>
  <si>
    <t>X_0471_CS</t>
  </si>
  <si>
    <t>X_0476_DN</t>
  </si>
  <si>
    <t>X_0477_MS</t>
  </si>
  <si>
    <t>X_0481_DN</t>
  </si>
  <si>
    <t>X_0485_CN_1</t>
  </si>
  <si>
    <t>X_0485_DS_3</t>
  </si>
  <si>
    <t>X_0499_FR_2</t>
  </si>
  <si>
    <t>SP_0032_2</t>
  </si>
  <si>
    <t>SP_0034_2</t>
  </si>
  <si>
    <t>SP_0049_2</t>
  </si>
  <si>
    <t>SP_0050_2</t>
  </si>
  <si>
    <t>SP_0060_2</t>
  </si>
  <si>
    <t>SP_0063_2</t>
  </si>
  <si>
    <t>SP_0078_2</t>
  </si>
  <si>
    <t>SP_0100_2</t>
  </si>
  <si>
    <t>SP_0104_2</t>
  </si>
  <si>
    <t>SP_0106_2</t>
  </si>
  <si>
    <t>SP_0130_2</t>
  </si>
  <si>
    <t>SP_0335_2</t>
  </si>
  <si>
    <t>SP_0348_2</t>
  </si>
  <si>
    <t>SP_0459_2</t>
  </si>
  <si>
    <t>X_0012_DR</t>
  </si>
  <si>
    <t>X_0025_BR</t>
  </si>
  <si>
    <t>X_0030_BR</t>
  </si>
  <si>
    <t>X_0031_FR_2</t>
  </si>
  <si>
    <t>X_0032_CN_1</t>
  </si>
  <si>
    <t>X_0032_CN_3</t>
  </si>
  <si>
    <t>X_0032_CR_2</t>
  </si>
  <si>
    <t>X_0034_CN_1</t>
  </si>
  <si>
    <t>X_0034_CN_3</t>
  </si>
  <si>
    <t>X_0034_CR_2</t>
  </si>
  <si>
    <t>X_0049_CN_1</t>
  </si>
  <si>
    <t>X_0049_CN_3</t>
  </si>
  <si>
    <t>X_0049_DR_2</t>
  </si>
  <si>
    <t>X_0050_CN_1</t>
  </si>
  <si>
    <t>X_0050_CN_3</t>
  </si>
  <si>
    <t>X_0050_DR_2</t>
  </si>
  <si>
    <t>X_0055_DR</t>
  </si>
  <si>
    <t>X_0057_FR</t>
  </si>
  <si>
    <t>X_0060_CN_1</t>
  </si>
  <si>
    <t>X_0060_CN_3</t>
  </si>
  <si>
    <t>X_0060_CR_2</t>
  </si>
  <si>
    <t>X_0062_DR</t>
  </si>
  <si>
    <t>X_0063_CN_1</t>
  </si>
  <si>
    <t>X_0063_CN_3</t>
  </si>
  <si>
    <t>X_0063_FR_2</t>
  </si>
  <si>
    <t>X_0067_DR</t>
  </si>
  <si>
    <t>X_0071_FR</t>
  </si>
  <si>
    <t>X_0078_CN_1</t>
  </si>
  <si>
    <t>X_0078_CN_3</t>
  </si>
  <si>
    <t>X_0078_CR_2</t>
  </si>
  <si>
    <t>X_0083_CN_1</t>
  </si>
  <si>
    <t>X_0089_FR_2</t>
  </si>
  <si>
    <t>X_0091_DR_2</t>
  </si>
  <si>
    <t>X_0099_DR</t>
  </si>
  <si>
    <t>X_0100_CN_1</t>
  </si>
  <si>
    <t>X_0100_CN_3</t>
  </si>
  <si>
    <t>X_0100_CR_2</t>
  </si>
  <si>
    <t>X_0104_CN_1</t>
  </si>
  <si>
    <t>X_0104_CN_3</t>
  </si>
  <si>
    <t>X_0104_CR_2</t>
  </si>
  <si>
    <t>X_0105_CN_3</t>
  </si>
  <si>
    <t>X_0105_FR_2</t>
  </si>
  <si>
    <t>X_0106_CN_1</t>
  </si>
  <si>
    <t>X_0106_CN_3</t>
  </si>
  <si>
    <t>X_0106_CR_2</t>
  </si>
  <si>
    <t>X_0112_CR</t>
  </si>
  <si>
    <t>X_0113_FR_2</t>
  </si>
  <si>
    <t>X_0115_DR</t>
  </si>
  <si>
    <t>X_0122_DR</t>
  </si>
  <si>
    <t>X_0123_DR</t>
  </si>
  <si>
    <t>X_0130_CN_1</t>
  </si>
  <si>
    <t>X_0130_CN_3</t>
  </si>
  <si>
    <t>X_0130_CR_2</t>
  </si>
  <si>
    <t>X_0135_FR_2</t>
  </si>
  <si>
    <t>X_0140_FR</t>
  </si>
  <si>
    <t>X_0142_ER</t>
  </si>
  <si>
    <t>X_0149_ER</t>
  </si>
  <si>
    <t>X_0151_DR</t>
  </si>
  <si>
    <t>X_0155_DR</t>
  </si>
  <si>
    <t>X_0164_DR</t>
  </si>
  <si>
    <t>X_0170_FR</t>
  </si>
  <si>
    <t>X_0175_CR</t>
  </si>
  <si>
    <t>X_0179_ER</t>
  </si>
  <si>
    <t>X_0180_CR</t>
  </si>
  <si>
    <t>X_0181_ER</t>
  </si>
  <si>
    <t>X_0186_CR</t>
  </si>
  <si>
    <t>X_0189_DR</t>
  </si>
  <si>
    <t>X_0192_FR</t>
  </si>
  <si>
    <t>X_0196_DR</t>
  </si>
  <si>
    <t>X_0197_CR</t>
  </si>
  <si>
    <t>X_0198_CR</t>
  </si>
  <si>
    <t>X_0202_CR</t>
  </si>
  <si>
    <t>X_0205_BR</t>
  </si>
  <si>
    <t>X_0207_FR</t>
  </si>
  <si>
    <t>X_0213_DR</t>
  </si>
  <si>
    <t>X_0214_DR</t>
  </si>
  <si>
    <t>X_0216_DR</t>
  </si>
  <si>
    <t>X_0219_BR</t>
  </si>
  <si>
    <t>X_0226_CR</t>
  </si>
  <si>
    <t>X_0228_BR</t>
  </si>
  <si>
    <t>X_0230_BR</t>
  </si>
  <si>
    <t>X_0240_DR</t>
  </si>
  <si>
    <t>X_0242_BR</t>
  </si>
  <si>
    <t>X_0246_FR</t>
  </si>
  <si>
    <t>X_0247_CR</t>
  </si>
  <si>
    <t>X_0251_BR</t>
  </si>
  <si>
    <t>X_0252_DR</t>
  </si>
  <si>
    <t>X_0253_CR</t>
  </si>
  <si>
    <t>X_0256_DR</t>
  </si>
  <si>
    <t>X_0257_BR</t>
  </si>
  <si>
    <t>X_0258_FR</t>
  </si>
  <si>
    <t>X_0260_FR</t>
  </si>
  <si>
    <t>X_0262_BR</t>
  </si>
  <si>
    <t>X_0275_BR</t>
  </si>
  <si>
    <t>X_0316_CN_1</t>
  </si>
  <si>
    <t>X_0321_ER</t>
  </si>
  <si>
    <t>X_0326_DR</t>
  </si>
  <si>
    <t>X_0335_CN_1</t>
  </si>
  <si>
    <t>X_0335_CN_3</t>
  </si>
  <si>
    <t>X_0335_CR_2</t>
  </si>
  <si>
    <t>X_0348_CN_1</t>
  </si>
  <si>
    <t>X_0348_CN_3</t>
  </si>
  <si>
    <t>X_0348_CR_2</t>
  </si>
  <si>
    <t>X_0349_CN_3</t>
  </si>
  <si>
    <t>X_0354_DR</t>
  </si>
  <si>
    <t>X_0365_ER</t>
  </si>
  <si>
    <t>X_0386_ER</t>
  </si>
  <si>
    <t>X_0392_CN_3</t>
  </si>
  <si>
    <t>X_0393_CN_1</t>
  </si>
  <si>
    <t>X_0400_ER</t>
  </si>
  <si>
    <t>X_0426_DR</t>
  </si>
  <si>
    <t>X_0434_CR</t>
  </si>
  <si>
    <t>X_0436_CN_3</t>
  </si>
  <si>
    <t>X_0437_ER</t>
  </si>
  <si>
    <t>X_0441_BR</t>
  </si>
  <si>
    <t>X_0444_ER</t>
  </si>
  <si>
    <t>X_0445_DR</t>
  </si>
  <si>
    <t>X_0448_DR</t>
  </si>
  <si>
    <t>X_0450_BR</t>
  </si>
  <si>
    <t>X_0451_DR</t>
  </si>
  <si>
    <t>X_0452_CR</t>
  </si>
  <si>
    <t>X_0459_CN_1</t>
  </si>
  <si>
    <t>X_0459_CN_3</t>
  </si>
  <si>
    <t>X_0459_CR_2</t>
  </si>
  <si>
    <t>X_0464_DR</t>
  </si>
  <si>
    <t>X_0480_DR</t>
  </si>
  <si>
    <t>X_0488_FR_2</t>
  </si>
  <si>
    <t>SP_0378_2</t>
  </si>
  <si>
    <t>X_0019_CN_3</t>
  </si>
  <si>
    <t>X_0019_FR_2</t>
  </si>
  <si>
    <t>X_0022_MS_1</t>
  </si>
  <si>
    <t>X_0023_CS_3</t>
  </si>
  <si>
    <t>X_0023_MS_1</t>
  </si>
  <si>
    <t>X_0030_BI_1</t>
  </si>
  <si>
    <t>X_0031_CN</t>
  </si>
  <si>
    <t>X_0038_CS</t>
  </si>
  <si>
    <t>X_0060_CS</t>
  </si>
  <si>
    <t>X_0065_DN</t>
  </si>
  <si>
    <t>X_0071_CS</t>
  </si>
  <si>
    <t>X_0075_MS_3</t>
  </si>
  <si>
    <t>X_0076_CS_1</t>
  </si>
  <si>
    <t>X_0081_DN_1</t>
  </si>
  <si>
    <t>X_0087_CS_1</t>
  </si>
  <si>
    <t>X_0089_MS_1</t>
  </si>
  <si>
    <t>X_0104_MS_3</t>
  </si>
  <si>
    <t>X_0134_CN</t>
  </si>
  <si>
    <t>X_0141_DS</t>
  </si>
  <si>
    <t>X_0146_MS</t>
  </si>
  <si>
    <t>X_0151_DN</t>
  </si>
  <si>
    <t>X_0157_DS</t>
  </si>
  <si>
    <t>X_0169_DS</t>
  </si>
  <si>
    <t>X_0180_CN</t>
  </si>
  <si>
    <t>X_0181_BN</t>
  </si>
  <si>
    <t>X_0183_MS</t>
  </si>
  <si>
    <t>X_0192_BN</t>
  </si>
  <si>
    <t>X_0199_MS</t>
  </si>
  <si>
    <t>X_0200_BN</t>
  </si>
  <si>
    <t>X_0201_CS</t>
  </si>
  <si>
    <t>X_0202_BS</t>
  </si>
  <si>
    <t>X_0212_BN</t>
  </si>
  <si>
    <t>X_0215_CS</t>
  </si>
  <si>
    <t>X_0224_BS</t>
  </si>
  <si>
    <t>X_0230_BS</t>
  </si>
  <si>
    <t>X_0231_BN</t>
  </si>
  <si>
    <t>X_0265_CR_2</t>
  </si>
  <si>
    <t>X_0265_CS_3</t>
  </si>
  <si>
    <t>X_0268_CN</t>
  </si>
  <si>
    <t>X_0269_BI_3</t>
  </si>
  <si>
    <t>X_0270_CS_3</t>
  </si>
  <si>
    <t>X_0274_BN</t>
  </si>
  <si>
    <t>X_0278_DS</t>
  </si>
  <si>
    <t>X_0286_CS</t>
  </si>
  <si>
    <t>X_0298_DN</t>
  </si>
  <si>
    <t>X_0303_CS</t>
  </si>
  <si>
    <t>X_0306_MS</t>
  </si>
  <si>
    <t>X_0309_MS</t>
  </si>
  <si>
    <t>X_0313_DN_3</t>
  </si>
  <si>
    <t>X_0315_MS</t>
  </si>
  <si>
    <t>X_0345_DS</t>
  </si>
  <si>
    <t>X_0364_CS</t>
  </si>
  <si>
    <t>X_0365_DN</t>
  </si>
  <si>
    <t>X_0367_ER_2</t>
  </si>
  <si>
    <t>X_0369_DS_3</t>
  </si>
  <si>
    <t>X_0377_DN_3</t>
  </si>
  <si>
    <t>X_0378_CN_3</t>
  </si>
  <si>
    <t>X_0378_CR_2</t>
  </si>
  <si>
    <t>X_0378_MS_1</t>
  </si>
  <si>
    <t>X_0380_MS_1</t>
  </si>
  <si>
    <t>X_0381_DN</t>
  </si>
  <si>
    <t>X_0385_ES_1</t>
  </si>
  <si>
    <t>X_0391_MS_3</t>
  </si>
  <si>
    <t>X_0404_CS</t>
  </si>
  <si>
    <t>X_0405_DS</t>
  </si>
  <si>
    <t>X_0423_CS</t>
  </si>
  <si>
    <t>X_0426_DS</t>
  </si>
  <si>
    <t>X_0437_ER_2</t>
  </si>
  <si>
    <t>X_0439_ER_2</t>
  </si>
  <si>
    <t>X_0441_BS</t>
  </si>
  <si>
    <t>X_0454_BN</t>
  </si>
  <si>
    <t>X_0458_MS_3</t>
  </si>
  <si>
    <t>X_0461_MS_1</t>
  </si>
  <si>
    <t>X_0475_CS</t>
  </si>
  <si>
    <t>X_0485_MS_3</t>
  </si>
  <si>
    <t>X_0486_CS_1</t>
  </si>
  <si>
    <t>X_0491_MS</t>
  </si>
  <si>
    <t>X_0497_MS</t>
  </si>
  <si>
    <t>total</t>
  </si>
  <si>
    <t>Remote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</si>
</sst>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0"/>
      </patternFill>
    </fill>
    <fill>
      <patternFill patternType="solid">
        <fgColor theme="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0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43">
    <xf numFmtId="0" fontId="0" fillId="0" borderId="0" xfId="0"/>
    <xf numFmtId="0" fontId="1" fillId="2" borderId="1" xfId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2" xfId="2" applyFont="1" applyFill="1" applyBorder="1" applyAlignment="1">
      <alignment horizontal="right" wrapText="1"/>
    </xf>
    <xf numFmtId="0" fontId="1" fillId="0" borderId="2" xfId="2" applyFont="1" applyFill="1" applyBorder="1" applyAlignment="1">
      <alignment wrapText="1"/>
    </xf>
    <xf numFmtId="0" fontId="1" fillId="2" borderId="1" xfId="3" applyFont="1" applyFill="1" applyBorder="1" applyAlignment="1">
      <alignment horizontal="center"/>
    </xf>
    <xf numFmtId="0" fontId="1" fillId="0" borderId="2" xfId="3" applyFont="1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2" borderId="14" xfId="1" applyFont="1" applyFill="1" applyBorder="1" applyAlignment="1">
      <alignment horizontal="center"/>
    </xf>
    <xf numFmtId="164" fontId="0" fillId="0" borderId="0" xfId="0" applyNumberFormat="1"/>
    <xf numFmtId="0" fontId="1" fillId="2" borderId="15" xfId="1" applyFont="1" applyFill="1" applyBorder="1" applyAlignment="1">
      <alignment horizontal="center"/>
    </xf>
    <xf numFmtId="0" fontId="1" fillId="2" borderId="14" xfId="2" applyFont="1" applyFill="1" applyBorder="1" applyAlignment="1">
      <alignment horizontal="center"/>
    </xf>
    <xf numFmtId="0" fontId="0" fillId="3" borderId="0" xfId="0" applyFill="1"/>
    <xf numFmtId="0" fontId="1" fillId="4" borderId="14" xfId="1" applyFont="1" applyFill="1" applyBorder="1" applyAlignment="1">
      <alignment horizontal="center"/>
    </xf>
    <xf numFmtId="0" fontId="1" fillId="2" borderId="0" xfId="1" applyFont="1" applyFill="1" applyAlignment="1">
      <alignment horizontal="center"/>
    </xf>
    <xf numFmtId="164" fontId="1" fillId="2" borderId="0" xfId="1" applyNumberFormat="1" applyFont="1" applyFill="1" applyAlignment="1">
      <alignment horizontal="center"/>
    </xf>
    <xf numFmtId="0" fontId="1" fillId="0" borderId="2" xfId="1" applyFont="1" applyBorder="1" applyAlignment="1">
      <alignment horizontal="right" wrapText="1"/>
    </xf>
    <xf numFmtId="0" fontId="1" fillId="0" borderId="2" xfId="1" applyFont="1" applyBorder="1" applyAlignment="1">
      <alignment wrapText="1"/>
    </xf>
    <xf numFmtId="164" fontId="1" fillId="5" borderId="1" xfId="1" applyNumberFormat="1" applyFont="1" applyFill="1" applyBorder="1" applyAlignment="1">
      <alignment horizontal="center"/>
    </xf>
    <xf numFmtId="164" fontId="0" fillId="6" borderId="0" xfId="0" applyNumberFormat="1" applyFill="1"/>
    <xf numFmtId="164" fontId="1" fillId="5" borderId="14" xfId="1" applyNumberFormat="1" applyFont="1" applyFill="1" applyBorder="1" applyAlignment="1">
      <alignment horizontal="center"/>
    </xf>
    <xf numFmtId="164" fontId="1" fillId="5" borderId="15" xfId="1" applyNumberFormat="1" applyFont="1" applyFill="1" applyBorder="1" applyAlignment="1">
      <alignment horizontal="center"/>
    </xf>
    <xf numFmtId="164" fontId="1" fillId="5" borderId="0" xfId="1" applyNumberFormat="1" applyFont="1" applyFill="1" applyAlignment="1">
      <alignment horizontal="center"/>
    </xf>
    <xf numFmtId="1" fontId="1" fillId="0" borderId="2" xfId="1" applyNumberFormat="1" applyFont="1" applyFill="1" applyBorder="1" applyAlignment="1">
      <alignment horizontal="right" wrapText="1"/>
    </xf>
    <xf numFmtId="1" fontId="1" fillId="0" borderId="2" xfId="1" applyNumberFormat="1" applyFont="1" applyFill="1" applyBorder="1" applyAlignment="1">
      <alignment wrapText="1"/>
    </xf>
    <xf numFmtId="1" fontId="0" fillId="0" borderId="0" xfId="0" applyNumberFormat="1" applyFill="1"/>
    <xf numFmtId="1" fontId="1" fillId="0" borderId="0" xfId="1" applyNumberFormat="1" applyFont="1" applyFill="1" applyBorder="1" applyAlignment="1">
      <alignment horizontal="right" wrapText="1"/>
    </xf>
    <xf numFmtId="1" fontId="0" fillId="0" borderId="0" xfId="0" applyNumberFormat="1"/>
    <xf numFmtId="0" fontId="0" fillId="0" borderId="0" xfId="0" applyFill="1" applyBorder="1"/>
    <xf numFmtId="0" fontId="1" fillId="7" borderId="1" xfId="1" applyFont="1" applyFill="1" applyBorder="1" applyAlignment="1">
      <alignment horizontal="center"/>
    </xf>
    <xf numFmtId="0" fontId="1" fillId="8" borderId="2" xfId="1" applyFont="1" applyFill="1" applyBorder="1" applyAlignment="1">
      <alignment horizontal="right" wrapText="1"/>
    </xf>
    <xf numFmtId="0" fontId="0" fillId="8" borderId="0" xfId="0" applyFill="1"/>
  </cellXfs>
  <cellStyles count="4">
    <cellStyle name="Normal" xfId="0" builtinId="0"/>
    <cellStyle name="Normal_Sheet1" xfId="1" xr:uid="{00000000-0005-0000-0000-000001000000}"/>
    <cellStyle name="Normal_Sheet2" xfId="2" xr:uid="{00000000-0005-0000-0000-000002000000}"/>
    <cellStyle name="Normal_Sheet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Number of stands of per size and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Output!$A$2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Output!$B$2:$CZ$2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65-42B2-91A3-90A9B31DD01A}"/>
            </c:ext>
          </c:extLst>
        </c:ser>
        <c:ser>
          <c:idx val="1"/>
          <c:order val="1"/>
          <c:tx>
            <c:strRef>
              <c:f>Output!$A$3</c:f>
              <c:strCache>
                <c:ptCount val="1"/>
                <c:pt idx="0">
                  <c:v>AI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Output!$B$3:$CZ$3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65-42B2-91A3-90A9B31DD01A}"/>
            </c:ext>
          </c:extLst>
        </c:ser>
        <c:ser>
          <c:idx val="2"/>
          <c:order val="2"/>
          <c:tx>
            <c:strRef>
              <c:f>Output!$A$4</c:f>
              <c:strCache>
                <c:ptCount val="1"/>
                <c:pt idx="0">
                  <c:v>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Output!$B$4:$CZ$4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65-42B2-91A3-90A9B31DD01A}"/>
            </c:ext>
          </c:extLst>
        </c:ser>
        <c:ser>
          <c:idx val="3"/>
          <c:order val="3"/>
          <c:tx>
            <c:strRef>
              <c:f>Output!$A$5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Output!$B$5:$CZ$5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65-42B2-91A3-90A9B31DD01A}"/>
            </c:ext>
          </c:extLst>
        </c:ser>
        <c:ser>
          <c:idx val="4"/>
          <c:order val="4"/>
          <c:tx>
            <c:strRef>
              <c:f>Output!$A$6</c:f>
              <c:strCache>
                <c:ptCount val="1"/>
                <c:pt idx="0">
                  <c:v>BN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Output!$B$6:$CZ$6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4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5</c:v>
                </c:pt>
                <c:pt idx="30">
                  <c:v>4</c:v>
                </c:pt>
                <c:pt idx="31">
                  <c:v>5</c:v>
                </c:pt>
                <c:pt idx="32">
                  <c:v>2</c:v>
                </c:pt>
                <c:pt idx="33">
                  <c:v>2</c:v>
                </c:pt>
                <c:pt idx="34">
                  <c:v>0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1</c:v>
                </c:pt>
                <c:pt idx="39">
                  <c:v>3</c:v>
                </c:pt>
                <c:pt idx="40">
                  <c:v>3</c:v>
                </c:pt>
                <c:pt idx="41">
                  <c:v>5</c:v>
                </c:pt>
                <c:pt idx="42">
                  <c:v>4</c:v>
                </c:pt>
                <c:pt idx="43">
                  <c:v>6</c:v>
                </c:pt>
                <c:pt idx="44">
                  <c:v>5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4</c:v>
                </c:pt>
                <c:pt idx="52">
                  <c:v>4</c:v>
                </c:pt>
                <c:pt idx="53">
                  <c:v>7</c:v>
                </c:pt>
                <c:pt idx="54">
                  <c:v>4</c:v>
                </c:pt>
                <c:pt idx="55">
                  <c:v>5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4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5</c:v>
                </c:pt>
                <c:pt idx="64">
                  <c:v>7</c:v>
                </c:pt>
                <c:pt idx="65">
                  <c:v>5</c:v>
                </c:pt>
                <c:pt idx="66">
                  <c:v>4</c:v>
                </c:pt>
                <c:pt idx="67">
                  <c:v>6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4</c:v>
                </c:pt>
                <c:pt idx="73">
                  <c:v>3</c:v>
                </c:pt>
                <c:pt idx="74">
                  <c:v>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65-42B2-91A3-90A9B31DD01A}"/>
            </c:ext>
          </c:extLst>
        </c:ser>
        <c:ser>
          <c:idx val="5"/>
          <c:order val="5"/>
          <c:tx>
            <c:strRef>
              <c:f>Output!$A$7</c:f>
              <c:strCache>
                <c:ptCount val="1"/>
                <c:pt idx="0">
                  <c:v>BI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Output!$B$7:$CZ$7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965-42B2-91A3-90A9B31DD01A}"/>
            </c:ext>
          </c:extLst>
        </c:ser>
        <c:ser>
          <c:idx val="6"/>
          <c:order val="6"/>
          <c:tx>
            <c:strRef>
              <c:f>Output!$A$8</c:f>
              <c:strCache>
                <c:ptCount val="1"/>
                <c:pt idx="0">
                  <c:v>BS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Output!$B$8:$CZ$8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4</c:v>
                </c:pt>
                <c:pt idx="21">
                  <c:v>6</c:v>
                </c:pt>
                <c:pt idx="22">
                  <c:v>5</c:v>
                </c:pt>
                <c:pt idx="23">
                  <c:v>3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3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0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65-42B2-91A3-90A9B31DD01A}"/>
            </c:ext>
          </c:extLst>
        </c:ser>
        <c:ser>
          <c:idx val="7"/>
          <c:order val="7"/>
          <c:tx>
            <c:strRef>
              <c:f>Output!$A$9</c:f>
              <c:strCache>
                <c:ptCount val="1"/>
                <c:pt idx="0">
                  <c:v>BR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Output!$B$9:$CZ$9</c:f>
              <c:numCache>
                <c:formatCode>0</c:formatCode>
                <c:ptCount val="10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3</c:v>
                </c:pt>
                <c:pt idx="66">
                  <c:v>5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4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965-42B2-91A3-90A9B31DD01A}"/>
            </c:ext>
          </c:extLst>
        </c:ser>
        <c:ser>
          <c:idx val="8"/>
          <c:order val="8"/>
          <c:tx>
            <c:strRef>
              <c:f>Output!$A$10</c:f>
              <c:strCache>
                <c:ptCount val="1"/>
                <c:pt idx="0">
                  <c:v>CN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Output!$B$10:$CZ$10</c:f>
              <c:numCache>
                <c:formatCode>0</c:formatCode>
                <c:ptCount val="103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6</c:v>
                </c:pt>
                <c:pt idx="5">
                  <c:v>15</c:v>
                </c:pt>
                <c:pt idx="6">
                  <c:v>15</c:v>
                </c:pt>
                <c:pt idx="7">
                  <c:v>7</c:v>
                </c:pt>
                <c:pt idx="8">
                  <c:v>12</c:v>
                </c:pt>
                <c:pt idx="9">
                  <c:v>18</c:v>
                </c:pt>
                <c:pt idx="10">
                  <c:v>15</c:v>
                </c:pt>
                <c:pt idx="11">
                  <c:v>11</c:v>
                </c:pt>
                <c:pt idx="12">
                  <c:v>14</c:v>
                </c:pt>
                <c:pt idx="13">
                  <c:v>17</c:v>
                </c:pt>
                <c:pt idx="14">
                  <c:v>17</c:v>
                </c:pt>
                <c:pt idx="15">
                  <c:v>16</c:v>
                </c:pt>
                <c:pt idx="16">
                  <c:v>17</c:v>
                </c:pt>
                <c:pt idx="17">
                  <c:v>17</c:v>
                </c:pt>
                <c:pt idx="18">
                  <c:v>20</c:v>
                </c:pt>
                <c:pt idx="19">
                  <c:v>24</c:v>
                </c:pt>
                <c:pt idx="20">
                  <c:v>26</c:v>
                </c:pt>
                <c:pt idx="21">
                  <c:v>23</c:v>
                </c:pt>
                <c:pt idx="22">
                  <c:v>20</c:v>
                </c:pt>
                <c:pt idx="23">
                  <c:v>22</c:v>
                </c:pt>
                <c:pt idx="24">
                  <c:v>25</c:v>
                </c:pt>
                <c:pt idx="25">
                  <c:v>32</c:v>
                </c:pt>
                <c:pt idx="26">
                  <c:v>34</c:v>
                </c:pt>
                <c:pt idx="27">
                  <c:v>36</c:v>
                </c:pt>
                <c:pt idx="28">
                  <c:v>29</c:v>
                </c:pt>
                <c:pt idx="29">
                  <c:v>25</c:v>
                </c:pt>
                <c:pt idx="30">
                  <c:v>25</c:v>
                </c:pt>
                <c:pt idx="31">
                  <c:v>23</c:v>
                </c:pt>
                <c:pt idx="32">
                  <c:v>22</c:v>
                </c:pt>
                <c:pt idx="33">
                  <c:v>21</c:v>
                </c:pt>
                <c:pt idx="34">
                  <c:v>18</c:v>
                </c:pt>
                <c:pt idx="35">
                  <c:v>19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23</c:v>
                </c:pt>
                <c:pt idx="40">
                  <c:v>24</c:v>
                </c:pt>
                <c:pt idx="41">
                  <c:v>26</c:v>
                </c:pt>
                <c:pt idx="42">
                  <c:v>23</c:v>
                </c:pt>
                <c:pt idx="43">
                  <c:v>18</c:v>
                </c:pt>
                <c:pt idx="44">
                  <c:v>15</c:v>
                </c:pt>
                <c:pt idx="45">
                  <c:v>13</c:v>
                </c:pt>
                <c:pt idx="46">
                  <c:v>15</c:v>
                </c:pt>
                <c:pt idx="47">
                  <c:v>11</c:v>
                </c:pt>
                <c:pt idx="48">
                  <c:v>17</c:v>
                </c:pt>
                <c:pt idx="49">
                  <c:v>21</c:v>
                </c:pt>
                <c:pt idx="50">
                  <c:v>24</c:v>
                </c:pt>
                <c:pt idx="51">
                  <c:v>23</c:v>
                </c:pt>
                <c:pt idx="52">
                  <c:v>19</c:v>
                </c:pt>
                <c:pt idx="53">
                  <c:v>21</c:v>
                </c:pt>
                <c:pt idx="54">
                  <c:v>11</c:v>
                </c:pt>
                <c:pt idx="55">
                  <c:v>11</c:v>
                </c:pt>
                <c:pt idx="56">
                  <c:v>18</c:v>
                </c:pt>
                <c:pt idx="57">
                  <c:v>20</c:v>
                </c:pt>
                <c:pt idx="58">
                  <c:v>19</c:v>
                </c:pt>
                <c:pt idx="59">
                  <c:v>17</c:v>
                </c:pt>
                <c:pt idx="60">
                  <c:v>15</c:v>
                </c:pt>
                <c:pt idx="61">
                  <c:v>22</c:v>
                </c:pt>
                <c:pt idx="62">
                  <c:v>23</c:v>
                </c:pt>
                <c:pt idx="63">
                  <c:v>24</c:v>
                </c:pt>
                <c:pt idx="64">
                  <c:v>26</c:v>
                </c:pt>
                <c:pt idx="65">
                  <c:v>23</c:v>
                </c:pt>
                <c:pt idx="66">
                  <c:v>23</c:v>
                </c:pt>
                <c:pt idx="67">
                  <c:v>18</c:v>
                </c:pt>
                <c:pt idx="68">
                  <c:v>19</c:v>
                </c:pt>
                <c:pt idx="69">
                  <c:v>19</c:v>
                </c:pt>
                <c:pt idx="70">
                  <c:v>18</c:v>
                </c:pt>
                <c:pt idx="71">
                  <c:v>19</c:v>
                </c:pt>
                <c:pt idx="72">
                  <c:v>21</c:v>
                </c:pt>
                <c:pt idx="73">
                  <c:v>20</c:v>
                </c:pt>
                <c:pt idx="74">
                  <c:v>14</c:v>
                </c:pt>
                <c:pt idx="75">
                  <c:v>14</c:v>
                </c:pt>
                <c:pt idx="76">
                  <c:v>10</c:v>
                </c:pt>
                <c:pt idx="77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965-42B2-91A3-90A9B31DD01A}"/>
            </c:ext>
          </c:extLst>
        </c:ser>
        <c:ser>
          <c:idx val="9"/>
          <c:order val="9"/>
          <c:tx>
            <c:strRef>
              <c:f>Output!$A$11</c:f>
              <c:strCache>
                <c:ptCount val="1"/>
                <c:pt idx="0">
                  <c:v>CI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Output!$B$11:$CZ$11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965-42B2-91A3-90A9B31DD01A}"/>
            </c:ext>
          </c:extLst>
        </c:ser>
        <c:ser>
          <c:idx val="10"/>
          <c:order val="10"/>
          <c:tx>
            <c:strRef>
              <c:f>Output!$A$12</c:f>
              <c:strCache>
                <c:ptCount val="1"/>
                <c:pt idx="0">
                  <c:v>CS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Output!$B$12:$CZ$12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3</c:v>
                </c:pt>
                <c:pt idx="41">
                  <c:v>2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65-42B2-91A3-90A9B31DD01A}"/>
            </c:ext>
          </c:extLst>
        </c:ser>
        <c:ser>
          <c:idx val="11"/>
          <c:order val="11"/>
          <c:tx>
            <c:strRef>
              <c:f>Output!$A$13</c:f>
              <c:strCache>
                <c:ptCount val="1"/>
                <c:pt idx="0">
                  <c:v>CR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Output!$B$13:$CZ$13</c:f>
              <c:numCache>
                <c:formatCode>0</c:formatCode>
                <c:ptCount val="103"/>
                <c:pt idx="0">
                  <c:v>62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65</c:v>
                </c:pt>
                <c:pt idx="5">
                  <c:v>55</c:v>
                </c:pt>
                <c:pt idx="6">
                  <c:v>46</c:v>
                </c:pt>
                <c:pt idx="7">
                  <c:v>45</c:v>
                </c:pt>
                <c:pt idx="8">
                  <c:v>37</c:v>
                </c:pt>
                <c:pt idx="9">
                  <c:v>30</c:v>
                </c:pt>
                <c:pt idx="10">
                  <c:v>26</c:v>
                </c:pt>
                <c:pt idx="11">
                  <c:v>24</c:v>
                </c:pt>
                <c:pt idx="12">
                  <c:v>20</c:v>
                </c:pt>
                <c:pt idx="13">
                  <c:v>16</c:v>
                </c:pt>
                <c:pt idx="14">
                  <c:v>11</c:v>
                </c:pt>
                <c:pt idx="15">
                  <c:v>7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3</c:v>
                </c:pt>
                <c:pt idx="30">
                  <c:v>4</c:v>
                </c:pt>
                <c:pt idx="31">
                  <c:v>4</c:v>
                </c:pt>
                <c:pt idx="32">
                  <c:v>5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2</c:v>
                </c:pt>
                <c:pt idx="58">
                  <c:v>5</c:v>
                </c:pt>
                <c:pt idx="59">
                  <c:v>6</c:v>
                </c:pt>
                <c:pt idx="60">
                  <c:v>9</c:v>
                </c:pt>
                <c:pt idx="61">
                  <c:v>9</c:v>
                </c:pt>
                <c:pt idx="62">
                  <c:v>8</c:v>
                </c:pt>
                <c:pt idx="63">
                  <c:v>11</c:v>
                </c:pt>
                <c:pt idx="64">
                  <c:v>13</c:v>
                </c:pt>
                <c:pt idx="65">
                  <c:v>14</c:v>
                </c:pt>
                <c:pt idx="66">
                  <c:v>18</c:v>
                </c:pt>
                <c:pt idx="67">
                  <c:v>21</c:v>
                </c:pt>
                <c:pt idx="68">
                  <c:v>26</c:v>
                </c:pt>
                <c:pt idx="69">
                  <c:v>28</c:v>
                </c:pt>
                <c:pt idx="70">
                  <c:v>33</c:v>
                </c:pt>
                <c:pt idx="71">
                  <c:v>34</c:v>
                </c:pt>
                <c:pt idx="72">
                  <c:v>36</c:v>
                </c:pt>
                <c:pt idx="73">
                  <c:v>39</c:v>
                </c:pt>
                <c:pt idx="74">
                  <c:v>44</c:v>
                </c:pt>
                <c:pt idx="75">
                  <c:v>47</c:v>
                </c:pt>
                <c:pt idx="76">
                  <c:v>52</c:v>
                </c:pt>
                <c:pt idx="77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965-42B2-91A3-90A9B31DD01A}"/>
            </c:ext>
          </c:extLst>
        </c:ser>
        <c:ser>
          <c:idx val="12"/>
          <c:order val="12"/>
          <c:tx>
            <c:strRef>
              <c:f>Output!$A$14</c:f>
              <c:strCache>
                <c:ptCount val="1"/>
                <c:pt idx="0">
                  <c:v>DN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Output!$B$14:$CZ$14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3</c:v>
                </c:pt>
                <c:pt idx="70">
                  <c:v>4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965-42B2-91A3-90A9B31DD01A}"/>
            </c:ext>
          </c:extLst>
        </c:ser>
        <c:ser>
          <c:idx val="13"/>
          <c:order val="13"/>
          <c:tx>
            <c:strRef>
              <c:f>Output!$A$15</c:f>
              <c:strCache>
                <c:ptCount val="1"/>
                <c:pt idx="0">
                  <c:v>DI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Output!$B$15:$CZ$15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965-42B2-91A3-90A9B31DD01A}"/>
            </c:ext>
          </c:extLst>
        </c:ser>
        <c:ser>
          <c:idx val="14"/>
          <c:order val="14"/>
          <c:tx>
            <c:strRef>
              <c:f>Output!$A$16</c:f>
              <c:strCache>
                <c:ptCount val="1"/>
                <c:pt idx="0">
                  <c:v>DS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Output!$B$16:$CZ$16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965-42B2-91A3-90A9B31DD01A}"/>
            </c:ext>
          </c:extLst>
        </c:ser>
        <c:ser>
          <c:idx val="15"/>
          <c:order val="15"/>
          <c:tx>
            <c:strRef>
              <c:f>Output!$A$17</c:f>
              <c:strCache>
                <c:ptCount val="1"/>
                <c:pt idx="0">
                  <c:v>DR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Output!$B$17:$CZ$17</c:f>
              <c:numCache>
                <c:formatCode>0</c:formatCode>
                <c:ptCount val="103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5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965-42B2-91A3-90A9B31DD01A}"/>
            </c:ext>
          </c:extLst>
        </c:ser>
        <c:ser>
          <c:idx val="16"/>
          <c:order val="16"/>
          <c:tx>
            <c:strRef>
              <c:f>Output!$A$18</c:f>
              <c:strCache>
                <c:ptCount val="1"/>
                <c:pt idx="0">
                  <c:v>EN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Output!$B$18:$CZ$18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965-42B2-91A3-90A9B31DD01A}"/>
            </c:ext>
          </c:extLst>
        </c:ser>
        <c:ser>
          <c:idx val="17"/>
          <c:order val="17"/>
          <c:tx>
            <c:strRef>
              <c:f>Output!$A$19</c:f>
              <c:strCache>
                <c:ptCount val="1"/>
                <c:pt idx="0">
                  <c:v>EI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Output!$B$19:$CZ$19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965-42B2-91A3-90A9B31DD01A}"/>
            </c:ext>
          </c:extLst>
        </c:ser>
        <c:ser>
          <c:idx val="18"/>
          <c:order val="18"/>
          <c:tx>
            <c:strRef>
              <c:f>Output!$A$20</c:f>
              <c:strCache>
                <c:ptCount val="1"/>
                <c:pt idx="0">
                  <c:v>ES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Output!$B$20:$CZ$20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965-42B2-91A3-90A9B31DD01A}"/>
            </c:ext>
          </c:extLst>
        </c:ser>
        <c:ser>
          <c:idx val="19"/>
          <c:order val="19"/>
          <c:tx>
            <c:strRef>
              <c:f>Output!$A$21</c:f>
              <c:strCache>
                <c:ptCount val="1"/>
                <c:pt idx="0">
                  <c:v>ER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Output!$B$21:$CZ$21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965-42B2-91A3-90A9B31DD01A}"/>
            </c:ext>
          </c:extLst>
        </c:ser>
        <c:ser>
          <c:idx val="20"/>
          <c:order val="20"/>
          <c:tx>
            <c:strRef>
              <c:f>Output!$A$22</c:f>
              <c:strCache>
                <c:ptCount val="1"/>
                <c:pt idx="0">
                  <c:v>FN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Output!$B$22:$CZ$22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965-42B2-91A3-90A9B31DD01A}"/>
            </c:ext>
          </c:extLst>
        </c:ser>
        <c:ser>
          <c:idx val="21"/>
          <c:order val="21"/>
          <c:tx>
            <c:strRef>
              <c:f>Output!$A$23</c:f>
              <c:strCache>
                <c:ptCount val="1"/>
                <c:pt idx="0">
                  <c:v>FI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Output!$B$23:$CZ$23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965-42B2-91A3-90A9B31DD01A}"/>
            </c:ext>
          </c:extLst>
        </c:ser>
        <c:ser>
          <c:idx val="22"/>
          <c:order val="22"/>
          <c:tx>
            <c:strRef>
              <c:f>Output!$A$24</c:f>
              <c:strCache>
                <c:ptCount val="1"/>
                <c:pt idx="0">
                  <c:v>FS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Output!$B$24:$CZ$24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965-42B2-91A3-90A9B31DD01A}"/>
            </c:ext>
          </c:extLst>
        </c:ser>
        <c:ser>
          <c:idx val="23"/>
          <c:order val="23"/>
          <c:tx>
            <c:strRef>
              <c:f>Output!$A$25</c:f>
              <c:strCache>
                <c:ptCount val="1"/>
                <c:pt idx="0">
                  <c:v>FR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Output!$B$25:$CZ$25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965-42B2-91A3-90A9B31DD01A}"/>
            </c:ext>
          </c:extLst>
        </c:ser>
        <c:ser>
          <c:idx val="24"/>
          <c:order val="24"/>
          <c:tx>
            <c:strRef>
              <c:f>Output!$A$27</c:f>
              <c:strCache>
                <c:ptCount val="1"/>
                <c:pt idx="0">
                  <c:v>A_Tot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Output!$DA$27:$DB$27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48-4267-9FF9-EF53E18ABEB6}"/>
            </c:ext>
          </c:extLst>
        </c:ser>
        <c:ser>
          <c:idx val="25"/>
          <c:order val="25"/>
          <c:tx>
            <c:strRef>
              <c:f>Output!$A$28</c:f>
              <c:strCache>
                <c:ptCount val="1"/>
                <c:pt idx="0">
                  <c:v>B_Tot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Output!$DA$28:$DB$28</c:f>
              <c:numCache>
                <c:formatCode>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92-4492-8BA5-9E854BACF76B}"/>
            </c:ext>
          </c:extLst>
        </c:ser>
        <c:ser>
          <c:idx val="26"/>
          <c:order val="26"/>
          <c:tx>
            <c:strRef>
              <c:f>Output!$A$29</c:f>
              <c:strCache>
                <c:ptCount val="1"/>
                <c:pt idx="0">
                  <c:v>C_Tot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Output!$DA$29:$DB$29</c:f>
              <c:numCache>
                <c:formatCode>0</c:formatCode>
                <c:ptCount val="2"/>
                <c:pt idx="0">
                  <c:v>71</c:v>
                </c:pt>
                <c:pt idx="1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92-4492-8BA5-9E854BACF76B}"/>
            </c:ext>
          </c:extLst>
        </c:ser>
        <c:ser>
          <c:idx val="27"/>
          <c:order val="27"/>
          <c:tx>
            <c:strRef>
              <c:f>Output!$A$30</c:f>
              <c:strCache>
                <c:ptCount val="1"/>
                <c:pt idx="0">
                  <c:v>D_Tot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Output!$DA$30:$DB$30</c:f>
              <c:numCache>
                <c:formatCode>0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92-4492-8BA5-9E854BACF76B}"/>
            </c:ext>
          </c:extLst>
        </c:ser>
        <c:ser>
          <c:idx val="28"/>
          <c:order val="28"/>
          <c:tx>
            <c:strRef>
              <c:f>Output!$A$31</c:f>
              <c:strCache>
                <c:ptCount val="1"/>
                <c:pt idx="0">
                  <c:v>E_Tot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Output!$DA$31:$DB$31</c:f>
              <c:numCache>
                <c:formatCode>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92-4492-8BA5-9E854BACF76B}"/>
            </c:ext>
          </c:extLst>
        </c:ser>
        <c:ser>
          <c:idx val="29"/>
          <c:order val="29"/>
          <c:tx>
            <c:strRef>
              <c:f>Output!$A$32</c:f>
              <c:strCache>
                <c:ptCount val="1"/>
                <c:pt idx="0">
                  <c:v>F_Tot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Output!$DA$32:$DB$32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92-4492-8BA5-9E854BAC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742640"/>
        <c:axId val="1896265664"/>
      </c:scatterChart>
      <c:valAx>
        <c:axId val="1911742640"/>
        <c:scaling>
          <c:orientation val="minMax"/>
          <c:max val="1.0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265664"/>
        <c:crosses val="autoZero"/>
        <c:crossBetween val="midCat"/>
        <c:majorUnit val="0.16666666666666669"/>
        <c:minorUnit val="4.1666666666666678E-2"/>
      </c:valAx>
      <c:valAx>
        <c:axId val="189626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742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1"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8780" cy="60655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459B7-0C2F-48D6-834D-59FF219BB2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500"/>
  <sheetViews>
    <sheetView topLeftCell="S35" workbookViewId="0">
      <selection activeCell="AF501" sqref="AF501"/>
    </sheetView>
  </sheetViews>
  <sheetFormatPr defaultRowHeight="14.4" x14ac:dyDescent="0.3"/>
  <cols>
    <col min="1" max="1" width="9.109375" style="42"/>
    <col min="14" max="14" width="9.33203125" customWidth="1"/>
    <col min="15" max="15" width="9.109375" style="23"/>
    <col min="27" max="27" width="13.44140625" style="20" customWidth="1"/>
    <col min="29" max="30" width="9.109375" style="20"/>
  </cols>
  <sheetData>
    <row r="1" spans="1:34" x14ac:dyDescent="0.3">
      <c r="A1" s="40" t="s">
        <v>0</v>
      </c>
      <c r="B1" s="1" t="s">
        <v>947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O1" s="24" t="s">
        <v>955</v>
      </c>
      <c r="P1" s="19" t="s">
        <v>956</v>
      </c>
      <c r="Q1" s="19" t="s">
        <v>957</v>
      </c>
      <c r="R1" s="1" t="s">
        <v>5</v>
      </c>
      <c r="S1" s="1" t="s">
        <v>7</v>
      </c>
      <c r="T1" s="1" t="s">
        <v>8</v>
      </c>
      <c r="U1" s="1" t="s">
        <v>10</v>
      </c>
      <c r="V1" s="21" t="s">
        <v>958</v>
      </c>
      <c r="W1" s="25" t="s">
        <v>959</v>
      </c>
      <c r="X1" s="25" t="s">
        <v>960</v>
      </c>
      <c r="Y1" s="25" t="s">
        <v>962</v>
      </c>
      <c r="Z1" s="25" t="s">
        <v>965</v>
      </c>
      <c r="AC1" s="26" t="s">
        <v>13</v>
      </c>
      <c r="AD1" s="26" t="s">
        <v>537</v>
      </c>
      <c r="AE1" s="25" t="s">
        <v>925</v>
      </c>
      <c r="AF1" s="25" t="s">
        <v>963</v>
      </c>
      <c r="AG1" s="25" t="s">
        <v>964</v>
      </c>
      <c r="AH1" s="25" t="s">
        <v>7</v>
      </c>
    </row>
    <row r="2" spans="1:34" x14ac:dyDescent="0.3">
      <c r="A2" s="41">
        <v>1</v>
      </c>
      <c r="B2" s="27">
        <v>127</v>
      </c>
      <c r="C2" s="28" t="s">
        <v>191</v>
      </c>
      <c r="D2" s="28" t="s">
        <v>13</v>
      </c>
      <c r="E2" s="28" t="s">
        <v>192</v>
      </c>
      <c r="F2" s="28" t="s">
        <v>15</v>
      </c>
      <c r="G2" s="28" t="s">
        <v>193</v>
      </c>
      <c r="H2" s="27">
        <v>0</v>
      </c>
      <c r="I2" s="27">
        <v>0</v>
      </c>
      <c r="J2" s="28" t="s">
        <v>17</v>
      </c>
      <c r="K2" s="27">
        <v>25</v>
      </c>
      <c r="L2" s="28" t="s">
        <v>194</v>
      </c>
      <c r="M2" s="27">
        <v>20</v>
      </c>
      <c r="O2" s="23">
        <v>1</v>
      </c>
      <c r="P2" t="str">
        <f>IF(O2&gt;0,VLOOKUP($O2,Dep!$A:$M,3),"")</f>
        <v>08:30</v>
      </c>
      <c r="Q2" t="str">
        <f>IF(O2&gt;0,VLOOKUP($O2,Dep!$A:$M,6),"")</f>
        <v>PDX</v>
      </c>
      <c r="R2" t="str">
        <f>IF(O2&gt;0,VLOOKUP($O2,Dep!$A:$M,7),"")</f>
        <v>73F</v>
      </c>
      <c r="S2">
        <f>IF(O2&gt;0,VLOOKUP($O2,Dep!$A:$M,9),"")</f>
        <v>0</v>
      </c>
      <c r="T2" t="str">
        <f>IF(O2&gt;0,VLOOKUP($O2,Dep!$A:$M,10),"")</f>
        <v>NAT</v>
      </c>
      <c r="U2" t="str">
        <f>IF(O2&gt;0,VLOOKUP($O2,Dep!$A:$M,12),"")</f>
        <v>7KR</v>
      </c>
      <c r="V2" t="str">
        <f>IF(O2&gt;0,IF(R2=G2,"","X"),"")</f>
        <v/>
      </c>
      <c r="W2" t="str">
        <f>IF(O2&gt;0,IF(U2=L2,"","X"),"")</f>
        <v/>
      </c>
      <c r="X2" t="str">
        <f>IF(O2&gt;0,IF(Q2=E2,"","X"),"")</f>
        <v>X</v>
      </c>
      <c r="Y2">
        <f t="shared" ref="Y2:Y65" si="0">IF(O2&gt;0,S2-I2,"")</f>
        <v>0</v>
      </c>
      <c r="Z2" t="str">
        <f>IF(O2&gt;0,IF(P2&lt;C2,1,""),"")</f>
        <v/>
      </c>
      <c r="AA2" s="20">
        <f t="shared" ref="AA2:AA65" si="1">IF(O2&gt;0,IF(P2-C2&gt;0,P2-C2,P2-C2+1),"")</f>
        <v>3.125E-2</v>
      </c>
      <c r="AB2">
        <f>A2</f>
        <v>1</v>
      </c>
      <c r="AC2" s="20" t="str">
        <f>C2</f>
        <v>07:45</v>
      </c>
      <c r="AD2" s="20" t="str">
        <f>IF(O2&gt;0,P2,AC2+1/24)</f>
        <v>08:30</v>
      </c>
      <c r="AE2" t="str">
        <f>VLOOKUP(G2,ACtypes!A:C,3,FALSE)</f>
        <v>C</v>
      </c>
      <c r="AF2" t="str">
        <f>IF(J2="INT",1,"")</f>
        <v/>
      </c>
      <c r="AG2" t="str">
        <f>IF(T2="INT",1,"")</f>
        <v/>
      </c>
      <c r="AH2">
        <f>I2</f>
        <v>0</v>
      </c>
    </row>
    <row r="3" spans="1:34" x14ac:dyDescent="0.3">
      <c r="A3" s="41">
        <f>A2+1</f>
        <v>2</v>
      </c>
      <c r="B3" s="27">
        <v>304</v>
      </c>
      <c r="C3" s="28" t="s">
        <v>376</v>
      </c>
      <c r="D3" s="28" t="s">
        <v>13</v>
      </c>
      <c r="E3" s="28" t="s">
        <v>366</v>
      </c>
      <c r="F3" s="28" t="s">
        <v>15</v>
      </c>
      <c r="G3" s="28" t="s">
        <v>193</v>
      </c>
      <c r="H3" s="27">
        <v>0</v>
      </c>
      <c r="I3" s="27">
        <v>0</v>
      </c>
      <c r="J3" s="28" t="s">
        <v>17</v>
      </c>
      <c r="K3" s="27">
        <v>25</v>
      </c>
      <c r="L3" s="28" t="s">
        <v>194</v>
      </c>
      <c r="M3" s="27">
        <v>20</v>
      </c>
      <c r="O3" s="23">
        <v>2</v>
      </c>
      <c r="P3" t="str">
        <f>IF(O3&gt;0,VLOOKUP($O3,Dep!$A:$M,3),"")</f>
        <v>21:00</v>
      </c>
      <c r="Q3" t="str">
        <f>IF(O3&gt;0,VLOOKUP($O3,Dep!$A:$M,6),"")</f>
        <v>FWA</v>
      </c>
      <c r="R3" t="str">
        <f>IF(O3&gt;0,VLOOKUP($O3,Dep!$A:$M,7),"")</f>
        <v>73F</v>
      </c>
      <c r="S3">
        <f>IF(O3&gt;0,VLOOKUP($O3,Dep!$A:$M,9),"")</f>
        <v>0</v>
      </c>
      <c r="T3" t="str">
        <f>IF(O3&gt;0,VLOOKUP($O3,Dep!$A:$M,10),"")</f>
        <v>NAT</v>
      </c>
      <c r="U3" t="str">
        <f>IF(O3&gt;0,VLOOKUP($O3,Dep!$A:$M,12),"")</f>
        <v>7KR</v>
      </c>
      <c r="V3" t="str">
        <f t="shared" ref="V3:V66" si="2">IF(O3&gt;0,IF(R3=G3,"","X"),"")</f>
        <v/>
      </c>
      <c r="W3" t="str">
        <f t="shared" ref="W3:W66" si="3">IF(O3&gt;0,IF(U3=L3,"","X"),"")</f>
        <v/>
      </c>
      <c r="X3" t="str">
        <f t="shared" ref="X3:X66" si="4">IF(O3&gt;0,IF(Q3=E3,"","X"),"")</f>
        <v>X</v>
      </c>
      <c r="Y3">
        <f t="shared" si="0"/>
        <v>0</v>
      </c>
      <c r="Z3" t="str">
        <f t="shared" ref="Z3:Z66" si="5">IF(O3&gt;0,IF(P3&lt;C3,1,""),"")</f>
        <v/>
      </c>
      <c r="AA3" s="20">
        <f t="shared" si="1"/>
        <v>3.125E-2</v>
      </c>
      <c r="AB3">
        <f t="shared" ref="AB3:AB66" si="6">A3</f>
        <v>2</v>
      </c>
      <c r="AC3" s="20" t="str">
        <f t="shared" ref="AC3:AC66" si="7">C3</f>
        <v>20:15</v>
      </c>
      <c r="AD3" s="20" t="str">
        <f t="shared" ref="AD3:AD65" si="8">IF(O3&gt;0,P3,AC3+1/24)</f>
        <v>21:00</v>
      </c>
      <c r="AE3" t="str">
        <f>VLOOKUP(G3,ACtypes!A:C,3,FALSE)</f>
        <v>C</v>
      </c>
      <c r="AF3" t="str">
        <f t="shared" ref="AF3:AF66" si="9">IF(J3="INT",1,"")</f>
        <v/>
      </c>
      <c r="AG3" t="str">
        <f t="shared" ref="AG3:AG66" si="10">IF(T3="INT",1,"")</f>
        <v/>
      </c>
      <c r="AH3">
        <f t="shared" ref="AH3:AH66" si="11">I3</f>
        <v>0</v>
      </c>
    </row>
    <row r="4" spans="1:34" x14ac:dyDescent="0.3">
      <c r="A4" s="41">
        <f t="shared" ref="A4:A67" si="12">A3+1</f>
        <v>3</v>
      </c>
      <c r="B4" s="27">
        <v>179</v>
      </c>
      <c r="C4" s="28" t="s">
        <v>228</v>
      </c>
      <c r="D4" s="28" t="s">
        <v>13</v>
      </c>
      <c r="E4" s="28" t="s">
        <v>247</v>
      </c>
      <c r="F4" s="28" t="s">
        <v>15</v>
      </c>
      <c r="G4" s="28" t="s">
        <v>34</v>
      </c>
      <c r="H4" s="27">
        <v>0</v>
      </c>
      <c r="I4" s="27">
        <v>150</v>
      </c>
      <c r="J4" s="28" t="s">
        <v>17</v>
      </c>
      <c r="K4" s="27">
        <v>25</v>
      </c>
      <c r="L4" s="28" t="s">
        <v>147</v>
      </c>
      <c r="M4" s="27">
        <v>8.6999999999999993</v>
      </c>
      <c r="O4" s="23">
        <v>5</v>
      </c>
      <c r="P4" t="str">
        <f>IF(O4&gt;0,VLOOKUP($O4,Dep!$A:$M,3),"")</f>
        <v>11:25</v>
      </c>
      <c r="Q4" t="str">
        <f>IF(O4&gt;0,VLOOKUP($O4,Dep!$A:$M,6),"")</f>
        <v>JFK</v>
      </c>
      <c r="R4" t="str">
        <f>IF(O4&gt;0,VLOOKUP($O4,Dep!$A:$M,7),"")</f>
        <v>757</v>
      </c>
      <c r="S4">
        <f>IF(O4&gt;0,VLOOKUP($O4,Dep!$A:$M,9),"")</f>
        <v>150</v>
      </c>
      <c r="T4" t="str">
        <f>IF(O4&gt;0,VLOOKUP($O4,Dep!$A:$M,10),"")</f>
        <v>NAT</v>
      </c>
      <c r="U4" t="str">
        <f>IF(O4&gt;0,VLOOKUP($O4,Dep!$A:$M,12),"")</f>
        <v>AA</v>
      </c>
      <c r="V4" t="str">
        <f t="shared" si="2"/>
        <v/>
      </c>
      <c r="W4" t="str">
        <f t="shared" si="3"/>
        <v/>
      </c>
      <c r="X4" t="str">
        <f t="shared" si="4"/>
        <v/>
      </c>
      <c r="Y4">
        <f t="shared" si="0"/>
        <v>0</v>
      </c>
      <c r="Z4" t="str">
        <f t="shared" si="5"/>
        <v/>
      </c>
      <c r="AA4" s="20">
        <f t="shared" si="1"/>
        <v>4.513888888888884E-2</v>
      </c>
      <c r="AB4">
        <f t="shared" si="6"/>
        <v>3</v>
      </c>
      <c r="AC4" s="20" t="str">
        <f t="shared" si="7"/>
        <v>10:20</v>
      </c>
      <c r="AD4" s="20" t="str">
        <f t="shared" si="8"/>
        <v>11:25</v>
      </c>
      <c r="AE4" t="str">
        <f>VLOOKUP(G4,ACtypes!A:C,3,FALSE)</f>
        <v>C</v>
      </c>
      <c r="AF4" t="str">
        <f t="shared" si="9"/>
        <v/>
      </c>
      <c r="AG4" t="str">
        <f t="shared" si="10"/>
        <v/>
      </c>
      <c r="AH4">
        <f t="shared" si="11"/>
        <v>150</v>
      </c>
    </row>
    <row r="5" spans="1:34" x14ac:dyDescent="0.3">
      <c r="A5" s="41">
        <f t="shared" si="12"/>
        <v>4</v>
      </c>
      <c r="B5" s="27">
        <v>93</v>
      </c>
      <c r="C5" s="28" t="s">
        <v>151</v>
      </c>
      <c r="D5" s="28" t="s">
        <v>13</v>
      </c>
      <c r="E5" s="28" t="s">
        <v>145</v>
      </c>
      <c r="F5" s="28" t="s">
        <v>15</v>
      </c>
      <c r="G5" s="28" t="s">
        <v>34</v>
      </c>
      <c r="H5" s="27">
        <v>0</v>
      </c>
      <c r="I5" s="27">
        <v>150</v>
      </c>
      <c r="J5" s="28" t="s">
        <v>17</v>
      </c>
      <c r="K5" s="27">
        <v>25</v>
      </c>
      <c r="L5" s="28" t="s">
        <v>147</v>
      </c>
      <c r="M5" s="27">
        <v>8.6999999999999993</v>
      </c>
      <c r="O5" s="23">
        <v>6</v>
      </c>
      <c r="P5" t="str">
        <f>IF(O5&gt;0,VLOOKUP($O5,Dep!$A:$M,3),"")</f>
        <v>11:41</v>
      </c>
      <c r="Q5" t="str">
        <f>IF(O5&gt;0,VLOOKUP($O5,Dep!$A:$M,6),"")</f>
        <v>DFW</v>
      </c>
      <c r="R5" t="str">
        <f>IF(O5&gt;0,VLOOKUP($O5,Dep!$A:$M,7),"")</f>
        <v>757</v>
      </c>
      <c r="S5">
        <f>IF(O5&gt;0,VLOOKUP($O5,Dep!$A:$M,9),"")</f>
        <v>150</v>
      </c>
      <c r="T5" t="str">
        <f>IF(O5&gt;0,VLOOKUP($O5,Dep!$A:$M,10),"")</f>
        <v>NAT</v>
      </c>
      <c r="U5" t="str">
        <f>IF(O5&gt;0,VLOOKUP($O5,Dep!$A:$M,12),"")</f>
        <v>AA</v>
      </c>
      <c r="V5" t="str">
        <f t="shared" si="2"/>
        <v/>
      </c>
      <c r="W5" t="str">
        <f t="shared" si="3"/>
        <v/>
      </c>
      <c r="X5" t="str">
        <f t="shared" si="4"/>
        <v/>
      </c>
      <c r="Y5">
        <f t="shared" si="0"/>
        <v>0</v>
      </c>
      <c r="Z5" t="str">
        <f t="shared" si="5"/>
        <v/>
      </c>
      <c r="AA5" s="20">
        <f t="shared" si="1"/>
        <v>3.6111111111111094E-2</v>
      </c>
      <c r="AB5">
        <f t="shared" si="6"/>
        <v>4</v>
      </c>
      <c r="AC5" s="20" t="str">
        <f t="shared" si="7"/>
        <v>10:49</v>
      </c>
      <c r="AD5" s="20" t="str">
        <f t="shared" si="8"/>
        <v>11:41</v>
      </c>
      <c r="AE5" t="str">
        <f>VLOOKUP(G5,ACtypes!A:C,3,FALSE)</f>
        <v>C</v>
      </c>
      <c r="AF5" t="str">
        <f t="shared" si="9"/>
        <v/>
      </c>
      <c r="AG5" t="str">
        <f t="shared" si="10"/>
        <v/>
      </c>
      <c r="AH5">
        <f t="shared" si="11"/>
        <v>150</v>
      </c>
    </row>
    <row r="6" spans="1:34" x14ac:dyDescent="0.3">
      <c r="A6" s="41">
        <f t="shared" si="12"/>
        <v>5</v>
      </c>
      <c r="B6" s="27">
        <v>94</v>
      </c>
      <c r="C6" s="28" t="s">
        <v>46</v>
      </c>
      <c r="D6" s="28" t="s">
        <v>13</v>
      </c>
      <c r="E6" s="28" t="s">
        <v>145</v>
      </c>
      <c r="F6" s="28" t="s">
        <v>15</v>
      </c>
      <c r="G6" s="28" t="s">
        <v>34</v>
      </c>
      <c r="H6" s="27">
        <v>0</v>
      </c>
      <c r="I6" s="27">
        <v>150</v>
      </c>
      <c r="J6" s="28" t="s">
        <v>17</v>
      </c>
      <c r="K6" s="27">
        <v>25</v>
      </c>
      <c r="L6" s="28" t="s">
        <v>147</v>
      </c>
      <c r="M6" s="27">
        <v>8.6999999999999993</v>
      </c>
      <c r="O6" s="23">
        <v>7</v>
      </c>
      <c r="P6" t="str">
        <f>IF(O6&gt;0,VLOOKUP($O6,Dep!$A:$M,3),"")</f>
        <v>15:30</v>
      </c>
      <c r="Q6" t="str">
        <f>IF(O6&gt;0,VLOOKUP($O6,Dep!$A:$M,6),"")</f>
        <v>DFW</v>
      </c>
      <c r="R6" t="str">
        <f>IF(O6&gt;0,VLOOKUP($O6,Dep!$A:$M,7),"")</f>
        <v>757</v>
      </c>
      <c r="S6">
        <f>IF(O6&gt;0,VLOOKUP($O6,Dep!$A:$M,9),"")</f>
        <v>150</v>
      </c>
      <c r="T6" t="str">
        <f>IF(O6&gt;0,VLOOKUP($O6,Dep!$A:$M,10),"")</f>
        <v>NAT</v>
      </c>
      <c r="U6" t="str">
        <f>IF(O6&gt;0,VLOOKUP($O6,Dep!$A:$M,12),"")</f>
        <v>AA</v>
      </c>
      <c r="V6" t="str">
        <f t="shared" si="2"/>
        <v/>
      </c>
      <c r="W6" t="str">
        <f t="shared" si="3"/>
        <v/>
      </c>
      <c r="X6" t="str">
        <f t="shared" si="4"/>
        <v/>
      </c>
      <c r="Y6">
        <f t="shared" si="0"/>
        <v>0</v>
      </c>
      <c r="Z6" t="str">
        <f t="shared" si="5"/>
        <v/>
      </c>
      <c r="AA6" s="20">
        <f t="shared" si="1"/>
        <v>3.8888888888888973E-2</v>
      </c>
      <c r="AB6">
        <f t="shared" si="6"/>
        <v>5</v>
      </c>
      <c r="AC6" s="20" t="str">
        <f t="shared" si="7"/>
        <v>14:34</v>
      </c>
      <c r="AD6" s="20" t="str">
        <f t="shared" si="8"/>
        <v>15:30</v>
      </c>
      <c r="AE6" t="str">
        <f>VLOOKUP(G6,ACtypes!A:C,3,FALSE)</f>
        <v>C</v>
      </c>
      <c r="AF6" t="str">
        <f t="shared" si="9"/>
        <v/>
      </c>
      <c r="AG6" t="str">
        <f t="shared" si="10"/>
        <v/>
      </c>
      <c r="AH6">
        <f t="shared" si="11"/>
        <v>150</v>
      </c>
    </row>
    <row r="7" spans="1:34" x14ac:dyDescent="0.3">
      <c r="A7" s="41">
        <f t="shared" si="12"/>
        <v>6</v>
      </c>
      <c r="B7" s="27">
        <v>89</v>
      </c>
      <c r="C7" s="28" t="s">
        <v>148</v>
      </c>
      <c r="D7" s="28" t="s">
        <v>13</v>
      </c>
      <c r="E7" s="28" t="s">
        <v>145</v>
      </c>
      <c r="F7" s="28" t="s">
        <v>15</v>
      </c>
      <c r="G7" s="28" t="s">
        <v>34</v>
      </c>
      <c r="H7" s="27">
        <v>0</v>
      </c>
      <c r="I7" s="27">
        <v>150</v>
      </c>
      <c r="J7" s="28" t="s">
        <v>17</v>
      </c>
      <c r="K7" s="27">
        <v>25</v>
      </c>
      <c r="L7" s="28" t="s">
        <v>147</v>
      </c>
      <c r="M7" s="27">
        <v>8.6999999999999993</v>
      </c>
      <c r="O7" s="23">
        <v>8</v>
      </c>
      <c r="P7" t="str">
        <f>IF(O7&gt;0,VLOOKUP($O7,Dep!$A:$M,3),"")</f>
        <v>17:30</v>
      </c>
      <c r="Q7" t="str">
        <f>IF(O7&gt;0,VLOOKUP($O7,Dep!$A:$M,6),"")</f>
        <v>DFW</v>
      </c>
      <c r="R7" t="str">
        <f>IF(O7&gt;0,VLOOKUP($O7,Dep!$A:$M,7),"")</f>
        <v>757</v>
      </c>
      <c r="S7">
        <f>IF(O7&gt;0,VLOOKUP($O7,Dep!$A:$M,9),"")</f>
        <v>150</v>
      </c>
      <c r="T7" t="str">
        <f>IF(O7&gt;0,VLOOKUP($O7,Dep!$A:$M,10),"")</f>
        <v>NAT</v>
      </c>
      <c r="U7" t="str">
        <f>IF(O7&gt;0,VLOOKUP($O7,Dep!$A:$M,12),"")</f>
        <v>AA</v>
      </c>
      <c r="V7" t="str">
        <f t="shared" si="2"/>
        <v/>
      </c>
      <c r="W7" t="str">
        <f t="shared" si="3"/>
        <v/>
      </c>
      <c r="X7" t="str">
        <f t="shared" si="4"/>
        <v/>
      </c>
      <c r="Y7">
        <f t="shared" si="0"/>
        <v>0</v>
      </c>
      <c r="Z7" t="str">
        <f t="shared" si="5"/>
        <v/>
      </c>
      <c r="AA7" s="20">
        <f t="shared" si="1"/>
        <v>3.819444444444442E-2</v>
      </c>
      <c r="AB7">
        <f t="shared" si="6"/>
        <v>6</v>
      </c>
      <c r="AC7" s="20" t="str">
        <f t="shared" si="7"/>
        <v>16:35</v>
      </c>
      <c r="AD7" s="20" t="str">
        <f t="shared" si="8"/>
        <v>17:30</v>
      </c>
      <c r="AE7" t="str">
        <f>VLOOKUP(G7,ACtypes!A:C,3,FALSE)</f>
        <v>C</v>
      </c>
      <c r="AF7" t="str">
        <f t="shared" si="9"/>
        <v/>
      </c>
      <c r="AG7" t="str">
        <f t="shared" si="10"/>
        <v/>
      </c>
      <c r="AH7">
        <f t="shared" si="11"/>
        <v>150</v>
      </c>
    </row>
    <row r="8" spans="1:34" x14ac:dyDescent="0.3">
      <c r="A8" s="41">
        <f t="shared" si="12"/>
        <v>7</v>
      </c>
      <c r="B8" s="27">
        <v>92</v>
      </c>
      <c r="C8" s="28" t="s">
        <v>49</v>
      </c>
      <c r="D8" s="28" t="s">
        <v>13</v>
      </c>
      <c r="E8" s="28" t="s">
        <v>145</v>
      </c>
      <c r="F8" s="28" t="s">
        <v>15</v>
      </c>
      <c r="G8" s="28" t="s">
        <v>34</v>
      </c>
      <c r="H8" s="27">
        <v>0</v>
      </c>
      <c r="I8" s="27">
        <v>150</v>
      </c>
      <c r="J8" s="28" t="s">
        <v>17</v>
      </c>
      <c r="K8" s="27">
        <v>25</v>
      </c>
      <c r="L8" s="28" t="s">
        <v>147</v>
      </c>
      <c r="M8" s="27">
        <v>8.6999999999999993</v>
      </c>
      <c r="O8" s="23">
        <v>9</v>
      </c>
      <c r="P8" t="str">
        <f>IF(O8&gt;0,VLOOKUP($O8,Dep!$A:$M,3),"")</f>
        <v>22:15</v>
      </c>
      <c r="Q8" t="str">
        <f>IF(O8&gt;0,VLOOKUP($O8,Dep!$A:$M,6),"")</f>
        <v>JFK</v>
      </c>
      <c r="R8" t="str">
        <f>IF(O8&gt;0,VLOOKUP($O8,Dep!$A:$M,7),"")</f>
        <v>757</v>
      </c>
      <c r="S8">
        <f>IF(O8&gt;0,VLOOKUP($O8,Dep!$A:$M,9),"")</f>
        <v>150</v>
      </c>
      <c r="T8" t="str">
        <f>IF(O8&gt;0,VLOOKUP($O8,Dep!$A:$M,10),"")</f>
        <v>NAT</v>
      </c>
      <c r="U8" t="str">
        <f>IF(O8&gt;0,VLOOKUP($O8,Dep!$A:$M,12),"")</f>
        <v>AA</v>
      </c>
      <c r="V8" t="str">
        <f t="shared" si="2"/>
        <v/>
      </c>
      <c r="W8" t="str">
        <f t="shared" si="3"/>
        <v/>
      </c>
      <c r="X8" t="str">
        <f t="shared" si="4"/>
        <v>X</v>
      </c>
      <c r="Y8">
        <f t="shared" si="0"/>
        <v>0</v>
      </c>
      <c r="Z8" t="str">
        <f t="shared" si="5"/>
        <v/>
      </c>
      <c r="AA8" s="20">
        <f t="shared" si="1"/>
        <v>0.15000000000000013</v>
      </c>
      <c r="AB8">
        <f t="shared" si="6"/>
        <v>7</v>
      </c>
      <c r="AC8" s="20" t="str">
        <f t="shared" si="7"/>
        <v>18:39</v>
      </c>
      <c r="AD8" s="20" t="str">
        <f t="shared" si="8"/>
        <v>22:15</v>
      </c>
      <c r="AE8" t="str">
        <f>VLOOKUP(G8,ACtypes!A:C,3,FALSE)</f>
        <v>C</v>
      </c>
      <c r="AF8" t="str">
        <f t="shared" si="9"/>
        <v/>
      </c>
      <c r="AG8" t="str">
        <f t="shared" si="10"/>
        <v/>
      </c>
      <c r="AH8">
        <f t="shared" si="11"/>
        <v>150</v>
      </c>
    </row>
    <row r="9" spans="1:34" x14ac:dyDescent="0.3">
      <c r="A9" s="41">
        <f t="shared" si="12"/>
        <v>8</v>
      </c>
      <c r="B9" s="27">
        <v>178</v>
      </c>
      <c r="C9" s="28" t="s">
        <v>95</v>
      </c>
      <c r="D9" s="28" t="s">
        <v>13</v>
      </c>
      <c r="E9" s="28" t="s">
        <v>247</v>
      </c>
      <c r="F9" s="28" t="s">
        <v>15</v>
      </c>
      <c r="G9" s="28" t="s">
        <v>34</v>
      </c>
      <c r="H9" s="27">
        <v>0</v>
      </c>
      <c r="I9" s="27">
        <v>150</v>
      </c>
      <c r="J9" s="28" t="s">
        <v>17</v>
      </c>
      <c r="K9" s="27">
        <v>25</v>
      </c>
      <c r="L9" s="28" t="s">
        <v>147</v>
      </c>
      <c r="M9" s="27">
        <v>8.6999999999999993</v>
      </c>
      <c r="O9" s="23">
        <v>10</v>
      </c>
      <c r="P9" t="str">
        <f>IF(O9&gt;0,VLOOKUP($O9,Dep!$A:$M,3),"")</f>
        <v>23:30</v>
      </c>
      <c r="Q9" t="str">
        <f>IF(O9&gt;0,VLOOKUP($O9,Dep!$A:$M,6),"")</f>
        <v>DFW</v>
      </c>
      <c r="R9" t="str">
        <f>IF(O9&gt;0,VLOOKUP($O9,Dep!$A:$M,7),"")</f>
        <v>757</v>
      </c>
      <c r="S9">
        <f>IF(O9&gt;0,VLOOKUP($O9,Dep!$A:$M,9),"")</f>
        <v>150</v>
      </c>
      <c r="T9" t="str">
        <f>IF(O9&gt;0,VLOOKUP($O9,Dep!$A:$M,10),"")</f>
        <v>NAT</v>
      </c>
      <c r="U9" t="str">
        <f>IF(O9&gt;0,VLOOKUP($O9,Dep!$A:$M,12),"")</f>
        <v>AA</v>
      </c>
      <c r="V9" t="str">
        <f t="shared" si="2"/>
        <v/>
      </c>
      <c r="W9" t="str">
        <f t="shared" si="3"/>
        <v/>
      </c>
      <c r="X9" t="str">
        <f t="shared" si="4"/>
        <v>X</v>
      </c>
      <c r="Y9">
        <f t="shared" si="0"/>
        <v>0</v>
      </c>
      <c r="Z9" t="str">
        <f t="shared" si="5"/>
        <v/>
      </c>
      <c r="AA9" s="20">
        <f t="shared" si="1"/>
        <v>9.7222222222222099E-2</v>
      </c>
      <c r="AB9">
        <f t="shared" si="6"/>
        <v>8</v>
      </c>
      <c r="AC9" s="20" t="str">
        <f t="shared" si="7"/>
        <v>21:10</v>
      </c>
      <c r="AD9" s="20" t="str">
        <f t="shared" si="8"/>
        <v>23:30</v>
      </c>
      <c r="AE9" t="str">
        <f>VLOOKUP(G9,ACtypes!A:C,3,FALSE)</f>
        <v>C</v>
      </c>
      <c r="AF9" t="str">
        <f t="shared" si="9"/>
        <v/>
      </c>
      <c r="AG9" t="str">
        <f t="shared" si="10"/>
        <v/>
      </c>
      <c r="AH9">
        <f t="shared" si="11"/>
        <v>150</v>
      </c>
    </row>
    <row r="10" spans="1:34" x14ac:dyDescent="0.3">
      <c r="A10" s="41">
        <f t="shared" si="12"/>
        <v>9</v>
      </c>
      <c r="B10" s="27">
        <v>90</v>
      </c>
      <c r="C10" s="28" t="s">
        <v>149</v>
      </c>
      <c r="D10" s="28" t="s">
        <v>13</v>
      </c>
      <c r="E10" s="28" t="s">
        <v>145</v>
      </c>
      <c r="F10" s="28" t="s">
        <v>15</v>
      </c>
      <c r="G10" s="28" t="s">
        <v>34</v>
      </c>
      <c r="H10" s="27">
        <v>0</v>
      </c>
      <c r="I10" s="27">
        <v>150</v>
      </c>
      <c r="J10" s="28" t="s">
        <v>17</v>
      </c>
      <c r="K10" s="27">
        <v>25</v>
      </c>
      <c r="L10" s="28" t="s">
        <v>147</v>
      </c>
      <c r="M10" s="27">
        <v>8.6999999999999993</v>
      </c>
      <c r="O10" s="23">
        <v>3</v>
      </c>
      <c r="P10" t="str">
        <f>IF(O10&gt;0,VLOOKUP($O10,Dep!$A:$M,3),"")</f>
        <v>06:00</v>
      </c>
      <c r="Q10" t="str">
        <f>IF(O10&gt;0,VLOOKUP($O10,Dep!$A:$M,6),"")</f>
        <v>DFW</v>
      </c>
      <c r="R10" t="str">
        <f>IF(O10&gt;0,VLOOKUP($O10,Dep!$A:$M,7),"")</f>
        <v>757</v>
      </c>
      <c r="S10">
        <f>IF(O10&gt;0,VLOOKUP($O10,Dep!$A:$M,9),"")</f>
        <v>150</v>
      </c>
      <c r="T10" t="str">
        <f>IF(O10&gt;0,VLOOKUP($O10,Dep!$A:$M,10),"")</f>
        <v>NAT</v>
      </c>
      <c r="U10" t="str">
        <f>IF(O10&gt;0,VLOOKUP($O10,Dep!$A:$M,12),"")</f>
        <v>AA</v>
      </c>
      <c r="V10" t="str">
        <f t="shared" si="2"/>
        <v/>
      </c>
      <c r="W10" t="str">
        <f t="shared" si="3"/>
        <v/>
      </c>
      <c r="X10" t="str">
        <f t="shared" si="4"/>
        <v/>
      </c>
      <c r="Y10">
        <f t="shared" si="0"/>
        <v>0</v>
      </c>
      <c r="Z10">
        <f t="shared" si="5"/>
        <v>1</v>
      </c>
      <c r="AA10" s="20">
        <f t="shared" si="1"/>
        <v>0.30972222222222223</v>
      </c>
      <c r="AB10">
        <f t="shared" si="6"/>
        <v>9</v>
      </c>
      <c r="AC10" s="20" t="str">
        <f t="shared" si="7"/>
        <v>22:34</v>
      </c>
      <c r="AD10" s="20" t="str">
        <f t="shared" si="8"/>
        <v>06:00</v>
      </c>
      <c r="AE10" t="str">
        <f>VLOOKUP(G10,ACtypes!A:C,3,FALSE)</f>
        <v>C</v>
      </c>
      <c r="AF10" t="str">
        <f t="shared" si="9"/>
        <v/>
      </c>
      <c r="AG10" t="str">
        <f t="shared" si="10"/>
        <v/>
      </c>
      <c r="AH10">
        <f t="shared" si="11"/>
        <v>150</v>
      </c>
    </row>
    <row r="11" spans="1:34" x14ac:dyDescent="0.3">
      <c r="A11" s="41">
        <f t="shared" si="12"/>
        <v>10</v>
      </c>
      <c r="B11" s="27">
        <v>91</v>
      </c>
      <c r="C11" s="28" t="s">
        <v>150</v>
      </c>
      <c r="D11" s="28" t="s">
        <v>13</v>
      </c>
      <c r="E11" s="28" t="s">
        <v>145</v>
      </c>
      <c r="F11" s="28" t="s">
        <v>15</v>
      </c>
      <c r="G11" s="28" t="s">
        <v>34</v>
      </c>
      <c r="H11" s="27">
        <v>0</v>
      </c>
      <c r="I11" s="27">
        <v>150</v>
      </c>
      <c r="J11" s="28" t="s">
        <v>17</v>
      </c>
      <c r="K11" s="27">
        <v>25</v>
      </c>
      <c r="L11" s="28" t="s">
        <v>147</v>
      </c>
      <c r="M11" s="27">
        <v>8.6999999999999993</v>
      </c>
      <c r="O11" s="23">
        <v>4</v>
      </c>
      <c r="P11" t="str">
        <f>IF(O11&gt;0,VLOOKUP($O11,Dep!$A:$M,3),"")</f>
        <v>07:56</v>
      </c>
      <c r="Q11" t="str">
        <f>IF(O11&gt;0,VLOOKUP($O11,Dep!$A:$M,6),"")</f>
        <v>DFW</v>
      </c>
      <c r="R11" t="str">
        <f>IF(O11&gt;0,VLOOKUP($O11,Dep!$A:$M,7),"")</f>
        <v>757</v>
      </c>
      <c r="S11">
        <f>IF(O11&gt;0,VLOOKUP($O11,Dep!$A:$M,9),"")</f>
        <v>150</v>
      </c>
      <c r="T11" t="str">
        <f>IF(O11&gt;0,VLOOKUP($O11,Dep!$A:$M,10),"")</f>
        <v>NAT</v>
      </c>
      <c r="U11" t="str">
        <f>IF(O11&gt;0,VLOOKUP($O11,Dep!$A:$M,12),"")</f>
        <v>AA</v>
      </c>
      <c r="V11" t="str">
        <f t="shared" si="2"/>
        <v/>
      </c>
      <c r="W11" t="str">
        <f t="shared" si="3"/>
        <v/>
      </c>
      <c r="X11" t="str">
        <f t="shared" si="4"/>
        <v/>
      </c>
      <c r="Y11">
        <f t="shared" si="0"/>
        <v>0</v>
      </c>
      <c r="Z11">
        <f t="shared" si="5"/>
        <v>1</v>
      </c>
      <c r="AA11" s="20">
        <f t="shared" si="1"/>
        <v>0.33402777777777781</v>
      </c>
      <c r="AB11">
        <f t="shared" si="6"/>
        <v>10</v>
      </c>
      <c r="AC11" s="20" t="str">
        <f t="shared" si="7"/>
        <v>23:55</v>
      </c>
      <c r="AD11" s="20" t="str">
        <f t="shared" si="8"/>
        <v>07:56</v>
      </c>
      <c r="AE11" t="str">
        <f>VLOOKUP(G11,ACtypes!A:C,3,FALSE)</f>
        <v>C</v>
      </c>
      <c r="AF11" t="str">
        <f t="shared" si="9"/>
        <v/>
      </c>
      <c r="AG11" t="str">
        <f t="shared" si="10"/>
        <v/>
      </c>
      <c r="AH11">
        <f t="shared" si="11"/>
        <v>150</v>
      </c>
    </row>
    <row r="12" spans="1:34" x14ac:dyDescent="0.3">
      <c r="A12" s="41">
        <f t="shared" si="12"/>
        <v>11</v>
      </c>
      <c r="B12" s="27">
        <v>97</v>
      </c>
      <c r="C12" s="28" t="s">
        <v>154</v>
      </c>
      <c r="D12" s="28" t="s">
        <v>13</v>
      </c>
      <c r="E12" s="28" t="s">
        <v>145</v>
      </c>
      <c r="F12" s="28" t="s">
        <v>15</v>
      </c>
      <c r="G12" s="28" t="s">
        <v>32</v>
      </c>
      <c r="H12" s="27">
        <v>0</v>
      </c>
      <c r="I12" s="27">
        <v>109</v>
      </c>
      <c r="J12" s="28" t="s">
        <v>17</v>
      </c>
      <c r="K12" s="27">
        <v>25</v>
      </c>
      <c r="L12" s="28" t="s">
        <v>147</v>
      </c>
      <c r="M12" s="27">
        <v>5.7</v>
      </c>
      <c r="O12" s="23">
        <v>12</v>
      </c>
      <c r="P12" t="str">
        <f>IF(O12&gt;0,VLOOKUP($O12,Dep!$A:$M,3),"")</f>
        <v>10:18</v>
      </c>
      <c r="Q12" t="str">
        <f>IF(O12&gt;0,VLOOKUP($O12,Dep!$A:$M,6),"")</f>
        <v>DFW</v>
      </c>
      <c r="R12" t="str">
        <f>IF(O12&gt;0,VLOOKUP($O12,Dep!$A:$M,7),"")</f>
        <v>M80</v>
      </c>
      <c r="S12">
        <f>IF(O12&gt;0,VLOOKUP($O12,Dep!$A:$M,9),"")</f>
        <v>109</v>
      </c>
      <c r="T12" t="str">
        <f>IF(O12&gt;0,VLOOKUP($O12,Dep!$A:$M,10),"")</f>
        <v>NAT</v>
      </c>
      <c r="U12" t="str">
        <f>IF(O12&gt;0,VLOOKUP($O12,Dep!$A:$M,12),"")</f>
        <v>AA</v>
      </c>
      <c r="V12" t="str">
        <f t="shared" si="2"/>
        <v/>
      </c>
      <c r="W12" t="str">
        <f t="shared" si="3"/>
        <v/>
      </c>
      <c r="X12" t="str">
        <f t="shared" si="4"/>
        <v/>
      </c>
      <c r="Y12">
        <f t="shared" si="0"/>
        <v>0</v>
      </c>
      <c r="Z12" t="str">
        <f t="shared" si="5"/>
        <v/>
      </c>
      <c r="AA12" s="20">
        <f t="shared" si="1"/>
        <v>2.916666666666673E-2</v>
      </c>
      <c r="AB12">
        <f t="shared" si="6"/>
        <v>11</v>
      </c>
      <c r="AC12" s="20" t="str">
        <f t="shared" si="7"/>
        <v>09:36</v>
      </c>
      <c r="AD12" s="20" t="str">
        <f t="shared" si="8"/>
        <v>10:18</v>
      </c>
      <c r="AE12" t="str">
        <f>VLOOKUP(G12,ACtypes!A:C,3,FALSE)</f>
        <v>C</v>
      </c>
      <c r="AF12" t="str">
        <f t="shared" si="9"/>
        <v/>
      </c>
      <c r="AG12" t="str">
        <f t="shared" si="10"/>
        <v/>
      </c>
      <c r="AH12">
        <f t="shared" si="11"/>
        <v>109</v>
      </c>
    </row>
    <row r="13" spans="1:34" x14ac:dyDescent="0.3">
      <c r="A13" s="41">
        <f t="shared" si="12"/>
        <v>12</v>
      </c>
      <c r="B13" s="27">
        <v>946</v>
      </c>
      <c r="C13" s="28" t="s">
        <v>518</v>
      </c>
      <c r="D13" s="28" t="s">
        <v>13</v>
      </c>
      <c r="E13" s="28" t="s">
        <v>517</v>
      </c>
      <c r="F13" s="28" t="s">
        <v>15</v>
      </c>
      <c r="G13" s="28" t="s">
        <v>32</v>
      </c>
      <c r="H13" s="27">
        <v>0</v>
      </c>
      <c r="I13" s="27">
        <v>109</v>
      </c>
      <c r="J13" s="28" t="s">
        <v>17</v>
      </c>
      <c r="K13" s="27">
        <v>25</v>
      </c>
      <c r="L13" s="28" t="s">
        <v>147</v>
      </c>
      <c r="M13" s="27">
        <v>5.7</v>
      </c>
      <c r="O13" s="23">
        <v>13</v>
      </c>
      <c r="P13" t="str">
        <f>IF(O13&gt;0,VLOOKUP($O13,Dep!$A:$M,3),"")</f>
        <v>12:23</v>
      </c>
      <c r="Q13" t="str">
        <f>IF(O13&gt;0,VLOOKUP($O13,Dep!$A:$M,6),"")</f>
        <v>STL</v>
      </c>
      <c r="R13" t="str">
        <f>IF(O13&gt;0,VLOOKUP($O13,Dep!$A:$M,7),"")</f>
        <v>M80</v>
      </c>
      <c r="S13">
        <f>IF(O13&gt;0,VLOOKUP($O13,Dep!$A:$M,9),"")</f>
        <v>109</v>
      </c>
      <c r="T13" t="str">
        <f>IF(O13&gt;0,VLOOKUP($O13,Dep!$A:$M,10),"")</f>
        <v>NAT</v>
      </c>
      <c r="U13" t="str">
        <f>IF(O13&gt;0,VLOOKUP($O13,Dep!$A:$M,12),"")</f>
        <v>AA</v>
      </c>
      <c r="V13" t="str">
        <f t="shared" si="2"/>
        <v/>
      </c>
      <c r="W13" t="str">
        <f t="shared" si="3"/>
        <v/>
      </c>
      <c r="X13" t="str">
        <f t="shared" si="4"/>
        <v/>
      </c>
      <c r="Y13">
        <f t="shared" si="0"/>
        <v>0</v>
      </c>
      <c r="Z13" t="str">
        <f t="shared" si="5"/>
        <v/>
      </c>
      <c r="AA13" s="20">
        <f t="shared" si="1"/>
        <v>2.9166666666666619E-2</v>
      </c>
      <c r="AB13">
        <f t="shared" si="6"/>
        <v>12</v>
      </c>
      <c r="AC13" s="20" t="str">
        <f t="shared" si="7"/>
        <v>11:41</v>
      </c>
      <c r="AD13" s="20" t="str">
        <f t="shared" si="8"/>
        <v>12:23</v>
      </c>
      <c r="AE13" t="str">
        <f>VLOOKUP(G13,ACtypes!A:C,3,FALSE)</f>
        <v>C</v>
      </c>
      <c r="AF13" t="str">
        <f t="shared" si="9"/>
        <v/>
      </c>
      <c r="AG13" t="str">
        <f t="shared" si="10"/>
        <v/>
      </c>
      <c r="AH13">
        <f t="shared" si="11"/>
        <v>109</v>
      </c>
    </row>
    <row r="14" spans="1:34" x14ac:dyDescent="0.3">
      <c r="A14" s="41">
        <f t="shared" si="12"/>
        <v>13</v>
      </c>
      <c r="B14" s="27">
        <v>95</v>
      </c>
      <c r="C14" s="28" t="s">
        <v>152</v>
      </c>
      <c r="D14" s="28" t="s">
        <v>13</v>
      </c>
      <c r="E14" s="28" t="s">
        <v>145</v>
      </c>
      <c r="F14" s="28" t="s">
        <v>15</v>
      </c>
      <c r="G14" s="28" t="s">
        <v>32</v>
      </c>
      <c r="H14" s="27">
        <v>0</v>
      </c>
      <c r="I14" s="27">
        <v>109</v>
      </c>
      <c r="J14" s="28" t="s">
        <v>17</v>
      </c>
      <c r="K14" s="27">
        <v>25</v>
      </c>
      <c r="L14" s="28" t="s">
        <v>147</v>
      </c>
      <c r="M14" s="27">
        <v>5.7</v>
      </c>
      <c r="O14" s="23">
        <v>14</v>
      </c>
      <c r="P14" t="str">
        <f>IF(O14&gt;0,VLOOKUP($O14,Dep!$A:$M,3),"")</f>
        <v>13:32</v>
      </c>
      <c r="Q14" t="str">
        <f>IF(O14&gt;0,VLOOKUP($O14,Dep!$A:$M,6),"")</f>
        <v>DFW</v>
      </c>
      <c r="R14" t="str">
        <f>IF(O14&gt;0,VLOOKUP($O14,Dep!$A:$M,7),"")</f>
        <v>M80</v>
      </c>
      <c r="S14">
        <f>IF(O14&gt;0,VLOOKUP($O14,Dep!$A:$M,9),"")</f>
        <v>109</v>
      </c>
      <c r="T14" t="str">
        <f>IF(O14&gt;0,VLOOKUP($O14,Dep!$A:$M,10),"")</f>
        <v>NAT</v>
      </c>
      <c r="U14" t="str">
        <f>IF(O14&gt;0,VLOOKUP($O14,Dep!$A:$M,12),"")</f>
        <v>AA</v>
      </c>
      <c r="V14" t="str">
        <f t="shared" si="2"/>
        <v/>
      </c>
      <c r="W14" t="str">
        <f t="shared" si="3"/>
        <v/>
      </c>
      <c r="X14" t="str">
        <f t="shared" si="4"/>
        <v/>
      </c>
      <c r="Y14">
        <f t="shared" si="0"/>
        <v>0</v>
      </c>
      <c r="Z14" t="str">
        <f t="shared" si="5"/>
        <v/>
      </c>
      <c r="AA14" s="20">
        <f t="shared" si="1"/>
        <v>2.9166666666666674E-2</v>
      </c>
      <c r="AB14">
        <f t="shared" si="6"/>
        <v>13</v>
      </c>
      <c r="AC14" s="20" t="str">
        <f t="shared" si="7"/>
        <v>12:50</v>
      </c>
      <c r="AD14" s="20" t="str">
        <f t="shared" si="8"/>
        <v>13:32</v>
      </c>
      <c r="AE14" t="str">
        <f>VLOOKUP(G14,ACtypes!A:C,3,FALSE)</f>
        <v>C</v>
      </c>
      <c r="AF14" t="str">
        <f t="shared" si="9"/>
        <v/>
      </c>
      <c r="AG14" t="str">
        <f t="shared" si="10"/>
        <v/>
      </c>
      <c r="AH14">
        <f t="shared" si="11"/>
        <v>109</v>
      </c>
    </row>
    <row r="15" spans="1:34" x14ac:dyDescent="0.3">
      <c r="A15" s="41">
        <f t="shared" si="12"/>
        <v>14</v>
      </c>
      <c r="B15" s="27">
        <v>281</v>
      </c>
      <c r="C15" s="28" t="s">
        <v>206</v>
      </c>
      <c r="D15" s="28" t="s">
        <v>13</v>
      </c>
      <c r="E15" s="28" t="s">
        <v>352</v>
      </c>
      <c r="F15" s="28" t="s">
        <v>15</v>
      </c>
      <c r="G15" s="28" t="s">
        <v>32</v>
      </c>
      <c r="H15" s="27">
        <v>0</v>
      </c>
      <c r="I15" s="27">
        <v>109</v>
      </c>
      <c r="J15" s="28" t="s">
        <v>17</v>
      </c>
      <c r="K15" s="27">
        <v>25</v>
      </c>
      <c r="L15" s="28" t="s">
        <v>147</v>
      </c>
      <c r="M15" s="27">
        <v>5.7</v>
      </c>
      <c r="O15" s="23">
        <v>15</v>
      </c>
      <c r="P15" t="str">
        <f>IF(O15&gt;0,VLOOKUP($O15,Dep!$A:$M,3),"")</f>
        <v>14:15</v>
      </c>
      <c r="Q15" t="str">
        <f>IF(O15&gt;0,VLOOKUP($O15,Dep!$A:$M,6),"")</f>
        <v>ORD</v>
      </c>
      <c r="R15" t="str">
        <f>IF(O15&gt;0,VLOOKUP($O15,Dep!$A:$M,7),"")</f>
        <v>M80</v>
      </c>
      <c r="S15">
        <f>IF(O15&gt;0,VLOOKUP($O15,Dep!$A:$M,9),"")</f>
        <v>109</v>
      </c>
      <c r="T15" t="str">
        <f>IF(O15&gt;0,VLOOKUP($O15,Dep!$A:$M,10),"")</f>
        <v>NAT</v>
      </c>
      <c r="U15" t="str">
        <f>IF(O15&gt;0,VLOOKUP($O15,Dep!$A:$M,12),"")</f>
        <v>AA</v>
      </c>
      <c r="V15" t="str">
        <f t="shared" si="2"/>
        <v/>
      </c>
      <c r="W15" t="str">
        <f t="shared" si="3"/>
        <v/>
      </c>
      <c r="X15" t="str">
        <f t="shared" si="4"/>
        <v/>
      </c>
      <c r="Y15">
        <f t="shared" si="0"/>
        <v>0</v>
      </c>
      <c r="Z15" t="str">
        <f t="shared" si="5"/>
        <v/>
      </c>
      <c r="AA15" s="20">
        <f t="shared" si="1"/>
        <v>3.0555555555555558E-2</v>
      </c>
      <c r="AB15">
        <f t="shared" si="6"/>
        <v>14</v>
      </c>
      <c r="AC15" s="20" t="str">
        <f t="shared" si="7"/>
        <v>13:31</v>
      </c>
      <c r="AD15" s="20" t="str">
        <f t="shared" si="8"/>
        <v>14:15</v>
      </c>
      <c r="AE15" t="str">
        <f>VLOOKUP(G15,ACtypes!A:C,3,FALSE)</f>
        <v>C</v>
      </c>
      <c r="AF15" t="str">
        <f t="shared" si="9"/>
        <v/>
      </c>
      <c r="AG15" t="str">
        <f t="shared" si="10"/>
        <v/>
      </c>
      <c r="AH15">
        <f t="shared" si="11"/>
        <v>109</v>
      </c>
    </row>
    <row r="16" spans="1:34" x14ac:dyDescent="0.3">
      <c r="A16" s="41">
        <f t="shared" si="12"/>
        <v>15</v>
      </c>
      <c r="B16" s="27">
        <v>96</v>
      </c>
      <c r="C16" s="28" t="s">
        <v>153</v>
      </c>
      <c r="D16" s="28" t="s">
        <v>13</v>
      </c>
      <c r="E16" s="28" t="s">
        <v>145</v>
      </c>
      <c r="F16" s="28" t="s">
        <v>15</v>
      </c>
      <c r="G16" s="28" t="s">
        <v>32</v>
      </c>
      <c r="H16" s="27">
        <v>0</v>
      </c>
      <c r="I16" s="27">
        <v>109</v>
      </c>
      <c r="J16" s="28" t="s">
        <v>17</v>
      </c>
      <c r="K16" s="27">
        <v>25</v>
      </c>
      <c r="L16" s="28" t="s">
        <v>147</v>
      </c>
      <c r="M16" s="27">
        <v>5.7</v>
      </c>
      <c r="O16" s="23">
        <v>11</v>
      </c>
      <c r="P16" t="str">
        <f>IF(O16&gt;0,VLOOKUP($O16,Dep!$A:$M,3),"")</f>
        <v>07:00</v>
      </c>
      <c r="Q16" t="str">
        <f>IF(O16&gt;0,VLOOKUP($O16,Dep!$A:$M,6),"")</f>
        <v>DFW</v>
      </c>
      <c r="R16" t="str">
        <f>IF(O16&gt;0,VLOOKUP($O16,Dep!$A:$M,7),"")</f>
        <v>M80</v>
      </c>
      <c r="S16">
        <f>IF(O16&gt;0,VLOOKUP($O16,Dep!$A:$M,9),"")</f>
        <v>109</v>
      </c>
      <c r="T16" t="str">
        <f>IF(O16&gt;0,VLOOKUP($O16,Dep!$A:$M,10),"")</f>
        <v>NAT</v>
      </c>
      <c r="U16" t="str">
        <f>IF(O16&gt;0,VLOOKUP($O16,Dep!$A:$M,12),"")</f>
        <v>AA</v>
      </c>
      <c r="V16" t="str">
        <f t="shared" si="2"/>
        <v/>
      </c>
      <c r="W16" t="str">
        <f t="shared" si="3"/>
        <v/>
      </c>
      <c r="X16" t="str">
        <f t="shared" si="4"/>
        <v/>
      </c>
      <c r="Y16">
        <f t="shared" si="0"/>
        <v>0</v>
      </c>
      <c r="Z16">
        <f t="shared" si="5"/>
        <v>1</v>
      </c>
      <c r="AA16" s="20">
        <f t="shared" si="1"/>
        <v>0.42569444444444438</v>
      </c>
      <c r="AB16">
        <f t="shared" si="6"/>
        <v>15</v>
      </c>
      <c r="AC16" s="20" t="str">
        <f t="shared" si="7"/>
        <v>20:47</v>
      </c>
      <c r="AD16" s="20" t="str">
        <f t="shared" si="8"/>
        <v>07:00</v>
      </c>
      <c r="AE16" t="str">
        <f>VLOOKUP(G16,ACtypes!A:C,3,FALSE)</f>
        <v>C</v>
      </c>
      <c r="AF16" t="str">
        <f t="shared" si="9"/>
        <v/>
      </c>
      <c r="AG16" t="str">
        <f t="shared" si="10"/>
        <v/>
      </c>
      <c r="AH16">
        <f t="shared" si="11"/>
        <v>109</v>
      </c>
    </row>
    <row r="17" spans="1:34" x14ac:dyDescent="0.3">
      <c r="A17" s="41">
        <f t="shared" si="12"/>
        <v>16</v>
      </c>
      <c r="B17" s="27">
        <v>283</v>
      </c>
      <c r="C17" s="28" t="s">
        <v>357</v>
      </c>
      <c r="D17" s="28" t="s">
        <v>13</v>
      </c>
      <c r="E17" s="28" t="s">
        <v>352</v>
      </c>
      <c r="F17" s="28" t="s">
        <v>15</v>
      </c>
      <c r="G17" s="28" t="s">
        <v>146</v>
      </c>
      <c r="H17" s="27">
        <v>0</v>
      </c>
      <c r="I17" s="27">
        <v>103</v>
      </c>
      <c r="J17" s="28" t="s">
        <v>17</v>
      </c>
      <c r="K17" s="27">
        <v>25</v>
      </c>
      <c r="L17" s="28" t="s">
        <v>147</v>
      </c>
      <c r="M17" s="27">
        <v>4.9000000000000004</v>
      </c>
      <c r="O17" s="23">
        <v>20</v>
      </c>
      <c r="P17" t="str">
        <f>IF(O17&gt;0,VLOOKUP($O17,Dep!$A:$M,3),"")</f>
        <v>11:52</v>
      </c>
      <c r="Q17" t="str">
        <f>IF(O17&gt;0,VLOOKUP($O17,Dep!$A:$M,6),"")</f>
        <v>ORD</v>
      </c>
      <c r="R17" t="str">
        <f>IF(O17&gt;0,VLOOKUP($O17,Dep!$A:$M,7),"")</f>
        <v>M83</v>
      </c>
      <c r="S17">
        <f>IF(O17&gt;0,VLOOKUP($O17,Dep!$A:$M,9),"")</f>
        <v>103</v>
      </c>
      <c r="T17" t="str">
        <f>IF(O17&gt;0,VLOOKUP($O17,Dep!$A:$M,10),"")</f>
        <v>NAT</v>
      </c>
      <c r="U17" t="str">
        <f>IF(O17&gt;0,VLOOKUP($O17,Dep!$A:$M,12),"")</f>
        <v>AA</v>
      </c>
      <c r="V17" t="str">
        <f t="shared" si="2"/>
        <v/>
      </c>
      <c r="W17" t="str">
        <f t="shared" si="3"/>
        <v/>
      </c>
      <c r="X17" t="str">
        <f t="shared" si="4"/>
        <v/>
      </c>
      <c r="Y17">
        <f t="shared" si="0"/>
        <v>0</v>
      </c>
      <c r="Z17" t="str">
        <f t="shared" si="5"/>
        <v/>
      </c>
      <c r="AA17" s="20">
        <f t="shared" si="1"/>
        <v>3.4027777777777768E-2</v>
      </c>
      <c r="AB17">
        <f t="shared" si="6"/>
        <v>16</v>
      </c>
      <c r="AC17" s="20" t="str">
        <f t="shared" si="7"/>
        <v>11:03</v>
      </c>
      <c r="AD17" s="20" t="str">
        <f t="shared" si="8"/>
        <v>11:52</v>
      </c>
      <c r="AE17" t="str">
        <f>VLOOKUP(G17,ACtypes!A:C,3,FALSE)</f>
        <v>C</v>
      </c>
      <c r="AF17" t="str">
        <f t="shared" si="9"/>
        <v/>
      </c>
      <c r="AG17" t="str">
        <f t="shared" si="10"/>
        <v/>
      </c>
      <c r="AH17">
        <f t="shared" si="11"/>
        <v>103</v>
      </c>
    </row>
    <row r="18" spans="1:34" x14ac:dyDescent="0.3">
      <c r="A18" s="41">
        <f t="shared" si="12"/>
        <v>17</v>
      </c>
      <c r="B18" s="27">
        <v>285</v>
      </c>
      <c r="C18" s="28" t="s">
        <v>359</v>
      </c>
      <c r="D18" s="28" t="s">
        <v>13</v>
      </c>
      <c r="E18" s="28" t="s">
        <v>352</v>
      </c>
      <c r="F18" s="28" t="s">
        <v>15</v>
      </c>
      <c r="G18" s="28" t="s">
        <v>146</v>
      </c>
      <c r="H18" s="27">
        <v>0</v>
      </c>
      <c r="I18" s="27">
        <v>103</v>
      </c>
      <c r="J18" s="28" t="s">
        <v>17</v>
      </c>
      <c r="K18" s="27">
        <v>25</v>
      </c>
      <c r="L18" s="28" t="s">
        <v>147</v>
      </c>
      <c r="M18" s="27">
        <v>4.9000000000000004</v>
      </c>
      <c r="O18" s="23">
        <v>21</v>
      </c>
      <c r="P18" t="str">
        <f>IF(O18&gt;0,VLOOKUP($O18,Dep!$A:$M,3),"")</f>
        <v>15:39</v>
      </c>
      <c r="Q18" t="str">
        <f>IF(O18&gt;0,VLOOKUP($O18,Dep!$A:$M,6),"")</f>
        <v>ORD</v>
      </c>
      <c r="R18" t="str">
        <f>IF(O18&gt;0,VLOOKUP($O18,Dep!$A:$M,7),"")</f>
        <v>M83</v>
      </c>
      <c r="S18">
        <f>IF(O18&gt;0,VLOOKUP($O18,Dep!$A:$M,9),"")</f>
        <v>103</v>
      </c>
      <c r="T18" t="str">
        <f>IF(O18&gt;0,VLOOKUP($O18,Dep!$A:$M,10),"")</f>
        <v>NAT</v>
      </c>
      <c r="U18" t="str">
        <f>IF(O18&gt;0,VLOOKUP($O18,Dep!$A:$M,12),"")</f>
        <v>AA</v>
      </c>
      <c r="V18" t="str">
        <f t="shared" si="2"/>
        <v/>
      </c>
      <c r="W18" t="str">
        <f t="shared" si="3"/>
        <v/>
      </c>
      <c r="X18" t="str">
        <f t="shared" si="4"/>
        <v/>
      </c>
      <c r="Y18">
        <f t="shared" si="0"/>
        <v>0</v>
      </c>
      <c r="Z18" t="str">
        <f t="shared" si="5"/>
        <v/>
      </c>
      <c r="AA18" s="20">
        <f t="shared" si="1"/>
        <v>2.9166666666666674E-2</v>
      </c>
      <c r="AB18">
        <f t="shared" si="6"/>
        <v>17</v>
      </c>
      <c r="AC18" s="20" t="str">
        <f t="shared" si="7"/>
        <v>14:57</v>
      </c>
      <c r="AD18" s="20" t="str">
        <f t="shared" si="8"/>
        <v>15:39</v>
      </c>
      <c r="AE18" t="str">
        <f>VLOOKUP(G18,ACtypes!A:C,3,FALSE)</f>
        <v>C</v>
      </c>
      <c r="AF18" t="str">
        <f t="shared" si="9"/>
        <v/>
      </c>
      <c r="AG18" t="str">
        <f t="shared" si="10"/>
        <v/>
      </c>
      <c r="AH18">
        <f t="shared" si="11"/>
        <v>103</v>
      </c>
    </row>
    <row r="19" spans="1:34" x14ac:dyDescent="0.3">
      <c r="A19" s="41">
        <f t="shared" si="12"/>
        <v>18</v>
      </c>
      <c r="B19" s="27">
        <v>944</v>
      </c>
      <c r="C19" s="28" t="s">
        <v>130</v>
      </c>
      <c r="D19" s="28" t="s">
        <v>13</v>
      </c>
      <c r="E19" s="28" t="s">
        <v>517</v>
      </c>
      <c r="F19" s="28" t="s">
        <v>15</v>
      </c>
      <c r="G19" s="28" t="s">
        <v>146</v>
      </c>
      <c r="H19" s="27">
        <v>0</v>
      </c>
      <c r="I19" s="27">
        <v>103</v>
      </c>
      <c r="J19" s="28" t="s">
        <v>17</v>
      </c>
      <c r="K19" s="27">
        <v>25</v>
      </c>
      <c r="L19" s="28" t="s">
        <v>147</v>
      </c>
      <c r="M19" s="27">
        <v>4.9000000000000004</v>
      </c>
      <c r="O19" s="23">
        <v>22</v>
      </c>
      <c r="P19" t="str">
        <f>IF(O19&gt;0,VLOOKUP($O19,Dep!$A:$M,3),"")</f>
        <v>17:15</v>
      </c>
      <c r="Q19" t="str">
        <f>IF(O19&gt;0,VLOOKUP($O19,Dep!$A:$M,6),"")</f>
        <v>STL</v>
      </c>
      <c r="R19" t="str">
        <f>IF(O19&gt;0,VLOOKUP($O19,Dep!$A:$M,7),"")</f>
        <v>M83</v>
      </c>
      <c r="S19">
        <f>IF(O19&gt;0,VLOOKUP($O19,Dep!$A:$M,9),"")</f>
        <v>103</v>
      </c>
      <c r="T19" t="str">
        <f>IF(O19&gt;0,VLOOKUP($O19,Dep!$A:$M,10),"")</f>
        <v>NAT</v>
      </c>
      <c r="U19" t="str">
        <f>IF(O19&gt;0,VLOOKUP($O19,Dep!$A:$M,12),"")</f>
        <v>AA</v>
      </c>
      <c r="V19" t="str">
        <f t="shared" si="2"/>
        <v/>
      </c>
      <c r="W19" t="str">
        <f t="shared" si="3"/>
        <v/>
      </c>
      <c r="X19" t="str">
        <f t="shared" si="4"/>
        <v/>
      </c>
      <c r="Y19">
        <f t="shared" si="0"/>
        <v>0</v>
      </c>
      <c r="Z19" t="str">
        <f t="shared" si="5"/>
        <v/>
      </c>
      <c r="AA19" s="20">
        <f t="shared" si="1"/>
        <v>2.9861111111111005E-2</v>
      </c>
      <c r="AB19">
        <f t="shared" si="6"/>
        <v>18</v>
      </c>
      <c r="AC19" s="20" t="str">
        <f t="shared" si="7"/>
        <v>16:32</v>
      </c>
      <c r="AD19" s="20" t="str">
        <f t="shared" si="8"/>
        <v>17:15</v>
      </c>
      <c r="AE19" t="str">
        <f>VLOOKUP(G19,ACtypes!A:C,3,FALSE)</f>
        <v>C</v>
      </c>
      <c r="AF19" t="str">
        <f t="shared" si="9"/>
        <v/>
      </c>
      <c r="AG19" t="str">
        <f t="shared" si="10"/>
        <v/>
      </c>
      <c r="AH19">
        <f t="shared" si="11"/>
        <v>103</v>
      </c>
    </row>
    <row r="20" spans="1:34" x14ac:dyDescent="0.3">
      <c r="A20" s="41">
        <f t="shared" si="12"/>
        <v>19</v>
      </c>
      <c r="B20" s="27">
        <v>286</v>
      </c>
      <c r="C20" s="28" t="s">
        <v>360</v>
      </c>
      <c r="D20" s="28" t="s">
        <v>13</v>
      </c>
      <c r="E20" s="28" t="s">
        <v>352</v>
      </c>
      <c r="F20" s="28" t="s">
        <v>15</v>
      </c>
      <c r="G20" s="28" t="s">
        <v>146</v>
      </c>
      <c r="H20" s="27">
        <v>0</v>
      </c>
      <c r="I20" s="27">
        <v>103</v>
      </c>
      <c r="J20" s="28" t="s">
        <v>17</v>
      </c>
      <c r="K20" s="27">
        <v>25</v>
      </c>
      <c r="L20" s="28" t="s">
        <v>147</v>
      </c>
      <c r="M20" s="27">
        <v>4.9000000000000004</v>
      </c>
      <c r="O20" s="23">
        <v>23</v>
      </c>
      <c r="P20" t="str">
        <f>IF(O20&gt;0,VLOOKUP($O20,Dep!$A:$M,3),"")</f>
        <v>23:59</v>
      </c>
      <c r="Q20" t="str">
        <f>IF(O20&gt;0,VLOOKUP($O20,Dep!$A:$M,6),"")</f>
        <v>ORD</v>
      </c>
      <c r="R20" t="str">
        <f>IF(O20&gt;0,VLOOKUP($O20,Dep!$A:$M,7),"")</f>
        <v>M83</v>
      </c>
      <c r="S20">
        <f>IF(O20&gt;0,VLOOKUP($O20,Dep!$A:$M,9),"")</f>
        <v>103</v>
      </c>
      <c r="T20" t="str">
        <f>IF(O20&gt;0,VLOOKUP($O20,Dep!$A:$M,10),"")</f>
        <v>NAT</v>
      </c>
      <c r="U20" t="str">
        <f>IF(O20&gt;0,VLOOKUP($O20,Dep!$A:$M,12),"")</f>
        <v>AA</v>
      </c>
      <c r="V20" t="str">
        <f t="shared" si="2"/>
        <v/>
      </c>
      <c r="W20" t="str">
        <f t="shared" si="3"/>
        <v/>
      </c>
      <c r="X20" t="str">
        <f t="shared" si="4"/>
        <v/>
      </c>
      <c r="Y20">
        <f t="shared" si="0"/>
        <v>0</v>
      </c>
      <c r="Z20" t="str">
        <f t="shared" si="5"/>
        <v/>
      </c>
      <c r="AA20" s="20">
        <f t="shared" si="1"/>
        <v>0.21875</v>
      </c>
      <c r="AB20">
        <f t="shared" si="6"/>
        <v>19</v>
      </c>
      <c r="AC20" s="20" t="str">
        <f t="shared" si="7"/>
        <v>18:44</v>
      </c>
      <c r="AD20" s="20" t="str">
        <f t="shared" si="8"/>
        <v>23:59</v>
      </c>
      <c r="AE20" t="str">
        <f>VLOOKUP(G20,ACtypes!A:C,3,FALSE)</f>
        <v>C</v>
      </c>
      <c r="AF20" t="str">
        <f t="shared" si="9"/>
        <v/>
      </c>
      <c r="AG20" t="str">
        <f t="shared" si="10"/>
        <v/>
      </c>
      <c r="AH20">
        <f t="shared" si="11"/>
        <v>103</v>
      </c>
    </row>
    <row r="21" spans="1:34" x14ac:dyDescent="0.3">
      <c r="A21" s="41">
        <f t="shared" si="12"/>
        <v>20</v>
      </c>
      <c r="B21" s="27">
        <v>88</v>
      </c>
      <c r="C21" s="28" t="s">
        <v>128</v>
      </c>
      <c r="D21" s="28" t="s">
        <v>13</v>
      </c>
      <c r="E21" s="28" t="s">
        <v>145</v>
      </c>
      <c r="F21" s="28" t="s">
        <v>15</v>
      </c>
      <c r="G21" s="28" t="s">
        <v>146</v>
      </c>
      <c r="H21" s="27">
        <v>0</v>
      </c>
      <c r="I21" s="27">
        <v>103</v>
      </c>
      <c r="J21" s="28" t="s">
        <v>17</v>
      </c>
      <c r="K21" s="27">
        <v>25</v>
      </c>
      <c r="L21" s="28" t="s">
        <v>147</v>
      </c>
      <c r="M21" s="27">
        <v>4.9000000000000004</v>
      </c>
      <c r="O21" s="23">
        <v>16</v>
      </c>
      <c r="P21" t="str">
        <f>IF(O21&gt;0,VLOOKUP($O21,Dep!$A:$M,3),"")</f>
        <v>06:10</v>
      </c>
      <c r="Q21" t="str">
        <f>IF(O21&gt;0,VLOOKUP($O21,Dep!$A:$M,6),"")</f>
        <v>ORD</v>
      </c>
      <c r="R21" t="str">
        <f>IF(O21&gt;0,VLOOKUP($O21,Dep!$A:$M,7),"")</f>
        <v>M83</v>
      </c>
      <c r="S21">
        <f>IF(O21&gt;0,VLOOKUP($O21,Dep!$A:$M,9),"")</f>
        <v>103</v>
      </c>
      <c r="T21" t="str">
        <f>IF(O21&gt;0,VLOOKUP($O21,Dep!$A:$M,10),"")</f>
        <v>NAT</v>
      </c>
      <c r="U21" t="str">
        <f>IF(O21&gt;0,VLOOKUP($O21,Dep!$A:$M,12),"")</f>
        <v>AA</v>
      </c>
      <c r="V21" t="str">
        <f t="shared" si="2"/>
        <v/>
      </c>
      <c r="W21" t="str">
        <f t="shared" si="3"/>
        <v/>
      </c>
      <c r="X21" t="str">
        <f t="shared" si="4"/>
        <v>X</v>
      </c>
      <c r="Y21">
        <f t="shared" si="0"/>
        <v>0</v>
      </c>
      <c r="Z21">
        <f t="shared" si="5"/>
        <v>1</v>
      </c>
      <c r="AA21" s="20">
        <f t="shared" si="1"/>
        <v>0.35347222222222219</v>
      </c>
      <c r="AB21">
        <f t="shared" si="6"/>
        <v>20</v>
      </c>
      <c r="AC21" s="20" t="str">
        <f t="shared" si="7"/>
        <v>21:41</v>
      </c>
      <c r="AD21" s="20" t="str">
        <f>IF(O21&gt;0,P21,AC21+1/24)</f>
        <v>06:10</v>
      </c>
      <c r="AE21" t="str">
        <f>VLOOKUP(G21,ACtypes!A:C,3,FALSE)</f>
        <v>C</v>
      </c>
      <c r="AF21" t="str">
        <f t="shared" si="9"/>
        <v/>
      </c>
      <c r="AG21" t="str">
        <f t="shared" si="10"/>
        <v/>
      </c>
      <c r="AH21">
        <f t="shared" si="11"/>
        <v>103</v>
      </c>
    </row>
    <row r="22" spans="1:34" x14ac:dyDescent="0.3">
      <c r="A22" s="41">
        <f t="shared" si="12"/>
        <v>21</v>
      </c>
      <c r="B22" s="27">
        <v>284</v>
      </c>
      <c r="C22" s="28" t="s">
        <v>358</v>
      </c>
      <c r="D22" s="28" t="s">
        <v>13</v>
      </c>
      <c r="E22" s="28" t="s">
        <v>352</v>
      </c>
      <c r="F22" s="28" t="s">
        <v>15</v>
      </c>
      <c r="G22" s="28" t="s">
        <v>146</v>
      </c>
      <c r="H22" s="27">
        <v>0</v>
      </c>
      <c r="I22" s="27">
        <v>103</v>
      </c>
      <c r="J22" s="28" t="s">
        <v>17</v>
      </c>
      <c r="K22" s="27">
        <v>25</v>
      </c>
      <c r="L22" s="28" t="s">
        <v>147</v>
      </c>
      <c r="M22" s="27">
        <v>4.9000000000000004</v>
      </c>
      <c r="O22" s="23">
        <v>17</v>
      </c>
      <c r="P22" t="str">
        <f>IF(O22&gt;0,VLOOKUP($O22,Dep!$A:$M,3),"")</f>
        <v>06:40</v>
      </c>
      <c r="Q22" t="str">
        <f>IF(O22&gt;0,VLOOKUP($O22,Dep!$A:$M,6),"")</f>
        <v>STL</v>
      </c>
      <c r="R22" t="str">
        <f>IF(O22&gt;0,VLOOKUP($O22,Dep!$A:$M,7),"")</f>
        <v>M83</v>
      </c>
      <c r="S22">
        <f>IF(O22&gt;0,VLOOKUP($O22,Dep!$A:$M,9),"")</f>
        <v>103</v>
      </c>
      <c r="T22" t="str">
        <f>IF(O22&gt;0,VLOOKUP($O22,Dep!$A:$M,10),"")</f>
        <v>NAT</v>
      </c>
      <c r="U22" t="str">
        <f>IF(O22&gt;0,VLOOKUP($O22,Dep!$A:$M,12),"")</f>
        <v>AA</v>
      </c>
      <c r="V22" t="str">
        <f t="shared" si="2"/>
        <v/>
      </c>
      <c r="W22" t="str">
        <f t="shared" si="3"/>
        <v/>
      </c>
      <c r="X22" t="str">
        <f t="shared" si="4"/>
        <v>X</v>
      </c>
      <c r="Y22">
        <f t="shared" si="0"/>
        <v>0</v>
      </c>
      <c r="Z22">
        <f t="shared" si="5"/>
        <v>1</v>
      </c>
      <c r="AA22" s="20">
        <f t="shared" si="1"/>
        <v>0.36458333333333326</v>
      </c>
      <c r="AB22">
        <f t="shared" si="6"/>
        <v>21</v>
      </c>
      <c r="AC22" s="20" t="str">
        <f t="shared" si="7"/>
        <v>21:55</v>
      </c>
      <c r="AD22" s="20" t="str">
        <f t="shared" si="8"/>
        <v>06:40</v>
      </c>
      <c r="AE22" t="str">
        <f>VLOOKUP(G22,ACtypes!A:C,3,FALSE)</f>
        <v>C</v>
      </c>
      <c r="AF22" t="str">
        <f t="shared" si="9"/>
        <v/>
      </c>
      <c r="AG22" t="str">
        <f t="shared" si="10"/>
        <v/>
      </c>
      <c r="AH22">
        <f t="shared" si="11"/>
        <v>103</v>
      </c>
    </row>
    <row r="23" spans="1:34" x14ac:dyDescent="0.3">
      <c r="A23" s="41">
        <f t="shared" si="12"/>
        <v>22</v>
      </c>
      <c r="B23" s="27">
        <v>945</v>
      </c>
      <c r="C23" s="28" t="s">
        <v>117</v>
      </c>
      <c r="D23" s="28" t="s">
        <v>13</v>
      </c>
      <c r="E23" s="28" t="s">
        <v>517</v>
      </c>
      <c r="F23" s="28" t="s">
        <v>15</v>
      </c>
      <c r="G23" s="28" t="s">
        <v>146</v>
      </c>
      <c r="H23" s="27">
        <v>0</v>
      </c>
      <c r="I23" s="27">
        <v>103</v>
      </c>
      <c r="J23" s="28" t="s">
        <v>17</v>
      </c>
      <c r="K23" s="27">
        <v>25</v>
      </c>
      <c r="L23" s="28" t="s">
        <v>147</v>
      </c>
      <c r="M23" s="27">
        <v>4.9000000000000004</v>
      </c>
      <c r="O23" s="23">
        <v>18</v>
      </c>
      <c r="P23" t="str">
        <f>IF(O23&gt;0,VLOOKUP($O23,Dep!$A:$M,3),"")</f>
        <v>07:54</v>
      </c>
      <c r="Q23" t="str">
        <f>IF(O23&gt;0,VLOOKUP($O23,Dep!$A:$M,6),"")</f>
        <v>ORD</v>
      </c>
      <c r="R23" t="str">
        <f>IF(O23&gt;0,VLOOKUP($O23,Dep!$A:$M,7),"")</f>
        <v>M83</v>
      </c>
      <c r="S23">
        <f>IF(O23&gt;0,VLOOKUP($O23,Dep!$A:$M,9),"")</f>
        <v>103</v>
      </c>
      <c r="T23" t="str">
        <f>IF(O23&gt;0,VLOOKUP($O23,Dep!$A:$M,10),"")</f>
        <v>NAT</v>
      </c>
      <c r="U23" t="str">
        <f>IF(O23&gt;0,VLOOKUP($O23,Dep!$A:$M,12),"")</f>
        <v>AA</v>
      </c>
      <c r="V23" t="str">
        <f t="shared" si="2"/>
        <v/>
      </c>
      <c r="W23" t="str">
        <f t="shared" si="3"/>
        <v/>
      </c>
      <c r="X23" t="str">
        <f t="shared" si="4"/>
        <v>X</v>
      </c>
      <c r="Y23">
        <f t="shared" si="0"/>
        <v>0</v>
      </c>
      <c r="Z23">
        <f t="shared" si="5"/>
        <v>1</v>
      </c>
      <c r="AA23" s="20">
        <f t="shared" si="1"/>
        <v>0.38611111111111107</v>
      </c>
      <c r="AB23">
        <f t="shared" si="6"/>
        <v>22</v>
      </c>
      <c r="AC23" s="20" t="str">
        <f t="shared" si="7"/>
        <v>22:38</v>
      </c>
      <c r="AD23" s="20" t="str">
        <f t="shared" si="8"/>
        <v>07:54</v>
      </c>
      <c r="AE23" t="str">
        <f>VLOOKUP(G23,ACtypes!A:C,3,FALSE)</f>
        <v>C</v>
      </c>
      <c r="AF23" t="str">
        <f t="shared" si="9"/>
        <v/>
      </c>
      <c r="AG23" t="str">
        <f t="shared" si="10"/>
        <v/>
      </c>
      <c r="AH23">
        <f t="shared" si="11"/>
        <v>103</v>
      </c>
    </row>
    <row r="24" spans="1:34" x14ac:dyDescent="0.3">
      <c r="A24" s="41">
        <f t="shared" si="12"/>
        <v>23</v>
      </c>
      <c r="B24" s="27">
        <v>282</v>
      </c>
      <c r="C24" s="28" t="s">
        <v>356</v>
      </c>
      <c r="D24" s="28" t="s">
        <v>13</v>
      </c>
      <c r="E24" s="28" t="s">
        <v>352</v>
      </c>
      <c r="F24" s="28" t="s">
        <v>15</v>
      </c>
      <c r="G24" s="28" t="s">
        <v>146</v>
      </c>
      <c r="H24" s="27">
        <v>0</v>
      </c>
      <c r="I24" s="27">
        <v>103</v>
      </c>
      <c r="J24" s="28" t="s">
        <v>17</v>
      </c>
      <c r="K24" s="27">
        <v>25</v>
      </c>
      <c r="L24" s="28" t="s">
        <v>147</v>
      </c>
      <c r="M24" s="27">
        <v>4.9000000000000004</v>
      </c>
      <c r="O24" s="23">
        <v>19</v>
      </c>
      <c r="P24" t="str">
        <f>IF(O24&gt;0,VLOOKUP($O24,Dep!$A:$M,3),"")</f>
        <v>09:09</v>
      </c>
      <c r="Q24" t="str">
        <f>IF(O24&gt;0,VLOOKUP($O24,Dep!$A:$M,6),"")</f>
        <v>DFW</v>
      </c>
      <c r="R24" t="str">
        <f>IF(O24&gt;0,VLOOKUP($O24,Dep!$A:$M,7),"")</f>
        <v>M83</v>
      </c>
      <c r="S24">
        <f>IF(O24&gt;0,VLOOKUP($O24,Dep!$A:$M,9),"")</f>
        <v>103</v>
      </c>
      <c r="T24" t="str">
        <f>IF(O24&gt;0,VLOOKUP($O24,Dep!$A:$M,10),"")</f>
        <v>NAT</v>
      </c>
      <c r="U24" t="str">
        <f>IF(O24&gt;0,VLOOKUP($O24,Dep!$A:$M,12),"")</f>
        <v>AA</v>
      </c>
      <c r="V24" t="str">
        <f t="shared" si="2"/>
        <v/>
      </c>
      <c r="W24" t="str">
        <f t="shared" si="3"/>
        <v/>
      </c>
      <c r="X24" t="str">
        <f t="shared" si="4"/>
        <v>X</v>
      </c>
      <c r="Y24">
        <f t="shared" si="0"/>
        <v>0</v>
      </c>
      <c r="Z24">
        <f t="shared" si="5"/>
        <v>1</v>
      </c>
      <c r="AA24" s="20">
        <f t="shared" si="1"/>
        <v>0.41111111111111098</v>
      </c>
      <c r="AB24">
        <f t="shared" si="6"/>
        <v>23</v>
      </c>
      <c r="AC24" s="20" t="str">
        <f t="shared" si="7"/>
        <v>23:17</v>
      </c>
      <c r="AD24" s="20" t="str">
        <f t="shared" si="8"/>
        <v>09:09</v>
      </c>
      <c r="AE24" t="str">
        <f>VLOOKUP(G24,ACtypes!A:C,3,FALSE)</f>
        <v>C</v>
      </c>
      <c r="AF24" t="str">
        <f t="shared" si="9"/>
        <v/>
      </c>
      <c r="AG24" t="str">
        <f t="shared" si="10"/>
        <v/>
      </c>
      <c r="AH24">
        <f t="shared" si="11"/>
        <v>103</v>
      </c>
    </row>
    <row r="25" spans="1:34" x14ac:dyDescent="0.3">
      <c r="A25" s="41">
        <f t="shared" si="12"/>
        <v>24</v>
      </c>
      <c r="B25" s="27">
        <v>1000</v>
      </c>
      <c r="C25" s="28" t="s">
        <v>498</v>
      </c>
      <c r="D25" s="28" t="s">
        <v>13</v>
      </c>
      <c r="E25" s="28" t="s">
        <v>499</v>
      </c>
      <c r="F25" s="28" t="s">
        <v>15</v>
      </c>
      <c r="G25" s="28" t="s">
        <v>40</v>
      </c>
      <c r="H25" s="27">
        <v>0</v>
      </c>
      <c r="I25" s="27">
        <v>96</v>
      </c>
      <c r="J25" s="28" t="s">
        <v>28</v>
      </c>
      <c r="K25" s="27">
        <v>25</v>
      </c>
      <c r="L25" s="28" t="s">
        <v>484</v>
      </c>
      <c r="M25" s="27">
        <v>2</v>
      </c>
      <c r="O25" s="23">
        <v>24</v>
      </c>
      <c r="P25" t="str">
        <f>IF(O25&gt;0,VLOOKUP($O25,Dep!$A:$M,3),"")</f>
        <v>08:15</v>
      </c>
      <c r="Q25" t="str">
        <f>IF(O25&gt;0,VLOOKUP($O25,Dep!$A:$M,6),"")</f>
        <v>YYZ</v>
      </c>
      <c r="R25" t="str">
        <f>IF(O25&gt;0,VLOOKUP($O25,Dep!$A:$M,7),"")</f>
        <v>319</v>
      </c>
      <c r="S25">
        <f>IF(O25&gt;0,VLOOKUP($O25,Dep!$A:$M,9),"")</f>
        <v>96</v>
      </c>
      <c r="T25" t="str">
        <f>IF(O25&gt;0,VLOOKUP($O25,Dep!$A:$M,10),"")</f>
        <v>INT</v>
      </c>
      <c r="U25" t="str">
        <f>IF(O25&gt;0,VLOOKUP($O25,Dep!$A:$M,12),"")</f>
        <v>AC</v>
      </c>
      <c r="V25" t="str">
        <f t="shared" si="2"/>
        <v/>
      </c>
      <c r="W25" t="str">
        <f t="shared" si="3"/>
        <v/>
      </c>
      <c r="X25" t="str">
        <f t="shared" si="4"/>
        <v/>
      </c>
      <c r="Y25">
        <f t="shared" si="0"/>
        <v>0</v>
      </c>
      <c r="Z25">
        <f t="shared" si="5"/>
        <v>1</v>
      </c>
      <c r="AA25" s="20">
        <f t="shared" si="1"/>
        <v>0.52013888888888893</v>
      </c>
      <c r="AB25">
        <f t="shared" si="6"/>
        <v>24</v>
      </c>
      <c r="AC25" s="20" t="str">
        <f t="shared" si="7"/>
        <v>19:46</v>
      </c>
      <c r="AD25" s="20" t="str">
        <f t="shared" si="8"/>
        <v>08:15</v>
      </c>
      <c r="AE25" t="str">
        <f>VLOOKUP(G25,ACtypes!A:C,3,FALSE)</f>
        <v>C</v>
      </c>
      <c r="AF25">
        <f t="shared" si="9"/>
        <v>1</v>
      </c>
      <c r="AG25">
        <f t="shared" si="10"/>
        <v>1</v>
      </c>
      <c r="AH25">
        <f t="shared" si="11"/>
        <v>96</v>
      </c>
    </row>
    <row r="26" spans="1:34" x14ac:dyDescent="0.3">
      <c r="A26" s="41">
        <f t="shared" si="12"/>
        <v>25</v>
      </c>
      <c r="B26" s="27">
        <v>985</v>
      </c>
      <c r="C26" s="28" t="s">
        <v>486</v>
      </c>
      <c r="D26" s="28" t="s">
        <v>13</v>
      </c>
      <c r="E26" s="28" t="s">
        <v>474</v>
      </c>
      <c r="F26" s="28" t="s">
        <v>15</v>
      </c>
      <c r="G26" s="28" t="s">
        <v>483</v>
      </c>
      <c r="H26" s="27">
        <v>0</v>
      </c>
      <c r="I26" s="27">
        <v>38</v>
      </c>
      <c r="J26" s="28" t="s">
        <v>28</v>
      </c>
      <c r="K26" s="27">
        <v>25</v>
      </c>
      <c r="L26" s="28" t="s">
        <v>484</v>
      </c>
      <c r="M26" s="27">
        <v>0.3</v>
      </c>
      <c r="O26" s="23">
        <v>26</v>
      </c>
      <c r="P26" t="str">
        <f>IF(O26&gt;0,VLOOKUP($O26,Dep!$A:$M,3),"")</f>
        <v>09:35</v>
      </c>
      <c r="Q26" t="str">
        <f>IF(O26&gt;0,VLOOKUP($O26,Dep!$A:$M,6),"")</f>
        <v>YVR</v>
      </c>
      <c r="R26" t="str">
        <f>IF(O26&gt;0,VLOOKUP($O26,Dep!$A:$M,7),"")</f>
        <v>DH3</v>
      </c>
      <c r="S26">
        <f>IF(O26&gt;0,VLOOKUP($O26,Dep!$A:$M,9),"")</f>
        <v>38</v>
      </c>
      <c r="T26" t="str">
        <f>IF(O26&gt;0,VLOOKUP($O26,Dep!$A:$M,10),"")</f>
        <v>INT</v>
      </c>
      <c r="U26" t="str">
        <f>IF(O26&gt;0,VLOOKUP($O26,Dep!$A:$M,12),"")</f>
        <v>AC</v>
      </c>
      <c r="V26" t="str">
        <f t="shared" si="2"/>
        <v/>
      </c>
      <c r="W26" t="str">
        <f t="shared" si="3"/>
        <v/>
      </c>
      <c r="X26" t="str">
        <f t="shared" si="4"/>
        <v/>
      </c>
      <c r="Y26">
        <f t="shared" si="0"/>
        <v>0</v>
      </c>
      <c r="Z26" t="str">
        <f t="shared" si="5"/>
        <v/>
      </c>
      <c r="AA26" s="20">
        <f t="shared" si="1"/>
        <v>1.736111111111116E-2</v>
      </c>
      <c r="AB26">
        <f t="shared" si="6"/>
        <v>25</v>
      </c>
      <c r="AC26" s="20" t="str">
        <f t="shared" si="7"/>
        <v>09:10</v>
      </c>
      <c r="AD26" s="20" t="str">
        <f t="shared" si="8"/>
        <v>09:35</v>
      </c>
      <c r="AE26" t="str">
        <f>VLOOKUP(G26,ACtypes!A:C,3,FALSE)</f>
        <v>B</v>
      </c>
      <c r="AF26">
        <f t="shared" si="9"/>
        <v>1</v>
      </c>
      <c r="AG26">
        <f t="shared" si="10"/>
        <v>1</v>
      </c>
      <c r="AH26">
        <f t="shared" si="11"/>
        <v>38</v>
      </c>
    </row>
    <row r="27" spans="1:34" x14ac:dyDescent="0.3">
      <c r="A27" s="41">
        <f t="shared" si="12"/>
        <v>26</v>
      </c>
      <c r="B27" s="27">
        <v>984</v>
      </c>
      <c r="C27" s="28" t="s">
        <v>485</v>
      </c>
      <c r="D27" s="28" t="s">
        <v>13</v>
      </c>
      <c r="E27" s="28" t="s">
        <v>474</v>
      </c>
      <c r="F27" s="28" t="s">
        <v>15</v>
      </c>
      <c r="G27" s="28" t="s">
        <v>483</v>
      </c>
      <c r="H27" s="27">
        <v>0</v>
      </c>
      <c r="I27" s="27">
        <v>38</v>
      </c>
      <c r="J27" s="28" t="s">
        <v>28</v>
      </c>
      <c r="K27" s="27">
        <v>25</v>
      </c>
      <c r="L27" s="28" t="s">
        <v>484</v>
      </c>
      <c r="M27" s="27">
        <v>0.3</v>
      </c>
      <c r="O27" s="23">
        <v>27</v>
      </c>
      <c r="P27" t="str">
        <f>IF(O27&gt;0,VLOOKUP($O27,Dep!$A:$M,3),"")</f>
        <v>12:50</v>
      </c>
      <c r="Q27" t="str">
        <f>IF(O27&gt;0,VLOOKUP($O27,Dep!$A:$M,6),"")</f>
        <v>YVR</v>
      </c>
      <c r="R27" t="str">
        <f>IF(O27&gt;0,VLOOKUP($O27,Dep!$A:$M,7),"")</f>
        <v>DH3</v>
      </c>
      <c r="S27">
        <f>IF(O27&gt;0,VLOOKUP($O27,Dep!$A:$M,9),"")</f>
        <v>38</v>
      </c>
      <c r="T27" t="str">
        <f>IF(O27&gt;0,VLOOKUP($O27,Dep!$A:$M,10),"")</f>
        <v>INT</v>
      </c>
      <c r="U27" t="str">
        <f>IF(O27&gt;0,VLOOKUP($O27,Dep!$A:$M,12),"")</f>
        <v>AC</v>
      </c>
      <c r="V27" t="str">
        <f t="shared" si="2"/>
        <v/>
      </c>
      <c r="W27" t="str">
        <f t="shared" si="3"/>
        <v/>
      </c>
      <c r="X27" t="str">
        <f t="shared" si="4"/>
        <v/>
      </c>
      <c r="Y27">
        <f t="shared" si="0"/>
        <v>0</v>
      </c>
      <c r="Z27" t="str">
        <f t="shared" si="5"/>
        <v/>
      </c>
      <c r="AA27" s="20">
        <f t="shared" si="1"/>
        <v>1.736111111111116E-2</v>
      </c>
      <c r="AB27">
        <f t="shared" si="6"/>
        <v>26</v>
      </c>
      <c r="AC27" s="20" t="str">
        <f t="shared" si="7"/>
        <v>12:25</v>
      </c>
      <c r="AD27" s="20" t="str">
        <f t="shared" si="8"/>
        <v>12:50</v>
      </c>
      <c r="AE27" t="str">
        <f>VLOOKUP(G27,ACtypes!A:C,3,FALSE)</f>
        <v>B</v>
      </c>
      <c r="AF27">
        <f t="shared" si="9"/>
        <v>1</v>
      </c>
      <c r="AG27">
        <f t="shared" si="10"/>
        <v>1</v>
      </c>
      <c r="AH27">
        <f t="shared" si="11"/>
        <v>38</v>
      </c>
    </row>
    <row r="28" spans="1:34" x14ac:dyDescent="0.3">
      <c r="A28" s="41">
        <f t="shared" si="12"/>
        <v>27</v>
      </c>
      <c r="B28" s="27">
        <v>983</v>
      </c>
      <c r="C28" s="28" t="s">
        <v>482</v>
      </c>
      <c r="D28" s="28" t="s">
        <v>13</v>
      </c>
      <c r="E28" s="28" t="s">
        <v>474</v>
      </c>
      <c r="F28" s="28" t="s">
        <v>15</v>
      </c>
      <c r="G28" s="28" t="s">
        <v>483</v>
      </c>
      <c r="H28" s="27">
        <v>0</v>
      </c>
      <c r="I28" s="27">
        <v>38</v>
      </c>
      <c r="J28" s="28" t="s">
        <v>28</v>
      </c>
      <c r="K28" s="27">
        <v>25</v>
      </c>
      <c r="L28" s="28" t="s">
        <v>484</v>
      </c>
      <c r="M28" s="27">
        <v>0.3</v>
      </c>
      <c r="O28" s="23">
        <v>28</v>
      </c>
      <c r="P28" t="str">
        <f>IF(O28&gt;0,VLOOKUP($O28,Dep!$A:$M,3),"")</f>
        <v>15:35</v>
      </c>
      <c r="Q28" t="str">
        <f>IF(O28&gt;0,VLOOKUP($O28,Dep!$A:$M,6),"")</f>
        <v>YVR</v>
      </c>
      <c r="R28" t="str">
        <f>IF(O28&gt;0,VLOOKUP($O28,Dep!$A:$M,7),"")</f>
        <v>DH3</v>
      </c>
      <c r="S28">
        <f>IF(O28&gt;0,VLOOKUP($O28,Dep!$A:$M,9),"")</f>
        <v>38</v>
      </c>
      <c r="T28" t="str">
        <f>IF(O28&gt;0,VLOOKUP($O28,Dep!$A:$M,10),"")</f>
        <v>INT</v>
      </c>
      <c r="U28" t="str">
        <f>IF(O28&gt;0,VLOOKUP($O28,Dep!$A:$M,12),"")</f>
        <v>AC</v>
      </c>
      <c r="V28" t="str">
        <f t="shared" si="2"/>
        <v/>
      </c>
      <c r="W28" t="str">
        <f t="shared" si="3"/>
        <v/>
      </c>
      <c r="X28" t="str">
        <f t="shared" si="4"/>
        <v/>
      </c>
      <c r="Y28">
        <f t="shared" si="0"/>
        <v>0</v>
      </c>
      <c r="Z28" t="str">
        <f t="shared" si="5"/>
        <v/>
      </c>
      <c r="AA28" s="20">
        <f t="shared" si="1"/>
        <v>2.083333333333337E-2</v>
      </c>
      <c r="AB28">
        <f t="shared" si="6"/>
        <v>27</v>
      </c>
      <c r="AC28" s="20" t="str">
        <f t="shared" si="7"/>
        <v>15:05</v>
      </c>
      <c r="AD28" s="20" t="str">
        <f t="shared" si="8"/>
        <v>15:35</v>
      </c>
      <c r="AE28" t="str">
        <f>VLOOKUP(G28,ACtypes!A:C,3,FALSE)</f>
        <v>B</v>
      </c>
      <c r="AF28">
        <f t="shared" si="9"/>
        <v>1</v>
      </c>
      <c r="AG28">
        <f t="shared" si="10"/>
        <v>1</v>
      </c>
      <c r="AH28">
        <f t="shared" si="11"/>
        <v>38</v>
      </c>
    </row>
    <row r="29" spans="1:34" x14ac:dyDescent="0.3">
      <c r="A29" s="41">
        <f t="shared" si="12"/>
        <v>28</v>
      </c>
      <c r="B29" s="27">
        <v>986</v>
      </c>
      <c r="C29" s="28" t="s">
        <v>487</v>
      </c>
      <c r="D29" s="28" t="s">
        <v>13</v>
      </c>
      <c r="E29" s="28" t="s">
        <v>474</v>
      </c>
      <c r="F29" s="28" t="s">
        <v>15</v>
      </c>
      <c r="G29" s="28" t="s">
        <v>483</v>
      </c>
      <c r="H29" s="27">
        <v>0</v>
      </c>
      <c r="I29" s="27">
        <v>38</v>
      </c>
      <c r="J29" s="28" t="s">
        <v>28</v>
      </c>
      <c r="K29" s="27">
        <v>25</v>
      </c>
      <c r="L29" s="28" t="s">
        <v>484</v>
      </c>
      <c r="M29" s="27">
        <v>0.3</v>
      </c>
      <c r="O29" s="23">
        <v>29</v>
      </c>
      <c r="P29" t="str">
        <f>IF(O29&gt;0,VLOOKUP($O29,Dep!$A:$M,3),"")</f>
        <v>18:20</v>
      </c>
      <c r="Q29" t="str">
        <f>IF(O29&gt;0,VLOOKUP($O29,Dep!$A:$M,6),"")</f>
        <v>YVR</v>
      </c>
      <c r="R29" t="str">
        <f>IF(O29&gt;0,VLOOKUP($O29,Dep!$A:$M,7),"")</f>
        <v>DH3</v>
      </c>
      <c r="S29">
        <f>IF(O29&gt;0,VLOOKUP($O29,Dep!$A:$M,9),"")</f>
        <v>38</v>
      </c>
      <c r="T29" t="str">
        <f>IF(O29&gt;0,VLOOKUP($O29,Dep!$A:$M,10),"")</f>
        <v>INT</v>
      </c>
      <c r="U29" t="str">
        <f>IF(O29&gt;0,VLOOKUP($O29,Dep!$A:$M,12),"")</f>
        <v>AC</v>
      </c>
      <c r="V29" t="str">
        <f t="shared" si="2"/>
        <v/>
      </c>
      <c r="W29" t="str">
        <f t="shared" si="3"/>
        <v/>
      </c>
      <c r="X29" t="str">
        <f t="shared" si="4"/>
        <v/>
      </c>
      <c r="Y29">
        <f t="shared" si="0"/>
        <v>0</v>
      </c>
      <c r="Z29" t="str">
        <f t="shared" si="5"/>
        <v/>
      </c>
      <c r="AA29" s="20">
        <f t="shared" si="1"/>
        <v>1.7361111111111049E-2</v>
      </c>
      <c r="AB29">
        <f t="shared" si="6"/>
        <v>28</v>
      </c>
      <c r="AC29" s="20" t="str">
        <f t="shared" si="7"/>
        <v>17:55</v>
      </c>
      <c r="AD29" s="20" t="str">
        <f t="shared" si="8"/>
        <v>18:20</v>
      </c>
      <c r="AE29" t="str">
        <f>VLOOKUP(G29,ACtypes!A:C,3,FALSE)</f>
        <v>B</v>
      </c>
      <c r="AF29">
        <f t="shared" si="9"/>
        <v>1</v>
      </c>
      <c r="AG29">
        <f t="shared" si="10"/>
        <v>1</v>
      </c>
      <c r="AH29">
        <f t="shared" si="11"/>
        <v>38</v>
      </c>
    </row>
    <row r="30" spans="1:34" x14ac:dyDescent="0.3">
      <c r="A30" s="41">
        <f t="shared" si="12"/>
        <v>29</v>
      </c>
      <c r="B30" s="27">
        <v>988</v>
      </c>
      <c r="C30" s="28" t="s">
        <v>261</v>
      </c>
      <c r="D30" s="28" t="s">
        <v>13</v>
      </c>
      <c r="E30" s="28" t="s">
        <v>474</v>
      </c>
      <c r="F30" s="28" t="s">
        <v>15</v>
      </c>
      <c r="G30" s="28" t="s">
        <v>483</v>
      </c>
      <c r="H30" s="27">
        <v>0</v>
      </c>
      <c r="I30" s="27">
        <v>38</v>
      </c>
      <c r="J30" s="28" t="s">
        <v>28</v>
      </c>
      <c r="K30" s="27">
        <v>25</v>
      </c>
      <c r="L30" s="28" t="s">
        <v>484</v>
      </c>
      <c r="M30" s="27">
        <v>0.3</v>
      </c>
      <c r="O30" s="23">
        <v>30</v>
      </c>
      <c r="P30" t="str">
        <f>IF(O30&gt;0,VLOOKUP($O30,Dep!$A:$M,3),"")</f>
        <v>19:45</v>
      </c>
      <c r="Q30" t="str">
        <f>IF(O30&gt;0,VLOOKUP($O30,Dep!$A:$M,6),"")</f>
        <v>YVR</v>
      </c>
      <c r="R30" t="str">
        <f>IF(O30&gt;0,VLOOKUP($O30,Dep!$A:$M,7),"")</f>
        <v>DH3</v>
      </c>
      <c r="S30">
        <f>IF(O30&gt;0,VLOOKUP($O30,Dep!$A:$M,9),"")</f>
        <v>38</v>
      </c>
      <c r="T30" t="str">
        <f>IF(O30&gt;0,VLOOKUP($O30,Dep!$A:$M,10),"")</f>
        <v>INT</v>
      </c>
      <c r="U30" t="str">
        <f>IF(O30&gt;0,VLOOKUP($O30,Dep!$A:$M,12),"")</f>
        <v>AC</v>
      </c>
      <c r="V30" t="str">
        <f t="shared" si="2"/>
        <v/>
      </c>
      <c r="W30" t="str">
        <f t="shared" si="3"/>
        <v/>
      </c>
      <c r="X30" t="str">
        <f t="shared" si="4"/>
        <v/>
      </c>
      <c r="Y30">
        <f t="shared" si="0"/>
        <v>0</v>
      </c>
      <c r="Z30" t="str">
        <f t="shared" si="5"/>
        <v/>
      </c>
      <c r="AA30" s="20">
        <f t="shared" si="1"/>
        <v>1.736111111111116E-2</v>
      </c>
      <c r="AB30">
        <f t="shared" si="6"/>
        <v>29</v>
      </c>
      <c r="AC30" s="20" t="str">
        <f t="shared" si="7"/>
        <v>19:20</v>
      </c>
      <c r="AD30" s="20" t="str">
        <f t="shared" si="8"/>
        <v>19:45</v>
      </c>
      <c r="AE30" t="str">
        <f>VLOOKUP(G30,ACtypes!A:C,3,FALSE)</f>
        <v>B</v>
      </c>
      <c r="AF30">
        <f t="shared" si="9"/>
        <v>1</v>
      </c>
      <c r="AG30">
        <f t="shared" si="10"/>
        <v>1</v>
      </c>
      <c r="AH30">
        <f t="shared" si="11"/>
        <v>38</v>
      </c>
    </row>
    <row r="31" spans="1:34" x14ac:dyDescent="0.3">
      <c r="A31" s="41">
        <f t="shared" si="12"/>
        <v>30</v>
      </c>
      <c r="B31" s="27">
        <v>987</v>
      </c>
      <c r="C31" s="28" t="s">
        <v>488</v>
      </c>
      <c r="D31" s="28" t="s">
        <v>13</v>
      </c>
      <c r="E31" s="28" t="s">
        <v>474</v>
      </c>
      <c r="F31" s="28" t="s">
        <v>15</v>
      </c>
      <c r="G31" s="28" t="s">
        <v>483</v>
      </c>
      <c r="H31" s="27">
        <v>0</v>
      </c>
      <c r="I31" s="27">
        <v>38</v>
      </c>
      <c r="J31" s="28" t="s">
        <v>28</v>
      </c>
      <c r="K31" s="27">
        <v>25</v>
      </c>
      <c r="L31" s="28" t="s">
        <v>484</v>
      </c>
      <c r="M31" s="27">
        <v>0.3</v>
      </c>
      <c r="O31" s="23">
        <v>25</v>
      </c>
      <c r="P31" t="str">
        <f>IF(O31&gt;0,VLOOKUP($O31,Dep!$A:$M,3),"")</f>
        <v>06:00</v>
      </c>
      <c r="Q31" t="str">
        <f>IF(O31&gt;0,VLOOKUP($O31,Dep!$A:$M,6),"")</f>
        <v>YVR</v>
      </c>
      <c r="R31" t="str">
        <f>IF(O31&gt;0,VLOOKUP($O31,Dep!$A:$M,7),"")</f>
        <v>DH3</v>
      </c>
      <c r="S31">
        <f>IF(O31&gt;0,VLOOKUP($O31,Dep!$A:$M,9),"")</f>
        <v>38</v>
      </c>
      <c r="T31" t="str">
        <f>IF(O31&gt;0,VLOOKUP($O31,Dep!$A:$M,10),"")</f>
        <v>INT</v>
      </c>
      <c r="U31" t="str">
        <f>IF(O31&gt;0,VLOOKUP($O31,Dep!$A:$M,12),"")</f>
        <v>AC</v>
      </c>
      <c r="V31" t="str">
        <f t="shared" si="2"/>
        <v/>
      </c>
      <c r="W31" t="str">
        <f t="shared" si="3"/>
        <v/>
      </c>
      <c r="X31" t="str">
        <f t="shared" si="4"/>
        <v/>
      </c>
      <c r="Y31">
        <f t="shared" si="0"/>
        <v>0</v>
      </c>
      <c r="Z31">
        <f t="shared" si="5"/>
        <v>1</v>
      </c>
      <c r="AA31" s="20">
        <f t="shared" si="1"/>
        <v>0.35763888888888884</v>
      </c>
      <c r="AB31">
        <f t="shared" si="6"/>
        <v>30</v>
      </c>
      <c r="AC31" s="20" t="str">
        <f t="shared" si="7"/>
        <v>21:25</v>
      </c>
      <c r="AD31" s="20" t="str">
        <f t="shared" si="8"/>
        <v>06:00</v>
      </c>
      <c r="AE31" t="str">
        <f>VLOOKUP(G31,ACtypes!A:C,3,FALSE)</f>
        <v>B</v>
      </c>
      <c r="AF31">
        <f t="shared" si="9"/>
        <v>1</v>
      </c>
      <c r="AG31">
        <f t="shared" si="10"/>
        <v>1</v>
      </c>
      <c r="AH31">
        <f t="shared" si="11"/>
        <v>38</v>
      </c>
    </row>
    <row r="32" spans="1:34" x14ac:dyDescent="0.3">
      <c r="A32" s="41">
        <f t="shared" si="12"/>
        <v>31</v>
      </c>
      <c r="B32" s="27">
        <v>18</v>
      </c>
      <c r="C32" s="28" t="s">
        <v>50</v>
      </c>
      <c r="D32" s="28" t="s">
        <v>13</v>
      </c>
      <c r="E32" s="28" t="s">
        <v>31</v>
      </c>
      <c r="F32" s="28" t="s">
        <v>15</v>
      </c>
      <c r="G32" s="28" t="s">
        <v>45</v>
      </c>
      <c r="H32" s="27">
        <v>0</v>
      </c>
      <c r="I32" s="27">
        <v>115</v>
      </c>
      <c r="J32" s="28" t="s">
        <v>17</v>
      </c>
      <c r="K32" s="27">
        <v>25</v>
      </c>
      <c r="L32" s="28" t="s">
        <v>22</v>
      </c>
      <c r="M32" s="27">
        <v>7.5</v>
      </c>
      <c r="O32" s="23">
        <v>37</v>
      </c>
      <c r="P32" t="str">
        <f>IF(O32&gt;0,VLOOKUP($O32,Dep!$A:$M,3),"")</f>
        <v>08:00</v>
      </c>
      <c r="Q32" t="str">
        <f>IF(O32&gt;0,VLOOKUP($O32,Dep!$A:$M,6),"")</f>
        <v>ANC</v>
      </c>
      <c r="R32" t="str">
        <f>IF(O32&gt;0,VLOOKUP($O32,Dep!$A:$M,7),"")</f>
        <v>734</v>
      </c>
      <c r="S32">
        <f>IF(O32&gt;0,VLOOKUP($O32,Dep!$A:$M,9),"")</f>
        <v>115</v>
      </c>
      <c r="T32" t="str">
        <f>IF(O32&gt;0,VLOOKUP($O32,Dep!$A:$M,10),"")</f>
        <v>NAT</v>
      </c>
      <c r="U32" t="str">
        <f>IF(O32&gt;0,VLOOKUP($O32,Dep!$A:$M,12),"")</f>
        <v>AS</v>
      </c>
      <c r="V32" t="str">
        <f t="shared" si="2"/>
        <v/>
      </c>
      <c r="W32" t="str">
        <f t="shared" si="3"/>
        <v/>
      </c>
      <c r="X32" t="str">
        <f t="shared" si="4"/>
        <v/>
      </c>
      <c r="Y32">
        <f t="shared" si="0"/>
        <v>0</v>
      </c>
      <c r="Z32" t="str">
        <f t="shared" si="5"/>
        <v/>
      </c>
      <c r="AA32" s="20">
        <f t="shared" si="1"/>
        <v>0.25347222222222221</v>
      </c>
      <c r="AB32">
        <f t="shared" si="6"/>
        <v>31</v>
      </c>
      <c r="AC32" s="20" t="str">
        <f t="shared" si="7"/>
        <v>01:55</v>
      </c>
      <c r="AD32" s="20" t="str">
        <f t="shared" si="8"/>
        <v>08:00</v>
      </c>
      <c r="AE32" t="str">
        <f>VLOOKUP(G32,ACtypes!A:C,3,FALSE)</f>
        <v>C</v>
      </c>
      <c r="AF32" t="str">
        <f t="shared" si="9"/>
        <v/>
      </c>
      <c r="AG32" t="str">
        <f t="shared" si="10"/>
        <v/>
      </c>
      <c r="AH32">
        <f t="shared" si="11"/>
        <v>115</v>
      </c>
    </row>
    <row r="33" spans="1:34" x14ac:dyDescent="0.3">
      <c r="A33" s="41">
        <f t="shared" si="12"/>
        <v>32</v>
      </c>
      <c r="B33" s="27">
        <v>16</v>
      </c>
      <c r="C33" s="28" t="s">
        <v>48</v>
      </c>
      <c r="D33" s="28" t="s">
        <v>13</v>
      </c>
      <c r="E33" s="28" t="s">
        <v>31</v>
      </c>
      <c r="F33" s="28" t="s">
        <v>15</v>
      </c>
      <c r="G33" s="28" t="s">
        <v>45</v>
      </c>
      <c r="H33" s="27">
        <v>0</v>
      </c>
      <c r="I33" s="27">
        <v>115</v>
      </c>
      <c r="J33" s="28" t="s">
        <v>17</v>
      </c>
      <c r="K33" s="27">
        <v>25</v>
      </c>
      <c r="L33" s="28" t="s">
        <v>22</v>
      </c>
      <c r="M33" s="27">
        <v>7.5</v>
      </c>
      <c r="O33" s="23">
        <v>38</v>
      </c>
      <c r="P33" t="str">
        <f>IF(O33&gt;0,VLOOKUP($O33,Dep!$A:$M,3),"")</f>
        <v>08:32</v>
      </c>
      <c r="Q33" t="str">
        <f>IF(O33&gt;0,VLOOKUP($O33,Dep!$A:$M,6),"")</f>
        <v>SFO</v>
      </c>
      <c r="R33" t="str">
        <f>IF(O33&gt;0,VLOOKUP($O33,Dep!$A:$M,7),"")</f>
        <v>734</v>
      </c>
      <c r="S33">
        <f>IF(O33&gt;0,VLOOKUP($O33,Dep!$A:$M,9),"")</f>
        <v>115</v>
      </c>
      <c r="T33" t="str">
        <f>IF(O33&gt;0,VLOOKUP($O33,Dep!$A:$M,10),"")</f>
        <v>NAT</v>
      </c>
      <c r="U33" t="str">
        <f>IF(O33&gt;0,VLOOKUP($O33,Dep!$A:$M,12),"")</f>
        <v>AS</v>
      </c>
      <c r="V33" t="str">
        <f t="shared" si="2"/>
        <v/>
      </c>
      <c r="W33" t="str">
        <f t="shared" si="3"/>
        <v/>
      </c>
      <c r="X33" t="str">
        <f t="shared" si="4"/>
        <v>X</v>
      </c>
      <c r="Y33">
        <f t="shared" si="0"/>
        <v>0</v>
      </c>
      <c r="Z33" t="str">
        <f t="shared" si="5"/>
        <v/>
      </c>
      <c r="AA33" s="20">
        <f t="shared" si="1"/>
        <v>9.722222222222221E-2</v>
      </c>
      <c r="AB33">
        <f t="shared" si="6"/>
        <v>32</v>
      </c>
      <c r="AC33" s="20" t="str">
        <f t="shared" si="7"/>
        <v>06:12</v>
      </c>
      <c r="AD33" s="20" t="str">
        <f t="shared" si="8"/>
        <v>08:32</v>
      </c>
      <c r="AE33" t="str">
        <f>VLOOKUP(G33,ACtypes!A:C,3,FALSE)</f>
        <v>C</v>
      </c>
      <c r="AF33" t="str">
        <f t="shared" si="9"/>
        <v/>
      </c>
      <c r="AG33" t="str">
        <f t="shared" si="10"/>
        <v/>
      </c>
      <c r="AH33">
        <f t="shared" si="11"/>
        <v>115</v>
      </c>
    </row>
    <row r="34" spans="1:34" x14ac:dyDescent="0.3">
      <c r="A34" s="41">
        <f t="shared" si="12"/>
        <v>33</v>
      </c>
      <c r="B34" s="27">
        <v>48</v>
      </c>
      <c r="C34" s="28" t="s">
        <v>91</v>
      </c>
      <c r="D34" s="28" t="s">
        <v>13</v>
      </c>
      <c r="E34" s="28" t="s">
        <v>86</v>
      </c>
      <c r="F34" s="28" t="s">
        <v>15</v>
      </c>
      <c r="G34" s="28" t="s">
        <v>45</v>
      </c>
      <c r="H34" s="27">
        <v>0</v>
      </c>
      <c r="I34" s="27">
        <v>115</v>
      </c>
      <c r="J34" s="28" t="s">
        <v>17</v>
      </c>
      <c r="K34" s="27">
        <v>25</v>
      </c>
      <c r="L34" s="28" t="s">
        <v>22</v>
      </c>
      <c r="M34" s="27">
        <v>7.5</v>
      </c>
      <c r="O34" s="23">
        <v>39</v>
      </c>
      <c r="P34" t="str">
        <f>IF(O34&gt;0,VLOOKUP($O34,Dep!$A:$M,3),"")</f>
        <v>08:50</v>
      </c>
      <c r="Q34" t="str">
        <f>IF(O34&gt;0,VLOOKUP($O34,Dep!$A:$M,6),"")</f>
        <v>ORD</v>
      </c>
      <c r="R34" t="str">
        <f>IF(O34&gt;0,VLOOKUP($O34,Dep!$A:$M,7),"")</f>
        <v>734</v>
      </c>
      <c r="S34">
        <f>IF(O34&gt;0,VLOOKUP($O34,Dep!$A:$M,9),"")</f>
        <v>115</v>
      </c>
      <c r="T34" t="str">
        <f>IF(O34&gt;0,VLOOKUP($O34,Dep!$A:$M,10),"")</f>
        <v>NAT</v>
      </c>
      <c r="U34" t="str">
        <f>IF(O34&gt;0,VLOOKUP($O34,Dep!$A:$M,12),"")</f>
        <v>AS</v>
      </c>
      <c r="V34" t="str">
        <f t="shared" si="2"/>
        <v/>
      </c>
      <c r="W34" t="str">
        <f t="shared" si="3"/>
        <v/>
      </c>
      <c r="X34" t="str">
        <f t="shared" si="4"/>
        <v>X</v>
      </c>
      <c r="Y34">
        <f t="shared" si="0"/>
        <v>0</v>
      </c>
      <c r="Z34" t="str">
        <f t="shared" si="5"/>
        <v/>
      </c>
      <c r="AA34" s="20">
        <f t="shared" si="1"/>
        <v>8.4722222222222254E-2</v>
      </c>
      <c r="AB34">
        <f t="shared" si="6"/>
        <v>33</v>
      </c>
      <c r="AC34" s="20" t="str">
        <f t="shared" si="7"/>
        <v>06:48</v>
      </c>
      <c r="AD34" s="20" t="str">
        <f t="shared" si="8"/>
        <v>08:50</v>
      </c>
      <c r="AE34" t="str">
        <f>VLOOKUP(G34,ACtypes!A:C,3,FALSE)</f>
        <v>C</v>
      </c>
      <c r="AF34" t="str">
        <f t="shared" si="9"/>
        <v/>
      </c>
      <c r="AG34" t="str">
        <f t="shared" si="10"/>
        <v/>
      </c>
      <c r="AH34">
        <f t="shared" si="11"/>
        <v>115</v>
      </c>
    </row>
    <row r="35" spans="1:34" x14ac:dyDescent="0.3">
      <c r="A35" s="41">
        <f t="shared" si="12"/>
        <v>34</v>
      </c>
      <c r="B35" s="27">
        <v>15</v>
      </c>
      <c r="C35" s="28" t="s">
        <v>47</v>
      </c>
      <c r="D35" s="28" t="s">
        <v>13</v>
      </c>
      <c r="E35" s="28" t="s">
        <v>31</v>
      </c>
      <c r="F35" s="28" t="s">
        <v>15</v>
      </c>
      <c r="G35" s="28" t="s">
        <v>45</v>
      </c>
      <c r="H35" s="27">
        <v>0</v>
      </c>
      <c r="I35" s="27">
        <v>115</v>
      </c>
      <c r="J35" s="28" t="s">
        <v>17</v>
      </c>
      <c r="K35" s="27">
        <v>25</v>
      </c>
      <c r="L35" s="28" t="s">
        <v>22</v>
      </c>
      <c r="M35" s="27">
        <v>7.5</v>
      </c>
      <c r="O35" s="23">
        <v>40</v>
      </c>
      <c r="P35" t="str">
        <f>IF(O35&gt;0,VLOOKUP($O35,Dep!$A:$M,3),"")</f>
        <v>09:10</v>
      </c>
      <c r="Q35" t="str">
        <f>IF(O35&gt;0,VLOOKUP($O35,Dep!$A:$M,6),"")</f>
        <v>SNA</v>
      </c>
      <c r="R35" t="str">
        <f>IF(O35&gt;0,VLOOKUP($O35,Dep!$A:$M,7),"")</f>
        <v>734</v>
      </c>
      <c r="S35">
        <f>IF(O35&gt;0,VLOOKUP($O35,Dep!$A:$M,9),"")</f>
        <v>115</v>
      </c>
      <c r="T35" t="str">
        <f>IF(O35&gt;0,VLOOKUP($O35,Dep!$A:$M,10),"")</f>
        <v>NAT</v>
      </c>
      <c r="U35" t="str">
        <f>IF(O35&gt;0,VLOOKUP($O35,Dep!$A:$M,12),"")</f>
        <v>AS</v>
      </c>
      <c r="V35" t="str">
        <f t="shared" si="2"/>
        <v/>
      </c>
      <c r="W35" t="str">
        <f t="shared" si="3"/>
        <v/>
      </c>
      <c r="X35" t="str">
        <f t="shared" si="4"/>
        <v>X</v>
      </c>
      <c r="Y35">
        <f t="shared" si="0"/>
        <v>0</v>
      </c>
      <c r="Z35" t="str">
        <f t="shared" si="5"/>
        <v/>
      </c>
      <c r="AA35" s="20">
        <f t="shared" si="1"/>
        <v>8.6805555555555525E-2</v>
      </c>
      <c r="AB35">
        <f t="shared" si="6"/>
        <v>34</v>
      </c>
      <c r="AC35" s="20" t="str">
        <f t="shared" si="7"/>
        <v>07:05</v>
      </c>
      <c r="AD35" s="20" t="str">
        <f t="shared" si="8"/>
        <v>09:10</v>
      </c>
      <c r="AE35" t="str">
        <f>VLOOKUP(G35,ACtypes!A:C,3,FALSE)</f>
        <v>C</v>
      </c>
      <c r="AF35" t="str">
        <f t="shared" si="9"/>
        <v/>
      </c>
      <c r="AG35" t="str">
        <f t="shared" si="10"/>
        <v/>
      </c>
      <c r="AH35">
        <f t="shared" si="11"/>
        <v>115</v>
      </c>
    </row>
    <row r="36" spans="1:34" x14ac:dyDescent="0.3">
      <c r="A36" s="41">
        <f t="shared" si="12"/>
        <v>35</v>
      </c>
      <c r="B36" s="27">
        <v>265</v>
      </c>
      <c r="C36" s="28" t="s">
        <v>343</v>
      </c>
      <c r="D36" s="28" t="s">
        <v>13</v>
      </c>
      <c r="E36" s="28" t="s">
        <v>335</v>
      </c>
      <c r="F36" s="28" t="s">
        <v>15</v>
      </c>
      <c r="G36" s="28" t="s">
        <v>45</v>
      </c>
      <c r="H36" s="27">
        <v>0</v>
      </c>
      <c r="I36" s="27">
        <v>115</v>
      </c>
      <c r="J36" s="28" t="s">
        <v>17</v>
      </c>
      <c r="K36" s="27">
        <v>25</v>
      </c>
      <c r="L36" s="28" t="s">
        <v>22</v>
      </c>
      <c r="M36" s="27">
        <v>7.5</v>
      </c>
      <c r="O36" s="23">
        <v>41</v>
      </c>
      <c r="P36" t="str">
        <f>IF(O36&gt;0,VLOOKUP($O36,Dep!$A:$M,3),"")</f>
        <v>09:35</v>
      </c>
      <c r="Q36" t="str">
        <f>IF(O36&gt;0,VLOOKUP($O36,Dep!$A:$M,6),"")</f>
        <v>OAK</v>
      </c>
      <c r="R36" t="str">
        <f>IF(O36&gt;0,VLOOKUP($O36,Dep!$A:$M,7),"")</f>
        <v>734</v>
      </c>
      <c r="S36">
        <f>IF(O36&gt;0,VLOOKUP($O36,Dep!$A:$M,9),"")</f>
        <v>115</v>
      </c>
      <c r="T36" t="str">
        <f>IF(O36&gt;0,VLOOKUP($O36,Dep!$A:$M,10),"")</f>
        <v>NAT</v>
      </c>
      <c r="U36" t="str">
        <f>IF(O36&gt;0,VLOOKUP($O36,Dep!$A:$M,12),"")</f>
        <v>AS</v>
      </c>
      <c r="V36" t="str">
        <f t="shared" si="2"/>
        <v/>
      </c>
      <c r="W36" t="str">
        <f t="shared" si="3"/>
        <v/>
      </c>
      <c r="X36" t="str">
        <f t="shared" si="4"/>
        <v/>
      </c>
      <c r="Y36">
        <f t="shared" si="0"/>
        <v>0</v>
      </c>
      <c r="Z36" t="str">
        <f t="shared" si="5"/>
        <v/>
      </c>
      <c r="AA36" s="20">
        <f t="shared" si="1"/>
        <v>7.0138888888888917E-2</v>
      </c>
      <c r="AB36">
        <f t="shared" si="6"/>
        <v>35</v>
      </c>
      <c r="AC36" s="20" t="str">
        <f t="shared" si="7"/>
        <v>07:54</v>
      </c>
      <c r="AD36" s="20" t="str">
        <f t="shared" si="8"/>
        <v>09:35</v>
      </c>
      <c r="AE36" t="str">
        <f>VLOOKUP(G36,ACtypes!A:C,3,FALSE)</f>
        <v>C</v>
      </c>
      <c r="AF36" t="str">
        <f t="shared" si="9"/>
        <v/>
      </c>
      <c r="AG36" t="str">
        <f t="shared" si="10"/>
        <v/>
      </c>
      <c r="AH36">
        <f t="shared" si="11"/>
        <v>115</v>
      </c>
    </row>
    <row r="37" spans="1:34" x14ac:dyDescent="0.3">
      <c r="A37" s="41">
        <f t="shared" si="12"/>
        <v>36</v>
      </c>
      <c r="B37" s="27">
        <v>133</v>
      </c>
      <c r="C37" s="28" t="s">
        <v>202</v>
      </c>
      <c r="D37" s="28" t="s">
        <v>13</v>
      </c>
      <c r="E37" s="28" t="s">
        <v>196</v>
      </c>
      <c r="F37" s="28" t="s">
        <v>15</v>
      </c>
      <c r="G37" s="28" t="s">
        <v>45</v>
      </c>
      <c r="H37" s="27">
        <v>0</v>
      </c>
      <c r="I37" s="27">
        <v>115</v>
      </c>
      <c r="J37" s="28" t="s">
        <v>17</v>
      </c>
      <c r="K37" s="27">
        <v>25</v>
      </c>
      <c r="L37" s="28" t="s">
        <v>22</v>
      </c>
      <c r="M37" s="27">
        <v>7.5</v>
      </c>
      <c r="O37" s="23">
        <v>42</v>
      </c>
      <c r="P37" t="str">
        <f>IF(O37&gt;0,VLOOKUP($O37,Dep!$A:$M,3),"")</f>
        <v>09:56</v>
      </c>
      <c r="Q37" t="str">
        <f>IF(O37&gt;0,VLOOKUP($O37,Dep!$A:$M,6),"")</f>
        <v>YYC</v>
      </c>
      <c r="R37" t="str">
        <f>IF(O37&gt;0,VLOOKUP($O37,Dep!$A:$M,7),"")</f>
        <v>734</v>
      </c>
      <c r="S37">
        <f>IF(O37&gt;0,VLOOKUP($O37,Dep!$A:$M,9),"")</f>
        <v>115</v>
      </c>
      <c r="T37" t="str">
        <f>IF(O37&gt;0,VLOOKUP($O37,Dep!$A:$M,10),"")</f>
        <v>INT</v>
      </c>
      <c r="U37" t="str">
        <f>IF(O37&gt;0,VLOOKUP($O37,Dep!$A:$M,12),"")</f>
        <v>AS</v>
      </c>
      <c r="V37" t="str">
        <f t="shared" si="2"/>
        <v/>
      </c>
      <c r="W37" t="str">
        <f t="shared" si="3"/>
        <v/>
      </c>
      <c r="X37" t="str">
        <f t="shared" si="4"/>
        <v>X</v>
      </c>
      <c r="Y37">
        <f t="shared" si="0"/>
        <v>0</v>
      </c>
      <c r="Z37" t="str">
        <f t="shared" si="5"/>
        <v/>
      </c>
      <c r="AA37" s="20">
        <f t="shared" si="1"/>
        <v>7.9861111111111105E-2</v>
      </c>
      <c r="AB37">
        <f t="shared" si="6"/>
        <v>36</v>
      </c>
      <c r="AC37" s="20" t="str">
        <f t="shared" si="7"/>
        <v>08:01</v>
      </c>
      <c r="AD37" s="20" t="str">
        <f t="shared" si="8"/>
        <v>09:56</v>
      </c>
      <c r="AE37" t="str">
        <f>VLOOKUP(G37,ACtypes!A:C,3,FALSE)</f>
        <v>C</v>
      </c>
      <c r="AF37" t="str">
        <f t="shared" si="9"/>
        <v/>
      </c>
      <c r="AG37">
        <f t="shared" si="10"/>
        <v>1</v>
      </c>
      <c r="AH37">
        <f t="shared" si="11"/>
        <v>115</v>
      </c>
    </row>
    <row r="38" spans="1:34" x14ac:dyDescent="0.3">
      <c r="A38" s="41">
        <f t="shared" si="12"/>
        <v>37</v>
      </c>
      <c r="B38" s="27">
        <v>893</v>
      </c>
      <c r="C38" s="28" t="s">
        <v>446</v>
      </c>
      <c r="D38" s="28" t="s">
        <v>13</v>
      </c>
      <c r="E38" s="28" t="s">
        <v>440</v>
      </c>
      <c r="F38" s="28" t="s">
        <v>15</v>
      </c>
      <c r="G38" s="28" t="s">
        <v>45</v>
      </c>
      <c r="H38" s="27">
        <v>0</v>
      </c>
      <c r="I38" s="27">
        <v>115</v>
      </c>
      <c r="J38" s="28" t="s">
        <v>17</v>
      </c>
      <c r="K38" s="27">
        <v>25</v>
      </c>
      <c r="L38" s="28" t="s">
        <v>22</v>
      </c>
      <c r="M38" s="27">
        <v>7.5</v>
      </c>
      <c r="O38" s="23">
        <v>43</v>
      </c>
      <c r="P38" t="str">
        <f>IF(O38&gt;0,VLOOKUP($O38,Dep!$A:$M,3),"")</f>
        <v>10:02</v>
      </c>
      <c r="Q38" t="str">
        <f>IF(O38&gt;0,VLOOKUP($O38,Dep!$A:$M,6),"")</f>
        <v>SJC</v>
      </c>
      <c r="R38" t="str">
        <f>IF(O38&gt;0,VLOOKUP($O38,Dep!$A:$M,7),"")</f>
        <v>734</v>
      </c>
      <c r="S38">
        <f>IF(O38&gt;0,VLOOKUP($O38,Dep!$A:$M,9),"")</f>
        <v>115</v>
      </c>
      <c r="T38" t="str">
        <f>IF(O38&gt;0,VLOOKUP($O38,Dep!$A:$M,10),"")</f>
        <v>NAT</v>
      </c>
      <c r="U38" t="str">
        <f>IF(O38&gt;0,VLOOKUP($O38,Dep!$A:$M,12),"")</f>
        <v>AS</v>
      </c>
      <c r="V38" t="str">
        <f t="shared" si="2"/>
        <v/>
      </c>
      <c r="W38" t="str">
        <f t="shared" si="3"/>
        <v/>
      </c>
      <c r="X38" t="str">
        <f t="shared" si="4"/>
        <v>X</v>
      </c>
      <c r="Y38">
        <f t="shared" si="0"/>
        <v>0</v>
      </c>
      <c r="Z38" t="str">
        <f t="shared" si="5"/>
        <v/>
      </c>
      <c r="AA38" s="20">
        <f t="shared" si="1"/>
        <v>4.3750000000000067E-2</v>
      </c>
      <c r="AB38">
        <f t="shared" si="6"/>
        <v>37</v>
      </c>
      <c r="AC38" s="20" t="str">
        <f t="shared" si="7"/>
        <v>08:59</v>
      </c>
      <c r="AD38" s="20" t="str">
        <f t="shared" si="8"/>
        <v>10:02</v>
      </c>
      <c r="AE38" t="str">
        <f>VLOOKUP(G38,ACtypes!A:C,3,FALSE)</f>
        <v>C</v>
      </c>
      <c r="AF38" t="str">
        <f t="shared" si="9"/>
        <v/>
      </c>
      <c r="AG38" t="str">
        <f t="shared" si="10"/>
        <v/>
      </c>
      <c r="AH38">
        <f t="shared" si="11"/>
        <v>115</v>
      </c>
    </row>
    <row r="39" spans="1:34" x14ac:dyDescent="0.3">
      <c r="A39" s="41">
        <f t="shared" si="12"/>
        <v>38</v>
      </c>
      <c r="B39" s="27">
        <v>218</v>
      </c>
      <c r="C39" s="28" t="s">
        <v>289</v>
      </c>
      <c r="D39" s="28" t="s">
        <v>13</v>
      </c>
      <c r="E39" s="28" t="s">
        <v>279</v>
      </c>
      <c r="F39" s="28" t="s">
        <v>15</v>
      </c>
      <c r="G39" s="28" t="s">
        <v>45</v>
      </c>
      <c r="H39" s="27">
        <v>0</v>
      </c>
      <c r="I39" s="27">
        <v>115</v>
      </c>
      <c r="J39" s="28" t="s">
        <v>17</v>
      </c>
      <c r="K39" s="27">
        <v>25</v>
      </c>
      <c r="L39" s="28" t="s">
        <v>22</v>
      </c>
      <c r="M39" s="27">
        <v>7.5</v>
      </c>
      <c r="O39" s="23">
        <v>44</v>
      </c>
      <c r="P39" t="str">
        <f>IF(O39&gt;0,VLOOKUP($O39,Dep!$A:$M,3),"")</f>
        <v>10:15</v>
      </c>
      <c r="Q39" t="str">
        <f>IF(O39&gt;0,VLOOKUP($O39,Dep!$A:$M,6),"")</f>
        <v>KTN</v>
      </c>
      <c r="R39" t="str">
        <f>IF(O39&gt;0,VLOOKUP($O39,Dep!$A:$M,7),"")</f>
        <v>734</v>
      </c>
      <c r="S39">
        <f>IF(O39&gt;0,VLOOKUP($O39,Dep!$A:$M,9),"")</f>
        <v>115</v>
      </c>
      <c r="T39" t="str">
        <f>IF(O39&gt;0,VLOOKUP($O39,Dep!$A:$M,10),"")</f>
        <v>NAT</v>
      </c>
      <c r="U39" t="str">
        <f>IF(O39&gt;0,VLOOKUP($O39,Dep!$A:$M,12),"")</f>
        <v>AS</v>
      </c>
      <c r="V39" t="str">
        <f t="shared" si="2"/>
        <v/>
      </c>
      <c r="W39" t="str">
        <f t="shared" si="3"/>
        <v/>
      </c>
      <c r="X39" t="str">
        <f t="shared" si="4"/>
        <v>X</v>
      </c>
      <c r="Y39">
        <f t="shared" si="0"/>
        <v>0</v>
      </c>
      <c r="Z39" t="str">
        <f t="shared" si="5"/>
        <v/>
      </c>
      <c r="AA39" s="20">
        <f t="shared" si="1"/>
        <v>4.0972222222222188E-2</v>
      </c>
      <c r="AB39">
        <f t="shared" si="6"/>
        <v>38</v>
      </c>
      <c r="AC39" s="20" t="str">
        <f t="shared" si="7"/>
        <v>09:16</v>
      </c>
      <c r="AD39" s="20" t="str">
        <f t="shared" si="8"/>
        <v>10:15</v>
      </c>
      <c r="AE39" t="str">
        <f>VLOOKUP(G39,ACtypes!A:C,3,FALSE)</f>
        <v>C</v>
      </c>
      <c r="AF39" t="str">
        <f t="shared" si="9"/>
        <v/>
      </c>
      <c r="AG39" t="str">
        <f t="shared" si="10"/>
        <v/>
      </c>
      <c r="AH39">
        <f t="shared" si="11"/>
        <v>115</v>
      </c>
    </row>
    <row r="40" spans="1:34" x14ac:dyDescent="0.3">
      <c r="A40" s="41">
        <f t="shared" si="12"/>
        <v>39</v>
      </c>
      <c r="B40" s="27">
        <v>182</v>
      </c>
      <c r="C40" s="28" t="s">
        <v>254</v>
      </c>
      <c r="D40" s="28" t="s">
        <v>13</v>
      </c>
      <c r="E40" s="28" t="s">
        <v>252</v>
      </c>
      <c r="F40" s="28" t="s">
        <v>15</v>
      </c>
      <c r="G40" s="28" t="s">
        <v>45</v>
      </c>
      <c r="H40" s="27">
        <v>0</v>
      </c>
      <c r="I40" s="27">
        <v>115</v>
      </c>
      <c r="J40" s="28" t="s">
        <v>17</v>
      </c>
      <c r="K40" s="27">
        <v>25</v>
      </c>
      <c r="L40" s="28" t="s">
        <v>22</v>
      </c>
      <c r="M40" s="27">
        <v>7.5</v>
      </c>
      <c r="O40" s="23">
        <v>45</v>
      </c>
      <c r="P40" t="str">
        <f>IF(O40&gt;0,VLOOKUP($O40,Dep!$A:$M,3),"")</f>
        <v>11:00</v>
      </c>
      <c r="Q40" t="str">
        <f>IF(O40&gt;0,VLOOKUP($O40,Dep!$A:$M,6),"")</f>
        <v>ORD</v>
      </c>
      <c r="R40" t="str">
        <f>IF(O40&gt;0,VLOOKUP($O40,Dep!$A:$M,7),"")</f>
        <v>734</v>
      </c>
      <c r="S40">
        <f>IF(O40&gt;0,VLOOKUP($O40,Dep!$A:$M,9),"")</f>
        <v>115</v>
      </c>
      <c r="T40" t="str">
        <f>IF(O40&gt;0,VLOOKUP($O40,Dep!$A:$M,10),"")</f>
        <v>NAT</v>
      </c>
      <c r="U40" t="str">
        <f>IF(O40&gt;0,VLOOKUP($O40,Dep!$A:$M,12),"")</f>
        <v>AS</v>
      </c>
      <c r="V40" t="str">
        <f t="shared" si="2"/>
        <v/>
      </c>
      <c r="W40" t="str">
        <f t="shared" si="3"/>
        <v/>
      </c>
      <c r="X40" t="str">
        <f t="shared" si="4"/>
        <v>X</v>
      </c>
      <c r="Y40">
        <f t="shared" si="0"/>
        <v>0</v>
      </c>
      <c r="Z40" t="str">
        <f t="shared" si="5"/>
        <v/>
      </c>
      <c r="AA40" s="20">
        <f t="shared" si="1"/>
        <v>6.944444444444442E-2</v>
      </c>
      <c r="AB40">
        <f t="shared" si="6"/>
        <v>39</v>
      </c>
      <c r="AC40" s="20" t="str">
        <f t="shared" si="7"/>
        <v>09:20</v>
      </c>
      <c r="AD40" s="20" t="str">
        <f t="shared" si="8"/>
        <v>11:00</v>
      </c>
      <c r="AE40" t="str">
        <f>VLOOKUP(G40,ACtypes!A:C,3,FALSE)</f>
        <v>C</v>
      </c>
      <c r="AF40" t="str">
        <f t="shared" si="9"/>
        <v/>
      </c>
      <c r="AG40" t="str">
        <f t="shared" si="10"/>
        <v/>
      </c>
      <c r="AH40">
        <f t="shared" si="11"/>
        <v>115</v>
      </c>
    </row>
    <row r="41" spans="1:34" x14ac:dyDescent="0.3">
      <c r="A41" s="41">
        <f t="shared" si="12"/>
        <v>40</v>
      </c>
      <c r="B41" s="27">
        <v>202</v>
      </c>
      <c r="C41" s="28" t="s">
        <v>273</v>
      </c>
      <c r="D41" s="28" t="s">
        <v>13</v>
      </c>
      <c r="E41" s="28" t="s">
        <v>265</v>
      </c>
      <c r="F41" s="28" t="s">
        <v>15</v>
      </c>
      <c r="G41" s="28" t="s">
        <v>45</v>
      </c>
      <c r="H41" s="27">
        <v>0</v>
      </c>
      <c r="I41" s="27">
        <v>115</v>
      </c>
      <c r="J41" s="28" t="s">
        <v>17</v>
      </c>
      <c r="K41" s="27">
        <v>25</v>
      </c>
      <c r="L41" s="28" t="s">
        <v>22</v>
      </c>
      <c r="M41" s="27">
        <v>7.5</v>
      </c>
      <c r="O41" s="23">
        <v>46</v>
      </c>
      <c r="P41" t="str">
        <f>IF(O41&gt;0,VLOOKUP($O41,Dep!$A:$M,3),"")</f>
        <v>11:20</v>
      </c>
      <c r="Q41" t="str">
        <f>IF(O41&gt;0,VLOOKUP($O41,Dep!$A:$M,6),"")</f>
        <v>SNA</v>
      </c>
      <c r="R41" t="str">
        <f>IF(O41&gt;0,VLOOKUP($O41,Dep!$A:$M,7),"")</f>
        <v>734</v>
      </c>
      <c r="S41">
        <f>IF(O41&gt;0,VLOOKUP($O41,Dep!$A:$M,9),"")</f>
        <v>115</v>
      </c>
      <c r="T41" t="str">
        <f>IF(O41&gt;0,VLOOKUP($O41,Dep!$A:$M,10),"")</f>
        <v>NAT</v>
      </c>
      <c r="U41" t="str">
        <f>IF(O41&gt;0,VLOOKUP($O41,Dep!$A:$M,12),"")</f>
        <v>AS</v>
      </c>
      <c r="V41" t="str">
        <f t="shared" si="2"/>
        <v/>
      </c>
      <c r="W41" t="str">
        <f t="shared" si="3"/>
        <v/>
      </c>
      <c r="X41" t="str">
        <f t="shared" si="4"/>
        <v>X</v>
      </c>
      <c r="Y41">
        <f t="shared" si="0"/>
        <v>0</v>
      </c>
      <c r="Z41" t="str">
        <f t="shared" si="5"/>
        <v/>
      </c>
      <c r="AA41" s="20">
        <f t="shared" si="1"/>
        <v>7.4305555555555569E-2</v>
      </c>
      <c r="AB41">
        <f t="shared" si="6"/>
        <v>40</v>
      </c>
      <c r="AC41" s="20" t="str">
        <f t="shared" si="7"/>
        <v>09:33</v>
      </c>
      <c r="AD41" s="20" t="str">
        <f t="shared" si="8"/>
        <v>11:20</v>
      </c>
      <c r="AE41" t="str">
        <f>VLOOKUP(G41,ACtypes!A:C,3,FALSE)</f>
        <v>C</v>
      </c>
      <c r="AF41" t="str">
        <f t="shared" si="9"/>
        <v/>
      </c>
      <c r="AG41" t="str">
        <f t="shared" si="10"/>
        <v/>
      </c>
      <c r="AH41">
        <f t="shared" si="11"/>
        <v>115</v>
      </c>
    </row>
    <row r="42" spans="1:34" x14ac:dyDescent="0.3">
      <c r="A42" s="41">
        <f t="shared" si="12"/>
        <v>41</v>
      </c>
      <c r="B42" s="27">
        <v>264</v>
      </c>
      <c r="C42" s="28" t="s">
        <v>342</v>
      </c>
      <c r="D42" s="28" t="s">
        <v>13</v>
      </c>
      <c r="E42" s="28" t="s">
        <v>335</v>
      </c>
      <c r="F42" s="28" t="s">
        <v>15</v>
      </c>
      <c r="G42" s="28" t="s">
        <v>45</v>
      </c>
      <c r="H42" s="27">
        <v>0</v>
      </c>
      <c r="I42" s="27">
        <v>115</v>
      </c>
      <c r="J42" s="28" t="s">
        <v>17</v>
      </c>
      <c r="K42" s="27">
        <v>25</v>
      </c>
      <c r="L42" s="28" t="s">
        <v>22</v>
      </c>
      <c r="M42" s="27">
        <v>7.5</v>
      </c>
      <c r="O42" s="23">
        <v>47</v>
      </c>
      <c r="P42" t="str">
        <f>IF(O42&gt;0,VLOOKUP($O42,Dep!$A:$M,3),"")</f>
        <v>11:34</v>
      </c>
      <c r="Q42" t="str">
        <f>IF(O42&gt;0,VLOOKUP($O42,Dep!$A:$M,6),"")</f>
        <v>BOI</v>
      </c>
      <c r="R42" t="str">
        <f>IF(O42&gt;0,VLOOKUP($O42,Dep!$A:$M,7),"")</f>
        <v>734</v>
      </c>
      <c r="S42">
        <f>IF(O42&gt;0,VLOOKUP($O42,Dep!$A:$M,9),"")</f>
        <v>115</v>
      </c>
      <c r="T42" t="str">
        <f>IF(O42&gt;0,VLOOKUP($O42,Dep!$A:$M,10),"")</f>
        <v>NAT</v>
      </c>
      <c r="U42" t="str">
        <f>IF(O42&gt;0,VLOOKUP($O42,Dep!$A:$M,12),"")</f>
        <v>AS</v>
      </c>
      <c r="V42" t="str">
        <f t="shared" si="2"/>
        <v/>
      </c>
      <c r="W42" t="str">
        <f t="shared" si="3"/>
        <v/>
      </c>
      <c r="X42" t="str">
        <f t="shared" si="4"/>
        <v>X</v>
      </c>
      <c r="Y42">
        <f t="shared" si="0"/>
        <v>0</v>
      </c>
      <c r="Z42" t="str">
        <f t="shared" si="5"/>
        <v/>
      </c>
      <c r="AA42" s="20">
        <f t="shared" si="1"/>
        <v>8.0555555555555602E-2</v>
      </c>
      <c r="AB42">
        <f t="shared" si="6"/>
        <v>41</v>
      </c>
      <c r="AC42" s="20" t="str">
        <f t="shared" si="7"/>
        <v>09:38</v>
      </c>
      <c r="AD42" s="20" t="str">
        <f t="shared" si="8"/>
        <v>11:34</v>
      </c>
      <c r="AE42" t="str">
        <f>VLOOKUP(G42,ACtypes!A:C,3,FALSE)</f>
        <v>C</v>
      </c>
      <c r="AF42" t="str">
        <f t="shared" si="9"/>
        <v/>
      </c>
      <c r="AG42" t="str">
        <f t="shared" si="10"/>
        <v/>
      </c>
      <c r="AH42">
        <f t="shared" si="11"/>
        <v>115</v>
      </c>
    </row>
    <row r="43" spans="1:34" x14ac:dyDescent="0.3">
      <c r="A43" s="41">
        <f t="shared" si="12"/>
        <v>42</v>
      </c>
      <c r="B43" s="27">
        <v>942</v>
      </c>
      <c r="C43" s="28" t="s">
        <v>209</v>
      </c>
      <c r="D43" s="28" t="s">
        <v>13</v>
      </c>
      <c r="E43" s="28" t="s">
        <v>511</v>
      </c>
      <c r="F43" s="28" t="s">
        <v>15</v>
      </c>
      <c r="G43" s="28" t="s">
        <v>45</v>
      </c>
      <c r="H43" s="27">
        <v>0</v>
      </c>
      <c r="I43" s="27">
        <v>115</v>
      </c>
      <c r="J43" s="28" t="s">
        <v>17</v>
      </c>
      <c r="K43" s="27">
        <v>25</v>
      </c>
      <c r="L43" s="28" t="s">
        <v>22</v>
      </c>
      <c r="M43" s="27">
        <v>7.5</v>
      </c>
      <c r="O43" s="23">
        <v>48</v>
      </c>
      <c r="P43" t="str">
        <f>IF(O43&gt;0,VLOOKUP($O43,Dep!$A:$M,3),"")</f>
        <v>11:41</v>
      </c>
      <c r="Q43" t="str">
        <f>IF(O43&gt;0,VLOOKUP($O43,Dep!$A:$M,6),"")</f>
        <v>JNU</v>
      </c>
      <c r="R43" t="str">
        <f>IF(O43&gt;0,VLOOKUP($O43,Dep!$A:$M,7),"")</f>
        <v>734</v>
      </c>
      <c r="S43">
        <f>IF(O43&gt;0,VLOOKUP($O43,Dep!$A:$M,9),"")</f>
        <v>115</v>
      </c>
      <c r="T43" t="str">
        <f>IF(O43&gt;0,VLOOKUP($O43,Dep!$A:$M,10),"")</f>
        <v>NAT</v>
      </c>
      <c r="U43" t="str">
        <f>IF(O43&gt;0,VLOOKUP($O43,Dep!$A:$M,12),"")</f>
        <v>AS</v>
      </c>
      <c r="V43" t="str">
        <f t="shared" si="2"/>
        <v/>
      </c>
      <c r="W43" t="str">
        <f t="shared" si="3"/>
        <v/>
      </c>
      <c r="X43" t="str">
        <f t="shared" si="4"/>
        <v>X</v>
      </c>
      <c r="Y43">
        <f t="shared" si="0"/>
        <v>0</v>
      </c>
      <c r="Z43" t="str">
        <f t="shared" si="5"/>
        <v/>
      </c>
      <c r="AA43" s="20">
        <f t="shared" si="1"/>
        <v>4.8611111111111049E-2</v>
      </c>
      <c r="AB43">
        <f t="shared" si="6"/>
        <v>42</v>
      </c>
      <c r="AC43" s="20" t="str">
        <f t="shared" si="7"/>
        <v>10:31</v>
      </c>
      <c r="AD43" s="20" t="str">
        <f t="shared" si="8"/>
        <v>11:41</v>
      </c>
      <c r="AE43" t="str">
        <f>VLOOKUP(G43,ACtypes!A:C,3,FALSE)</f>
        <v>C</v>
      </c>
      <c r="AF43" t="str">
        <f t="shared" si="9"/>
        <v/>
      </c>
      <c r="AG43" t="str">
        <f t="shared" si="10"/>
        <v/>
      </c>
      <c r="AH43">
        <f t="shared" si="11"/>
        <v>115</v>
      </c>
    </row>
    <row r="44" spans="1:34" x14ac:dyDescent="0.3">
      <c r="A44" s="41">
        <f t="shared" si="12"/>
        <v>43</v>
      </c>
      <c r="B44" s="27">
        <v>183</v>
      </c>
      <c r="C44" s="28" t="s">
        <v>168</v>
      </c>
      <c r="D44" s="28" t="s">
        <v>13</v>
      </c>
      <c r="E44" s="28" t="s">
        <v>252</v>
      </c>
      <c r="F44" s="28" t="s">
        <v>15</v>
      </c>
      <c r="G44" s="28" t="s">
        <v>45</v>
      </c>
      <c r="H44" s="27">
        <v>0</v>
      </c>
      <c r="I44" s="27">
        <v>115</v>
      </c>
      <c r="J44" s="28" t="s">
        <v>17</v>
      </c>
      <c r="K44" s="27">
        <v>25</v>
      </c>
      <c r="L44" s="28" t="s">
        <v>22</v>
      </c>
      <c r="M44" s="27">
        <v>7.5</v>
      </c>
      <c r="O44" s="23">
        <v>49</v>
      </c>
      <c r="P44" t="str">
        <f>IF(O44&gt;0,VLOOKUP($O44,Dep!$A:$M,3),"")</f>
        <v>11:48</v>
      </c>
      <c r="Q44" t="str">
        <f>IF(O44&gt;0,VLOOKUP($O44,Dep!$A:$M,6),"")</f>
        <v>SIT</v>
      </c>
      <c r="R44" t="str">
        <f>IF(O44&gt;0,VLOOKUP($O44,Dep!$A:$M,7),"")</f>
        <v>734</v>
      </c>
      <c r="S44">
        <f>IF(O44&gt;0,VLOOKUP($O44,Dep!$A:$M,9),"")</f>
        <v>115</v>
      </c>
      <c r="T44" t="str">
        <f>IF(O44&gt;0,VLOOKUP($O44,Dep!$A:$M,10),"")</f>
        <v>NAT</v>
      </c>
      <c r="U44" t="str">
        <f>IF(O44&gt;0,VLOOKUP($O44,Dep!$A:$M,12),"")</f>
        <v>AS</v>
      </c>
      <c r="V44" t="str">
        <f t="shared" si="2"/>
        <v/>
      </c>
      <c r="W44" t="str">
        <f t="shared" si="3"/>
        <v/>
      </c>
      <c r="X44" t="str">
        <f t="shared" si="4"/>
        <v>X</v>
      </c>
      <c r="Y44">
        <f t="shared" si="0"/>
        <v>0</v>
      </c>
      <c r="Z44" t="str">
        <f t="shared" si="5"/>
        <v/>
      </c>
      <c r="AA44" s="20">
        <f t="shared" si="1"/>
        <v>4.861111111111116E-2</v>
      </c>
      <c r="AB44">
        <f t="shared" si="6"/>
        <v>43</v>
      </c>
      <c r="AC44" s="20" t="str">
        <f t="shared" si="7"/>
        <v>10:38</v>
      </c>
      <c r="AD44" s="20" t="str">
        <f t="shared" si="8"/>
        <v>11:48</v>
      </c>
      <c r="AE44" t="str">
        <f>VLOOKUP(G44,ACtypes!A:C,3,FALSE)</f>
        <v>C</v>
      </c>
      <c r="AF44" t="str">
        <f t="shared" si="9"/>
        <v/>
      </c>
      <c r="AG44" t="str">
        <f t="shared" si="10"/>
        <v/>
      </c>
      <c r="AH44">
        <f t="shared" si="11"/>
        <v>115</v>
      </c>
    </row>
    <row r="45" spans="1:34" x14ac:dyDescent="0.3">
      <c r="A45" s="41">
        <f t="shared" si="12"/>
        <v>44</v>
      </c>
      <c r="B45" s="27">
        <v>192</v>
      </c>
      <c r="C45" s="28" t="s">
        <v>263</v>
      </c>
      <c r="D45" s="28" t="s">
        <v>13</v>
      </c>
      <c r="E45" s="28" t="s">
        <v>260</v>
      </c>
      <c r="F45" s="28" t="s">
        <v>15</v>
      </c>
      <c r="G45" s="28" t="s">
        <v>45</v>
      </c>
      <c r="H45" s="27">
        <v>0</v>
      </c>
      <c r="I45" s="27">
        <v>115</v>
      </c>
      <c r="J45" s="28" t="s">
        <v>17</v>
      </c>
      <c r="K45" s="27">
        <v>25</v>
      </c>
      <c r="L45" s="28" t="s">
        <v>22</v>
      </c>
      <c r="M45" s="27">
        <v>7.5</v>
      </c>
      <c r="O45" s="23">
        <v>50</v>
      </c>
      <c r="P45" t="str">
        <f>IF(O45&gt;0,VLOOKUP($O45,Dep!$A:$M,3),"")</f>
        <v>11:57</v>
      </c>
      <c r="Q45" t="str">
        <f>IF(O45&gt;0,VLOOKUP($O45,Dep!$A:$M,6),"")</f>
        <v>SFO</v>
      </c>
      <c r="R45" t="str">
        <f>IF(O45&gt;0,VLOOKUP($O45,Dep!$A:$M,7),"")</f>
        <v>734</v>
      </c>
      <c r="S45">
        <f>IF(O45&gt;0,VLOOKUP($O45,Dep!$A:$M,9),"")</f>
        <v>115</v>
      </c>
      <c r="T45" t="str">
        <f>IF(O45&gt;0,VLOOKUP($O45,Dep!$A:$M,10),"")</f>
        <v>NAT</v>
      </c>
      <c r="U45" t="str">
        <f>IF(O45&gt;0,VLOOKUP($O45,Dep!$A:$M,12),"")</f>
        <v>AS</v>
      </c>
      <c r="V45" t="str">
        <f t="shared" si="2"/>
        <v/>
      </c>
      <c r="W45" t="str">
        <f t="shared" si="3"/>
        <v/>
      </c>
      <c r="X45" t="str">
        <f t="shared" si="4"/>
        <v>X</v>
      </c>
      <c r="Y45">
        <f t="shared" si="0"/>
        <v>0</v>
      </c>
      <c r="Z45" t="str">
        <f t="shared" si="5"/>
        <v/>
      </c>
      <c r="AA45" s="20">
        <f t="shared" si="1"/>
        <v>4.7916666666666607E-2</v>
      </c>
      <c r="AB45">
        <f t="shared" si="6"/>
        <v>44</v>
      </c>
      <c r="AC45" s="20" t="str">
        <f t="shared" si="7"/>
        <v>10:48</v>
      </c>
      <c r="AD45" s="20" t="str">
        <f t="shared" si="8"/>
        <v>11:57</v>
      </c>
      <c r="AE45" t="str">
        <f>VLOOKUP(G45,ACtypes!A:C,3,FALSE)</f>
        <v>C</v>
      </c>
      <c r="AF45" t="str">
        <f t="shared" si="9"/>
        <v/>
      </c>
      <c r="AG45" t="str">
        <f t="shared" si="10"/>
        <v/>
      </c>
      <c r="AH45">
        <f t="shared" si="11"/>
        <v>115</v>
      </c>
    </row>
    <row r="46" spans="1:34" x14ac:dyDescent="0.3">
      <c r="A46" s="41">
        <f t="shared" si="12"/>
        <v>45</v>
      </c>
      <c r="B46" s="27">
        <v>263</v>
      </c>
      <c r="C46" s="28" t="s">
        <v>341</v>
      </c>
      <c r="D46" s="28" t="s">
        <v>13</v>
      </c>
      <c r="E46" s="28" t="s">
        <v>335</v>
      </c>
      <c r="F46" s="28" t="s">
        <v>15</v>
      </c>
      <c r="G46" s="28" t="s">
        <v>45</v>
      </c>
      <c r="H46" s="27">
        <v>0</v>
      </c>
      <c r="I46" s="27">
        <v>115</v>
      </c>
      <c r="J46" s="28" t="s">
        <v>17</v>
      </c>
      <c r="K46" s="27">
        <v>25</v>
      </c>
      <c r="L46" s="28" t="s">
        <v>22</v>
      </c>
      <c r="M46" s="27">
        <v>7.5</v>
      </c>
      <c r="O46" s="23">
        <v>51</v>
      </c>
      <c r="P46" t="str">
        <f>IF(O46&gt;0,VLOOKUP($O46,Dep!$A:$M,3),"")</f>
        <v>12:25</v>
      </c>
      <c r="Q46" t="str">
        <f>IF(O46&gt;0,VLOOKUP($O46,Dep!$A:$M,6),"")</f>
        <v>OAK</v>
      </c>
      <c r="R46" t="str">
        <f>IF(O46&gt;0,VLOOKUP($O46,Dep!$A:$M,7),"")</f>
        <v>734</v>
      </c>
      <c r="S46">
        <f>IF(O46&gt;0,VLOOKUP($O46,Dep!$A:$M,9),"")</f>
        <v>115</v>
      </c>
      <c r="T46" t="str">
        <f>IF(O46&gt;0,VLOOKUP($O46,Dep!$A:$M,10),"")</f>
        <v>NAT</v>
      </c>
      <c r="U46" t="str">
        <f>IF(O46&gt;0,VLOOKUP($O46,Dep!$A:$M,12),"")</f>
        <v>AS</v>
      </c>
      <c r="V46" t="str">
        <f t="shared" si="2"/>
        <v/>
      </c>
      <c r="W46" t="str">
        <f t="shared" si="3"/>
        <v/>
      </c>
      <c r="X46" t="str">
        <f t="shared" si="4"/>
        <v/>
      </c>
      <c r="Y46">
        <f t="shared" si="0"/>
        <v>0</v>
      </c>
      <c r="Z46" t="str">
        <f t="shared" si="5"/>
        <v/>
      </c>
      <c r="AA46" s="20">
        <f t="shared" si="1"/>
        <v>6.1111111111111061E-2</v>
      </c>
      <c r="AB46">
        <f t="shared" si="6"/>
        <v>45</v>
      </c>
      <c r="AC46" s="20" t="str">
        <f t="shared" si="7"/>
        <v>10:57</v>
      </c>
      <c r="AD46" s="20" t="str">
        <f t="shared" si="8"/>
        <v>12:25</v>
      </c>
      <c r="AE46" t="str">
        <f>VLOOKUP(G46,ACtypes!A:C,3,FALSE)</f>
        <v>C</v>
      </c>
      <c r="AF46" t="str">
        <f t="shared" si="9"/>
        <v/>
      </c>
      <c r="AG46" t="str">
        <f t="shared" si="10"/>
        <v/>
      </c>
      <c r="AH46">
        <f t="shared" si="11"/>
        <v>115</v>
      </c>
    </row>
    <row r="47" spans="1:34" x14ac:dyDescent="0.3">
      <c r="A47" s="41">
        <f t="shared" si="12"/>
        <v>46</v>
      </c>
      <c r="B47" s="27">
        <v>891</v>
      </c>
      <c r="C47" s="28" t="s">
        <v>445</v>
      </c>
      <c r="D47" s="28" t="s">
        <v>13</v>
      </c>
      <c r="E47" s="28" t="s">
        <v>440</v>
      </c>
      <c r="F47" s="28" t="s">
        <v>15</v>
      </c>
      <c r="G47" s="28" t="s">
        <v>45</v>
      </c>
      <c r="H47" s="27">
        <v>0</v>
      </c>
      <c r="I47" s="27">
        <v>115</v>
      </c>
      <c r="J47" s="28" t="s">
        <v>17</v>
      </c>
      <c r="K47" s="27">
        <v>25</v>
      </c>
      <c r="L47" s="28" t="s">
        <v>22</v>
      </c>
      <c r="M47" s="27">
        <v>7.5</v>
      </c>
      <c r="O47" s="23">
        <v>52</v>
      </c>
      <c r="P47" t="str">
        <f>IF(O47&gt;0,VLOOKUP($O47,Dep!$A:$M,3),"")</f>
        <v>13:10</v>
      </c>
      <c r="Q47" t="str">
        <f>IF(O47&gt;0,VLOOKUP($O47,Dep!$A:$M,6),"")</f>
        <v>SNA</v>
      </c>
      <c r="R47" t="str">
        <f>IF(O47&gt;0,VLOOKUP($O47,Dep!$A:$M,7),"")</f>
        <v>734</v>
      </c>
      <c r="S47">
        <f>IF(O47&gt;0,VLOOKUP($O47,Dep!$A:$M,9),"")</f>
        <v>115</v>
      </c>
      <c r="T47" t="str">
        <f>IF(O47&gt;0,VLOOKUP($O47,Dep!$A:$M,10),"")</f>
        <v>NAT</v>
      </c>
      <c r="U47" t="str">
        <f>IF(O47&gt;0,VLOOKUP($O47,Dep!$A:$M,12),"")</f>
        <v>AS</v>
      </c>
      <c r="V47" t="str">
        <f t="shared" si="2"/>
        <v/>
      </c>
      <c r="W47" t="str">
        <f t="shared" si="3"/>
        <v/>
      </c>
      <c r="X47" t="str">
        <f t="shared" si="4"/>
        <v>X</v>
      </c>
      <c r="Y47">
        <f t="shared" si="0"/>
        <v>0</v>
      </c>
      <c r="Z47" t="str">
        <f t="shared" si="5"/>
        <v/>
      </c>
      <c r="AA47" s="20">
        <f t="shared" si="1"/>
        <v>8.6111111111111083E-2</v>
      </c>
      <c r="AB47">
        <f t="shared" si="6"/>
        <v>46</v>
      </c>
      <c r="AC47" s="20" t="str">
        <f t="shared" si="7"/>
        <v>11:06</v>
      </c>
      <c r="AD47" s="20" t="str">
        <f t="shared" si="8"/>
        <v>13:10</v>
      </c>
      <c r="AE47" t="str">
        <f>VLOOKUP(G47,ACtypes!A:C,3,FALSE)</f>
        <v>C</v>
      </c>
      <c r="AF47" t="str">
        <f t="shared" si="9"/>
        <v/>
      </c>
      <c r="AG47" t="str">
        <f t="shared" si="10"/>
        <v/>
      </c>
      <c r="AH47">
        <f t="shared" si="11"/>
        <v>115</v>
      </c>
    </row>
    <row r="48" spans="1:34" x14ac:dyDescent="0.3">
      <c r="A48" s="41">
        <f t="shared" si="12"/>
        <v>47</v>
      </c>
      <c r="B48" s="27">
        <v>121</v>
      </c>
      <c r="C48" s="28" t="s">
        <v>183</v>
      </c>
      <c r="D48" s="28" t="s">
        <v>13</v>
      </c>
      <c r="E48" s="28" t="s">
        <v>180</v>
      </c>
      <c r="F48" s="28" t="s">
        <v>15</v>
      </c>
      <c r="G48" s="28" t="s">
        <v>45</v>
      </c>
      <c r="H48" s="27">
        <v>0</v>
      </c>
      <c r="I48" s="27">
        <v>115</v>
      </c>
      <c r="J48" s="28" t="s">
        <v>17</v>
      </c>
      <c r="K48" s="27">
        <v>25</v>
      </c>
      <c r="L48" s="28" t="s">
        <v>22</v>
      </c>
      <c r="M48" s="27">
        <v>7.5</v>
      </c>
      <c r="O48" s="23">
        <v>53</v>
      </c>
      <c r="P48" t="str">
        <f>IF(O48&gt;0,VLOOKUP($O48,Dep!$A:$M,3),"")</f>
        <v>13:15</v>
      </c>
      <c r="Q48" t="str">
        <f>IF(O48&gt;0,VLOOKUP($O48,Dep!$A:$M,6),"")</f>
        <v>JNU</v>
      </c>
      <c r="R48" t="str">
        <f>IF(O48&gt;0,VLOOKUP($O48,Dep!$A:$M,7),"")</f>
        <v>734</v>
      </c>
      <c r="S48">
        <f>IF(O48&gt;0,VLOOKUP($O48,Dep!$A:$M,9),"")</f>
        <v>115</v>
      </c>
      <c r="T48" t="str">
        <f>IF(O48&gt;0,VLOOKUP($O48,Dep!$A:$M,10),"")</f>
        <v>NAT</v>
      </c>
      <c r="U48" t="str">
        <f>IF(O48&gt;0,VLOOKUP($O48,Dep!$A:$M,12),"")</f>
        <v>AS</v>
      </c>
      <c r="V48" t="str">
        <f t="shared" si="2"/>
        <v/>
      </c>
      <c r="W48" t="str">
        <f t="shared" si="3"/>
        <v/>
      </c>
      <c r="X48" t="str">
        <f t="shared" si="4"/>
        <v>X</v>
      </c>
      <c r="Y48">
        <f t="shared" si="0"/>
        <v>0</v>
      </c>
      <c r="Z48" t="str">
        <f t="shared" si="5"/>
        <v/>
      </c>
      <c r="AA48" s="20">
        <f t="shared" si="1"/>
        <v>8.8888888888888906E-2</v>
      </c>
      <c r="AB48">
        <f t="shared" si="6"/>
        <v>47</v>
      </c>
      <c r="AC48" s="20" t="str">
        <f t="shared" si="7"/>
        <v>11:07</v>
      </c>
      <c r="AD48" s="20" t="str">
        <f t="shared" si="8"/>
        <v>13:15</v>
      </c>
      <c r="AE48" t="str">
        <f>VLOOKUP(G48,ACtypes!A:C,3,FALSE)</f>
        <v>C</v>
      </c>
      <c r="AF48" t="str">
        <f t="shared" si="9"/>
        <v/>
      </c>
      <c r="AG48" t="str">
        <f t="shared" si="10"/>
        <v/>
      </c>
      <c r="AH48">
        <f t="shared" si="11"/>
        <v>115</v>
      </c>
    </row>
    <row r="49" spans="1:34" x14ac:dyDescent="0.3">
      <c r="A49" s="41">
        <f t="shared" si="12"/>
        <v>48</v>
      </c>
      <c r="B49" s="27">
        <v>119</v>
      </c>
      <c r="C49" s="28" t="s">
        <v>181</v>
      </c>
      <c r="D49" s="28" t="s">
        <v>13</v>
      </c>
      <c r="E49" s="28" t="s">
        <v>180</v>
      </c>
      <c r="F49" s="28" t="s">
        <v>15</v>
      </c>
      <c r="G49" s="28" t="s">
        <v>45</v>
      </c>
      <c r="H49" s="27">
        <v>0</v>
      </c>
      <c r="I49" s="27">
        <v>115</v>
      </c>
      <c r="J49" s="28" t="s">
        <v>17</v>
      </c>
      <c r="K49" s="27">
        <v>25</v>
      </c>
      <c r="L49" s="28" t="s">
        <v>22</v>
      </c>
      <c r="M49" s="27">
        <v>7.5</v>
      </c>
      <c r="O49" s="23">
        <v>54</v>
      </c>
      <c r="P49" t="str">
        <f>IF(O49&gt;0,VLOOKUP($O49,Dep!$A:$M,3),"")</f>
        <v>14:45</v>
      </c>
      <c r="Q49" t="str">
        <f>IF(O49&gt;0,VLOOKUP($O49,Dep!$A:$M,6),"")</f>
        <v>KTN</v>
      </c>
      <c r="R49" t="str">
        <f>IF(O49&gt;0,VLOOKUP($O49,Dep!$A:$M,7),"")</f>
        <v>734</v>
      </c>
      <c r="S49">
        <f>IF(O49&gt;0,VLOOKUP($O49,Dep!$A:$M,9),"")</f>
        <v>115</v>
      </c>
      <c r="T49" t="str">
        <f>IF(O49&gt;0,VLOOKUP($O49,Dep!$A:$M,10),"")</f>
        <v>NAT</v>
      </c>
      <c r="U49" t="str">
        <f>IF(O49&gt;0,VLOOKUP($O49,Dep!$A:$M,12),"")</f>
        <v>AS</v>
      </c>
      <c r="V49" t="str">
        <f t="shared" si="2"/>
        <v/>
      </c>
      <c r="W49" t="str">
        <f t="shared" si="3"/>
        <v/>
      </c>
      <c r="X49" t="str">
        <f t="shared" si="4"/>
        <v>X</v>
      </c>
      <c r="Y49">
        <f t="shared" si="0"/>
        <v>0</v>
      </c>
      <c r="Z49" t="str">
        <f t="shared" si="5"/>
        <v/>
      </c>
      <c r="AA49" s="20">
        <f t="shared" si="1"/>
        <v>0.12847222222222227</v>
      </c>
      <c r="AB49">
        <f t="shared" si="6"/>
        <v>48</v>
      </c>
      <c r="AC49" s="20" t="str">
        <f t="shared" si="7"/>
        <v>11:40</v>
      </c>
      <c r="AD49" s="20" t="str">
        <f t="shared" si="8"/>
        <v>14:45</v>
      </c>
      <c r="AE49" t="str">
        <f>VLOOKUP(G49,ACtypes!A:C,3,FALSE)</f>
        <v>C</v>
      </c>
      <c r="AF49" t="str">
        <f t="shared" si="9"/>
        <v/>
      </c>
      <c r="AG49" t="str">
        <f t="shared" si="10"/>
        <v/>
      </c>
      <c r="AH49">
        <f t="shared" si="11"/>
        <v>115</v>
      </c>
    </row>
    <row r="50" spans="1:34" x14ac:dyDescent="0.3">
      <c r="A50" s="41">
        <f t="shared" si="12"/>
        <v>49</v>
      </c>
      <c r="B50" s="27">
        <v>219</v>
      </c>
      <c r="C50" s="28" t="s">
        <v>82</v>
      </c>
      <c r="D50" s="28" t="s">
        <v>13</v>
      </c>
      <c r="E50" s="28" t="s">
        <v>279</v>
      </c>
      <c r="F50" s="28" t="s">
        <v>15</v>
      </c>
      <c r="G50" s="28" t="s">
        <v>45</v>
      </c>
      <c r="H50" s="27">
        <v>0</v>
      </c>
      <c r="I50" s="27">
        <v>115</v>
      </c>
      <c r="J50" s="28" t="s">
        <v>17</v>
      </c>
      <c r="K50" s="27">
        <v>25</v>
      </c>
      <c r="L50" s="28" t="s">
        <v>22</v>
      </c>
      <c r="M50" s="27">
        <v>7.5</v>
      </c>
      <c r="O50" s="23">
        <v>55</v>
      </c>
      <c r="P50" t="str">
        <f>IF(O50&gt;0,VLOOKUP($O50,Dep!$A:$M,3),"")</f>
        <v>14:47</v>
      </c>
      <c r="Q50" t="str">
        <f>IF(O50&gt;0,VLOOKUP($O50,Dep!$A:$M,6),"")</f>
        <v>LAX</v>
      </c>
      <c r="R50" t="str">
        <f>IF(O50&gt;0,VLOOKUP($O50,Dep!$A:$M,7),"")</f>
        <v>734</v>
      </c>
      <c r="S50">
        <f>IF(O50&gt;0,VLOOKUP($O50,Dep!$A:$M,9),"")</f>
        <v>115</v>
      </c>
      <c r="T50" t="str">
        <f>IF(O50&gt;0,VLOOKUP($O50,Dep!$A:$M,10),"")</f>
        <v>NAT</v>
      </c>
      <c r="U50" t="str">
        <f>IF(O50&gt;0,VLOOKUP($O50,Dep!$A:$M,12),"")</f>
        <v>AS</v>
      </c>
      <c r="V50" t="str">
        <f t="shared" si="2"/>
        <v/>
      </c>
      <c r="W50" t="str">
        <f t="shared" si="3"/>
        <v/>
      </c>
      <c r="X50" t="str">
        <f t="shared" si="4"/>
        <v/>
      </c>
      <c r="Y50">
        <f t="shared" si="0"/>
        <v>0</v>
      </c>
      <c r="Z50" t="str">
        <f t="shared" si="5"/>
        <v/>
      </c>
      <c r="AA50" s="20">
        <f t="shared" si="1"/>
        <v>0.11388888888888893</v>
      </c>
      <c r="AB50">
        <f t="shared" si="6"/>
        <v>49</v>
      </c>
      <c r="AC50" s="20" t="str">
        <f t="shared" si="7"/>
        <v>12:03</v>
      </c>
      <c r="AD50" s="20" t="str">
        <f t="shared" si="8"/>
        <v>14:47</v>
      </c>
      <c r="AE50" t="str">
        <f>VLOOKUP(G50,ACtypes!A:C,3,FALSE)</f>
        <v>C</v>
      </c>
      <c r="AF50" t="str">
        <f t="shared" si="9"/>
        <v/>
      </c>
      <c r="AG50" t="str">
        <f t="shared" si="10"/>
        <v/>
      </c>
      <c r="AH50">
        <f t="shared" si="11"/>
        <v>115</v>
      </c>
    </row>
    <row r="51" spans="1:34" x14ac:dyDescent="0.3">
      <c r="A51" s="41">
        <f t="shared" si="12"/>
        <v>50</v>
      </c>
      <c r="B51" s="27">
        <v>79</v>
      </c>
      <c r="C51" s="28" t="s">
        <v>137</v>
      </c>
      <c r="D51" s="28" t="s">
        <v>13</v>
      </c>
      <c r="E51" s="28" t="s">
        <v>124</v>
      </c>
      <c r="F51" s="28" t="s">
        <v>15</v>
      </c>
      <c r="G51" s="28" t="s">
        <v>45</v>
      </c>
      <c r="H51" s="27">
        <v>0</v>
      </c>
      <c r="I51" s="27">
        <v>115</v>
      </c>
      <c r="J51" s="28" t="s">
        <v>17</v>
      </c>
      <c r="K51" s="27">
        <v>25</v>
      </c>
      <c r="L51" s="28" t="s">
        <v>22</v>
      </c>
      <c r="M51" s="27">
        <v>7.5</v>
      </c>
      <c r="O51" s="23">
        <v>56</v>
      </c>
      <c r="P51" t="str">
        <f>IF(O51&gt;0,VLOOKUP($O51,Dep!$A:$M,3),"")</f>
        <v>14:49</v>
      </c>
      <c r="Q51" t="str">
        <f>IF(O51&gt;0,VLOOKUP($O51,Dep!$A:$M,6),"")</f>
        <v>ANC</v>
      </c>
      <c r="R51" t="str">
        <f>IF(O51&gt;0,VLOOKUP($O51,Dep!$A:$M,7),"")</f>
        <v>734</v>
      </c>
      <c r="S51">
        <f>IF(O51&gt;0,VLOOKUP($O51,Dep!$A:$M,9),"")</f>
        <v>115</v>
      </c>
      <c r="T51" t="str">
        <f>IF(O51&gt;0,VLOOKUP($O51,Dep!$A:$M,10),"")</f>
        <v>NAT</v>
      </c>
      <c r="U51" t="str">
        <f>IF(O51&gt;0,VLOOKUP($O51,Dep!$A:$M,12),"")</f>
        <v>AS</v>
      </c>
      <c r="V51" t="str">
        <f t="shared" si="2"/>
        <v/>
      </c>
      <c r="W51" t="str">
        <f t="shared" si="3"/>
        <v/>
      </c>
      <c r="X51" t="str">
        <f t="shared" si="4"/>
        <v>X</v>
      </c>
      <c r="Y51">
        <f t="shared" si="0"/>
        <v>0</v>
      </c>
      <c r="Z51" t="str">
        <f t="shared" si="5"/>
        <v/>
      </c>
      <c r="AA51" s="20">
        <f t="shared" si="1"/>
        <v>9.4444444444444442E-2</v>
      </c>
      <c r="AB51">
        <f t="shared" si="6"/>
        <v>50</v>
      </c>
      <c r="AC51" s="20" t="str">
        <f t="shared" si="7"/>
        <v>12:33</v>
      </c>
      <c r="AD51" s="20" t="str">
        <f t="shared" si="8"/>
        <v>14:49</v>
      </c>
      <c r="AE51" t="str">
        <f>VLOOKUP(G51,ACtypes!A:C,3,FALSE)</f>
        <v>C</v>
      </c>
      <c r="AF51" t="str">
        <f t="shared" si="9"/>
        <v/>
      </c>
      <c r="AG51" t="str">
        <f t="shared" si="10"/>
        <v/>
      </c>
      <c r="AH51">
        <f t="shared" si="11"/>
        <v>115</v>
      </c>
    </row>
    <row r="52" spans="1:34" x14ac:dyDescent="0.3">
      <c r="A52" s="41">
        <f t="shared" si="12"/>
        <v>51</v>
      </c>
      <c r="B52" s="27">
        <v>990</v>
      </c>
      <c r="C52" s="28" t="s">
        <v>491</v>
      </c>
      <c r="D52" s="28" t="s">
        <v>13</v>
      </c>
      <c r="E52" s="28" t="s">
        <v>490</v>
      </c>
      <c r="F52" s="28" t="s">
        <v>15</v>
      </c>
      <c r="G52" s="28" t="s">
        <v>45</v>
      </c>
      <c r="H52" s="27">
        <v>0</v>
      </c>
      <c r="I52" s="27">
        <v>115</v>
      </c>
      <c r="J52" s="28" t="s">
        <v>28</v>
      </c>
      <c r="K52" s="27">
        <v>25</v>
      </c>
      <c r="L52" s="28" t="s">
        <v>22</v>
      </c>
      <c r="M52" s="27">
        <v>7.5</v>
      </c>
      <c r="O52" s="23">
        <v>57</v>
      </c>
      <c r="P52" t="str">
        <f>IF(O52&gt;0,VLOOKUP($O52,Dep!$A:$M,3),"")</f>
        <v>15:16</v>
      </c>
      <c r="Q52" t="str">
        <f>IF(O52&gt;0,VLOOKUP($O52,Dep!$A:$M,6),"")</f>
        <v>SFO</v>
      </c>
      <c r="R52" t="str">
        <f>IF(O52&gt;0,VLOOKUP($O52,Dep!$A:$M,7),"")</f>
        <v>734</v>
      </c>
      <c r="S52">
        <f>IF(O52&gt;0,VLOOKUP($O52,Dep!$A:$M,9),"")</f>
        <v>115</v>
      </c>
      <c r="T52" t="str">
        <f>IF(O52&gt;0,VLOOKUP($O52,Dep!$A:$M,10),"")</f>
        <v>NAT</v>
      </c>
      <c r="U52" t="str">
        <f>IF(O52&gt;0,VLOOKUP($O52,Dep!$A:$M,12),"")</f>
        <v>AS</v>
      </c>
      <c r="V52" t="str">
        <f t="shared" si="2"/>
        <v/>
      </c>
      <c r="W52" t="str">
        <f t="shared" si="3"/>
        <v/>
      </c>
      <c r="X52" t="str">
        <f t="shared" si="4"/>
        <v>X</v>
      </c>
      <c r="Y52">
        <f t="shared" si="0"/>
        <v>0</v>
      </c>
      <c r="Z52" t="str">
        <f t="shared" si="5"/>
        <v/>
      </c>
      <c r="AA52" s="20">
        <f t="shared" si="1"/>
        <v>6.6666666666666763E-2</v>
      </c>
      <c r="AB52">
        <f t="shared" si="6"/>
        <v>51</v>
      </c>
      <c r="AC52" s="20" t="str">
        <f t="shared" si="7"/>
        <v>13:40</v>
      </c>
      <c r="AD52" s="20" t="str">
        <f t="shared" si="8"/>
        <v>15:16</v>
      </c>
      <c r="AE52" t="str">
        <f>VLOOKUP(G52,ACtypes!A:C,3,FALSE)</f>
        <v>C</v>
      </c>
      <c r="AF52">
        <f t="shared" si="9"/>
        <v>1</v>
      </c>
      <c r="AG52" t="str">
        <f t="shared" si="10"/>
        <v/>
      </c>
      <c r="AH52">
        <f t="shared" si="11"/>
        <v>115</v>
      </c>
    </row>
    <row r="53" spans="1:34" x14ac:dyDescent="0.3">
      <c r="A53" s="41">
        <f t="shared" si="12"/>
        <v>52</v>
      </c>
      <c r="B53" s="27">
        <v>268</v>
      </c>
      <c r="C53" s="28" t="s">
        <v>344</v>
      </c>
      <c r="D53" s="28" t="s">
        <v>13</v>
      </c>
      <c r="E53" s="28" t="s">
        <v>335</v>
      </c>
      <c r="F53" s="28" t="s">
        <v>15</v>
      </c>
      <c r="G53" s="28" t="s">
        <v>45</v>
      </c>
      <c r="H53" s="27">
        <v>0</v>
      </c>
      <c r="I53" s="27">
        <v>115</v>
      </c>
      <c r="J53" s="28" t="s">
        <v>17</v>
      </c>
      <c r="K53" s="27">
        <v>25</v>
      </c>
      <c r="L53" s="28" t="s">
        <v>22</v>
      </c>
      <c r="M53" s="27">
        <v>7.5</v>
      </c>
      <c r="O53" s="23">
        <v>58</v>
      </c>
      <c r="P53" t="str">
        <f>IF(O53&gt;0,VLOOKUP($O53,Dep!$A:$M,3),"")</f>
        <v>15:21</v>
      </c>
      <c r="Q53" t="str">
        <f>IF(O53&gt;0,VLOOKUP($O53,Dep!$A:$M,6),"")</f>
        <v>SAN</v>
      </c>
      <c r="R53" t="str">
        <f>IF(O53&gt;0,VLOOKUP($O53,Dep!$A:$M,7),"")</f>
        <v>734</v>
      </c>
      <c r="S53">
        <f>IF(O53&gt;0,VLOOKUP($O53,Dep!$A:$M,9),"")</f>
        <v>115</v>
      </c>
      <c r="T53" t="str">
        <f>IF(O53&gt;0,VLOOKUP($O53,Dep!$A:$M,10),"")</f>
        <v>NAT</v>
      </c>
      <c r="U53" t="str">
        <f>IF(O53&gt;0,VLOOKUP($O53,Dep!$A:$M,12),"")</f>
        <v>AS</v>
      </c>
      <c r="V53" t="str">
        <f t="shared" si="2"/>
        <v/>
      </c>
      <c r="W53" t="str">
        <f t="shared" si="3"/>
        <v/>
      </c>
      <c r="X53" t="str">
        <f t="shared" si="4"/>
        <v>X</v>
      </c>
      <c r="Y53">
        <f t="shared" si="0"/>
        <v>0</v>
      </c>
      <c r="Z53" t="str">
        <f t="shared" si="5"/>
        <v/>
      </c>
      <c r="AA53" s="20">
        <f t="shared" si="1"/>
        <v>5.4166666666666585E-2</v>
      </c>
      <c r="AB53">
        <f t="shared" si="6"/>
        <v>52</v>
      </c>
      <c r="AC53" s="20" t="str">
        <f t="shared" si="7"/>
        <v>14:03</v>
      </c>
      <c r="AD53" s="20" t="str">
        <f t="shared" si="8"/>
        <v>15:21</v>
      </c>
      <c r="AE53" t="str">
        <f>VLOOKUP(G53,ACtypes!A:C,3,FALSE)</f>
        <v>C</v>
      </c>
      <c r="AF53" t="str">
        <f t="shared" si="9"/>
        <v/>
      </c>
      <c r="AG53" t="str">
        <f t="shared" si="10"/>
        <v/>
      </c>
      <c r="AH53">
        <f t="shared" si="11"/>
        <v>115</v>
      </c>
    </row>
    <row r="54" spans="1:34" x14ac:dyDescent="0.3">
      <c r="A54" s="41">
        <f t="shared" si="12"/>
        <v>53</v>
      </c>
      <c r="B54" s="27">
        <v>939</v>
      </c>
      <c r="C54" s="28" t="s">
        <v>514</v>
      </c>
      <c r="D54" s="28" t="s">
        <v>13</v>
      </c>
      <c r="E54" s="28" t="s">
        <v>511</v>
      </c>
      <c r="F54" s="28" t="s">
        <v>15</v>
      </c>
      <c r="G54" s="28" t="s">
        <v>45</v>
      </c>
      <c r="H54" s="27">
        <v>0</v>
      </c>
      <c r="I54" s="27">
        <v>115</v>
      </c>
      <c r="J54" s="28" t="s">
        <v>17</v>
      </c>
      <c r="K54" s="27">
        <v>25</v>
      </c>
      <c r="L54" s="28" t="s">
        <v>22</v>
      </c>
      <c r="M54" s="27">
        <v>7.5</v>
      </c>
      <c r="O54" s="23">
        <v>59</v>
      </c>
      <c r="P54" t="str">
        <f>IF(O54&gt;0,VLOOKUP($O54,Dep!$A:$M,3),"")</f>
        <v>15:24</v>
      </c>
      <c r="Q54" t="str">
        <f>IF(O54&gt;0,VLOOKUP($O54,Dep!$A:$M,6),"")</f>
        <v>ONT</v>
      </c>
      <c r="R54" t="str">
        <f>IF(O54&gt;0,VLOOKUP($O54,Dep!$A:$M,7),"")</f>
        <v>734</v>
      </c>
      <c r="S54">
        <f>IF(O54&gt;0,VLOOKUP($O54,Dep!$A:$M,9),"")</f>
        <v>115</v>
      </c>
      <c r="T54" t="str">
        <f>IF(O54&gt;0,VLOOKUP($O54,Dep!$A:$M,10),"")</f>
        <v>NAT</v>
      </c>
      <c r="U54" t="str">
        <f>IF(O54&gt;0,VLOOKUP($O54,Dep!$A:$M,12),"")</f>
        <v>AS</v>
      </c>
      <c r="V54" t="str">
        <f t="shared" si="2"/>
        <v/>
      </c>
      <c r="W54" t="str">
        <f t="shared" si="3"/>
        <v/>
      </c>
      <c r="X54" t="str">
        <f t="shared" si="4"/>
        <v>X</v>
      </c>
      <c r="Y54">
        <f t="shared" si="0"/>
        <v>0</v>
      </c>
      <c r="Z54" t="str">
        <f t="shared" si="5"/>
        <v/>
      </c>
      <c r="AA54" s="20">
        <f t="shared" si="1"/>
        <v>5.208333333333337E-2</v>
      </c>
      <c r="AB54">
        <f t="shared" si="6"/>
        <v>53</v>
      </c>
      <c r="AC54" s="20" t="str">
        <f t="shared" si="7"/>
        <v>14:09</v>
      </c>
      <c r="AD54" s="20" t="str">
        <f t="shared" si="8"/>
        <v>15:24</v>
      </c>
      <c r="AE54" t="str">
        <f>VLOOKUP(G54,ACtypes!A:C,3,FALSE)</f>
        <v>C</v>
      </c>
      <c r="AF54" t="str">
        <f t="shared" si="9"/>
        <v/>
      </c>
      <c r="AG54" t="str">
        <f t="shared" si="10"/>
        <v/>
      </c>
      <c r="AH54">
        <f t="shared" si="11"/>
        <v>115</v>
      </c>
    </row>
    <row r="55" spans="1:34" x14ac:dyDescent="0.3">
      <c r="A55" s="41">
        <f t="shared" si="12"/>
        <v>54</v>
      </c>
      <c r="B55" s="27">
        <v>14</v>
      </c>
      <c r="C55" s="28" t="s">
        <v>46</v>
      </c>
      <c r="D55" s="28" t="s">
        <v>13</v>
      </c>
      <c r="E55" s="28" t="s">
        <v>31</v>
      </c>
      <c r="F55" s="28" t="s">
        <v>15</v>
      </c>
      <c r="G55" s="28" t="s">
        <v>45</v>
      </c>
      <c r="H55" s="27">
        <v>0</v>
      </c>
      <c r="I55" s="27">
        <v>115</v>
      </c>
      <c r="J55" s="28" t="s">
        <v>17</v>
      </c>
      <c r="K55" s="27">
        <v>25</v>
      </c>
      <c r="L55" s="28" t="s">
        <v>22</v>
      </c>
      <c r="M55" s="27">
        <v>7.5</v>
      </c>
      <c r="O55" s="23">
        <v>60</v>
      </c>
      <c r="P55" t="str">
        <f>IF(O55&gt;0,VLOOKUP($O55,Dep!$A:$M,3),"")</f>
        <v>15:31</v>
      </c>
      <c r="Q55" t="str">
        <f>IF(O55&gt;0,VLOOKUP($O55,Dep!$A:$M,6),"")</f>
        <v>OAK</v>
      </c>
      <c r="R55" t="str">
        <f>IF(O55&gt;0,VLOOKUP($O55,Dep!$A:$M,7),"")</f>
        <v>734</v>
      </c>
      <c r="S55">
        <f>IF(O55&gt;0,VLOOKUP($O55,Dep!$A:$M,9),"")</f>
        <v>115</v>
      </c>
      <c r="T55" t="str">
        <f>IF(O55&gt;0,VLOOKUP($O55,Dep!$A:$M,10),"")</f>
        <v>NAT</v>
      </c>
      <c r="U55" t="str">
        <f>IF(O55&gt;0,VLOOKUP($O55,Dep!$A:$M,12),"")</f>
        <v>AS</v>
      </c>
      <c r="V55" t="str">
        <f t="shared" si="2"/>
        <v/>
      </c>
      <c r="W55" t="str">
        <f t="shared" si="3"/>
        <v/>
      </c>
      <c r="X55" t="str">
        <f t="shared" si="4"/>
        <v>X</v>
      </c>
      <c r="Y55">
        <f t="shared" si="0"/>
        <v>0</v>
      </c>
      <c r="Z55" t="str">
        <f t="shared" si="5"/>
        <v/>
      </c>
      <c r="AA55" s="20">
        <f t="shared" si="1"/>
        <v>3.9583333333333415E-2</v>
      </c>
      <c r="AB55">
        <f t="shared" si="6"/>
        <v>54</v>
      </c>
      <c r="AC55" s="20" t="str">
        <f t="shared" si="7"/>
        <v>14:34</v>
      </c>
      <c r="AD55" s="20" t="str">
        <f t="shared" si="8"/>
        <v>15:31</v>
      </c>
      <c r="AE55" t="str">
        <f>VLOOKUP(G55,ACtypes!A:C,3,FALSE)</f>
        <v>C</v>
      </c>
      <c r="AF55" t="str">
        <f t="shared" si="9"/>
        <v/>
      </c>
      <c r="AG55" t="str">
        <f t="shared" si="10"/>
        <v/>
      </c>
      <c r="AH55">
        <f t="shared" si="11"/>
        <v>115</v>
      </c>
    </row>
    <row r="56" spans="1:34" x14ac:dyDescent="0.3">
      <c r="A56" s="41">
        <f t="shared" si="12"/>
        <v>55</v>
      </c>
      <c r="B56" s="27">
        <v>908</v>
      </c>
      <c r="C56" s="28" t="s">
        <v>460</v>
      </c>
      <c r="D56" s="28" t="s">
        <v>13</v>
      </c>
      <c r="E56" s="28" t="s">
        <v>455</v>
      </c>
      <c r="F56" s="28" t="s">
        <v>15</v>
      </c>
      <c r="G56" s="28" t="s">
        <v>45</v>
      </c>
      <c r="H56" s="27">
        <v>0</v>
      </c>
      <c r="I56" s="27">
        <v>115</v>
      </c>
      <c r="J56" s="28" t="s">
        <v>17</v>
      </c>
      <c r="K56" s="27">
        <v>25</v>
      </c>
      <c r="L56" s="28" t="s">
        <v>22</v>
      </c>
      <c r="M56" s="27">
        <v>7.5</v>
      </c>
      <c r="O56" s="23">
        <v>61</v>
      </c>
      <c r="P56" t="str">
        <f>IF(O56&gt;0,VLOOKUP($O56,Dep!$A:$M,3),"")</f>
        <v>15:40</v>
      </c>
      <c r="Q56" t="str">
        <f>IF(O56&gt;0,VLOOKUP($O56,Dep!$A:$M,6),"")</f>
        <v>ANC</v>
      </c>
      <c r="R56" t="str">
        <f>IF(O56&gt;0,VLOOKUP($O56,Dep!$A:$M,7),"")</f>
        <v>734</v>
      </c>
      <c r="S56">
        <f>IF(O56&gt;0,VLOOKUP($O56,Dep!$A:$M,9),"")</f>
        <v>115</v>
      </c>
      <c r="T56" t="str">
        <f>IF(O56&gt;0,VLOOKUP($O56,Dep!$A:$M,10),"")</f>
        <v>NAT</v>
      </c>
      <c r="U56" t="str">
        <f>IF(O56&gt;0,VLOOKUP($O56,Dep!$A:$M,12),"")</f>
        <v>AS</v>
      </c>
      <c r="V56" t="str">
        <f t="shared" si="2"/>
        <v/>
      </c>
      <c r="W56" t="str">
        <f t="shared" si="3"/>
        <v/>
      </c>
      <c r="X56" t="str">
        <f t="shared" si="4"/>
        <v>X</v>
      </c>
      <c r="Y56">
        <f t="shared" si="0"/>
        <v>0</v>
      </c>
      <c r="Z56" t="str">
        <f t="shared" si="5"/>
        <v/>
      </c>
      <c r="AA56" s="20">
        <f t="shared" si="1"/>
        <v>4.0972222222222188E-2</v>
      </c>
      <c r="AB56">
        <f t="shared" si="6"/>
        <v>55</v>
      </c>
      <c r="AC56" s="20" t="str">
        <f t="shared" si="7"/>
        <v>14:41</v>
      </c>
      <c r="AD56" s="20" t="str">
        <f t="shared" si="8"/>
        <v>15:40</v>
      </c>
      <c r="AE56" t="str">
        <f>VLOOKUP(G56,ACtypes!A:C,3,FALSE)</f>
        <v>C</v>
      </c>
      <c r="AF56" t="str">
        <f t="shared" si="9"/>
        <v/>
      </c>
      <c r="AG56" t="str">
        <f t="shared" si="10"/>
        <v/>
      </c>
      <c r="AH56">
        <f t="shared" si="11"/>
        <v>115</v>
      </c>
    </row>
    <row r="57" spans="1:34" x14ac:dyDescent="0.3">
      <c r="A57" s="41">
        <f t="shared" si="12"/>
        <v>56</v>
      </c>
      <c r="B57" s="27">
        <v>46</v>
      </c>
      <c r="C57" s="28" t="s">
        <v>89</v>
      </c>
      <c r="D57" s="28" t="s">
        <v>13</v>
      </c>
      <c r="E57" s="28" t="s">
        <v>86</v>
      </c>
      <c r="F57" s="28" t="s">
        <v>15</v>
      </c>
      <c r="G57" s="28" t="s">
        <v>45</v>
      </c>
      <c r="H57" s="27">
        <v>0</v>
      </c>
      <c r="I57" s="27">
        <v>115</v>
      </c>
      <c r="J57" s="28" t="s">
        <v>17</v>
      </c>
      <c r="K57" s="27">
        <v>25</v>
      </c>
      <c r="L57" s="28" t="s">
        <v>22</v>
      </c>
      <c r="M57" s="27">
        <v>7.5</v>
      </c>
      <c r="O57" s="23">
        <v>62</v>
      </c>
      <c r="P57" t="str">
        <f>IF(O57&gt;0,VLOOKUP($O57,Dep!$A:$M,3),"")</f>
        <v>15:55</v>
      </c>
      <c r="Q57" t="str">
        <f>IF(O57&gt;0,VLOOKUP($O57,Dep!$A:$M,6),"")</f>
        <v>KTN</v>
      </c>
      <c r="R57" t="str">
        <f>IF(O57&gt;0,VLOOKUP($O57,Dep!$A:$M,7),"")</f>
        <v>734</v>
      </c>
      <c r="S57">
        <f>IF(O57&gt;0,VLOOKUP($O57,Dep!$A:$M,9),"")</f>
        <v>115</v>
      </c>
      <c r="T57" t="str">
        <f>IF(O57&gt;0,VLOOKUP($O57,Dep!$A:$M,10),"")</f>
        <v>NAT</v>
      </c>
      <c r="U57" t="str">
        <f>IF(O57&gt;0,VLOOKUP($O57,Dep!$A:$M,12),"")</f>
        <v>AS</v>
      </c>
      <c r="V57" t="str">
        <f t="shared" si="2"/>
        <v/>
      </c>
      <c r="W57" t="str">
        <f t="shared" si="3"/>
        <v/>
      </c>
      <c r="X57" t="str">
        <f t="shared" si="4"/>
        <v>X</v>
      </c>
      <c r="Y57">
        <f t="shared" si="0"/>
        <v>0</v>
      </c>
      <c r="Z57" t="str">
        <f t="shared" si="5"/>
        <v/>
      </c>
      <c r="AA57" s="20">
        <f t="shared" si="1"/>
        <v>4.5833333333333282E-2</v>
      </c>
      <c r="AB57">
        <f t="shared" si="6"/>
        <v>56</v>
      </c>
      <c r="AC57" s="20" t="str">
        <f t="shared" si="7"/>
        <v>14:49</v>
      </c>
      <c r="AD57" s="20" t="str">
        <f t="shared" si="8"/>
        <v>15:55</v>
      </c>
      <c r="AE57" t="str">
        <f>VLOOKUP(G57,ACtypes!A:C,3,FALSE)</f>
        <v>C</v>
      </c>
      <c r="AF57" t="str">
        <f t="shared" si="9"/>
        <v/>
      </c>
      <c r="AG57" t="str">
        <f t="shared" si="10"/>
        <v/>
      </c>
      <c r="AH57">
        <f t="shared" si="11"/>
        <v>115</v>
      </c>
    </row>
    <row r="58" spans="1:34" x14ac:dyDescent="0.3">
      <c r="A58" s="41">
        <f t="shared" si="12"/>
        <v>57</v>
      </c>
      <c r="B58" s="27">
        <v>190</v>
      </c>
      <c r="C58" s="28" t="s">
        <v>89</v>
      </c>
      <c r="D58" s="28" t="s">
        <v>13</v>
      </c>
      <c r="E58" s="28" t="s">
        <v>260</v>
      </c>
      <c r="F58" s="28" t="s">
        <v>15</v>
      </c>
      <c r="G58" s="28" t="s">
        <v>45</v>
      </c>
      <c r="H58" s="27">
        <v>0</v>
      </c>
      <c r="I58" s="27">
        <v>115</v>
      </c>
      <c r="J58" s="28" t="s">
        <v>17</v>
      </c>
      <c r="K58" s="27">
        <v>25</v>
      </c>
      <c r="L58" s="28" t="s">
        <v>22</v>
      </c>
      <c r="M58" s="27">
        <v>7.5</v>
      </c>
      <c r="O58" s="23">
        <v>63</v>
      </c>
      <c r="P58" t="str">
        <f>IF(O58&gt;0,VLOOKUP($O58,Dep!$A:$M,3),"")</f>
        <v>16:15</v>
      </c>
      <c r="Q58" t="str">
        <f>IF(O58&gt;0,VLOOKUP($O58,Dep!$A:$M,6),"")</f>
        <v>BOI</v>
      </c>
      <c r="R58" t="str">
        <f>IF(O58&gt;0,VLOOKUP($O58,Dep!$A:$M,7),"")</f>
        <v>734</v>
      </c>
      <c r="S58">
        <f>IF(O58&gt;0,VLOOKUP($O58,Dep!$A:$M,9),"")</f>
        <v>115</v>
      </c>
      <c r="T58" t="str">
        <f>IF(O58&gt;0,VLOOKUP($O58,Dep!$A:$M,10),"")</f>
        <v>NAT</v>
      </c>
      <c r="U58" t="str">
        <f>IF(O58&gt;0,VLOOKUP($O58,Dep!$A:$M,12),"")</f>
        <v>AS</v>
      </c>
      <c r="V58" t="str">
        <f t="shared" si="2"/>
        <v/>
      </c>
      <c r="W58" t="str">
        <f t="shared" si="3"/>
        <v/>
      </c>
      <c r="X58" t="str">
        <f t="shared" si="4"/>
        <v>X</v>
      </c>
      <c r="Y58">
        <f t="shared" si="0"/>
        <v>0</v>
      </c>
      <c r="Z58" t="str">
        <f t="shared" si="5"/>
        <v/>
      </c>
      <c r="AA58" s="20">
        <f t="shared" si="1"/>
        <v>5.9722222222222232E-2</v>
      </c>
      <c r="AB58">
        <f t="shared" si="6"/>
        <v>57</v>
      </c>
      <c r="AC58" s="20" t="str">
        <f t="shared" si="7"/>
        <v>14:49</v>
      </c>
      <c r="AD58" s="20" t="str">
        <f t="shared" si="8"/>
        <v>16:15</v>
      </c>
      <c r="AE58" t="str">
        <f>VLOOKUP(G58,ACtypes!A:C,3,FALSE)</f>
        <v>C</v>
      </c>
      <c r="AF58" t="str">
        <f t="shared" si="9"/>
        <v/>
      </c>
      <c r="AG58" t="str">
        <f t="shared" si="10"/>
        <v/>
      </c>
      <c r="AH58">
        <f t="shared" si="11"/>
        <v>115</v>
      </c>
    </row>
    <row r="59" spans="1:34" x14ac:dyDescent="0.3">
      <c r="A59" s="41">
        <f t="shared" si="12"/>
        <v>58</v>
      </c>
      <c r="B59" s="27">
        <v>940</v>
      </c>
      <c r="C59" s="28" t="s">
        <v>515</v>
      </c>
      <c r="D59" s="28" t="s">
        <v>13</v>
      </c>
      <c r="E59" s="28" t="s">
        <v>511</v>
      </c>
      <c r="F59" s="28" t="s">
        <v>15</v>
      </c>
      <c r="G59" s="28" t="s">
        <v>45</v>
      </c>
      <c r="H59" s="27">
        <v>0</v>
      </c>
      <c r="I59" s="27">
        <v>115</v>
      </c>
      <c r="J59" s="28" t="s">
        <v>17</v>
      </c>
      <c r="K59" s="27">
        <v>25</v>
      </c>
      <c r="L59" s="28" t="s">
        <v>22</v>
      </c>
      <c r="M59" s="27">
        <v>7.5</v>
      </c>
      <c r="O59" s="23">
        <v>64</v>
      </c>
      <c r="P59" t="str">
        <f>IF(O59&gt;0,VLOOKUP($O59,Dep!$A:$M,3),"")</f>
        <v>16:45</v>
      </c>
      <c r="Q59" t="str">
        <f>IF(O59&gt;0,VLOOKUP($O59,Dep!$A:$M,6),"")</f>
        <v>ANC</v>
      </c>
      <c r="R59" t="str">
        <f>IF(O59&gt;0,VLOOKUP($O59,Dep!$A:$M,7),"")</f>
        <v>734</v>
      </c>
      <c r="S59">
        <f>IF(O59&gt;0,VLOOKUP($O59,Dep!$A:$M,9),"")</f>
        <v>115</v>
      </c>
      <c r="T59" t="str">
        <f>IF(O59&gt;0,VLOOKUP($O59,Dep!$A:$M,10),"")</f>
        <v>NAT</v>
      </c>
      <c r="U59" t="str">
        <f>IF(O59&gt;0,VLOOKUP($O59,Dep!$A:$M,12),"")</f>
        <v>AS</v>
      </c>
      <c r="V59" t="str">
        <f t="shared" si="2"/>
        <v/>
      </c>
      <c r="W59" t="str">
        <f t="shared" si="3"/>
        <v/>
      </c>
      <c r="X59" t="str">
        <f t="shared" si="4"/>
        <v>X</v>
      </c>
      <c r="Y59">
        <f t="shared" si="0"/>
        <v>0</v>
      </c>
      <c r="Z59" t="str">
        <f t="shared" si="5"/>
        <v/>
      </c>
      <c r="AA59" s="20">
        <f t="shared" si="1"/>
        <v>6.8055555555555536E-2</v>
      </c>
      <c r="AB59">
        <f t="shared" si="6"/>
        <v>58</v>
      </c>
      <c r="AC59" s="20" t="str">
        <f t="shared" si="7"/>
        <v>15:07</v>
      </c>
      <c r="AD59" s="20" t="str">
        <f t="shared" si="8"/>
        <v>16:45</v>
      </c>
      <c r="AE59" t="str">
        <f>VLOOKUP(G59,ACtypes!A:C,3,FALSE)</f>
        <v>C</v>
      </c>
      <c r="AF59" t="str">
        <f t="shared" si="9"/>
        <v/>
      </c>
      <c r="AG59" t="str">
        <f t="shared" si="10"/>
        <v/>
      </c>
      <c r="AH59">
        <f t="shared" si="11"/>
        <v>115</v>
      </c>
    </row>
    <row r="60" spans="1:34" x14ac:dyDescent="0.3">
      <c r="A60" s="41">
        <f t="shared" si="12"/>
        <v>59</v>
      </c>
      <c r="B60" s="27">
        <v>13</v>
      </c>
      <c r="C60" s="28" t="s">
        <v>44</v>
      </c>
      <c r="D60" s="28" t="s">
        <v>13</v>
      </c>
      <c r="E60" s="28" t="s">
        <v>31</v>
      </c>
      <c r="F60" s="28" t="s">
        <v>15</v>
      </c>
      <c r="G60" s="28" t="s">
        <v>45</v>
      </c>
      <c r="H60" s="27">
        <v>0</v>
      </c>
      <c r="I60" s="27">
        <v>115</v>
      </c>
      <c r="J60" s="28" t="s">
        <v>17</v>
      </c>
      <c r="K60" s="27">
        <v>25</v>
      </c>
      <c r="L60" s="28" t="s">
        <v>22</v>
      </c>
      <c r="M60" s="27">
        <v>7.5</v>
      </c>
      <c r="O60" s="23">
        <v>65</v>
      </c>
      <c r="P60" t="str">
        <f>IF(O60&gt;0,VLOOKUP($O60,Dep!$A:$M,3),"")</f>
        <v>17:30</v>
      </c>
      <c r="Q60" t="str">
        <f>IF(O60&gt;0,VLOOKUP($O60,Dep!$A:$M,6),"")</f>
        <v>SNA</v>
      </c>
      <c r="R60" t="str">
        <f>IF(O60&gt;0,VLOOKUP($O60,Dep!$A:$M,7),"")</f>
        <v>734</v>
      </c>
      <c r="S60">
        <f>IF(O60&gt;0,VLOOKUP($O60,Dep!$A:$M,9),"")</f>
        <v>115</v>
      </c>
      <c r="T60" t="str">
        <f>IF(O60&gt;0,VLOOKUP($O60,Dep!$A:$M,10),"")</f>
        <v>NAT</v>
      </c>
      <c r="U60" t="str">
        <f>IF(O60&gt;0,VLOOKUP($O60,Dep!$A:$M,12),"")</f>
        <v>AS</v>
      </c>
      <c r="V60" t="str">
        <f t="shared" si="2"/>
        <v/>
      </c>
      <c r="W60" t="str">
        <f t="shared" si="3"/>
        <v/>
      </c>
      <c r="X60" t="str">
        <f t="shared" si="4"/>
        <v>X</v>
      </c>
      <c r="Y60">
        <f t="shared" si="0"/>
        <v>0</v>
      </c>
      <c r="Z60" t="str">
        <f t="shared" si="5"/>
        <v/>
      </c>
      <c r="AA60" s="20">
        <f t="shared" si="1"/>
        <v>8.4027777777777812E-2</v>
      </c>
      <c r="AB60">
        <f t="shared" si="6"/>
        <v>59</v>
      </c>
      <c r="AC60" s="20" t="str">
        <f t="shared" si="7"/>
        <v>15:29</v>
      </c>
      <c r="AD60" s="20" t="str">
        <f t="shared" si="8"/>
        <v>17:30</v>
      </c>
      <c r="AE60" t="str">
        <f>VLOOKUP(G60,ACtypes!A:C,3,FALSE)</f>
        <v>C</v>
      </c>
      <c r="AF60" t="str">
        <f t="shared" si="9"/>
        <v/>
      </c>
      <c r="AG60" t="str">
        <f t="shared" si="10"/>
        <v/>
      </c>
      <c r="AH60">
        <f t="shared" si="11"/>
        <v>115</v>
      </c>
    </row>
    <row r="61" spans="1:34" x14ac:dyDescent="0.3">
      <c r="A61" s="41">
        <f t="shared" si="12"/>
        <v>60</v>
      </c>
      <c r="B61" s="27">
        <v>191</v>
      </c>
      <c r="C61" s="28" t="s">
        <v>262</v>
      </c>
      <c r="D61" s="28" t="s">
        <v>13</v>
      </c>
      <c r="E61" s="28" t="s">
        <v>260</v>
      </c>
      <c r="F61" s="28" t="s">
        <v>15</v>
      </c>
      <c r="G61" s="28" t="s">
        <v>45</v>
      </c>
      <c r="H61" s="27">
        <v>0</v>
      </c>
      <c r="I61" s="27">
        <v>115</v>
      </c>
      <c r="J61" s="28" t="s">
        <v>17</v>
      </c>
      <c r="K61" s="27">
        <v>25</v>
      </c>
      <c r="L61" s="28" t="s">
        <v>22</v>
      </c>
      <c r="M61" s="27">
        <v>7.5</v>
      </c>
      <c r="O61" s="23">
        <v>66</v>
      </c>
      <c r="P61" t="str">
        <f>IF(O61&gt;0,VLOOKUP($O61,Dep!$A:$M,3),"")</f>
        <v>17:49</v>
      </c>
      <c r="Q61" t="str">
        <f>IF(O61&gt;0,VLOOKUP($O61,Dep!$A:$M,6),"")</f>
        <v>LAX</v>
      </c>
      <c r="R61" t="str">
        <f>IF(O61&gt;0,VLOOKUP($O61,Dep!$A:$M,7),"")</f>
        <v>734</v>
      </c>
      <c r="S61">
        <f>IF(O61&gt;0,VLOOKUP($O61,Dep!$A:$M,9),"")</f>
        <v>115</v>
      </c>
      <c r="T61" t="str">
        <f>IF(O61&gt;0,VLOOKUP($O61,Dep!$A:$M,10),"")</f>
        <v>NAT</v>
      </c>
      <c r="U61" t="str">
        <f>IF(O61&gt;0,VLOOKUP($O61,Dep!$A:$M,12),"")</f>
        <v>AS</v>
      </c>
      <c r="V61" t="str">
        <f t="shared" si="2"/>
        <v/>
      </c>
      <c r="W61" t="str">
        <f t="shared" si="3"/>
        <v/>
      </c>
      <c r="X61" t="str">
        <f t="shared" si="4"/>
        <v>X</v>
      </c>
      <c r="Y61">
        <f t="shared" si="0"/>
        <v>0</v>
      </c>
      <c r="Z61" t="str">
        <f t="shared" si="5"/>
        <v/>
      </c>
      <c r="AA61" s="20">
        <f t="shared" si="1"/>
        <v>8.4722222222222254E-2</v>
      </c>
      <c r="AB61">
        <f t="shared" si="6"/>
        <v>60</v>
      </c>
      <c r="AC61" s="20" t="str">
        <f t="shared" si="7"/>
        <v>15:47</v>
      </c>
      <c r="AD61" s="20" t="str">
        <f t="shared" si="8"/>
        <v>17:49</v>
      </c>
      <c r="AE61" t="str">
        <f>VLOOKUP(G61,ACtypes!A:C,3,FALSE)</f>
        <v>C</v>
      </c>
      <c r="AF61" t="str">
        <f t="shared" si="9"/>
        <v/>
      </c>
      <c r="AG61" t="str">
        <f t="shared" si="10"/>
        <v/>
      </c>
      <c r="AH61">
        <f t="shared" si="11"/>
        <v>115</v>
      </c>
    </row>
    <row r="62" spans="1:34" x14ac:dyDescent="0.3">
      <c r="A62" s="41">
        <f t="shared" si="12"/>
        <v>61</v>
      </c>
      <c r="B62" s="27">
        <v>267</v>
      </c>
      <c r="C62" s="28" t="s">
        <v>104</v>
      </c>
      <c r="D62" s="28" t="s">
        <v>13</v>
      </c>
      <c r="E62" s="28" t="s">
        <v>335</v>
      </c>
      <c r="F62" s="28" t="s">
        <v>15</v>
      </c>
      <c r="G62" s="28" t="s">
        <v>45</v>
      </c>
      <c r="H62" s="27">
        <v>0</v>
      </c>
      <c r="I62" s="27">
        <v>115</v>
      </c>
      <c r="J62" s="28" t="s">
        <v>17</v>
      </c>
      <c r="K62" s="27">
        <v>25</v>
      </c>
      <c r="L62" s="28" t="s">
        <v>22</v>
      </c>
      <c r="M62" s="27">
        <v>7.5</v>
      </c>
      <c r="O62" s="23">
        <v>67</v>
      </c>
      <c r="P62" t="str">
        <f>IF(O62&gt;0,VLOOKUP($O62,Dep!$A:$M,3),"")</f>
        <v>17:55</v>
      </c>
      <c r="Q62" t="str">
        <f>IF(O62&gt;0,VLOOKUP($O62,Dep!$A:$M,6),"")</f>
        <v>SFO</v>
      </c>
      <c r="R62" t="str">
        <f>IF(O62&gt;0,VLOOKUP($O62,Dep!$A:$M,7),"")</f>
        <v>734</v>
      </c>
      <c r="S62">
        <f>IF(O62&gt;0,VLOOKUP($O62,Dep!$A:$M,9),"")</f>
        <v>115</v>
      </c>
      <c r="T62" t="str">
        <f>IF(O62&gt;0,VLOOKUP($O62,Dep!$A:$M,10),"")</f>
        <v>NAT</v>
      </c>
      <c r="U62" t="str">
        <f>IF(O62&gt;0,VLOOKUP($O62,Dep!$A:$M,12),"")</f>
        <v>AS</v>
      </c>
      <c r="V62" t="str">
        <f t="shared" si="2"/>
        <v/>
      </c>
      <c r="W62" t="str">
        <f t="shared" si="3"/>
        <v/>
      </c>
      <c r="X62" t="str">
        <f t="shared" si="4"/>
        <v>X</v>
      </c>
      <c r="Y62">
        <f t="shared" si="0"/>
        <v>0</v>
      </c>
      <c r="Z62" t="str">
        <f t="shared" si="5"/>
        <v/>
      </c>
      <c r="AA62" s="20">
        <f t="shared" si="1"/>
        <v>4.5138888888888951E-2</v>
      </c>
      <c r="AB62">
        <f t="shared" si="6"/>
        <v>61</v>
      </c>
      <c r="AC62" s="20" t="str">
        <f t="shared" si="7"/>
        <v>16:50</v>
      </c>
      <c r="AD62" s="20" t="str">
        <f t="shared" si="8"/>
        <v>17:55</v>
      </c>
      <c r="AE62" t="str">
        <f>VLOOKUP(G62,ACtypes!A:C,3,FALSE)</f>
        <v>C</v>
      </c>
      <c r="AF62" t="str">
        <f t="shared" si="9"/>
        <v/>
      </c>
      <c r="AG62" t="str">
        <f t="shared" si="10"/>
        <v/>
      </c>
      <c r="AH62">
        <f t="shared" si="11"/>
        <v>115</v>
      </c>
    </row>
    <row r="63" spans="1:34" x14ac:dyDescent="0.3">
      <c r="A63" s="41">
        <f t="shared" si="12"/>
        <v>62</v>
      </c>
      <c r="B63" s="27">
        <v>900</v>
      </c>
      <c r="C63" s="28" t="s">
        <v>272</v>
      </c>
      <c r="D63" s="28" t="s">
        <v>13</v>
      </c>
      <c r="E63" s="28" t="s">
        <v>453</v>
      </c>
      <c r="F63" s="28" t="s">
        <v>15</v>
      </c>
      <c r="G63" s="28" t="s">
        <v>45</v>
      </c>
      <c r="H63" s="27">
        <v>0</v>
      </c>
      <c r="I63" s="27">
        <v>115</v>
      </c>
      <c r="J63" s="28" t="s">
        <v>17</v>
      </c>
      <c r="K63" s="27">
        <v>25</v>
      </c>
      <c r="L63" s="28" t="s">
        <v>22</v>
      </c>
      <c r="M63" s="27">
        <v>7.5</v>
      </c>
      <c r="O63" s="23">
        <v>68</v>
      </c>
      <c r="P63" t="str">
        <f>IF(O63&gt;0,VLOOKUP($O63,Dep!$A:$M,3),"")</f>
        <v>18:12</v>
      </c>
      <c r="Q63" t="str">
        <f>IF(O63&gt;0,VLOOKUP($O63,Dep!$A:$M,6),"")</f>
        <v>SMF</v>
      </c>
      <c r="R63" t="str">
        <f>IF(O63&gt;0,VLOOKUP($O63,Dep!$A:$M,7),"")</f>
        <v>734</v>
      </c>
      <c r="S63">
        <f>IF(O63&gt;0,VLOOKUP($O63,Dep!$A:$M,9),"")</f>
        <v>115</v>
      </c>
      <c r="T63" t="str">
        <f>IF(O63&gt;0,VLOOKUP($O63,Dep!$A:$M,10),"")</f>
        <v>NAT</v>
      </c>
      <c r="U63" t="str">
        <f>IF(O63&gt;0,VLOOKUP($O63,Dep!$A:$M,12),"")</f>
        <v>AS</v>
      </c>
      <c r="V63" t="str">
        <f t="shared" si="2"/>
        <v/>
      </c>
      <c r="W63" t="str">
        <f t="shared" si="3"/>
        <v/>
      </c>
      <c r="X63" t="str">
        <f t="shared" si="4"/>
        <v>X</v>
      </c>
      <c r="Y63">
        <f t="shared" si="0"/>
        <v>0</v>
      </c>
      <c r="Z63" t="str">
        <f t="shared" si="5"/>
        <v/>
      </c>
      <c r="AA63" s="20">
        <f t="shared" si="1"/>
        <v>4.9999999999999933E-2</v>
      </c>
      <c r="AB63">
        <f t="shared" si="6"/>
        <v>62</v>
      </c>
      <c r="AC63" s="20" t="str">
        <f t="shared" si="7"/>
        <v>17:00</v>
      </c>
      <c r="AD63" s="20" t="str">
        <f t="shared" si="8"/>
        <v>18:12</v>
      </c>
      <c r="AE63" t="str">
        <f>VLOOKUP(G63,ACtypes!A:C,3,FALSE)</f>
        <v>C</v>
      </c>
      <c r="AF63" t="str">
        <f t="shared" si="9"/>
        <v/>
      </c>
      <c r="AG63" t="str">
        <f t="shared" si="10"/>
        <v/>
      </c>
      <c r="AH63">
        <f t="shared" si="11"/>
        <v>115</v>
      </c>
    </row>
    <row r="64" spans="1:34" x14ac:dyDescent="0.3">
      <c r="A64" s="41">
        <f t="shared" si="12"/>
        <v>63</v>
      </c>
      <c r="B64" s="27">
        <v>186</v>
      </c>
      <c r="C64" s="28" t="s">
        <v>55</v>
      </c>
      <c r="D64" s="28" t="s">
        <v>13</v>
      </c>
      <c r="E64" s="28" t="s">
        <v>252</v>
      </c>
      <c r="F64" s="28" t="s">
        <v>15</v>
      </c>
      <c r="G64" s="28" t="s">
        <v>45</v>
      </c>
      <c r="H64" s="27">
        <v>0</v>
      </c>
      <c r="I64" s="27">
        <v>115</v>
      </c>
      <c r="J64" s="28" t="s">
        <v>17</v>
      </c>
      <c r="K64" s="27">
        <v>25</v>
      </c>
      <c r="L64" s="28" t="s">
        <v>22</v>
      </c>
      <c r="M64" s="27">
        <v>7.5</v>
      </c>
      <c r="O64" s="23">
        <v>69</v>
      </c>
      <c r="P64" t="str">
        <f>IF(O64&gt;0,VLOOKUP($O64,Dep!$A:$M,3),"")</f>
        <v>19:15</v>
      </c>
      <c r="Q64" t="str">
        <f>IF(O64&gt;0,VLOOKUP($O64,Dep!$A:$M,6),"")</f>
        <v>ANC</v>
      </c>
      <c r="R64" t="str">
        <f>IF(O64&gt;0,VLOOKUP($O64,Dep!$A:$M,7),"")</f>
        <v>734</v>
      </c>
      <c r="S64">
        <f>IF(O64&gt;0,VLOOKUP($O64,Dep!$A:$M,9),"")</f>
        <v>115</v>
      </c>
      <c r="T64" t="str">
        <f>IF(O64&gt;0,VLOOKUP($O64,Dep!$A:$M,10),"")</f>
        <v>NAT</v>
      </c>
      <c r="U64" t="str">
        <f>IF(O64&gt;0,VLOOKUP($O64,Dep!$A:$M,12),"")</f>
        <v>AS</v>
      </c>
      <c r="V64" t="str">
        <f t="shared" si="2"/>
        <v/>
      </c>
      <c r="W64" t="str">
        <f t="shared" si="3"/>
        <v/>
      </c>
      <c r="X64" t="str">
        <f t="shared" si="4"/>
        <v>X</v>
      </c>
      <c r="Y64">
        <f t="shared" si="0"/>
        <v>0</v>
      </c>
      <c r="Z64" t="str">
        <f t="shared" si="5"/>
        <v/>
      </c>
      <c r="AA64" s="20">
        <f t="shared" si="1"/>
        <v>8.8888888888888906E-2</v>
      </c>
      <c r="AB64">
        <f t="shared" si="6"/>
        <v>63</v>
      </c>
      <c r="AC64" s="20" t="str">
        <f t="shared" si="7"/>
        <v>17:07</v>
      </c>
      <c r="AD64" s="20" t="str">
        <f t="shared" si="8"/>
        <v>19:15</v>
      </c>
      <c r="AE64" t="str">
        <f>VLOOKUP(G64,ACtypes!A:C,3,FALSE)</f>
        <v>C</v>
      </c>
      <c r="AF64" t="str">
        <f t="shared" si="9"/>
        <v/>
      </c>
      <c r="AG64" t="str">
        <f t="shared" si="10"/>
        <v/>
      </c>
      <c r="AH64">
        <f t="shared" si="11"/>
        <v>115</v>
      </c>
    </row>
    <row r="65" spans="1:34" x14ac:dyDescent="0.3">
      <c r="A65" s="41">
        <f t="shared" si="12"/>
        <v>64</v>
      </c>
      <c r="B65" s="27">
        <v>943</v>
      </c>
      <c r="C65" s="28" t="s">
        <v>516</v>
      </c>
      <c r="D65" s="28" t="s">
        <v>13</v>
      </c>
      <c r="E65" s="28" t="s">
        <v>511</v>
      </c>
      <c r="F65" s="28" t="s">
        <v>15</v>
      </c>
      <c r="G65" s="28" t="s">
        <v>45</v>
      </c>
      <c r="H65" s="27">
        <v>0</v>
      </c>
      <c r="I65" s="27">
        <v>115</v>
      </c>
      <c r="J65" s="28" t="s">
        <v>17</v>
      </c>
      <c r="K65" s="27">
        <v>25</v>
      </c>
      <c r="L65" s="28" t="s">
        <v>22</v>
      </c>
      <c r="M65" s="27">
        <v>7.5</v>
      </c>
      <c r="O65" s="23">
        <v>70</v>
      </c>
      <c r="P65" t="str">
        <f>IF(O65&gt;0,VLOOKUP($O65,Dep!$A:$M,3),"")</f>
        <v>19:24</v>
      </c>
      <c r="Q65" t="str">
        <f>IF(O65&gt;0,VLOOKUP($O65,Dep!$A:$M,6),"")</f>
        <v>KTN</v>
      </c>
      <c r="R65" t="str">
        <f>IF(O65&gt;0,VLOOKUP($O65,Dep!$A:$M,7),"")</f>
        <v>734</v>
      </c>
      <c r="S65">
        <f>IF(O65&gt;0,VLOOKUP($O65,Dep!$A:$M,9),"")</f>
        <v>115</v>
      </c>
      <c r="T65" t="str">
        <f>IF(O65&gt;0,VLOOKUP($O65,Dep!$A:$M,10),"")</f>
        <v>NAT</v>
      </c>
      <c r="U65" t="str">
        <f>IF(O65&gt;0,VLOOKUP($O65,Dep!$A:$M,12),"")</f>
        <v>AS</v>
      </c>
      <c r="V65" t="str">
        <f t="shared" si="2"/>
        <v/>
      </c>
      <c r="W65" t="str">
        <f t="shared" si="3"/>
        <v/>
      </c>
      <c r="X65" t="str">
        <f t="shared" si="4"/>
        <v>X</v>
      </c>
      <c r="Y65">
        <f t="shared" si="0"/>
        <v>0</v>
      </c>
      <c r="Z65" t="str">
        <f t="shared" si="5"/>
        <v/>
      </c>
      <c r="AA65" s="20">
        <f t="shared" si="1"/>
        <v>9.0277777777777679E-2</v>
      </c>
      <c r="AB65">
        <f t="shared" si="6"/>
        <v>64</v>
      </c>
      <c r="AC65" s="20" t="str">
        <f t="shared" si="7"/>
        <v>17:14</v>
      </c>
      <c r="AD65" s="20" t="str">
        <f t="shared" si="8"/>
        <v>19:24</v>
      </c>
      <c r="AE65" t="str">
        <f>VLOOKUP(G65,ACtypes!A:C,3,FALSE)</f>
        <v>C</v>
      </c>
      <c r="AF65" t="str">
        <f t="shared" si="9"/>
        <v/>
      </c>
      <c r="AG65" t="str">
        <f t="shared" si="10"/>
        <v/>
      </c>
      <c r="AH65">
        <f t="shared" si="11"/>
        <v>115</v>
      </c>
    </row>
    <row r="66" spans="1:34" x14ac:dyDescent="0.3">
      <c r="A66" s="41">
        <f t="shared" si="12"/>
        <v>65</v>
      </c>
      <c r="B66" s="27">
        <v>278</v>
      </c>
      <c r="C66" s="28" t="s">
        <v>339</v>
      </c>
      <c r="D66" s="28" t="s">
        <v>13</v>
      </c>
      <c r="E66" s="28" t="s">
        <v>352</v>
      </c>
      <c r="F66" s="28" t="s">
        <v>15</v>
      </c>
      <c r="G66" s="28" t="s">
        <v>45</v>
      </c>
      <c r="H66" s="27">
        <v>0</v>
      </c>
      <c r="I66" s="27">
        <v>115</v>
      </c>
      <c r="J66" s="28" t="s">
        <v>17</v>
      </c>
      <c r="K66" s="27">
        <v>25</v>
      </c>
      <c r="L66" s="28" t="s">
        <v>22</v>
      </c>
      <c r="M66" s="27">
        <v>7.5</v>
      </c>
      <c r="O66" s="23">
        <v>71</v>
      </c>
      <c r="P66" t="str">
        <f>IF(O66&gt;0,VLOOKUP($O66,Dep!$A:$M,3),"")</f>
        <v>19:27</v>
      </c>
      <c r="Q66" t="str">
        <f>IF(O66&gt;0,VLOOKUP($O66,Dep!$A:$M,6),"")</f>
        <v>OAK</v>
      </c>
      <c r="R66" t="str">
        <f>IF(O66&gt;0,VLOOKUP($O66,Dep!$A:$M,7),"")</f>
        <v>734</v>
      </c>
      <c r="S66">
        <f>IF(O66&gt;0,VLOOKUP($O66,Dep!$A:$M,9),"")</f>
        <v>115</v>
      </c>
      <c r="T66" t="str">
        <f>IF(O66&gt;0,VLOOKUP($O66,Dep!$A:$M,10),"")</f>
        <v>NAT</v>
      </c>
      <c r="U66" t="str">
        <f>IF(O66&gt;0,VLOOKUP($O66,Dep!$A:$M,12),"")</f>
        <v>AS</v>
      </c>
      <c r="V66" t="str">
        <f t="shared" si="2"/>
        <v/>
      </c>
      <c r="W66" t="str">
        <f t="shared" si="3"/>
        <v/>
      </c>
      <c r="X66" t="str">
        <f t="shared" si="4"/>
        <v>X</v>
      </c>
      <c r="Y66">
        <f t="shared" ref="Y66:Y129" si="13">IF(O66&gt;0,S66-I66,"")</f>
        <v>0</v>
      </c>
      <c r="Z66" t="str">
        <f t="shared" si="5"/>
        <v/>
      </c>
      <c r="AA66" s="20">
        <f t="shared" ref="AA66:AA129" si="14">IF(O66&gt;0,IF(P66-C66&gt;0,P66-C66,P66-C66+1),"")</f>
        <v>4.3055555555555514E-2</v>
      </c>
      <c r="AB66">
        <f t="shared" si="6"/>
        <v>65</v>
      </c>
      <c r="AC66" s="20" t="str">
        <f t="shared" si="7"/>
        <v>18:25</v>
      </c>
      <c r="AD66" s="20" t="str">
        <f t="shared" ref="AD66:AD129" si="15">IF(O66&gt;0,P66,AC66+1/24)</f>
        <v>19:27</v>
      </c>
      <c r="AE66" t="str">
        <f>VLOOKUP(G66,ACtypes!A:C,3,FALSE)</f>
        <v>C</v>
      </c>
      <c r="AF66" t="str">
        <f t="shared" si="9"/>
        <v/>
      </c>
      <c r="AG66" t="str">
        <f t="shared" si="10"/>
        <v/>
      </c>
      <c r="AH66">
        <f t="shared" si="11"/>
        <v>115</v>
      </c>
    </row>
    <row r="67" spans="1:34" x14ac:dyDescent="0.3">
      <c r="A67" s="41">
        <f t="shared" si="12"/>
        <v>66</v>
      </c>
      <c r="B67" s="27">
        <v>17</v>
      </c>
      <c r="C67" s="28" t="s">
        <v>49</v>
      </c>
      <c r="D67" s="28" t="s">
        <v>13</v>
      </c>
      <c r="E67" s="28" t="s">
        <v>31</v>
      </c>
      <c r="F67" s="28" t="s">
        <v>15</v>
      </c>
      <c r="G67" s="28" t="s">
        <v>45</v>
      </c>
      <c r="H67" s="27">
        <v>0</v>
      </c>
      <c r="I67" s="27">
        <v>115</v>
      </c>
      <c r="J67" s="28" t="s">
        <v>17</v>
      </c>
      <c r="K67" s="27">
        <v>25</v>
      </c>
      <c r="L67" s="28" t="s">
        <v>22</v>
      </c>
      <c r="M67" s="27">
        <v>7.5</v>
      </c>
      <c r="O67" s="23">
        <v>72</v>
      </c>
      <c r="P67" t="str">
        <f>IF(O67&gt;0,VLOOKUP($O67,Dep!$A:$M,3),"")</f>
        <v>19:42</v>
      </c>
      <c r="Q67" t="str">
        <f>IF(O67&gt;0,VLOOKUP($O67,Dep!$A:$M,6),"")</f>
        <v>SAN</v>
      </c>
      <c r="R67" t="str">
        <f>IF(O67&gt;0,VLOOKUP($O67,Dep!$A:$M,7),"")</f>
        <v>734</v>
      </c>
      <c r="S67">
        <f>IF(O67&gt;0,VLOOKUP($O67,Dep!$A:$M,9),"")</f>
        <v>115</v>
      </c>
      <c r="T67" t="str">
        <f>IF(O67&gt;0,VLOOKUP($O67,Dep!$A:$M,10),"")</f>
        <v>NAT</v>
      </c>
      <c r="U67" t="str">
        <f>IF(O67&gt;0,VLOOKUP($O67,Dep!$A:$M,12),"")</f>
        <v>AS</v>
      </c>
      <c r="V67" t="str">
        <f t="shared" ref="V67:V130" si="16">IF(O67&gt;0,IF(R67=G67,"","X"),"")</f>
        <v/>
      </c>
      <c r="W67" t="str">
        <f t="shared" ref="W67:W130" si="17">IF(O67&gt;0,IF(U67=L67,"","X"),"")</f>
        <v/>
      </c>
      <c r="X67" t="str">
        <f t="shared" ref="X67:X130" si="18">IF(O67&gt;0,IF(Q67=E67,"","X"),"")</f>
        <v>X</v>
      </c>
      <c r="Y67">
        <f t="shared" si="13"/>
        <v>0</v>
      </c>
      <c r="Z67" t="str">
        <f t="shared" ref="Z67:Z130" si="19">IF(O67&gt;0,IF(P67&lt;C67,1,""),"")</f>
        <v/>
      </c>
      <c r="AA67" s="20">
        <f t="shared" si="14"/>
        <v>4.3750000000000067E-2</v>
      </c>
      <c r="AB67">
        <f t="shared" ref="AB67:AB130" si="20">A67</f>
        <v>66</v>
      </c>
      <c r="AC67" s="20" t="str">
        <f t="shared" ref="AC67:AC130" si="21">C67</f>
        <v>18:39</v>
      </c>
      <c r="AD67" s="20" t="str">
        <f t="shared" si="15"/>
        <v>19:42</v>
      </c>
      <c r="AE67" t="str">
        <f>VLOOKUP(G67,ACtypes!A:C,3,FALSE)</f>
        <v>C</v>
      </c>
      <c r="AF67" t="str">
        <f t="shared" ref="AF67:AF130" si="22">IF(J67="INT",1,"")</f>
        <v/>
      </c>
      <c r="AG67" t="str">
        <f t="shared" ref="AG67:AG130" si="23">IF(T67="INT",1,"")</f>
        <v/>
      </c>
      <c r="AH67">
        <f t="shared" ref="AH67:AH130" si="24">I67</f>
        <v>115</v>
      </c>
    </row>
    <row r="68" spans="1:34" x14ac:dyDescent="0.3">
      <c r="A68" s="41">
        <f t="shared" ref="A68:A131" si="25">A67+1</f>
        <v>67</v>
      </c>
      <c r="B68" s="27">
        <v>185</v>
      </c>
      <c r="C68" s="28" t="s">
        <v>256</v>
      </c>
      <c r="D68" s="28" t="s">
        <v>13</v>
      </c>
      <c r="E68" s="28" t="s">
        <v>252</v>
      </c>
      <c r="F68" s="28" t="s">
        <v>15</v>
      </c>
      <c r="G68" s="28" t="s">
        <v>45</v>
      </c>
      <c r="H68" s="27">
        <v>0</v>
      </c>
      <c r="I68" s="27">
        <v>115</v>
      </c>
      <c r="J68" s="28" t="s">
        <v>17</v>
      </c>
      <c r="K68" s="27">
        <v>25</v>
      </c>
      <c r="L68" s="28" t="s">
        <v>22</v>
      </c>
      <c r="M68" s="27">
        <v>7.5</v>
      </c>
      <c r="O68" s="23">
        <v>73</v>
      </c>
      <c r="P68" t="str">
        <f>IF(O68&gt;0,VLOOKUP($O68,Dep!$A:$M,3),"")</f>
        <v>19:52</v>
      </c>
      <c r="Q68" t="str">
        <f>IF(O68&gt;0,VLOOKUP($O68,Dep!$A:$M,6),"")</f>
        <v>SNA</v>
      </c>
      <c r="R68" t="str">
        <f>IF(O68&gt;0,VLOOKUP($O68,Dep!$A:$M,7),"")</f>
        <v>734</v>
      </c>
      <c r="S68">
        <f>IF(O68&gt;0,VLOOKUP($O68,Dep!$A:$M,9),"")</f>
        <v>115</v>
      </c>
      <c r="T68" t="str">
        <f>IF(O68&gt;0,VLOOKUP($O68,Dep!$A:$M,10),"")</f>
        <v>NAT</v>
      </c>
      <c r="U68" t="str">
        <f>IF(O68&gt;0,VLOOKUP($O68,Dep!$A:$M,12),"")</f>
        <v>AS</v>
      </c>
      <c r="V68" t="str">
        <f t="shared" si="16"/>
        <v/>
      </c>
      <c r="W68" t="str">
        <f t="shared" si="17"/>
        <v/>
      </c>
      <c r="X68" t="str">
        <f t="shared" si="18"/>
        <v>X</v>
      </c>
      <c r="Y68">
        <f t="shared" si="13"/>
        <v>0</v>
      </c>
      <c r="Z68" t="str">
        <f t="shared" si="19"/>
        <v/>
      </c>
      <c r="AA68" s="20">
        <f t="shared" si="14"/>
        <v>4.6527777777777835E-2</v>
      </c>
      <c r="AB68">
        <f t="shared" si="20"/>
        <v>67</v>
      </c>
      <c r="AC68" s="20" t="str">
        <f t="shared" si="21"/>
        <v>18:45</v>
      </c>
      <c r="AD68" s="20" t="str">
        <f t="shared" si="15"/>
        <v>19:52</v>
      </c>
      <c r="AE68" t="str">
        <f>VLOOKUP(G68,ACtypes!A:C,3,FALSE)</f>
        <v>C</v>
      </c>
      <c r="AF68" t="str">
        <f t="shared" si="22"/>
        <v/>
      </c>
      <c r="AG68" t="str">
        <f t="shared" si="23"/>
        <v/>
      </c>
      <c r="AH68">
        <f t="shared" si="24"/>
        <v>115</v>
      </c>
    </row>
    <row r="69" spans="1:34" x14ac:dyDescent="0.3">
      <c r="A69" s="41">
        <f t="shared" si="25"/>
        <v>68</v>
      </c>
      <c r="B69" s="27">
        <v>378</v>
      </c>
      <c r="C69" s="28" t="s">
        <v>131</v>
      </c>
      <c r="D69" s="28" t="s">
        <v>13</v>
      </c>
      <c r="E69" s="28" t="s">
        <v>432</v>
      </c>
      <c r="F69" s="28" t="s">
        <v>15</v>
      </c>
      <c r="G69" s="28" t="s">
        <v>45</v>
      </c>
      <c r="H69" s="27">
        <v>0</v>
      </c>
      <c r="I69" s="27">
        <v>115</v>
      </c>
      <c r="J69" s="28" t="s">
        <v>17</v>
      </c>
      <c r="K69" s="27">
        <v>25</v>
      </c>
      <c r="L69" s="28" t="s">
        <v>22</v>
      </c>
      <c r="M69" s="27">
        <v>7.5</v>
      </c>
      <c r="O69" s="23">
        <v>74</v>
      </c>
      <c r="P69" t="str">
        <f>IF(O69&gt;0,VLOOKUP($O69,Dep!$A:$M,3),"")</f>
        <v>20:00</v>
      </c>
      <c r="Q69" t="str">
        <f>IF(O69&gt;0,VLOOKUP($O69,Dep!$A:$M,6),"")</f>
        <v>FAI</v>
      </c>
      <c r="R69" t="str">
        <f>IF(O69&gt;0,VLOOKUP($O69,Dep!$A:$M,7),"")</f>
        <v>734</v>
      </c>
      <c r="S69">
        <f>IF(O69&gt;0,VLOOKUP($O69,Dep!$A:$M,9),"")</f>
        <v>115</v>
      </c>
      <c r="T69" t="str">
        <f>IF(O69&gt;0,VLOOKUP($O69,Dep!$A:$M,10),"")</f>
        <v>NAT</v>
      </c>
      <c r="U69" t="str">
        <f>IF(O69&gt;0,VLOOKUP($O69,Dep!$A:$M,12),"")</f>
        <v>AS</v>
      </c>
      <c r="V69" t="str">
        <f t="shared" si="16"/>
        <v/>
      </c>
      <c r="W69" t="str">
        <f t="shared" si="17"/>
        <v/>
      </c>
      <c r="X69" t="str">
        <f t="shared" si="18"/>
        <v>X</v>
      </c>
      <c r="Y69">
        <f t="shared" si="13"/>
        <v>0</v>
      </c>
      <c r="Z69" t="str">
        <f t="shared" si="19"/>
        <v/>
      </c>
      <c r="AA69" s="20">
        <f t="shared" si="14"/>
        <v>4.513888888888884E-2</v>
      </c>
      <c r="AB69">
        <f t="shared" si="20"/>
        <v>68</v>
      </c>
      <c r="AC69" s="20" t="str">
        <f t="shared" si="21"/>
        <v>18:55</v>
      </c>
      <c r="AD69" s="20" t="str">
        <f t="shared" si="15"/>
        <v>20:00</v>
      </c>
      <c r="AE69" t="str">
        <f>VLOOKUP(G69,ACtypes!A:C,3,FALSE)</f>
        <v>C</v>
      </c>
      <c r="AF69" t="str">
        <f t="shared" si="22"/>
        <v/>
      </c>
      <c r="AG69" t="str">
        <f t="shared" si="23"/>
        <v/>
      </c>
      <c r="AH69">
        <f t="shared" si="24"/>
        <v>115</v>
      </c>
    </row>
    <row r="70" spans="1:34" x14ac:dyDescent="0.3">
      <c r="A70" s="41">
        <f t="shared" si="25"/>
        <v>69</v>
      </c>
      <c r="B70" s="27">
        <v>19</v>
      </c>
      <c r="C70" s="28" t="s">
        <v>51</v>
      </c>
      <c r="D70" s="28" t="s">
        <v>13</v>
      </c>
      <c r="E70" s="28" t="s">
        <v>31</v>
      </c>
      <c r="F70" s="28" t="s">
        <v>15</v>
      </c>
      <c r="G70" s="28" t="s">
        <v>45</v>
      </c>
      <c r="H70" s="27">
        <v>0</v>
      </c>
      <c r="I70" s="27">
        <v>115</v>
      </c>
      <c r="J70" s="28" t="s">
        <v>17</v>
      </c>
      <c r="K70" s="27">
        <v>25</v>
      </c>
      <c r="L70" s="28" t="s">
        <v>22</v>
      </c>
      <c r="M70" s="27">
        <v>7.5</v>
      </c>
      <c r="O70" s="23">
        <v>75</v>
      </c>
      <c r="P70" t="str">
        <f>IF(O70&gt;0,VLOOKUP($O70,Dep!$A:$M,3),"")</f>
        <v>20:14</v>
      </c>
      <c r="Q70" t="str">
        <f>IF(O70&gt;0,VLOOKUP($O70,Dep!$A:$M,6),"")</f>
        <v>JNU</v>
      </c>
      <c r="R70" t="str">
        <f>IF(O70&gt;0,VLOOKUP($O70,Dep!$A:$M,7),"")</f>
        <v>734</v>
      </c>
      <c r="S70">
        <f>IF(O70&gt;0,VLOOKUP($O70,Dep!$A:$M,9),"")</f>
        <v>115</v>
      </c>
      <c r="T70" t="str">
        <f>IF(O70&gt;0,VLOOKUP($O70,Dep!$A:$M,10),"")</f>
        <v>NAT</v>
      </c>
      <c r="U70" t="str">
        <f>IF(O70&gt;0,VLOOKUP($O70,Dep!$A:$M,12),"")</f>
        <v>AS</v>
      </c>
      <c r="V70" t="str">
        <f t="shared" si="16"/>
        <v/>
      </c>
      <c r="W70" t="str">
        <f t="shared" si="17"/>
        <v/>
      </c>
      <c r="X70" t="str">
        <f t="shared" si="18"/>
        <v>X</v>
      </c>
      <c r="Y70">
        <f t="shared" si="13"/>
        <v>0</v>
      </c>
      <c r="Z70" t="str">
        <f t="shared" si="19"/>
        <v/>
      </c>
      <c r="AA70" s="20">
        <f t="shared" si="14"/>
        <v>4.4444444444444398E-2</v>
      </c>
      <c r="AB70">
        <f t="shared" si="20"/>
        <v>69</v>
      </c>
      <c r="AC70" s="20" t="str">
        <f t="shared" si="21"/>
        <v>19:10</v>
      </c>
      <c r="AD70" s="20" t="str">
        <f t="shared" si="15"/>
        <v>20:14</v>
      </c>
      <c r="AE70" t="str">
        <f>VLOOKUP(G70,ACtypes!A:C,3,FALSE)</f>
        <v>C</v>
      </c>
      <c r="AF70" t="str">
        <f t="shared" si="22"/>
        <v/>
      </c>
      <c r="AG70" t="str">
        <f t="shared" si="23"/>
        <v/>
      </c>
      <c r="AH70">
        <f t="shared" si="24"/>
        <v>115</v>
      </c>
    </row>
    <row r="71" spans="1:34" x14ac:dyDescent="0.3">
      <c r="A71" s="41">
        <f t="shared" si="25"/>
        <v>70</v>
      </c>
      <c r="B71" s="27">
        <v>941</v>
      </c>
      <c r="C71" s="28" t="s">
        <v>461</v>
      </c>
      <c r="D71" s="28" t="s">
        <v>13</v>
      </c>
      <c r="E71" s="28" t="s">
        <v>511</v>
      </c>
      <c r="F71" s="28" t="s">
        <v>15</v>
      </c>
      <c r="G71" s="28" t="s">
        <v>45</v>
      </c>
      <c r="H71" s="27">
        <v>0</v>
      </c>
      <c r="I71" s="27">
        <v>115</v>
      </c>
      <c r="J71" s="28" t="s">
        <v>17</v>
      </c>
      <c r="K71" s="27">
        <v>25</v>
      </c>
      <c r="L71" s="28" t="s">
        <v>22</v>
      </c>
      <c r="M71" s="27">
        <v>7.5</v>
      </c>
      <c r="O71" s="23">
        <v>76</v>
      </c>
      <c r="P71" t="str">
        <f>IF(O71&gt;0,VLOOKUP($O71,Dep!$A:$M,3),"")</f>
        <v>20:40</v>
      </c>
      <c r="Q71" t="str">
        <f>IF(O71&gt;0,VLOOKUP($O71,Dep!$A:$M,6),"")</f>
        <v>SFO</v>
      </c>
      <c r="R71" t="str">
        <f>IF(O71&gt;0,VLOOKUP($O71,Dep!$A:$M,7),"")</f>
        <v>734</v>
      </c>
      <c r="S71">
        <f>IF(O71&gt;0,VLOOKUP($O71,Dep!$A:$M,9),"")</f>
        <v>115</v>
      </c>
      <c r="T71" t="str">
        <f>IF(O71&gt;0,VLOOKUP($O71,Dep!$A:$M,10),"")</f>
        <v>NAT</v>
      </c>
      <c r="U71" t="str">
        <f>IF(O71&gt;0,VLOOKUP($O71,Dep!$A:$M,12),"")</f>
        <v>AS</v>
      </c>
      <c r="V71" t="str">
        <f t="shared" si="16"/>
        <v/>
      </c>
      <c r="W71" t="str">
        <f t="shared" si="17"/>
        <v/>
      </c>
      <c r="X71" t="str">
        <f t="shared" si="18"/>
        <v>X</v>
      </c>
      <c r="Y71">
        <f t="shared" si="13"/>
        <v>0</v>
      </c>
      <c r="Z71" t="str">
        <f t="shared" si="19"/>
        <v/>
      </c>
      <c r="AA71" s="20">
        <f t="shared" si="14"/>
        <v>6.1805555555555558E-2</v>
      </c>
      <c r="AB71">
        <f t="shared" si="20"/>
        <v>70</v>
      </c>
      <c r="AC71" s="20" t="str">
        <f t="shared" si="21"/>
        <v>19:11</v>
      </c>
      <c r="AD71" s="20" t="str">
        <f t="shared" si="15"/>
        <v>20:40</v>
      </c>
      <c r="AE71" t="str">
        <f>VLOOKUP(G71,ACtypes!A:C,3,FALSE)</f>
        <v>C</v>
      </c>
      <c r="AF71" t="str">
        <f t="shared" si="22"/>
        <v/>
      </c>
      <c r="AG71" t="str">
        <f t="shared" si="23"/>
        <v/>
      </c>
      <c r="AH71">
        <f t="shared" si="24"/>
        <v>115</v>
      </c>
    </row>
    <row r="72" spans="1:34" x14ac:dyDescent="0.3">
      <c r="A72" s="41">
        <f t="shared" si="25"/>
        <v>71</v>
      </c>
      <c r="B72" s="27">
        <v>189</v>
      </c>
      <c r="C72" s="28" t="s">
        <v>261</v>
      </c>
      <c r="D72" s="28" t="s">
        <v>13</v>
      </c>
      <c r="E72" s="28" t="s">
        <v>260</v>
      </c>
      <c r="F72" s="28" t="s">
        <v>15</v>
      </c>
      <c r="G72" s="28" t="s">
        <v>45</v>
      </c>
      <c r="H72" s="27">
        <v>0</v>
      </c>
      <c r="I72" s="27">
        <v>115</v>
      </c>
      <c r="J72" s="28" t="s">
        <v>17</v>
      </c>
      <c r="K72" s="27">
        <v>25</v>
      </c>
      <c r="L72" s="28" t="s">
        <v>22</v>
      </c>
      <c r="M72" s="27">
        <v>7.5</v>
      </c>
      <c r="O72" s="23">
        <v>77</v>
      </c>
      <c r="P72" t="str">
        <f>IF(O72&gt;0,VLOOKUP($O72,Dep!$A:$M,3),"")</f>
        <v>21:17</v>
      </c>
      <c r="Q72" t="str">
        <f>IF(O72&gt;0,VLOOKUP($O72,Dep!$A:$M,6),"")</f>
        <v>LAX</v>
      </c>
      <c r="R72" t="str">
        <f>IF(O72&gt;0,VLOOKUP($O72,Dep!$A:$M,7),"")</f>
        <v>734</v>
      </c>
      <c r="S72">
        <f>IF(O72&gt;0,VLOOKUP($O72,Dep!$A:$M,9),"")</f>
        <v>115</v>
      </c>
      <c r="T72" t="str">
        <f>IF(O72&gt;0,VLOOKUP($O72,Dep!$A:$M,10),"")</f>
        <v>NAT</v>
      </c>
      <c r="U72" t="str">
        <f>IF(O72&gt;0,VLOOKUP($O72,Dep!$A:$M,12),"")</f>
        <v>AS</v>
      </c>
      <c r="V72" t="str">
        <f t="shared" si="16"/>
        <v/>
      </c>
      <c r="W72" t="str">
        <f t="shared" si="17"/>
        <v/>
      </c>
      <c r="X72" t="str">
        <f t="shared" si="18"/>
        <v>X</v>
      </c>
      <c r="Y72">
        <f t="shared" si="13"/>
        <v>0</v>
      </c>
      <c r="Z72" t="str">
        <f t="shared" si="19"/>
        <v/>
      </c>
      <c r="AA72" s="20">
        <f t="shared" si="14"/>
        <v>8.1250000000000155E-2</v>
      </c>
      <c r="AB72">
        <f t="shared" si="20"/>
        <v>71</v>
      </c>
      <c r="AC72" s="20" t="str">
        <f t="shared" si="21"/>
        <v>19:20</v>
      </c>
      <c r="AD72" s="20" t="str">
        <f t="shared" si="15"/>
        <v>21:17</v>
      </c>
      <c r="AE72" t="str">
        <f>VLOOKUP(G72,ACtypes!A:C,3,FALSE)</f>
        <v>C</v>
      </c>
      <c r="AF72" t="str">
        <f t="shared" si="22"/>
        <v/>
      </c>
      <c r="AG72" t="str">
        <f t="shared" si="23"/>
        <v/>
      </c>
      <c r="AH72">
        <f t="shared" si="24"/>
        <v>115</v>
      </c>
    </row>
    <row r="73" spans="1:34" x14ac:dyDescent="0.3">
      <c r="A73" s="41">
        <f t="shared" si="25"/>
        <v>72</v>
      </c>
      <c r="B73" s="27">
        <v>47</v>
      </c>
      <c r="C73" s="28" t="s">
        <v>90</v>
      </c>
      <c r="D73" s="28" t="s">
        <v>13</v>
      </c>
      <c r="E73" s="28" t="s">
        <v>86</v>
      </c>
      <c r="F73" s="28" t="s">
        <v>15</v>
      </c>
      <c r="G73" s="28" t="s">
        <v>45</v>
      </c>
      <c r="H73" s="27">
        <v>0</v>
      </c>
      <c r="I73" s="27">
        <v>115</v>
      </c>
      <c r="J73" s="28" t="s">
        <v>17</v>
      </c>
      <c r="K73" s="27">
        <v>25</v>
      </c>
      <c r="L73" s="28" t="s">
        <v>22</v>
      </c>
      <c r="M73" s="27">
        <v>7.5</v>
      </c>
      <c r="O73" s="23">
        <v>78</v>
      </c>
      <c r="P73" t="str">
        <f>IF(O73&gt;0,VLOOKUP($O73,Dep!$A:$M,3),"")</f>
        <v>21:25</v>
      </c>
      <c r="Q73" t="str">
        <f>IF(O73&gt;0,VLOOKUP($O73,Dep!$A:$M,6),"")</f>
        <v>BOI</v>
      </c>
      <c r="R73" t="str">
        <f>IF(O73&gt;0,VLOOKUP($O73,Dep!$A:$M,7),"")</f>
        <v>734</v>
      </c>
      <c r="S73">
        <f>IF(O73&gt;0,VLOOKUP($O73,Dep!$A:$M,9),"")</f>
        <v>115</v>
      </c>
      <c r="T73" t="str">
        <f>IF(O73&gt;0,VLOOKUP($O73,Dep!$A:$M,10),"")</f>
        <v>NAT</v>
      </c>
      <c r="U73" t="str">
        <f>IF(O73&gt;0,VLOOKUP($O73,Dep!$A:$M,12),"")</f>
        <v>AS</v>
      </c>
      <c r="V73" t="str">
        <f t="shared" si="16"/>
        <v/>
      </c>
      <c r="W73" t="str">
        <f t="shared" si="17"/>
        <v/>
      </c>
      <c r="X73" t="str">
        <f t="shared" si="18"/>
        <v/>
      </c>
      <c r="Y73">
        <f t="shared" si="13"/>
        <v>0</v>
      </c>
      <c r="Z73" t="str">
        <f t="shared" si="19"/>
        <v/>
      </c>
      <c r="AA73" s="20">
        <f t="shared" si="14"/>
        <v>8.1250000000000155E-2</v>
      </c>
      <c r="AB73">
        <f t="shared" si="20"/>
        <v>72</v>
      </c>
      <c r="AC73" s="20" t="str">
        <f t="shared" si="21"/>
        <v>19:28</v>
      </c>
      <c r="AD73" s="20" t="str">
        <f t="shared" si="15"/>
        <v>21:25</v>
      </c>
      <c r="AE73" t="str">
        <f>VLOOKUP(G73,ACtypes!A:C,3,FALSE)</f>
        <v>C</v>
      </c>
      <c r="AF73" t="str">
        <f t="shared" si="22"/>
        <v/>
      </c>
      <c r="AG73" t="str">
        <f t="shared" si="23"/>
        <v/>
      </c>
      <c r="AH73">
        <f t="shared" si="24"/>
        <v>115</v>
      </c>
    </row>
    <row r="74" spans="1:34" x14ac:dyDescent="0.3">
      <c r="A74" s="41">
        <f t="shared" si="25"/>
        <v>73</v>
      </c>
      <c r="B74" s="27">
        <v>892</v>
      </c>
      <c r="C74" s="28" t="s">
        <v>184</v>
      </c>
      <c r="D74" s="28" t="s">
        <v>13</v>
      </c>
      <c r="E74" s="28" t="s">
        <v>440</v>
      </c>
      <c r="F74" s="28" t="s">
        <v>15</v>
      </c>
      <c r="G74" s="28" t="s">
        <v>45</v>
      </c>
      <c r="H74" s="27">
        <v>0</v>
      </c>
      <c r="I74" s="27">
        <v>115</v>
      </c>
      <c r="J74" s="28" t="s">
        <v>17</v>
      </c>
      <c r="K74" s="27">
        <v>25</v>
      </c>
      <c r="L74" s="28" t="s">
        <v>22</v>
      </c>
      <c r="M74" s="27">
        <v>7.5</v>
      </c>
      <c r="O74" s="23">
        <v>79</v>
      </c>
      <c r="P74" t="str">
        <f>IF(O74&gt;0,VLOOKUP($O74,Dep!$A:$M,3),"")</f>
        <v>21:41</v>
      </c>
      <c r="Q74" t="str">
        <f>IF(O74&gt;0,VLOOKUP($O74,Dep!$A:$M,6),"")</f>
        <v>OAK</v>
      </c>
      <c r="R74" t="str">
        <f>IF(O74&gt;0,VLOOKUP($O74,Dep!$A:$M,7),"")</f>
        <v>734</v>
      </c>
      <c r="S74">
        <f>IF(O74&gt;0,VLOOKUP($O74,Dep!$A:$M,9),"")</f>
        <v>115</v>
      </c>
      <c r="T74" t="str">
        <f>IF(O74&gt;0,VLOOKUP($O74,Dep!$A:$M,10),"")</f>
        <v>NAT</v>
      </c>
      <c r="U74" t="str">
        <f>IF(O74&gt;0,VLOOKUP($O74,Dep!$A:$M,12),"")</f>
        <v>AS</v>
      </c>
      <c r="V74" t="str">
        <f t="shared" si="16"/>
        <v/>
      </c>
      <c r="W74" t="str">
        <f t="shared" si="17"/>
        <v/>
      </c>
      <c r="X74" t="str">
        <f t="shared" si="18"/>
        <v>X</v>
      </c>
      <c r="Y74">
        <f t="shared" si="13"/>
        <v>0</v>
      </c>
      <c r="Z74" t="str">
        <f t="shared" si="19"/>
        <v/>
      </c>
      <c r="AA74" s="20">
        <f t="shared" si="14"/>
        <v>7.7083333333333393E-2</v>
      </c>
      <c r="AB74">
        <f t="shared" si="20"/>
        <v>73</v>
      </c>
      <c r="AC74" s="20" t="str">
        <f t="shared" si="21"/>
        <v>19:50</v>
      </c>
      <c r="AD74" s="20" t="str">
        <f t="shared" si="15"/>
        <v>21:41</v>
      </c>
      <c r="AE74" t="str">
        <f>VLOOKUP(G74,ACtypes!A:C,3,FALSE)</f>
        <v>C</v>
      </c>
      <c r="AF74" t="str">
        <f t="shared" si="22"/>
        <v/>
      </c>
      <c r="AG74" t="str">
        <f t="shared" si="23"/>
        <v/>
      </c>
      <c r="AH74">
        <f t="shared" si="24"/>
        <v>115</v>
      </c>
    </row>
    <row r="75" spans="1:34" x14ac:dyDescent="0.3">
      <c r="A75" s="41">
        <f t="shared" si="25"/>
        <v>74</v>
      </c>
      <c r="B75" s="27">
        <v>266</v>
      </c>
      <c r="C75" s="28" t="s">
        <v>334</v>
      </c>
      <c r="D75" s="28" t="s">
        <v>13</v>
      </c>
      <c r="E75" s="28" t="s">
        <v>335</v>
      </c>
      <c r="F75" s="28" t="s">
        <v>15</v>
      </c>
      <c r="G75" s="28" t="s">
        <v>45</v>
      </c>
      <c r="H75" s="27">
        <v>0</v>
      </c>
      <c r="I75" s="27">
        <v>115</v>
      </c>
      <c r="J75" s="28" t="s">
        <v>17</v>
      </c>
      <c r="K75" s="27">
        <v>25</v>
      </c>
      <c r="L75" s="28" t="s">
        <v>22</v>
      </c>
      <c r="M75" s="27">
        <v>7.5</v>
      </c>
      <c r="O75" s="23">
        <v>80</v>
      </c>
      <c r="P75" t="str">
        <f>IF(O75&gt;0,VLOOKUP($O75,Dep!$A:$M,3),"")</f>
        <v>22:00</v>
      </c>
      <c r="Q75" t="str">
        <f>IF(O75&gt;0,VLOOKUP($O75,Dep!$A:$M,6),"")</f>
        <v>ANC</v>
      </c>
      <c r="R75" t="str">
        <f>IF(O75&gt;0,VLOOKUP($O75,Dep!$A:$M,7),"")</f>
        <v>734</v>
      </c>
      <c r="S75">
        <f>IF(O75&gt;0,VLOOKUP($O75,Dep!$A:$M,9),"")</f>
        <v>115</v>
      </c>
      <c r="T75" t="str">
        <f>IF(O75&gt;0,VLOOKUP($O75,Dep!$A:$M,10),"")</f>
        <v>NAT</v>
      </c>
      <c r="U75" t="str">
        <f>IF(O75&gt;0,VLOOKUP($O75,Dep!$A:$M,12),"")</f>
        <v>AS</v>
      </c>
      <c r="V75" t="str">
        <f t="shared" si="16"/>
        <v/>
      </c>
      <c r="W75" t="str">
        <f t="shared" si="17"/>
        <v/>
      </c>
      <c r="X75" t="str">
        <f t="shared" si="18"/>
        <v>X</v>
      </c>
      <c r="Y75">
        <f t="shared" si="13"/>
        <v>0</v>
      </c>
      <c r="Z75" t="str">
        <f t="shared" si="19"/>
        <v/>
      </c>
      <c r="AA75" s="20">
        <f t="shared" si="14"/>
        <v>8.6805555555555469E-2</v>
      </c>
      <c r="AB75">
        <f t="shared" si="20"/>
        <v>74</v>
      </c>
      <c r="AC75" s="20" t="str">
        <f t="shared" si="21"/>
        <v>19:55</v>
      </c>
      <c r="AD75" s="20" t="str">
        <f t="shared" si="15"/>
        <v>22:00</v>
      </c>
      <c r="AE75" t="str">
        <f>VLOOKUP(G75,ACtypes!A:C,3,FALSE)</f>
        <v>C</v>
      </c>
      <c r="AF75" t="str">
        <f t="shared" si="22"/>
        <v/>
      </c>
      <c r="AG75" t="str">
        <f t="shared" si="23"/>
        <v/>
      </c>
      <c r="AH75">
        <f t="shared" si="24"/>
        <v>115</v>
      </c>
    </row>
    <row r="76" spans="1:34" x14ac:dyDescent="0.3">
      <c r="A76" s="41">
        <f t="shared" si="25"/>
        <v>75</v>
      </c>
      <c r="B76" s="27">
        <v>895</v>
      </c>
      <c r="C76" s="28" t="s">
        <v>448</v>
      </c>
      <c r="D76" s="28" t="s">
        <v>13</v>
      </c>
      <c r="E76" s="28" t="s">
        <v>440</v>
      </c>
      <c r="F76" s="28" t="s">
        <v>15</v>
      </c>
      <c r="G76" s="28" t="s">
        <v>45</v>
      </c>
      <c r="H76" s="27">
        <v>0</v>
      </c>
      <c r="I76" s="27">
        <v>115</v>
      </c>
      <c r="J76" s="28" t="s">
        <v>17</v>
      </c>
      <c r="K76" s="27">
        <v>25</v>
      </c>
      <c r="L76" s="28" t="s">
        <v>22</v>
      </c>
      <c r="M76" s="27">
        <v>7.5</v>
      </c>
      <c r="O76" s="23">
        <v>81</v>
      </c>
      <c r="P76" t="str">
        <f>IF(O76&gt;0,VLOOKUP($O76,Dep!$A:$M,3),"")</f>
        <v>22:51</v>
      </c>
      <c r="Q76" t="str">
        <f>IF(O76&gt;0,VLOOKUP($O76,Dep!$A:$M,6),"")</f>
        <v>FAI</v>
      </c>
      <c r="R76" t="str">
        <f>IF(O76&gt;0,VLOOKUP($O76,Dep!$A:$M,7),"")</f>
        <v>734</v>
      </c>
      <c r="S76">
        <f>IF(O76&gt;0,VLOOKUP($O76,Dep!$A:$M,9),"")</f>
        <v>115</v>
      </c>
      <c r="T76" t="str">
        <f>IF(O76&gt;0,VLOOKUP($O76,Dep!$A:$M,10),"")</f>
        <v>NAT</v>
      </c>
      <c r="U76" t="str">
        <f>IF(O76&gt;0,VLOOKUP($O76,Dep!$A:$M,12),"")</f>
        <v>AS</v>
      </c>
      <c r="V76" t="str">
        <f t="shared" si="16"/>
        <v/>
      </c>
      <c r="W76" t="str">
        <f t="shared" si="17"/>
        <v/>
      </c>
      <c r="X76" t="str">
        <f t="shared" si="18"/>
        <v>X</v>
      </c>
      <c r="Y76">
        <f t="shared" si="13"/>
        <v>0</v>
      </c>
      <c r="Z76" t="str">
        <f t="shared" si="19"/>
        <v/>
      </c>
      <c r="AA76" s="20">
        <f t="shared" si="14"/>
        <v>9.5138888888888995E-2</v>
      </c>
      <c r="AB76">
        <f t="shared" si="20"/>
        <v>75</v>
      </c>
      <c r="AC76" s="20" t="str">
        <f t="shared" si="21"/>
        <v>20:34</v>
      </c>
      <c r="AD76" s="20" t="str">
        <f t="shared" si="15"/>
        <v>22:51</v>
      </c>
      <c r="AE76" t="str">
        <f>VLOOKUP(G76,ACtypes!A:C,3,FALSE)</f>
        <v>C</v>
      </c>
      <c r="AF76" t="str">
        <f t="shared" si="22"/>
        <v/>
      </c>
      <c r="AG76" t="str">
        <f t="shared" si="23"/>
        <v/>
      </c>
      <c r="AH76">
        <f t="shared" si="24"/>
        <v>115</v>
      </c>
    </row>
    <row r="77" spans="1:34" x14ac:dyDescent="0.3">
      <c r="A77" s="41">
        <f t="shared" si="25"/>
        <v>76</v>
      </c>
      <c r="B77" s="27">
        <v>279</v>
      </c>
      <c r="C77" s="28" t="s">
        <v>179</v>
      </c>
      <c r="D77" s="28" t="s">
        <v>13</v>
      </c>
      <c r="E77" s="28" t="s">
        <v>352</v>
      </c>
      <c r="F77" s="28" t="s">
        <v>15</v>
      </c>
      <c r="G77" s="28" t="s">
        <v>45</v>
      </c>
      <c r="H77" s="27">
        <v>0</v>
      </c>
      <c r="I77" s="27">
        <v>115</v>
      </c>
      <c r="J77" s="28" t="s">
        <v>17</v>
      </c>
      <c r="K77" s="27">
        <v>25</v>
      </c>
      <c r="L77" s="28" t="s">
        <v>22</v>
      </c>
      <c r="M77" s="27">
        <v>7.5</v>
      </c>
      <c r="O77" s="23">
        <v>82</v>
      </c>
      <c r="P77" t="str">
        <f>IF(O77&gt;0,VLOOKUP($O77,Dep!$A:$M,3),"")</f>
        <v>23:00</v>
      </c>
      <c r="Q77" t="str">
        <f>IF(O77&gt;0,VLOOKUP($O77,Dep!$A:$M,6),"")</f>
        <v>ANC</v>
      </c>
      <c r="R77" t="str">
        <f>IF(O77&gt;0,VLOOKUP($O77,Dep!$A:$M,7),"")</f>
        <v>734</v>
      </c>
      <c r="S77">
        <f>IF(O77&gt;0,VLOOKUP($O77,Dep!$A:$M,9),"")</f>
        <v>115</v>
      </c>
      <c r="T77" t="str">
        <f>IF(O77&gt;0,VLOOKUP($O77,Dep!$A:$M,10),"")</f>
        <v>NAT</v>
      </c>
      <c r="U77" t="str">
        <f>IF(O77&gt;0,VLOOKUP($O77,Dep!$A:$M,12),"")</f>
        <v>AS</v>
      </c>
      <c r="V77" t="str">
        <f t="shared" si="16"/>
        <v/>
      </c>
      <c r="W77" t="str">
        <f t="shared" si="17"/>
        <v/>
      </c>
      <c r="X77" t="str">
        <f t="shared" si="18"/>
        <v>X</v>
      </c>
      <c r="Y77">
        <f t="shared" si="13"/>
        <v>0</v>
      </c>
      <c r="Z77" t="str">
        <f t="shared" si="19"/>
        <v/>
      </c>
      <c r="AA77" s="20">
        <f t="shared" si="14"/>
        <v>0.10069444444444453</v>
      </c>
      <c r="AB77">
        <f t="shared" si="20"/>
        <v>76</v>
      </c>
      <c r="AC77" s="20" t="str">
        <f t="shared" si="21"/>
        <v>20:35</v>
      </c>
      <c r="AD77" s="20" t="str">
        <f t="shared" si="15"/>
        <v>23:00</v>
      </c>
      <c r="AE77" t="str">
        <f>VLOOKUP(G77,ACtypes!A:C,3,FALSE)</f>
        <v>C</v>
      </c>
      <c r="AF77" t="str">
        <f t="shared" si="22"/>
        <v/>
      </c>
      <c r="AG77" t="str">
        <f t="shared" si="23"/>
        <v/>
      </c>
      <c r="AH77">
        <f t="shared" si="24"/>
        <v>115</v>
      </c>
    </row>
    <row r="78" spans="1:34" x14ac:dyDescent="0.3">
      <c r="A78" s="41">
        <f t="shared" si="25"/>
        <v>77</v>
      </c>
      <c r="B78" s="27">
        <v>273</v>
      </c>
      <c r="C78" s="28" t="s">
        <v>350</v>
      </c>
      <c r="D78" s="28" t="s">
        <v>13</v>
      </c>
      <c r="E78" s="28" t="s">
        <v>349</v>
      </c>
      <c r="F78" s="28" t="s">
        <v>15</v>
      </c>
      <c r="G78" s="28" t="s">
        <v>45</v>
      </c>
      <c r="H78" s="27">
        <v>0</v>
      </c>
      <c r="I78" s="27">
        <v>115</v>
      </c>
      <c r="J78" s="28" t="s">
        <v>17</v>
      </c>
      <c r="K78" s="27">
        <v>25</v>
      </c>
      <c r="L78" s="28" t="s">
        <v>22</v>
      </c>
      <c r="M78" s="27">
        <v>7.5</v>
      </c>
      <c r="O78" s="23">
        <v>31</v>
      </c>
      <c r="P78" t="str">
        <f>IF(O78&gt;0,VLOOKUP($O78,Dep!$A:$M,3),"")</f>
        <v>06:00</v>
      </c>
      <c r="Q78" t="str">
        <f>IF(O78&gt;0,VLOOKUP($O78,Dep!$A:$M,6),"")</f>
        <v>ANC</v>
      </c>
      <c r="R78" t="str">
        <f>IF(O78&gt;0,VLOOKUP($O78,Dep!$A:$M,7),"")</f>
        <v>734</v>
      </c>
      <c r="S78">
        <f>IF(O78&gt;0,VLOOKUP($O78,Dep!$A:$M,9),"")</f>
        <v>115</v>
      </c>
      <c r="T78" t="str">
        <f>IF(O78&gt;0,VLOOKUP($O78,Dep!$A:$M,10),"")</f>
        <v>NAT</v>
      </c>
      <c r="U78" t="str">
        <f>IF(O78&gt;0,VLOOKUP($O78,Dep!$A:$M,12),"")</f>
        <v>AS</v>
      </c>
      <c r="V78" t="str">
        <f t="shared" si="16"/>
        <v/>
      </c>
      <c r="W78" t="str">
        <f t="shared" si="17"/>
        <v/>
      </c>
      <c r="X78" t="str">
        <f t="shared" si="18"/>
        <v>X</v>
      </c>
      <c r="Y78">
        <f t="shared" si="13"/>
        <v>0</v>
      </c>
      <c r="Z78">
        <f t="shared" si="19"/>
        <v>1</v>
      </c>
      <c r="AA78" s="20">
        <f t="shared" si="14"/>
        <v>0.37430555555555556</v>
      </c>
      <c r="AB78">
        <f t="shared" si="20"/>
        <v>77</v>
      </c>
      <c r="AC78" s="20" t="str">
        <f t="shared" si="21"/>
        <v>21:01</v>
      </c>
      <c r="AD78" s="20" t="str">
        <f t="shared" si="15"/>
        <v>06:00</v>
      </c>
      <c r="AE78" t="str">
        <f>VLOOKUP(G78,ACtypes!A:C,3,FALSE)</f>
        <v>C</v>
      </c>
      <c r="AF78" t="str">
        <f t="shared" si="22"/>
        <v/>
      </c>
      <c r="AG78" t="str">
        <f t="shared" si="23"/>
        <v/>
      </c>
      <c r="AH78">
        <f t="shared" si="24"/>
        <v>115</v>
      </c>
    </row>
    <row r="79" spans="1:34" x14ac:dyDescent="0.3">
      <c r="A79" s="41">
        <f t="shared" si="25"/>
        <v>78</v>
      </c>
      <c r="B79" s="27">
        <v>380</v>
      </c>
      <c r="C79" s="28" t="s">
        <v>437</v>
      </c>
      <c r="D79" s="28" t="s">
        <v>13</v>
      </c>
      <c r="E79" s="28" t="s">
        <v>432</v>
      </c>
      <c r="F79" s="28" t="s">
        <v>15</v>
      </c>
      <c r="G79" s="28" t="s">
        <v>45</v>
      </c>
      <c r="H79" s="27">
        <v>0</v>
      </c>
      <c r="I79" s="27">
        <v>115</v>
      </c>
      <c r="J79" s="28" t="s">
        <v>17</v>
      </c>
      <c r="K79" s="27">
        <v>25</v>
      </c>
      <c r="L79" s="28" t="s">
        <v>22</v>
      </c>
      <c r="M79" s="27">
        <v>7.5</v>
      </c>
      <c r="O79" s="23">
        <v>32</v>
      </c>
      <c r="P79" t="str">
        <f>IF(O79&gt;0,VLOOKUP($O79,Dep!$A:$M,3),"")</f>
        <v>06:10</v>
      </c>
      <c r="Q79" t="str">
        <f>IF(O79&gt;0,VLOOKUP($O79,Dep!$A:$M,6),"")</f>
        <v>SFO</v>
      </c>
      <c r="R79" t="str">
        <f>IF(O79&gt;0,VLOOKUP($O79,Dep!$A:$M,7),"")</f>
        <v>734</v>
      </c>
      <c r="S79">
        <f>IF(O79&gt;0,VLOOKUP($O79,Dep!$A:$M,9),"")</f>
        <v>115</v>
      </c>
      <c r="T79" t="str">
        <f>IF(O79&gt;0,VLOOKUP($O79,Dep!$A:$M,10),"")</f>
        <v>NAT</v>
      </c>
      <c r="U79" t="str">
        <f>IF(O79&gt;0,VLOOKUP($O79,Dep!$A:$M,12),"")</f>
        <v>AS</v>
      </c>
      <c r="V79" t="str">
        <f t="shared" si="16"/>
        <v/>
      </c>
      <c r="W79" t="str">
        <f t="shared" si="17"/>
        <v/>
      </c>
      <c r="X79" t="str">
        <f t="shared" si="18"/>
        <v>X</v>
      </c>
      <c r="Y79">
        <f t="shared" si="13"/>
        <v>0</v>
      </c>
      <c r="Z79">
        <f t="shared" si="19"/>
        <v>1</v>
      </c>
      <c r="AA79" s="20">
        <f t="shared" si="14"/>
        <v>0.37083333333333335</v>
      </c>
      <c r="AB79">
        <f t="shared" si="20"/>
        <v>78</v>
      </c>
      <c r="AC79" s="20" t="str">
        <f t="shared" si="21"/>
        <v>21:16</v>
      </c>
      <c r="AD79" s="20" t="str">
        <f t="shared" si="15"/>
        <v>06:10</v>
      </c>
      <c r="AE79" t="str">
        <f>VLOOKUP(G79,ACtypes!A:C,3,FALSE)</f>
        <v>C</v>
      </c>
      <c r="AF79" t="str">
        <f t="shared" si="22"/>
        <v/>
      </c>
      <c r="AG79" t="str">
        <f t="shared" si="23"/>
        <v/>
      </c>
      <c r="AH79">
        <f t="shared" si="24"/>
        <v>115</v>
      </c>
    </row>
    <row r="80" spans="1:34" x14ac:dyDescent="0.3">
      <c r="A80" s="41">
        <f t="shared" si="25"/>
        <v>79</v>
      </c>
      <c r="B80" s="27">
        <v>894</v>
      </c>
      <c r="C80" s="28" t="s">
        <v>447</v>
      </c>
      <c r="D80" s="28" t="s">
        <v>13</v>
      </c>
      <c r="E80" s="28" t="s">
        <v>440</v>
      </c>
      <c r="F80" s="28" t="s">
        <v>15</v>
      </c>
      <c r="G80" s="28" t="s">
        <v>45</v>
      </c>
      <c r="H80" s="27">
        <v>0</v>
      </c>
      <c r="I80" s="27">
        <v>115</v>
      </c>
      <c r="J80" s="28" t="s">
        <v>17</v>
      </c>
      <c r="K80" s="27">
        <v>25</v>
      </c>
      <c r="L80" s="28" t="s">
        <v>22</v>
      </c>
      <c r="M80" s="27">
        <v>7.5</v>
      </c>
      <c r="O80" s="23">
        <v>33</v>
      </c>
      <c r="P80" t="str">
        <f>IF(O80&gt;0,VLOOKUP($O80,Dep!$A:$M,3),"")</f>
        <v>06:15</v>
      </c>
      <c r="Q80" t="str">
        <f>IF(O80&gt;0,VLOOKUP($O80,Dep!$A:$M,6),"")</f>
        <v>DEN</v>
      </c>
      <c r="R80" t="str">
        <f>IF(O80&gt;0,VLOOKUP($O80,Dep!$A:$M,7),"")</f>
        <v>734</v>
      </c>
      <c r="S80">
        <f>IF(O80&gt;0,VLOOKUP($O80,Dep!$A:$M,9),"")</f>
        <v>115</v>
      </c>
      <c r="T80" t="str">
        <f>IF(O80&gt;0,VLOOKUP($O80,Dep!$A:$M,10),"")</f>
        <v>NAT</v>
      </c>
      <c r="U80" t="str">
        <f>IF(O80&gt;0,VLOOKUP($O80,Dep!$A:$M,12),"")</f>
        <v>AS</v>
      </c>
      <c r="V80" t="str">
        <f t="shared" si="16"/>
        <v/>
      </c>
      <c r="W80" t="str">
        <f t="shared" si="17"/>
        <v/>
      </c>
      <c r="X80" t="str">
        <f t="shared" si="18"/>
        <v>X</v>
      </c>
      <c r="Y80">
        <f t="shared" si="13"/>
        <v>0</v>
      </c>
      <c r="Z80">
        <f t="shared" si="19"/>
        <v>1</v>
      </c>
      <c r="AA80" s="20">
        <f t="shared" si="14"/>
        <v>0.33611111111111103</v>
      </c>
      <c r="AB80">
        <f t="shared" si="20"/>
        <v>79</v>
      </c>
      <c r="AC80" s="20" t="str">
        <f t="shared" si="21"/>
        <v>22:11</v>
      </c>
      <c r="AD80" s="20" t="str">
        <f t="shared" si="15"/>
        <v>06:15</v>
      </c>
      <c r="AE80" t="str">
        <f>VLOOKUP(G80,ACtypes!A:C,3,FALSE)</f>
        <v>C</v>
      </c>
      <c r="AF80" t="str">
        <f t="shared" si="22"/>
        <v/>
      </c>
      <c r="AG80" t="str">
        <f t="shared" si="23"/>
        <v/>
      </c>
      <c r="AH80">
        <f t="shared" si="24"/>
        <v>115</v>
      </c>
    </row>
    <row r="81" spans="1:34" x14ac:dyDescent="0.3">
      <c r="A81" s="41">
        <f t="shared" si="25"/>
        <v>80</v>
      </c>
      <c r="B81" s="27">
        <v>932</v>
      </c>
      <c r="C81" s="28" t="s">
        <v>506</v>
      </c>
      <c r="D81" s="28" t="s">
        <v>13</v>
      </c>
      <c r="E81" s="28" t="s">
        <v>501</v>
      </c>
      <c r="F81" s="28" t="s">
        <v>15</v>
      </c>
      <c r="G81" s="28" t="s">
        <v>45</v>
      </c>
      <c r="H81" s="27">
        <v>0</v>
      </c>
      <c r="I81" s="27">
        <v>115</v>
      </c>
      <c r="J81" s="28" t="s">
        <v>17</v>
      </c>
      <c r="K81" s="27">
        <v>25</v>
      </c>
      <c r="L81" s="28" t="s">
        <v>22</v>
      </c>
      <c r="M81" s="27">
        <v>7.5</v>
      </c>
      <c r="O81" s="23">
        <v>34</v>
      </c>
      <c r="P81" t="str">
        <f>IF(O81&gt;0,VLOOKUP($O81,Dep!$A:$M,3),"")</f>
        <v>07:20</v>
      </c>
      <c r="Q81" t="str">
        <f>IF(O81&gt;0,VLOOKUP($O81,Dep!$A:$M,6),"")</f>
        <v>KTN</v>
      </c>
      <c r="R81" t="str">
        <f>IF(O81&gt;0,VLOOKUP($O81,Dep!$A:$M,7),"")</f>
        <v>734</v>
      </c>
      <c r="S81">
        <f>IF(O81&gt;0,VLOOKUP($O81,Dep!$A:$M,9),"")</f>
        <v>115</v>
      </c>
      <c r="T81" t="str">
        <f>IF(O81&gt;0,VLOOKUP($O81,Dep!$A:$M,10),"")</f>
        <v>NAT</v>
      </c>
      <c r="U81" t="str">
        <f>IF(O81&gt;0,VLOOKUP($O81,Dep!$A:$M,12),"")</f>
        <v>AS</v>
      </c>
      <c r="V81" t="str">
        <f t="shared" si="16"/>
        <v/>
      </c>
      <c r="W81" t="str">
        <f t="shared" si="17"/>
        <v/>
      </c>
      <c r="X81" t="str">
        <f t="shared" si="18"/>
        <v>X</v>
      </c>
      <c r="Y81">
        <f t="shared" si="13"/>
        <v>0</v>
      </c>
      <c r="Z81">
        <f t="shared" si="19"/>
        <v>1</v>
      </c>
      <c r="AA81" s="20">
        <f t="shared" si="14"/>
        <v>0.3798611111111112</v>
      </c>
      <c r="AB81">
        <f t="shared" si="20"/>
        <v>80</v>
      </c>
      <c r="AC81" s="20" t="str">
        <f t="shared" si="21"/>
        <v>22:13</v>
      </c>
      <c r="AD81" s="20" t="str">
        <f t="shared" si="15"/>
        <v>07:20</v>
      </c>
      <c r="AE81" t="str">
        <f>VLOOKUP(G81,ACtypes!A:C,3,FALSE)</f>
        <v>C</v>
      </c>
      <c r="AF81" t="str">
        <f t="shared" si="22"/>
        <v/>
      </c>
      <c r="AG81" t="str">
        <f t="shared" si="23"/>
        <v/>
      </c>
      <c r="AH81">
        <f t="shared" si="24"/>
        <v>115</v>
      </c>
    </row>
    <row r="82" spans="1:34" x14ac:dyDescent="0.3">
      <c r="A82" s="41">
        <f t="shared" si="25"/>
        <v>81</v>
      </c>
      <c r="B82" s="27">
        <v>217</v>
      </c>
      <c r="C82" s="28" t="s">
        <v>288</v>
      </c>
      <c r="D82" s="28" t="s">
        <v>13</v>
      </c>
      <c r="E82" s="28" t="s">
        <v>279</v>
      </c>
      <c r="F82" s="28" t="s">
        <v>15</v>
      </c>
      <c r="G82" s="28" t="s">
        <v>45</v>
      </c>
      <c r="H82" s="27">
        <v>0</v>
      </c>
      <c r="I82" s="27">
        <v>115</v>
      </c>
      <c r="J82" s="28" t="s">
        <v>17</v>
      </c>
      <c r="K82" s="27">
        <v>25</v>
      </c>
      <c r="L82" s="28" t="s">
        <v>22</v>
      </c>
      <c r="M82" s="27">
        <v>7.5</v>
      </c>
      <c r="O82" s="23">
        <v>35</v>
      </c>
      <c r="P82" t="str">
        <f>IF(O82&gt;0,VLOOKUP($O82,Dep!$A:$M,3),"")</f>
        <v>07:25</v>
      </c>
      <c r="Q82" t="str">
        <f>IF(O82&gt;0,VLOOKUP($O82,Dep!$A:$M,6),"")</f>
        <v>SAN</v>
      </c>
      <c r="R82" t="str">
        <f>IF(O82&gt;0,VLOOKUP($O82,Dep!$A:$M,7),"")</f>
        <v>734</v>
      </c>
      <c r="S82">
        <f>IF(O82&gt;0,VLOOKUP($O82,Dep!$A:$M,9),"")</f>
        <v>115</v>
      </c>
      <c r="T82" t="str">
        <f>IF(O82&gt;0,VLOOKUP($O82,Dep!$A:$M,10),"")</f>
        <v>NAT</v>
      </c>
      <c r="U82" t="str">
        <f>IF(O82&gt;0,VLOOKUP($O82,Dep!$A:$M,12),"")</f>
        <v>AS</v>
      </c>
      <c r="V82" t="str">
        <f t="shared" si="16"/>
        <v/>
      </c>
      <c r="W82" t="str">
        <f t="shared" si="17"/>
        <v/>
      </c>
      <c r="X82" t="str">
        <f t="shared" si="18"/>
        <v>X</v>
      </c>
      <c r="Y82">
        <f t="shared" si="13"/>
        <v>0</v>
      </c>
      <c r="Z82">
        <f t="shared" si="19"/>
        <v>1</v>
      </c>
      <c r="AA82" s="20">
        <f t="shared" si="14"/>
        <v>0.33055555555555549</v>
      </c>
      <c r="AB82">
        <f t="shared" si="20"/>
        <v>81</v>
      </c>
      <c r="AC82" s="20" t="str">
        <f t="shared" si="21"/>
        <v>23:29</v>
      </c>
      <c r="AD82" s="20" t="str">
        <f t="shared" si="15"/>
        <v>07:25</v>
      </c>
      <c r="AE82" t="str">
        <f>VLOOKUP(G82,ACtypes!A:C,3,FALSE)</f>
        <v>C</v>
      </c>
      <c r="AF82" t="str">
        <f t="shared" si="22"/>
        <v/>
      </c>
      <c r="AG82" t="str">
        <f t="shared" si="23"/>
        <v/>
      </c>
      <c r="AH82">
        <f t="shared" si="24"/>
        <v>115</v>
      </c>
    </row>
    <row r="83" spans="1:34" x14ac:dyDescent="0.3">
      <c r="A83" s="41">
        <f t="shared" si="25"/>
        <v>82</v>
      </c>
      <c r="B83" s="27">
        <v>184</v>
      </c>
      <c r="C83" s="28" t="s">
        <v>255</v>
      </c>
      <c r="D83" s="28" t="s">
        <v>13</v>
      </c>
      <c r="E83" s="28" t="s">
        <v>252</v>
      </c>
      <c r="F83" s="28" t="s">
        <v>15</v>
      </c>
      <c r="G83" s="28" t="s">
        <v>45</v>
      </c>
      <c r="H83" s="27">
        <v>0</v>
      </c>
      <c r="I83" s="27">
        <v>115</v>
      </c>
      <c r="J83" s="28" t="s">
        <v>17</v>
      </c>
      <c r="K83" s="27">
        <v>25</v>
      </c>
      <c r="L83" s="28" t="s">
        <v>22</v>
      </c>
      <c r="M83" s="27">
        <v>7.5</v>
      </c>
      <c r="O83" s="23">
        <v>36</v>
      </c>
      <c r="P83" t="str">
        <f>IF(O83&gt;0,VLOOKUP($O83,Dep!$A:$M,3),"")</f>
        <v>07:41</v>
      </c>
      <c r="Q83" t="str">
        <f>IF(O83&gt;0,VLOOKUP($O83,Dep!$A:$M,6),"")</f>
        <v>JNU</v>
      </c>
      <c r="R83" t="str">
        <f>IF(O83&gt;0,VLOOKUP($O83,Dep!$A:$M,7),"")</f>
        <v>734</v>
      </c>
      <c r="S83">
        <f>IF(O83&gt;0,VLOOKUP($O83,Dep!$A:$M,9),"")</f>
        <v>115</v>
      </c>
      <c r="T83" t="str">
        <f>IF(O83&gt;0,VLOOKUP($O83,Dep!$A:$M,10),"")</f>
        <v>NAT</v>
      </c>
      <c r="U83" t="str">
        <f>IF(O83&gt;0,VLOOKUP($O83,Dep!$A:$M,12),"")</f>
        <v>AS</v>
      </c>
      <c r="V83" t="str">
        <f t="shared" si="16"/>
        <v/>
      </c>
      <c r="W83" t="str">
        <f t="shared" si="17"/>
        <v/>
      </c>
      <c r="X83" t="str">
        <f t="shared" si="18"/>
        <v/>
      </c>
      <c r="Y83">
        <f t="shared" si="13"/>
        <v>0</v>
      </c>
      <c r="Z83">
        <f t="shared" si="19"/>
        <v>1</v>
      </c>
      <c r="AA83" s="20">
        <f t="shared" si="14"/>
        <v>0.33402777777777781</v>
      </c>
      <c r="AB83">
        <f t="shared" si="20"/>
        <v>82</v>
      </c>
      <c r="AC83" s="20" t="str">
        <f t="shared" si="21"/>
        <v>23:40</v>
      </c>
      <c r="AD83" s="20" t="str">
        <f t="shared" si="15"/>
        <v>07:41</v>
      </c>
      <c r="AE83" t="str">
        <f>VLOOKUP(G83,ACtypes!A:C,3,FALSE)</f>
        <v>C</v>
      </c>
      <c r="AF83" t="str">
        <f t="shared" si="22"/>
        <v/>
      </c>
      <c r="AG83" t="str">
        <f t="shared" si="23"/>
        <v/>
      </c>
      <c r="AH83">
        <f t="shared" si="24"/>
        <v>115</v>
      </c>
    </row>
    <row r="84" spans="1:34" x14ac:dyDescent="0.3">
      <c r="A84" s="41">
        <f t="shared" si="25"/>
        <v>83</v>
      </c>
      <c r="B84" s="27">
        <v>120</v>
      </c>
      <c r="C84" s="28" t="s">
        <v>182</v>
      </c>
      <c r="D84" s="28" t="s">
        <v>13</v>
      </c>
      <c r="E84" s="28" t="s">
        <v>180</v>
      </c>
      <c r="F84" s="28" t="s">
        <v>15</v>
      </c>
      <c r="G84" s="28" t="s">
        <v>70</v>
      </c>
      <c r="H84" s="27">
        <v>0</v>
      </c>
      <c r="I84" s="27">
        <v>128</v>
      </c>
      <c r="J84" s="28" t="s">
        <v>17</v>
      </c>
      <c r="K84" s="27">
        <v>25</v>
      </c>
      <c r="L84" s="28" t="s">
        <v>22</v>
      </c>
      <c r="M84" s="27">
        <v>0</v>
      </c>
      <c r="O84" s="23">
        <v>85</v>
      </c>
      <c r="P84" t="str">
        <f>IF(O84&gt;0,VLOOKUP($O84,Dep!$A:$M,3),"")</f>
        <v>12:06</v>
      </c>
      <c r="Q84" t="str">
        <f>IF(O84&gt;0,VLOOKUP($O84,Dep!$A:$M,6),"")</f>
        <v>LAX</v>
      </c>
      <c r="R84" t="str">
        <f>IF(O84&gt;0,VLOOKUP($O84,Dep!$A:$M,7),"")</f>
        <v>738</v>
      </c>
      <c r="S84">
        <f>IF(O84&gt;0,VLOOKUP($O84,Dep!$A:$M,9),"")</f>
        <v>128</v>
      </c>
      <c r="T84" t="str">
        <f>IF(O84&gt;0,VLOOKUP($O84,Dep!$A:$M,10),"")</f>
        <v>NAT</v>
      </c>
      <c r="U84" t="str">
        <f>IF(O84&gt;0,VLOOKUP($O84,Dep!$A:$M,12),"")</f>
        <v>AS</v>
      </c>
      <c r="V84" t="str">
        <f t="shared" si="16"/>
        <v/>
      </c>
      <c r="W84" t="str">
        <f t="shared" si="17"/>
        <v/>
      </c>
      <c r="X84" t="str">
        <f t="shared" si="18"/>
        <v>X</v>
      </c>
      <c r="Y84">
        <f t="shared" si="13"/>
        <v>0</v>
      </c>
      <c r="Z84" t="str">
        <f t="shared" si="19"/>
        <v/>
      </c>
      <c r="AA84" s="20">
        <f t="shared" si="14"/>
        <v>0.28402777777777777</v>
      </c>
      <c r="AB84">
        <f t="shared" si="20"/>
        <v>83</v>
      </c>
      <c r="AC84" s="20" t="str">
        <f t="shared" si="21"/>
        <v>05:17</v>
      </c>
      <c r="AD84" s="20" t="str">
        <f t="shared" si="15"/>
        <v>12:06</v>
      </c>
      <c r="AE84" t="str">
        <f>VLOOKUP(G84,ACtypes!A:C,3,FALSE)</f>
        <v>C</v>
      </c>
      <c r="AF84" t="str">
        <f t="shared" si="22"/>
        <v/>
      </c>
      <c r="AG84" t="str">
        <f t="shared" si="23"/>
        <v/>
      </c>
      <c r="AH84">
        <f t="shared" si="24"/>
        <v>128</v>
      </c>
    </row>
    <row r="85" spans="1:34" x14ac:dyDescent="0.3">
      <c r="A85" s="41">
        <f t="shared" si="25"/>
        <v>84</v>
      </c>
      <c r="B85" s="27">
        <v>200</v>
      </c>
      <c r="C85" s="28" t="s">
        <v>271</v>
      </c>
      <c r="D85" s="28" t="s">
        <v>13</v>
      </c>
      <c r="E85" s="28" t="s">
        <v>265</v>
      </c>
      <c r="F85" s="28" t="s">
        <v>15</v>
      </c>
      <c r="G85" s="28" t="s">
        <v>70</v>
      </c>
      <c r="H85" s="27">
        <v>0</v>
      </c>
      <c r="I85" s="27">
        <v>128</v>
      </c>
      <c r="J85" s="28" t="s">
        <v>17</v>
      </c>
      <c r="K85" s="27">
        <v>25</v>
      </c>
      <c r="L85" s="28" t="s">
        <v>22</v>
      </c>
      <c r="M85" s="27">
        <v>0</v>
      </c>
      <c r="O85" s="23">
        <v>86</v>
      </c>
      <c r="P85" t="str">
        <f>IF(O85&gt;0,VLOOKUP($O85,Dep!$A:$M,3),"")</f>
        <v>14:24</v>
      </c>
      <c r="Q85" t="str">
        <f>IF(O85&gt;0,VLOOKUP($O85,Dep!$A:$M,6),"")</f>
        <v>SNA</v>
      </c>
      <c r="R85" t="str">
        <f>IF(O85&gt;0,VLOOKUP($O85,Dep!$A:$M,7),"")</f>
        <v>738</v>
      </c>
      <c r="S85">
        <f>IF(O85&gt;0,VLOOKUP($O85,Dep!$A:$M,9),"")</f>
        <v>128</v>
      </c>
      <c r="T85" t="str">
        <f>IF(O85&gt;0,VLOOKUP($O85,Dep!$A:$M,10),"")</f>
        <v>NAT</v>
      </c>
      <c r="U85" t="str">
        <f>IF(O85&gt;0,VLOOKUP($O85,Dep!$A:$M,12),"")</f>
        <v>AS</v>
      </c>
      <c r="V85" t="str">
        <f t="shared" si="16"/>
        <v/>
      </c>
      <c r="W85" t="str">
        <f t="shared" si="17"/>
        <v/>
      </c>
      <c r="X85" t="str">
        <f t="shared" si="18"/>
        <v>X</v>
      </c>
      <c r="Y85">
        <f t="shared" si="13"/>
        <v>0</v>
      </c>
      <c r="Z85" t="str">
        <f t="shared" si="19"/>
        <v/>
      </c>
      <c r="AA85" s="20">
        <f t="shared" si="14"/>
        <v>3.472222222222221E-2</v>
      </c>
      <c r="AB85">
        <f t="shared" si="20"/>
        <v>84</v>
      </c>
      <c r="AC85" s="20" t="str">
        <f t="shared" si="21"/>
        <v>13:34</v>
      </c>
      <c r="AD85" s="20" t="str">
        <f t="shared" si="15"/>
        <v>14:24</v>
      </c>
      <c r="AE85" t="str">
        <f>VLOOKUP(G85,ACtypes!A:C,3,FALSE)</f>
        <v>C</v>
      </c>
      <c r="AF85" t="str">
        <f t="shared" si="22"/>
        <v/>
      </c>
      <c r="AG85" t="str">
        <f t="shared" si="23"/>
        <v/>
      </c>
      <c r="AH85">
        <f t="shared" si="24"/>
        <v>128</v>
      </c>
    </row>
    <row r="86" spans="1:34" x14ac:dyDescent="0.3">
      <c r="A86" s="41">
        <f t="shared" si="25"/>
        <v>85</v>
      </c>
      <c r="B86" s="27">
        <v>216</v>
      </c>
      <c r="C86" s="28" t="s">
        <v>287</v>
      </c>
      <c r="D86" s="28" t="s">
        <v>13</v>
      </c>
      <c r="E86" s="28" t="s">
        <v>279</v>
      </c>
      <c r="F86" s="28" t="s">
        <v>15</v>
      </c>
      <c r="G86" s="28" t="s">
        <v>70</v>
      </c>
      <c r="H86" s="27">
        <v>0</v>
      </c>
      <c r="I86" s="27">
        <v>128</v>
      </c>
      <c r="J86" s="28" t="s">
        <v>17</v>
      </c>
      <c r="K86" s="27">
        <v>25</v>
      </c>
      <c r="L86" s="28" t="s">
        <v>22</v>
      </c>
      <c r="M86" s="27">
        <v>0</v>
      </c>
      <c r="O86" s="23">
        <v>87</v>
      </c>
      <c r="P86" t="str">
        <f>IF(O86&gt;0,VLOOKUP($O86,Dep!$A:$M,3),"")</f>
        <v>18:46</v>
      </c>
      <c r="Q86" t="str">
        <f>IF(O86&gt;0,VLOOKUP($O86,Dep!$A:$M,6),"")</f>
        <v>SJC</v>
      </c>
      <c r="R86" t="str">
        <f>IF(O86&gt;0,VLOOKUP($O86,Dep!$A:$M,7),"")</f>
        <v>738</v>
      </c>
      <c r="S86">
        <f>IF(O86&gt;0,VLOOKUP($O86,Dep!$A:$M,9),"")</f>
        <v>128</v>
      </c>
      <c r="T86" t="str">
        <f>IF(O86&gt;0,VLOOKUP($O86,Dep!$A:$M,10),"")</f>
        <v>NAT</v>
      </c>
      <c r="U86" t="str">
        <f>IF(O86&gt;0,VLOOKUP($O86,Dep!$A:$M,12),"")</f>
        <v>AS</v>
      </c>
      <c r="V86" t="str">
        <f t="shared" si="16"/>
        <v/>
      </c>
      <c r="W86" t="str">
        <f t="shared" si="17"/>
        <v/>
      </c>
      <c r="X86" t="str">
        <f t="shared" si="18"/>
        <v>X</v>
      </c>
      <c r="Y86">
        <f t="shared" si="13"/>
        <v>0</v>
      </c>
      <c r="Z86" t="str">
        <f t="shared" si="19"/>
        <v/>
      </c>
      <c r="AA86" s="20">
        <f t="shared" si="14"/>
        <v>3.472222222222221E-2</v>
      </c>
      <c r="AB86">
        <f t="shared" si="20"/>
        <v>85</v>
      </c>
      <c r="AC86" s="20" t="str">
        <f t="shared" si="21"/>
        <v>17:56</v>
      </c>
      <c r="AD86" s="20" t="str">
        <f t="shared" si="15"/>
        <v>18:46</v>
      </c>
      <c r="AE86" t="str">
        <f>VLOOKUP(G86,ACtypes!A:C,3,FALSE)</f>
        <v>C</v>
      </c>
      <c r="AF86" t="str">
        <f t="shared" si="22"/>
        <v/>
      </c>
      <c r="AG86" t="str">
        <f t="shared" si="23"/>
        <v/>
      </c>
      <c r="AH86">
        <f t="shared" si="24"/>
        <v>128</v>
      </c>
    </row>
    <row r="87" spans="1:34" x14ac:dyDescent="0.3">
      <c r="A87" s="41">
        <f t="shared" si="25"/>
        <v>86</v>
      </c>
      <c r="B87" s="27">
        <v>936</v>
      </c>
      <c r="C87" s="28" t="s">
        <v>510</v>
      </c>
      <c r="D87" s="28" t="s">
        <v>13</v>
      </c>
      <c r="E87" s="28" t="s">
        <v>511</v>
      </c>
      <c r="F87" s="28" t="s">
        <v>15</v>
      </c>
      <c r="G87" s="28" t="s">
        <v>70</v>
      </c>
      <c r="H87" s="27">
        <v>0</v>
      </c>
      <c r="I87" s="27">
        <v>128</v>
      </c>
      <c r="J87" s="28" t="s">
        <v>17</v>
      </c>
      <c r="K87" s="27">
        <v>25</v>
      </c>
      <c r="L87" s="28" t="s">
        <v>22</v>
      </c>
      <c r="M87" s="27">
        <v>0</v>
      </c>
      <c r="O87" s="23">
        <v>88</v>
      </c>
      <c r="P87" t="str">
        <f>IF(O87&gt;0,VLOOKUP($O87,Dep!$A:$M,3),"")</f>
        <v>21:21</v>
      </c>
      <c r="Q87" t="str">
        <f>IF(O87&gt;0,VLOOKUP($O87,Dep!$A:$M,6),"")</f>
        <v>FAI</v>
      </c>
      <c r="R87" t="str">
        <f>IF(O87&gt;0,VLOOKUP($O87,Dep!$A:$M,7),"")</f>
        <v>738</v>
      </c>
      <c r="S87">
        <f>IF(O87&gt;0,VLOOKUP($O87,Dep!$A:$M,9),"")</f>
        <v>128</v>
      </c>
      <c r="T87" t="str">
        <f>IF(O87&gt;0,VLOOKUP($O87,Dep!$A:$M,10),"")</f>
        <v>NAT</v>
      </c>
      <c r="U87" t="str">
        <f>IF(O87&gt;0,VLOOKUP($O87,Dep!$A:$M,12),"")</f>
        <v>AS</v>
      </c>
      <c r="V87" t="str">
        <f t="shared" si="16"/>
        <v/>
      </c>
      <c r="W87" t="str">
        <f t="shared" si="17"/>
        <v/>
      </c>
      <c r="X87" t="str">
        <f t="shared" si="18"/>
        <v>X</v>
      </c>
      <c r="Y87">
        <f t="shared" si="13"/>
        <v>0</v>
      </c>
      <c r="Z87" t="str">
        <f t="shared" si="19"/>
        <v/>
      </c>
      <c r="AA87" s="20">
        <f t="shared" si="14"/>
        <v>4.166666666666663E-2</v>
      </c>
      <c r="AB87">
        <f t="shared" si="20"/>
        <v>86</v>
      </c>
      <c r="AC87" s="20" t="str">
        <f t="shared" si="21"/>
        <v>20:21</v>
      </c>
      <c r="AD87" s="20" t="str">
        <f t="shared" si="15"/>
        <v>21:21</v>
      </c>
      <c r="AE87" t="str">
        <f>VLOOKUP(G87,ACtypes!A:C,3,FALSE)</f>
        <v>C</v>
      </c>
      <c r="AF87" t="str">
        <f t="shared" si="22"/>
        <v/>
      </c>
      <c r="AG87" t="str">
        <f t="shared" si="23"/>
        <v/>
      </c>
      <c r="AH87">
        <f t="shared" si="24"/>
        <v>128</v>
      </c>
    </row>
    <row r="88" spans="1:34" x14ac:dyDescent="0.3">
      <c r="A88" s="41">
        <f t="shared" si="25"/>
        <v>87</v>
      </c>
      <c r="B88" s="27">
        <v>114</v>
      </c>
      <c r="C88" s="28" t="s">
        <v>177</v>
      </c>
      <c r="D88" s="28" t="s">
        <v>13</v>
      </c>
      <c r="E88" s="28" t="s">
        <v>172</v>
      </c>
      <c r="F88" s="28" t="s">
        <v>15</v>
      </c>
      <c r="G88" s="28" t="s">
        <v>70</v>
      </c>
      <c r="H88" s="27">
        <v>0</v>
      </c>
      <c r="I88" s="27">
        <v>128</v>
      </c>
      <c r="J88" s="28" t="s">
        <v>17</v>
      </c>
      <c r="K88" s="27">
        <v>25</v>
      </c>
      <c r="L88" s="28" t="s">
        <v>22</v>
      </c>
      <c r="M88" s="27">
        <v>0</v>
      </c>
      <c r="O88" s="23">
        <v>83</v>
      </c>
      <c r="P88" t="str">
        <f>IF(O88&gt;0,VLOOKUP($O88,Dep!$A:$M,3),"")</f>
        <v>08:00</v>
      </c>
      <c r="Q88" t="str">
        <f>IF(O88&gt;0,VLOOKUP($O88,Dep!$A:$M,6),"")</f>
        <v>LAS</v>
      </c>
      <c r="R88" t="str">
        <f>IF(O88&gt;0,VLOOKUP($O88,Dep!$A:$M,7),"")</f>
        <v>738</v>
      </c>
      <c r="S88">
        <f>IF(O88&gt;0,VLOOKUP($O88,Dep!$A:$M,9),"")</f>
        <v>128</v>
      </c>
      <c r="T88" t="str">
        <f>IF(O88&gt;0,VLOOKUP($O88,Dep!$A:$M,10),"")</f>
        <v>NAT</v>
      </c>
      <c r="U88" t="str">
        <f>IF(O88&gt;0,VLOOKUP($O88,Dep!$A:$M,12),"")</f>
        <v>AS</v>
      </c>
      <c r="V88" t="str">
        <f t="shared" si="16"/>
        <v/>
      </c>
      <c r="W88" t="str">
        <f t="shared" si="17"/>
        <v/>
      </c>
      <c r="X88" t="str">
        <f t="shared" si="18"/>
        <v>X</v>
      </c>
      <c r="Y88">
        <f t="shared" si="13"/>
        <v>0</v>
      </c>
      <c r="Z88">
        <f t="shared" si="19"/>
        <v>1</v>
      </c>
      <c r="AA88" s="20">
        <f t="shared" si="14"/>
        <v>0.44930555555555562</v>
      </c>
      <c r="AB88">
        <f t="shared" si="20"/>
        <v>87</v>
      </c>
      <c r="AC88" s="20" t="str">
        <f t="shared" si="21"/>
        <v>21:13</v>
      </c>
      <c r="AD88" s="20" t="str">
        <f t="shared" si="15"/>
        <v>08:00</v>
      </c>
      <c r="AE88" t="str">
        <f>VLOOKUP(G88,ACtypes!A:C,3,FALSE)</f>
        <v>C</v>
      </c>
      <c r="AF88" t="str">
        <f t="shared" si="22"/>
        <v/>
      </c>
      <c r="AG88" t="str">
        <f t="shared" si="23"/>
        <v/>
      </c>
      <c r="AH88">
        <f t="shared" si="24"/>
        <v>128</v>
      </c>
    </row>
    <row r="89" spans="1:34" x14ac:dyDescent="0.3">
      <c r="A89" s="41">
        <f t="shared" si="25"/>
        <v>88</v>
      </c>
      <c r="B89" s="27">
        <v>904</v>
      </c>
      <c r="C89" s="28" t="s">
        <v>457</v>
      </c>
      <c r="D89" s="28" t="s">
        <v>13</v>
      </c>
      <c r="E89" s="28" t="s">
        <v>455</v>
      </c>
      <c r="F89" s="28" t="s">
        <v>15</v>
      </c>
      <c r="G89" s="28" t="s">
        <v>70</v>
      </c>
      <c r="H89" s="27">
        <v>0</v>
      </c>
      <c r="I89" s="27">
        <v>128</v>
      </c>
      <c r="J89" s="28" t="s">
        <v>17</v>
      </c>
      <c r="K89" s="27">
        <v>25</v>
      </c>
      <c r="L89" s="28" t="s">
        <v>22</v>
      </c>
      <c r="M89" s="27">
        <v>0</v>
      </c>
      <c r="O89" s="23">
        <v>84</v>
      </c>
      <c r="P89" t="str">
        <f>IF(O89&gt;0,VLOOKUP($O89,Dep!$A:$M,3),"")</f>
        <v>08:55</v>
      </c>
      <c r="Q89" t="str">
        <f>IF(O89&gt;0,VLOOKUP($O89,Dep!$A:$M,6),"")</f>
        <v>EWR</v>
      </c>
      <c r="R89" t="str">
        <f>IF(O89&gt;0,VLOOKUP($O89,Dep!$A:$M,7),"")</f>
        <v>738</v>
      </c>
      <c r="S89">
        <f>IF(O89&gt;0,VLOOKUP($O89,Dep!$A:$M,9),"")</f>
        <v>128</v>
      </c>
      <c r="T89" t="str">
        <f>IF(O89&gt;0,VLOOKUP($O89,Dep!$A:$M,10),"")</f>
        <v>NAT</v>
      </c>
      <c r="U89" t="str">
        <f>IF(O89&gt;0,VLOOKUP($O89,Dep!$A:$M,12),"")</f>
        <v>AS</v>
      </c>
      <c r="V89" t="str">
        <f t="shared" si="16"/>
        <v/>
      </c>
      <c r="W89" t="str">
        <f t="shared" si="17"/>
        <v/>
      </c>
      <c r="X89" t="str">
        <f t="shared" si="18"/>
        <v>X</v>
      </c>
      <c r="Y89">
        <f t="shared" si="13"/>
        <v>0</v>
      </c>
      <c r="Z89">
        <f t="shared" si="19"/>
        <v>1</v>
      </c>
      <c r="AA89" s="20">
        <f t="shared" si="14"/>
        <v>0.39513888888888893</v>
      </c>
      <c r="AB89">
        <f t="shared" si="20"/>
        <v>88</v>
      </c>
      <c r="AC89" s="20" t="str">
        <f t="shared" si="21"/>
        <v>23:26</v>
      </c>
      <c r="AD89" s="20" t="str">
        <f t="shared" si="15"/>
        <v>08:55</v>
      </c>
      <c r="AE89" t="str">
        <f>VLOOKUP(G89,ACtypes!A:C,3,FALSE)</f>
        <v>C</v>
      </c>
      <c r="AF89" t="str">
        <f t="shared" si="22"/>
        <v/>
      </c>
      <c r="AG89" t="str">
        <f t="shared" si="23"/>
        <v/>
      </c>
      <c r="AH89">
        <f t="shared" si="24"/>
        <v>128</v>
      </c>
    </row>
    <row r="90" spans="1:34" x14ac:dyDescent="0.3">
      <c r="A90" s="41">
        <f t="shared" si="25"/>
        <v>89</v>
      </c>
      <c r="B90" s="27">
        <v>26</v>
      </c>
      <c r="C90" s="28" t="s">
        <v>59</v>
      </c>
      <c r="D90" s="28" t="s">
        <v>13</v>
      </c>
      <c r="E90" s="28" t="s">
        <v>31</v>
      </c>
      <c r="F90" s="28" t="s">
        <v>15</v>
      </c>
      <c r="G90" s="28" t="s">
        <v>43</v>
      </c>
      <c r="H90" s="27">
        <v>0</v>
      </c>
      <c r="I90" s="27">
        <v>138</v>
      </c>
      <c r="J90" s="28" t="s">
        <v>17</v>
      </c>
      <c r="K90" s="27">
        <v>25</v>
      </c>
      <c r="L90" s="28" t="s">
        <v>22</v>
      </c>
      <c r="M90" s="27">
        <v>9</v>
      </c>
      <c r="O90" s="23">
        <v>95</v>
      </c>
      <c r="P90" t="str">
        <f>IF(O90&gt;0,VLOOKUP($O90,Dep!$A:$M,3),"")</f>
        <v>08:45</v>
      </c>
      <c r="Q90" t="str">
        <f>IF(O90&gt;0,VLOOKUP($O90,Dep!$A:$M,6),"")</f>
        <v>MCO</v>
      </c>
      <c r="R90" t="str">
        <f>IF(O90&gt;0,VLOOKUP($O90,Dep!$A:$M,7),"")</f>
        <v>739</v>
      </c>
      <c r="S90">
        <f>IF(O90&gt;0,VLOOKUP($O90,Dep!$A:$M,9),"")</f>
        <v>138</v>
      </c>
      <c r="T90" t="str">
        <f>IF(O90&gt;0,VLOOKUP($O90,Dep!$A:$M,10),"")</f>
        <v>NAT</v>
      </c>
      <c r="U90" t="str">
        <f>IF(O90&gt;0,VLOOKUP($O90,Dep!$A:$M,12),"")</f>
        <v>AS</v>
      </c>
      <c r="V90" t="str">
        <f t="shared" si="16"/>
        <v/>
      </c>
      <c r="W90" t="str">
        <f t="shared" si="17"/>
        <v/>
      </c>
      <c r="X90" t="str">
        <f t="shared" si="18"/>
        <v>X</v>
      </c>
      <c r="Y90">
        <f t="shared" si="13"/>
        <v>0</v>
      </c>
      <c r="Z90" t="str">
        <f t="shared" si="19"/>
        <v/>
      </c>
      <c r="AA90" s="20">
        <f t="shared" si="14"/>
        <v>0.14930555555555552</v>
      </c>
      <c r="AB90">
        <f t="shared" si="20"/>
        <v>89</v>
      </c>
      <c r="AC90" s="20" t="str">
        <f t="shared" si="21"/>
        <v>05:10</v>
      </c>
      <c r="AD90" s="20" t="str">
        <f t="shared" si="15"/>
        <v>08:45</v>
      </c>
      <c r="AE90" t="str">
        <f>VLOOKUP(G90,ACtypes!A:C,3,FALSE)</f>
        <v>C</v>
      </c>
      <c r="AF90" t="str">
        <f t="shared" si="22"/>
        <v/>
      </c>
      <c r="AG90" t="str">
        <f t="shared" si="23"/>
        <v/>
      </c>
      <c r="AH90">
        <f t="shared" si="24"/>
        <v>138</v>
      </c>
    </row>
    <row r="91" spans="1:34" x14ac:dyDescent="0.3">
      <c r="A91" s="41">
        <f t="shared" si="25"/>
        <v>90</v>
      </c>
      <c r="B91" s="27">
        <v>991</v>
      </c>
      <c r="C91" s="28" t="s">
        <v>492</v>
      </c>
      <c r="D91" s="28" t="s">
        <v>13</v>
      </c>
      <c r="E91" s="28" t="s">
        <v>490</v>
      </c>
      <c r="F91" s="28" t="s">
        <v>15</v>
      </c>
      <c r="G91" s="28" t="s">
        <v>43</v>
      </c>
      <c r="H91" s="27">
        <v>0</v>
      </c>
      <c r="I91" s="27">
        <v>138</v>
      </c>
      <c r="J91" s="28" t="s">
        <v>28</v>
      </c>
      <c r="K91" s="27">
        <v>25</v>
      </c>
      <c r="L91" s="28" t="s">
        <v>22</v>
      </c>
      <c r="M91" s="27">
        <v>9</v>
      </c>
      <c r="O91" s="23">
        <v>96</v>
      </c>
      <c r="P91" t="str">
        <f>IF(O91&gt;0,VLOOKUP($O91,Dep!$A:$M,3),"")</f>
        <v>09:51</v>
      </c>
      <c r="Q91" t="str">
        <f>IF(O91&gt;0,VLOOKUP($O91,Dep!$A:$M,6),"")</f>
        <v>LAX</v>
      </c>
      <c r="R91" t="str">
        <f>IF(O91&gt;0,VLOOKUP($O91,Dep!$A:$M,7),"")</f>
        <v>739</v>
      </c>
      <c r="S91">
        <f>IF(O91&gt;0,VLOOKUP($O91,Dep!$A:$M,9),"")</f>
        <v>138</v>
      </c>
      <c r="T91" t="str">
        <f>IF(O91&gt;0,VLOOKUP($O91,Dep!$A:$M,10),"")</f>
        <v>NAT</v>
      </c>
      <c r="U91" t="str">
        <f>IF(O91&gt;0,VLOOKUP($O91,Dep!$A:$M,12),"")</f>
        <v>AS</v>
      </c>
      <c r="V91" t="str">
        <f t="shared" si="16"/>
        <v/>
      </c>
      <c r="W91" t="str">
        <f t="shared" si="17"/>
        <v/>
      </c>
      <c r="X91" t="str">
        <f t="shared" si="18"/>
        <v>X</v>
      </c>
      <c r="Y91">
        <f t="shared" si="13"/>
        <v>0</v>
      </c>
      <c r="Z91" t="str">
        <f t="shared" si="19"/>
        <v/>
      </c>
      <c r="AA91" s="20">
        <f t="shared" si="14"/>
        <v>0.11388888888888887</v>
      </c>
      <c r="AB91">
        <f t="shared" si="20"/>
        <v>90</v>
      </c>
      <c r="AC91" s="20" t="str">
        <f t="shared" si="21"/>
        <v>07:07</v>
      </c>
      <c r="AD91" s="20" t="str">
        <f t="shared" si="15"/>
        <v>09:51</v>
      </c>
      <c r="AE91" t="str">
        <f>VLOOKUP(G91,ACtypes!A:C,3,FALSE)</f>
        <v>C</v>
      </c>
      <c r="AF91">
        <f t="shared" si="22"/>
        <v>1</v>
      </c>
      <c r="AG91" t="str">
        <f t="shared" si="23"/>
        <v/>
      </c>
      <c r="AH91">
        <f t="shared" si="24"/>
        <v>138</v>
      </c>
    </row>
    <row r="92" spans="1:34" x14ac:dyDescent="0.3">
      <c r="A92" s="41">
        <f t="shared" si="25"/>
        <v>91</v>
      </c>
      <c r="B92" s="27">
        <v>905</v>
      </c>
      <c r="C92" s="28" t="s">
        <v>327</v>
      </c>
      <c r="D92" s="28" t="s">
        <v>13</v>
      </c>
      <c r="E92" s="28" t="s">
        <v>455</v>
      </c>
      <c r="F92" s="28" t="s">
        <v>15</v>
      </c>
      <c r="G92" s="28" t="s">
        <v>43</v>
      </c>
      <c r="H92" s="27">
        <v>0</v>
      </c>
      <c r="I92" s="27">
        <v>138</v>
      </c>
      <c r="J92" s="28" t="s">
        <v>17</v>
      </c>
      <c r="K92" s="27">
        <v>25</v>
      </c>
      <c r="L92" s="28" t="s">
        <v>22</v>
      </c>
      <c r="M92" s="27">
        <v>9</v>
      </c>
      <c r="O92" s="23">
        <v>97</v>
      </c>
      <c r="P92" t="str">
        <f>IF(O92&gt;0,VLOOKUP($O92,Dep!$A:$M,3),"")</f>
        <v>11:18</v>
      </c>
      <c r="Q92" t="str">
        <f>IF(O92&gt;0,VLOOKUP($O92,Dep!$A:$M,6),"")</f>
        <v>LAS</v>
      </c>
      <c r="R92" t="str">
        <f>IF(O92&gt;0,VLOOKUP($O92,Dep!$A:$M,7),"")</f>
        <v>739</v>
      </c>
      <c r="S92">
        <f>IF(O92&gt;0,VLOOKUP($O92,Dep!$A:$M,9),"")</f>
        <v>138</v>
      </c>
      <c r="T92" t="str">
        <f>IF(O92&gt;0,VLOOKUP($O92,Dep!$A:$M,10),"")</f>
        <v>NAT</v>
      </c>
      <c r="U92" t="str">
        <f>IF(O92&gt;0,VLOOKUP($O92,Dep!$A:$M,12),"")</f>
        <v>AS</v>
      </c>
      <c r="V92" t="str">
        <f t="shared" si="16"/>
        <v/>
      </c>
      <c r="W92" t="str">
        <f t="shared" si="17"/>
        <v/>
      </c>
      <c r="X92" t="str">
        <f t="shared" si="18"/>
        <v>X</v>
      </c>
      <c r="Y92">
        <f t="shared" si="13"/>
        <v>0</v>
      </c>
      <c r="Z92" t="str">
        <f t="shared" si="19"/>
        <v/>
      </c>
      <c r="AA92" s="20">
        <f t="shared" si="14"/>
        <v>9.5138888888888884E-2</v>
      </c>
      <c r="AB92">
        <f t="shared" si="20"/>
        <v>91</v>
      </c>
      <c r="AC92" s="20" t="str">
        <f t="shared" si="21"/>
        <v>09:01</v>
      </c>
      <c r="AD92" s="20" t="str">
        <f t="shared" si="15"/>
        <v>11:18</v>
      </c>
      <c r="AE92" t="str">
        <f>VLOOKUP(G92,ACtypes!A:C,3,FALSE)</f>
        <v>C</v>
      </c>
      <c r="AF92" t="str">
        <f t="shared" si="22"/>
        <v/>
      </c>
      <c r="AG92" t="str">
        <f t="shared" si="23"/>
        <v/>
      </c>
      <c r="AH92">
        <f t="shared" si="24"/>
        <v>138</v>
      </c>
    </row>
    <row r="93" spans="1:34" x14ac:dyDescent="0.3">
      <c r="A93" s="41">
        <f t="shared" si="25"/>
        <v>92</v>
      </c>
      <c r="B93" s="27">
        <v>160</v>
      </c>
      <c r="C93" s="28" t="s">
        <v>228</v>
      </c>
      <c r="D93" s="28" t="s">
        <v>13</v>
      </c>
      <c r="E93" s="28" t="s">
        <v>226</v>
      </c>
      <c r="F93" s="28" t="s">
        <v>15</v>
      </c>
      <c r="G93" s="28" t="s">
        <v>43</v>
      </c>
      <c r="H93" s="27">
        <v>0</v>
      </c>
      <c r="I93" s="27">
        <v>138</v>
      </c>
      <c r="J93" s="28" t="s">
        <v>17</v>
      </c>
      <c r="K93" s="27">
        <v>25</v>
      </c>
      <c r="L93" s="28" t="s">
        <v>22</v>
      </c>
      <c r="M93" s="27">
        <v>9</v>
      </c>
      <c r="O93" s="23">
        <v>98</v>
      </c>
      <c r="P93" t="str">
        <f>IF(O93&gt;0,VLOOKUP($O93,Dep!$A:$M,3),"")</f>
        <v>11:51</v>
      </c>
      <c r="Q93" t="str">
        <f>IF(O93&gt;0,VLOOKUP($O93,Dep!$A:$M,6),"")</f>
        <v>DEN</v>
      </c>
      <c r="R93" t="str">
        <f>IF(O93&gt;0,VLOOKUP($O93,Dep!$A:$M,7),"")</f>
        <v>739</v>
      </c>
      <c r="S93">
        <f>IF(O93&gt;0,VLOOKUP($O93,Dep!$A:$M,9),"")</f>
        <v>138</v>
      </c>
      <c r="T93" t="str">
        <f>IF(O93&gt;0,VLOOKUP($O93,Dep!$A:$M,10),"")</f>
        <v>NAT</v>
      </c>
      <c r="U93" t="str">
        <f>IF(O93&gt;0,VLOOKUP($O93,Dep!$A:$M,12),"")</f>
        <v>AS</v>
      </c>
      <c r="V93" t="str">
        <f t="shared" si="16"/>
        <v/>
      </c>
      <c r="W93" t="str">
        <f t="shared" si="17"/>
        <v/>
      </c>
      <c r="X93" t="str">
        <f t="shared" si="18"/>
        <v>X</v>
      </c>
      <c r="Y93">
        <f t="shared" si="13"/>
        <v>0</v>
      </c>
      <c r="Z93" t="str">
        <f t="shared" si="19"/>
        <v/>
      </c>
      <c r="AA93" s="20">
        <f t="shared" si="14"/>
        <v>6.3194444444444386E-2</v>
      </c>
      <c r="AB93">
        <f t="shared" si="20"/>
        <v>92</v>
      </c>
      <c r="AC93" s="20" t="str">
        <f t="shared" si="21"/>
        <v>10:20</v>
      </c>
      <c r="AD93" s="20" t="str">
        <f t="shared" si="15"/>
        <v>11:51</v>
      </c>
      <c r="AE93" t="str">
        <f>VLOOKUP(G93,ACtypes!A:C,3,FALSE)</f>
        <v>C</v>
      </c>
      <c r="AF93" t="str">
        <f t="shared" si="22"/>
        <v/>
      </c>
      <c r="AG93" t="str">
        <f t="shared" si="23"/>
        <v/>
      </c>
      <c r="AH93">
        <f t="shared" si="24"/>
        <v>138</v>
      </c>
    </row>
    <row r="94" spans="1:34" x14ac:dyDescent="0.3">
      <c r="A94" s="41">
        <f t="shared" si="25"/>
        <v>93</v>
      </c>
      <c r="B94" s="27">
        <v>907</v>
      </c>
      <c r="C94" s="28" t="s">
        <v>459</v>
      </c>
      <c r="D94" s="28" t="s">
        <v>13</v>
      </c>
      <c r="E94" s="28" t="s">
        <v>455</v>
      </c>
      <c r="F94" s="28" t="s">
        <v>15</v>
      </c>
      <c r="G94" s="28" t="s">
        <v>43</v>
      </c>
      <c r="H94" s="27">
        <v>0</v>
      </c>
      <c r="I94" s="27">
        <v>138</v>
      </c>
      <c r="J94" s="28" t="s">
        <v>17</v>
      </c>
      <c r="K94" s="27">
        <v>25</v>
      </c>
      <c r="L94" s="28" t="s">
        <v>22</v>
      </c>
      <c r="M94" s="27">
        <v>9</v>
      </c>
      <c r="O94" s="23">
        <v>99</v>
      </c>
      <c r="P94" t="str">
        <f>IF(O94&gt;0,VLOOKUP($O94,Dep!$A:$M,3),"")</f>
        <v>12:00</v>
      </c>
      <c r="Q94" t="str">
        <f>IF(O94&gt;0,VLOOKUP($O94,Dep!$A:$M,6),"")</f>
        <v>GEG</v>
      </c>
      <c r="R94" t="str">
        <f>IF(O94&gt;0,VLOOKUP($O94,Dep!$A:$M,7),"")</f>
        <v>739</v>
      </c>
      <c r="S94">
        <f>IF(O94&gt;0,VLOOKUP($O94,Dep!$A:$M,9),"")</f>
        <v>138</v>
      </c>
      <c r="T94" t="str">
        <f>IF(O94&gt;0,VLOOKUP($O94,Dep!$A:$M,10),"")</f>
        <v>NAT</v>
      </c>
      <c r="U94" t="str">
        <f>IF(O94&gt;0,VLOOKUP($O94,Dep!$A:$M,12),"")</f>
        <v>AS</v>
      </c>
      <c r="V94" t="str">
        <f t="shared" si="16"/>
        <v/>
      </c>
      <c r="W94" t="str">
        <f t="shared" si="17"/>
        <v/>
      </c>
      <c r="X94" t="str">
        <f t="shared" si="18"/>
        <v>X</v>
      </c>
      <c r="Y94">
        <f t="shared" si="13"/>
        <v>0</v>
      </c>
      <c r="Z94" t="str">
        <f t="shared" si="19"/>
        <v/>
      </c>
      <c r="AA94" s="20">
        <f t="shared" si="14"/>
        <v>4.7916666666666663E-2</v>
      </c>
      <c r="AB94">
        <f t="shared" si="20"/>
        <v>93</v>
      </c>
      <c r="AC94" s="20" t="str">
        <f t="shared" si="21"/>
        <v>10:51</v>
      </c>
      <c r="AD94" s="20" t="str">
        <f t="shared" si="15"/>
        <v>12:00</v>
      </c>
      <c r="AE94" t="str">
        <f>VLOOKUP(G94,ACtypes!A:C,3,FALSE)</f>
        <v>C</v>
      </c>
      <c r="AF94" t="str">
        <f t="shared" si="22"/>
        <v/>
      </c>
      <c r="AG94" t="str">
        <f t="shared" si="23"/>
        <v/>
      </c>
      <c r="AH94">
        <f t="shared" si="24"/>
        <v>138</v>
      </c>
    </row>
    <row r="95" spans="1:34" x14ac:dyDescent="0.3">
      <c r="A95" s="41">
        <f t="shared" si="25"/>
        <v>94</v>
      </c>
      <c r="B95" s="27">
        <v>115</v>
      </c>
      <c r="C95" s="28" t="s">
        <v>64</v>
      </c>
      <c r="D95" s="28" t="s">
        <v>13</v>
      </c>
      <c r="E95" s="28" t="s">
        <v>172</v>
      </c>
      <c r="F95" s="28" t="s">
        <v>15</v>
      </c>
      <c r="G95" s="28" t="s">
        <v>43</v>
      </c>
      <c r="H95" s="27">
        <v>0</v>
      </c>
      <c r="I95" s="27">
        <v>138</v>
      </c>
      <c r="J95" s="28" t="s">
        <v>17</v>
      </c>
      <c r="K95" s="27">
        <v>25</v>
      </c>
      <c r="L95" s="28" t="s">
        <v>22</v>
      </c>
      <c r="M95" s="27">
        <v>9</v>
      </c>
      <c r="O95" s="23">
        <v>100</v>
      </c>
      <c r="P95" t="str">
        <f>IF(O95&gt;0,VLOOKUP($O95,Dep!$A:$M,3),"")</f>
        <v>12:02</v>
      </c>
      <c r="Q95" t="str">
        <f>IF(O95&gt;0,VLOOKUP($O95,Dep!$A:$M,6),"")</f>
        <v>SJC</v>
      </c>
      <c r="R95" t="str">
        <f>IF(O95&gt;0,VLOOKUP($O95,Dep!$A:$M,7),"")</f>
        <v>739</v>
      </c>
      <c r="S95">
        <f>IF(O95&gt;0,VLOOKUP($O95,Dep!$A:$M,9),"")</f>
        <v>138</v>
      </c>
      <c r="T95" t="str">
        <f>IF(O95&gt;0,VLOOKUP($O95,Dep!$A:$M,10),"")</f>
        <v>NAT</v>
      </c>
      <c r="U95" t="str">
        <f>IF(O95&gt;0,VLOOKUP($O95,Dep!$A:$M,12),"")</f>
        <v>AS</v>
      </c>
      <c r="V95" t="str">
        <f t="shared" si="16"/>
        <v/>
      </c>
      <c r="W95" t="str">
        <f t="shared" si="17"/>
        <v/>
      </c>
      <c r="X95" t="str">
        <f t="shared" si="18"/>
        <v>X</v>
      </c>
      <c r="Y95">
        <f t="shared" si="13"/>
        <v>0</v>
      </c>
      <c r="Z95" t="str">
        <f t="shared" si="19"/>
        <v/>
      </c>
      <c r="AA95" s="20">
        <f t="shared" si="14"/>
        <v>4.2361111111111072E-2</v>
      </c>
      <c r="AB95">
        <f t="shared" si="20"/>
        <v>94</v>
      </c>
      <c r="AC95" s="20" t="str">
        <f t="shared" si="21"/>
        <v>11:01</v>
      </c>
      <c r="AD95" s="20" t="str">
        <f t="shared" si="15"/>
        <v>12:02</v>
      </c>
      <c r="AE95" t="str">
        <f>VLOOKUP(G95,ACtypes!A:C,3,FALSE)</f>
        <v>C</v>
      </c>
      <c r="AF95" t="str">
        <f t="shared" si="22"/>
        <v/>
      </c>
      <c r="AG95" t="str">
        <f t="shared" si="23"/>
        <v/>
      </c>
      <c r="AH95">
        <f t="shared" si="24"/>
        <v>138</v>
      </c>
    </row>
    <row r="96" spans="1:34" x14ac:dyDescent="0.3">
      <c r="A96" s="41">
        <f t="shared" si="25"/>
        <v>95</v>
      </c>
      <c r="B96" s="27">
        <v>53</v>
      </c>
      <c r="C96" s="28" t="s">
        <v>97</v>
      </c>
      <c r="D96" s="28" t="s">
        <v>13</v>
      </c>
      <c r="E96" s="28" t="s">
        <v>96</v>
      </c>
      <c r="F96" s="28" t="s">
        <v>15</v>
      </c>
      <c r="G96" s="28" t="s">
        <v>43</v>
      </c>
      <c r="H96" s="27">
        <v>0</v>
      </c>
      <c r="I96" s="27">
        <v>138</v>
      </c>
      <c r="J96" s="28" t="s">
        <v>17</v>
      </c>
      <c r="K96" s="27">
        <v>25</v>
      </c>
      <c r="L96" s="28" t="s">
        <v>22</v>
      </c>
      <c r="M96" s="27">
        <v>9</v>
      </c>
      <c r="O96" s="23">
        <v>101</v>
      </c>
      <c r="P96" t="str">
        <f>IF(O96&gt;0,VLOOKUP($O96,Dep!$A:$M,3),"")</f>
        <v>12:35</v>
      </c>
      <c r="Q96" t="str">
        <f>IF(O96&gt;0,VLOOKUP($O96,Dep!$A:$M,6),"")</f>
        <v>EWR</v>
      </c>
      <c r="R96" t="str">
        <f>IF(O96&gt;0,VLOOKUP($O96,Dep!$A:$M,7),"")</f>
        <v>739</v>
      </c>
      <c r="S96">
        <f>IF(O96&gt;0,VLOOKUP($O96,Dep!$A:$M,9),"")</f>
        <v>138</v>
      </c>
      <c r="T96" t="str">
        <f>IF(O96&gt;0,VLOOKUP($O96,Dep!$A:$M,10),"")</f>
        <v>NAT</v>
      </c>
      <c r="U96" t="str">
        <f>IF(O96&gt;0,VLOOKUP($O96,Dep!$A:$M,12),"")</f>
        <v>AS</v>
      </c>
      <c r="V96" t="str">
        <f t="shared" si="16"/>
        <v/>
      </c>
      <c r="W96" t="str">
        <f t="shared" si="17"/>
        <v/>
      </c>
      <c r="X96" t="str">
        <f t="shared" si="18"/>
        <v>X</v>
      </c>
      <c r="Y96">
        <f t="shared" si="13"/>
        <v>0</v>
      </c>
      <c r="Z96" t="str">
        <f t="shared" si="19"/>
        <v/>
      </c>
      <c r="AA96" s="20">
        <f t="shared" si="14"/>
        <v>4.6527777777777779E-2</v>
      </c>
      <c r="AB96">
        <f t="shared" si="20"/>
        <v>95</v>
      </c>
      <c r="AC96" s="20" t="str">
        <f t="shared" si="21"/>
        <v>11:28</v>
      </c>
      <c r="AD96" s="20" t="str">
        <f t="shared" si="15"/>
        <v>12:35</v>
      </c>
      <c r="AE96" t="str">
        <f>VLOOKUP(G96,ACtypes!A:C,3,FALSE)</f>
        <v>C</v>
      </c>
      <c r="AF96" t="str">
        <f t="shared" si="22"/>
        <v/>
      </c>
      <c r="AG96" t="str">
        <f t="shared" si="23"/>
        <v/>
      </c>
      <c r="AH96">
        <f t="shared" si="24"/>
        <v>138</v>
      </c>
    </row>
    <row r="97" spans="1:34" x14ac:dyDescent="0.3">
      <c r="A97" s="41">
        <f t="shared" si="25"/>
        <v>96</v>
      </c>
      <c r="B97" s="27">
        <v>345</v>
      </c>
      <c r="C97" s="28" t="s">
        <v>189</v>
      </c>
      <c r="D97" s="28" t="s">
        <v>13</v>
      </c>
      <c r="E97" s="28" t="s">
        <v>404</v>
      </c>
      <c r="F97" s="28" t="s">
        <v>15</v>
      </c>
      <c r="G97" s="28" t="s">
        <v>43</v>
      </c>
      <c r="H97" s="27">
        <v>0</v>
      </c>
      <c r="I97" s="27">
        <v>138</v>
      </c>
      <c r="J97" s="28" t="s">
        <v>17</v>
      </c>
      <c r="K97" s="27">
        <v>25</v>
      </c>
      <c r="L97" s="28" t="s">
        <v>22</v>
      </c>
      <c r="M97" s="27">
        <v>9</v>
      </c>
      <c r="O97" s="23">
        <v>102</v>
      </c>
      <c r="P97" t="str">
        <f>IF(O97&gt;0,VLOOKUP($O97,Dep!$A:$M,3),"")</f>
        <v>14:35</v>
      </c>
      <c r="Q97" t="str">
        <f>IF(O97&gt;0,VLOOKUP($O97,Dep!$A:$M,6),"")</f>
        <v>DEN</v>
      </c>
      <c r="R97" t="str">
        <f>IF(O97&gt;0,VLOOKUP($O97,Dep!$A:$M,7),"")</f>
        <v>739</v>
      </c>
      <c r="S97">
        <f>IF(O97&gt;0,VLOOKUP($O97,Dep!$A:$M,9),"")</f>
        <v>138</v>
      </c>
      <c r="T97" t="str">
        <f>IF(O97&gt;0,VLOOKUP($O97,Dep!$A:$M,10),"")</f>
        <v>NAT</v>
      </c>
      <c r="U97" t="str">
        <f>IF(O97&gt;0,VLOOKUP($O97,Dep!$A:$M,12),"")</f>
        <v>AS</v>
      </c>
      <c r="V97" t="str">
        <f t="shared" si="16"/>
        <v/>
      </c>
      <c r="W97" t="str">
        <f t="shared" si="17"/>
        <v/>
      </c>
      <c r="X97" t="str">
        <f t="shared" si="18"/>
        <v>X</v>
      </c>
      <c r="Y97">
        <f t="shared" si="13"/>
        <v>0</v>
      </c>
      <c r="Z97" t="str">
        <f t="shared" si="19"/>
        <v/>
      </c>
      <c r="AA97" s="20">
        <f t="shared" si="14"/>
        <v>4.5138888888888951E-2</v>
      </c>
      <c r="AB97">
        <f t="shared" si="20"/>
        <v>96</v>
      </c>
      <c r="AC97" s="20" t="str">
        <f t="shared" si="21"/>
        <v>13:30</v>
      </c>
      <c r="AD97" s="20" t="str">
        <f t="shared" si="15"/>
        <v>14:35</v>
      </c>
      <c r="AE97" t="str">
        <f>VLOOKUP(G97,ACtypes!A:C,3,FALSE)</f>
        <v>C</v>
      </c>
      <c r="AF97" t="str">
        <f t="shared" si="22"/>
        <v/>
      </c>
      <c r="AG97" t="str">
        <f t="shared" si="23"/>
        <v/>
      </c>
      <c r="AH97">
        <f t="shared" si="24"/>
        <v>138</v>
      </c>
    </row>
    <row r="98" spans="1:34" x14ac:dyDescent="0.3">
      <c r="A98" s="41">
        <f t="shared" si="25"/>
        <v>97</v>
      </c>
      <c r="B98" s="27">
        <v>147</v>
      </c>
      <c r="C98" s="28" t="s">
        <v>212</v>
      </c>
      <c r="D98" s="28" t="s">
        <v>13</v>
      </c>
      <c r="E98" s="28" t="s">
        <v>196</v>
      </c>
      <c r="F98" s="28" t="s">
        <v>15</v>
      </c>
      <c r="G98" s="28" t="s">
        <v>43</v>
      </c>
      <c r="H98" s="27">
        <v>0</v>
      </c>
      <c r="I98" s="27">
        <v>138</v>
      </c>
      <c r="J98" s="28" t="s">
        <v>17</v>
      </c>
      <c r="K98" s="27">
        <v>25</v>
      </c>
      <c r="L98" s="28" t="s">
        <v>22</v>
      </c>
      <c r="M98" s="27">
        <v>9</v>
      </c>
      <c r="O98" s="23">
        <v>103</v>
      </c>
      <c r="P98" t="str">
        <f>IF(O98&gt;0,VLOOKUP($O98,Dep!$A:$M,3),"")</f>
        <v>15:49</v>
      </c>
      <c r="Q98" t="str">
        <f>IF(O98&gt;0,VLOOKUP($O98,Dep!$A:$M,6),"")</f>
        <v>LAX</v>
      </c>
      <c r="R98" t="str">
        <f>IF(O98&gt;0,VLOOKUP($O98,Dep!$A:$M,7),"")</f>
        <v>739</v>
      </c>
      <c r="S98">
        <f>IF(O98&gt;0,VLOOKUP($O98,Dep!$A:$M,9),"")</f>
        <v>138</v>
      </c>
      <c r="T98" t="str">
        <f>IF(O98&gt;0,VLOOKUP($O98,Dep!$A:$M,10),"")</f>
        <v>NAT</v>
      </c>
      <c r="U98" t="str">
        <f>IF(O98&gt;0,VLOOKUP($O98,Dep!$A:$M,12),"")</f>
        <v>AS</v>
      </c>
      <c r="V98" t="str">
        <f t="shared" si="16"/>
        <v/>
      </c>
      <c r="W98" t="str">
        <f t="shared" si="17"/>
        <v/>
      </c>
      <c r="X98" t="str">
        <f t="shared" si="18"/>
        <v>X</v>
      </c>
      <c r="Y98">
        <f t="shared" si="13"/>
        <v>0</v>
      </c>
      <c r="Z98" t="str">
        <f t="shared" si="19"/>
        <v/>
      </c>
      <c r="AA98" s="20">
        <f t="shared" si="14"/>
        <v>5.6250000000000022E-2</v>
      </c>
      <c r="AB98">
        <f t="shared" si="20"/>
        <v>97</v>
      </c>
      <c r="AC98" s="20" t="str">
        <f t="shared" si="21"/>
        <v>14:28</v>
      </c>
      <c r="AD98" s="20" t="str">
        <f t="shared" si="15"/>
        <v>15:49</v>
      </c>
      <c r="AE98" t="str">
        <f>VLOOKUP(G98,ACtypes!A:C,3,FALSE)</f>
        <v>C</v>
      </c>
      <c r="AF98" t="str">
        <f t="shared" si="22"/>
        <v/>
      </c>
      <c r="AG98" t="str">
        <f t="shared" si="23"/>
        <v/>
      </c>
      <c r="AH98">
        <f t="shared" si="24"/>
        <v>138</v>
      </c>
    </row>
    <row r="99" spans="1:34" x14ac:dyDescent="0.3">
      <c r="A99" s="41">
        <f t="shared" si="25"/>
        <v>98</v>
      </c>
      <c r="B99" s="27">
        <v>906</v>
      </c>
      <c r="C99" s="28" t="s">
        <v>458</v>
      </c>
      <c r="D99" s="28" t="s">
        <v>13</v>
      </c>
      <c r="E99" s="28" t="s">
        <v>455</v>
      </c>
      <c r="F99" s="28" t="s">
        <v>15</v>
      </c>
      <c r="G99" s="28" t="s">
        <v>43</v>
      </c>
      <c r="H99" s="27">
        <v>0</v>
      </c>
      <c r="I99" s="27">
        <v>138</v>
      </c>
      <c r="J99" s="28" t="s">
        <v>17</v>
      </c>
      <c r="K99" s="27">
        <v>25</v>
      </c>
      <c r="L99" s="28" t="s">
        <v>22</v>
      </c>
      <c r="M99" s="27">
        <v>9</v>
      </c>
      <c r="O99" s="23">
        <v>104</v>
      </c>
      <c r="P99" t="str">
        <f>IF(O99&gt;0,VLOOKUP($O99,Dep!$A:$M,3),"")</f>
        <v>17:40</v>
      </c>
      <c r="Q99" t="str">
        <f>IF(O99&gt;0,VLOOKUP($O99,Dep!$A:$M,6),"")</f>
        <v>OAK</v>
      </c>
      <c r="R99" t="str">
        <f>IF(O99&gt;0,VLOOKUP($O99,Dep!$A:$M,7),"")</f>
        <v>739</v>
      </c>
      <c r="S99">
        <f>IF(O99&gt;0,VLOOKUP($O99,Dep!$A:$M,9),"")</f>
        <v>138</v>
      </c>
      <c r="T99" t="str">
        <f>IF(O99&gt;0,VLOOKUP($O99,Dep!$A:$M,10),"")</f>
        <v>NAT</v>
      </c>
      <c r="U99" t="str">
        <f>IF(O99&gt;0,VLOOKUP($O99,Dep!$A:$M,12),"")</f>
        <v>AS</v>
      </c>
      <c r="V99" t="str">
        <f t="shared" si="16"/>
        <v/>
      </c>
      <c r="W99" t="str">
        <f t="shared" si="17"/>
        <v/>
      </c>
      <c r="X99" t="str">
        <f t="shared" si="18"/>
        <v>X</v>
      </c>
      <c r="Y99">
        <f t="shared" si="13"/>
        <v>0</v>
      </c>
      <c r="Z99" t="str">
        <f t="shared" si="19"/>
        <v/>
      </c>
      <c r="AA99" s="20">
        <f t="shared" si="14"/>
        <v>3.7500000000000089E-2</v>
      </c>
      <c r="AB99">
        <f t="shared" si="20"/>
        <v>98</v>
      </c>
      <c r="AC99" s="20" t="str">
        <f t="shared" si="21"/>
        <v>16:46</v>
      </c>
      <c r="AD99" s="20" t="str">
        <f t="shared" si="15"/>
        <v>17:40</v>
      </c>
      <c r="AE99" t="str">
        <f>VLOOKUP(G99,ACtypes!A:C,3,FALSE)</f>
        <v>C</v>
      </c>
      <c r="AF99" t="str">
        <f t="shared" si="22"/>
        <v/>
      </c>
      <c r="AG99" t="str">
        <f t="shared" si="23"/>
        <v/>
      </c>
      <c r="AH99">
        <f t="shared" si="24"/>
        <v>138</v>
      </c>
    </row>
    <row r="100" spans="1:34" x14ac:dyDescent="0.3">
      <c r="A100" s="41">
        <f t="shared" si="25"/>
        <v>99</v>
      </c>
      <c r="B100" s="27">
        <v>201</v>
      </c>
      <c r="C100" s="28" t="s">
        <v>272</v>
      </c>
      <c r="D100" s="28" t="s">
        <v>13</v>
      </c>
      <c r="E100" s="28" t="s">
        <v>265</v>
      </c>
      <c r="F100" s="28" t="s">
        <v>15</v>
      </c>
      <c r="G100" s="28" t="s">
        <v>43</v>
      </c>
      <c r="H100" s="27">
        <v>0</v>
      </c>
      <c r="I100" s="27">
        <v>138</v>
      </c>
      <c r="J100" s="28" t="s">
        <v>17</v>
      </c>
      <c r="K100" s="27">
        <v>25</v>
      </c>
      <c r="L100" s="28" t="s">
        <v>22</v>
      </c>
      <c r="M100" s="27">
        <v>9</v>
      </c>
      <c r="O100" s="23">
        <v>105</v>
      </c>
      <c r="P100" t="str">
        <f>IF(O100&gt;0,VLOOKUP($O100,Dep!$A:$M,3),"")</f>
        <v>17:50</v>
      </c>
      <c r="Q100" t="str">
        <f>IF(O100&gt;0,VLOOKUP($O100,Dep!$A:$M,6),"")</f>
        <v>SAN</v>
      </c>
      <c r="R100" t="str">
        <f>IF(O100&gt;0,VLOOKUP($O100,Dep!$A:$M,7),"")</f>
        <v>739</v>
      </c>
      <c r="S100">
        <f>IF(O100&gt;0,VLOOKUP($O100,Dep!$A:$M,9),"")</f>
        <v>138</v>
      </c>
      <c r="T100" t="str">
        <f>IF(O100&gt;0,VLOOKUP($O100,Dep!$A:$M,10),"")</f>
        <v>NAT</v>
      </c>
      <c r="U100" t="str">
        <f>IF(O100&gt;0,VLOOKUP($O100,Dep!$A:$M,12),"")</f>
        <v>AS</v>
      </c>
      <c r="V100" t="str">
        <f t="shared" si="16"/>
        <v/>
      </c>
      <c r="W100" t="str">
        <f t="shared" si="17"/>
        <v/>
      </c>
      <c r="X100" t="str">
        <f t="shared" si="18"/>
        <v>X</v>
      </c>
      <c r="Y100">
        <f t="shared" si="13"/>
        <v>0</v>
      </c>
      <c r="Z100" t="str">
        <f t="shared" si="19"/>
        <v/>
      </c>
      <c r="AA100" s="20">
        <f t="shared" si="14"/>
        <v>3.4722222222222099E-2</v>
      </c>
      <c r="AB100">
        <f t="shared" si="20"/>
        <v>99</v>
      </c>
      <c r="AC100" s="20" t="str">
        <f t="shared" si="21"/>
        <v>17:00</v>
      </c>
      <c r="AD100" s="20" t="str">
        <f t="shared" si="15"/>
        <v>17:50</v>
      </c>
      <c r="AE100" t="str">
        <f>VLOOKUP(G100,ACtypes!A:C,3,FALSE)</f>
        <v>C</v>
      </c>
      <c r="AF100" t="str">
        <f t="shared" si="22"/>
        <v/>
      </c>
      <c r="AG100" t="str">
        <f t="shared" si="23"/>
        <v/>
      </c>
      <c r="AH100">
        <f t="shared" si="24"/>
        <v>138</v>
      </c>
    </row>
    <row r="101" spans="1:34" x14ac:dyDescent="0.3">
      <c r="A101" s="41">
        <f t="shared" si="25"/>
        <v>100</v>
      </c>
      <c r="B101" s="27">
        <v>81</v>
      </c>
      <c r="C101" s="28" t="s">
        <v>79</v>
      </c>
      <c r="D101" s="28" t="s">
        <v>13</v>
      </c>
      <c r="E101" s="28" t="s">
        <v>124</v>
      </c>
      <c r="F101" s="28" t="s">
        <v>15</v>
      </c>
      <c r="G101" s="28" t="s">
        <v>43</v>
      </c>
      <c r="H101" s="27">
        <v>0</v>
      </c>
      <c r="I101" s="27">
        <v>138</v>
      </c>
      <c r="J101" s="28" t="s">
        <v>17</v>
      </c>
      <c r="K101" s="27">
        <v>25</v>
      </c>
      <c r="L101" s="28" t="s">
        <v>22</v>
      </c>
      <c r="M101" s="27">
        <v>9</v>
      </c>
      <c r="O101" s="23">
        <v>106</v>
      </c>
      <c r="P101" t="str">
        <f>IF(O101&gt;0,VLOOKUP($O101,Dep!$A:$M,3),"")</f>
        <v>20:38</v>
      </c>
      <c r="Q101" t="str">
        <f>IF(O101&gt;0,VLOOKUP($O101,Dep!$A:$M,6),"")</f>
        <v>ANC</v>
      </c>
      <c r="R101" t="str">
        <f>IF(O101&gt;0,VLOOKUP($O101,Dep!$A:$M,7),"")</f>
        <v>739</v>
      </c>
      <c r="S101">
        <f>IF(O101&gt;0,VLOOKUP($O101,Dep!$A:$M,9),"")</f>
        <v>138</v>
      </c>
      <c r="T101" t="str">
        <f>IF(O101&gt;0,VLOOKUP($O101,Dep!$A:$M,10),"")</f>
        <v>NAT</v>
      </c>
      <c r="U101" t="str">
        <f>IF(O101&gt;0,VLOOKUP($O101,Dep!$A:$M,12),"")</f>
        <v>AS</v>
      </c>
      <c r="V101" t="str">
        <f t="shared" si="16"/>
        <v/>
      </c>
      <c r="W101" t="str">
        <f t="shared" si="17"/>
        <v/>
      </c>
      <c r="X101" t="str">
        <f t="shared" si="18"/>
        <v>X</v>
      </c>
      <c r="Y101">
        <f t="shared" si="13"/>
        <v>0</v>
      </c>
      <c r="Z101" t="str">
        <f t="shared" si="19"/>
        <v/>
      </c>
      <c r="AA101" s="20">
        <f t="shared" si="14"/>
        <v>0.11111111111111116</v>
      </c>
      <c r="AB101">
        <f t="shared" si="20"/>
        <v>100</v>
      </c>
      <c r="AC101" s="20" t="str">
        <f t="shared" si="21"/>
        <v>17:58</v>
      </c>
      <c r="AD101" s="20" t="str">
        <f t="shared" si="15"/>
        <v>20:38</v>
      </c>
      <c r="AE101" t="str">
        <f>VLOOKUP(G101,ACtypes!A:C,3,FALSE)</f>
        <v>C</v>
      </c>
      <c r="AF101" t="str">
        <f t="shared" si="22"/>
        <v/>
      </c>
      <c r="AG101" t="str">
        <f t="shared" si="23"/>
        <v/>
      </c>
      <c r="AH101">
        <f t="shared" si="24"/>
        <v>138</v>
      </c>
    </row>
    <row r="102" spans="1:34" x14ac:dyDescent="0.3">
      <c r="A102" s="41">
        <f t="shared" si="25"/>
        <v>101</v>
      </c>
      <c r="B102" s="27">
        <v>215</v>
      </c>
      <c r="C102" s="28" t="s">
        <v>286</v>
      </c>
      <c r="D102" s="28" t="s">
        <v>13</v>
      </c>
      <c r="E102" s="28" t="s">
        <v>279</v>
      </c>
      <c r="F102" s="28" t="s">
        <v>15</v>
      </c>
      <c r="G102" s="28" t="s">
        <v>43</v>
      </c>
      <c r="H102" s="27">
        <v>0</v>
      </c>
      <c r="I102" s="27">
        <v>138</v>
      </c>
      <c r="J102" s="28" t="s">
        <v>17</v>
      </c>
      <c r="K102" s="27">
        <v>25</v>
      </c>
      <c r="L102" s="28" t="s">
        <v>22</v>
      </c>
      <c r="M102" s="27">
        <v>9</v>
      </c>
      <c r="O102" s="23">
        <v>107</v>
      </c>
      <c r="P102" t="str">
        <f>IF(O102&gt;0,VLOOKUP($O102,Dep!$A:$M,3),"")</f>
        <v>20:42</v>
      </c>
      <c r="Q102" t="str">
        <f>IF(O102&gt;0,VLOOKUP($O102,Dep!$A:$M,6),"")</f>
        <v>SJC</v>
      </c>
      <c r="R102" t="str">
        <f>IF(O102&gt;0,VLOOKUP($O102,Dep!$A:$M,7),"")</f>
        <v>739</v>
      </c>
      <c r="S102">
        <f>IF(O102&gt;0,VLOOKUP($O102,Dep!$A:$M,9),"")</f>
        <v>138</v>
      </c>
      <c r="T102" t="str">
        <f>IF(O102&gt;0,VLOOKUP($O102,Dep!$A:$M,10),"")</f>
        <v>NAT</v>
      </c>
      <c r="U102" t="str">
        <f>IF(O102&gt;0,VLOOKUP($O102,Dep!$A:$M,12),"")</f>
        <v>AS</v>
      </c>
      <c r="V102" t="str">
        <f t="shared" si="16"/>
        <v/>
      </c>
      <c r="W102" t="str">
        <f t="shared" si="17"/>
        <v/>
      </c>
      <c r="X102" t="str">
        <f t="shared" si="18"/>
        <v>X</v>
      </c>
      <c r="Y102">
        <f t="shared" si="13"/>
        <v>0</v>
      </c>
      <c r="Z102" t="str">
        <f t="shared" si="19"/>
        <v/>
      </c>
      <c r="AA102" s="20">
        <f t="shared" si="14"/>
        <v>3.4722222222222099E-2</v>
      </c>
      <c r="AB102">
        <f t="shared" si="20"/>
        <v>101</v>
      </c>
      <c r="AC102" s="20" t="str">
        <f t="shared" si="21"/>
        <v>19:52</v>
      </c>
      <c r="AD102" s="20" t="str">
        <f t="shared" si="15"/>
        <v>20:42</v>
      </c>
      <c r="AE102" t="str">
        <f>VLOOKUP(G102,ACtypes!A:C,3,FALSE)</f>
        <v>C</v>
      </c>
      <c r="AF102" t="str">
        <f t="shared" si="22"/>
        <v/>
      </c>
      <c r="AG102" t="str">
        <f t="shared" si="23"/>
        <v/>
      </c>
      <c r="AH102">
        <f t="shared" si="24"/>
        <v>138</v>
      </c>
    </row>
    <row r="103" spans="1:34" x14ac:dyDescent="0.3">
      <c r="A103" s="41">
        <f t="shared" si="25"/>
        <v>102</v>
      </c>
      <c r="B103" s="27">
        <v>82</v>
      </c>
      <c r="C103" s="28" t="s">
        <v>139</v>
      </c>
      <c r="D103" s="28" t="s">
        <v>13</v>
      </c>
      <c r="E103" s="28" t="s">
        <v>124</v>
      </c>
      <c r="F103" s="28" t="s">
        <v>15</v>
      </c>
      <c r="G103" s="28" t="s">
        <v>43</v>
      </c>
      <c r="H103" s="27">
        <v>0</v>
      </c>
      <c r="I103" s="27">
        <v>138</v>
      </c>
      <c r="J103" s="28" t="s">
        <v>17</v>
      </c>
      <c r="K103" s="27">
        <v>25</v>
      </c>
      <c r="L103" s="28" t="s">
        <v>22</v>
      </c>
      <c r="M103" s="27">
        <v>9</v>
      </c>
      <c r="O103" s="23">
        <v>108</v>
      </c>
      <c r="P103" t="str">
        <f>IF(O103&gt;0,VLOOKUP($O103,Dep!$A:$M,3),"")</f>
        <v>21:31</v>
      </c>
      <c r="Q103" t="str">
        <f>IF(O103&gt;0,VLOOKUP($O103,Dep!$A:$M,6),"")</f>
        <v>YYC</v>
      </c>
      <c r="R103" t="str">
        <f>IF(O103&gt;0,VLOOKUP($O103,Dep!$A:$M,7),"")</f>
        <v>739</v>
      </c>
      <c r="S103">
        <f>IF(O103&gt;0,VLOOKUP($O103,Dep!$A:$M,9),"")</f>
        <v>138</v>
      </c>
      <c r="T103" t="str">
        <f>IF(O103&gt;0,VLOOKUP($O103,Dep!$A:$M,10),"")</f>
        <v>INT</v>
      </c>
      <c r="U103" t="str">
        <f>IF(O103&gt;0,VLOOKUP($O103,Dep!$A:$M,12),"")</f>
        <v>AS</v>
      </c>
      <c r="V103" t="str">
        <f t="shared" si="16"/>
        <v/>
      </c>
      <c r="W103" t="str">
        <f t="shared" si="17"/>
        <v/>
      </c>
      <c r="X103" t="str">
        <f t="shared" si="18"/>
        <v>X</v>
      </c>
      <c r="Y103">
        <f t="shared" si="13"/>
        <v>0</v>
      </c>
      <c r="Z103" t="str">
        <f t="shared" si="19"/>
        <v/>
      </c>
      <c r="AA103" s="20">
        <f t="shared" si="14"/>
        <v>3.4722222222222099E-2</v>
      </c>
      <c r="AB103">
        <f t="shared" si="20"/>
        <v>102</v>
      </c>
      <c r="AC103" s="20" t="str">
        <f t="shared" si="21"/>
        <v>20:41</v>
      </c>
      <c r="AD103" s="20" t="str">
        <f t="shared" si="15"/>
        <v>21:31</v>
      </c>
      <c r="AE103" t="str">
        <f>VLOOKUP(G103,ACtypes!A:C,3,FALSE)</f>
        <v>C</v>
      </c>
      <c r="AF103" t="str">
        <f t="shared" si="22"/>
        <v/>
      </c>
      <c r="AG103">
        <f t="shared" si="23"/>
        <v>1</v>
      </c>
      <c r="AH103">
        <f t="shared" si="24"/>
        <v>138</v>
      </c>
    </row>
    <row r="104" spans="1:34" x14ac:dyDescent="0.3">
      <c r="A104" s="41">
        <f t="shared" si="25"/>
        <v>103</v>
      </c>
      <c r="B104" s="27">
        <v>213</v>
      </c>
      <c r="C104" s="28" t="s">
        <v>60</v>
      </c>
      <c r="D104" s="28" t="s">
        <v>13</v>
      </c>
      <c r="E104" s="28" t="s">
        <v>279</v>
      </c>
      <c r="F104" s="28" t="s">
        <v>15</v>
      </c>
      <c r="G104" s="28" t="s">
        <v>43</v>
      </c>
      <c r="H104" s="27">
        <v>0</v>
      </c>
      <c r="I104" s="27">
        <v>138</v>
      </c>
      <c r="J104" s="28" t="s">
        <v>17</v>
      </c>
      <c r="K104" s="27">
        <v>25</v>
      </c>
      <c r="L104" s="28" t="s">
        <v>22</v>
      </c>
      <c r="M104" s="27">
        <v>9</v>
      </c>
      <c r="O104" s="23">
        <v>109</v>
      </c>
      <c r="P104" t="str">
        <f>IF(O104&gt;0,VLOOKUP($O104,Dep!$A:$M,3),"")</f>
        <v>23:05</v>
      </c>
      <c r="Q104" t="str">
        <f>IF(O104&gt;0,VLOOKUP($O104,Dep!$A:$M,6),"")</f>
        <v>IAD</v>
      </c>
      <c r="R104" t="str">
        <f>IF(O104&gt;0,VLOOKUP($O104,Dep!$A:$M,7),"")</f>
        <v>739</v>
      </c>
      <c r="S104">
        <f>IF(O104&gt;0,VLOOKUP($O104,Dep!$A:$M,9),"")</f>
        <v>138</v>
      </c>
      <c r="T104" t="str">
        <f>IF(O104&gt;0,VLOOKUP($O104,Dep!$A:$M,10),"")</f>
        <v>NAT</v>
      </c>
      <c r="U104" t="str">
        <f>IF(O104&gt;0,VLOOKUP($O104,Dep!$A:$M,12),"")</f>
        <v>AS</v>
      </c>
      <c r="V104" t="str">
        <f t="shared" si="16"/>
        <v/>
      </c>
      <c r="W104" t="str">
        <f t="shared" si="17"/>
        <v/>
      </c>
      <c r="X104" t="str">
        <f t="shared" si="18"/>
        <v>X</v>
      </c>
      <c r="Y104">
        <f t="shared" si="13"/>
        <v>0</v>
      </c>
      <c r="Z104" t="str">
        <f t="shared" si="19"/>
        <v/>
      </c>
      <c r="AA104" s="20">
        <f t="shared" si="14"/>
        <v>9.3055555555555447E-2</v>
      </c>
      <c r="AB104">
        <f t="shared" si="20"/>
        <v>103</v>
      </c>
      <c r="AC104" s="20" t="str">
        <f t="shared" si="21"/>
        <v>20:51</v>
      </c>
      <c r="AD104" s="20" t="str">
        <f t="shared" si="15"/>
        <v>23:05</v>
      </c>
      <c r="AE104" t="str">
        <f>VLOOKUP(G104,ACtypes!A:C,3,FALSE)</f>
        <v>C</v>
      </c>
      <c r="AF104" t="str">
        <f t="shared" si="22"/>
        <v/>
      </c>
      <c r="AG104" t="str">
        <f t="shared" si="23"/>
        <v/>
      </c>
      <c r="AH104">
        <f t="shared" si="24"/>
        <v>138</v>
      </c>
    </row>
    <row r="105" spans="1:34" x14ac:dyDescent="0.3">
      <c r="A105" s="41">
        <f t="shared" si="25"/>
        <v>104</v>
      </c>
      <c r="B105" s="27">
        <v>230</v>
      </c>
      <c r="C105" s="28" t="s">
        <v>304</v>
      </c>
      <c r="D105" s="28" t="s">
        <v>13</v>
      </c>
      <c r="E105" s="28" t="s">
        <v>305</v>
      </c>
      <c r="F105" s="28" t="s">
        <v>15</v>
      </c>
      <c r="G105" s="28" t="s">
        <v>43</v>
      </c>
      <c r="H105" s="27">
        <v>0</v>
      </c>
      <c r="I105" s="27">
        <v>138</v>
      </c>
      <c r="J105" s="28" t="s">
        <v>17</v>
      </c>
      <c r="K105" s="27">
        <v>25</v>
      </c>
      <c r="L105" s="28" t="s">
        <v>22</v>
      </c>
      <c r="M105" s="27">
        <v>9</v>
      </c>
      <c r="O105" s="23">
        <v>110</v>
      </c>
      <c r="P105" t="str">
        <f>IF(O105&gt;0,VLOOKUP($O105,Dep!$A:$M,3),"")</f>
        <v>23:13</v>
      </c>
      <c r="Q105" t="str">
        <f>IF(O105&gt;0,VLOOKUP($O105,Dep!$A:$M,6),"")</f>
        <v>BOS</v>
      </c>
      <c r="R105" t="str">
        <f>IF(O105&gt;0,VLOOKUP($O105,Dep!$A:$M,7),"")</f>
        <v>739</v>
      </c>
      <c r="S105">
        <f>IF(O105&gt;0,VLOOKUP($O105,Dep!$A:$M,9),"")</f>
        <v>138</v>
      </c>
      <c r="T105" t="str">
        <f>IF(O105&gt;0,VLOOKUP($O105,Dep!$A:$M,10),"")</f>
        <v>NAT</v>
      </c>
      <c r="U105" t="str">
        <f>IF(O105&gt;0,VLOOKUP($O105,Dep!$A:$M,12),"")</f>
        <v>AS</v>
      </c>
      <c r="V105" t="str">
        <f t="shared" si="16"/>
        <v/>
      </c>
      <c r="W105" t="str">
        <f t="shared" si="17"/>
        <v/>
      </c>
      <c r="X105" t="str">
        <f t="shared" si="18"/>
        <v>X</v>
      </c>
      <c r="Y105">
        <f t="shared" si="13"/>
        <v>0</v>
      </c>
      <c r="Z105" t="str">
        <f t="shared" si="19"/>
        <v/>
      </c>
      <c r="AA105" s="20">
        <f t="shared" si="14"/>
        <v>8.8888888888888795E-2</v>
      </c>
      <c r="AB105">
        <f t="shared" si="20"/>
        <v>104</v>
      </c>
      <c r="AC105" s="20" t="str">
        <f t="shared" si="21"/>
        <v>21:05</v>
      </c>
      <c r="AD105" s="20" t="str">
        <f t="shared" si="15"/>
        <v>23:13</v>
      </c>
      <c r="AE105" t="str">
        <f>VLOOKUP(G105,ACtypes!A:C,3,FALSE)</f>
        <v>C</v>
      </c>
      <c r="AF105" t="str">
        <f t="shared" si="22"/>
        <v/>
      </c>
      <c r="AG105" t="str">
        <f t="shared" si="23"/>
        <v/>
      </c>
      <c r="AH105">
        <f t="shared" si="24"/>
        <v>138</v>
      </c>
    </row>
    <row r="106" spans="1:34" x14ac:dyDescent="0.3">
      <c r="A106" s="41">
        <f t="shared" si="25"/>
        <v>105</v>
      </c>
      <c r="B106" s="27">
        <v>52</v>
      </c>
      <c r="C106" s="28" t="s">
        <v>95</v>
      </c>
      <c r="D106" s="28" t="s">
        <v>13</v>
      </c>
      <c r="E106" s="28" t="s">
        <v>96</v>
      </c>
      <c r="F106" s="28" t="s">
        <v>15</v>
      </c>
      <c r="G106" s="28" t="s">
        <v>43</v>
      </c>
      <c r="H106" s="27">
        <v>0</v>
      </c>
      <c r="I106" s="27">
        <v>138</v>
      </c>
      <c r="J106" s="28" t="s">
        <v>17</v>
      </c>
      <c r="K106" s="27">
        <v>25</v>
      </c>
      <c r="L106" s="28" t="s">
        <v>22</v>
      </c>
      <c r="M106" s="27">
        <v>9</v>
      </c>
      <c r="O106" s="23">
        <v>89</v>
      </c>
      <c r="P106" t="str">
        <f>IF(O106&gt;0,VLOOKUP($O106,Dep!$A:$M,3),"")</f>
        <v>06:00</v>
      </c>
      <c r="Q106" t="str">
        <f>IF(O106&gt;0,VLOOKUP($O106,Dep!$A:$M,6),"")</f>
        <v>LAX</v>
      </c>
      <c r="R106" t="str">
        <f>IF(O106&gt;0,VLOOKUP($O106,Dep!$A:$M,7),"")</f>
        <v>739</v>
      </c>
      <c r="S106">
        <f>IF(O106&gt;0,VLOOKUP($O106,Dep!$A:$M,9),"")</f>
        <v>138</v>
      </c>
      <c r="T106" t="str">
        <f>IF(O106&gt;0,VLOOKUP($O106,Dep!$A:$M,10),"")</f>
        <v>NAT</v>
      </c>
      <c r="U106" t="str">
        <f>IF(O106&gt;0,VLOOKUP($O106,Dep!$A:$M,12),"")</f>
        <v>AS</v>
      </c>
      <c r="V106" t="str">
        <f t="shared" si="16"/>
        <v/>
      </c>
      <c r="W106" t="str">
        <f t="shared" si="17"/>
        <v/>
      </c>
      <c r="X106" t="str">
        <f t="shared" si="18"/>
        <v>X</v>
      </c>
      <c r="Y106">
        <f t="shared" si="13"/>
        <v>0</v>
      </c>
      <c r="Z106">
        <f t="shared" si="19"/>
        <v>1</v>
      </c>
      <c r="AA106" s="20">
        <f t="shared" si="14"/>
        <v>0.36805555555555547</v>
      </c>
      <c r="AB106">
        <f t="shared" si="20"/>
        <v>105</v>
      </c>
      <c r="AC106" s="20" t="str">
        <f t="shared" si="21"/>
        <v>21:10</v>
      </c>
      <c r="AD106" s="20" t="str">
        <f t="shared" si="15"/>
        <v>06:00</v>
      </c>
      <c r="AE106" t="str">
        <f>VLOOKUP(G106,ACtypes!A:C,3,FALSE)</f>
        <v>C</v>
      </c>
      <c r="AF106" t="str">
        <f t="shared" si="22"/>
        <v/>
      </c>
      <c r="AG106" t="str">
        <f t="shared" si="23"/>
        <v/>
      </c>
      <c r="AH106">
        <f t="shared" si="24"/>
        <v>138</v>
      </c>
    </row>
    <row r="107" spans="1:34" x14ac:dyDescent="0.3">
      <c r="A107" s="41">
        <f t="shared" si="25"/>
        <v>106</v>
      </c>
      <c r="B107" s="27">
        <v>211</v>
      </c>
      <c r="C107" s="28" t="s">
        <v>283</v>
      </c>
      <c r="D107" s="28" t="s">
        <v>13</v>
      </c>
      <c r="E107" s="28" t="s">
        <v>279</v>
      </c>
      <c r="F107" s="28" t="s">
        <v>15</v>
      </c>
      <c r="G107" s="28" t="s">
        <v>43</v>
      </c>
      <c r="H107" s="27">
        <v>0</v>
      </c>
      <c r="I107" s="27">
        <v>138</v>
      </c>
      <c r="J107" s="28" t="s">
        <v>17</v>
      </c>
      <c r="K107" s="27">
        <v>25</v>
      </c>
      <c r="L107" s="28" t="s">
        <v>22</v>
      </c>
      <c r="M107" s="27">
        <v>9</v>
      </c>
      <c r="O107" s="23">
        <v>90</v>
      </c>
      <c r="P107" t="str">
        <f>IF(O107&gt;0,VLOOKUP($O107,Dep!$A:$M,3),"")</f>
        <v>06:00</v>
      </c>
      <c r="Q107" t="str">
        <f>IF(O107&gt;0,VLOOKUP($O107,Dep!$A:$M,6),"")</f>
        <v>SJC</v>
      </c>
      <c r="R107" t="str">
        <f>IF(O107&gt;0,VLOOKUP($O107,Dep!$A:$M,7),"")</f>
        <v>739</v>
      </c>
      <c r="S107">
        <f>IF(O107&gt;0,VLOOKUP($O107,Dep!$A:$M,9),"")</f>
        <v>138</v>
      </c>
      <c r="T107" t="str">
        <f>IF(O107&gt;0,VLOOKUP($O107,Dep!$A:$M,10),"")</f>
        <v>NAT</v>
      </c>
      <c r="U107" t="str">
        <f>IF(O107&gt;0,VLOOKUP($O107,Dep!$A:$M,12),"")</f>
        <v>AS</v>
      </c>
      <c r="V107" t="str">
        <f t="shared" si="16"/>
        <v/>
      </c>
      <c r="W107" t="str">
        <f t="shared" si="17"/>
        <v/>
      </c>
      <c r="X107" t="str">
        <f t="shared" si="18"/>
        <v>X</v>
      </c>
      <c r="Y107">
        <f t="shared" si="13"/>
        <v>0</v>
      </c>
      <c r="Z107">
        <f t="shared" si="19"/>
        <v>1</v>
      </c>
      <c r="AA107" s="20">
        <f t="shared" si="14"/>
        <v>0.34513888888888899</v>
      </c>
      <c r="AB107">
        <f t="shared" si="20"/>
        <v>106</v>
      </c>
      <c r="AC107" s="20" t="str">
        <f t="shared" si="21"/>
        <v>21:43</v>
      </c>
      <c r="AD107" s="20" t="str">
        <f t="shared" si="15"/>
        <v>06:00</v>
      </c>
      <c r="AE107" t="str">
        <f>VLOOKUP(G107,ACtypes!A:C,3,FALSE)</f>
        <v>C</v>
      </c>
      <c r="AF107" t="str">
        <f t="shared" si="22"/>
        <v/>
      </c>
      <c r="AG107" t="str">
        <f t="shared" si="23"/>
        <v/>
      </c>
      <c r="AH107">
        <f t="shared" si="24"/>
        <v>138</v>
      </c>
    </row>
    <row r="108" spans="1:34" x14ac:dyDescent="0.3">
      <c r="A108" s="41">
        <f t="shared" si="25"/>
        <v>107</v>
      </c>
      <c r="B108" s="27">
        <v>262</v>
      </c>
      <c r="C108" s="28" t="s">
        <v>340</v>
      </c>
      <c r="D108" s="28" t="s">
        <v>13</v>
      </c>
      <c r="E108" s="28" t="s">
        <v>335</v>
      </c>
      <c r="F108" s="28" t="s">
        <v>15</v>
      </c>
      <c r="G108" s="28" t="s">
        <v>43</v>
      </c>
      <c r="H108" s="27">
        <v>0</v>
      </c>
      <c r="I108" s="27">
        <v>138</v>
      </c>
      <c r="J108" s="28" t="s">
        <v>17</v>
      </c>
      <c r="K108" s="27">
        <v>25</v>
      </c>
      <c r="L108" s="28" t="s">
        <v>22</v>
      </c>
      <c r="M108" s="27">
        <v>9</v>
      </c>
      <c r="O108" s="23">
        <v>91</v>
      </c>
      <c r="P108" t="str">
        <f>IF(O108&gt;0,VLOOKUP($O108,Dep!$A:$M,3),"")</f>
        <v>07:00</v>
      </c>
      <c r="Q108" t="str">
        <f>IF(O108&gt;0,VLOOKUP($O108,Dep!$A:$M,6),"")</f>
        <v>LAX</v>
      </c>
      <c r="R108" t="str">
        <f>IF(O108&gt;0,VLOOKUP($O108,Dep!$A:$M,7),"")</f>
        <v>739</v>
      </c>
      <c r="S108">
        <f>IF(O108&gt;0,VLOOKUP($O108,Dep!$A:$M,9),"")</f>
        <v>138</v>
      </c>
      <c r="T108" t="str">
        <f>IF(O108&gt;0,VLOOKUP($O108,Dep!$A:$M,10),"")</f>
        <v>NAT</v>
      </c>
      <c r="U108" t="str">
        <f>IF(O108&gt;0,VLOOKUP($O108,Dep!$A:$M,12),"")</f>
        <v>AS</v>
      </c>
      <c r="V108" t="str">
        <f t="shared" si="16"/>
        <v/>
      </c>
      <c r="W108" t="str">
        <f t="shared" si="17"/>
        <v/>
      </c>
      <c r="X108" t="str">
        <f t="shared" si="18"/>
        <v>X</v>
      </c>
      <c r="Y108">
        <f t="shared" si="13"/>
        <v>0</v>
      </c>
      <c r="Z108">
        <f t="shared" si="19"/>
        <v>1</v>
      </c>
      <c r="AA108" s="20">
        <f t="shared" si="14"/>
        <v>0.36527777777777781</v>
      </c>
      <c r="AB108">
        <f t="shared" si="20"/>
        <v>107</v>
      </c>
      <c r="AC108" s="20" t="str">
        <f t="shared" si="21"/>
        <v>22:14</v>
      </c>
      <c r="AD108" s="20" t="str">
        <f t="shared" si="15"/>
        <v>07:00</v>
      </c>
      <c r="AE108" t="str">
        <f>VLOOKUP(G108,ACtypes!A:C,3,FALSE)</f>
        <v>C</v>
      </c>
      <c r="AF108" t="str">
        <f t="shared" si="22"/>
        <v/>
      </c>
      <c r="AG108" t="str">
        <f t="shared" si="23"/>
        <v/>
      </c>
      <c r="AH108">
        <f t="shared" si="24"/>
        <v>138</v>
      </c>
    </row>
    <row r="109" spans="1:34" x14ac:dyDescent="0.3">
      <c r="A109" s="41">
        <f t="shared" si="25"/>
        <v>108</v>
      </c>
      <c r="B109" s="27">
        <v>214</v>
      </c>
      <c r="C109" s="28" t="s">
        <v>285</v>
      </c>
      <c r="D109" s="28" t="s">
        <v>13</v>
      </c>
      <c r="E109" s="28" t="s">
        <v>279</v>
      </c>
      <c r="F109" s="28" t="s">
        <v>15</v>
      </c>
      <c r="G109" s="28" t="s">
        <v>43</v>
      </c>
      <c r="H109" s="27">
        <v>0</v>
      </c>
      <c r="I109" s="27">
        <v>138</v>
      </c>
      <c r="J109" s="28" t="s">
        <v>17</v>
      </c>
      <c r="K109" s="27">
        <v>25</v>
      </c>
      <c r="L109" s="28" t="s">
        <v>22</v>
      </c>
      <c r="M109" s="27">
        <v>9</v>
      </c>
      <c r="O109" s="23">
        <v>92</v>
      </c>
      <c r="P109" t="str">
        <f>IF(O109&gt;0,VLOOKUP($O109,Dep!$A:$M,3),"")</f>
        <v>07:10</v>
      </c>
      <c r="Q109" t="str">
        <f>IF(O109&gt;0,VLOOKUP($O109,Dep!$A:$M,6),"")</f>
        <v>PHX</v>
      </c>
      <c r="R109" t="str">
        <f>IF(O109&gt;0,VLOOKUP($O109,Dep!$A:$M,7),"")</f>
        <v>739</v>
      </c>
      <c r="S109">
        <f>IF(O109&gt;0,VLOOKUP($O109,Dep!$A:$M,9),"")</f>
        <v>138</v>
      </c>
      <c r="T109" t="str">
        <f>IF(O109&gt;0,VLOOKUP($O109,Dep!$A:$M,10),"")</f>
        <v>NAT</v>
      </c>
      <c r="U109" t="str">
        <f>IF(O109&gt;0,VLOOKUP($O109,Dep!$A:$M,12),"")</f>
        <v>AS</v>
      </c>
      <c r="V109" t="str">
        <f t="shared" si="16"/>
        <v/>
      </c>
      <c r="W109" t="str">
        <f t="shared" si="17"/>
        <v/>
      </c>
      <c r="X109" t="str">
        <f t="shared" si="18"/>
        <v>X</v>
      </c>
      <c r="Y109">
        <f t="shared" si="13"/>
        <v>0</v>
      </c>
      <c r="Z109">
        <f t="shared" si="19"/>
        <v>1</v>
      </c>
      <c r="AA109" s="20">
        <f t="shared" si="14"/>
        <v>0.36041666666666661</v>
      </c>
      <c r="AB109">
        <f t="shared" si="20"/>
        <v>108</v>
      </c>
      <c r="AC109" s="20" t="str">
        <f t="shared" si="21"/>
        <v>22:31</v>
      </c>
      <c r="AD109" s="20" t="str">
        <f t="shared" si="15"/>
        <v>07:10</v>
      </c>
      <c r="AE109" t="str">
        <f>VLOOKUP(G109,ACtypes!A:C,3,FALSE)</f>
        <v>C</v>
      </c>
      <c r="AF109" t="str">
        <f t="shared" si="22"/>
        <v/>
      </c>
      <c r="AG109" t="str">
        <f t="shared" si="23"/>
        <v/>
      </c>
      <c r="AH109">
        <f t="shared" si="24"/>
        <v>138</v>
      </c>
    </row>
    <row r="110" spans="1:34" x14ac:dyDescent="0.3">
      <c r="A110" s="41">
        <f t="shared" si="25"/>
        <v>109</v>
      </c>
      <c r="B110" s="27">
        <v>379</v>
      </c>
      <c r="C110" s="28" t="s">
        <v>436</v>
      </c>
      <c r="D110" s="28" t="s">
        <v>13</v>
      </c>
      <c r="E110" s="28" t="s">
        <v>432</v>
      </c>
      <c r="F110" s="28" t="s">
        <v>15</v>
      </c>
      <c r="G110" s="28" t="s">
        <v>43</v>
      </c>
      <c r="H110" s="27">
        <v>0</v>
      </c>
      <c r="I110" s="27">
        <v>138</v>
      </c>
      <c r="J110" s="28" t="s">
        <v>17</v>
      </c>
      <c r="K110" s="27">
        <v>25</v>
      </c>
      <c r="L110" s="28" t="s">
        <v>22</v>
      </c>
      <c r="M110" s="27">
        <v>9</v>
      </c>
      <c r="O110" s="23">
        <v>93</v>
      </c>
      <c r="P110" t="str">
        <f>IF(O110&gt;0,VLOOKUP($O110,Dep!$A:$M,3),"")</f>
        <v>08:00</v>
      </c>
      <c r="Q110" t="str">
        <f>IF(O110&gt;0,VLOOKUP($O110,Dep!$A:$M,6),"")</f>
        <v>LAX</v>
      </c>
      <c r="R110" t="str">
        <f>IF(O110&gt;0,VLOOKUP($O110,Dep!$A:$M,7),"")</f>
        <v>739</v>
      </c>
      <c r="S110">
        <f>IF(O110&gt;0,VLOOKUP($O110,Dep!$A:$M,9),"")</f>
        <v>138</v>
      </c>
      <c r="T110" t="str">
        <f>IF(O110&gt;0,VLOOKUP($O110,Dep!$A:$M,10),"")</f>
        <v>NAT</v>
      </c>
      <c r="U110" t="str">
        <f>IF(O110&gt;0,VLOOKUP($O110,Dep!$A:$M,12),"")</f>
        <v>AS</v>
      </c>
      <c r="V110" t="str">
        <f t="shared" si="16"/>
        <v/>
      </c>
      <c r="W110" t="str">
        <f t="shared" si="17"/>
        <v/>
      </c>
      <c r="X110" t="str">
        <f t="shared" si="18"/>
        <v>X</v>
      </c>
      <c r="Y110">
        <f t="shared" si="13"/>
        <v>0</v>
      </c>
      <c r="Z110">
        <f t="shared" si="19"/>
        <v>1</v>
      </c>
      <c r="AA110" s="20">
        <f t="shared" si="14"/>
        <v>0.34375</v>
      </c>
      <c r="AB110">
        <f t="shared" si="20"/>
        <v>109</v>
      </c>
      <c r="AC110" s="20" t="str">
        <f t="shared" si="21"/>
        <v>23:45</v>
      </c>
      <c r="AD110" s="20" t="str">
        <f t="shared" si="15"/>
        <v>08:00</v>
      </c>
      <c r="AE110" t="str">
        <f>VLOOKUP(G110,ACtypes!A:C,3,FALSE)</f>
        <v>C</v>
      </c>
      <c r="AF110" t="str">
        <f t="shared" si="22"/>
        <v/>
      </c>
      <c r="AG110" t="str">
        <f t="shared" si="23"/>
        <v/>
      </c>
      <c r="AH110">
        <f t="shared" si="24"/>
        <v>138</v>
      </c>
    </row>
    <row r="111" spans="1:34" x14ac:dyDescent="0.3">
      <c r="A111" s="41">
        <f t="shared" si="25"/>
        <v>110</v>
      </c>
      <c r="B111" s="27">
        <v>212</v>
      </c>
      <c r="C111" s="28" t="s">
        <v>284</v>
      </c>
      <c r="D111" s="28" t="s">
        <v>13</v>
      </c>
      <c r="E111" s="28" t="s">
        <v>279</v>
      </c>
      <c r="F111" s="28" t="s">
        <v>15</v>
      </c>
      <c r="G111" s="28" t="s">
        <v>43</v>
      </c>
      <c r="H111" s="27">
        <v>0</v>
      </c>
      <c r="I111" s="27">
        <v>138</v>
      </c>
      <c r="J111" s="28" t="s">
        <v>17</v>
      </c>
      <c r="K111" s="27">
        <v>25</v>
      </c>
      <c r="L111" s="28" t="s">
        <v>22</v>
      </c>
      <c r="M111" s="27">
        <v>9</v>
      </c>
      <c r="O111" s="23">
        <v>94</v>
      </c>
      <c r="P111" t="str">
        <f>IF(O111&gt;0,VLOOKUP($O111,Dep!$A:$M,3),"")</f>
        <v>08:45</v>
      </c>
      <c r="Q111" t="str">
        <f>IF(O111&gt;0,VLOOKUP($O111,Dep!$A:$M,6),"")</f>
        <v>BOS</v>
      </c>
      <c r="R111" t="str">
        <f>IF(O111&gt;0,VLOOKUP($O111,Dep!$A:$M,7),"")</f>
        <v>739</v>
      </c>
      <c r="S111">
        <f>IF(O111&gt;0,VLOOKUP($O111,Dep!$A:$M,9),"")</f>
        <v>138</v>
      </c>
      <c r="T111" t="str">
        <f>IF(O111&gt;0,VLOOKUP($O111,Dep!$A:$M,10),"")</f>
        <v>NAT</v>
      </c>
      <c r="U111" t="str">
        <f>IF(O111&gt;0,VLOOKUP($O111,Dep!$A:$M,12),"")</f>
        <v>AS</v>
      </c>
      <c r="V111" t="str">
        <f t="shared" si="16"/>
        <v/>
      </c>
      <c r="W111" t="str">
        <f t="shared" si="17"/>
        <v/>
      </c>
      <c r="X111" t="str">
        <f t="shared" si="18"/>
        <v>X</v>
      </c>
      <c r="Y111">
        <f t="shared" si="13"/>
        <v>0</v>
      </c>
      <c r="Z111">
        <f t="shared" si="19"/>
        <v>1</v>
      </c>
      <c r="AA111" s="20">
        <f t="shared" si="14"/>
        <v>0.36875000000000013</v>
      </c>
      <c r="AB111">
        <f t="shared" si="20"/>
        <v>110</v>
      </c>
      <c r="AC111" s="20" t="str">
        <f t="shared" si="21"/>
        <v>23:54</v>
      </c>
      <c r="AD111" s="20" t="str">
        <f t="shared" si="15"/>
        <v>08:45</v>
      </c>
      <c r="AE111" t="str">
        <f>VLOOKUP(G111,ACtypes!A:C,3,FALSE)</f>
        <v>C</v>
      </c>
      <c r="AF111" t="str">
        <f t="shared" si="22"/>
        <v/>
      </c>
      <c r="AG111" t="str">
        <f t="shared" si="23"/>
        <v/>
      </c>
      <c r="AH111">
        <f t="shared" si="24"/>
        <v>138</v>
      </c>
    </row>
    <row r="112" spans="1:34" x14ac:dyDescent="0.3">
      <c r="A112" s="41">
        <f t="shared" si="25"/>
        <v>111</v>
      </c>
      <c r="B112" s="27">
        <v>180</v>
      </c>
      <c r="C112" s="28" t="s">
        <v>211</v>
      </c>
      <c r="D112" s="28" t="s">
        <v>13</v>
      </c>
      <c r="E112" s="28" t="s">
        <v>252</v>
      </c>
      <c r="F112" s="28" t="s">
        <v>15</v>
      </c>
      <c r="G112" s="28" t="s">
        <v>193</v>
      </c>
      <c r="H112" s="27">
        <v>0</v>
      </c>
      <c r="I112" s="27">
        <v>0</v>
      </c>
      <c r="J112" s="28" t="s">
        <v>17</v>
      </c>
      <c r="K112" s="27">
        <v>25</v>
      </c>
      <c r="L112" s="28" t="s">
        <v>22</v>
      </c>
      <c r="M112" s="27">
        <v>17.899999999999999</v>
      </c>
      <c r="O112" s="23">
        <v>112</v>
      </c>
      <c r="P112" t="str">
        <f>IF(O112&gt;0,VLOOKUP($O112,Dep!$A:$M,3),"")</f>
        <v>13:30</v>
      </c>
      <c r="Q112" t="str">
        <f>IF(O112&gt;0,VLOOKUP($O112,Dep!$A:$M,6),"")</f>
        <v>KTN</v>
      </c>
      <c r="R112" t="str">
        <f>IF(O112&gt;0,VLOOKUP($O112,Dep!$A:$M,7),"")</f>
        <v>73F</v>
      </c>
      <c r="S112">
        <f>IF(O112&gt;0,VLOOKUP($O112,Dep!$A:$M,9),"")</f>
        <v>0</v>
      </c>
      <c r="T112" t="str">
        <f>IF(O112&gt;0,VLOOKUP($O112,Dep!$A:$M,10),"")</f>
        <v>NAT</v>
      </c>
      <c r="U112" t="str">
        <f>IF(O112&gt;0,VLOOKUP($O112,Dep!$A:$M,12),"")</f>
        <v>AS</v>
      </c>
      <c r="V112" t="str">
        <f t="shared" si="16"/>
        <v/>
      </c>
      <c r="W112" t="str">
        <f t="shared" si="17"/>
        <v/>
      </c>
      <c r="X112" t="str">
        <f t="shared" si="18"/>
        <v>X</v>
      </c>
      <c r="Y112">
        <f t="shared" si="13"/>
        <v>0</v>
      </c>
      <c r="Z112" t="str">
        <f t="shared" si="19"/>
        <v/>
      </c>
      <c r="AA112" s="20">
        <f t="shared" si="14"/>
        <v>0.18402777777777773</v>
      </c>
      <c r="AB112">
        <f t="shared" si="20"/>
        <v>111</v>
      </c>
      <c r="AC112" s="20" t="str">
        <f t="shared" si="21"/>
        <v>09:05</v>
      </c>
      <c r="AD112" s="20" t="str">
        <f t="shared" si="15"/>
        <v>13:30</v>
      </c>
      <c r="AE112" t="str">
        <f>VLOOKUP(G112,ACtypes!A:C,3,FALSE)</f>
        <v>C</v>
      </c>
      <c r="AF112" t="str">
        <f t="shared" si="22"/>
        <v/>
      </c>
      <c r="AG112" t="str">
        <f t="shared" si="23"/>
        <v/>
      </c>
      <c r="AH112">
        <f t="shared" si="24"/>
        <v>0</v>
      </c>
    </row>
    <row r="113" spans="1:34" x14ac:dyDescent="0.3">
      <c r="A113" s="41">
        <f t="shared" si="25"/>
        <v>112</v>
      </c>
      <c r="B113" s="27">
        <v>952</v>
      </c>
      <c r="C113" s="28" t="s">
        <v>527</v>
      </c>
      <c r="D113" s="28" t="s">
        <v>13</v>
      </c>
      <c r="E113" s="28" t="s">
        <v>528</v>
      </c>
      <c r="F113" s="28" t="s">
        <v>15</v>
      </c>
      <c r="G113" s="28" t="s">
        <v>193</v>
      </c>
      <c r="H113" s="27">
        <v>0</v>
      </c>
      <c r="I113" s="27">
        <v>0</v>
      </c>
      <c r="J113" s="28" t="s">
        <v>17</v>
      </c>
      <c r="K113" s="27">
        <v>25</v>
      </c>
      <c r="L113" s="28" t="s">
        <v>22</v>
      </c>
      <c r="M113" s="27">
        <v>17.899999999999999</v>
      </c>
      <c r="O113" s="23">
        <v>111</v>
      </c>
      <c r="P113" t="str">
        <f>IF(O113&gt;0,VLOOKUP($O113,Dep!$A:$M,3),"")</f>
        <v>02:11</v>
      </c>
      <c r="Q113" t="str">
        <f>IF(O113&gt;0,VLOOKUP($O113,Dep!$A:$M,6),"")</f>
        <v>ANC</v>
      </c>
      <c r="R113" t="str">
        <f>IF(O113&gt;0,VLOOKUP($O113,Dep!$A:$M,7),"")</f>
        <v>73F</v>
      </c>
      <c r="S113">
        <f>IF(O113&gt;0,VLOOKUP($O113,Dep!$A:$M,9),"")</f>
        <v>0</v>
      </c>
      <c r="T113" t="str">
        <f>IF(O113&gt;0,VLOOKUP($O113,Dep!$A:$M,10),"")</f>
        <v>NAT</v>
      </c>
      <c r="U113" t="str">
        <f>IF(O113&gt;0,VLOOKUP($O113,Dep!$A:$M,12),"")</f>
        <v>AS</v>
      </c>
      <c r="V113" t="str">
        <f t="shared" si="16"/>
        <v/>
      </c>
      <c r="W113" t="str">
        <f t="shared" si="17"/>
        <v/>
      </c>
      <c r="X113" t="str">
        <f t="shared" si="18"/>
        <v>X</v>
      </c>
      <c r="Y113">
        <f t="shared" si="13"/>
        <v>0</v>
      </c>
      <c r="Z113">
        <f t="shared" si="19"/>
        <v>1</v>
      </c>
      <c r="AA113" s="20">
        <f t="shared" si="14"/>
        <v>0.10833333333333339</v>
      </c>
      <c r="AB113">
        <f t="shared" si="20"/>
        <v>112</v>
      </c>
      <c r="AC113" s="20" t="str">
        <f t="shared" si="21"/>
        <v>23:35</v>
      </c>
      <c r="AD113" s="20" t="str">
        <f t="shared" si="15"/>
        <v>02:11</v>
      </c>
      <c r="AE113" t="str">
        <f>VLOOKUP(G113,ACtypes!A:C,3,FALSE)</f>
        <v>C</v>
      </c>
      <c r="AF113" t="str">
        <f t="shared" si="22"/>
        <v/>
      </c>
      <c r="AG113" t="str">
        <f t="shared" si="23"/>
        <v/>
      </c>
      <c r="AH113">
        <f t="shared" si="24"/>
        <v>0</v>
      </c>
    </row>
    <row r="114" spans="1:34" x14ac:dyDescent="0.3">
      <c r="A114" s="41">
        <f t="shared" si="25"/>
        <v>113</v>
      </c>
      <c r="B114" s="27">
        <v>181</v>
      </c>
      <c r="C114" s="28" t="s">
        <v>253</v>
      </c>
      <c r="D114" s="28" t="s">
        <v>13</v>
      </c>
      <c r="E114" s="28" t="s">
        <v>252</v>
      </c>
      <c r="F114" s="28" t="s">
        <v>15</v>
      </c>
      <c r="G114" s="28" t="s">
        <v>53</v>
      </c>
      <c r="H114" s="27">
        <v>0</v>
      </c>
      <c r="I114" s="27">
        <v>99</v>
      </c>
      <c r="J114" s="28" t="s">
        <v>17</v>
      </c>
      <c r="K114" s="27">
        <v>25</v>
      </c>
      <c r="L114" s="28" t="s">
        <v>22</v>
      </c>
      <c r="M114" s="27">
        <v>5.2</v>
      </c>
      <c r="O114" s="23">
        <v>117</v>
      </c>
      <c r="P114" t="str">
        <f>IF(O114&gt;0,VLOOKUP($O114,Dep!$A:$M,3),"")</f>
        <v>07:15</v>
      </c>
      <c r="Q114" t="str">
        <f>IF(O114&gt;0,VLOOKUP($O114,Dep!$A:$M,6),"")</f>
        <v>SNA</v>
      </c>
      <c r="R114" t="str">
        <f>IF(O114&gt;0,VLOOKUP($O114,Dep!$A:$M,7),"")</f>
        <v>73G</v>
      </c>
      <c r="S114">
        <f>IF(O114&gt;0,VLOOKUP($O114,Dep!$A:$M,9),"")</f>
        <v>99</v>
      </c>
      <c r="T114" t="str">
        <f>IF(O114&gt;0,VLOOKUP($O114,Dep!$A:$M,10),"")</f>
        <v>NAT</v>
      </c>
      <c r="U114" t="str">
        <f>IF(O114&gt;0,VLOOKUP($O114,Dep!$A:$M,12),"")</f>
        <v>AS</v>
      </c>
      <c r="V114" t="str">
        <f t="shared" si="16"/>
        <v/>
      </c>
      <c r="W114" t="str">
        <f t="shared" si="17"/>
        <v/>
      </c>
      <c r="X114" t="str">
        <f t="shared" si="18"/>
        <v>X</v>
      </c>
      <c r="Y114">
        <f t="shared" si="13"/>
        <v>0</v>
      </c>
      <c r="Z114" t="str">
        <f t="shared" si="19"/>
        <v/>
      </c>
      <c r="AA114" s="20">
        <f t="shared" si="14"/>
        <v>0.11805555555555552</v>
      </c>
      <c r="AB114">
        <f t="shared" si="20"/>
        <v>113</v>
      </c>
      <c r="AC114" s="20" t="str">
        <f t="shared" si="21"/>
        <v>04:25</v>
      </c>
      <c r="AD114" s="20" t="str">
        <f t="shared" si="15"/>
        <v>07:15</v>
      </c>
      <c r="AE114" t="str">
        <f>VLOOKUP(G114,ACtypes!A:C,3,FALSE)</f>
        <v>C</v>
      </c>
      <c r="AF114" t="str">
        <f t="shared" si="22"/>
        <v/>
      </c>
      <c r="AG114" t="str">
        <f t="shared" si="23"/>
        <v/>
      </c>
      <c r="AH114">
        <f t="shared" si="24"/>
        <v>99</v>
      </c>
    </row>
    <row r="115" spans="1:34" x14ac:dyDescent="0.3">
      <c r="A115" s="41">
        <f t="shared" si="25"/>
        <v>114</v>
      </c>
      <c r="B115" s="27">
        <v>21</v>
      </c>
      <c r="C115" s="28" t="s">
        <v>54</v>
      </c>
      <c r="D115" s="28" t="s">
        <v>13</v>
      </c>
      <c r="E115" s="28" t="s">
        <v>31</v>
      </c>
      <c r="F115" s="28" t="s">
        <v>15</v>
      </c>
      <c r="G115" s="28" t="s">
        <v>53</v>
      </c>
      <c r="H115" s="27">
        <v>0</v>
      </c>
      <c r="I115" s="27">
        <v>99</v>
      </c>
      <c r="J115" s="28" t="s">
        <v>17</v>
      </c>
      <c r="K115" s="27">
        <v>25</v>
      </c>
      <c r="L115" s="28" t="s">
        <v>22</v>
      </c>
      <c r="M115" s="27">
        <v>5.2</v>
      </c>
      <c r="O115" s="23">
        <v>118</v>
      </c>
      <c r="P115" t="str">
        <f>IF(O115&gt;0,VLOOKUP($O115,Dep!$A:$M,3),"")</f>
        <v>08:45</v>
      </c>
      <c r="Q115" t="str">
        <f>IF(O115&gt;0,VLOOKUP($O115,Dep!$A:$M,6),"")</f>
        <v>DCA</v>
      </c>
      <c r="R115" t="str">
        <f>IF(O115&gt;0,VLOOKUP($O115,Dep!$A:$M,7),"")</f>
        <v>73G</v>
      </c>
      <c r="S115">
        <f>IF(O115&gt;0,VLOOKUP($O115,Dep!$A:$M,9),"")</f>
        <v>99</v>
      </c>
      <c r="T115" t="str">
        <f>IF(O115&gt;0,VLOOKUP($O115,Dep!$A:$M,10),"")</f>
        <v>NAT</v>
      </c>
      <c r="U115" t="str">
        <f>IF(O115&gt;0,VLOOKUP($O115,Dep!$A:$M,12),"")</f>
        <v>AS</v>
      </c>
      <c r="V115" t="str">
        <f t="shared" si="16"/>
        <v/>
      </c>
      <c r="W115" t="str">
        <f t="shared" si="17"/>
        <v/>
      </c>
      <c r="X115" t="str">
        <f t="shared" si="18"/>
        <v>X</v>
      </c>
      <c r="Y115">
        <f t="shared" si="13"/>
        <v>0</v>
      </c>
      <c r="Z115" t="str">
        <f t="shared" si="19"/>
        <v/>
      </c>
      <c r="AA115" s="20">
        <f t="shared" si="14"/>
        <v>9.4444444444444442E-2</v>
      </c>
      <c r="AB115">
        <f t="shared" si="20"/>
        <v>114</v>
      </c>
      <c r="AC115" s="20" t="str">
        <f t="shared" si="21"/>
        <v>06:29</v>
      </c>
      <c r="AD115" s="20" t="str">
        <f t="shared" si="15"/>
        <v>08:45</v>
      </c>
      <c r="AE115" t="str">
        <f>VLOOKUP(G115,ACtypes!A:C,3,FALSE)</f>
        <v>C</v>
      </c>
      <c r="AF115" t="str">
        <f t="shared" si="22"/>
        <v/>
      </c>
      <c r="AG115" t="str">
        <f t="shared" si="23"/>
        <v/>
      </c>
      <c r="AH115">
        <f t="shared" si="24"/>
        <v>99</v>
      </c>
    </row>
    <row r="116" spans="1:34" x14ac:dyDescent="0.3">
      <c r="A116" s="41">
        <f t="shared" si="25"/>
        <v>115</v>
      </c>
      <c r="B116" s="27">
        <v>80</v>
      </c>
      <c r="C116" s="28" t="s">
        <v>138</v>
      </c>
      <c r="D116" s="28" t="s">
        <v>13</v>
      </c>
      <c r="E116" s="28" t="s">
        <v>124</v>
      </c>
      <c r="F116" s="28" t="s">
        <v>15</v>
      </c>
      <c r="G116" s="28" t="s">
        <v>53</v>
      </c>
      <c r="H116" s="27">
        <v>0</v>
      </c>
      <c r="I116" s="27">
        <v>99</v>
      </c>
      <c r="J116" s="28" t="s">
        <v>17</v>
      </c>
      <c r="K116" s="27">
        <v>25</v>
      </c>
      <c r="L116" s="28" t="s">
        <v>22</v>
      </c>
      <c r="M116" s="27">
        <v>5.2</v>
      </c>
      <c r="O116" s="23">
        <v>119</v>
      </c>
      <c r="P116" t="str">
        <f>IF(O116&gt;0,VLOOKUP($O116,Dep!$A:$M,3),"")</f>
        <v>11:00</v>
      </c>
      <c r="Q116" t="str">
        <f>IF(O116&gt;0,VLOOKUP($O116,Dep!$A:$M,6),"")</f>
        <v>ANC</v>
      </c>
      <c r="R116" t="str">
        <f>IF(O116&gt;0,VLOOKUP($O116,Dep!$A:$M,7),"")</f>
        <v>73G</v>
      </c>
      <c r="S116">
        <f>IF(O116&gt;0,VLOOKUP($O116,Dep!$A:$M,9),"")</f>
        <v>99</v>
      </c>
      <c r="T116" t="str">
        <f>IF(O116&gt;0,VLOOKUP($O116,Dep!$A:$M,10),"")</f>
        <v>NAT</v>
      </c>
      <c r="U116" t="str">
        <f>IF(O116&gt;0,VLOOKUP($O116,Dep!$A:$M,12),"")</f>
        <v>AS</v>
      </c>
      <c r="V116" t="str">
        <f t="shared" si="16"/>
        <v/>
      </c>
      <c r="W116" t="str">
        <f t="shared" si="17"/>
        <v/>
      </c>
      <c r="X116" t="str">
        <f t="shared" si="18"/>
        <v>X</v>
      </c>
      <c r="Y116">
        <f t="shared" si="13"/>
        <v>0</v>
      </c>
      <c r="Z116" t="str">
        <f t="shared" si="19"/>
        <v/>
      </c>
      <c r="AA116" s="20">
        <f t="shared" si="14"/>
        <v>6.1111111111111116E-2</v>
      </c>
      <c r="AB116">
        <f t="shared" si="20"/>
        <v>115</v>
      </c>
      <c r="AC116" s="20" t="str">
        <f t="shared" si="21"/>
        <v>09:32</v>
      </c>
      <c r="AD116" s="20" t="str">
        <f t="shared" si="15"/>
        <v>11:00</v>
      </c>
      <c r="AE116" t="str">
        <f>VLOOKUP(G116,ACtypes!A:C,3,FALSE)</f>
        <v>C</v>
      </c>
      <c r="AF116" t="str">
        <f t="shared" si="22"/>
        <v/>
      </c>
      <c r="AG116" t="str">
        <f t="shared" si="23"/>
        <v/>
      </c>
      <c r="AH116">
        <f t="shared" si="24"/>
        <v>99</v>
      </c>
    </row>
    <row r="117" spans="1:34" x14ac:dyDescent="0.3">
      <c r="A117" s="41">
        <f t="shared" si="25"/>
        <v>116</v>
      </c>
      <c r="B117" s="27">
        <v>344</v>
      </c>
      <c r="C117" s="28" t="s">
        <v>411</v>
      </c>
      <c r="D117" s="28" t="s">
        <v>13</v>
      </c>
      <c r="E117" s="28" t="s">
        <v>404</v>
      </c>
      <c r="F117" s="28" t="s">
        <v>15</v>
      </c>
      <c r="G117" s="28" t="s">
        <v>53</v>
      </c>
      <c r="H117" s="27">
        <v>0</v>
      </c>
      <c r="I117" s="27">
        <v>99</v>
      </c>
      <c r="J117" s="28" t="s">
        <v>17</v>
      </c>
      <c r="K117" s="27">
        <v>25</v>
      </c>
      <c r="L117" s="28" t="s">
        <v>22</v>
      </c>
      <c r="M117" s="27">
        <v>5.2</v>
      </c>
      <c r="O117" s="23">
        <v>120</v>
      </c>
      <c r="P117" t="str">
        <f>IF(O117&gt;0,VLOOKUP($O117,Dep!$A:$M,3),"")</f>
        <v>11:30</v>
      </c>
      <c r="Q117" t="str">
        <f>IF(O117&gt;0,VLOOKUP($O117,Dep!$A:$M,6),"")</f>
        <v>BUR</v>
      </c>
      <c r="R117" t="str">
        <f>IF(O117&gt;0,VLOOKUP($O117,Dep!$A:$M,7),"")</f>
        <v>73G</v>
      </c>
      <c r="S117">
        <f>IF(O117&gt;0,VLOOKUP($O117,Dep!$A:$M,9),"")</f>
        <v>99</v>
      </c>
      <c r="T117" t="str">
        <f>IF(O117&gt;0,VLOOKUP($O117,Dep!$A:$M,10),"")</f>
        <v>NAT</v>
      </c>
      <c r="U117" t="str">
        <f>IF(O117&gt;0,VLOOKUP($O117,Dep!$A:$M,12),"")</f>
        <v>AS</v>
      </c>
      <c r="V117" t="str">
        <f t="shared" si="16"/>
        <v/>
      </c>
      <c r="W117" t="str">
        <f t="shared" si="17"/>
        <v/>
      </c>
      <c r="X117" t="str">
        <f t="shared" si="18"/>
        <v>X</v>
      </c>
      <c r="Y117">
        <f t="shared" si="13"/>
        <v>0</v>
      </c>
      <c r="Z117" t="str">
        <f t="shared" si="19"/>
        <v/>
      </c>
      <c r="AA117" s="20">
        <f t="shared" si="14"/>
        <v>4.9305555555555602E-2</v>
      </c>
      <c r="AB117">
        <f t="shared" si="20"/>
        <v>116</v>
      </c>
      <c r="AC117" s="20" t="str">
        <f t="shared" si="21"/>
        <v>10:19</v>
      </c>
      <c r="AD117" s="20" t="str">
        <f t="shared" si="15"/>
        <v>11:30</v>
      </c>
      <c r="AE117" t="str">
        <f>VLOOKUP(G117,ACtypes!A:C,3,FALSE)</f>
        <v>C</v>
      </c>
      <c r="AF117" t="str">
        <f t="shared" si="22"/>
        <v/>
      </c>
      <c r="AG117" t="str">
        <f t="shared" si="23"/>
        <v/>
      </c>
      <c r="AH117">
        <f t="shared" si="24"/>
        <v>99</v>
      </c>
    </row>
    <row r="118" spans="1:34" x14ac:dyDescent="0.3">
      <c r="A118" s="41">
        <f t="shared" si="25"/>
        <v>117</v>
      </c>
      <c r="B118" s="27">
        <v>280</v>
      </c>
      <c r="C118" s="28" t="s">
        <v>355</v>
      </c>
      <c r="D118" s="28" t="s">
        <v>13</v>
      </c>
      <c r="E118" s="28" t="s">
        <v>352</v>
      </c>
      <c r="F118" s="28" t="s">
        <v>15</v>
      </c>
      <c r="G118" s="28" t="s">
        <v>53</v>
      </c>
      <c r="H118" s="27">
        <v>0</v>
      </c>
      <c r="I118" s="27">
        <v>99</v>
      </c>
      <c r="J118" s="28" t="s">
        <v>17</v>
      </c>
      <c r="K118" s="27">
        <v>25</v>
      </c>
      <c r="L118" s="28" t="s">
        <v>22</v>
      </c>
      <c r="M118" s="27">
        <v>5.2</v>
      </c>
      <c r="O118" s="23">
        <v>121</v>
      </c>
      <c r="P118" t="str">
        <f>IF(O118&gt;0,VLOOKUP($O118,Dep!$A:$M,3),"")</f>
        <v>12:38</v>
      </c>
      <c r="Q118" t="str">
        <f>IF(O118&gt;0,VLOOKUP($O118,Dep!$A:$M,6),"")</f>
        <v>ANC</v>
      </c>
      <c r="R118" t="str">
        <f>IF(O118&gt;0,VLOOKUP($O118,Dep!$A:$M,7),"")</f>
        <v>73G</v>
      </c>
      <c r="S118">
        <f>IF(O118&gt;0,VLOOKUP($O118,Dep!$A:$M,9),"")</f>
        <v>99</v>
      </c>
      <c r="T118" t="str">
        <f>IF(O118&gt;0,VLOOKUP($O118,Dep!$A:$M,10),"")</f>
        <v>NAT</v>
      </c>
      <c r="U118" t="str">
        <f>IF(O118&gt;0,VLOOKUP($O118,Dep!$A:$M,12),"")</f>
        <v>AS</v>
      </c>
      <c r="V118" t="str">
        <f t="shared" si="16"/>
        <v/>
      </c>
      <c r="W118" t="str">
        <f t="shared" si="17"/>
        <v/>
      </c>
      <c r="X118" t="str">
        <f t="shared" si="18"/>
        <v>X</v>
      </c>
      <c r="Y118">
        <f t="shared" si="13"/>
        <v>0</v>
      </c>
      <c r="Z118" t="str">
        <f t="shared" si="19"/>
        <v/>
      </c>
      <c r="AA118" s="20">
        <f t="shared" si="14"/>
        <v>7.9861111111111105E-2</v>
      </c>
      <c r="AB118">
        <f t="shared" si="20"/>
        <v>117</v>
      </c>
      <c r="AC118" s="20" t="str">
        <f t="shared" si="21"/>
        <v>10:43</v>
      </c>
      <c r="AD118" s="20" t="str">
        <f t="shared" si="15"/>
        <v>12:38</v>
      </c>
      <c r="AE118" t="str">
        <f>VLOOKUP(G118,ACtypes!A:C,3,FALSE)</f>
        <v>C</v>
      </c>
      <c r="AF118" t="str">
        <f t="shared" si="22"/>
        <v/>
      </c>
      <c r="AG118" t="str">
        <f t="shared" si="23"/>
        <v/>
      </c>
      <c r="AH118">
        <f t="shared" si="24"/>
        <v>99</v>
      </c>
    </row>
    <row r="119" spans="1:34" x14ac:dyDescent="0.3">
      <c r="A119" s="41">
        <f t="shared" si="25"/>
        <v>118</v>
      </c>
      <c r="B119" s="27">
        <v>69</v>
      </c>
      <c r="C119" s="28" t="s">
        <v>122</v>
      </c>
      <c r="D119" s="28" t="s">
        <v>13</v>
      </c>
      <c r="E119" s="28" t="s">
        <v>121</v>
      </c>
      <c r="F119" s="28" t="s">
        <v>15</v>
      </c>
      <c r="G119" s="28" t="s">
        <v>53</v>
      </c>
      <c r="H119" s="27">
        <v>0</v>
      </c>
      <c r="I119" s="27">
        <v>99</v>
      </c>
      <c r="J119" s="28" t="s">
        <v>17</v>
      </c>
      <c r="K119" s="27">
        <v>25</v>
      </c>
      <c r="L119" s="28" t="s">
        <v>22</v>
      </c>
      <c r="M119" s="27">
        <v>5.2</v>
      </c>
      <c r="O119" s="23">
        <v>122</v>
      </c>
      <c r="P119" t="str">
        <f>IF(O119&gt;0,VLOOKUP($O119,Dep!$A:$M,3),"")</f>
        <v>12:43</v>
      </c>
      <c r="Q119" t="str">
        <f>IF(O119&gt;0,VLOOKUP($O119,Dep!$A:$M,6),"")</f>
        <v>ORD</v>
      </c>
      <c r="R119" t="str">
        <f>IF(O119&gt;0,VLOOKUP($O119,Dep!$A:$M,7),"")</f>
        <v>73G</v>
      </c>
      <c r="S119">
        <f>IF(O119&gt;0,VLOOKUP($O119,Dep!$A:$M,9),"")</f>
        <v>99</v>
      </c>
      <c r="T119" t="str">
        <f>IF(O119&gt;0,VLOOKUP($O119,Dep!$A:$M,10),"")</f>
        <v>NAT</v>
      </c>
      <c r="U119" t="str">
        <f>IF(O119&gt;0,VLOOKUP($O119,Dep!$A:$M,12),"")</f>
        <v>AS</v>
      </c>
      <c r="V119" t="str">
        <f t="shared" si="16"/>
        <v/>
      </c>
      <c r="W119" t="str">
        <f t="shared" si="17"/>
        <v/>
      </c>
      <c r="X119" t="str">
        <f t="shared" si="18"/>
        <v>X</v>
      </c>
      <c r="Y119">
        <f t="shared" si="13"/>
        <v>0</v>
      </c>
      <c r="Z119" t="str">
        <f t="shared" si="19"/>
        <v/>
      </c>
      <c r="AA119" s="20">
        <f t="shared" si="14"/>
        <v>3.4722222222222265E-2</v>
      </c>
      <c r="AB119">
        <f t="shared" si="20"/>
        <v>118</v>
      </c>
      <c r="AC119" s="20" t="str">
        <f t="shared" si="21"/>
        <v>11:53</v>
      </c>
      <c r="AD119" s="20" t="str">
        <f t="shared" si="15"/>
        <v>12:43</v>
      </c>
      <c r="AE119" t="str">
        <f>VLOOKUP(G119,ACtypes!A:C,3,FALSE)</f>
        <v>C</v>
      </c>
      <c r="AF119" t="str">
        <f t="shared" si="22"/>
        <v/>
      </c>
      <c r="AG119" t="str">
        <f t="shared" si="23"/>
        <v/>
      </c>
      <c r="AH119">
        <f t="shared" si="24"/>
        <v>99</v>
      </c>
    </row>
    <row r="120" spans="1:34" x14ac:dyDescent="0.3">
      <c r="A120" s="41">
        <f t="shared" si="25"/>
        <v>119</v>
      </c>
      <c r="B120" s="27">
        <v>938</v>
      </c>
      <c r="C120" s="28" t="s">
        <v>513</v>
      </c>
      <c r="D120" s="28" t="s">
        <v>13</v>
      </c>
      <c r="E120" s="28" t="s">
        <v>511</v>
      </c>
      <c r="F120" s="28" t="s">
        <v>15</v>
      </c>
      <c r="G120" s="28" t="s">
        <v>53</v>
      </c>
      <c r="H120" s="27">
        <v>0</v>
      </c>
      <c r="I120" s="27">
        <v>99</v>
      </c>
      <c r="J120" s="28" t="s">
        <v>17</v>
      </c>
      <c r="K120" s="27">
        <v>25</v>
      </c>
      <c r="L120" s="28" t="s">
        <v>22</v>
      </c>
      <c r="M120" s="27">
        <v>5.2</v>
      </c>
      <c r="O120" s="23">
        <v>123</v>
      </c>
      <c r="P120" t="str">
        <f>IF(O120&gt;0,VLOOKUP($O120,Dep!$A:$M,3),"")</f>
        <v>13:00</v>
      </c>
      <c r="Q120" t="str">
        <f>IF(O120&gt;0,VLOOKUP($O120,Dep!$A:$M,6),"")</f>
        <v>SMF</v>
      </c>
      <c r="R120" t="str">
        <f>IF(O120&gt;0,VLOOKUP($O120,Dep!$A:$M,7),"")</f>
        <v>73G</v>
      </c>
      <c r="S120">
        <f>IF(O120&gt;0,VLOOKUP($O120,Dep!$A:$M,9),"")</f>
        <v>99</v>
      </c>
      <c r="T120" t="str">
        <f>IF(O120&gt;0,VLOOKUP($O120,Dep!$A:$M,10),"")</f>
        <v>NAT</v>
      </c>
      <c r="U120" t="str">
        <f>IF(O120&gt;0,VLOOKUP($O120,Dep!$A:$M,12),"")</f>
        <v>AS</v>
      </c>
      <c r="V120" t="str">
        <f t="shared" si="16"/>
        <v/>
      </c>
      <c r="W120" t="str">
        <f t="shared" si="17"/>
        <v/>
      </c>
      <c r="X120" t="str">
        <f t="shared" si="18"/>
        <v>X</v>
      </c>
      <c r="Y120">
        <f t="shared" si="13"/>
        <v>0</v>
      </c>
      <c r="Z120" t="str">
        <f t="shared" si="19"/>
        <v/>
      </c>
      <c r="AA120" s="20">
        <f t="shared" si="14"/>
        <v>2.7083333333333348E-2</v>
      </c>
      <c r="AB120">
        <f t="shared" si="20"/>
        <v>119</v>
      </c>
      <c r="AC120" s="20" t="str">
        <f t="shared" si="21"/>
        <v>12:21</v>
      </c>
      <c r="AD120" s="20" t="str">
        <f t="shared" si="15"/>
        <v>13:00</v>
      </c>
      <c r="AE120" t="str">
        <f>VLOOKUP(G120,ACtypes!A:C,3,FALSE)</f>
        <v>C</v>
      </c>
      <c r="AF120" t="str">
        <f t="shared" si="22"/>
        <v/>
      </c>
      <c r="AG120" t="str">
        <f t="shared" si="23"/>
        <v/>
      </c>
      <c r="AH120">
        <f t="shared" si="24"/>
        <v>99</v>
      </c>
    </row>
    <row r="121" spans="1:34" x14ac:dyDescent="0.3">
      <c r="A121" s="41">
        <f t="shared" si="25"/>
        <v>120</v>
      </c>
      <c r="B121" s="27">
        <v>23</v>
      </c>
      <c r="C121" s="28" t="s">
        <v>56</v>
      </c>
      <c r="D121" s="28" t="s">
        <v>13</v>
      </c>
      <c r="E121" s="28" t="s">
        <v>31</v>
      </c>
      <c r="F121" s="28" t="s">
        <v>15</v>
      </c>
      <c r="G121" s="28" t="s">
        <v>53</v>
      </c>
      <c r="H121" s="27">
        <v>0</v>
      </c>
      <c r="I121" s="27">
        <v>99</v>
      </c>
      <c r="J121" s="28" t="s">
        <v>17</v>
      </c>
      <c r="K121" s="27">
        <v>25</v>
      </c>
      <c r="L121" s="28" t="s">
        <v>22</v>
      </c>
      <c r="M121" s="27">
        <v>5.2</v>
      </c>
      <c r="O121" s="23">
        <v>124</v>
      </c>
      <c r="P121" t="str">
        <f>IF(O121&gt;0,VLOOKUP($O121,Dep!$A:$M,3),"")</f>
        <v>13:05</v>
      </c>
      <c r="Q121" t="str">
        <f>IF(O121&gt;0,VLOOKUP($O121,Dep!$A:$M,6),"")</f>
        <v>DCA</v>
      </c>
      <c r="R121" t="str">
        <f>IF(O121&gt;0,VLOOKUP($O121,Dep!$A:$M,7),"")</f>
        <v>73G</v>
      </c>
      <c r="S121">
        <f>IF(O121&gt;0,VLOOKUP($O121,Dep!$A:$M,9),"")</f>
        <v>99</v>
      </c>
      <c r="T121" t="str">
        <f>IF(O121&gt;0,VLOOKUP($O121,Dep!$A:$M,10),"")</f>
        <v>NAT</v>
      </c>
      <c r="U121" t="str">
        <f>IF(O121&gt;0,VLOOKUP($O121,Dep!$A:$M,12),"")</f>
        <v>AS</v>
      </c>
      <c r="V121" t="str">
        <f t="shared" si="16"/>
        <v/>
      </c>
      <c r="W121" t="str">
        <f t="shared" si="17"/>
        <v/>
      </c>
      <c r="X121" t="str">
        <f t="shared" si="18"/>
        <v>X</v>
      </c>
      <c r="Y121">
        <f t="shared" si="13"/>
        <v>0</v>
      </c>
      <c r="Z121" t="str">
        <f t="shared" si="19"/>
        <v/>
      </c>
      <c r="AA121" s="20">
        <f t="shared" si="14"/>
        <v>2.8472222222222232E-2</v>
      </c>
      <c r="AB121">
        <f t="shared" si="20"/>
        <v>120</v>
      </c>
      <c r="AC121" s="20" t="str">
        <f t="shared" si="21"/>
        <v>12:24</v>
      </c>
      <c r="AD121" s="20" t="str">
        <f t="shared" si="15"/>
        <v>13:05</v>
      </c>
      <c r="AE121" t="str">
        <f>VLOOKUP(G121,ACtypes!A:C,3,FALSE)</f>
        <v>C</v>
      </c>
      <c r="AF121" t="str">
        <f t="shared" si="22"/>
        <v/>
      </c>
      <c r="AG121" t="str">
        <f t="shared" si="23"/>
        <v/>
      </c>
      <c r="AH121">
        <f t="shared" si="24"/>
        <v>99</v>
      </c>
    </row>
    <row r="122" spans="1:34" x14ac:dyDescent="0.3">
      <c r="A122" s="41">
        <f t="shared" si="25"/>
        <v>121</v>
      </c>
      <c r="B122" s="27">
        <v>274</v>
      </c>
      <c r="C122" s="28" t="s">
        <v>203</v>
      </c>
      <c r="D122" s="28" t="s">
        <v>13</v>
      </c>
      <c r="E122" s="28" t="s">
        <v>349</v>
      </c>
      <c r="F122" s="28" t="s">
        <v>15</v>
      </c>
      <c r="G122" s="28" t="s">
        <v>53</v>
      </c>
      <c r="H122" s="27">
        <v>0</v>
      </c>
      <c r="I122" s="27">
        <v>99</v>
      </c>
      <c r="J122" s="28" t="s">
        <v>17</v>
      </c>
      <c r="K122" s="27">
        <v>25</v>
      </c>
      <c r="L122" s="28" t="s">
        <v>22</v>
      </c>
      <c r="M122" s="27">
        <v>5.2</v>
      </c>
      <c r="O122" s="23">
        <v>125</v>
      </c>
      <c r="P122" t="str">
        <f>IF(O122&gt;0,VLOOKUP($O122,Dep!$A:$M,3),"")</f>
        <v>14:41</v>
      </c>
      <c r="Q122" t="str">
        <f>IF(O122&gt;0,VLOOKUP($O122,Dep!$A:$M,6),"")</f>
        <v>BUR</v>
      </c>
      <c r="R122" t="str">
        <f>IF(O122&gt;0,VLOOKUP($O122,Dep!$A:$M,7),"")</f>
        <v>73G</v>
      </c>
      <c r="S122">
        <f>IF(O122&gt;0,VLOOKUP($O122,Dep!$A:$M,9),"")</f>
        <v>99</v>
      </c>
      <c r="T122" t="str">
        <f>IF(O122&gt;0,VLOOKUP($O122,Dep!$A:$M,10),"")</f>
        <v>NAT</v>
      </c>
      <c r="U122" t="str">
        <f>IF(O122&gt;0,VLOOKUP($O122,Dep!$A:$M,12),"")</f>
        <v>AS</v>
      </c>
      <c r="V122" t="str">
        <f t="shared" si="16"/>
        <v/>
      </c>
      <c r="W122" t="str">
        <f t="shared" si="17"/>
        <v/>
      </c>
      <c r="X122" t="str">
        <f t="shared" si="18"/>
        <v>X</v>
      </c>
      <c r="Y122">
        <f t="shared" si="13"/>
        <v>0</v>
      </c>
      <c r="Z122" t="str">
        <f t="shared" si="19"/>
        <v/>
      </c>
      <c r="AA122" s="20">
        <f t="shared" si="14"/>
        <v>8.7500000000000022E-2</v>
      </c>
      <c r="AB122">
        <f t="shared" si="20"/>
        <v>121</v>
      </c>
      <c r="AC122" s="20" t="str">
        <f t="shared" si="21"/>
        <v>12:35</v>
      </c>
      <c r="AD122" s="20" t="str">
        <f t="shared" si="15"/>
        <v>14:41</v>
      </c>
      <c r="AE122" t="str">
        <f>VLOOKUP(G122,ACtypes!A:C,3,FALSE)</f>
        <v>C</v>
      </c>
      <c r="AF122" t="str">
        <f t="shared" si="22"/>
        <v/>
      </c>
      <c r="AG122" t="str">
        <f t="shared" si="23"/>
        <v/>
      </c>
      <c r="AH122">
        <f t="shared" si="24"/>
        <v>99</v>
      </c>
    </row>
    <row r="123" spans="1:34" x14ac:dyDescent="0.3">
      <c r="A123" s="41">
        <f t="shared" si="25"/>
        <v>122</v>
      </c>
      <c r="B123" s="27">
        <v>20</v>
      </c>
      <c r="C123" s="28" t="s">
        <v>52</v>
      </c>
      <c r="D123" s="28" t="s">
        <v>13</v>
      </c>
      <c r="E123" s="28" t="s">
        <v>31</v>
      </c>
      <c r="F123" s="28" t="s">
        <v>15</v>
      </c>
      <c r="G123" s="28" t="s">
        <v>53</v>
      </c>
      <c r="H123" s="27">
        <v>0</v>
      </c>
      <c r="I123" s="27">
        <v>99</v>
      </c>
      <c r="J123" s="28" t="s">
        <v>17</v>
      </c>
      <c r="K123" s="27">
        <v>25</v>
      </c>
      <c r="L123" s="28" t="s">
        <v>22</v>
      </c>
      <c r="M123" s="27">
        <v>5.2</v>
      </c>
      <c r="O123" s="23">
        <v>126</v>
      </c>
      <c r="P123" t="str">
        <f>IF(O123&gt;0,VLOOKUP($O123,Dep!$A:$M,3),"")</f>
        <v>15:00</v>
      </c>
      <c r="Q123" t="str">
        <f>IF(O123&gt;0,VLOOKUP($O123,Dep!$A:$M,6),"")</f>
        <v>JNU</v>
      </c>
      <c r="R123" t="str">
        <f>IF(O123&gt;0,VLOOKUP($O123,Dep!$A:$M,7),"")</f>
        <v>73G</v>
      </c>
      <c r="S123">
        <f>IF(O123&gt;0,VLOOKUP($O123,Dep!$A:$M,9),"")</f>
        <v>99</v>
      </c>
      <c r="T123" t="str">
        <f>IF(O123&gt;0,VLOOKUP($O123,Dep!$A:$M,10),"")</f>
        <v>NAT</v>
      </c>
      <c r="U123" t="str">
        <f>IF(O123&gt;0,VLOOKUP($O123,Dep!$A:$M,12),"")</f>
        <v>AS</v>
      </c>
      <c r="V123" t="str">
        <f t="shared" si="16"/>
        <v/>
      </c>
      <c r="W123" t="str">
        <f t="shared" si="17"/>
        <v/>
      </c>
      <c r="X123" t="str">
        <f t="shared" si="18"/>
        <v>X</v>
      </c>
      <c r="Y123">
        <f t="shared" si="13"/>
        <v>0</v>
      </c>
      <c r="Z123" t="str">
        <f t="shared" si="19"/>
        <v/>
      </c>
      <c r="AA123" s="20">
        <f t="shared" si="14"/>
        <v>6.5277777777777768E-2</v>
      </c>
      <c r="AB123">
        <f t="shared" si="20"/>
        <v>122</v>
      </c>
      <c r="AC123" s="20" t="str">
        <f t="shared" si="21"/>
        <v>13:26</v>
      </c>
      <c r="AD123" s="20" t="str">
        <f t="shared" si="15"/>
        <v>15:00</v>
      </c>
      <c r="AE123" t="str">
        <f>VLOOKUP(G123,ACtypes!A:C,3,FALSE)</f>
        <v>C</v>
      </c>
      <c r="AF123" t="str">
        <f t="shared" si="22"/>
        <v/>
      </c>
      <c r="AG123" t="str">
        <f t="shared" si="23"/>
        <v/>
      </c>
      <c r="AH123">
        <f t="shared" si="24"/>
        <v>99</v>
      </c>
    </row>
    <row r="124" spans="1:34" x14ac:dyDescent="0.3">
      <c r="A124" s="41">
        <f t="shared" si="25"/>
        <v>123</v>
      </c>
      <c r="B124" s="27">
        <v>899</v>
      </c>
      <c r="C124" s="28" t="s">
        <v>452</v>
      </c>
      <c r="D124" s="28" t="s">
        <v>13</v>
      </c>
      <c r="E124" s="28" t="s">
        <v>453</v>
      </c>
      <c r="F124" s="28" t="s">
        <v>15</v>
      </c>
      <c r="G124" s="28" t="s">
        <v>53</v>
      </c>
      <c r="H124" s="27">
        <v>0</v>
      </c>
      <c r="I124" s="27">
        <v>99</v>
      </c>
      <c r="J124" s="28" t="s">
        <v>17</v>
      </c>
      <c r="K124" s="27">
        <v>25</v>
      </c>
      <c r="L124" s="28" t="s">
        <v>22</v>
      </c>
      <c r="M124" s="27">
        <v>5.2</v>
      </c>
      <c r="O124" s="23">
        <v>127</v>
      </c>
      <c r="P124" t="str">
        <f>IF(O124&gt;0,VLOOKUP($O124,Dep!$A:$M,3),"")</f>
        <v>15:08</v>
      </c>
      <c r="Q124" t="str">
        <f>IF(O124&gt;0,VLOOKUP($O124,Dep!$A:$M,6),"")</f>
        <v>LAS</v>
      </c>
      <c r="R124" t="str">
        <f>IF(O124&gt;0,VLOOKUP($O124,Dep!$A:$M,7),"")</f>
        <v>73G</v>
      </c>
      <c r="S124">
        <f>IF(O124&gt;0,VLOOKUP($O124,Dep!$A:$M,9),"")</f>
        <v>99</v>
      </c>
      <c r="T124" t="str">
        <f>IF(O124&gt;0,VLOOKUP($O124,Dep!$A:$M,10),"")</f>
        <v>NAT</v>
      </c>
      <c r="U124" t="str">
        <f>IF(O124&gt;0,VLOOKUP($O124,Dep!$A:$M,12),"")</f>
        <v>AS</v>
      </c>
      <c r="V124" t="str">
        <f t="shared" si="16"/>
        <v/>
      </c>
      <c r="W124" t="str">
        <f t="shared" si="17"/>
        <v/>
      </c>
      <c r="X124" t="str">
        <f t="shared" si="18"/>
        <v>X</v>
      </c>
      <c r="Y124">
        <f t="shared" si="13"/>
        <v>0</v>
      </c>
      <c r="Z124" t="str">
        <f t="shared" si="19"/>
        <v/>
      </c>
      <c r="AA124" s="20">
        <f t="shared" si="14"/>
        <v>6.3888888888888884E-2</v>
      </c>
      <c r="AB124">
        <f t="shared" si="20"/>
        <v>123</v>
      </c>
      <c r="AC124" s="20" t="str">
        <f t="shared" si="21"/>
        <v>13:36</v>
      </c>
      <c r="AD124" s="20" t="str">
        <f t="shared" si="15"/>
        <v>15:08</v>
      </c>
      <c r="AE124" t="str">
        <f>VLOOKUP(G124,ACtypes!A:C,3,FALSE)</f>
        <v>C</v>
      </c>
      <c r="AF124" t="str">
        <f t="shared" si="22"/>
        <v/>
      </c>
      <c r="AG124" t="str">
        <f t="shared" si="23"/>
        <v/>
      </c>
      <c r="AH124">
        <f t="shared" si="24"/>
        <v>99</v>
      </c>
    </row>
    <row r="125" spans="1:34" x14ac:dyDescent="0.3">
      <c r="A125" s="41">
        <f t="shared" si="25"/>
        <v>124</v>
      </c>
      <c r="B125" s="27">
        <v>896</v>
      </c>
      <c r="C125" s="28" t="s">
        <v>449</v>
      </c>
      <c r="D125" s="28" t="s">
        <v>13</v>
      </c>
      <c r="E125" s="28" t="s">
        <v>440</v>
      </c>
      <c r="F125" s="28" t="s">
        <v>15</v>
      </c>
      <c r="G125" s="28" t="s">
        <v>53</v>
      </c>
      <c r="H125" s="27">
        <v>0</v>
      </c>
      <c r="I125" s="27">
        <v>99</v>
      </c>
      <c r="J125" s="28" t="s">
        <v>17</v>
      </c>
      <c r="K125" s="27">
        <v>25</v>
      </c>
      <c r="L125" s="28" t="s">
        <v>22</v>
      </c>
      <c r="M125" s="27">
        <v>5.2</v>
      </c>
      <c r="O125" s="23">
        <v>128</v>
      </c>
      <c r="P125" t="str">
        <f>IF(O125&gt;0,VLOOKUP($O125,Dep!$A:$M,3),"")</f>
        <v>16:43</v>
      </c>
      <c r="Q125" t="str">
        <f>IF(O125&gt;0,VLOOKUP($O125,Dep!$A:$M,6),"")</f>
        <v>PHX</v>
      </c>
      <c r="R125" t="str">
        <f>IF(O125&gt;0,VLOOKUP($O125,Dep!$A:$M,7),"")</f>
        <v>73G</v>
      </c>
      <c r="S125">
        <f>IF(O125&gt;0,VLOOKUP($O125,Dep!$A:$M,9),"")</f>
        <v>99</v>
      </c>
      <c r="T125" t="str">
        <f>IF(O125&gt;0,VLOOKUP($O125,Dep!$A:$M,10),"")</f>
        <v>NAT</v>
      </c>
      <c r="U125" t="str">
        <f>IF(O125&gt;0,VLOOKUP($O125,Dep!$A:$M,12),"")</f>
        <v>AS</v>
      </c>
      <c r="V125" t="str">
        <f t="shared" si="16"/>
        <v/>
      </c>
      <c r="W125" t="str">
        <f t="shared" si="17"/>
        <v/>
      </c>
      <c r="X125" t="str">
        <f t="shared" si="18"/>
        <v>X</v>
      </c>
      <c r="Y125">
        <f t="shared" si="13"/>
        <v>0</v>
      </c>
      <c r="Z125" t="str">
        <f t="shared" si="19"/>
        <v/>
      </c>
      <c r="AA125" s="20">
        <f t="shared" si="14"/>
        <v>2.9861111111111116E-2</v>
      </c>
      <c r="AB125">
        <f t="shared" si="20"/>
        <v>124</v>
      </c>
      <c r="AC125" s="20" t="str">
        <f t="shared" si="21"/>
        <v>16:00</v>
      </c>
      <c r="AD125" s="20" t="str">
        <f t="shared" si="15"/>
        <v>16:43</v>
      </c>
      <c r="AE125" t="str">
        <f>VLOOKUP(G125,ACtypes!A:C,3,FALSE)</f>
        <v>C</v>
      </c>
      <c r="AF125" t="str">
        <f t="shared" si="22"/>
        <v/>
      </c>
      <c r="AG125" t="str">
        <f t="shared" si="23"/>
        <v/>
      </c>
      <c r="AH125">
        <f t="shared" si="24"/>
        <v>99</v>
      </c>
    </row>
    <row r="126" spans="1:34" x14ac:dyDescent="0.3">
      <c r="A126" s="41">
        <f t="shared" si="25"/>
        <v>125</v>
      </c>
      <c r="B126" s="27">
        <v>58</v>
      </c>
      <c r="C126" s="28" t="s">
        <v>104</v>
      </c>
      <c r="D126" s="28" t="s">
        <v>13</v>
      </c>
      <c r="E126" s="28" t="s">
        <v>101</v>
      </c>
      <c r="F126" s="28" t="s">
        <v>15</v>
      </c>
      <c r="G126" s="28" t="s">
        <v>53</v>
      </c>
      <c r="H126" s="27">
        <v>0</v>
      </c>
      <c r="I126" s="27">
        <v>99</v>
      </c>
      <c r="J126" s="28" t="s">
        <v>17</v>
      </c>
      <c r="K126" s="27">
        <v>25</v>
      </c>
      <c r="L126" s="28" t="s">
        <v>22</v>
      </c>
      <c r="M126" s="27">
        <v>5.2</v>
      </c>
      <c r="O126" s="23">
        <v>129</v>
      </c>
      <c r="P126" t="str">
        <f>IF(O126&gt;0,VLOOKUP($O126,Dep!$A:$M,3),"")</f>
        <v>17:25</v>
      </c>
      <c r="Q126" t="str">
        <f>IF(O126&gt;0,VLOOKUP($O126,Dep!$A:$M,6),"")</f>
        <v>DEN</v>
      </c>
      <c r="R126" t="str">
        <f>IF(O126&gt;0,VLOOKUP($O126,Dep!$A:$M,7),"")</f>
        <v>73G</v>
      </c>
      <c r="S126">
        <f>IF(O126&gt;0,VLOOKUP($O126,Dep!$A:$M,9),"")</f>
        <v>99</v>
      </c>
      <c r="T126" t="str">
        <f>IF(O126&gt;0,VLOOKUP($O126,Dep!$A:$M,10),"")</f>
        <v>NAT</v>
      </c>
      <c r="U126" t="str">
        <f>IF(O126&gt;0,VLOOKUP($O126,Dep!$A:$M,12),"")</f>
        <v>AS</v>
      </c>
      <c r="V126" t="str">
        <f t="shared" si="16"/>
        <v/>
      </c>
      <c r="W126" t="str">
        <f t="shared" si="17"/>
        <v/>
      </c>
      <c r="X126" t="str">
        <f t="shared" si="18"/>
        <v>X</v>
      </c>
      <c r="Y126">
        <f t="shared" si="13"/>
        <v>0</v>
      </c>
      <c r="Z126" t="str">
        <f t="shared" si="19"/>
        <v/>
      </c>
      <c r="AA126" s="20">
        <f t="shared" si="14"/>
        <v>2.4305555555555691E-2</v>
      </c>
      <c r="AB126">
        <f t="shared" si="20"/>
        <v>125</v>
      </c>
      <c r="AC126" s="20" t="str">
        <f t="shared" si="21"/>
        <v>16:50</v>
      </c>
      <c r="AD126" s="20" t="str">
        <f t="shared" si="15"/>
        <v>17:25</v>
      </c>
      <c r="AE126" t="str">
        <f>VLOOKUP(G126,ACtypes!A:C,3,FALSE)</f>
        <v>C</v>
      </c>
      <c r="AF126" t="str">
        <f t="shared" si="22"/>
        <v/>
      </c>
      <c r="AG126" t="str">
        <f t="shared" si="23"/>
        <v/>
      </c>
      <c r="AH126">
        <f t="shared" si="24"/>
        <v>99</v>
      </c>
    </row>
    <row r="127" spans="1:34" x14ac:dyDescent="0.3">
      <c r="A127" s="41">
        <f t="shared" si="25"/>
        <v>126</v>
      </c>
      <c r="B127" s="27">
        <v>931</v>
      </c>
      <c r="C127" s="28" t="s">
        <v>272</v>
      </c>
      <c r="D127" s="28" t="s">
        <v>13</v>
      </c>
      <c r="E127" s="28" t="s">
        <v>501</v>
      </c>
      <c r="F127" s="28" t="s">
        <v>15</v>
      </c>
      <c r="G127" s="28" t="s">
        <v>53</v>
      </c>
      <c r="H127" s="27">
        <v>0</v>
      </c>
      <c r="I127" s="27">
        <v>99</v>
      </c>
      <c r="J127" s="28" t="s">
        <v>17</v>
      </c>
      <c r="K127" s="27">
        <v>25</v>
      </c>
      <c r="L127" s="28" t="s">
        <v>22</v>
      </c>
      <c r="M127" s="27">
        <v>5.2</v>
      </c>
      <c r="O127" s="23">
        <v>130</v>
      </c>
      <c r="P127" t="str">
        <f>IF(O127&gt;0,VLOOKUP($O127,Dep!$A:$M,3),"")</f>
        <v>17:40</v>
      </c>
      <c r="Q127" t="str">
        <f>IF(O127&gt;0,VLOOKUP($O127,Dep!$A:$M,6),"")</f>
        <v>SMF</v>
      </c>
      <c r="R127" t="str">
        <f>IF(O127&gt;0,VLOOKUP($O127,Dep!$A:$M,7),"")</f>
        <v>73G</v>
      </c>
      <c r="S127">
        <f>IF(O127&gt;0,VLOOKUP($O127,Dep!$A:$M,9),"")</f>
        <v>99</v>
      </c>
      <c r="T127" t="str">
        <f>IF(O127&gt;0,VLOOKUP($O127,Dep!$A:$M,10),"")</f>
        <v>NAT</v>
      </c>
      <c r="U127" t="str">
        <f>IF(O127&gt;0,VLOOKUP($O127,Dep!$A:$M,12),"")</f>
        <v>AS</v>
      </c>
      <c r="V127" t="str">
        <f t="shared" si="16"/>
        <v/>
      </c>
      <c r="W127" t="str">
        <f t="shared" si="17"/>
        <v/>
      </c>
      <c r="X127" t="str">
        <f t="shared" si="18"/>
        <v/>
      </c>
      <c r="Y127">
        <f t="shared" si="13"/>
        <v>0</v>
      </c>
      <c r="Z127" t="str">
        <f t="shared" si="19"/>
        <v/>
      </c>
      <c r="AA127" s="20">
        <f t="shared" si="14"/>
        <v>2.777777777777779E-2</v>
      </c>
      <c r="AB127">
        <f t="shared" si="20"/>
        <v>126</v>
      </c>
      <c r="AC127" s="20" t="str">
        <f t="shared" si="21"/>
        <v>17:00</v>
      </c>
      <c r="AD127" s="20" t="str">
        <f t="shared" si="15"/>
        <v>17:40</v>
      </c>
      <c r="AE127" t="str">
        <f>VLOOKUP(G127,ACtypes!A:C,3,FALSE)</f>
        <v>C</v>
      </c>
      <c r="AF127" t="str">
        <f t="shared" si="22"/>
        <v/>
      </c>
      <c r="AG127" t="str">
        <f t="shared" si="23"/>
        <v/>
      </c>
      <c r="AH127">
        <f t="shared" si="24"/>
        <v>99</v>
      </c>
    </row>
    <row r="128" spans="1:34" x14ac:dyDescent="0.3">
      <c r="A128" s="41">
        <f t="shared" si="25"/>
        <v>127</v>
      </c>
      <c r="B128" s="27">
        <v>22</v>
      </c>
      <c r="C128" s="28" t="s">
        <v>55</v>
      </c>
      <c r="D128" s="28" t="s">
        <v>13</v>
      </c>
      <c r="E128" s="28" t="s">
        <v>31</v>
      </c>
      <c r="F128" s="28" t="s">
        <v>15</v>
      </c>
      <c r="G128" s="28" t="s">
        <v>53</v>
      </c>
      <c r="H128" s="27">
        <v>0</v>
      </c>
      <c r="I128" s="27">
        <v>99</v>
      </c>
      <c r="J128" s="28" t="s">
        <v>17</v>
      </c>
      <c r="K128" s="27">
        <v>25</v>
      </c>
      <c r="L128" s="28" t="s">
        <v>22</v>
      </c>
      <c r="M128" s="27">
        <v>5.2</v>
      </c>
      <c r="O128" s="23">
        <v>131</v>
      </c>
      <c r="P128" t="str">
        <f>IF(O128&gt;0,VLOOKUP($O128,Dep!$A:$M,3),"")</f>
        <v>17:55</v>
      </c>
      <c r="Q128" t="str">
        <f>IF(O128&gt;0,VLOOKUP($O128,Dep!$A:$M,6),"")</f>
        <v>ANC</v>
      </c>
      <c r="R128" t="str">
        <f>IF(O128&gt;0,VLOOKUP($O128,Dep!$A:$M,7),"")</f>
        <v>73G</v>
      </c>
      <c r="S128">
        <f>IF(O128&gt;0,VLOOKUP($O128,Dep!$A:$M,9),"")</f>
        <v>99</v>
      </c>
      <c r="T128" t="str">
        <f>IF(O128&gt;0,VLOOKUP($O128,Dep!$A:$M,10),"")</f>
        <v>NAT</v>
      </c>
      <c r="U128" t="str">
        <f>IF(O128&gt;0,VLOOKUP($O128,Dep!$A:$M,12),"")</f>
        <v>AS</v>
      </c>
      <c r="V128" t="str">
        <f t="shared" si="16"/>
        <v/>
      </c>
      <c r="W128" t="str">
        <f t="shared" si="17"/>
        <v/>
      </c>
      <c r="X128" t="str">
        <f t="shared" si="18"/>
        <v/>
      </c>
      <c r="Y128">
        <f t="shared" si="13"/>
        <v>0</v>
      </c>
      <c r="Z128" t="str">
        <f t="shared" si="19"/>
        <v/>
      </c>
      <c r="AA128" s="20">
        <f t="shared" si="14"/>
        <v>3.3333333333333326E-2</v>
      </c>
      <c r="AB128">
        <f t="shared" si="20"/>
        <v>127</v>
      </c>
      <c r="AC128" s="20" t="str">
        <f t="shared" si="21"/>
        <v>17:07</v>
      </c>
      <c r="AD128" s="20" t="str">
        <f t="shared" si="15"/>
        <v>17:55</v>
      </c>
      <c r="AE128" t="str">
        <f>VLOOKUP(G128,ACtypes!A:C,3,FALSE)</f>
        <v>C</v>
      </c>
      <c r="AF128" t="str">
        <f t="shared" si="22"/>
        <v/>
      </c>
      <c r="AG128" t="str">
        <f t="shared" si="23"/>
        <v/>
      </c>
      <c r="AH128">
        <f t="shared" si="24"/>
        <v>99</v>
      </c>
    </row>
    <row r="129" spans="1:34" x14ac:dyDescent="0.3">
      <c r="A129" s="41">
        <f t="shared" si="25"/>
        <v>128</v>
      </c>
      <c r="B129" s="27">
        <v>57</v>
      </c>
      <c r="C129" s="28" t="s">
        <v>103</v>
      </c>
      <c r="D129" s="28" t="s">
        <v>13</v>
      </c>
      <c r="E129" s="28" t="s">
        <v>101</v>
      </c>
      <c r="F129" s="28" t="s">
        <v>15</v>
      </c>
      <c r="G129" s="28" t="s">
        <v>53</v>
      </c>
      <c r="H129" s="27">
        <v>0</v>
      </c>
      <c r="I129" s="27">
        <v>99</v>
      </c>
      <c r="J129" s="28" t="s">
        <v>17</v>
      </c>
      <c r="K129" s="27">
        <v>25</v>
      </c>
      <c r="L129" s="28" t="s">
        <v>22</v>
      </c>
      <c r="M129" s="27">
        <v>5.2</v>
      </c>
      <c r="O129" s="23">
        <v>132</v>
      </c>
      <c r="P129" t="str">
        <f>IF(O129&gt;0,VLOOKUP($O129,Dep!$A:$M,3),"")</f>
        <v>20:35</v>
      </c>
      <c r="Q129" t="str">
        <f>IF(O129&gt;0,VLOOKUP($O129,Dep!$A:$M,6),"")</f>
        <v>OAK</v>
      </c>
      <c r="R129" t="str">
        <f>IF(O129&gt;0,VLOOKUP($O129,Dep!$A:$M,7),"")</f>
        <v>73G</v>
      </c>
      <c r="S129">
        <f>IF(O129&gt;0,VLOOKUP($O129,Dep!$A:$M,9),"")</f>
        <v>99</v>
      </c>
      <c r="T129" t="str">
        <f>IF(O129&gt;0,VLOOKUP($O129,Dep!$A:$M,10),"")</f>
        <v>NAT</v>
      </c>
      <c r="U129" t="str">
        <f>IF(O129&gt;0,VLOOKUP($O129,Dep!$A:$M,12),"")</f>
        <v>AS</v>
      </c>
      <c r="V129" t="str">
        <f t="shared" si="16"/>
        <v/>
      </c>
      <c r="W129" t="str">
        <f t="shared" si="17"/>
        <v/>
      </c>
      <c r="X129" t="str">
        <f t="shared" si="18"/>
        <v>X</v>
      </c>
      <c r="Y129">
        <f t="shared" si="13"/>
        <v>0</v>
      </c>
      <c r="Z129" t="str">
        <f t="shared" si="19"/>
        <v/>
      </c>
      <c r="AA129" s="20">
        <f t="shared" si="14"/>
        <v>2.7083333333333237E-2</v>
      </c>
      <c r="AB129">
        <f t="shared" si="20"/>
        <v>128</v>
      </c>
      <c r="AC129" s="20" t="str">
        <f t="shared" si="21"/>
        <v>19:56</v>
      </c>
      <c r="AD129" s="20" t="str">
        <f t="shared" si="15"/>
        <v>20:35</v>
      </c>
      <c r="AE129" t="str">
        <f>VLOOKUP(G129,ACtypes!A:C,3,FALSE)</f>
        <v>C</v>
      </c>
      <c r="AF129" t="str">
        <f t="shared" si="22"/>
        <v/>
      </c>
      <c r="AG129" t="str">
        <f t="shared" si="23"/>
        <v/>
      </c>
      <c r="AH129">
        <f t="shared" si="24"/>
        <v>99</v>
      </c>
    </row>
    <row r="130" spans="1:34" x14ac:dyDescent="0.3">
      <c r="A130" s="41">
        <f t="shared" si="25"/>
        <v>129</v>
      </c>
      <c r="B130" s="27">
        <v>68</v>
      </c>
      <c r="C130" s="28" t="s">
        <v>120</v>
      </c>
      <c r="D130" s="28" t="s">
        <v>13</v>
      </c>
      <c r="E130" s="28" t="s">
        <v>121</v>
      </c>
      <c r="F130" s="28" t="s">
        <v>15</v>
      </c>
      <c r="G130" s="28" t="s">
        <v>53</v>
      </c>
      <c r="H130" s="27">
        <v>0</v>
      </c>
      <c r="I130" s="27">
        <v>99</v>
      </c>
      <c r="J130" s="28" t="s">
        <v>17</v>
      </c>
      <c r="K130" s="27">
        <v>25</v>
      </c>
      <c r="L130" s="28" t="s">
        <v>22</v>
      </c>
      <c r="M130" s="27">
        <v>5.2</v>
      </c>
      <c r="O130" s="23">
        <v>133</v>
      </c>
      <c r="P130" t="str">
        <f>IF(O130&gt;0,VLOOKUP($O130,Dep!$A:$M,3),"")</f>
        <v>21:18</v>
      </c>
      <c r="Q130" t="str">
        <f>IF(O130&gt;0,VLOOKUP($O130,Dep!$A:$M,6),"")</f>
        <v>ANC</v>
      </c>
      <c r="R130" t="str">
        <f>IF(O130&gt;0,VLOOKUP($O130,Dep!$A:$M,7),"")</f>
        <v>73G</v>
      </c>
      <c r="S130">
        <f>IF(O130&gt;0,VLOOKUP($O130,Dep!$A:$M,9),"")</f>
        <v>99</v>
      </c>
      <c r="T130" t="str">
        <f>IF(O130&gt;0,VLOOKUP($O130,Dep!$A:$M,10),"")</f>
        <v>NAT</v>
      </c>
      <c r="U130" t="str">
        <f>IF(O130&gt;0,VLOOKUP($O130,Dep!$A:$M,12),"")</f>
        <v>AS</v>
      </c>
      <c r="V130" t="str">
        <f t="shared" si="16"/>
        <v/>
      </c>
      <c r="W130" t="str">
        <f t="shared" si="17"/>
        <v/>
      </c>
      <c r="X130" t="str">
        <f t="shared" si="18"/>
        <v>X</v>
      </c>
      <c r="Y130">
        <f t="shared" ref="Y130:Y193" si="26">IF(O130&gt;0,S130-I130,"")</f>
        <v>0</v>
      </c>
      <c r="Z130" t="str">
        <f t="shared" si="19"/>
        <v/>
      </c>
      <c r="AA130" s="20">
        <f t="shared" ref="AA130:AA193" si="27">IF(O130&gt;0,IF(P130-C130&gt;0,P130-C130,P130-C130+1),"")</f>
        <v>4.0277777777777857E-2</v>
      </c>
      <c r="AB130">
        <f t="shared" si="20"/>
        <v>129</v>
      </c>
      <c r="AC130" s="20" t="str">
        <f t="shared" si="21"/>
        <v>20:20</v>
      </c>
      <c r="AD130" s="20" t="str">
        <f t="shared" ref="AD130:AD193" si="28">IF(O130&gt;0,P130,AC130+1/24)</f>
        <v>21:18</v>
      </c>
      <c r="AE130" t="str">
        <f>VLOOKUP(G130,ACtypes!A:C,3,FALSE)</f>
        <v>C</v>
      </c>
      <c r="AF130" t="str">
        <f t="shared" si="22"/>
        <v/>
      </c>
      <c r="AG130" t="str">
        <f t="shared" si="23"/>
        <v/>
      </c>
      <c r="AH130">
        <f t="shared" si="24"/>
        <v>99</v>
      </c>
    </row>
    <row r="131" spans="1:34" x14ac:dyDescent="0.3">
      <c r="A131" s="41">
        <f t="shared" si="25"/>
        <v>130</v>
      </c>
      <c r="B131" s="27">
        <v>206</v>
      </c>
      <c r="C131" s="28" t="s">
        <v>277</v>
      </c>
      <c r="D131" s="28" t="s">
        <v>13</v>
      </c>
      <c r="E131" s="28" t="s">
        <v>265</v>
      </c>
      <c r="F131" s="28" t="s">
        <v>15</v>
      </c>
      <c r="G131" s="28" t="s">
        <v>53</v>
      </c>
      <c r="H131" s="27">
        <v>0</v>
      </c>
      <c r="I131" s="27">
        <v>99</v>
      </c>
      <c r="J131" s="28" t="s">
        <v>17</v>
      </c>
      <c r="K131" s="27">
        <v>25</v>
      </c>
      <c r="L131" s="28" t="s">
        <v>22</v>
      </c>
      <c r="M131" s="27">
        <v>5.2</v>
      </c>
      <c r="O131" s="23">
        <v>134</v>
      </c>
      <c r="P131" t="str">
        <f>IF(O131&gt;0,VLOOKUP($O131,Dep!$A:$M,3),"")</f>
        <v>22:40</v>
      </c>
      <c r="Q131" t="str">
        <f>IF(O131&gt;0,VLOOKUP($O131,Dep!$A:$M,6),"")</f>
        <v>LAS</v>
      </c>
      <c r="R131" t="str">
        <f>IF(O131&gt;0,VLOOKUP($O131,Dep!$A:$M,7),"")</f>
        <v>73G</v>
      </c>
      <c r="S131">
        <f>IF(O131&gt;0,VLOOKUP($O131,Dep!$A:$M,9),"")</f>
        <v>99</v>
      </c>
      <c r="T131" t="str">
        <f>IF(O131&gt;0,VLOOKUP($O131,Dep!$A:$M,10),"")</f>
        <v>NAT</v>
      </c>
      <c r="U131" t="str">
        <f>IF(O131&gt;0,VLOOKUP($O131,Dep!$A:$M,12),"")</f>
        <v>AS</v>
      </c>
      <c r="V131" t="str">
        <f t="shared" ref="V131:V194" si="29">IF(O131&gt;0,IF(R131=G131,"","X"),"")</f>
        <v/>
      </c>
      <c r="W131" t="str">
        <f t="shared" ref="W131:W194" si="30">IF(O131&gt;0,IF(U131=L131,"","X"),"")</f>
        <v/>
      </c>
      <c r="X131" t="str">
        <f t="shared" ref="X131:X194" si="31">IF(O131&gt;0,IF(Q131=E131,"","X"),"")</f>
        <v/>
      </c>
      <c r="Y131">
        <f t="shared" si="26"/>
        <v>0</v>
      </c>
      <c r="Z131" t="str">
        <f t="shared" ref="Z131:Z194" si="32">IF(O131&gt;0,IF(P131&lt;C131,1,""),"")</f>
        <v/>
      </c>
      <c r="AA131" s="20">
        <f t="shared" si="27"/>
        <v>8.6111111111111138E-2</v>
      </c>
      <c r="AB131">
        <f t="shared" ref="AB131:AB194" si="33">A131</f>
        <v>130</v>
      </c>
      <c r="AC131" s="20" t="str">
        <f t="shared" ref="AC131:AC194" si="34">C131</f>
        <v>20:36</v>
      </c>
      <c r="AD131" s="20" t="str">
        <f t="shared" si="28"/>
        <v>22:40</v>
      </c>
      <c r="AE131" t="str">
        <f>VLOOKUP(G131,ACtypes!A:C,3,FALSE)</f>
        <v>C</v>
      </c>
      <c r="AF131" t="str">
        <f t="shared" ref="AF131:AF194" si="35">IF(J131="INT",1,"")</f>
        <v/>
      </c>
      <c r="AG131" t="str">
        <f t="shared" ref="AG131:AG194" si="36">IF(T131="INT",1,"")</f>
        <v/>
      </c>
      <c r="AH131">
        <f t="shared" ref="AH131:AH194" si="37">I131</f>
        <v>99</v>
      </c>
    </row>
    <row r="132" spans="1:34" x14ac:dyDescent="0.3">
      <c r="A132" s="41">
        <f t="shared" ref="A132:A195" si="38">A131+1</f>
        <v>131</v>
      </c>
      <c r="B132" s="27">
        <v>930</v>
      </c>
      <c r="C132" s="28" t="s">
        <v>94</v>
      </c>
      <c r="D132" s="28" t="s">
        <v>13</v>
      </c>
      <c r="E132" s="28" t="s">
        <v>501</v>
      </c>
      <c r="F132" s="28" t="s">
        <v>15</v>
      </c>
      <c r="G132" s="28" t="s">
        <v>53</v>
      </c>
      <c r="H132" s="27">
        <v>0</v>
      </c>
      <c r="I132" s="27">
        <v>99</v>
      </c>
      <c r="J132" s="28" t="s">
        <v>17</v>
      </c>
      <c r="K132" s="27">
        <v>25</v>
      </c>
      <c r="L132" s="28" t="s">
        <v>22</v>
      </c>
      <c r="M132" s="27">
        <v>5.2</v>
      </c>
      <c r="O132" s="23">
        <v>135</v>
      </c>
      <c r="P132" t="str">
        <f>IF(O132&gt;0,VLOOKUP($O132,Dep!$A:$M,3),"")</f>
        <v>22:46</v>
      </c>
      <c r="Q132" t="str">
        <f>IF(O132&gt;0,VLOOKUP($O132,Dep!$A:$M,6),"")</f>
        <v>JNU</v>
      </c>
      <c r="R132" t="str">
        <f>IF(O132&gt;0,VLOOKUP($O132,Dep!$A:$M,7),"")</f>
        <v>73G</v>
      </c>
      <c r="S132">
        <f>IF(O132&gt;0,VLOOKUP($O132,Dep!$A:$M,9),"")</f>
        <v>99</v>
      </c>
      <c r="T132" t="str">
        <f>IF(O132&gt;0,VLOOKUP($O132,Dep!$A:$M,10),"")</f>
        <v>NAT</v>
      </c>
      <c r="U132" t="str">
        <f>IF(O132&gt;0,VLOOKUP($O132,Dep!$A:$M,12),"")</f>
        <v>AS</v>
      </c>
      <c r="V132" t="str">
        <f t="shared" si="29"/>
        <v/>
      </c>
      <c r="W132" t="str">
        <f t="shared" si="30"/>
        <v/>
      </c>
      <c r="X132" t="str">
        <f t="shared" si="31"/>
        <v>X</v>
      </c>
      <c r="Y132">
        <f t="shared" si="26"/>
        <v>0</v>
      </c>
      <c r="Z132" t="str">
        <f t="shared" si="32"/>
        <v/>
      </c>
      <c r="AA132" s="20">
        <f t="shared" si="27"/>
        <v>5.2777777777777701E-2</v>
      </c>
      <c r="AB132">
        <f t="shared" si="33"/>
        <v>131</v>
      </c>
      <c r="AC132" s="20" t="str">
        <f t="shared" si="34"/>
        <v>21:30</v>
      </c>
      <c r="AD132" s="20" t="str">
        <f t="shared" si="28"/>
        <v>22:46</v>
      </c>
      <c r="AE132" t="str">
        <f>VLOOKUP(G132,ACtypes!A:C,3,FALSE)</f>
        <v>C</v>
      </c>
      <c r="AF132" t="str">
        <f t="shared" si="35"/>
        <v/>
      </c>
      <c r="AG132" t="str">
        <f t="shared" si="36"/>
        <v/>
      </c>
      <c r="AH132">
        <f t="shared" si="37"/>
        <v>99</v>
      </c>
    </row>
    <row r="133" spans="1:34" x14ac:dyDescent="0.3">
      <c r="A133" s="41">
        <f t="shared" si="38"/>
        <v>132</v>
      </c>
      <c r="B133" s="27">
        <v>937</v>
      </c>
      <c r="C133" s="28" t="s">
        <v>512</v>
      </c>
      <c r="D133" s="28" t="s">
        <v>13</v>
      </c>
      <c r="E133" s="28" t="s">
        <v>511</v>
      </c>
      <c r="F133" s="28" t="s">
        <v>15</v>
      </c>
      <c r="G133" s="28" t="s">
        <v>53</v>
      </c>
      <c r="H133" s="27">
        <v>0</v>
      </c>
      <c r="I133" s="27">
        <v>99</v>
      </c>
      <c r="J133" s="28" t="s">
        <v>17</v>
      </c>
      <c r="K133" s="27">
        <v>25</v>
      </c>
      <c r="L133" s="28" t="s">
        <v>22</v>
      </c>
      <c r="M133" s="27">
        <v>5.2</v>
      </c>
      <c r="O133" s="23">
        <v>113</v>
      </c>
      <c r="P133" t="str">
        <f>IF(O133&gt;0,VLOOKUP($O133,Dep!$A:$M,3),"")</f>
        <v>06:15</v>
      </c>
      <c r="Q133" t="str">
        <f>IF(O133&gt;0,VLOOKUP($O133,Dep!$A:$M,6),"")</f>
        <v>SAN</v>
      </c>
      <c r="R133" t="str">
        <f>IF(O133&gt;0,VLOOKUP($O133,Dep!$A:$M,7),"")</f>
        <v>73G</v>
      </c>
      <c r="S133">
        <f>IF(O133&gt;0,VLOOKUP($O133,Dep!$A:$M,9),"")</f>
        <v>99</v>
      </c>
      <c r="T133" t="str">
        <f>IF(O133&gt;0,VLOOKUP($O133,Dep!$A:$M,10),"")</f>
        <v>NAT</v>
      </c>
      <c r="U133" t="str">
        <f>IF(O133&gt;0,VLOOKUP($O133,Dep!$A:$M,12),"")</f>
        <v>AS</v>
      </c>
      <c r="V133" t="str">
        <f t="shared" si="29"/>
        <v/>
      </c>
      <c r="W133" t="str">
        <f t="shared" si="30"/>
        <v/>
      </c>
      <c r="X133" t="str">
        <f t="shared" si="31"/>
        <v>X</v>
      </c>
      <c r="Y133">
        <f t="shared" si="26"/>
        <v>0</v>
      </c>
      <c r="Z133">
        <f t="shared" si="32"/>
        <v>1</v>
      </c>
      <c r="AA133" s="20">
        <f t="shared" si="27"/>
        <v>0.34097222222222223</v>
      </c>
      <c r="AB133">
        <f t="shared" si="33"/>
        <v>132</v>
      </c>
      <c r="AC133" s="20" t="str">
        <f t="shared" si="34"/>
        <v>22:04</v>
      </c>
      <c r="AD133" s="20" t="str">
        <f t="shared" si="28"/>
        <v>06:15</v>
      </c>
      <c r="AE133" t="str">
        <f>VLOOKUP(G133,ACtypes!A:C,3,FALSE)</f>
        <v>C</v>
      </c>
      <c r="AF133" t="str">
        <f t="shared" si="35"/>
        <v/>
      </c>
      <c r="AG133" t="str">
        <f t="shared" si="36"/>
        <v/>
      </c>
      <c r="AH133">
        <f t="shared" si="37"/>
        <v>99</v>
      </c>
    </row>
    <row r="134" spans="1:34" x14ac:dyDescent="0.3">
      <c r="A134" s="41">
        <f t="shared" si="38"/>
        <v>133</v>
      </c>
      <c r="B134" s="27">
        <v>188</v>
      </c>
      <c r="C134" s="28" t="s">
        <v>259</v>
      </c>
      <c r="D134" s="28" t="s">
        <v>13</v>
      </c>
      <c r="E134" s="28" t="s">
        <v>260</v>
      </c>
      <c r="F134" s="28" t="s">
        <v>15</v>
      </c>
      <c r="G134" s="28" t="s">
        <v>53</v>
      </c>
      <c r="H134" s="27">
        <v>0</v>
      </c>
      <c r="I134" s="27">
        <v>99</v>
      </c>
      <c r="J134" s="28" t="s">
        <v>17</v>
      </c>
      <c r="K134" s="27">
        <v>25</v>
      </c>
      <c r="L134" s="28" t="s">
        <v>22</v>
      </c>
      <c r="M134" s="27">
        <v>5.2</v>
      </c>
      <c r="O134" s="23">
        <v>114</v>
      </c>
      <c r="P134" t="str">
        <f>IF(O134&gt;0,VLOOKUP($O134,Dep!$A:$M,3),"")</f>
        <v>06:25</v>
      </c>
      <c r="Q134" t="str">
        <f>IF(O134&gt;0,VLOOKUP($O134,Dep!$A:$M,6),"")</f>
        <v>SNA</v>
      </c>
      <c r="R134" t="str">
        <f>IF(O134&gt;0,VLOOKUP($O134,Dep!$A:$M,7),"")</f>
        <v>73G</v>
      </c>
      <c r="S134">
        <f>IF(O134&gt;0,VLOOKUP($O134,Dep!$A:$M,9),"")</f>
        <v>99</v>
      </c>
      <c r="T134" t="str">
        <f>IF(O134&gt;0,VLOOKUP($O134,Dep!$A:$M,10),"")</f>
        <v>NAT</v>
      </c>
      <c r="U134" t="str">
        <f>IF(O134&gt;0,VLOOKUP($O134,Dep!$A:$M,12),"")</f>
        <v>AS</v>
      </c>
      <c r="V134" t="str">
        <f t="shared" si="29"/>
        <v/>
      </c>
      <c r="W134" t="str">
        <f t="shared" si="30"/>
        <v/>
      </c>
      <c r="X134" t="str">
        <f t="shared" si="31"/>
        <v>X</v>
      </c>
      <c r="Y134">
        <f t="shared" si="26"/>
        <v>0</v>
      </c>
      <c r="Z134">
        <f t="shared" si="32"/>
        <v>1</v>
      </c>
      <c r="AA134" s="20">
        <f t="shared" si="27"/>
        <v>0.33333333333333326</v>
      </c>
      <c r="AB134">
        <f t="shared" si="33"/>
        <v>133</v>
      </c>
      <c r="AC134" s="20" t="str">
        <f t="shared" si="34"/>
        <v>22:25</v>
      </c>
      <c r="AD134" s="20" t="str">
        <f t="shared" si="28"/>
        <v>06:25</v>
      </c>
      <c r="AE134" t="str">
        <f>VLOOKUP(G134,ACtypes!A:C,3,FALSE)</f>
        <v>C</v>
      </c>
      <c r="AF134" t="str">
        <f t="shared" si="35"/>
        <v/>
      </c>
      <c r="AG134" t="str">
        <f t="shared" si="36"/>
        <v/>
      </c>
      <c r="AH134">
        <f t="shared" si="37"/>
        <v>99</v>
      </c>
    </row>
    <row r="135" spans="1:34" x14ac:dyDescent="0.3">
      <c r="A135" s="41">
        <f t="shared" si="38"/>
        <v>134</v>
      </c>
      <c r="B135" s="27">
        <v>24</v>
      </c>
      <c r="C135" s="28" t="s">
        <v>57</v>
      </c>
      <c r="D135" s="28" t="s">
        <v>13</v>
      </c>
      <c r="E135" s="28" t="s">
        <v>31</v>
      </c>
      <c r="F135" s="28" t="s">
        <v>15</v>
      </c>
      <c r="G135" s="28" t="s">
        <v>53</v>
      </c>
      <c r="H135" s="27">
        <v>0</v>
      </c>
      <c r="I135" s="27">
        <v>99</v>
      </c>
      <c r="J135" s="28" t="s">
        <v>17</v>
      </c>
      <c r="K135" s="27">
        <v>25</v>
      </c>
      <c r="L135" s="28" t="s">
        <v>22</v>
      </c>
      <c r="M135" s="27">
        <v>5.2</v>
      </c>
      <c r="O135" s="23">
        <v>115</v>
      </c>
      <c r="P135" t="str">
        <f>IF(O135&gt;0,VLOOKUP($O135,Dep!$A:$M,3),"")</f>
        <v>07:00</v>
      </c>
      <c r="Q135" t="str">
        <f>IF(O135&gt;0,VLOOKUP($O135,Dep!$A:$M,6),"")</f>
        <v>JNU</v>
      </c>
      <c r="R135" t="str">
        <f>IF(O135&gt;0,VLOOKUP($O135,Dep!$A:$M,7),"")</f>
        <v>73G</v>
      </c>
      <c r="S135">
        <f>IF(O135&gt;0,VLOOKUP($O135,Dep!$A:$M,9),"")</f>
        <v>99</v>
      </c>
      <c r="T135" t="str">
        <f>IF(O135&gt;0,VLOOKUP($O135,Dep!$A:$M,10),"")</f>
        <v>NAT</v>
      </c>
      <c r="U135" t="str">
        <f>IF(O135&gt;0,VLOOKUP($O135,Dep!$A:$M,12),"")</f>
        <v>AS</v>
      </c>
      <c r="V135" t="str">
        <f t="shared" si="29"/>
        <v/>
      </c>
      <c r="W135" t="str">
        <f t="shared" si="30"/>
        <v/>
      </c>
      <c r="X135" t="str">
        <f t="shared" si="31"/>
        <v>X</v>
      </c>
      <c r="Y135">
        <f t="shared" si="26"/>
        <v>0</v>
      </c>
      <c r="Z135">
        <f t="shared" si="32"/>
        <v>1</v>
      </c>
      <c r="AA135" s="20">
        <f t="shared" si="27"/>
        <v>0.33333333333333326</v>
      </c>
      <c r="AB135">
        <f t="shared" si="33"/>
        <v>134</v>
      </c>
      <c r="AC135" s="20" t="str">
        <f t="shared" si="34"/>
        <v>23:00</v>
      </c>
      <c r="AD135" s="20" t="str">
        <f t="shared" si="28"/>
        <v>07:00</v>
      </c>
      <c r="AE135" t="str">
        <f>VLOOKUP(G135,ACtypes!A:C,3,FALSE)</f>
        <v>C</v>
      </c>
      <c r="AF135" t="str">
        <f t="shared" si="35"/>
        <v/>
      </c>
      <c r="AG135" t="str">
        <f t="shared" si="36"/>
        <v/>
      </c>
      <c r="AH135">
        <f t="shared" si="37"/>
        <v>99</v>
      </c>
    </row>
    <row r="136" spans="1:34" x14ac:dyDescent="0.3">
      <c r="A136" s="41">
        <f t="shared" si="38"/>
        <v>135</v>
      </c>
      <c r="B136" s="27">
        <v>25</v>
      </c>
      <c r="C136" s="28" t="s">
        <v>58</v>
      </c>
      <c r="D136" s="28" t="s">
        <v>13</v>
      </c>
      <c r="E136" s="28" t="s">
        <v>31</v>
      </c>
      <c r="F136" s="28" t="s">
        <v>15</v>
      </c>
      <c r="G136" s="28" t="s">
        <v>53</v>
      </c>
      <c r="H136" s="27">
        <v>0</v>
      </c>
      <c r="I136" s="27">
        <v>99</v>
      </c>
      <c r="J136" s="28" t="s">
        <v>17</v>
      </c>
      <c r="K136" s="27">
        <v>25</v>
      </c>
      <c r="L136" s="28" t="s">
        <v>22</v>
      </c>
      <c r="M136" s="27">
        <v>5.2</v>
      </c>
      <c r="O136" s="23">
        <v>116</v>
      </c>
      <c r="P136" t="str">
        <f>IF(O136&gt;0,VLOOKUP($O136,Dep!$A:$M,3),"")</f>
        <v>07:10</v>
      </c>
      <c r="Q136" t="str">
        <f>IF(O136&gt;0,VLOOKUP($O136,Dep!$A:$M,6),"")</f>
        <v>ONT</v>
      </c>
      <c r="R136" t="str">
        <f>IF(O136&gt;0,VLOOKUP($O136,Dep!$A:$M,7),"")</f>
        <v>73G</v>
      </c>
      <c r="S136">
        <f>IF(O136&gt;0,VLOOKUP($O136,Dep!$A:$M,9),"")</f>
        <v>99</v>
      </c>
      <c r="T136" t="str">
        <f>IF(O136&gt;0,VLOOKUP($O136,Dep!$A:$M,10),"")</f>
        <v>NAT</v>
      </c>
      <c r="U136" t="str">
        <f>IF(O136&gt;0,VLOOKUP($O136,Dep!$A:$M,12),"")</f>
        <v>AS</v>
      </c>
      <c r="V136" t="str">
        <f t="shared" si="29"/>
        <v/>
      </c>
      <c r="W136" t="str">
        <f t="shared" si="30"/>
        <v/>
      </c>
      <c r="X136" t="str">
        <f t="shared" si="31"/>
        <v>X</v>
      </c>
      <c r="Y136">
        <f t="shared" si="26"/>
        <v>0</v>
      </c>
      <c r="Z136">
        <f t="shared" si="32"/>
        <v>1</v>
      </c>
      <c r="AA136" s="20">
        <f t="shared" si="27"/>
        <v>0.30972222222222223</v>
      </c>
      <c r="AB136">
        <f t="shared" si="33"/>
        <v>135</v>
      </c>
      <c r="AC136" s="20" t="str">
        <f t="shared" si="34"/>
        <v>23:44</v>
      </c>
      <c r="AD136" s="20" t="str">
        <f t="shared" si="28"/>
        <v>07:10</v>
      </c>
      <c r="AE136" t="str">
        <f>VLOOKUP(G136,ACtypes!A:C,3,FALSE)</f>
        <v>C</v>
      </c>
      <c r="AF136" t="str">
        <f t="shared" si="35"/>
        <v/>
      </c>
      <c r="AG136" t="str">
        <f t="shared" si="36"/>
        <v/>
      </c>
      <c r="AH136">
        <f t="shared" si="37"/>
        <v>99</v>
      </c>
    </row>
    <row r="137" spans="1:34" x14ac:dyDescent="0.3">
      <c r="A137" s="41">
        <f t="shared" si="38"/>
        <v>136</v>
      </c>
      <c r="B137" s="27">
        <v>303</v>
      </c>
      <c r="C137" s="28" t="s">
        <v>375</v>
      </c>
      <c r="D137" s="28" t="s">
        <v>13</v>
      </c>
      <c r="E137" s="28" t="s">
        <v>366</v>
      </c>
      <c r="F137" s="28" t="s">
        <v>15</v>
      </c>
      <c r="G137" s="28" t="s">
        <v>186</v>
      </c>
      <c r="H137" s="27">
        <v>0</v>
      </c>
      <c r="I137" s="27">
        <v>56</v>
      </c>
      <c r="J137" s="28" t="s">
        <v>17</v>
      </c>
      <c r="K137" s="27">
        <v>25</v>
      </c>
      <c r="L137" s="28" t="s">
        <v>22</v>
      </c>
      <c r="M137" s="27">
        <v>0</v>
      </c>
      <c r="O137" s="23">
        <v>136</v>
      </c>
      <c r="P137" t="str">
        <f>IF(O137&gt;0,VLOOKUP($O137,Dep!$A:$M,3),"")</f>
        <v>08:00</v>
      </c>
      <c r="Q137" t="str">
        <f>IF(O137&gt;0,VLOOKUP($O137,Dep!$A:$M,6),"")</f>
        <v>SBA</v>
      </c>
      <c r="R137" t="str">
        <f>IF(O137&gt;0,VLOOKUP($O137,Dep!$A:$M,7),"")</f>
        <v>CR7</v>
      </c>
      <c r="S137">
        <f>IF(O137&gt;0,VLOOKUP($O137,Dep!$A:$M,9),"")</f>
        <v>56</v>
      </c>
      <c r="T137" t="str">
        <f>IF(O137&gt;0,VLOOKUP($O137,Dep!$A:$M,10),"")</f>
        <v>NAT</v>
      </c>
      <c r="U137" t="str">
        <f>IF(O137&gt;0,VLOOKUP($O137,Dep!$A:$M,12),"")</f>
        <v>AS</v>
      </c>
      <c r="V137" t="str">
        <f t="shared" si="29"/>
        <v/>
      </c>
      <c r="W137" t="str">
        <f t="shared" si="30"/>
        <v/>
      </c>
      <c r="X137" t="str">
        <f t="shared" si="31"/>
        <v>X</v>
      </c>
      <c r="Y137">
        <f t="shared" si="26"/>
        <v>0</v>
      </c>
      <c r="Z137" t="str">
        <f t="shared" si="32"/>
        <v/>
      </c>
      <c r="AA137" s="20">
        <f t="shared" si="27"/>
        <v>2.9861111111111116E-2</v>
      </c>
      <c r="AB137">
        <f t="shared" si="33"/>
        <v>136</v>
      </c>
      <c r="AC137" s="20" t="str">
        <f t="shared" si="34"/>
        <v>07:17</v>
      </c>
      <c r="AD137" s="20" t="str">
        <f t="shared" si="28"/>
        <v>08:00</v>
      </c>
      <c r="AE137" t="str">
        <f>VLOOKUP(G137,ACtypes!A:C,3,FALSE)</f>
        <v>C</v>
      </c>
      <c r="AF137" t="str">
        <f t="shared" si="35"/>
        <v/>
      </c>
      <c r="AG137" t="str">
        <f t="shared" si="36"/>
        <v/>
      </c>
      <c r="AH137">
        <f t="shared" si="37"/>
        <v>56</v>
      </c>
    </row>
    <row r="138" spans="1:34" x14ac:dyDescent="0.3">
      <c r="A138" s="41">
        <f t="shared" si="38"/>
        <v>137</v>
      </c>
      <c r="B138" s="27">
        <v>123</v>
      </c>
      <c r="C138" s="28" t="s">
        <v>187</v>
      </c>
      <c r="D138" s="28" t="s">
        <v>13</v>
      </c>
      <c r="E138" s="28" t="s">
        <v>185</v>
      </c>
      <c r="F138" s="28" t="s">
        <v>15</v>
      </c>
      <c r="G138" s="28" t="s">
        <v>186</v>
      </c>
      <c r="H138" s="27">
        <v>0</v>
      </c>
      <c r="I138" s="27">
        <v>56</v>
      </c>
      <c r="J138" s="28" t="s">
        <v>17</v>
      </c>
      <c r="K138" s="27">
        <v>25</v>
      </c>
      <c r="L138" s="28" t="s">
        <v>22</v>
      </c>
      <c r="M138" s="27">
        <v>0</v>
      </c>
      <c r="O138" s="23">
        <v>137</v>
      </c>
      <c r="P138" t="str">
        <f>IF(O138&gt;0,VLOOKUP($O138,Dep!$A:$M,3),"")</f>
        <v>08:30</v>
      </c>
      <c r="Q138" t="str">
        <f>IF(O138&gt;0,VLOOKUP($O138,Dep!$A:$M,6),"")</f>
        <v>FAT</v>
      </c>
      <c r="R138" t="str">
        <f>IF(O138&gt;0,VLOOKUP($O138,Dep!$A:$M,7),"")</f>
        <v>CR7</v>
      </c>
      <c r="S138">
        <f>IF(O138&gt;0,VLOOKUP($O138,Dep!$A:$M,9),"")</f>
        <v>56</v>
      </c>
      <c r="T138" t="str">
        <f>IF(O138&gt;0,VLOOKUP($O138,Dep!$A:$M,10),"")</f>
        <v>NAT</v>
      </c>
      <c r="U138" t="str">
        <f>IF(O138&gt;0,VLOOKUP($O138,Dep!$A:$M,12),"")</f>
        <v>AS</v>
      </c>
      <c r="V138" t="str">
        <f t="shared" si="29"/>
        <v/>
      </c>
      <c r="W138" t="str">
        <f t="shared" si="30"/>
        <v/>
      </c>
      <c r="X138" t="str">
        <f t="shared" si="31"/>
        <v/>
      </c>
      <c r="Y138">
        <f t="shared" si="26"/>
        <v>0</v>
      </c>
      <c r="Z138" t="str">
        <f t="shared" si="32"/>
        <v/>
      </c>
      <c r="AA138" s="20">
        <f t="shared" si="27"/>
        <v>2.083333333333337E-2</v>
      </c>
      <c r="AB138">
        <f t="shared" si="33"/>
        <v>137</v>
      </c>
      <c r="AC138" s="20" t="str">
        <f t="shared" si="34"/>
        <v>08:00</v>
      </c>
      <c r="AD138" s="20" t="str">
        <f t="shared" si="28"/>
        <v>08:30</v>
      </c>
      <c r="AE138" t="str">
        <f>VLOOKUP(G138,ACtypes!A:C,3,FALSE)</f>
        <v>C</v>
      </c>
      <c r="AF138" t="str">
        <f t="shared" si="35"/>
        <v/>
      </c>
      <c r="AG138" t="str">
        <f t="shared" si="36"/>
        <v/>
      </c>
      <c r="AH138">
        <f t="shared" si="37"/>
        <v>56</v>
      </c>
    </row>
    <row r="139" spans="1:34" x14ac:dyDescent="0.3">
      <c r="A139" s="41">
        <f t="shared" si="38"/>
        <v>138</v>
      </c>
      <c r="B139" s="27">
        <v>381</v>
      </c>
      <c r="C139" s="28" t="s">
        <v>391</v>
      </c>
      <c r="D139" s="28" t="s">
        <v>13</v>
      </c>
      <c r="E139" s="28" t="s">
        <v>438</v>
      </c>
      <c r="F139" s="28" t="s">
        <v>15</v>
      </c>
      <c r="G139" s="28" t="s">
        <v>186</v>
      </c>
      <c r="H139" s="27">
        <v>0</v>
      </c>
      <c r="I139" s="27">
        <v>56</v>
      </c>
      <c r="J139" s="28" t="s">
        <v>17</v>
      </c>
      <c r="K139" s="27">
        <v>25</v>
      </c>
      <c r="L139" s="28" t="s">
        <v>22</v>
      </c>
      <c r="M139" s="27">
        <v>0</v>
      </c>
      <c r="O139" s="23">
        <v>138</v>
      </c>
      <c r="P139" t="str">
        <f>IF(O139&gt;0,VLOOKUP($O139,Dep!$A:$M,3),"")</f>
        <v>20:00</v>
      </c>
      <c r="Q139" t="str">
        <f>IF(O139&gt;0,VLOOKUP($O139,Dep!$A:$M,6),"")</f>
        <v>PDX</v>
      </c>
      <c r="R139" t="str">
        <f>IF(O139&gt;0,VLOOKUP($O139,Dep!$A:$M,7),"")</f>
        <v>CR7</v>
      </c>
      <c r="S139">
        <f>IF(O139&gt;0,VLOOKUP($O139,Dep!$A:$M,9),"")</f>
        <v>56</v>
      </c>
      <c r="T139" t="str">
        <f>IF(O139&gt;0,VLOOKUP($O139,Dep!$A:$M,10),"")</f>
        <v>NAT</v>
      </c>
      <c r="U139" t="str">
        <f>IF(O139&gt;0,VLOOKUP($O139,Dep!$A:$M,12),"")</f>
        <v>AS</v>
      </c>
      <c r="V139" t="str">
        <f t="shared" si="29"/>
        <v/>
      </c>
      <c r="W139" t="str">
        <f t="shared" si="30"/>
        <v/>
      </c>
      <c r="X139" t="str">
        <f t="shared" si="31"/>
        <v>X</v>
      </c>
      <c r="Y139">
        <f t="shared" si="26"/>
        <v>0</v>
      </c>
      <c r="Z139" t="str">
        <f t="shared" si="32"/>
        <v/>
      </c>
      <c r="AA139" s="20">
        <f t="shared" si="27"/>
        <v>2.430555555555558E-2</v>
      </c>
      <c r="AB139">
        <f t="shared" si="33"/>
        <v>138</v>
      </c>
      <c r="AC139" s="20" t="str">
        <f t="shared" si="34"/>
        <v>19:25</v>
      </c>
      <c r="AD139" s="20" t="str">
        <f t="shared" si="28"/>
        <v>20:00</v>
      </c>
      <c r="AE139" t="str">
        <f>VLOOKUP(G139,ACtypes!A:C,3,FALSE)</f>
        <v>C</v>
      </c>
      <c r="AF139" t="str">
        <f t="shared" si="35"/>
        <v/>
      </c>
      <c r="AG139" t="str">
        <f t="shared" si="36"/>
        <v/>
      </c>
      <c r="AH139">
        <f t="shared" si="37"/>
        <v>56</v>
      </c>
    </row>
    <row r="140" spans="1:34" x14ac:dyDescent="0.3">
      <c r="A140" s="41">
        <f t="shared" si="38"/>
        <v>139</v>
      </c>
      <c r="B140" s="27">
        <v>122</v>
      </c>
      <c r="C140" s="28" t="s">
        <v>184</v>
      </c>
      <c r="D140" s="28" t="s">
        <v>13</v>
      </c>
      <c r="E140" s="28" t="s">
        <v>185</v>
      </c>
      <c r="F140" s="28" t="s">
        <v>15</v>
      </c>
      <c r="G140" s="28" t="s">
        <v>186</v>
      </c>
      <c r="H140" s="27">
        <v>0</v>
      </c>
      <c r="I140" s="27">
        <v>56</v>
      </c>
      <c r="J140" s="28" t="s">
        <v>17</v>
      </c>
      <c r="K140" s="27">
        <v>25</v>
      </c>
      <c r="L140" s="28" t="s">
        <v>22</v>
      </c>
      <c r="M140" s="27">
        <v>0</v>
      </c>
      <c r="O140" s="23">
        <v>139</v>
      </c>
      <c r="P140" t="str">
        <f>IF(O140&gt;0,VLOOKUP($O140,Dep!$A:$M,3),"")</f>
        <v>20:50</v>
      </c>
      <c r="Q140" t="str">
        <f>IF(O140&gt;0,VLOOKUP($O140,Dep!$A:$M,6),"")</f>
        <v>FAT</v>
      </c>
      <c r="R140" t="str">
        <f>IF(O140&gt;0,VLOOKUP($O140,Dep!$A:$M,7),"")</f>
        <v>CR7</v>
      </c>
      <c r="S140">
        <f>IF(O140&gt;0,VLOOKUP($O140,Dep!$A:$M,9),"")</f>
        <v>56</v>
      </c>
      <c r="T140" t="str">
        <f>IF(O140&gt;0,VLOOKUP($O140,Dep!$A:$M,10),"")</f>
        <v>NAT</v>
      </c>
      <c r="U140" t="str">
        <f>IF(O140&gt;0,VLOOKUP($O140,Dep!$A:$M,12),"")</f>
        <v>AS</v>
      </c>
      <c r="V140" t="str">
        <f t="shared" si="29"/>
        <v/>
      </c>
      <c r="W140" t="str">
        <f t="shared" si="30"/>
        <v/>
      </c>
      <c r="X140" t="str">
        <f t="shared" si="31"/>
        <v/>
      </c>
      <c r="Y140">
        <f t="shared" si="26"/>
        <v>0</v>
      </c>
      <c r="Z140" t="str">
        <f t="shared" si="32"/>
        <v/>
      </c>
      <c r="AA140" s="20">
        <f t="shared" si="27"/>
        <v>4.166666666666663E-2</v>
      </c>
      <c r="AB140">
        <f t="shared" si="33"/>
        <v>139</v>
      </c>
      <c r="AC140" s="20" t="str">
        <f t="shared" si="34"/>
        <v>19:50</v>
      </c>
      <c r="AD140" s="20" t="str">
        <f t="shared" si="28"/>
        <v>20:50</v>
      </c>
      <c r="AE140" t="str">
        <f>VLOOKUP(G140,ACtypes!A:C,3,FALSE)</f>
        <v>C</v>
      </c>
      <c r="AF140" t="str">
        <f t="shared" si="35"/>
        <v/>
      </c>
      <c r="AG140" t="str">
        <f t="shared" si="36"/>
        <v/>
      </c>
      <c r="AH140">
        <f t="shared" si="37"/>
        <v>56</v>
      </c>
    </row>
    <row r="141" spans="1:34" x14ac:dyDescent="0.3">
      <c r="A141" s="41">
        <f t="shared" si="38"/>
        <v>140</v>
      </c>
      <c r="B141" s="27">
        <v>300</v>
      </c>
      <c r="C141" s="28" t="s">
        <v>373</v>
      </c>
      <c r="D141" s="28" t="s">
        <v>13</v>
      </c>
      <c r="E141" s="28" t="s">
        <v>366</v>
      </c>
      <c r="F141" s="28" t="s">
        <v>15</v>
      </c>
      <c r="G141" s="28" t="s">
        <v>73</v>
      </c>
      <c r="H141" s="27">
        <v>0</v>
      </c>
      <c r="I141" s="27">
        <v>59</v>
      </c>
      <c r="J141" s="28" t="s">
        <v>17</v>
      </c>
      <c r="K141" s="27">
        <v>25</v>
      </c>
      <c r="L141" s="28" t="s">
        <v>22</v>
      </c>
      <c r="M141" s="27">
        <v>0</v>
      </c>
      <c r="O141" s="23">
        <v>140</v>
      </c>
      <c r="P141" t="str">
        <f>IF(O141&gt;0,VLOOKUP($O141,Dep!$A:$M,3),"")</f>
        <v>06:20</v>
      </c>
      <c r="Q141" t="str">
        <f>IF(O141&gt;0,VLOOKUP($O141,Dep!$A:$M,6),"")</f>
        <v>BOI</v>
      </c>
      <c r="R141" t="str">
        <f>IF(O141&gt;0,VLOOKUP($O141,Dep!$A:$M,7),"")</f>
        <v>DH4</v>
      </c>
      <c r="S141">
        <f>IF(O141&gt;0,VLOOKUP($O141,Dep!$A:$M,9),"")</f>
        <v>59</v>
      </c>
      <c r="T141" t="str">
        <f>IF(O141&gt;0,VLOOKUP($O141,Dep!$A:$M,10),"")</f>
        <v>NAT</v>
      </c>
      <c r="U141" t="str">
        <f>IF(O141&gt;0,VLOOKUP($O141,Dep!$A:$M,12),"")</f>
        <v>AS</v>
      </c>
      <c r="V141" t="str">
        <f t="shared" si="29"/>
        <v/>
      </c>
      <c r="W141" t="str">
        <f t="shared" si="30"/>
        <v/>
      </c>
      <c r="X141" t="str">
        <f t="shared" si="31"/>
        <v>X</v>
      </c>
      <c r="Y141">
        <f t="shared" si="26"/>
        <v>0</v>
      </c>
      <c r="Z141" t="str">
        <f t="shared" si="32"/>
        <v/>
      </c>
      <c r="AA141" s="20">
        <f t="shared" si="27"/>
        <v>2.0833333333333343E-2</v>
      </c>
      <c r="AB141">
        <f t="shared" si="33"/>
        <v>140</v>
      </c>
      <c r="AC141" s="20" t="str">
        <f t="shared" si="34"/>
        <v>05:50</v>
      </c>
      <c r="AD141" s="20" t="str">
        <f t="shared" si="28"/>
        <v>06:20</v>
      </c>
      <c r="AE141" t="str">
        <f>VLOOKUP(G141,ACtypes!A:C,3,FALSE)</f>
        <v>C</v>
      </c>
      <c r="AF141" t="str">
        <f t="shared" si="35"/>
        <v/>
      </c>
      <c r="AG141" t="str">
        <f t="shared" si="36"/>
        <v/>
      </c>
      <c r="AH141">
        <f t="shared" si="37"/>
        <v>59</v>
      </c>
    </row>
    <row r="142" spans="1:34" x14ac:dyDescent="0.3">
      <c r="A142" s="41">
        <f t="shared" si="38"/>
        <v>141</v>
      </c>
      <c r="B142" s="27">
        <v>140</v>
      </c>
      <c r="C142" s="28" t="s">
        <v>207</v>
      </c>
      <c r="D142" s="28" t="s">
        <v>13</v>
      </c>
      <c r="E142" s="28" t="s">
        <v>196</v>
      </c>
      <c r="F142" s="28" t="s">
        <v>15</v>
      </c>
      <c r="G142" s="28" t="s">
        <v>73</v>
      </c>
      <c r="H142" s="27">
        <v>0</v>
      </c>
      <c r="I142" s="27">
        <v>59</v>
      </c>
      <c r="J142" s="28" t="s">
        <v>17</v>
      </c>
      <c r="K142" s="27">
        <v>25</v>
      </c>
      <c r="L142" s="28" t="s">
        <v>22</v>
      </c>
      <c r="M142" s="27">
        <v>0</v>
      </c>
      <c r="O142" s="23">
        <v>141</v>
      </c>
      <c r="P142" t="str">
        <f>IF(O142&gt;0,VLOOKUP($O142,Dep!$A:$M,3),"")</f>
        <v>06:35</v>
      </c>
      <c r="Q142" t="str">
        <f>IF(O142&gt;0,VLOOKUP($O142,Dep!$A:$M,6),"")</f>
        <v>GEG</v>
      </c>
      <c r="R142" t="str">
        <f>IF(O142&gt;0,VLOOKUP($O142,Dep!$A:$M,7),"")</f>
        <v>DH4</v>
      </c>
      <c r="S142">
        <f>IF(O142&gt;0,VLOOKUP($O142,Dep!$A:$M,9),"")</f>
        <v>59</v>
      </c>
      <c r="T142" t="str">
        <f>IF(O142&gt;0,VLOOKUP($O142,Dep!$A:$M,10),"")</f>
        <v>NAT</v>
      </c>
      <c r="U142" t="str">
        <f>IF(O142&gt;0,VLOOKUP($O142,Dep!$A:$M,12),"")</f>
        <v>AS</v>
      </c>
      <c r="V142" t="str">
        <f t="shared" si="29"/>
        <v/>
      </c>
      <c r="W142" t="str">
        <f t="shared" si="30"/>
        <v/>
      </c>
      <c r="X142" t="str">
        <f t="shared" si="31"/>
        <v/>
      </c>
      <c r="Y142">
        <f t="shared" si="26"/>
        <v>0</v>
      </c>
      <c r="Z142" t="str">
        <f t="shared" si="32"/>
        <v/>
      </c>
      <c r="AA142" s="20">
        <f t="shared" si="27"/>
        <v>2.0833333333333315E-2</v>
      </c>
      <c r="AB142">
        <f t="shared" si="33"/>
        <v>141</v>
      </c>
      <c r="AC142" s="20" t="str">
        <f t="shared" si="34"/>
        <v>06:05</v>
      </c>
      <c r="AD142" s="20" t="str">
        <f t="shared" si="28"/>
        <v>06:35</v>
      </c>
      <c r="AE142" t="str">
        <f>VLOOKUP(G142,ACtypes!A:C,3,FALSE)</f>
        <v>C</v>
      </c>
      <c r="AF142" t="str">
        <f t="shared" si="35"/>
        <v/>
      </c>
      <c r="AG142" t="str">
        <f t="shared" si="36"/>
        <v/>
      </c>
      <c r="AH142">
        <f t="shared" si="37"/>
        <v>59</v>
      </c>
    </row>
    <row r="143" spans="1:34" x14ac:dyDescent="0.3">
      <c r="A143" s="41">
        <f t="shared" si="38"/>
        <v>142</v>
      </c>
      <c r="B143" s="27">
        <v>34</v>
      </c>
      <c r="C143" s="28" t="s">
        <v>74</v>
      </c>
      <c r="D143" s="28" t="s">
        <v>13</v>
      </c>
      <c r="E143" s="28" t="s">
        <v>72</v>
      </c>
      <c r="F143" s="28" t="s">
        <v>15</v>
      </c>
      <c r="G143" s="28" t="s">
        <v>73</v>
      </c>
      <c r="H143" s="27">
        <v>0</v>
      </c>
      <c r="I143" s="27">
        <v>59</v>
      </c>
      <c r="J143" s="28" t="s">
        <v>17</v>
      </c>
      <c r="K143" s="27">
        <v>25</v>
      </c>
      <c r="L143" s="28" t="s">
        <v>22</v>
      </c>
      <c r="M143" s="27">
        <v>0</v>
      </c>
      <c r="O143" s="23">
        <v>142</v>
      </c>
      <c r="P143" t="str">
        <f>IF(O143&gt;0,VLOOKUP($O143,Dep!$A:$M,3),"")</f>
        <v>08:00</v>
      </c>
      <c r="Q143" t="str">
        <f>IF(O143&gt;0,VLOOKUP($O143,Dep!$A:$M,6),"")</f>
        <v>GEG</v>
      </c>
      <c r="R143" t="str">
        <f>IF(O143&gt;0,VLOOKUP($O143,Dep!$A:$M,7),"")</f>
        <v>DH4</v>
      </c>
      <c r="S143">
        <f>IF(O143&gt;0,VLOOKUP($O143,Dep!$A:$M,9),"")</f>
        <v>59</v>
      </c>
      <c r="T143" t="str">
        <f>IF(O143&gt;0,VLOOKUP($O143,Dep!$A:$M,10),"")</f>
        <v>NAT</v>
      </c>
      <c r="U143" t="str">
        <f>IF(O143&gt;0,VLOOKUP($O143,Dep!$A:$M,12),"")</f>
        <v>AS</v>
      </c>
      <c r="V143" t="str">
        <f t="shared" si="29"/>
        <v/>
      </c>
      <c r="W143" t="str">
        <f t="shared" si="30"/>
        <v/>
      </c>
      <c r="X143" t="str">
        <f t="shared" si="31"/>
        <v>X</v>
      </c>
      <c r="Y143">
        <f t="shared" si="26"/>
        <v>0</v>
      </c>
      <c r="Z143" t="str">
        <f t="shared" si="32"/>
        <v/>
      </c>
      <c r="AA143" s="20">
        <f t="shared" si="27"/>
        <v>3.125E-2</v>
      </c>
      <c r="AB143">
        <f t="shared" si="33"/>
        <v>142</v>
      </c>
      <c r="AC143" s="20" t="str">
        <f t="shared" si="34"/>
        <v>07:15</v>
      </c>
      <c r="AD143" s="20" t="str">
        <f t="shared" si="28"/>
        <v>08:00</v>
      </c>
      <c r="AE143" t="str">
        <f>VLOOKUP(G143,ACtypes!A:C,3,FALSE)</f>
        <v>C</v>
      </c>
      <c r="AF143" t="str">
        <f t="shared" si="35"/>
        <v/>
      </c>
      <c r="AG143" t="str">
        <f t="shared" si="36"/>
        <v/>
      </c>
      <c r="AH143">
        <f t="shared" si="37"/>
        <v>59</v>
      </c>
    </row>
    <row r="144" spans="1:34" x14ac:dyDescent="0.3">
      <c r="A144" s="41">
        <f t="shared" si="38"/>
        <v>143</v>
      </c>
      <c r="B144" s="27">
        <v>126</v>
      </c>
      <c r="C144" s="28" t="s">
        <v>190</v>
      </c>
      <c r="D144" s="28" t="s">
        <v>13</v>
      </c>
      <c r="E144" s="28" t="s">
        <v>188</v>
      </c>
      <c r="F144" s="28" t="s">
        <v>15</v>
      </c>
      <c r="G144" s="28" t="s">
        <v>73</v>
      </c>
      <c r="H144" s="27">
        <v>0</v>
      </c>
      <c r="I144" s="27">
        <v>59</v>
      </c>
      <c r="J144" s="28" t="s">
        <v>17</v>
      </c>
      <c r="K144" s="27">
        <v>25</v>
      </c>
      <c r="L144" s="28" t="s">
        <v>22</v>
      </c>
      <c r="M144" s="27">
        <v>0</v>
      </c>
      <c r="O144" s="23">
        <v>143</v>
      </c>
      <c r="P144" t="str">
        <f>IF(O144&gt;0,VLOOKUP($O144,Dep!$A:$M,3),"")</f>
        <v>08:10</v>
      </c>
      <c r="Q144" t="str">
        <f>IF(O144&gt;0,VLOOKUP($O144,Dep!$A:$M,6),"")</f>
        <v>BOI</v>
      </c>
      <c r="R144" t="str">
        <f>IF(O144&gt;0,VLOOKUP($O144,Dep!$A:$M,7),"")</f>
        <v>DH4</v>
      </c>
      <c r="S144">
        <f>IF(O144&gt;0,VLOOKUP($O144,Dep!$A:$M,9),"")</f>
        <v>59</v>
      </c>
      <c r="T144" t="str">
        <f>IF(O144&gt;0,VLOOKUP($O144,Dep!$A:$M,10),"")</f>
        <v>NAT</v>
      </c>
      <c r="U144" t="str">
        <f>IF(O144&gt;0,VLOOKUP($O144,Dep!$A:$M,12),"")</f>
        <v>AS</v>
      </c>
      <c r="V144" t="str">
        <f t="shared" si="29"/>
        <v/>
      </c>
      <c r="W144" t="str">
        <f t="shared" si="30"/>
        <v/>
      </c>
      <c r="X144" t="str">
        <f t="shared" si="31"/>
        <v>X</v>
      </c>
      <c r="Y144">
        <f t="shared" si="26"/>
        <v>0</v>
      </c>
      <c r="Z144" t="str">
        <f t="shared" si="32"/>
        <v/>
      </c>
      <c r="AA144" s="20">
        <f t="shared" si="27"/>
        <v>2.7777777777777735E-2</v>
      </c>
      <c r="AB144">
        <f t="shared" si="33"/>
        <v>143</v>
      </c>
      <c r="AC144" s="20" t="str">
        <f t="shared" si="34"/>
        <v>07:30</v>
      </c>
      <c r="AD144" s="20" t="str">
        <f t="shared" si="28"/>
        <v>08:10</v>
      </c>
      <c r="AE144" t="str">
        <f>VLOOKUP(G144,ACtypes!A:C,3,FALSE)</f>
        <v>C</v>
      </c>
      <c r="AF144" t="str">
        <f t="shared" si="35"/>
        <v/>
      </c>
      <c r="AG144" t="str">
        <f t="shared" si="36"/>
        <v/>
      </c>
      <c r="AH144">
        <f t="shared" si="37"/>
        <v>59</v>
      </c>
    </row>
    <row r="145" spans="1:34" x14ac:dyDescent="0.3">
      <c r="A145" s="41">
        <f t="shared" si="38"/>
        <v>144</v>
      </c>
      <c r="B145" s="27">
        <v>239</v>
      </c>
      <c r="C145" s="28" t="s">
        <v>190</v>
      </c>
      <c r="D145" s="28" t="s">
        <v>13</v>
      </c>
      <c r="E145" s="28" t="s">
        <v>313</v>
      </c>
      <c r="F145" s="28" t="s">
        <v>15</v>
      </c>
      <c r="G145" s="28" t="s">
        <v>73</v>
      </c>
      <c r="H145" s="27">
        <v>0</v>
      </c>
      <c r="I145" s="27">
        <v>59</v>
      </c>
      <c r="J145" s="28" t="s">
        <v>17</v>
      </c>
      <c r="K145" s="27">
        <v>25</v>
      </c>
      <c r="L145" s="28" t="s">
        <v>22</v>
      </c>
      <c r="M145" s="27">
        <v>0</v>
      </c>
      <c r="O145" s="23">
        <v>144</v>
      </c>
      <c r="P145" t="str">
        <f>IF(O145&gt;0,VLOOKUP($O145,Dep!$A:$M,3),"")</f>
        <v>09:00</v>
      </c>
      <c r="Q145" t="str">
        <f>IF(O145&gt;0,VLOOKUP($O145,Dep!$A:$M,6),"")</f>
        <v>GEG</v>
      </c>
      <c r="R145" t="str">
        <f>IF(O145&gt;0,VLOOKUP($O145,Dep!$A:$M,7),"")</f>
        <v>DH4</v>
      </c>
      <c r="S145">
        <f>IF(O145&gt;0,VLOOKUP($O145,Dep!$A:$M,9),"")</f>
        <v>59</v>
      </c>
      <c r="T145" t="str">
        <f>IF(O145&gt;0,VLOOKUP($O145,Dep!$A:$M,10),"")</f>
        <v>NAT</v>
      </c>
      <c r="U145" t="str">
        <f>IF(O145&gt;0,VLOOKUP($O145,Dep!$A:$M,12),"")</f>
        <v>AS</v>
      </c>
      <c r="V145" t="str">
        <f t="shared" si="29"/>
        <v/>
      </c>
      <c r="W145" t="str">
        <f t="shared" si="30"/>
        <v/>
      </c>
      <c r="X145" t="str">
        <f t="shared" si="31"/>
        <v>X</v>
      </c>
      <c r="Y145">
        <f t="shared" si="26"/>
        <v>0</v>
      </c>
      <c r="Z145" t="str">
        <f t="shared" si="32"/>
        <v/>
      </c>
      <c r="AA145" s="20">
        <f t="shared" si="27"/>
        <v>6.25E-2</v>
      </c>
      <c r="AB145">
        <f t="shared" si="33"/>
        <v>144</v>
      </c>
      <c r="AC145" s="20" t="str">
        <f t="shared" si="34"/>
        <v>07:30</v>
      </c>
      <c r="AD145" s="20" t="str">
        <f t="shared" si="28"/>
        <v>09:00</v>
      </c>
      <c r="AE145" t="str">
        <f>VLOOKUP(G145,ACtypes!A:C,3,FALSE)</f>
        <v>C</v>
      </c>
      <c r="AF145" t="str">
        <f t="shared" si="35"/>
        <v/>
      </c>
      <c r="AG145" t="str">
        <f t="shared" si="36"/>
        <v/>
      </c>
      <c r="AH145">
        <f t="shared" si="37"/>
        <v>59</v>
      </c>
    </row>
    <row r="146" spans="1:34" x14ac:dyDescent="0.3">
      <c r="A146" s="41">
        <f t="shared" si="38"/>
        <v>145</v>
      </c>
      <c r="B146" s="27">
        <v>153</v>
      </c>
      <c r="C146" s="28" t="s">
        <v>217</v>
      </c>
      <c r="D146" s="28" t="s">
        <v>13</v>
      </c>
      <c r="E146" s="28" t="s">
        <v>218</v>
      </c>
      <c r="F146" s="28" t="s">
        <v>15</v>
      </c>
      <c r="G146" s="28" t="s">
        <v>73</v>
      </c>
      <c r="H146" s="27">
        <v>0</v>
      </c>
      <c r="I146" s="27">
        <v>59</v>
      </c>
      <c r="J146" s="28" t="s">
        <v>17</v>
      </c>
      <c r="K146" s="27">
        <v>25</v>
      </c>
      <c r="L146" s="28" t="s">
        <v>22</v>
      </c>
      <c r="M146" s="27">
        <v>0</v>
      </c>
      <c r="O146" s="23">
        <v>145</v>
      </c>
      <c r="P146" t="str">
        <f>IF(O146&gt;0,VLOOKUP($O146,Dep!$A:$M,3),"")</f>
        <v>09:50</v>
      </c>
      <c r="Q146" t="str">
        <f>IF(O146&gt;0,VLOOKUP($O146,Dep!$A:$M,6),"")</f>
        <v>MSO</v>
      </c>
      <c r="R146" t="str">
        <f>IF(O146&gt;0,VLOOKUP($O146,Dep!$A:$M,7),"")</f>
        <v>DH4</v>
      </c>
      <c r="S146">
        <f>IF(O146&gt;0,VLOOKUP($O146,Dep!$A:$M,9),"")</f>
        <v>59</v>
      </c>
      <c r="T146" t="str">
        <f>IF(O146&gt;0,VLOOKUP($O146,Dep!$A:$M,10),"")</f>
        <v>NAT</v>
      </c>
      <c r="U146" t="str">
        <f>IF(O146&gt;0,VLOOKUP($O146,Dep!$A:$M,12),"")</f>
        <v>AS</v>
      </c>
      <c r="V146" t="str">
        <f t="shared" si="29"/>
        <v/>
      </c>
      <c r="W146" t="str">
        <f t="shared" si="30"/>
        <v/>
      </c>
      <c r="X146" t="str">
        <f t="shared" si="31"/>
        <v>X</v>
      </c>
      <c r="Y146">
        <f t="shared" si="26"/>
        <v>0</v>
      </c>
      <c r="Z146" t="str">
        <f t="shared" si="32"/>
        <v/>
      </c>
      <c r="AA146" s="20">
        <f t="shared" si="27"/>
        <v>8.333333333333337E-2</v>
      </c>
      <c r="AB146">
        <f t="shared" si="33"/>
        <v>145</v>
      </c>
      <c r="AC146" s="20" t="str">
        <f t="shared" si="34"/>
        <v>07:50</v>
      </c>
      <c r="AD146" s="20" t="str">
        <f t="shared" si="28"/>
        <v>09:50</v>
      </c>
      <c r="AE146" t="str">
        <f>VLOOKUP(G146,ACtypes!A:C,3,FALSE)</f>
        <v>C</v>
      </c>
      <c r="AF146" t="str">
        <f t="shared" si="35"/>
        <v/>
      </c>
      <c r="AG146" t="str">
        <f t="shared" si="36"/>
        <v/>
      </c>
      <c r="AH146">
        <f t="shared" si="37"/>
        <v>59</v>
      </c>
    </row>
    <row r="147" spans="1:34" x14ac:dyDescent="0.3">
      <c r="A147" s="41">
        <f t="shared" si="38"/>
        <v>146</v>
      </c>
      <c r="B147" s="27">
        <v>954</v>
      </c>
      <c r="C147" s="28" t="s">
        <v>217</v>
      </c>
      <c r="D147" s="28" t="s">
        <v>13</v>
      </c>
      <c r="E147" s="28" t="s">
        <v>530</v>
      </c>
      <c r="F147" s="28" t="s">
        <v>15</v>
      </c>
      <c r="G147" s="28" t="s">
        <v>73</v>
      </c>
      <c r="H147" s="27">
        <v>0</v>
      </c>
      <c r="I147" s="27">
        <v>59</v>
      </c>
      <c r="J147" s="28" t="s">
        <v>28</v>
      </c>
      <c r="K147" s="27">
        <v>25</v>
      </c>
      <c r="L147" s="28" t="s">
        <v>22</v>
      </c>
      <c r="M147" s="27">
        <v>0</v>
      </c>
      <c r="O147" s="23">
        <v>146</v>
      </c>
      <c r="P147" t="str">
        <f>IF(O147&gt;0,VLOOKUP($O147,Dep!$A:$M,3),"")</f>
        <v>09:50</v>
      </c>
      <c r="Q147" t="str">
        <f>IF(O147&gt;0,VLOOKUP($O147,Dep!$A:$M,6),"")</f>
        <v>YEG</v>
      </c>
      <c r="R147" t="str">
        <f>IF(O147&gt;0,VLOOKUP($O147,Dep!$A:$M,7),"")</f>
        <v>DH4</v>
      </c>
      <c r="S147">
        <f>IF(O147&gt;0,VLOOKUP($O147,Dep!$A:$M,9),"")</f>
        <v>59</v>
      </c>
      <c r="T147" t="str">
        <f>IF(O147&gt;0,VLOOKUP($O147,Dep!$A:$M,10),"")</f>
        <v>INT</v>
      </c>
      <c r="U147" t="str">
        <f>IF(O147&gt;0,VLOOKUP($O147,Dep!$A:$M,12),"")</f>
        <v>AS</v>
      </c>
      <c r="V147" t="str">
        <f t="shared" si="29"/>
        <v/>
      </c>
      <c r="W147" t="str">
        <f t="shared" si="30"/>
        <v/>
      </c>
      <c r="X147" t="str">
        <f t="shared" si="31"/>
        <v/>
      </c>
      <c r="Y147">
        <f t="shared" si="26"/>
        <v>0</v>
      </c>
      <c r="Z147" t="str">
        <f t="shared" si="32"/>
        <v/>
      </c>
      <c r="AA147" s="20">
        <f t="shared" si="27"/>
        <v>8.333333333333337E-2</v>
      </c>
      <c r="AB147">
        <f t="shared" si="33"/>
        <v>146</v>
      </c>
      <c r="AC147" s="20" t="str">
        <f t="shared" si="34"/>
        <v>07:50</v>
      </c>
      <c r="AD147" s="20" t="str">
        <f t="shared" si="28"/>
        <v>09:50</v>
      </c>
      <c r="AE147" t="str">
        <f>VLOOKUP(G147,ACtypes!A:C,3,FALSE)</f>
        <v>C</v>
      </c>
      <c r="AF147">
        <f t="shared" si="35"/>
        <v>1</v>
      </c>
      <c r="AG147">
        <f t="shared" si="36"/>
        <v>1</v>
      </c>
      <c r="AH147">
        <f t="shared" si="37"/>
        <v>59</v>
      </c>
    </row>
    <row r="148" spans="1:34" x14ac:dyDescent="0.3">
      <c r="A148" s="41">
        <f t="shared" si="38"/>
        <v>147</v>
      </c>
      <c r="B148" s="27">
        <v>299</v>
      </c>
      <c r="C148" s="28" t="s">
        <v>372</v>
      </c>
      <c r="D148" s="28" t="s">
        <v>13</v>
      </c>
      <c r="E148" s="28" t="s">
        <v>366</v>
      </c>
      <c r="F148" s="28" t="s">
        <v>15</v>
      </c>
      <c r="G148" s="28" t="s">
        <v>73</v>
      </c>
      <c r="H148" s="27">
        <v>0</v>
      </c>
      <c r="I148" s="27">
        <v>59</v>
      </c>
      <c r="J148" s="28" t="s">
        <v>17</v>
      </c>
      <c r="K148" s="27">
        <v>25</v>
      </c>
      <c r="L148" s="28" t="s">
        <v>22</v>
      </c>
      <c r="M148" s="27">
        <v>0</v>
      </c>
      <c r="O148" s="23">
        <v>147</v>
      </c>
      <c r="P148" t="str">
        <f>IF(O148&gt;0,VLOOKUP($O148,Dep!$A:$M,3),"")</f>
        <v>09:56</v>
      </c>
      <c r="Q148" t="str">
        <f>IF(O148&gt;0,VLOOKUP($O148,Dep!$A:$M,6),"")</f>
        <v>BIL</v>
      </c>
      <c r="R148" t="str">
        <f>IF(O148&gt;0,VLOOKUP($O148,Dep!$A:$M,7),"")</f>
        <v>DH4</v>
      </c>
      <c r="S148">
        <f>IF(O148&gt;0,VLOOKUP($O148,Dep!$A:$M,9),"")</f>
        <v>59</v>
      </c>
      <c r="T148" t="str">
        <f>IF(O148&gt;0,VLOOKUP($O148,Dep!$A:$M,10),"")</f>
        <v>NAT</v>
      </c>
      <c r="U148" t="str">
        <f>IF(O148&gt;0,VLOOKUP($O148,Dep!$A:$M,12),"")</f>
        <v>AS</v>
      </c>
      <c r="V148" t="str">
        <f t="shared" si="29"/>
        <v/>
      </c>
      <c r="W148" t="str">
        <f t="shared" si="30"/>
        <v/>
      </c>
      <c r="X148" t="str">
        <f t="shared" si="31"/>
        <v>X</v>
      </c>
      <c r="Y148">
        <f t="shared" si="26"/>
        <v>0</v>
      </c>
      <c r="Z148" t="str">
        <f t="shared" si="32"/>
        <v/>
      </c>
      <c r="AA148" s="20">
        <f t="shared" si="27"/>
        <v>4.5833333333333337E-2</v>
      </c>
      <c r="AB148">
        <f t="shared" si="33"/>
        <v>147</v>
      </c>
      <c r="AC148" s="20" t="str">
        <f t="shared" si="34"/>
        <v>08:50</v>
      </c>
      <c r="AD148" s="20" t="str">
        <f t="shared" si="28"/>
        <v>09:56</v>
      </c>
      <c r="AE148" t="str">
        <f>VLOOKUP(G148,ACtypes!A:C,3,FALSE)</f>
        <v>C</v>
      </c>
      <c r="AF148" t="str">
        <f t="shared" si="35"/>
        <v/>
      </c>
      <c r="AG148" t="str">
        <f t="shared" si="36"/>
        <v/>
      </c>
      <c r="AH148">
        <f t="shared" si="37"/>
        <v>59</v>
      </c>
    </row>
    <row r="149" spans="1:34" x14ac:dyDescent="0.3">
      <c r="A149" s="41">
        <f t="shared" si="38"/>
        <v>148</v>
      </c>
      <c r="B149" s="27">
        <v>60</v>
      </c>
      <c r="C149" s="28" t="s">
        <v>106</v>
      </c>
      <c r="D149" s="28" t="s">
        <v>13</v>
      </c>
      <c r="E149" s="28" t="s">
        <v>105</v>
      </c>
      <c r="F149" s="28" t="s">
        <v>15</v>
      </c>
      <c r="G149" s="28" t="s">
        <v>73</v>
      </c>
      <c r="H149" s="27">
        <v>0</v>
      </c>
      <c r="I149" s="27">
        <v>59</v>
      </c>
      <c r="J149" s="28" t="s">
        <v>17</v>
      </c>
      <c r="K149" s="27">
        <v>25</v>
      </c>
      <c r="L149" s="28" t="s">
        <v>22</v>
      </c>
      <c r="M149" s="27">
        <v>0</v>
      </c>
      <c r="O149" s="23">
        <v>148</v>
      </c>
      <c r="P149" t="str">
        <f>IF(O149&gt;0,VLOOKUP($O149,Dep!$A:$M,3),"")</f>
        <v>10:00</v>
      </c>
      <c r="Q149" t="str">
        <f>IF(O149&gt;0,VLOOKUP($O149,Dep!$A:$M,6),"")</f>
        <v>GEG</v>
      </c>
      <c r="R149" t="str">
        <f>IF(O149&gt;0,VLOOKUP($O149,Dep!$A:$M,7),"")</f>
        <v>DH4</v>
      </c>
      <c r="S149">
        <f>IF(O149&gt;0,VLOOKUP($O149,Dep!$A:$M,9),"")</f>
        <v>59</v>
      </c>
      <c r="T149" t="str">
        <f>IF(O149&gt;0,VLOOKUP($O149,Dep!$A:$M,10),"")</f>
        <v>NAT</v>
      </c>
      <c r="U149" t="str">
        <f>IF(O149&gt;0,VLOOKUP($O149,Dep!$A:$M,12),"")</f>
        <v>AS</v>
      </c>
      <c r="V149" t="str">
        <f t="shared" si="29"/>
        <v/>
      </c>
      <c r="W149" t="str">
        <f t="shared" si="30"/>
        <v/>
      </c>
      <c r="X149" t="str">
        <f t="shared" si="31"/>
        <v>X</v>
      </c>
      <c r="Y149">
        <f t="shared" si="26"/>
        <v>0</v>
      </c>
      <c r="Z149" t="str">
        <f t="shared" si="32"/>
        <v/>
      </c>
      <c r="AA149" s="20">
        <f t="shared" si="27"/>
        <v>4.1666666666666685E-2</v>
      </c>
      <c r="AB149">
        <f t="shared" si="33"/>
        <v>148</v>
      </c>
      <c r="AC149" s="20" t="str">
        <f t="shared" si="34"/>
        <v>09:00</v>
      </c>
      <c r="AD149" s="20" t="str">
        <f t="shared" si="28"/>
        <v>10:00</v>
      </c>
      <c r="AE149" t="str">
        <f>VLOOKUP(G149,ACtypes!A:C,3,FALSE)</f>
        <v>C</v>
      </c>
      <c r="AF149" t="str">
        <f t="shared" si="35"/>
        <v/>
      </c>
      <c r="AG149" t="str">
        <f t="shared" si="36"/>
        <v/>
      </c>
      <c r="AH149">
        <f t="shared" si="37"/>
        <v>59</v>
      </c>
    </row>
    <row r="150" spans="1:34" x14ac:dyDescent="0.3">
      <c r="A150" s="41">
        <f t="shared" si="38"/>
        <v>149</v>
      </c>
      <c r="B150" s="27">
        <v>146</v>
      </c>
      <c r="C150" s="28" t="s">
        <v>211</v>
      </c>
      <c r="D150" s="28" t="s">
        <v>13</v>
      </c>
      <c r="E150" s="28" t="s">
        <v>196</v>
      </c>
      <c r="F150" s="28" t="s">
        <v>15</v>
      </c>
      <c r="G150" s="28" t="s">
        <v>73</v>
      </c>
      <c r="H150" s="27">
        <v>0</v>
      </c>
      <c r="I150" s="27">
        <v>59</v>
      </c>
      <c r="J150" s="28" t="s">
        <v>17</v>
      </c>
      <c r="K150" s="27">
        <v>25</v>
      </c>
      <c r="L150" s="28" t="s">
        <v>22</v>
      </c>
      <c r="M150" s="27">
        <v>0</v>
      </c>
      <c r="O150" s="23">
        <v>149</v>
      </c>
      <c r="P150" t="str">
        <f>IF(O150&gt;0,VLOOKUP($O150,Dep!$A:$M,3),"")</f>
        <v>10:10</v>
      </c>
      <c r="Q150" t="str">
        <f>IF(O150&gt;0,VLOOKUP($O150,Dep!$A:$M,6),"")</f>
        <v>BZN</v>
      </c>
      <c r="R150" t="str">
        <f>IF(O150&gt;0,VLOOKUP($O150,Dep!$A:$M,7),"")</f>
        <v>DH4</v>
      </c>
      <c r="S150">
        <f>IF(O150&gt;0,VLOOKUP($O150,Dep!$A:$M,9),"")</f>
        <v>59</v>
      </c>
      <c r="T150" t="str">
        <f>IF(O150&gt;0,VLOOKUP($O150,Dep!$A:$M,10),"")</f>
        <v>NAT</v>
      </c>
      <c r="U150" t="str">
        <f>IF(O150&gt;0,VLOOKUP($O150,Dep!$A:$M,12),"")</f>
        <v>AS</v>
      </c>
      <c r="V150" t="str">
        <f t="shared" si="29"/>
        <v/>
      </c>
      <c r="W150" t="str">
        <f t="shared" si="30"/>
        <v/>
      </c>
      <c r="X150" t="str">
        <f t="shared" si="31"/>
        <v>X</v>
      </c>
      <c r="Y150">
        <f t="shared" si="26"/>
        <v>0</v>
      </c>
      <c r="Z150" t="str">
        <f t="shared" si="32"/>
        <v/>
      </c>
      <c r="AA150" s="20">
        <f t="shared" si="27"/>
        <v>4.513888888888884E-2</v>
      </c>
      <c r="AB150">
        <f t="shared" si="33"/>
        <v>149</v>
      </c>
      <c r="AC150" s="20" t="str">
        <f t="shared" si="34"/>
        <v>09:05</v>
      </c>
      <c r="AD150" s="20" t="str">
        <f t="shared" si="28"/>
        <v>10:10</v>
      </c>
      <c r="AE150" t="str">
        <f>VLOOKUP(G150,ACtypes!A:C,3,FALSE)</f>
        <v>C</v>
      </c>
      <c r="AF150" t="str">
        <f t="shared" si="35"/>
        <v/>
      </c>
      <c r="AG150" t="str">
        <f t="shared" si="36"/>
        <v/>
      </c>
      <c r="AH150">
        <f t="shared" si="37"/>
        <v>59</v>
      </c>
    </row>
    <row r="151" spans="1:34" x14ac:dyDescent="0.3">
      <c r="A151" s="41">
        <f t="shared" si="38"/>
        <v>150</v>
      </c>
      <c r="B151" s="27">
        <v>298</v>
      </c>
      <c r="C151" s="28" t="s">
        <v>371</v>
      </c>
      <c r="D151" s="28" t="s">
        <v>13</v>
      </c>
      <c r="E151" s="28" t="s">
        <v>366</v>
      </c>
      <c r="F151" s="28" t="s">
        <v>15</v>
      </c>
      <c r="G151" s="28" t="s">
        <v>73</v>
      </c>
      <c r="H151" s="27">
        <v>0</v>
      </c>
      <c r="I151" s="27">
        <v>59</v>
      </c>
      <c r="J151" s="28" t="s">
        <v>17</v>
      </c>
      <c r="K151" s="27">
        <v>25</v>
      </c>
      <c r="L151" s="28" t="s">
        <v>22</v>
      </c>
      <c r="M151" s="27">
        <v>0</v>
      </c>
      <c r="O151" s="23">
        <v>150</v>
      </c>
      <c r="P151" t="str">
        <f>IF(O151&gt;0,VLOOKUP($O151,Dep!$A:$M,3),"")</f>
        <v>10:10</v>
      </c>
      <c r="Q151" t="str">
        <f>IF(O151&gt;0,VLOOKUP($O151,Dep!$A:$M,6),"")</f>
        <v>FCA</v>
      </c>
      <c r="R151" t="str">
        <f>IF(O151&gt;0,VLOOKUP($O151,Dep!$A:$M,7),"")</f>
        <v>DH4</v>
      </c>
      <c r="S151">
        <f>IF(O151&gt;0,VLOOKUP($O151,Dep!$A:$M,9),"")</f>
        <v>59</v>
      </c>
      <c r="T151" t="str">
        <f>IF(O151&gt;0,VLOOKUP($O151,Dep!$A:$M,10),"")</f>
        <v>NAT</v>
      </c>
      <c r="U151" t="str">
        <f>IF(O151&gt;0,VLOOKUP($O151,Dep!$A:$M,12),"")</f>
        <v>AS</v>
      </c>
      <c r="V151" t="str">
        <f t="shared" si="29"/>
        <v/>
      </c>
      <c r="W151" t="str">
        <f t="shared" si="30"/>
        <v/>
      </c>
      <c r="X151" t="str">
        <f t="shared" si="31"/>
        <v>X</v>
      </c>
      <c r="Y151">
        <f t="shared" si="26"/>
        <v>0</v>
      </c>
      <c r="Z151" t="str">
        <f t="shared" si="32"/>
        <v/>
      </c>
      <c r="AA151" s="20">
        <f t="shared" si="27"/>
        <v>3.5416666666666652E-2</v>
      </c>
      <c r="AB151">
        <f t="shared" si="33"/>
        <v>150</v>
      </c>
      <c r="AC151" s="20" t="str">
        <f t="shared" si="34"/>
        <v>09:19</v>
      </c>
      <c r="AD151" s="20" t="str">
        <f t="shared" si="28"/>
        <v>10:10</v>
      </c>
      <c r="AE151" t="str">
        <f>VLOOKUP(G151,ACtypes!A:C,3,FALSE)</f>
        <v>C</v>
      </c>
      <c r="AF151" t="str">
        <f t="shared" si="35"/>
        <v/>
      </c>
      <c r="AG151" t="str">
        <f t="shared" si="36"/>
        <v/>
      </c>
      <c r="AH151">
        <f t="shared" si="37"/>
        <v>59</v>
      </c>
    </row>
    <row r="152" spans="1:34" x14ac:dyDescent="0.3">
      <c r="A152" s="41">
        <f t="shared" si="38"/>
        <v>151</v>
      </c>
      <c r="B152" s="27">
        <v>49</v>
      </c>
      <c r="C152" s="28" t="s">
        <v>92</v>
      </c>
      <c r="D152" s="28" t="s">
        <v>13</v>
      </c>
      <c r="E152" s="28" t="s">
        <v>86</v>
      </c>
      <c r="F152" s="28" t="s">
        <v>15</v>
      </c>
      <c r="G152" s="28" t="s">
        <v>73</v>
      </c>
      <c r="H152" s="27">
        <v>0</v>
      </c>
      <c r="I152" s="27">
        <v>59</v>
      </c>
      <c r="J152" s="28" t="s">
        <v>17</v>
      </c>
      <c r="K152" s="27">
        <v>25</v>
      </c>
      <c r="L152" s="28" t="s">
        <v>22</v>
      </c>
      <c r="M152" s="27">
        <v>0</v>
      </c>
      <c r="O152" s="23">
        <v>151</v>
      </c>
      <c r="P152" t="str">
        <f>IF(O152&gt;0,VLOOKUP($O152,Dep!$A:$M,3),"")</f>
        <v>10:30</v>
      </c>
      <c r="Q152" t="str">
        <f>IF(O152&gt;0,VLOOKUP($O152,Dep!$A:$M,6),"")</f>
        <v>SUN</v>
      </c>
      <c r="R152" t="str">
        <f>IF(O152&gt;0,VLOOKUP($O152,Dep!$A:$M,7),"")</f>
        <v>DH4</v>
      </c>
      <c r="S152">
        <f>IF(O152&gt;0,VLOOKUP($O152,Dep!$A:$M,9),"")</f>
        <v>59</v>
      </c>
      <c r="T152" t="str">
        <f>IF(O152&gt;0,VLOOKUP($O152,Dep!$A:$M,10),"")</f>
        <v>NAT</v>
      </c>
      <c r="U152" t="str">
        <f>IF(O152&gt;0,VLOOKUP($O152,Dep!$A:$M,12),"")</f>
        <v>AS</v>
      </c>
      <c r="V152" t="str">
        <f t="shared" si="29"/>
        <v/>
      </c>
      <c r="W152" t="str">
        <f t="shared" si="30"/>
        <v/>
      </c>
      <c r="X152" t="str">
        <f t="shared" si="31"/>
        <v>X</v>
      </c>
      <c r="Y152">
        <f t="shared" si="26"/>
        <v>0</v>
      </c>
      <c r="Z152" t="str">
        <f t="shared" si="32"/>
        <v/>
      </c>
      <c r="AA152" s="20">
        <f t="shared" si="27"/>
        <v>3.4722222222222265E-2</v>
      </c>
      <c r="AB152">
        <f t="shared" si="33"/>
        <v>151</v>
      </c>
      <c r="AC152" s="20" t="str">
        <f t="shared" si="34"/>
        <v>09:40</v>
      </c>
      <c r="AD152" s="20" t="str">
        <f t="shared" si="28"/>
        <v>10:30</v>
      </c>
      <c r="AE152" t="str">
        <f>VLOOKUP(G152,ACtypes!A:C,3,FALSE)</f>
        <v>C</v>
      </c>
      <c r="AF152" t="str">
        <f t="shared" si="35"/>
        <v/>
      </c>
      <c r="AG152" t="str">
        <f t="shared" si="36"/>
        <v/>
      </c>
      <c r="AH152">
        <f t="shared" si="37"/>
        <v>59</v>
      </c>
    </row>
    <row r="153" spans="1:34" x14ac:dyDescent="0.3">
      <c r="A153" s="41">
        <f t="shared" si="38"/>
        <v>152</v>
      </c>
      <c r="B153" s="27">
        <v>144</v>
      </c>
      <c r="C153" s="28" t="s">
        <v>209</v>
      </c>
      <c r="D153" s="28" t="s">
        <v>13</v>
      </c>
      <c r="E153" s="28" t="s">
        <v>196</v>
      </c>
      <c r="F153" s="28" t="s">
        <v>15</v>
      </c>
      <c r="G153" s="28" t="s">
        <v>73</v>
      </c>
      <c r="H153" s="27">
        <v>0</v>
      </c>
      <c r="I153" s="27">
        <v>59</v>
      </c>
      <c r="J153" s="28" t="s">
        <v>17</v>
      </c>
      <c r="K153" s="27">
        <v>25</v>
      </c>
      <c r="L153" s="28" t="s">
        <v>22</v>
      </c>
      <c r="M153" s="27">
        <v>0</v>
      </c>
      <c r="O153" s="23">
        <v>152</v>
      </c>
      <c r="P153" t="str">
        <f>IF(O153&gt;0,VLOOKUP($O153,Dep!$A:$M,3),"")</f>
        <v>11:00</v>
      </c>
      <c r="Q153" t="str">
        <f>IF(O153&gt;0,VLOOKUP($O153,Dep!$A:$M,6),"")</f>
        <v>GEG</v>
      </c>
      <c r="R153" t="str">
        <f>IF(O153&gt;0,VLOOKUP($O153,Dep!$A:$M,7),"")</f>
        <v>DH4</v>
      </c>
      <c r="S153">
        <f>IF(O153&gt;0,VLOOKUP($O153,Dep!$A:$M,9),"")</f>
        <v>59</v>
      </c>
      <c r="T153" t="str">
        <f>IF(O153&gt;0,VLOOKUP($O153,Dep!$A:$M,10),"")</f>
        <v>NAT</v>
      </c>
      <c r="U153" t="str">
        <f>IF(O153&gt;0,VLOOKUP($O153,Dep!$A:$M,12),"")</f>
        <v>AS</v>
      </c>
      <c r="V153" t="str">
        <f t="shared" si="29"/>
        <v/>
      </c>
      <c r="W153" t="str">
        <f t="shared" si="30"/>
        <v/>
      </c>
      <c r="X153" t="str">
        <f t="shared" si="31"/>
        <v/>
      </c>
      <c r="Y153">
        <f t="shared" si="26"/>
        <v>0</v>
      </c>
      <c r="Z153" t="str">
        <f t="shared" si="32"/>
        <v/>
      </c>
      <c r="AA153" s="20">
        <f t="shared" si="27"/>
        <v>2.0138888888888817E-2</v>
      </c>
      <c r="AB153">
        <f t="shared" si="33"/>
        <v>152</v>
      </c>
      <c r="AC153" s="20" t="str">
        <f t="shared" si="34"/>
        <v>10:31</v>
      </c>
      <c r="AD153" s="20" t="str">
        <f t="shared" si="28"/>
        <v>11:00</v>
      </c>
      <c r="AE153" t="str">
        <f>VLOOKUP(G153,ACtypes!A:C,3,FALSE)</f>
        <v>C</v>
      </c>
      <c r="AF153" t="str">
        <f t="shared" si="35"/>
        <v/>
      </c>
      <c r="AG153" t="str">
        <f t="shared" si="36"/>
        <v/>
      </c>
      <c r="AH153">
        <f t="shared" si="37"/>
        <v>59</v>
      </c>
    </row>
    <row r="154" spans="1:34" x14ac:dyDescent="0.3">
      <c r="A154" s="41">
        <f t="shared" si="38"/>
        <v>153</v>
      </c>
      <c r="B154" s="27">
        <v>142</v>
      </c>
      <c r="C154" s="28" t="s">
        <v>38</v>
      </c>
      <c r="D154" s="28" t="s">
        <v>13</v>
      </c>
      <c r="E154" s="28" t="s">
        <v>196</v>
      </c>
      <c r="F154" s="28" t="s">
        <v>15</v>
      </c>
      <c r="G154" s="28" t="s">
        <v>73</v>
      </c>
      <c r="H154" s="27">
        <v>0</v>
      </c>
      <c r="I154" s="27">
        <v>59</v>
      </c>
      <c r="J154" s="28" t="s">
        <v>17</v>
      </c>
      <c r="K154" s="27">
        <v>25</v>
      </c>
      <c r="L154" s="28" t="s">
        <v>22</v>
      </c>
      <c r="M154" s="27">
        <v>0</v>
      </c>
      <c r="O154" s="23">
        <v>153</v>
      </c>
      <c r="P154" t="str">
        <f>IF(O154&gt;0,VLOOKUP($O154,Dep!$A:$M,3),"")</f>
        <v>12:05</v>
      </c>
      <c r="Q154" t="str">
        <f>IF(O154&gt;0,VLOOKUP($O154,Dep!$A:$M,6),"")</f>
        <v>GTF</v>
      </c>
      <c r="R154" t="str">
        <f>IF(O154&gt;0,VLOOKUP($O154,Dep!$A:$M,7),"")</f>
        <v>DH4</v>
      </c>
      <c r="S154">
        <f>IF(O154&gt;0,VLOOKUP($O154,Dep!$A:$M,9),"")</f>
        <v>59</v>
      </c>
      <c r="T154" t="str">
        <f>IF(O154&gt;0,VLOOKUP($O154,Dep!$A:$M,10),"")</f>
        <v>NAT</v>
      </c>
      <c r="U154" t="str">
        <f>IF(O154&gt;0,VLOOKUP($O154,Dep!$A:$M,12),"")</f>
        <v>AS</v>
      </c>
      <c r="V154" t="str">
        <f t="shared" si="29"/>
        <v/>
      </c>
      <c r="W154" t="str">
        <f t="shared" si="30"/>
        <v/>
      </c>
      <c r="X154" t="str">
        <f t="shared" si="31"/>
        <v>X</v>
      </c>
      <c r="Y154">
        <f t="shared" si="26"/>
        <v>0</v>
      </c>
      <c r="Z154" t="str">
        <f t="shared" si="32"/>
        <v/>
      </c>
      <c r="AA154" s="20">
        <f t="shared" si="27"/>
        <v>2.3611111111111083E-2</v>
      </c>
      <c r="AB154">
        <f t="shared" si="33"/>
        <v>153</v>
      </c>
      <c r="AC154" s="20" t="str">
        <f t="shared" si="34"/>
        <v>11:31</v>
      </c>
      <c r="AD154" s="20" t="str">
        <f t="shared" si="28"/>
        <v>12:05</v>
      </c>
      <c r="AE154" t="str">
        <f>VLOOKUP(G154,ACtypes!A:C,3,FALSE)</f>
        <v>C</v>
      </c>
      <c r="AF154" t="str">
        <f t="shared" si="35"/>
        <v/>
      </c>
      <c r="AG154" t="str">
        <f t="shared" si="36"/>
        <v/>
      </c>
      <c r="AH154">
        <f t="shared" si="37"/>
        <v>59</v>
      </c>
    </row>
    <row r="155" spans="1:34" x14ac:dyDescent="0.3">
      <c r="A155" s="41">
        <f t="shared" si="38"/>
        <v>154</v>
      </c>
      <c r="B155" s="27">
        <v>50</v>
      </c>
      <c r="C155" s="28" t="s">
        <v>93</v>
      </c>
      <c r="D155" s="28" t="s">
        <v>13</v>
      </c>
      <c r="E155" s="28" t="s">
        <v>86</v>
      </c>
      <c r="F155" s="28" t="s">
        <v>15</v>
      </c>
      <c r="G155" s="28" t="s">
        <v>73</v>
      </c>
      <c r="H155" s="27">
        <v>0</v>
      </c>
      <c r="I155" s="27">
        <v>59</v>
      </c>
      <c r="J155" s="28" t="s">
        <v>17</v>
      </c>
      <c r="K155" s="27">
        <v>25</v>
      </c>
      <c r="L155" s="28" t="s">
        <v>22</v>
      </c>
      <c r="M155" s="27">
        <v>0</v>
      </c>
      <c r="O155" s="23">
        <v>154</v>
      </c>
      <c r="P155" t="str">
        <f>IF(O155&gt;0,VLOOKUP($O155,Dep!$A:$M,3),"")</f>
        <v>13:00</v>
      </c>
      <c r="Q155" t="str">
        <f>IF(O155&gt;0,VLOOKUP($O155,Dep!$A:$M,6),"")</f>
        <v>GEG</v>
      </c>
      <c r="R155" t="str">
        <f>IF(O155&gt;0,VLOOKUP($O155,Dep!$A:$M,7),"")</f>
        <v>DH4</v>
      </c>
      <c r="S155">
        <f>IF(O155&gt;0,VLOOKUP($O155,Dep!$A:$M,9),"")</f>
        <v>59</v>
      </c>
      <c r="T155" t="str">
        <f>IF(O155&gt;0,VLOOKUP($O155,Dep!$A:$M,10),"")</f>
        <v>NAT</v>
      </c>
      <c r="U155" t="str">
        <f>IF(O155&gt;0,VLOOKUP($O155,Dep!$A:$M,12),"")</f>
        <v>AS</v>
      </c>
      <c r="V155" t="str">
        <f t="shared" si="29"/>
        <v/>
      </c>
      <c r="W155" t="str">
        <f t="shared" si="30"/>
        <v/>
      </c>
      <c r="X155" t="str">
        <f t="shared" si="31"/>
        <v>X</v>
      </c>
      <c r="Y155">
        <f t="shared" si="26"/>
        <v>0</v>
      </c>
      <c r="Z155" t="str">
        <f t="shared" si="32"/>
        <v/>
      </c>
      <c r="AA155" s="20">
        <f t="shared" si="27"/>
        <v>4.166666666666663E-2</v>
      </c>
      <c r="AB155">
        <f t="shared" si="33"/>
        <v>154</v>
      </c>
      <c r="AC155" s="20" t="str">
        <f t="shared" si="34"/>
        <v>12:00</v>
      </c>
      <c r="AD155" s="20" t="str">
        <f t="shared" si="28"/>
        <v>13:00</v>
      </c>
      <c r="AE155" t="str">
        <f>VLOOKUP(G155,ACtypes!A:C,3,FALSE)</f>
        <v>C</v>
      </c>
      <c r="AF155" t="str">
        <f t="shared" si="35"/>
        <v/>
      </c>
      <c r="AG155" t="str">
        <f t="shared" si="36"/>
        <v/>
      </c>
      <c r="AH155">
        <f t="shared" si="37"/>
        <v>59</v>
      </c>
    </row>
    <row r="156" spans="1:34" x14ac:dyDescent="0.3">
      <c r="A156" s="41">
        <f t="shared" si="38"/>
        <v>155</v>
      </c>
      <c r="B156" s="27">
        <v>141</v>
      </c>
      <c r="C156" s="28" t="s">
        <v>100</v>
      </c>
      <c r="D156" s="28" t="s">
        <v>13</v>
      </c>
      <c r="E156" s="28" t="s">
        <v>196</v>
      </c>
      <c r="F156" s="28" t="s">
        <v>15</v>
      </c>
      <c r="G156" s="28" t="s">
        <v>73</v>
      </c>
      <c r="H156" s="27">
        <v>0</v>
      </c>
      <c r="I156" s="27">
        <v>59</v>
      </c>
      <c r="J156" s="28" t="s">
        <v>17</v>
      </c>
      <c r="K156" s="27">
        <v>25</v>
      </c>
      <c r="L156" s="28" t="s">
        <v>22</v>
      </c>
      <c r="M156" s="27">
        <v>0</v>
      </c>
      <c r="O156" s="23">
        <v>155</v>
      </c>
      <c r="P156" t="str">
        <f>IF(O156&gt;0,VLOOKUP($O156,Dep!$A:$M,3),"")</f>
        <v>13:50</v>
      </c>
      <c r="Q156" t="str">
        <f>IF(O156&gt;0,VLOOKUP($O156,Dep!$A:$M,6),"")</f>
        <v>FCA</v>
      </c>
      <c r="R156" t="str">
        <f>IF(O156&gt;0,VLOOKUP($O156,Dep!$A:$M,7),"")</f>
        <v>DH4</v>
      </c>
      <c r="S156">
        <f>IF(O156&gt;0,VLOOKUP($O156,Dep!$A:$M,9),"")</f>
        <v>59</v>
      </c>
      <c r="T156" t="str">
        <f>IF(O156&gt;0,VLOOKUP($O156,Dep!$A:$M,10),"")</f>
        <v>NAT</v>
      </c>
      <c r="U156" t="str">
        <f>IF(O156&gt;0,VLOOKUP($O156,Dep!$A:$M,12),"")</f>
        <v>AS</v>
      </c>
      <c r="V156" t="str">
        <f t="shared" si="29"/>
        <v/>
      </c>
      <c r="W156" t="str">
        <f t="shared" si="30"/>
        <v/>
      </c>
      <c r="X156" t="str">
        <f t="shared" si="31"/>
        <v>X</v>
      </c>
      <c r="Y156">
        <f t="shared" si="26"/>
        <v>0</v>
      </c>
      <c r="Z156" t="str">
        <f t="shared" si="32"/>
        <v/>
      </c>
      <c r="AA156" s="20">
        <f t="shared" si="27"/>
        <v>5.4861111111111138E-2</v>
      </c>
      <c r="AB156">
        <f t="shared" si="33"/>
        <v>155</v>
      </c>
      <c r="AC156" s="20" t="str">
        <f t="shared" si="34"/>
        <v>12:31</v>
      </c>
      <c r="AD156" s="20" t="str">
        <f t="shared" si="28"/>
        <v>13:50</v>
      </c>
      <c r="AE156" t="str">
        <f>VLOOKUP(G156,ACtypes!A:C,3,FALSE)</f>
        <v>C</v>
      </c>
      <c r="AF156" t="str">
        <f t="shared" si="35"/>
        <v/>
      </c>
      <c r="AG156" t="str">
        <f t="shared" si="36"/>
        <v/>
      </c>
      <c r="AH156">
        <f t="shared" si="37"/>
        <v>59</v>
      </c>
    </row>
    <row r="157" spans="1:34" x14ac:dyDescent="0.3">
      <c r="A157" s="41">
        <f t="shared" si="38"/>
        <v>156</v>
      </c>
      <c r="B157" s="27">
        <v>240</v>
      </c>
      <c r="C157" s="28" t="s">
        <v>314</v>
      </c>
      <c r="D157" s="28" t="s">
        <v>13</v>
      </c>
      <c r="E157" s="28" t="s">
        <v>313</v>
      </c>
      <c r="F157" s="28" t="s">
        <v>15</v>
      </c>
      <c r="G157" s="28" t="s">
        <v>73</v>
      </c>
      <c r="H157" s="27">
        <v>0</v>
      </c>
      <c r="I157" s="27">
        <v>59</v>
      </c>
      <c r="J157" s="28" t="s">
        <v>17</v>
      </c>
      <c r="K157" s="27">
        <v>25</v>
      </c>
      <c r="L157" s="28" t="s">
        <v>22</v>
      </c>
      <c r="M157" s="27">
        <v>0</v>
      </c>
      <c r="O157" s="23">
        <v>156</v>
      </c>
      <c r="P157" t="str">
        <f>IF(O157&gt;0,VLOOKUP($O157,Dep!$A:$M,3),"")</f>
        <v>14:00</v>
      </c>
      <c r="Q157" t="str">
        <f>IF(O157&gt;0,VLOOKUP($O157,Dep!$A:$M,6),"")</f>
        <v>GEG</v>
      </c>
      <c r="R157" t="str">
        <f>IF(O157&gt;0,VLOOKUP($O157,Dep!$A:$M,7),"")</f>
        <v>DH4</v>
      </c>
      <c r="S157">
        <f>IF(O157&gt;0,VLOOKUP($O157,Dep!$A:$M,9),"")</f>
        <v>59</v>
      </c>
      <c r="T157" t="str">
        <f>IF(O157&gt;0,VLOOKUP($O157,Dep!$A:$M,10),"")</f>
        <v>NAT</v>
      </c>
      <c r="U157" t="str">
        <f>IF(O157&gt;0,VLOOKUP($O157,Dep!$A:$M,12),"")</f>
        <v>AS</v>
      </c>
      <c r="V157" t="str">
        <f t="shared" si="29"/>
        <v/>
      </c>
      <c r="W157" t="str">
        <f t="shared" si="30"/>
        <v/>
      </c>
      <c r="X157" t="str">
        <f t="shared" si="31"/>
        <v>X</v>
      </c>
      <c r="Y157">
        <f t="shared" si="26"/>
        <v>0</v>
      </c>
      <c r="Z157" t="str">
        <f t="shared" si="32"/>
        <v/>
      </c>
      <c r="AA157" s="20">
        <f t="shared" si="27"/>
        <v>3.4027777777777768E-2</v>
      </c>
      <c r="AB157">
        <f t="shared" si="33"/>
        <v>156</v>
      </c>
      <c r="AC157" s="20" t="str">
        <f t="shared" si="34"/>
        <v>13:11</v>
      </c>
      <c r="AD157" s="20" t="str">
        <f t="shared" si="28"/>
        <v>14:00</v>
      </c>
      <c r="AE157" t="str">
        <f>VLOOKUP(G157,ACtypes!A:C,3,FALSE)</f>
        <v>C</v>
      </c>
      <c r="AF157" t="str">
        <f t="shared" si="35"/>
        <v/>
      </c>
      <c r="AG157" t="str">
        <f t="shared" si="36"/>
        <v/>
      </c>
      <c r="AH157">
        <f t="shared" si="37"/>
        <v>59</v>
      </c>
    </row>
    <row r="158" spans="1:34" x14ac:dyDescent="0.3">
      <c r="A158" s="41">
        <f t="shared" si="38"/>
        <v>157</v>
      </c>
      <c r="B158" s="27">
        <v>125</v>
      </c>
      <c r="C158" s="28" t="s">
        <v>189</v>
      </c>
      <c r="D158" s="28" t="s">
        <v>13</v>
      </c>
      <c r="E158" s="28" t="s">
        <v>188</v>
      </c>
      <c r="F158" s="28" t="s">
        <v>15</v>
      </c>
      <c r="G158" s="28" t="s">
        <v>73</v>
      </c>
      <c r="H158" s="27">
        <v>0</v>
      </c>
      <c r="I158" s="27">
        <v>59</v>
      </c>
      <c r="J158" s="28" t="s">
        <v>17</v>
      </c>
      <c r="K158" s="27">
        <v>25</v>
      </c>
      <c r="L158" s="28" t="s">
        <v>22</v>
      </c>
      <c r="M158" s="27">
        <v>0</v>
      </c>
      <c r="O158" s="23">
        <v>157</v>
      </c>
      <c r="P158" t="str">
        <f>IF(O158&gt;0,VLOOKUP($O158,Dep!$A:$M,3),"")</f>
        <v>14:30</v>
      </c>
      <c r="Q158" t="str">
        <f>IF(O158&gt;0,VLOOKUP($O158,Dep!$A:$M,6),"")</f>
        <v>YEG</v>
      </c>
      <c r="R158" t="str">
        <f>IF(O158&gt;0,VLOOKUP($O158,Dep!$A:$M,7),"")</f>
        <v>DH4</v>
      </c>
      <c r="S158">
        <f>IF(O158&gt;0,VLOOKUP($O158,Dep!$A:$M,9),"")</f>
        <v>59</v>
      </c>
      <c r="T158" t="str">
        <f>IF(O158&gt;0,VLOOKUP($O158,Dep!$A:$M,10),"")</f>
        <v>INT</v>
      </c>
      <c r="U158" t="str">
        <f>IF(O158&gt;0,VLOOKUP($O158,Dep!$A:$M,12),"")</f>
        <v>AS</v>
      </c>
      <c r="V158" t="str">
        <f t="shared" si="29"/>
        <v/>
      </c>
      <c r="W158" t="str">
        <f t="shared" si="30"/>
        <v/>
      </c>
      <c r="X158" t="str">
        <f t="shared" si="31"/>
        <v>X</v>
      </c>
      <c r="Y158">
        <f t="shared" si="26"/>
        <v>0</v>
      </c>
      <c r="Z158" t="str">
        <f t="shared" si="32"/>
        <v/>
      </c>
      <c r="AA158" s="20">
        <f t="shared" si="27"/>
        <v>4.166666666666663E-2</v>
      </c>
      <c r="AB158">
        <f t="shared" si="33"/>
        <v>157</v>
      </c>
      <c r="AC158" s="20" t="str">
        <f t="shared" si="34"/>
        <v>13:30</v>
      </c>
      <c r="AD158" s="20" t="str">
        <f t="shared" si="28"/>
        <v>14:30</v>
      </c>
      <c r="AE158" t="str">
        <f>VLOOKUP(G158,ACtypes!A:C,3,FALSE)</f>
        <v>C</v>
      </c>
      <c r="AF158" t="str">
        <f t="shared" si="35"/>
        <v/>
      </c>
      <c r="AG158">
        <f t="shared" si="36"/>
        <v>1</v>
      </c>
      <c r="AH158">
        <f t="shared" si="37"/>
        <v>59</v>
      </c>
    </row>
    <row r="159" spans="1:34" x14ac:dyDescent="0.3">
      <c r="A159" s="41">
        <f t="shared" si="38"/>
        <v>158</v>
      </c>
      <c r="B159" s="27">
        <v>139</v>
      </c>
      <c r="C159" s="28" t="s">
        <v>206</v>
      </c>
      <c r="D159" s="28" t="s">
        <v>13</v>
      </c>
      <c r="E159" s="28" t="s">
        <v>196</v>
      </c>
      <c r="F159" s="28" t="s">
        <v>15</v>
      </c>
      <c r="G159" s="28" t="s">
        <v>73</v>
      </c>
      <c r="H159" s="27">
        <v>0</v>
      </c>
      <c r="I159" s="27">
        <v>59</v>
      </c>
      <c r="J159" s="28" t="s">
        <v>17</v>
      </c>
      <c r="K159" s="27">
        <v>25</v>
      </c>
      <c r="L159" s="28" t="s">
        <v>22</v>
      </c>
      <c r="M159" s="27">
        <v>0</v>
      </c>
      <c r="O159" s="23">
        <v>158</v>
      </c>
      <c r="P159" t="str">
        <f>IF(O159&gt;0,VLOOKUP($O159,Dep!$A:$M,3),"")</f>
        <v>14:30</v>
      </c>
      <c r="Q159" t="str">
        <f>IF(O159&gt;0,VLOOKUP($O159,Dep!$A:$M,6),"")</f>
        <v>PDX</v>
      </c>
      <c r="R159" t="str">
        <f>IF(O159&gt;0,VLOOKUP($O159,Dep!$A:$M,7),"")</f>
        <v>DH4</v>
      </c>
      <c r="S159">
        <f>IF(O159&gt;0,VLOOKUP($O159,Dep!$A:$M,9),"")</f>
        <v>59</v>
      </c>
      <c r="T159" t="str">
        <f>IF(O159&gt;0,VLOOKUP($O159,Dep!$A:$M,10),"")</f>
        <v>NAT</v>
      </c>
      <c r="U159" t="str">
        <f>IF(O159&gt;0,VLOOKUP($O159,Dep!$A:$M,12),"")</f>
        <v>AS</v>
      </c>
      <c r="V159" t="str">
        <f t="shared" si="29"/>
        <v/>
      </c>
      <c r="W159" t="str">
        <f t="shared" si="30"/>
        <v/>
      </c>
      <c r="X159" t="str">
        <f t="shared" si="31"/>
        <v>X</v>
      </c>
      <c r="Y159">
        <f t="shared" si="26"/>
        <v>0</v>
      </c>
      <c r="Z159" t="str">
        <f t="shared" si="32"/>
        <v/>
      </c>
      <c r="AA159" s="20">
        <f t="shared" si="27"/>
        <v>4.0972222222222188E-2</v>
      </c>
      <c r="AB159">
        <f t="shared" si="33"/>
        <v>158</v>
      </c>
      <c r="AC159" s="20" t="str">
        <f t="shared" si="34"/>
        <v>13:31</v>
      </c>
      <c r="AD159" s="20" t="str">
        <f t="shared" si="28"/>
        <v>14:30</v>
      </c>
      <c r="AE159" t="str">
        <f>VLOOKUP(G159,ACtypes!A:C,3,FALSE)</f>
        <v>C</v>
      </c>
      <c r="AF159" t="str">
        <f t="shared" si="35"/>
        <v/>
      </c>
      <c r="AG159" t="str">
        <f t="shared" si="36"/>
        <v/>
      </c>
      <c r="AH159">
        <f t="shared" si="37"/>
        <v>59</v>
      </c>
    </row>
    <row r="160" spans="1:34" x14ac:dyDescent="0.3">
      <c r="A160" s="41">
        <f t="shared" si="38"/>
        <v>159</v>
      </c>
      <c r="B160" s="27">
        <v>110</v>
      </c>
      <c r="C160" s="28" t="s">
        <v>170</v>
      </c>
      <c r="D160" s="28" t="s">
        <v>13</v>
      </c>
      <c r="E160" s="28" t="s">
        <v>167</v>
      </c>
      <c r="F160" s="28" t="s">
        <v>15</v>
      </c>
      <c r="G160" s="28" t="s">
        <v>73</v>
      </c>
      <c r="H160" s="27">
        <v>0</v>
      </c>
      <c r="I160" s="27">
        <v>59</v>
      </c>
      <c r="J160" s="28" t="s">
        <v>17</v>
      </c>
      <c r="K160" s="27">
        <v>25</v>
      </c>
      <c r="L160" s="28" t="s">
        <v>22</v>
      </c>
      <c r="M160" s="27">
        <v>0</v>
      </c>
      <c r="O160" s="23">
        <v>159</v>
      </c>
      <c r="P160" t="str">
        <f>IF(O160&gt;0,VLOOKUP($O160,Dep!$A:$M,3),"")</f>
        <v>14:38</v>
      </c>
      <c r="Q160" t="str">
        <f>IF(O160&gt;0,VLOOKUP($O160,Dep!$A:$M,6),"")</f>
        <v>YYC</v>
      </c>
      <c r="R160" t="str">
        <f>IF(O160&gt;0,VLOOKUP($O160,Dep!$A:$M,7),"")</f>
        <v>DH4</v>
      </c>
      <c r="S160">
        <f>IF(O160&gt;0,VLOOKUP($O160,Dep!$A:$M,9),"")</f>
        <v>59</v>
      </c>
      <c r="T160" t="str">
        <f>IF(O160&gt;0,VLOOKUP($O160,Dep!$A:$M,10),"")</f>
        <v>INT</v>
      </c>
      <c r="U160" t="str">
        <f>IF(O160&gt;0,VLOOKUP($O160,Dep!$A:$M,12),"")</f>
        <v>AS</v>
      </c>
      <c r="V160" t="str">
        <f t="shared" si="29"/>
        <v/>
      </c>
      <c r="W160" t="str">
        <f t="shared" si="30"/>
        <v/>
      </c>
      <c r="X160" t="str">
        <f t="shared" si="31"/>
        <v>X</v>
      </c>
      <c r="Y160">
        <f t="shared" si="26"/>
        <v>0</v>
      </c>
      <c r="Z160" t="str">
        <f t="shared" si="32"/>
        <v/>
      </c>
      <c r="AA160" s="20">
        <f t="shared" si="27"/>
        <v>2.2916666666666585E-2</v>
      </c>
      <c r="AB160">
        <f t="shared" si="33"/>
        <v>159</v>
      </c>
      <c r="AC160" s="20" t="str">
        <f t="shared" si="34"/>
        <v>14:05</v>
      </c>
      <c r="AD160" s="20" t="str">
        <f t="shared" si="28"/>
        <v>14:38</v>
      </c>
      <c r="AE160" t="str">
        <f>VLOOKUP(G160,ACtypes!A:C,3,FALSE)</f>
        <v>C</v>
      </c>
      <c r="AF160" t="str">
        <f t="shared" si="35"/>
        <v/>
      </c>
      <c r="AG160">
        <f t="shared" si="36"/>
        <v>1</v>
      </c>
      <c r="AH160">
        <f t="shared" si="37"/>
        <v>59</v>
      </c>
    </row>
    <row r="161" spans="1:34" x14ac:dyDescent="0.3">
      <c r="A161" s="41">
        <f t="shared" si="38"/>
        <v>160</v>
      </c>
      <c r="B161" s="27">
        <v>955</v>
      </c>
      <c r="C161" s="28" t="s">
        <v>531</v>
      </c>
      <c r="D161" s="28" t="s">
        <v>13</v>
      </c>
      <c r="E161" s="28" t="s">
        <v>530</v>
      </c>
      <c r="F161" s="28" t="s">
        <v>15</v>
      </c>
      <c r="G161" s="28" t="s">
        <v>73</v>
      </c>
      <c r="H161" s="27">
        <v>0</v>
      </c>
      <c r="I161" s="27">
        <v>59</v>
      </c>
      <c r="J161" s="28" t="s">
        <v>28</v>
      </c>
      <c r="K161" s="27">
        <v>25</v>
      </c>
      <c r="L161" s="28" t="s">
        <v>22</v>
      </c>
      <c r="M161" s="27">
        <v>0</v>
      </c>
      <c r="O161" s="23">
        <v>160</v>
      </c>
      <c r="P161" t="str">
        <f>IF(O161&gt;0,VLOOKUP($O161,Dep!$A:$M,3),"")</f>
        <v>15:00</v>
      </c>
      <c r="Q161" t="str">
        <f>IF(O161&gt;0,VLOOKUP($O161,Dep!$A:$M,6),"")</f>
        <v>GEG</v>
      </c>
      <c r="R161" t="str">
        <f>IF(O161&gt;0,VLOOKUP($O161,Dep!$A:$M,7),"")</f>
        <v>DH4</v>
      </c>
      <c r="S161">
        <f>IF(O161&gt;0,VLOOKUP($O161,Dep!$A:$M,9),"")</f>
        <v>59</v>
      </c>
      <c r="T161" t="str">
        <f>IF(O161&gt;0,VLOOKUP($O161,Dep!$A:$M,10),"")</f>
        <v>NAT</v>
      </c>
      <c r="U161" t="str">
        <f>IF(O161&gt;0,VLOOKUP($O161,Dep!$A:$M,12),"")</f>
        <v>AS</v>
      </c>
      <c r="V161" t="str">
        <f t="shared" si="29"/>
        <v/>
      </c>
      <c r="W161" t="str">
        <f t="shared" si="30"/>
        <v/>
      </c>
      <c r="X161" t="str">
        <f t="shared" si="31"/>
        <v>X</v>
      </c>
      <c r="Y161">
        <f t="shared" si="26"/>
        <v>0</v>
      </c>
      <c r="Z161" t="str">
        <f t="shared" si="32"/>
        <v/>
      </c>
      <c r="AA161" s="20">
        <f t="shared" si="27"/>
        <v>2.430555555555558E-2</v>
      </c>
      <c r="AB161">
        <f t="shared" si="33"/>
        <v>160</v>
      </c>
      <c r="AC161" s="20" t="str">
        <f t="shared" si="34"/>
        <v>14:25</v>
      </c>
      <c r="AD161" s="20" t="str">
        <f t="shared" si="28"/>
        <v>15:00</v>
      </c>
      <c r="AE161" t="str">
        <f>VLOOKUP(G161,ACtypes!A:C,3,FALSE)</f>
        <v>C</v>
      </c>
      <c r="AF161">
        <f t="shared" si="35"/>
        <v>1</v>
      </c>
      <c r="AG161" t="str">
        <f t="shared" si="36"/>
        <v/>
      </c>
      <c r="AH161">
        <f t="shared" si="37"/>
        <v>59</v>
      </c>
    </row>
    <row r="162" spans="1:34" x14ac:dyDescent="0.3">
      <c r="A162" s="41">
        <f t="shared" si="38"/>
        <v>161</v>
      </c>
      <c r="B162" s="27">
        <v>54</v>
      </c>
      <c r="C162" s="28" t="s">
        <v>98</v>
      </c>
      <c r="D162" s="28" t="s">
        <v>13</v>
      </c>
      <c r="E162" s="28" t="s">
        <v>99</v>
      </c>
      <c r="F162" s="28" t="s">
        <v>15</v>
      </c>
      <c r="G162" s="28" t="s">
        <v>73</v>
      </c>
      <c r="H162" s="27">
        <v>0</v>
      </c>
      <c r="I162" s="27">
        <v>59</v>
      </c>
      <c r="J162" s="28" t="s">
        <v>17</v>
      </c>
      <c r="K162" s="27">
        <v>25</v>
      </c>
      <c r="L162" s="28" t="s">
        <v>22</v>
      </c>
      <c r="M162" s="27">
        <v>0</v>
      </c>
      <c r="O162" s="23">
        <v>161</v>
      </c>
      <c r="P162" t="str">
        <f>IF(O162&gt;0,VLOOKUP($O162,Dep!$A:$M,3),"")</f>
        <v>15:25</v>
      </c>
      <c r="Q162" t="str">
        <f>IF(O162&gt;0,VLOOKUP($O162,Dep!$A:$M,6),"")</f>
        <v>EUG</v>
      </c>
      <c r="R162" t="str">
        <f>IF(O162&gt;0,VLOOKUP($O162,Dep!$A:$M,7),"")</f>
        <v>DH4</v>
      </c>
      <c r="S162">
        <f>IF(O162&gt;0,VLOOKUP($O162,Dep!$A:$M,9),"")</f>
        <v>59</v>
      </c>
      <c r="T162" t="str">
        <f>IF(O162&gt;0,VLOOKUP($O162,Dep!$A:$M,10),"")</f>
        <v>NAT</v>
      </c>
      <c r="U162" t="str">
        <f>IF(O162&gt;0,VLOOKUP($O162,Dep!$A:$M,12),"")</f>
        <v>AS</v>
      </c>
      <c r="V162" t="str">
        <f t="shared" si="29"/>
        <v/>
      </c>
      <c r="W162" t="str">
        <f t="shared" si="30"/>
        <v/>
      </c>
      <c r="X162" t="str">
        <f t="shared" si="31"/>
        <v>X</v>
      </c>
      <c r="Y162">
        <f t="shared" si="26"/>
        <v>0</v>
      </c>
      <c r="Z162" t="str">
        <f t="shared" si="32"/>
        <v/>
      </c>
      <c r="AA162" s="20">
        <f t="shared" si="27"/>
        <v>2.0833333333333259E-2</v>
      </c>
      <c r="AB162">
        <f t="shared" si="33"/>
        <v>161</v>
      </c>
      <c r="AC162" s="20" t="str">
        <f t="shared" si="34"/>
        <v>14:55</v>
      </c>
      <c r="AD162" s="20" t="str">
        <f t="shared" si="28"/>
        <v>15:25</v>
      </c>
      <c r="AE162" t="str">
        <f>VLOOKUP(G162,ACtypes!A:C,3,FALSE)</f>
        <v>C</v>
      </c>
      <c r="AF162" t="str">
        <f t="shared" si="35"/>
        <v/>
      </c>
      <c r="AG162" t="str">
        <f t="shared" si="36"/>
        <v/>
      </c>
      <c r="AH162">
        <f t="shared" si="37"/>
        <v>59</v>
      </c>
    </row>
    <row r="163" spans="1:34" x14ac:dyDescent="0.3">
      <c r="A163" s="41">
        <f t="shared" si="38"/>
        <v>162</v>
      </c>
      <c r="B163" s="27">
        <v>152</v>
      </c>
      <c r="C163" s="28" t="s">
        <v>216</v>
      </c>
      <c r="D163" s="28" t="s">
        <v>13</v>
      </c>
      <c r="E163" s="28" t="s">
        <v>196</v>
      </c>
      <c r="F163" s="28" t="s">
        <v>15</v>
      </c>
      <c r="G163" s="28" t="s">
        <v>73</v>
      </c>
      <c r="H163" s="27">
        <v>0</v>
      </c>
      <c r="I163" s="27">
        <v>59</v>
      </c>
      <c r="J163" s="28" t="s">
        <v>17</v>
      </c>
      <c r="K163" s="27">
        <v>25</v>
      </c>
      <c r="L163" s="28" t="s">
        <v>22</v>
      </c>
      <c r="M163" s="27">
        <v>0</v>
      </c>
      <c r="O163" s="23">
        <v>162</v>
      </c>
      <c r="P163" t="str">
        <f>IF(O163&gt;0,VLOOKUP($O163,Dep!$A:$M,3),"")</f>
        <v>16:05</v>
      </c>
      <c r="Q163" t="str">
        <f>IF(O163&gt;0,VLOOKUP($O163,Dep!$A:$M,6),"")</f>
        <v>BZN</v>
      </c>
      <c r="R163" t="str">
        <f>IF(O163&gt;0,VLOOKUP($O163,Dep!$A:$M,7),"")</f>
        <v>DH4</v>
      </c>
      <c r="S163">
        <f>IF(O163&gt;0,VLOOKUP($O163,Dep!$A:$M,9),"")</f>
        <v>59</v>
      </c>
      <c r="T163" t="str">
        <f>IF(O163&gt;0,VLOOKUP($O163,Dep!$A:$M,10),"")</f>
        <v>NAT</v>
      </c>
      <c r="U163" t="str">
        <f>IF(O163&gt;0,VLOOKUP($O163,Dep!$A:$M,12),"")</f>
        <v>AS</v>
      </c>
      <c r="V163" t="str">
        <f t="shared" si="29"/>
        <v/>
      </c>
      <c r="W163" t="str">
        <f t="shared" si="30"/>
        <v/>
      </c>
      <c r="X163" t="str">
        <f t="shared" si="31"/>
        <v>X</v>
      </c>
      <c r="Y163">
        <f t="shared" si="26"/>
        <v>0</v>
      </c>
      <c r="Z163" t="str">
        <f t="shared" si="32"/>
        <v/>
      </c>
      <c r="AA163" s="20">
        <f t="shared" si="27"/>
        <v>2.3611111111111027E-2</v>
      </c>
      <c r="AB163">
        <f t="shared" si="33"/>
        <v>162</v>
      </c>
      <c r="AC163" s="20" t="str">
        <f t="shared" si="34"/>
        <v>15:31</v>
      </c>
      <c r="AD163" s="20" t="str">
        <f t="shared" si="28"/>
        <v>16:05</v>
      </c>
      <c r="AE163" t="str">
        <f>VLOOKUP(G163,ACtypes!A:C,3,FALSE)</f>
        <v>C</v>
      </c>
      <c r="AF163" t="str">
        <f t="shared" si="35"/>
        <v/>
      </c>
      <c r="AG163" t="str">
        <f t="shared" si="36"/>
        <v/>
      </c>
      <c r="AH163">
        <f t="shared" si="37"/>
        <v>59</v>
      </c>
    </row>
    <row r="164" spans="1:34" x14ac:dyDescent="0.3">
      <c r="A164" s="41">
        <f t="shared" si="38"/>
        <v>163</v>
      </c>
      <c r="B164" s="27">
        <v>302</v>
      </c>
      <c r="C164" s="28" t="s">
        <v>321</v>
      </c>
      <c r="D164" s="28" t="s">
        <v>13</v>
      </c>
      <c r="E164" s="28" t="s">
        <v>366</v>
      </c>
      <c r="F164" s="28" t="s">
        <v>15</v>
      </c>
      <c r="G164" s="28" t="s">
        <v>73</v>
      </c>
      <c r="H164" s="27">
        <v>0</v>
      </c>
      <c r="I164" s="27">
        <v>59</v>
      </c>
      <c r="J164" s="28" t="s">
        <v>17</v>
      </c>
      <c r="K164" s="27">
        <v>25</v>
      </c>
      <c r="L164" s="28" t="s">
        <v>22</v>
      </c>
      <c r="M164" s="27">
        <v>0</v>
      </c>
      <c r="O164" s="23">
        <v>163</v>
      </c>
      <c r="P164" t="str">
        <f>IF(O164&gt;0,VLOOKUP($O164,Dep!$A:$M,3),"")</f>
        <v>16:50</v>
      </c>
      <c r="Q164" t="str">
        <f>IF(O164&gt;0,VLOOKUP($O164,Dep!$A:$M,6),"")</f>
        <v>FCA</v>
      </c>
      <c r="R164" t="str">
        <f>IF(O164&gt;0,VLOOKUP($O164,Dep!$A:$M,7),"")</f>
        <v>DH4</v>
      </c>
      <c r="S164">
        <f>IF(O164&gt;0,VLOOKUP($O164,Dep!$A:$M,9),"")</f>
        <v>59</v>
      </c>
      <c r="T164" t="str">
        <f>IF(O164&gt;0,VLOOKUP($O164,Dep!$A:$M,10),"")</f>
        <v>NAT</v>
      </c>
      <c r="U164" t="str">
        <f>IF(O164&gt;0,VLOOKUP($O164,Dep!$A:$M,12),"")</f>
        <v>AS</v>
      </c>
      <c r="V164" t="str">
        <f t="shared" si="29"/>
        <v/>
      </c>
      <c r="W164" t="str">
        <f t="shared" si="30"/>
        <v/>
      </c>
      <c r="X164" t="str">
        <f t="shared" si="31"/>
        <v>X</v>
      </c>
      <c r="Y164">
        <f t="shared" si="26"/>
        <v>0</v>
      </c>
      <c r="Z164" t="str">
        <f t="shared" si="32"/>
        <v/>
      </c>
      <c r="AA164" s="20">
        <f t="shared" si="27"/>
        <v>4.166666666666663E-2</v>
      </c>
      <c r="AB164">
        <f t="shared" si="33"/>
        <v>163</v>
      </c>
      <c r="AC164" s="20" t="str">
        <f t="shared" si="34"/>
        <v>15:50</v>
      </c>
      <c r="AD164" s="20" t="str">
        <f t="shared" si="28"/>
        <v>16:50</v>
      </c>
      <c r="AE164" t="str">
        <f>VLOOKUP(G164,ACtypes!A:C,3,FALSE)</f>
        <v>C</v>
      </c>
      <c r="AF164" t="str">
        <f t="shared" si="35"/>
        <v/>
      </c>
      <c r="AG164" t="str">
        <f t="shared" si="36"/>
        <v/>
      </c>
      <c r="AH164">
        <f t="shared" si="37"/>
        <v>59</v>
      </c>
    </row>
    <row r="165" spans="1:34" x14ac:dyDescent="0.3">
      <c r="A165" s="41">
        <f t="shared" si="38"/>
        <v>164</v>
      </c>
      <c r="B165" s="27">
        <v>143</v>
      </c>
      <c r="C165" s="28" t="s">
        <v>208</v>
      </c>
      <c r="D165" s="28" t="s">
        <v>13</v>
      </c>
      <c r="E165" s="28" t="s">
        <v>196</v>
      </c>
      <c r="F165" s="28" t="s">
        <v>15</v>
      </c>
      <c r="G165" s="28" t="s">
        <v>73</v>
      </c>
      <c r="H165" s="27">
        <v>0</v>
      </c>
      <c r="I165" s="27">
        <v>59</v>
      </c>
      <c r="J165" s="28" t="s">
        <v>17</v>
      </c>
      <c r="K165" s="27">
        <v>25</v>
      </c>
      <c r="L165" s="28" t="s">
        <v>22</v>
      </c>
      <c r="M165" s="27">
        <v>0</v>
      </c>
      <c r="O165" s="23">
        <v>164</v>
      </c>
      <c r="P165" t="str">
        <f>IF(O165&gt;0,VLOOKUP($O165,Dep!$A:$M,3),"")</f>
        <v>17:00</v>
      </c>
      <c r="Q165" t="str">
        <f>IF(O165&gt;0,VLOOKUP($O165,Dep!$A:$M,6),"")</f>
        <v>GEG</v>
      </c>
      <c r="R165" t="str">
        <f>IF(O165&gt;0,VLOOKUP($O165,Dep!$A:$M,7),"")</f>
        <v>DH4</v>
      </c>
      <c r="S165">
        <f>IF(O165&gt;0,VLOOKUP($O165,Dep!$A:$M,9),"")</f>
        <v>59</v>
      </c>
      <c r="T165" t="str">
        <f>IF(O165&gt;0,VLOOKUP($O165,Dep!$A:$M,10),"")</f>
        <v>NAT</v>
      </c>
      <c r="U165" t="str">
        <f>IF(O165&gt;0,VLOOKUP($O165,Dep!$A:$M,12),"")</f>
        <v>AS</v>
      </c>
      <c r="V165" t="str">
        <f t="shared" si="29"/>
        <v/>
      </c>
      <c r="W165" t="str">
        <f t="shared" si="30"/>
        <v/>
      </c>
      <c r="X165" t="str">
        <f t="shared" si="31"/>
        <v/>
      </c>
      <c r="Y165">
        <f t="shared" si="26"/>
        <v>0</v>
      </c>
      <c r="Z165" t="str">
        <f t="shared" si="32"/>
        <v/>
      </c>
      <c r="AA165" s="20">
        <f t="shared" si="27"/>
        <v>2.0138888888888928E-2</v>
      </c>
      <c r="AB165">
        <f t="shared" si="33"/>
        <v>164</v>
      </c>
      <c r="AC165" s="20" t="str">
        <f t="shared" si="34"/>
        <v>16:31</v>
      </c>
      <c r="AD165" s="20" t="str">
        <f t="shared" si="28"/>
        <v>17:00</v>
      </c>
      <c r="AE165" t="str">
        <f>VLOOKUP(G165,ACtypes!A:C,3,FALSE)</f>
        <v>C</v>
      </c>
      <c r="AF165" t="str">
        <f t="shared" si="35"/>
        <v/>
      </c>
      <c r="AG165" t="str">
        <f t="shared" si="36"/>
        <v/>
      </c>
      <c r="AH165">
        <f t="shared" si="37"/>
        <v>59</v>
      </c>
    </row>
    <row r="166" spans="1:34" x14ac:dyDescent="0.3">
      <c r="A166" s="41">
        <f t="shared" si="38"/>
        <v>165</v>
      </c>
      <c r="B166" s="27">
        <v>154</v>
      </c>
      <c r="C166" s="28" t="s">
        <v>88</v>
      </c>
      <c r="D166" s="28" t="s">
        <v>13</v>
      </c>
      <c r="E166" s="28" t="s">
        <v>219</v>
      </c>
      <c r="F166" s="28" t="s">
        <v>15</v>
      </c>
      <c r="G166" s="28" t="s">
        <v>73</v>
      </c>
      <c r="H166" s="27">
        <v>0</v>
      </c>
      <c r="I166" s="27">
        <v>59</v>
      </c>
      <c r="J166" s="28" t="s">
        <v>17</v>
      </c>
      <c r="K166" s="27">
        <v>25</v>
      </c>
      <c r="L166" s="28" t="s">
        <v>22</v>
      </c>
      <c r="M166" s="27">
        <v>0</v>
      </c>
      <c r="O166" s="23">
        <v>165</v>
      </c>
      <c r="P166" t="str">
        <f>IF(O166&gt;0,VLOOKUP($O166,Dep!$A:$M,3),"")</f>
        <v>17:19</v>
      </c>
      <c r="Q166" t="str">
        <f>IF(O166&gt;0,VLOOKUP($O166,Dep!$A:$M,6),"")</f>
        <v>MSO</v>
      </c>
      <c r="R166" t="str">
        <f>IF(O166&gt;0,VLOOKUP($O166,Dep!$A:$M,7),"")</f>
        <v>DH4</v>
      </c>
      <c r="S166">
        <f>IF(O166&gt;0,VLOOKUP($O166,Dep!$A:$M,9),"")</f>
        <v>59</v>
      </c>
      <c r="T166" t="str">
        <f>IF(O166&gt;0,VLOOKUP($O166,Dep!$A:$M,10),"")</f>
        <v>NAT</v>
      </c>
      <c r="U166" t="str">
        <f>IF(O166&gt;0,VLOOKUP($O166,Dep!$A:$M,12),"")</f>
        <v>AS</v>
      </c>
      <c r="V166" t="str">
        <f t="shared" si="29"/>
        <v/>
      </c>
      <c r="W166" t="str">
        <f t="shared" si="30"/>
        <v/>
      </c>
      <c r="X166" t="str">
        <f t="shared" si="31"/>
        <v>X</v>
      </c>
      <c r="Y166">
        <f t="shared" si="26"/>
        <v>0</v>
      </c>
      <c r="Z166" t="str">
        <f t="shared" si="32"/>
        <v/>
      </c>
      <c r="AA166" s="20">
        <f t="shared" si="27"/>
        <v>2.3611111111111138E-2</v>
      </c>
      <c r="AB166">
        <f t="shared" si="33"/>
        <v>165</v>
      </c>
      <c r="AC166" s="20" t="str">
        <f t="shared" si="34"/>
        <v>16:45</v>
      </c>
      <c r="AD166" s="20" t="str">
        <f t="shared" si="28"/>
        <v>17:19</v>
      </c>
      <c r="AE166" t="str">
        <f>VLOOKUP(G166,ACtypes!A:C,3,FALSE)</f>
        <v>C</v>
      </c>
      <c r="AF166" t="str">
        <f t="shared" si="35"/>
        <v/>
      </c>
      <c r="AG166" t="str">
        <f t="shared" si="36"/>
        <v/>
      </c>
      <c r="AH166">
        <f t="shared" si="37"/>
        <v>59</v>
      </c>
    </row>
    <row r="167" spans="1:34" x14ac:dyDescent="0.3">
      <c r="A167" s="41">
        <f t="shared" si="38"/>
        <v>166</v>
      </c>
      <c r="B167" s="27">
        <v>145</v>
      </c>
      <c r="C167" s="28" t="s">
        <v>210</v>
      </c>
      <c r="D167" s="28" t="s">
        <v>13</v>
      </c>
      <c r="E167" s="28" t="s">
        <v>196</v>
      </c>
      <c r="F167" s="28" t="s">
        <v>15</v>
      </c>
      <c r="G167" s="28" t="s">
        <v>73</v>
      </c>
      <c r="H167" s="27">
        <v>0</v>
      </c>
      <c r="I167" s="27">
        <v>59</v>
      </c>
      <c r="J167" s="28" t="s">
        <v>17</v>
      </c>
      <c r="K167" s="27">
        <v>25</v>
      </c>
      <c r="L167" s="28" t="s">
        <v>22</v>
      </c>
      <c r="M167" s="27">
        <v>0</v>
      </c>
      <c r="O167" s="23">
        <v>166</v>
      </c>
      <c r="P167" t="str">
        <f>IF(O167&gt;0,VLOOKUP($O167,Dep!$A:$M,3),"")</f>
        <v>18:05</v>
      </c>
      <c r="Q167" t="str">
        <f>IF(O167&gt;0,VLOOKUP($O167,Dep!$A:$M,6),"")</f>
        <v>BOI</v>
      </c>
      <c r="R167" t="str">
        <f>IF(O167&gt;0,VLOOKUP($O167,Dep!$A:$M,7),"")</f>
        <v>DH4</v>
      </c>
      <c r="S167">
        <f>IF(O167&gt;0,VLOOKUP($O167,Dep!$A:$M,9),"")</f>
        <v>59</v>
      </c>
      <c r="T167" t="str">
        <f>IF(O167&gt;0,VLOOKUP($O167,Dep!$A:$M,10),"")</f>
        <v>NAT</v>
      </c>
      <c r="U167" t="str">
        <f>IF(O167&gt;0,VLOOKUP($O167,Dep!$A:$M,12),"")</f>
        <v>AS</v>
      </c>
      <c r="V167" t="str">
        <f t="shared" si="29"/>
        <v/>
      </c>
      <c r="W167" t="str">
        <f t="shared" si="30"/>
        <v/>
      </c>
      <c r="X167" t="str">
        <f t="shared" si="31"/>
        <v>X</v>
      </c>
      <c r="Y167">
        <f t="shared" si="26"/>
        <v>0</v>
      </c>
      <c r="Z167" t="str">
        <f t="shared" si="32"/>
        <v/>
      </c>
      <c r="AA167" s="20">
        <f t="shared" si="27"/>
        <v>2.083333333333337E-2</v>
      </c>
      <c r="AB167">
        <f t="shared" si="33"/>
        <v>166</v>
      </c>
      <c r="AC167" s="20" t="str">
        <f t="shared" si="34"/>
        <v>17:35</v>
      </c>
      <c r="AD167" s="20" t="str">
        <f t="shared" si="28"/>
        <v>18:05</v>
      </c>
      <c r="AE167" t="str">
        <f>VLOOKUP(G167,ACtypes!A:C,3,FALSE)</f>
        <v>C</v>
      </c>
      <c r="AF167" t="str">
        <f t="shared" si="35"/>
        <v/>
      </c>
      <c r="AG167" t="str">
        <f t="shared" si="36"/>
        <v/>
      </c>
      <c r="AH167">
        <f t="shared" si="37"/>
        <v>59</v>
      </c>
    </row>
    <row r="168" spans="1:34" x14ac:dyDescent="0.3">
      <c r="A168" s="41">
        <f t="shared" si="38"/>
        <v>167</v>
      </c>
      <c r="B168" s="27">
        <v>241</v>
      </c>
      <c r="C168" s="28" t="s">
        <v>315</v>
      </c>
      <c r="D168" s="28" t="s">
        <v>13</v>
      </c>
      <c r="E168" s="28" t="s">
        <v>313</v>
      </c>
      <c r="F168" s="28" t="s">
        <v>15</v>
      </c>
      <c r="G168" s="28" t="s">
        <v>73</v>
      </c>
      <c r="H168" s="27">
        <v>0</v>
      </c>
      <c r="I168" s="27">
        <v>59</v>
      </c>
      <c r="J168" s="28" t="s">
        <v>17</v>
      </c>
      <c r="K168" s="27">
        <v>25</v>
      </c>
      <c r="L168" s="28" t="s">
        <v>22</v>
      </c>
      <c r="M168" s="27">
        <v>0</v>
      </c>
      <c r="O168" s="23">
        <v>167</v>
      </c>
      <c r="P168" t="str">
        <f>IF(O168&gt;0,VLOOKUP($O168,Dep!$A:$M,3),"")</f>
        <v>19:00</v>
      </c>
      <c r="Q168" t="str">
        <f>IF(O168&gt;0,VLOOKUP($O168,Dep!$A:$M,6),"")</f>
        <v>PDX</v>
      </c>
      <c r="R168" t="str">
        <f>IF(O168&gt;0,VLOOKUP($O168,Dep!$A:$M,7),"")</f>
        <v>DH4</v>
      </c>
      <c r="S168">
        <f>IF(O168&gt;0,VLOOKUP($O168,Dep!$A:$M,9),"")</f>
        <v>59</v>
      </c>
      <c r="T168" t="str">
        <f>IF(O168&gt;0,VLOOKUP($O168,Dep!$A:$M,10),"")</f>
        <v>NAT</v>
      </c>
      <c r="U168" t="str">
        <f>IF(O168&gt;0,VLOOKUP($O168,Dep!$A:$M,12),"")</f>
        <v>AS</v>
      </c>
      <c r="V168" t="str">
        <f t="shared" si="29"/>
        <v/>
      </c>
      <c r="W168" t="str">
        <f t="shared" si="30"/>
        <v/>
      </c>
      <c r="X168" t="str">
        <f t="shared" si="31"/>
        <v>X</v>
      </c>
      <c r="Y168">
        <f t="shared" si="26"/>
        <v>0</v>
      </c>
      <c r="Z168" t="str">
        <f t="shared" si="32"/>
        <v/>
      </c>
      <c r="AA168" s="20">
        <f t="shared" si="27"/>
        <v>3.4722222222222099E-2</v>
      </c>
      <c r="AB168">
        <f t="shared" si="33"/>
        <v>167</v>
      </c>
      <c r="AC168" s="20" t="str">
        <f t="shared" si="34"/>
        <v>18:10</v>
      </c>
      <c r="AD168" s="20" t="str">
        <f t="shared" si="28"/>
        <v>19:00</v>
      </c>
      <c r="AE168" t="str">
        <f>VLOOKUP(G168,ACtypes!A:C,3,FALSE)</f>
        <v>C</v>
      </c>
      <c r="AF168" t="str">
        <f t="shared" si="35"/>
        <v/>
      </c>
      <c r="AG168" t="str">
        <f t="shared" si="36"/>
        <v/>
      </c>
      <c r="AH168">
        <f t="shared" si="37"/>
        <v>59</v>
      </c>
    </row>
    <row r="169" spans="1:34" x14ac:dyDescent="0.3">
      <c r="A169" s="41">
        <f t="shared" si="38"/>
        <v>168</v>
      </c>
      <c r="B169" s="27">
        <v>989</v>
      </c>
      <c r="C169" s="28" t="s">
        <v>489</v>
      </c>
      <c r="D169" s="28" t="s">
        <v>13</v>
      </c>
      <c r="E169" s="28" t="s">
        <v>490</v>
      </c>
      <c r="F169" s="28" t="s">
        <v>15</v>
      </c>
      <c r="G169" s="28" t="s">
        <v>73</v>
      </c>
      <c r="H169" s="27">
        <v>0</v>
      </c>
      <c r="I169" s="27">
        <v>59</v>
      </c>
      <c r="J169" s="28" t="s">
        <v>28</v>
      </c>
      <c r="K169" s="27">
        <v>25</v>
      </c>
      <c r="L169" s="28" t="s">
        <v>22</v>
      </c>
      <c r="M169" s="27">
        <v>0</v>
      </c>
      <c r="O169" s="23">
        <v>168</v>
      </c>
      <c r="P169" t="str">
        <f>IF(O169&gt;0,VLOOKUP($O169,Dep!$A:$M,3),"")</f>
        <v>19:30</v>
      </c>
      <c r="Q169" t="str">
        <f>IF(O169&gt;0,VLOOKUP($O169,Dep!$A:$M,6),"")</f>
        <v>GEG</v>
      </c>
      <c r="R169" t="str">
        <f>IF(O169&gt;0,VLOOKUP($O169,Dep!$A:$M,7),"")</f>
        <v>DH4</v>
      </c>
      <c r="S169">
        <f>IF(O169&gt;0,VLOOKUP($O169,Dep!$A:$M,9),"")</f>
        <v>59</v>
      </c>
      <c r="T169" t="str">
        <f>IF(O169&gt;0,VLOOKUP($O169,Dep!$A:$M,10),"")</f>
        <v>NAT</v>
      </c>
      <c r="U169" t="str">
        <f>IF(O169&gt;0,VLOOKUP($O169,Dep!$A:$M,12),"")</f>
        <v>AS</v>
      </c>
      <c r="V169" t="str">
        <f t="shared" si="29"/>
        <v/>
      </c>
      <c r="W169" t="str">
        <f t="shared" si="30"/>
        <v/>
      </c>
      <c r="X169" t="str">
        <f t="shared" si="31"/>
        <v>X</v>
      </c>
      <c r="Y169">
        <f t="shared" si="26"/>
        <v>0</v>
      </c>
      <c r="Z169" t="str">
        <f t="shared" si="32"/>
        <v/>
      </c>
      <c r="AA169" s="20">
        <f t="shared" si="27"/>
        <v>4.166666666666663E-2</v>
      </c>
      <c r="AB169">
        <f t="shared" si="33"/>
        <v>168</v>
      </c>
      <c r="AC169" s="20" t="str">
        <f t="shared" si="34"/>
        <v>18:30</v>
      </c>
      <c r="AD169" s="20" t="str">
        <f t="shared" si="28"/>
        <v>19:30</v>
      </c>
      <c r="AE169" t="str">
        <f>VLOOKUP(G169,ACtypes!A:C,3,FALSE)</f>
        <v>C</v>
      </c>
      <c r="AF169">
        <f t="shared" si="35"/>
        <v>1</v>
      </c>
      <c r="AG169" t="str">
        <f t="shared" si="36"/>
        <v/>
      </c>
      <c r="AH169">
        <f t="shared" si="37"/>
        <v>59</v>
      </c>
    </row>
    <row r="170" spans="1:34" x14ac:dyDescent="0.3">
      <c r="A170" s="41">
        <f t="shared" si="38"/>
        <v>169</v>
      </c>
      <c r="B170" s="27">
        <v>953</v>
      </c>
      <c r="C170" s="28" t="s">
        <v>529</v>
      </c>
      <c r="D170" s="28" t="s">
        <v>13</v>
      </c>
      <c r="E170" s="28" t="s">
        <v>530</v>
      </c>
      <c r="F170" s="28" t="s">
        <v>15</v>
      </c>
      <c r="G170" s="28" t="s">
        <v>73</v>
      </c>
      <c r="H170" s="27">
        <v>0</v>
      </c>
      <c r="I170" s="27">
        <v>59</v>
      </c>
      <c r="J170" s="28" t="s">
        <v>28</v>
      </c>
      <c r="K170" s="27">
        <v>25</v>
      </c>
      <c r="L170" s="28" t="s">
        <v>22</v>
      </c>
      <c r="M170" s="27">
        <v>0</v>
      </c>
      <c r="O170" s="23">
        <v>169</v>
      </c>
      <c r="P170" t="str">
        <f>IF(O170&gt;0,VLOOKUP($O170,Dep!$A:$M,3),"")</f>
        <v>20:00</v>
      </c>
      <c r="Q170" t="str">
        <f>IF(O170&gt;0,VLOOKUP($O170,Dep!$A:$M,6),"")</f>
        <v>BZN</v>
      </c>
      <c r="R170" t="str">
        <f>IF(O170&gt;0,VLOOKUP($O170,Dep!$A:$M,7),"")</f>
        <v>DH4</v>
      </c>
      <c r="S170">
        <f>IF(O170&gt;0,VLOOKUP($O170,Dep!$A:$M,9),"")</f>
        <v>59</v>
      </c>
      <c r="T170" t="str">
        <f>IF(O170&gt;0,VLOOKUP($O170,Dep!$A:$M,10),"")</f>
        <v>NAT</v>
      </c>
      <c r="U170" t="str">
        <f>IF(O170&gt;0,VLOOKUP($O170,Dep!$A:$M,12),"")</f>
        <v>AS</v>
      </c>
      <c r="V170" t="str">
        <f t="shared" si="29"/>
        <v/>
      </c>
      <c r="W170" t="str">
        <f t="shared" si="30"/>
        <v/>
      </c>
      <c r="X170" t="str">
        <f t="shared" si="31"/>
        <v>X</v>
      </c>
      <c r="Y170">
        <f t="shared" si="26"/>
        <v>0</v>
      </c>
      <c r="Z170" t="str">
        <f t="shared" si="32"/>
        <v/>
      </c>
      <c r="AA170" s="20">
        <f t="shared" si="27"/>
        <v>4.1666666666666741E-2</v>
      </c>
      <c r="AB170">
        <f t="shared" si="33"/>
        <v>169</v>
      </c>
      <c r="AC170" s="20" t="str">
        <f t="shared" si="34"/>
        <v>19:00</v>
      </c>
      <c r="AD170" s="20" t="str">
        <f t="shared" si="28"/>
        <v>20:00</v>
      </c>
      <c r="AE170" t="str">
        <f>VLOOKUP(G170,ACtypes!A:C,3,FALSE)</f>
        <v>C</v>
      </c>
      <c r="AF170">
        <f t="shared" si="35"/>
        <v>1</v>
      </c>
      <c r="AG170" t="str">
        <f t="shared" si="36"/>
        <v/>
      </c>
      <c r="AH170">
        <f t="shared" si="37"/>
        <v>59</v>
      </c>
    </row>
    <row r="171" spans="1:34" x14ac:dyDescent="0.3">
      <c r="A171" s="41">
        <f t="shared" si="38"/>
        <v>170</v>
      </c>
      <c r="B171" s="27">
        <v>138</v>
      </c>
      <c r="C171" s="28" t="s">
        <v>205</v>
      </c>
      <c r="D171" s="28" t="s">
        <v>13</v>
      </c>
      <c r="E171" s="28" t="s">
        <v>196</v>
      </c>
      <c r="F171" s="28" t="s">
        <v>15</v>
      </c>
      <c r="G171" s="28" t="s">
        <v>73</v>
      </c>
      <c r="H171" s="27">
        <v>0</v>
      </c>
      <c r="I171" s="27">
        <v>59</v>
      </c>
      <c r="J171" s="28" t="s">
        <v>17</v>
      </c>
      <c r="K171" s="27">
        <v>25</v>
      </c>
      <c r="L171" s="28" t="s">
        <v>22</v>
      </c>
      <c r="M171" s="27">
        <v>0</v>
      </c>
      <c r="O171" s="23">
        <v>170</v>
      </c>
      <c r="P171" t="str">
        <f>IF(O171&gt;0,VLOOKUP($O171,Dep!$A:$M,3),"")</f>
        <v>20:30</v>
      </c>
      <c r="Q171" t="str">
        <f>IF(O171&gt;0,VLOOKUP($O171,Dep!$A:$M,6),"")</f>
        <v>PDX</v>
      </c>
      <c r="R171" t="str">
        <f>IF(O171&gt;0,VLOOKUP($O171,Dep!$A:$M,7),"")</f>
        <v>DH4</v>
      </c>
      <c r="S171">
        <f>IF(O171&gt;0,VLOOKUP($O171,Dep!$A:$M,9),"")</f>
        <v>59</v>
      </c>
      <c r="T171" t="str">
        <f>IF(O171&gt;0,VLOOKUP($O171,Dep!$A:$M,10),"")</f>
        <v>NAT</v>
      </c>
      <c r="U171" t="str">
        <f>IF(O171&gt;0,VLOOKUP($O171,Dep!$A:$M,12),"")</f>
        <v>AS</v>
      </c>
      <c r="V171" t="str">
        <f t="shared" si="29"/>
        <v/>
      </c>
      <c r="W171" t="str">
        <f t="shared" si="30"/>
        <v/>
      </c>
      <c r="X171" t="str">
        <f t="shared" si="31"/>
        <v>X</v>
      </c>
      <c r="Y171">
        <f t="shared" si="26"/>
        <v>0</v>
      </c>
      <c r="Z171" t="str">
        <f t="shared" si="32"/>
        <v/>
      </c>
      <c r="AA171" s="20">
        <f t="shared" si="27"/>
        <v>4.0972222222222188E-2</v>
      </c>
      <c r="AB171">
        <f t="shared" si="33"/>
        <v>170</v>
      </c>
      <c r="AC171" s="20" t="str">
        <f t="shared" si="34"/>
        <v>19:31</v>
      </c>
      <c r="AD171" s="20" t="str">
        <f t="shared" si="28"/>
        <v>20:30</v>
      </c>
      <c r="AE171" t="str">
        <f>VLOOKUP(G171,ACtypes!A:C,3,FALSE)</f>
        <v>C</v>
      </c>
      <c r="AF171" t="str">
        <f t="shared" si="35"/>
        <v/>
      </c>
      <c r="AG171" t="str">
        <f t="shared" si="36"/>
        <v/>
      </c>
      <c r="AH171">
        <f t="shared" si="37"/>
        <v>59</v>
      </c>
    </row>
    <row r="172" spans="1:34" x14ac:dyDescent="0.3">
      <c r="A172" s="41">
        <f t="shared" si="38"/>
        <v>171</v>
      </c>
      <c r="B172" s="27">
        <v>301</v>
      </c>
      <c r="C172" s="28" t="s">
        <v>374</v>
      </c>
      <c r="D172" s="28" t="s">
        <v>13</v>
      </c>
      <c r="E172" s="28" t="s">
        <v>366</v>
      </c>
      <c r="F172" s="28" t="s">
        <v>15</v>
      </c>
      <c r="G172" s="28" t="s">
        <v>73</v>
      </c>
      <c r="H172" s="27">
        <v>0</v>
      </c>
      <c r="I172" s="27">
        <v>59</v>
      </c>
      <c r="J172" s="28" t="s">
        <v>17</v>
      </c>
      <c r="K172" s="27">
        <v>25</v>
      </c>
      <c r="L172" s="28" t="s">
        <v>22</v>
      </c>
      <c r="M172" s="27">
        <v>0</v>
      </c>
      <c r="O172" s="23">
        <v>171</v>
      </c>
      <c r="P172" t="str">
        <f>IF(O172&gt;0,VLOOKUP($O172,Dep!$A:$M,3),"")</f>
        <v>20:40</v>
      </c>
      <c r="Q172" t="str">
        <f>IF(O172&gt;0,VLOOKUP($O172,Dep!$A:$M,6),"")</f>
        <v>GTF</v>
      </c>
      <c r="R172" t="str">
        <f>IF(O172&gt;0,VLOOKUP($O172,Dep!$A:$M,7),"")</f>
        <v>DH4</v>
      </c>
      <c r="S172">
        <f>IF(O172&gt;0,VLOOKUP($O172,Dep!$A:$M,9),"")</f>
        <v>59</v>
      </c>
      <c r="T172" t="str">
        <f>IF(O172&gt;0,VLOOKUP($O172,Dep!$A:$M,10),"")</f>
        <v>NAT</v>
      </c>
      <c r="U172" t="str">
        <f>IF(O172&gt;0,VLOOKUP($O172,Dep!$A:$M,12),"")</f>
        <v>AS</v>
      </c>
      <c r="V172" t="str">
        <f t="shared" si="29"/>
        <v/>
      </c>
      <c r="W172" t="str">
        <f t="shared" si="30"/>
        <v/>
      </c>
      <c r="X172" t="str">
        <f t="shared" si="31"/>
        <v>X</v>
      </c>
      <c r="Y172">
        <f t="shared" si="26"/>
        <v>0</v>
      </c>
      <c r="Z172" t="str">
        <f t="shared" si="32"/>
        <v/>
      </c>
      <c r="AA172" s="20">
        <f t="shared" si="27"/>
        <v>3.6805555555555536E-2</v>
      </c>
      <c r="AB172">
        <f t="shared" si="33"/>
        <v>171</v>
      </c>
      <c r="AC172" s="20" t="str">
        <f t="shared" si="34"/>
        <v>19:47</v>
      </c>
      <c r="AD172" s="20" t="str">
        <f t="shared" si="28"/>
        <v>20:40</v>
      </c>
      <c r="AE172" t="str">
        <f>VLOOKUP(G172,ACtypes!A:C,3,FALSE)</f>
        <v>C</v>
      </c>
      <c r="AF172" t="str">
        <f t="shared" si="35"/>
        <v/>
      </c>
      <c r="AG172" t="str">
        <f t="shared" si="36"/>
        <v/>
      </c>
      <c r="AH172">
        <f t="shared" si="37"/>
        <v>59</v>
      </c>
    </row>
    <row r="173" spans="1:34" x14ac:dyDescent="0.3">
      <c r="A173" s="41">
        <f t="shared" si="38"/>
        <v>172</v>
      </c>
      <c r="B173" s="27">
        <v>33</v>
      </c>
      <c r="C173" s="28" t="s">
        <v>71</v>
      </c>
      <c r="D173" s="28" t="s">
        <v>13</v>
      </c>
      <c r="E173" s="28" t="s">
        <v>72</v>
      </c>
      <c r="F173" s="28" t="s">
        <v>15</v>
      </c>
      <c r="G173" s="28" t="s">
        <v>73</v>
      </c>
      <c r="H173" s="27">
        <v>0</v>
      </c>
      <c r="I173" s="27">
        <v>59</v>
      </c>
      <c r="J173" s="28" t="s">
        <v>17</v>
      </c>
      <c r="K173" s="27">
        <v>25</v>
      </c>
      <c r="L173" s="28" t="s">
        <v>22</v>
      </c>
      <c r="M173" s="27">
        <v>0</v>
      </c>
      <c r="O173" s="23">
        <v>172</v>
      </c>
      <c r="P173" t="str">
        <f>IF(O173&gt;0,VLOOKUP($O173,Dep!$A:$M,3),"")</f>
        <v>20:40</v>
      </c>
      <c r="Q173" t="str">
        <f>IF(O173&gt;0,VLOOKUP($O173,Dep!$A:$M,6),"")</f>
        <v>MSO</v>
      </c>
      <c r="R173" t="str">
        <f>IF(O173&gt;0,VLOOKUP($O173,Dep!$A:$M,7),"")</f>
        <v>DH4</v>
      </c>
      <c r="S173">
        <f>IF(O173&gt;0,VLOOKUP($O173,Dep!$A:$M,9),"")</f>
        <v>59</v>
      </c>
      <c r="T173" t="str">
        <f>IF(O173&gt;0,VLOOKUP($O173,Dep!$A:$M,10),"")</f>
        <v>NAT</v>
      </c>
      <c r="U173" t="str">
        <f>IF(O173&gt;0,VLOOKUP($O173,Dep!$A:$M,12),"")</f>
        <v>AS</v>
      </c>
      <c r="V173" t="str">
        <f t="shared" si="29"/>
        <v/>
      </c>
      <c r="W173" t="str">
        <f t="shared" si="30"/>
        <v/>
      </c>
      <c r="X173" t="str">
        <f t="shared" si="31"/>
        <v>X</v>
      </c>
      <c r="Y173">
        <f t="shared" si="26"/>
        <v>0</v>
      </c>
      <c r="Z173" t="str">
        <f t="shared" si="32"/>
        <v/>
      </c>
      <c r="AA173" s="20">
        <f t="shared" si="27"/>
        <v>2.777777777777779E-2</v>
      </c>
      <c r="AB173">
        <f t="shared" si="33"/>
        <v>172</v>
      </c>
      <c r="AC173" s="20" t="str">
        <f t="shared" si="34"/>
        <v>20:00</v>
      </c>
      <c r="AD173" s="20" t="str">
        <f t="shared" si="28"/>
        <v>20:40</v>
      </c>
      <c r="AE173" t="str">
        <f>VLOOKUP(G173,ACtypes!A:C,3,FALSE)</f>
        <v>C</v>
      </c>
      <c r="AF173" t="str">
        <f t="shared" si="35"/>
        <v/>
      </c>
      <c r="AG173" t="str">
        <f t="shared" si="36"/>
        <v/>
      </c>
      <c r="AH173">
        <f t="shared" si="37"/>
        <v>59</v>
      </c>
    </row>
    <row r="174" spans="1:34" x14ac:dyDescent="0.3">
      <c r="A174" s="41">
        <f t="shared" si="38"/>
        <v>173</v>
      </c>
      <c r="B174" s="27">
        <v>59</v>
      </c>
      <c r="C174" s="28" t="s">
        <v>75</v>
      </c>
      <c r="D174" s="28" t="s">
        <v>13</v>
      </c>
      <c r="E174" s="28" t="s">
        <v>105</v>
      </c>
      <c r="F174" s="28" t="s">
        <v>15</v>
      </c>
      <c r="G174" s="28" t="s">
        <v>73</v>
      </c>
      <c r="H174" s="27">
        <v>0</v>
      </c>
      <c r="I174" s="27">
        <v>59</v>
      </c>
      <c r="J174" s="28" t="s">
        <v>17</v>
      </c>
      <c r="K174" s="27">
        <v>25</v>
      </c>
      <c r="L174" s="28" t="s">
        <v>22</v>
      </c>
      <c r="M174" s="27">
        <v>0</v>
      </c>
      <c r="O174" s="23">
        <v>173</v>
      </c>
      <c r="P174" t="str">
        <f>IF(O174&gt;0,VLOOKUP($O174,Dep!$A:$M,3),"")</f>
        <v>20:45</v>
      </c>
      <c r="Q174" t="str">
        <f>IF(O174&gt;0,VLOOKUP($O174,Dep!$A:$M,6),"")</f>
        <v>YEG</v>
      </c>
      <c r="R174" t="str">
        <f>IF(O174&gt;0,VLOOKUP($O174,Dep!$A:$M,7),"")</f>
        <v>DH4</v>
      </c>
      <c r="S174">
        <f>IF(O174&gt;0,VLOOKUP($O174,Dep!$A:$M,9),"")</f>
        <v>59</v>
      </c>
      <c r="T174" t="str">
        <f>IF(O174&gt;0,VLOOKUP($O174,Dep!$A:$M,10),"")</f>
        <v>INT</v>
      </c>
      <c r="U174" t="str">
        <f>IF(O174&gt;0,VLOOKUP($O174,Dep!$A:$M,12),"")</f>
        <v>AS</v>
      </c>
      <c r="V174" t="str">
        <f t="shared" si="29"/>
        <v/>
      </c>
      <c r="W174" t="str">
        <f t="shared" si="30"/>
        <v/>
      </c>
      <c r="X174" t="str">
        <f t="shared" si="31"/>
        <v>X</v>
      </c>
      <c r="Y174">
        <f t="shared" si="26"/>
        <v>0</v>
      </c>
      <c r="Z174" t="str">
        <f t="shared" si="32"/>
        <v/>
      </c>
      <c r="AA174" s="20">
        <f t="shared" si="27"/>
        <v>2.430555555555558E-2</v>
      </c>
      <c r="AB174">
        <f t="shared" si="33"/>
        <v>173</v>
      </c>
      <c r="AC174" s="20" t="str">
        <f t="shared" si="34"/>
        <v>20:10</v>
      </c>
      <c r="AD174" s="20" t="str">
        <f t="shared" si="28"/>
        <v>20:45</v>
      </c>
      <c r="AE174" t="str">
        <f>VLOOKUP(G174,ACtypes!A:C,3,FALSE)</f>
        <v>C</v>
      </c>
      <c r="AF174" t="str">
        <f t="shared" si="35"/>
        <v/>
      </c>
      <c r="AG174">
        <f t="shared" si="36"/>
        <v>1</v>
      </c>
      <c r="AH174">
        <f t="shared" si="37"/>
        <v>59</v>
      </c>
    </row>
    <row r="175" spans="1:34" x14ac:dyDescent="0.3">
      <c r="A175" s="41">
        <f t="shared" si="38"/>
        <v>174</v>
      </c>
      <c r="B175" s="27">
        <v>124</v>
      </c>
      <c r="C175" s="28" t="s">
        <v>75</v>
      </c>
      <c r="D175" s="28" t="s">
        <v>13</v>
      </c>
      <c r="E175" s="28" t="s">
        <v>188</v>
      </c>
      <c r="F175" s="28" t="s">
        <v>15</v>
      </c>
      <c r="G175" s="28" t="s">
        <v>73</v>
      </c>
      <c r="H175" s="27">
        <v>0</v>
      </c>
      <c r="I175" s="27">
        <v>59</v>
      </c>
      <c r="J175" s="28" t="s">
        <v>17</v>
      </c>
      <c r="K175" s="27">
        <v>25</v>
      </c>
      <c r="L175" s="28" t="s">
        <v>22</v>
      </c>
      <c r="M175" s="27">
        <v>0</v>
      </c>
      <c r="O175" s="23">
        <v>174</v>
      </c>
      <c r="P175" t="str">
        <f>IF(O175&gt;0,VLOOKUP($O175,Dep!$A:$M,3),"")</f>
        <v>20:55</v>
      </c>
      <c r="Q175" t="str">
        <f>IF(O175&gt;0,VLOOKUP($O175,Dep!$A:$M,6),"")</f>
        <v>BIL</v>
      </c>
      <c r="R175" t="str">
        <f>IF(O175&gt;0,VLOOKUP($O175,Dep!$A:$M,7),"")</f>
        <v>DH4</v>
      </c>
      <c r="S175">
        <f>IF(O175&gt;0,VLOOKUP($O175,Dep!$A:$M,9),"")</f>
        <v>59</v>
      </c>
      <c r="T175" t="str">
        <f>IF(O175&gt;0,VLOOKUP($O175,Dep!$A:$M,10),"")</f>
        <v>NAT</v>
      </c>
      <c r="U175" t="str">
        <f>IF(O175&gt;0,VLOOKUP($O175,Dep!$A:$M,12),"")</f>
        <v>AS</v>
      </c>
      <c r="V175" t="str">
        <f t="shared" si="29"/>
        <v/>
      </c>
      <c r="W175" t="str">
        <f t="shared" si="30"/>
        <v/>
      </c>
      <c r="X175" t="str">
        <f t="shared" si="31"/>
        <v>X</v>
      </c>
      <c r="Y175">
        <f t="shared" si="26"/>
        <v>0</v>
      </c>
      <c r="Z175" t="str">
        <f t="shared" si="32"/>
        <v/>
      </c>
      <c r="AA175" s="20">
        <f t="shared" si="27"/>
        <v>3.125E-2</v>
      </c>
      <c r="AB175">
        <f t="shared" si="33"/>
        <v>174</v>
      </c>
      <c r="AC175" s="20" t="str">
        <f t="shared" si="34"/>
        <v>20:10</v>
      </c>
      <c r="AD175" s="20" t="str">
        <f t="shared" si="28"/>
        <v>20:55</v>
      </c>
      <c r="AE175" t="str">
        <f>VLOOKUP(G175,ACtypes!A:C,3,FALSE)</f>
        <v>C</v>
      </c>
      <c r="AF175" t="str">
        <f t="shared" si="35"/>
        <v/>
      </c>
      <c r="AG175" t="str">
        <f t="shared" si="36"/>
        <v/>
      </c>
      <c r="AH175">
        <f t="shared" si="37"/>
        <v>59</v>
      </c>
    </row>
    <row r="176" spans="1:34" x14ac:dyDescent="0.3">
      <c r="A176" s="41">
        <f t="shared" si="38"/>
        <v>175</v>
      </c>
      <c r="B176" s="27">
        <v>947</v>
      </c>
      <c r="C176" s="28" t="s">
        <v>519</v>
      </c>
      <c r="D176" s="28" t="s">
        <v>13</v>
      </c>
      <c r="E176" s="28" t="s">
        <v>520</v>
      </c>
      <c r="F176" s="28" t="s">
        <v>15</v>
      </c>
      <c r="G176" s="28" t="s">
        <v>73</v>
      </c>
      <c r="H176" s="27">
        <v>0</v>
      </c>
      <c r="I176" s="27">
        <v>59</v>
      </c>
      <c r="J176" s="28" t="s">
        <v>17</v>
      </c>
      <c r="K176" s="27">
        <v>25</v>
      </c>
      <c r="L176" s="28" t="s">
        <v>22</v>
      </c>
      <c r="M176" s="27">
        <v>0</v>
      </c>
      <c r="O176" s="23">
        <v>175</v>
      </c>
      <c r="P176" t="str">
        <f>IF(O176&gt;0,VLOOKUP($O176,Dep!$A:$M,3),"")</f>
        <v>21:10</v>
      </c>
      <c r="Q176" t="str">
        <f>IF(O176&gt;0,VLOOKUP($O176,Dep!$A:$M,6),"")</f>
        <v>FCA</v>
      </c>
      <c r="R176" t="str">
        <f>IF(O176&gt;0,VLOOKUP($O176,Dep!$A:$M,7),"")</f>
        <v>DH4</v>
      </c>
      <c r="S176">
        <f>IF(O176&gt;0,VLOOKUP($O176,Dep!$A:$M,9),"")</f>
        <v>59</v>
      </c>
      <c r="T176" t="str">
        <f>IF(O176&gt;0,VLOOKUP($O176,Dep!$A:$M,10),"")</f>
        <v>NAT</v>
      </c>
      <c r="U176" t="str">
        <f>IF(O176&gt;0,VLOOKUP($O176,Dep!$A:$M,12),"")</f>
        <v>AS</v>
      </c>
      <c r="V176" t="str">
        <f t="shared" si="29"/>
        <v/>
      </c>
      <c r="W176" t="str">
        <f t="shared" si="30"/>
        <v/>
      </c>
      <c r="X176" t="str">
        <f t="shared" si="31"/>
        <v>X</v>
      </c>
      <c r="Y176">
        <f t="shared" si="26"/>
        <v>0</v>
      </c>
      <c r="Z176" t="str">
        <f t="shared" si="32"/>
        <v/>
      </c>
      <c r="AA176" s="20">
        <f t="shared" si="27"/>
        <v>2.7777777777777901E-2</v>
      </c>
      <c r="AB176">
        <f t="shared" si="33"/>
        <v>175</v>
      </c>
      <c r="AC176" s="20" t="str">
        <f t="shared" si="34"/>
        <v>20:30</v>
      </c>
      <c r="AD176" s="20" t="str">
        <f t="shared" si="28"/>
        <v>21:10</v>
      </c>
      <c r="AE176" t="str">
        <f>VLOOKUP(G176,ACtypes!A:C,3,FALSE)</f>
        <v>C</v>
      </c>
      <c r="AF176" t="str">
        <f t="shared" si="35"/>
        <v/>
      </c>
      <c r="AG176" t="str">
        <f t="shared" si="36"/>
        <v/>
      </c>
      <c r="AH176">
        <f t="shared" si="37"/>
        <v>59</v>
      </c>
    </row>
    <row r="177" spans="1:34" x14ac:dyDescent="0.3">
      <c r="A177" s="41">
        <f t="shared" si="38"/>
        <v>176</v>
      </c>
      <c r="B177" s="27">
        <v>238</v>
      </c>
      <c r="C177" s="28" t="s">
        <v>179</v>
      </c>
      <c r="D177" s="28" t="s">
        <v>13</v>
      </c>
      <c r="E177" s="28" t="s">
        <v>313</v>
      </c>
      <c r="F177" s="28" t="s">
        <v>15</v>
      </c>
      <c r="G177" s="28" t="s">
        <v>73</v>
      </c>
      <c r="H177" s="27">
        <v>0</v>
      </c>
      <c r="I177" s="27">
        <v>59</v>
      </c>
      <c r="J177" s="28" t="s">
        <v>17</v>
      </c>
      <c r="K177" s="27">
        <v>25</v>
      </c>
      <c r="L177" s="28" t="s">
        <v>22</v>
      </c>
      <c r="M177" s="27">
        <v>0</v>
      </c>
      <c r="O177" s="23">
        <v>176</v>
      </c>
      <c r="P177" t="str">
        <f>IF(O177&gt;0,VLOOKUP($O177,Dep!$A:$M,3),"")</f>
        <v>22:00</v>
      </c>
      <c r="Q177" t="str">
        <f>IF(O177&gt;0,VLOOKUP($O177,Dep!$A:$M,6),"")</f>
        <v>PDX</v>
      </c>
      <c r="R177" t="str">
        <f>IF(O177&gt;0,VLOOKUP($O177,Dep!$A:$M,7),"")</f>
        <v>DH4</v>
      </c>
      <c r="S177">
        <f>IF(O177&gt;0,VLOOKUP($O177,Dep!$A:$M,9),"")</f>
        <v>59</v>
      </c>
      <c r="T177" t="str">
        <f>IF(O177&gt;0,VLOOKUP($O177,Dep!$A:$M,10),"")</f>
        <v>NAT</v>
      </c>
      <c r="U177" t="str">
        <f>IF(O177&gt;0,VLOOKUP($O177,Dep!$A:$M,12),"")</f>
        <v>AS</v>
      </c>
      <c r="V177" t="str">
        <f t="shared" si="29"/>
        <v/>
      </c>
      <c r="W177" t="str">
        <f t="shared" si="30"/>
        <v/>
      </c>
      <c r="X177" t="str">
        <f t="shared" si="31"/>
        <v>X</v>
      </c>
      <c r="Y177">
        <f t="shared" si="26"/>
        <v>0</v>
      </c>
      <c r="Z177" t="str">
        <f t="shared" si="32"/>
        <v/>
      </c>
      <c r="AA177" s="20">
        <f t="shared" si="27"/>
        <v>5.902777777777779E-2</v>
      </c>
      <c r="AB177">
        <f t="shared" si="33"/>
        <v>176</v>
      </c>
      <c r="AC177" s="20" t="str">
        <f t="shared" si="34"/>
        <v>20:35</v>
      </c>
      <c r="AD177" s="20" t="str">
        <f t="shared" si="28"/>
        <v>22:00</v>
      </c>
      <c r="AE177" t="str">
        <f>VLOOKUP(G177,ACtypes!A:C,3,FALSE)</f>
        <v>C</v>
      </c>
      <c r="AF177" t="str">
        <f t="shared" si="35"/>
        <v/>
      </c>
      <c r="AG177" t="str">
        <f t="shared" si="36"/>
        <v/>
      </c>
      <c r="AH177">
        <f t="shared" si="37"/>
        <v>59</v>
      </c>
    </row>
    <row r="178" spans="1:34" x14ac:dyDescent="0.3">
      <c r="A178" s="41">
        <f t="shared" si="38"/>
        <v>177</v>
      </c>
      <c r="B178" s="27">
        <v>51</v>
      </c>
      <c r="C178" s="28" t="s">
        <v>94</v>
      </c>
      <c r="D178" s="28" t="s">
        <v>13</v>
      </c>
      <c r="E178" s="28" t="s">
        <v>86</v>
      </c>
      <c r="F178" s="28" t="s">
        <v>15</v>
      </c>
      <c r="G178" s="28" t="s">
        <v>73</v>
      </c>
      <c r="H178" s="27">
        <v>0</v>
      </c>
      <c r="I178" s="27">
        <v>59</v>
      </c>
      <c r="J178" s="28" t="s">
        <v>17</v>
      </c>
      <c r="K178" s="27">
        <v>25</v>
      </c>
      <c r="L178" s="28" t="s">
        <v>22</v>
      </c>
      <c r="M178" s="27">
        <v>0</v>
      </c>
      <c r="O178" s="23">
        <v>177</v>
      </c>
      <c r="P178" t="str">
        <f>IF(O178&gt;0,VLOOKUP($O178,Dep!$A:$M,3),"")</f>
        <v>22:45</v>
      </c>
      <c r="Q178" t="str">
        <f>IF(O178&gt;0,VLOOKUP($O178,Dep!$A:$M,6),"")</f>
        <v>PDX</v>
      </c>
      <c r="R178" t="str">
        <f>IF(O178&gt;0,VLOOKUP($O178,Dep!$A:$M,7),"")</f>
        <v>DH4</v>
      </c>
      <c r="S178">
        <f>IF(O178&gt;0,VLOOKUP($O178,Dep!$A:$M,9),"")</f>
        <v>59</v>
      </c>
      <c r="T178" t="str">
        <f>IF(O178&gt;0,VLOOKUP($O178,Dep!$A:$M,10),"")</f>
        <v>NAT</v>
      </c>
      <c r="U178" t="str">
        <f>IF(O178&gt;0,VLOOKUP($O178,Dep!$A:$M,12),"")</f>
        <v>AS</v>
      </c>
      <c r="V178" t="str">
        <f t="shared" si="29"/>
        <v/>
      </c>
      <c r="W178" t="str">
        <f t="shared" si="30"/>
        <v/>
      </c>
      <c r="X178" t="str">
        <f t="shared" si="31"/>
        <v>X</v>
      </c>
      <c r="Y178">
        <f t="shared" si="26"/>
        <v>0</v>
      </c>
      <c r="Z178" t="str">
        <f t="shared" si="32"/>
        <v/>
      </c>
      <c r="AA178" s="20">
        <f t="shared" si="27"/>
        <v>5.2083333333333259E-2</v>
      </c>
      <c r="AB178">
        <f t="shared" si="33"/>
        <v>177</v>
      </c>
      <c r="AC178" s="20" t="str">
        <f t="shared" si="34"/>
        <v>21:30</v>
      </c>
      <c r="AD178" s="20" t="str">
        <f t="shared" si="28"/>
        <v>22:45</v>
      </c>
      <c r="AE178" t="str">
        <f>VLOOKUP(G178,ACtypes!A:C,3,FALSE)</f>
        <v>C</v>
      </c>
      <c r="AF178" t="str">
        <f t="shared" si="35"/>
        <v/>
      </c>
      <c r="AG178" t="str">
        <f t="shared" si="36"/>
        <v/>
      </c>
      <c r="AH178">
        <f t="shared" si="37"/>
        <v>59</v>
      </c>
    </row>
    <row r="179" spans="1:34" x14ac:dyDescent="0.3">
      <c r="A179" s="41">
        <f t="shared" si="38"/>
        <v>178</v>
      </c>
      <c r="B179" s="27">
        <v>151</v>
      </c>
      <c r="C179" s="28" t="s">
        <v>215</v>
      </c>
      <c r="D179" s="28" t="s">
        <v>13</v>
      </c>
      <c r="E179" s="28" t="s">
        <v>196</v>
      </c>
      <c r="F179" s="28" t="s">
        <v>15</v>
      </c>
      <c r="G179" s="28" t="s">
        <v>73</v>
      </c>
      <c r="H179" s="27">
        <v>0</v>
      </c>
      <c r="I179" s="27">
        <v>59</v>
      </c>
      <c r="J179" s="28" t="s">
        <v>17</v>
      </c>
      <c r="K179" s="27">
        <v>25</v>
      </c>
      <c r="L179" s="28" t="s">
        <v>22</v>
      </c>
      <c r="M179" s="27">
        <v>0</v>
      </c>
      <c r="O179" s="23">
        <v>178</v>
      </c>
      <c r="P179" t="str">
        <f>IF(O179&gt;0,VLOOKUP($O179,Dep!$A:$M,3),"")</f>
        <v>23:00</v>
      </c>
      <c r="Q179" t="str">
        <f>IF(O179&gt;0,VLOOKUP($O179,Dep!$A:$M,6),"")</f>
        <v>GEG</v>
      </c>
      <c r="R179" t="str">
        <f>IF(O179&gt;0,VLOOKUP($O179,Dep!$A:$M,7),"")</f>
        <v>DH4</v>
      </c>
      <c r="S179">
        <f>IF(O179&gt;0,VLOOKUP($O179,Dep!$A:$M,9),"")</f>
        <v>59</v>
      </c>
      <c r="T179" t="str">
        <f>IF(O179&gt;0,VLOOKUP($O179,Dep!$A:$M,10),"")</f>
        <v>NAT</v>
      </c>
      <c r="U179" t="str">
        <f>IF(O179&gt;0,VLOOKUP($O179,Dep!$A:$M,12),"")</f>
        <v>AS</v>
      </c>
      <c r="V179" t="str">
        <f t="shared" si="29"/>
        <v/>
      </c>
      <c r="W179" t="str">
        <f t="shared" si="30"/>
        <v/>
      </c>
      <c r="X179" t="str">
        <f t="shared" si="31"/>
        <v/>
      </c>
      <c r="Y179">
        <f t="shared" si="26"/>
        <v>0</v>
      </c>
      <c r="Z179" t="str">
        <f t="shared" si="32"/>
        <v/>
      </c>
      <c r="AA179" s="20">
        <f t="shared" si="27"/>
        <v>4.0972222222222299E-2</v>
      </c>
      <c r="AB179">
        <f t="shared" si="33"/>
        <v>178</v>
      </c>
      <c r="AC179" s="20" t="str">
        <f t="shared" si="34"/>
        <v>22:01</v>
      </c>
      <c r="AD179" s="20" t="str">
        <f t="shared" si="28"/>
        <v>23:00</v>
      </c>
      <c r="AE179" t="str">
        <f>VLOOKUP(G179,ACtypes!A:C,3,FALSE)</f>
        <v>C</v>
      </c>
      <c r="AF179" t="str">
        <f t="shared" si="35"/>
        <v/>
      </c>
      <c r="AG179" t="str">
        <f t="shared" si="36"/>
        <v/>
      </c>
      <c r="AH179">
        <f t="shared" si="37"/>
        <v>59</v>
      </c>
    </row>
    <row r="180" spans="1:34" x14ac:dyDescent="0.3">
      <c r="A180" s="41">
        <f t="shared" si="38"/>
        <v>179</v>
      </c>
      <c r="B180" s="27">
        <v>39</v>
      </c>
      <c r="C180" s="28" t="s">
        <v>80</v>
      </c>
      <c r="D180" s="28" t="s">
        <v>13</v>
      </c>
      <c r="E180" s="28" t="s">
        <v>76</v>
      </c>
      <c r="F180" s="28" t="s">
        <v>15</v>
      </c>
      <c r="G180" s="28" t="s">
        <v>21</v>
      </c>
      <c r="H180" s="27">
        <v>0</v>
      </c>
      <c r="I180" s="27">
        <v>30</v>
      </c>
      <c r="J180" s="28" t="s">
        <v>17</v>
      </c>
      <c r="K180" s="27">
        <v>25</v>
      </c>
      <c r="L180" s="28" t="s">
        <v>22</v>
      </c>
      <c r="M180" s="27">
        <v>0</v>
      </c>
      <c r="O180" s="23">
        <v>180</v>
      </c>
      <c r="P180" t="str">
        <f>IF(O180&gt;0,VLOOKUP($O180,Dep!$A:$M,3),"")</f>
        <v>06:30</v>
      </c>
      <c r="Q180" t="str">
        <f>IF(O180&gt;0,VLOOKUP($O180,Dep!$A:$M,6),"")</f>
        <v>PDX</v>
      </c>
      <c r="R180" t="str">
        <f>IF(O180&gt;0,VLOOKUP($O180,Dep!$A:$M,7),"")</f>
        <v>DH8</v>
      </c>
      <c r="S180">
        <f>IF(O180&gt;0,VLOOKUP($O180,Dep!$A:$M,9),"")</f>
        <v>30</v>
      </c>
      <c r="T180" t="str">
        <f>IF(O180&gt;0,VLOOKUP($O180,Dep!$A:$M,10),"")</f>
        <v>NAT</v>
      </c>
      <c r="U180" t="str">
        <f>IF(O180&gt;0,VLOOKUP($O180,Dep!$A:$M,12),"")</f>
        <v>AS</v>
      </c>
      <c r="V180" t="str">
        <f t="shared" si="29"/>
        <v/>
      </c>
      <c r="W180" t="str">
        <f t="shared" si="30"/>
        <v/>
      </c>
      <c r="X180" t="str">
        <f t="shared" si="31"/>
        <v>X</v>
      </c>
      <c r="Y180">
        <f t="shared" si="26"/>
        <v>0</v>
      </c>
      <c r="Z180" t="str">
        <f t="shared" si="32"/>
        <v/>
      </c>
      <c r="AA180" s="20">
        <f t="shared" si="27"/>
        <v>2.0833333333333315E-2</v>
      </c>
      <c r="AB180">
        <f t="shared" si="33"/>
        <v>179</v>
      </c>
      <c r="AC180" s="20" t="str">
        <f t="shared" si="34"/>
        <v>06:00</v>
      </c>
      <c r="AD180" s="20" t="str">
        <f t="shared" si="28"/>
        <v>06:30</v>
      </c>
      <c r="AE180" t="str">
        <f>VLOOKUP(G180,ACtypes!A:C,3,FALSE)</f>
        <v>B</v>
      </c>
      <c r="AF180" t="str">
        <f t="shared" si="35"/>
        <v/>
      </c>
      <c r="AG180" t="str">
        <f t="shared" si="36"/>
        <v/>
      </c>
      <c r="AH180">
        <f t="shared" si="37"/>
        <v>30</v>
      </c>
    </row>
    <row r="181" spans="1:34" x14ac:dyDescent="0.3">
      <c r="A181" s="41">
        <f t="shared" si="38"/>
        <v>180</v>
      </c>
      <c r="B181" s="27">
        <v>359</v>
      </c>
      <c r="C181" s="28" t="s">
        <v>80</v>
      </c>
      <c r="D181" s="28" t="s">
        <v>13</v>
      </c>
      <c r="E181" s="28" t="s">
        <v>418</v>
      </c>
      <c r="F181" s="28" t="s">
        <v>15</v>
      </c>
      <c r="G181" s="28" t="s">
        <v>21</v>
      </c>
      <c r="H181" s="27">
        <v>0</v>
      </c>
      <c r="I181" s="27">
        <v>30</v>
      </c>
      <c r="J181" s="28" t="s">
        <v>17</v>
      </c>
      <c r="K181" s="27">
        <v>25</v>
      </c>
      <c r="L181" s="28" t="s">
        <v>22</v>
      </c>
      <c r="M181" s="27">
        <v>0</v>
      </c>
      <c r="O181" s="23">
        <v>181</v>
      </c>
      <c r="P181" t="str">
        <f>IF(O181&gt;0,VLOOKUP($O181,Dep!$A:$M,3),"")</f>
        <v>06:40</v>
      </c>
      <c r="Q181" t="str">
        <f>IF(O181&gt;0,VLOOKUP($O181,Dep!$A:$M,6),"")</f>
        <v>RDM</v>
      </c>
      <c r="R181" t="str">
        <f>IF(O181&gt;0,VLOOKUP($O181,Dep!$A:$M,7),"")</f>
        <v>DH8</v>
      </c>
      <c r="S181">
        <f>IF(O181&gt;0,VLOOKUP($O181,Dep!$A:$M,9),"")</f>
        <v>30</v>
      </c>
      <c r="T181" t="str">
        <f>IF(O181&gt;0,VLOOKUP($O181,Dep!$A:$M,10),"")</f>
        <v>NAT</v>
      </c>
      <c r="U181" t="str">
        <f>IF(O181&gt;0,VLOOKUP($O181,Dep!$A:$M,12),"")</f>
        <v>AS</v>
      </c>
      <c r="V181" t="str">
        <f t="shared" si="29"/>
        <v/>
      </c>
      <c r="W181" t="str">
        <f t="shared" si="30"/>
        <v/>
      </c>
      <c r="X181" t="str">
        <f t="shared" si="31"/>
        <v>X</v>
      </c>
      <c r="Y181">
        <f t="shared" si="26"/>
        <v>0</v>
      </c>
      <c r="Z181" t="str">
        <f t="shared" si="32"/>
        <v/>
      </c>
      <c r="AA181" s="20">
        <f t="shared" si="27"/>
        <v>2.777777777777779E-2</v>
      </c>
      <c r="AB181">
        <f t="shared" si="33"/>
        <v>180</v>
      </c>
      <c r="AC181" s="20" t="str">
        <f t="shared" si="34"/>
        <v>06:00</v>
      </c>
      <c r="AD181" s="20" t="str">
        <f t="shared" si="28"/>
        <v>06:40</v>
      </c>
      <c r="AE181" t="str">
        <f>VLOOKUP(G181,ACtypes!A:C,3,FALSE)</f>
        <v>B</v>
      </c>
      <c r="AF181" t="str">
        <f t="shared" si="35"/>
        <v/>
      </c>
      <c r="AG181" t="str">
        <f t="shared" si="36"/>
        <v/>
      </c>
      <c r="AH181">
        <f t="shared" si="37"/>
        <v>30</v>
      </c>
    </row>
    <row r="182" spans="1:34" x14ac:dyDescent="0.3">
      <c r="A182" s="41">
        <f t="shared" si="38"/>
        <v>181</v>
      </c>
      <c r="B182" s="27">
        <v>961</v>
      </c>
      <c r="C182" s="28" t="s">
        <v>80</v>
      </c>
      <c r="D182" s="28" t="s">
        <v>13</v>
      </c>
      <c r="E182" s="28" t="s">
        <v>532</v>
      </c>
      <c r="F182" s="28" t="s">
        <v>15</v>
      </c>
      <c r="G182" s="28" t="s">
        <v>21</v>
      </c>
      <c r="H182" s="27">
        <v>0</v>
      </c>
      <c r="I182" s="27">
        <v>30</v>
      </c>
      <c r="J182" s="28" t="s">
        <v>17</v>
      </c>
      <c r="K182" s="27">
        <v>25</v>
      </c>
      <c r="L182" s="28" t="s">
        <v>22</v>
      </c>
      <c r="M182" s="27">
        <v>0</v>
      </c>
      <c r="O182" s="23">
        <v>182</v>
      </c>
      <c r="P182" t="str">
        <f>IF(O182&gt;0,VLOOKUP($O182,Dep!$A:$M,3),"")</f>
        <v>07:00</v>
      </c>
      <c r="Q182" t="str">
        <f>IF(O182&gt;0,VLOOKUP($O182,Dep!$A:$M,6),"")</f>
        <v>PDX</v>
      </c>
      <c r="R182" t="str">
        <f>IF(O182&gt;0,VLOOKUP($O182,Dep!$A:$M,7),"")</f>
        <v>DH8</v>
      </c>
      <c r="S182">
        <f>IF(O182&gt;0,VLOOKUP($O182,Dep!$A:$M,9),"")</f>
        <v>30</v>
      </c>
      <c r="T182" t="str">
        <f>IF(O182&gt;0,VLOOKUP($O182,Dep!$A:$M,10),"")</f>
        <v>NAT</v>
      </c>
      <c r="U182" t="str">
        <f>IF(O182&gt;0,VLOOKUP($O182,Dep!$A:$M,12),"")</f>
        <v>AS</v>
      </c>
      <c r="V182" t="str">
        <f t="shared" si="29"/>
        <v/>
      </c>
      <c r="W182" t="str">
        <f t="shared" si="30"/>
        <v/>
      </c>
      <c r="X182" t="str">
        <f t="shared" si="31"/>
        <v>X</v>
      </c>
      <c r="Y182">
        <f t="shared" si="26"/>
        <v>0</v>
      </c>
      <c r="Z182" t="str">
        <f t="shared" si="32"/>
        <v/>
      </c>
      <c r="AA182" s="20">
        <f t="shared" si="27"/>
        <v>4.1666666666666685E-2</v>
      </c>
      <c r="AB182">
        <f t="shared" si="33"/>
        <v>181</v>
      </c>
      <c r="AC182" s="20" t="str">
        <f t="shared" si="34"/>
        <v>06:00</v>
      </c>
      <c r="AD182" s="20" t="str">
        <f t="shared" si="28"/>
        <v>07:00</v>
      </c>
      <c r="AE182" t="str">
        <f>VLOOKUP(G182,ACtypes!A:C,3,FALSE)</f>
        <v>B</v>
      </c>
      <c r="AF182" t="str">
        <f t="shared" si="35"/>
        <v/>
      </c>
      <c r="AG182" t="str">
        <f t="shared" si="36"/>
        <v/>
      </c>
      <c r="AH182">
        <f t="shared" si="37"/>
        <v>30</v>
      </c>
    </row>
    <row r="183" spans="1:34" x14ac:dyDescent="0.3">
      <c r="A183" s="41">
        <f t="shared" si="38"/>
        <v>182</v>
      </c>
      <c r="B183" s="27">
        <v>320</v>
      </c>
      <c r="C183" s="28" t="s">
        <v>387</v>
      </c>
      <c r="D183" s="28" t="s">
        <v>13</v>
      </c>
      <c r="E183" s="28" t="s">
        <v>366</v>
      </c>
      <c r="F183" s="28" t="s">
        <v>15</v>
      </c>
      <c r="G183" s="28" t="s">
        <v>21</v>
      </c>
      <c r="H183" s="27">
        <v>0</v>
      </c>
      <c r="I183" s="27">
        <v>30</v>
      </c>
      <c r="J183" s="28" t="s">
        <v>17</v>
      </c>
      <c r="K183" s="27">
        <v>25</v>
      </c>
      <c r="L183" s="28" t="s">
        <v>22</v>
      </c>
      <c r="M183" s="27">
        <v>0</v>
      </c>
      <c r="O183" s="23">
        <v>183</v>
      </c>
      <c r="P183" t="str">
        <f>IF(O183&gt;0,VLOOKUP($O183,Dep!$A:$M,3),"")</f>
        <v>07:15</v>
      </c>
      <c r="Q183" t="str">
        <f>IF(O183&gt;0,VLOOKUP($O183,Dep!$A:$M,6),"")</f>
        <v>EUG</v>
      </c>
      <c r="R183" t="str">
        <f>IF(O183&gt;0,VLOOKUP($O183,Dep!$A:$M,7),"")</f>
        <v>DH8</v>
      </c>
      <c r="S183">
        <f>IF(O183&gt;0,VLOOKUP($O183,Dep!$A:$M,9),"")</f>
        <v>30</v>
      </c>
      <c r="T183" t="str">
        <f>IF(O183&gt;0,VLOOKUP($O183,Dep!$A:$M,10),"")</f>
        <v>NAT</v>
      </c>
      <c r="U183" t="str">
        <f>IF(O183&gt;0,VLOOKUP($O183,Dep!$A:$M,12),"")</f>
        <v>AS</v>
      </c>
      <c r="V183" t="str">
        <f t="shared" si="29"/>
        <v/>
      </c>
      <c r="W183" t="str">
        <f t="shared" si="30"/>
        <v/>
      </c>
      <c r="X183" t="str">
        <f t="shared" si="31"/>
        <v>X</v>
      </c>
      <c r="Y183">
        <f t="shared" si="26"/>
        <v>0</v>
      </c>
      <c r="Z183" t="str">
        <f t="shared" si="32"/>
        <v/>
      </c>
      <c r="AA183" s="20">
        <f t="shared" si="27"/>
        <v>3.6805555555555536E-2</v>
      </c>
      <c r="AB183">
        <f t="shared" si="33"/>
        <v>182</v>
      </c>
      <c r="AC183" s="20" t="str">
        <f t="shared" si="34"/>
        <v>06:22</v>
      </c>
      <c r="AD183" s="20" t="str">
        <f t="shared" si="28"/>
        <v>07:15</v>
      </c>
      <c r="AE183" t="str">
        <f>VLOOKUP(G183,ACtypes!A:C,3,FALSE)</f>
        <v>B</v>
      </c>
      <c r="AF183" t="str">
        <f t="shared" si="35"/>
        <v/>
      </c>
      <c r="AG183" t="str">
        <f t="shared" si="36"/>
        <v/>
      </c>
      <c r="AH183">
        <f t="shared" si="37"/>
        <v>30</v>
      </c>
    </row>
    <row r="184" spans="1:34" x14ac:dyDescent="0.3">
      <c r="A184" s="41">
        <f t="shared" si="38"/>
        <v>183</v>
      </c>
      <c r="B184" s="27">
        <v>105</v>
      </c>
      <c r="C184" s="28" t="s">
        <v>165</v>
      </c>
      <c r="D184" s="28" t="s">
        <v>13</v>
      </c>
      <c r="E184" s="28" t="s">
        <v>162</v>
      </c>
      <c r="F184" s="28" t="s">
        <v>15</v>
      </c>
      <c r="G184" s="28" t="s">
        <v>21</v>
      </c>
      <c r="H184" s="27">
        <v>0</v>
      </c>
      <c r="I184" s="27">
        <v>30</v>
      </c>
      <c r="J184" s="28" t="s">
        <v>17</v>
      </c>
      <c r="K184" s="27">
        <v>25</v>
      </c>
      <c r="L184" s="28" t="s">
        <v>22</v>
      </c>
      <c r="M184" s="27">
        <v>0</v>
      </c>
      <c r="O184" s="23">
        <v>184</v>
      </c>
      <c r="P184" t="str">
        <f>IF(O184&gt;0,VLOOKUP($O184,Dep!$A:$M,3),"")</f>
        <v>07:30</v>
      </c>
      <c r="Q184" t="str">
        <f>IF(O184&gt;0,VLOOKUP($O184,Dep!$A:$M,6),"")</f>
        <v>PSC</v>
      </c>
      <c r="R184" t="str">
        <f>IF(O184&gt;0,VLOOKUP($O184,Dep!$A:$M,7),"")</f>
        <v>DH8</v>
      </c>
      <c r="S184">
        <f>IF(O184&gt;0,VLOOKUP($O184,Dep!$A:$M,9),"")</f>
        <v>30</v>
      </c>
      <c r="T184" t="str">
        <f>IF(O184&gt;0,VLOOKUP($O184,Dep!$A:$M,10),"")</f>
        <v>NAT</v>
      </c>
      <c r="U184" t="str">
        <f>IF(O184&gt;0,VLOOKUP($O184,Dep!$A:$M,12),"")</f>
        <v>AS</v>
      </c>
      <c r="V184" t="str">
        <f t="shared" si="29"/>
        <v/>
      </c>
      <c r="W184" t="str">
        <f t="shared" si="30"/>
        <v/>
      </c>
      <c r="X184" t="str">
        <f t="shared" si="31"/>
        <v>X</v>
      </c>
      <c r="Y184">
        <f t="shared" si="26"/>
        <v>0</v>
      </c>
      <c r="Z184" t="str">
        <f t="shared" si="32"/>
        <v/>
      </c>
      <c r="AA184" s="20">
        <f t="shared" si="27"/>
        <v>3.125E-2</v>
      </c>
      <c r="AB184">
        <f t="shared" si="33"/>
        <v>183</v>
      </c>
      <c r="AC184" s="20" t="str">
        <f t="shared" si="34"/>
        <v>06:45</v>
      </c>
      <c r="AD184" s="20" t="str">
        <f t="shared" si="28"/>
        <v>07:30</v>
      </c>
      <c r="AE184" t="str">
        <f>VLOOKUP(G184,ACtypes!A:C,3,FALSE)</f>
        <v>B</v>
      </c>
      <c r="AF184" t="str">
        <f t="shared" si="35"/>
        <v/>
      </c>
      <c r="AG184" t="str">
        <f t="shared" si="36"/>
        <v/>
      </c>
      <c r="AH184">
        <f t="shared" si="37"/>
        <v>30</v>
      </c>
    </row>
    <row r="185" spans="1:34" x14ac:dyDescent="0.3">
      <c r="A185" s="41">
        <f t="shared" si="38"/>
        <v>184</v>
      </c>
      <c r="B185" s="27">
        <v>331</v>
      </c>
      <c r="C185" s="28" t="s">
        <v>398</v>
      </c>
      <c r="D185" s="28" t="s">
        <v>13</v>
      </c>
      <c r="E185" s="28" t="s">
        <v>366</v>
      </c>
      <c r="F185" s="28" t="s">
        <v>15</v>
      </c>
      <c r="G185" s="28" t="s">
        <v>21</v>
      </c>
      <c r="H185" s="27">
        <v>0</v>
      </c>
      <c r="I185" s="27">
        <v>30</v>
      </c>
      <c r="J185" s="28" t="s">
        <v>17</v>
      </c>
      <c r="K185" s="27">
        <v>25</v>
      </c>
      <c r="L185" s="28" t="s">
        <v>22</v>
      </c>
      <c r="M185" s="27">
        <v>0</v>
      </c>
      <c r="O185" s="23">
        <v>185</v>
      </c>
      <c r="P185" t="str">
        <f>IF(O185&gt;0,VLOOKUP($O185,Dep!$A:$M,3),"")</f>
        <v>07:30</v>
      </c>
      <c r="Q185" t="str">
        <f>IF(O185&gt;0,VLOOKUP($O185,Dep!$A:$M,6),"")</f>
        <v>PDX</v>
      </c>
      <c r="R185" t="str">
        <f>IF(O185&gt;0,VLOOKUP($O185,Dep!$A:$M,7),"")</f>
        <v>DH8</v>
      </c>
      <c r="S185">
        <f>IF(O185&gt;0,VLOOKUP($O185,Dep!$A:$M,9),"")</f>
        <v>30</v>
      </c>
      <c r="T185" t="str">
        <f>IF(O185&gt;0,VLOOKUP($O185,Dep!$A:$M,10),"")</f>
        <v>NAT</v>
      </c>
      <c r="U185" t="str">
        <f>IF(O185&gt;0,VLOOKUP($O185,Dep!$A:$M,12),"")</f>
        <v>AS</v>
      </c>
      <c r="V185" t="str">
        <f t="shared" si="29"/>
        <v/>
      </c>
      <c r="W185" t="str">
        <f t="shared" si="30"/>
        <v/>
      </c>
      <c r="X185" t="str">
        <f t="shared" si="31"/>
        <v/>
      </c>
      <c r="Y185">
        <f t="shared" si="26"/>
        <v>0</v>
      </c>
      <c r="Z185" t="str">
        <f t="shared" si="32"/>
        <v/>
      </c>
      <c r="AA185" s="20">
        <f t="shared" si="27"/>
        <v>2.4999999999999967E-2</v>
      </c>
      <c r="AB185">
        <f t="shared" si="33"/>
        <v>184</v>
      </c>
      <c r="AC185" s="20" t="str">
        <f t="shared" si="34"/>
        <v>06:54</v>
      </c>
      <c r="AD185" s="20" t="str">
        <f t="shared" si="28"/>
        <v>07:30</v>
      </c>
      <c r="AE185" t="str">
        <f>VLOOKUP(G185,ACtypes!A:C,3,FALSE)</f>
        <v>B</v>
      </c>
      <c r="AF185" t="str">
        <f t="shared" si="35"/>
        <v/>
      </c>
      <c r="AG185" t="str">
        <f t="shared" si="36"/>
        <v/>
      </c>
      <c r="AH185">
        <f t="shared" si="37"/>
        <v>30</v>
      </c>
    </row>
    <row r="186" spans="1:34" x14ac:dyDescent="0.3">
      <c r="A186" s="41">
        <f t="shared" si="38"/>
        <v>185</v>
      </c>
      <c r="B186" s="27">
        <v>993</v>
      </c>
      <c r="C186" s="28" t="s">
        <v>494</v>
      </c>
      <c r="D186" s="28" t="s">
        <v>13</v>
      </c>
      <c r="E186" s="28" t="s">
        <v>493</v>
      </c>
      <c r="F186" s="28" t="s">
        <v>15</v>
      </c>
      <c r="G186" s="28" t="s">
        <v>21</v>
      </c>
      <c r="H186" s="27">
        <v>0</v>
      </c>
      <c r="I186" s="27">
        <v>30</v>
      </c>
      <c r="J186" s="28" t="s">
        <v>28</v>
      </c>
      <c r="K186" s="27">
        <v>25</v>
      </c>
      <c r="L186" s="28" t="s">
        <v>22</v>
      </c>
      <c r="M186" s="27">
        <v>0</v>
      </c>
      <c r="O186" s="23">
        <v>186</v>
      </c>
      <c r="P186" t="str">
        <f>IF(O186&gt;0,VLOOKUP($O186,Dep!$A:$M,3),"")</f>
        <v>07:30</v>
      </c>
      <c r="Q186" t="str">
        <f>IF(O186&gt;0,VLOOKUP($O186,Dep!$A:$M,6),"")</f>
        <v>YVR</v>
      </c>
      <c r="R186" t="str">
        <f>IF(O186&gt;0,VLOOKUP($O186,Dep!$A:$M,7),"")</f>
        <v>DH8</v>
      </c>
      <c r="S186">
        <f>IF(O186&gt;0,VLOOKUP($O186,Dep!$A:$M,9),"")</f>
        <v>30</v>
      </c>
      <c r="T186" t="str">
        <f>IF(O186&gt;0,VLOOKUP($O186,Dep!$A:$M,10),"")</f>
        <v>INT</v>
      </c>
      <c r="U186" t="str">
        <f>IF(O186&gt;0,VLOOKUP($O186,Dep!$A:$M,12),"")</f>
        <v>AS</v>
      </c>
      <c r="V186" t="str">
        <f t="shared" si="29"/>
        <v/>
      </c>
      <c r="W186" t="str">
        <f t="shared" si="30"/>
        <v/>
      </c>
      <c r="X186" t="str">
        <f t="shared" si="31"/>
        <v>X</v>
      </c>
      <c r="Y186">
        <f t="shared" si="26"/>
        <v>0</v>
      </c>
      <c r="Z186" t="str">
        <f t="shared" si="32"/>
        <v/>
      </c>
      <c r="AA186" s="20">
        <f t="shared" si="27"/>
        <v>2.2222222222222199E-2</v>
      </c>
      <c r="AB186">
        <f t="shared" si="33"/>
        <v>185</v>
      </c>
      <c r="AC186" s="20" t="str">
        <f t="shared" si="34"/>
        <v>06:58</v>
      </c>
      <c r="AD186" s="20" t="str">
        <f t="shared" si="28"/>
        <v>07:30</v>
      </c>
      <c r="AE186" t="str">
        <f>VLOOKUP(G186,ACtypes!A:C,3,FALSE)</f>
        <v>B</v>
      </c>
      <c r="AF186">
        <f t="shared" si="35"/>
        <v>1</v>
      </c>
      <c r="AG186">
        <f t="shared" si="36"/>
        <v>1</v>
      </c>
      <c r="AH186">
        <f t="shared" si="37"/>
        <v>30</v>
      </c>
    </row>
    <row r="187" spans="1:34" x14ac:dyDescent="0.3">
      <c r="A187" s="41">
        <f t="shared" si="38"/>
        <v>186</v>
      </c>
      <c r="B187" s="27">
        <v>357</v>
      </c>
      <c r="C187" s="28" t="s">
        <v>422</v>
      </c>
      <c r="D187" s="28" t="s">
        <v>13</v>
      </c>
      <c r="E187" s="28" t="s">
        <v>418</v>
      </c>
      <c r="F187" s="28" t="s">
        <v>15</v>
      </c>
      <c r="G187" s="28" t="s">
        <v>21</v>
      </c>
      <c r="H187" s="27">
        <v>0</v>
      </c>
      <c r="I187" s="27">
        <v>30</v>
      </c>
      <c r="J187" s="28" t="s">
        <v>17</v>
      </c>
      <c r="K187" s="27">
        <v>25</v>
      </c>
      <c r="L187" s="28" t="s">
        <v>22</v>
      </c>
      <c r="M187" s="27">
        <v>0</v>
      </c>
      <c r="O187" s="23">
        <v>187</v>
      </c>
      <c r="P187" t="str">
        <f>IF(O187&gt;0,VLOOKUP($O187,Dep!$A:$M,3),"")</f>
        <v>07:30</v>
      </c>
      <c r="Q187" t="str">
        <f>IF(O187&gt;0,VLOOKUP($O187,Dep!$A:$M,6),"")</f>
        <v>YYJ</v>
      </c>
      <c r="R187" t="str">
        <f>IF(O187&gt;0,VLOOKUP($O187,Dep!$A:$M,7),"")</f>
        <v>DH8</v>
      </c>
      <c r="S187">
        <f>IF(O187&gt;0,VLOOKUP($O187,Dep!$A:$M,9),"")</f>
        <v>30</v>
      </c>
      <c r="T187" t="str">
        <f>IF(O187&gt;0,VLOOKUP($O187,Dep!$A:$M,10),"")</f>
        <v>INT</v>
      </c>
      <c r="U187" t="str">
        <f>IF(O187&gt;0,VLOOKUP($O187,Dep!$A:$M,12),"")</f>
        <v>AS</v>
      </c>
      <c r="V187" t="str">
        <f t="shared" si="29"/>
        <v/>
      </c>
      <c r="W187" t="str">
        <f t="shared" si="30"/>
        <v/>
      </c>
      <c r="X187" t="str">
        <f t="shared" si="31"/>
        <v>X</v>
      </c>
      <c r="Y187">
        <f t="shared" si="26"/>
        <v>0</v>
      </c>
      <c r="Z187" t="str">
        <f t="shared" si="32"/>
        <v/>
      </c>
      <c r="AA187" s="20">
        <f t="shared" si="27"/>
        <v>2.1527777777777757E-2</v>
      </c>
      <c r="AB187">
        <f t="shared" si="33"/>
        <v>186</v>
      </c>
      <c r="AC187" s="20" t="str">
        <f t="shared" si="34"/>
        <v>06:59</v>
      </c>
      <c r="AD187" s="20" t="str">
        <f t="shared" si="28"/>
        <v>07:30</v>
      </c>
      <c r="AE187" t="str">
        <f>VLOOKUP(G187,ACtypes!A:C,3,FALSE)</f>
        <v>B</v>
      </c>
      <c r="AF187" t="str">
        <f t="shared" si="35"/>
        <v/>
      </c>
      <c r="AG187">
        <f t="shared" si="36"/>
        <v>1</v>
      </c>
      <c r="AH187">
        <f t="shared" si="37"/>
        <v>30</v>
      </c>
    </row>
    <row r="188" spans="1:34" x14ac:dyDescent="0.3">
      <c r="A188" s="41">
        <f t="shared" si="38"/>
        <v>187</v>
      </c>
      <c r="B188" s="27">
        <v>965</v>
      </c>
      <c r="C188" s="28" t="s">
        <v>536</v>
      </c>
      <c r="D188" s="28" t="s">
        <v>13</v>
      </c>
      <c r="E188" s="28" t="s">
        <v>534</v>
      </c>
      <c r="F188" s="28" t="s">
        <v>15</v>
      </c>
      <c r="G188" s="28" t="s">
        <v>21</v>
      </c>
      <c r="H188" s="27">
        <v>0</v>
      </c>
      <c r="I188" s="27">
        <v>30</v>
      </c>
      <c r="J188" s="28" t="s">
        <v>28</v>
      </c>
      <c r="K188" s="27">
        <v>25</v>
      </c>
      <c r="L188" s="28" t="s">
        <v>22</v>
      </c>
      <c r="M188" s="27">
        <v>0</v>
      </c>
      <c r="O188" s="23">
        <v>188</v>
      </c>
      <c r="P188" t="str">
        <f>IF(O188&gt;0,VLOOKUP($O188,Dep!$A:$M,3),"")</f>
        <v>08:00</v>
      </c>
      <c r="Q188" t="str">
        <f>IF(O188&gt;0,VLOOKUP($O188,Dep!$A:$M,6),"")</f>
        <v>PDX</v>
      </c>
      <c r="R188" t="str">
        <f>IF(O188&gt;0,VLOOKUP($O188,Dep!$A:$M,7),"")</f>
        <v>DH8</v>
      </c>
      <c r="S188">
        <f>IF(O188&gt;0,VLOOKUP($O188,Dep!$A:$M,9),"")</f>
        <v>30</v>
      </c>
      <c r="T188" t="str">
        <f>IF(O188&gt;0,VLOOKUP($O188,Dep!$A:$M,10),"")</f>
        <v>NAT</v>
      </c>
      <c r="U188" t="str">
        <f>IF(O188&gt;0,VLOOKUP($O188,Dep!$A:$M,12),"")</f>
        <v>AS</v>
      </c>
      <c r="V188" t="str">
        <f t="shared" si="29"/>
        <v/>
      </c>
      <c r="W188" t="str">
        <f t="shared" si="30"/>
        <v/>
      </c>
      <c r="X188" t="str">
        <f t="shared" si="31"/>
        <v>X</v>
      </c>
      <c r="Y188">
        <f t="shared" si="26"/>
        <v>0</v>
      </c>
      <c r="Z188" t="str">
        <f t="shared" si="32"/>
        <v/>
      </c>
      <c r="AA188" s="20">
        <f t="shared" si="27"/>
        <v>2.777777777777779E-2</v>
      </c>
      <c r="AB188">
        <f t="shared" si="33"/>
        <v>187</v>
      </c>
      <c r="AC188" s="20" t="str">
        <f t="shared" si="34"/>
        <v>07:20</v>
      </c>
      <c r="AD188" s="20" t="str">
        <f t="shared" si="28"/>
        <v>08:00</v>
      </c>
      <c r="AE188" t="str">
        <f>VLOOKUP(G188,ACtypes!A:C,3,FALSE)</f>
        <v>B</v>
      </c>
      <c r="AF188">
        <f t="shared" si="35"/>
        <v>1</v>
      </c>
      <c r="AG188" t="str">
        <f t="shared" si="36"/>
        <v/>
      </c>
      <c r="AH188">
        <f t="shared" si="37"/>
        <v>30</v>
      </c>
    </row>
    <row r="189" spans="1:34" x14ac:dyDescent="0.3">
      <c r="A189" s="41">
        <f t="shared" si="38"/>
        <v>188</v>
      </c>
      <c r="B189" s="27">
        <v>237</v>
      </c>
      <c r="C189" s="28" t="s">
        <v>190</v>
      </c>
      <c r="D189" s="28" t="s">
        <v>13</v>
      </c>
      <c r="E189" s="28" t="s">
        <v>312</v>
      </c>
      <c r="F189" s="28" t="s">
        <v>15</v>
      </c>
      <c r="G189" s="28" t="s">
        <v>21</v>
      </c>
      <c r="H189" s="27">
        <v>0</v>
      </c>
      <c r="I189" s="27">
        <v>30</v>
      </c>
      <c r="J189" s="28" t="s">
        <v>17</v>
      </c>
      <c r="K189" s="27">
        <v>25</v>
      </c>
      <c r="L189" s="28" t="s">
        <v>22</v>
      </c>
      <c r="M189" s="27">
        <v>0</v>
      </c>
      <c r="O189" s="23">
        <v>189</v>
      </c>
      <c r="P189" t="str">
        <f>IF(O189&gt;0,VLOOKUP($O189,Dep!$A:$M,3),"")</f>
        <v>08:05</v>
      </c>
      <c r="Q189" t="str">
        <f>IF(O189&gt;0,VLOOKUP($O189,Dep!$A:$M,6),"")</f>
        <v>BLI</v>
      </c>
      <c r="R189" t="str">
        <f>IF(O189&gt;0,VLOOKUP($O189,Dep!$A:$M,7),"")</f>
        <v>DH8</v>
      </c>
      <c r="S189">
        <f>IF(O189&gt;0,VLOOKUP($O189,Dep!$A:$M,9),"")</f>
        <v>30</v>
      </c>
      <c r="T189" t="str">
        <f>IF(O189&gt;0,VLOOKUP($O189,Dep!$A:$M,10),"")</f>
        <v>NAT</v>
      </c>
      <c r="U189" t="str">
        <f>IF(O189&gt;0,VLOOKUP($O189,Dep!$A:$M,12),"")</f>
        <v>AS</v>
      </c>
      <c r="V189" t="str">
        <f t="shared" si="29"/>
        <v/>
      </c>
      <c r="W189" t="str">
        <f t="shared" si="30"/>
        <v/>
      </c>
      <c r="X189" t="str">
        <f t="shared" si="31"/>
        <v>X</v>
      </c>
      <c r="Y189">
        <f t="shared" si="26"/>
        <v>0</v>
      </c>
      <c r="Z189" t="str">
        <f t="shared" si="32"/>
        <v/>
      </c>
      <c r="AA189" s="20">
        <f t="shared" si="27"/>
        <v>2.430555555555558E-2</v>
      </c>
      <c r="AB189">
        <f t="shared" si="33"/>
        <v>188</v>
      </c>
      <c r="AC189" s="20" t="str">
        <f t="shared" si="34"/>
        <v>07:30</v>
      </c>
      <c r="AD189" s="20" t="str">
        <f t="shared" si="28"/>
        <v>08:05</v>
      </c>
      <c r="AE189" t="str">
        <f>VLOOKUP(G189,ACtypes!A:C,3,FALSE)</f>
        <v>B</v>
      </c>
      <c r="AF189" t="str">
        <f t="shared" si="35"/>
        <v/>
      </c>
      <c r="AG189" t="str">
        <f t="shared" si="36"/>
        <v/>
      </c>
      <c r="AH189">
        <f t="shared" si="37"/>
        <v>30</v>
      </c>
    </row>
    <row r="190" spans="1:34" x14ac:dyDescent="0.3">
      <c r="A190" s="41">
        <f t="shared" si="38"/>
        <v>189</v>
      </c>
      <c r="B190" s="27">
        <v>316</v>
      </c>
      <c r="C190" s="28" t="s">
        <v>384</v>
      </c>
      <c r="D190" s="28" t="s">
        <v>13</v>
      </c>
      <c r="E190" s="28" t="s">
        <v>366</v>
      </c>
      <c r="F190" s="28" t="s">
        <v>15</v>
      </c>
      <c r="G190" s="28" t="s">
        <v>21</v>
      </c>
      <c r="H190" s="27">
        <v>0</v>
      </c>
      <c r="I190" s="27">
        <v>30</v>
      </c>
      <c r="J190" s="28" t="s">
        <v>17</v>
      </c>
      <c r="K190" s="27">
        <v>25</v>
      </c>
      <c r="L190" s="28" t="s">
        <v>22</v>
      </c>
      <c r="M190" s="27">
        <v>0</v>
      </c>
      <c r="O190" s="23">
        <v>190</v>
      </c>
      <c r="P190" t="str">
        <f>IF(O190&gt;0,VLOOKUP($O190,Dep!$A:$M,3),"")</f>
        <v>08:10</v>
      </c>
      <c r="Q190" t="str">
        <f>IF(O190&gt;0,VLOOKUP($O190,Dep!$A:$M,6),"")</f>
        <v>YKM</v>
      </c>
      <c r="R190" t="str">
        <f>IF(O190&gt;0,VLOOKUP($O190,Dep!$A:$M,7),"")</f>
        <v>DH8</v>
      </c>
      <c r="S190">
        <f>IF(O190&gt;0,VLOOKUP($O190,Dep!$A:$M,9),"")</f>
        <v>30</v>
      </c>
      <c r="T190" t="str">
        <f>IF(O190&gt;0,VLOOKUP($O190,Dep!$A:$M,10),"")</f>
        <v>NAT</v>
      </c>
      <c r="U190" t="str">
        <f>IF(O190&gt;0,VLOOKUP($O190,Dep!$A:$M,12),"")</f>
        <v>AS</v>
      </c>
      <c r="V190" t="str">
        <f t="shared" si="29"/>
        <v/>
      </c>
      <c r="W190" t="str">
        <f t="shared" si="30"/>
        <v/>
      </c>
      <c r="X190" t="str">
        <f t="shared" si="31"/>
        <v>X</v>
      </c>
      <c r="Y190">
        <f t="shared" si="26"/>
        <v>0</v>
      </c>
      <c r="Z190" t="str">
        <f t="shared" si="32"/>
        <v/>
      </c>
      <c r="AA190" s="20">
        <f t="shared" si="27"/>
        <v>2.0833333333333259E-2</v>
      </c>
      <c r="AB190">
        <f t="shared" si="33"/>
        <v>189</v>
      </c>
      <c r="AC190" s="20" t="str">
        <f t="shared" si="34"/>
        <v>07:40</v>
      </c>
      <c r="AD190" s="20" t="str">
        <f t="shared" si="28"/>
        <v>08:10</v>
      </c>
      <c r="AE190" t="str">
        <f>VLOOKUP(G190,ACtypes!A:C,3,FALSE)</f>
        <v>B</v>
      </c>
      <c r="AF190" t="str">
        <f t="shared" si="35"/>
        <v/>
      </c>
      <c r="AG190" t="str">
        <f t="shared" si="36"/>
        <v/>
      </c>
      <c r="AH190">
        <f t="shared" si="37"/>
        <v>30</v>
      </c>
    </row>
    <row r="191" spans="1:34" x14ac:dyDescent="0.3">
      <c r="A191" s="41">
        <f t="shared" si="38"/>
        <v>190</v>
      </c>
      <c r="B191" s="27">
        <v>976</v>
      </c>
      <c r="C191" s="28" t="s">
        <v>384</v>
      </c>
      <c r="D191" s="28" t="s">
        <v>13</v>
      </c>
      <c r="E191" s="28" t="s">
        <v>474</v>
      </c>
      <c r="F191" s="28" t="s">
        <v>15</v>
      </c>
      <c r="G191" s="28" t="s">
        <v>21</v>
      </c>
      <c r="H191" s="27">
        <v>0</v>
      </c>
      <c r="I191" s="27">
        <v>30</v>
      </c>
      <c r="J191" s="28" t="s">
        <v>28</v>
      </c>
      <c r="K191" s="27">
        <v>25</v>
      </c>
      <c r="L191" s="28" t="s">
        <v>22</v>
      </c>
      <c r="M191" s="27">
        <v>0</v>
      </c>
      <c r="O191" s="23">
        <v>191</v>
      </c>
      <c r="P191" t="str">
        <f>IF(O191&gt;0,VLOOKUP($O191,Dep!$A:$M,3),"")</f>
        <v>08:30</v>
      </c>
      <c r="Q191" t="str">
        <f>IF(O191&gt;0,VLOOKUP($O191,Dep!$A:$M,6),"")</f>
        <v>PDX</v>
      </c>
      <c r="R191" t="str">
        <f>IF(O191&gt;0,VLOOKUP($O191,Dep!$A:$M,7),"")</f>
        <v>DH8</v>
      </c>
      <c r="S191">
        <f>IF(O191&gt;0,VLOOKUP($O191,Dep!$A:$M,9),"")</f>
        <v>30</v>
      </c>
      <c r="T191" t="str">
        <f>IF(O191&gt;0,VLOOKUP($O191,Dep!$A:$M,10),"")</f>
        <v>NAT</v>
      </c>
      <c r="U191" t="str">
        <f>IF(O191&gt;0,VLOOKUP($O191,Dep!$A:$M,12),"")</f>
        <v>AS</v>
      </c>
      <c r="V191" t="str">
        <f t="shared" si="29"/>
        <v/>
      </c>
      <c r="W191" t="str">
        <f t="shared" si="30"/>
        <v/>
      </c>
      <c r="X191" t="str">
        <f t="shared" si="31"/>
        <v>X</v>
      </c>
      <c r="Y191">
        <f t="shared" si="26"/>
        <v>0</v>
      </c>
      <c r="Z191" t="str">
        <f t="shared" si="32"/>
        <v/>
      </c>
      <c r="AA191" s="20">
        <f t="shared" si="27"/>
        <v>3.472222222222221E-2</v>
      </c>
      <c r="AB191">
        <f t="shared" si="33"/>
        <v>190</v>
      </c>
      <c r="AC191" s="20" t="str">
        <f t="shared" si="34"/>
        <v>07:40</v>
      </c>
      <c r="AD191" s="20" t="str">
        <f t="shared" si="28"/>
        <v>08:30</v>
      </c>
      <c r="AE191" t="str">
        <f>VLOOKUP(G191,ACtypes!A:C,3,FALSE)</f>
        <v>B</v>
      </c>
      <c r="AF191">
        <f t="shared" si="35"/>
        <v>1</v>
      </c>
      <c r="AG191" t="str">
        <f t="shared" si="36"/>
        <v/>
      </c>
      <c r="AH191">
        <f t="shared" si="37"/>
        <v>30</v>
      </c>
    </row>
    <row r="192" spans="1:34" x14ac:dyDescent="0.3">
      <c r="A192" s="41">
        <f t="shared" si="38"/>
        <v>191</v>
      </c>
      <c r="B192" s="27">
        <v>360</v>
      </c>
      <c r="C192" s="28" t="s">
        <v>217</v>
      </c>
      <c r="D192" s="28" t="s">
        <v>13</v>
      </c>
      <c r="E192" s="28" t="s">
        <v>423</v>
      </c>
      <c r="F192" s="28" t="s">
        <v>15</v>
      </c>
      <c r="G192" s="28" t="s">
        <v>21</v>
      </c>
      <c r="H192" s="27">
        <v>0</v>
      </c>
      <c r="I192" s="27">
        <v>30</v>
      </c>
      <c r="J192" s="28" t="s">
        <v>17</v>
      </c>
      <c r="K192" s="27">
        <v>25</v>
      </c>
      <c r="L192" s="28" t="s">
        <v>22</v>
      </c>
      <c r="M192" s="27">
        <v>0</v>
      </c>
      <c r="O192" s="23">
        <v>192</v>
      </c>
      <c r="P192" t="str">
        <f>IF(O192&gt;0,VLOOKUP($O192,Dep!$A:$M,3),"")</f>
        <v>08:30</v>
      </c>
      <c r="Q192" t="str">
        <f>IF(O192&gt;0,VLOOKUP($O192,Dep!$A:$M,6),"")</f>
        <v>YVR</v>
      </c>
      <c r="R192" t="str">
        <f>IF(O192&gt;0,VLOOKUP($O192,Dep!$A:$M,7),"")</f>
        <v>DH8</v>
      </c>
      <c r="S192">
        <f>IF(O192&gt;0,VLOOKUP($O192,Dep!$A:$M,9),"")</f>
        <v>30</v>
      </c>
      <c r="T192" t="str">
        <f>IF(O192&gt;0,VLOOKUP($O192,Dep!$A:$M,10),"")</f>
        <v>INT</v>
      </c>
      <c r="U192" t="str">
        <f>IF(O192&gt;0,VLOOKUP($O192,Dep!$A:$M,12),"")</f>
        <v>AS</v>
      </c>
      <c r="V192" t="str">
        <f t="shared" si="29"/>
        <v/>
      </c>
      <c r="W192" t="str">
        <f t="shared" si="30"/>
        <v/>
      </c>
      <c r="X192" t="str">
        <f t="shared" si="31"/>
        <v>X</v>
      </c>
      <c r="Y192">
        <f t="shared" si="26"/>
        <v>0</v>
      </c>
      <c r="Z192" t="str">
        <f t="shared" si="32"/>
        <v/>
      </c>
      <c r="AA192" s="20">
        <f t="shared" si="27"/>
        <v>2.777777777777779E-2</v>
      </c>
      <c r="AB192">
        <f t="shared" si="33"/>
        <v>191</v>
      </c>
      <c r="AC192" s="20" t="str">
        <f t="shared" si="34"/>
        <v>07:50</v>
      </c>
      <c r="AD192" s="20" t="str">
        <f t="shared" si="28"/>
        <v>08:30</v>
      </c>
      <c r="AE192" t="str">
        <f>VLOOKUP(G192,ACtypes!A:C,3,FALSE)</f>
        <v>B</v>
      </c>
      <c r="AF192" t="str">
        <f t="shared" si="35"/>
        <v/>
      </c>
      <c r="AG192">
        <f t="shared" si="36"/>
        <v>1</v>
      </c>
      <c r="AH192">
        <f t="shared" si="37"/>
        <v>30</v>
      </c>
    </row>
    <row r="193" spans="1:34" x14ac:dyDescent="0.3">
      <c r="A193" s="41">
        <f t="shared" si="38"/>
        <v>192</v>
      </c>
      <c r="B193" s="27">
        <v>306</v>
      </c>
      <c r="C193" s="28" t="s">
        <v>377</v>
      </c>
      <c r="D193" s="28" t="s">
        <v>13</v>
      </c>
      <c r="E193" s="28" t="s">
        <v>366</v>
      </c>
      <c r="F193" s="28" t="s">
        <v>15</v>
      </c>
      <c r="G193" s="28" t="s">
        <v>21</v>
      </c>
      <c r="H193" s="27">
        <v>0</v>
      </c>
      <c r="I193" s="27">
        <v>30</v>
      </c>
      <c r="J193" s="28" t="s">
        <v>17</v>
      </c>
      <c r="K193" s="27">
        <v>25</v>
      </c>
      <c r="L193" s="28" t="s">
        <v>22</v>
      </c>
      <c r="M193" s="27">
        <v>0</v>
      </c>
      <c r="O193" s="23">
        <v>193</v>
      </c>
      <c r="P193" t="str">
        <f>IF(O193&gt;0,VLOOKUP($O193,Dep!$A:$M,3),"")</f>
        <v>09:00</v>
      </c>
      <c r="Q193" t="str">
        <f>IF(O193&gt;0,VLOOKUP($O193,Dep!$A:$M,6),"")</f>
        <v>PDX</v>
      </c>
      <c r="R193" t="str">
        <f>IF(O193&gt;0,VLOOKUP($O193,Dep!$A:$M,7),"")</f>
        <v>DH8</v>
      </c>
      <c r="S193">
        <f>IF(O193&gt;0,VLOOKUP($O193,Dep!$A:$M,9),"")</f>
        <v>30</v>
      </c>
      <c r="T193" t="str">
        <f>IF(O193&gt;0,VLOOKUP($O193,Dep!$A:$M,10),"")</f>
        <v>NAT</v>
      </c>
      <c r="U193" t="str">
        <f>IF(O193&gt;0,VLOOKUP($O193,Dep!$A:$M,12),"")</f>
        <v>AS</v>
      </c>
      <c r="V193" t="str">
        <f t="shared" si="29"/>
        <v/>
      </c>
      <c r="W193" t="str">
        <f t="shared" si="30"/>
        <v/>
      </c>
      <c r="X193" t="str">
        <f t="shared" si="31"/>
        <v/>
      </c>
      <c r="Y193">
        <f t="shared" si="26"/>
        <v>0</v>
      </c>
      <c r="Z193" t="str">
        <f t="shared" si="32"/>
        <v/>
      </c>
      <c r="AA193" s="20">
        <f t="shared" si="27"/>
        <v>4.5138888888888895E-2</v>
      </c>
      <c r="AB193">
        <f t="shared" si="33"/>
        <v>192</v>
      </c>
      <c r="AC193" s="20" t="str">
        <f t="shared" si="34"/>
        <v>07:55</v>
      </c>
      <c r="AD193" s="20" t="str">
        <f t="shared" si="28"/>
        <v>09:00</v>
      </c>
      <c r="AE193" t="str">
        <f>VLOOKUP(G193,ACtypes!A:C,3,FALSE)</f>
        <v>B</v>
      </c>
      <c r="AF193" t="str">
        <f t="shared" si="35"/>
        <v/>
      </c>
      <c r="AG193" t="str">
        <f t="shared" si="36"/>
        <v/>
      </c>
      <c r="AH193">
        <f t="shared" si="37"/>
        <v>30</v>
      </c>
    </row>
    <row r="194" spans="1:34" x14ac:dyDescent="0.3">
      <c r="A194" s="41">
        <f t="shared" si="38"/>
        <v>193</v>
      </c>
      <c r="B194" s="27">
        <v>3</v>
      </c>
      <c r="C194" s="28" t="s">
        <v>23</v>
      </c>
      <c r="D194" s="28" t="s">
        <v>13</v>
      </c>
      <c r="E194" s="28" t="s">
        <v>20</v>
      </c>
      <c r="F194" s="28" t="s">
        <v>15</v>
      </c>
      <c r="G194" s="28" t="s">
        <v>21</v>
      </c>
      <c r="H194" s="27">
        <v>0</v>
      </c>
      <c r="I194" s="27">
        <v>30</v>
      </c>
      <c r="J194" s="28" t="s">
        <v>17</v>
      </c>
      <c r="K194" s="27">
        <v>25</v>
      </c>
      <c r="L194" s="28" t="s">
        <v>22</v>
      </c>
      <c r="M194" s="27">
        <v>0</v>
      </c>
      <c r="O194" s="23">
        <v>194</v>
      </c>
      <c r="P194" t="str">
        <f>IF(O194&gt;0,VLOOKUP($O194,Dep!$A:$M,3),"")</f>
        <v>09:30</v>
      </c>
      <c r="Q194" t="str">
        <f>IF(O194&gt;0,VLOOKUP($O194,Dep!$A:$M,6),"")</f>
        <v>PDX</v>
      </c>
      <c r="R194" t="str">
        <f>IF(O194&gt;0,VLOOKUP($O194,Dep!$A:$M,7),"")</f>
        <v>DH8</v>
      </c>
      <c r="S194">
        <f>IF(O194&gt;0,VLOOKUP($O194,Dep!$A:$M,9),"")</f>
        <v>30</v>
      </c>
      <c r="T194" t="str">
        <f>IF(O194&gt;0,VLOOKUP($O194,Dep!$A:$M,10),"")</f>
        <v>NAT</v>
      </c>
      <c r="U194" t="str">
        <f>IF(O194&gt;0,VLOOKUP($O194,Dep!$A:$M,12),"")</f>
        <v>AS</v>
      </c>
      <c r="V194" t="str">
        <f t="shared" si="29"/>
        <v/>
      </c>
      <c r="W194" t="str">
        <f t="shared" si="30"/>
        <v/>
      </c>
      <c r="X194" t="str">
        <f t="shared" si="31"/>
        <v>X</v>
      </c>
      <c r="Y194">
        <f t="shared" ref="Y194:Y257" si="39">IF(O194&gt;0,S194-I194,"")</f>
        <v>0</v>
      </c>
      <c r="Z194" t="str">
        <f t="shared" si="32"/>
        <v/>
      </c>
      <c r="AA194" s="20">
        <f t="shared" ref="AA194:AA257" si="40">IF(O194&gt;0,IF(P194-C194&gt;0,P194-C194,P194-C194+1),"")</f>
        <v>6.3194444444444442E-2</v>
      </c>
      <c r="AB194">
        <f t="shared" si="33"/>
        <v>193</v>
      </c>
      <c r="AC194" s="20" t="str">
        <f t="shared" si="34"/>
        <v>07:59</v>
      </c>
      <c r="AD194" s="20" t="str">
        <f t="shared" ref="AD194:AD257" si="41">IF(O194&gt;0,P194,AC194+1/24)</f>
        <v>09:30</v>
      </c>
      <c r="AE194" t="str">
        <f>VLOOKUP(G194,ACtypes!A:C,3,FALSE)</f>
        <v>B</v>
      </c>
      <c r="AF194" t="str">
        <f t="shared" si="35"/>
        <v/>
      </c>
      <c r="AG194" t="str">
        <f t="shared" si="36"/>
        <v/>
      </c>
      <c r="AH194">
        <f t="shared" si="37"/>
        <v>30</v>
      </c>
    </row>
    <row r="195" spans="1:34" x14ac:dyDescent="0.3">
      <c r="A195" s="41">
        <f t="shared" si="38"/>
        <v>194</v>
      </c>
      <c r="B195" s="27">
        <v>109</v>
      </c>
      <c r="C195" s="28" t="s">
        <v>23</v>
      </c>
      <c r="D195" s="28" t="s">
        <v>13</v>
      </c>
      <c r="E195" s="28" t="s">
        <v>167</v>
      </c>
      <c r="F195" s="28" t="s">
        <v>15</v>
      </c>
      <c r="G195" s="28" t="s">
        <v>21</v>
      </c>
      <c r="H195" s="27">
        <v>0</v>
      </c>
      <c r="I195" s="27">
        <v>30</v>
      </c>
      <c r="J195" s="28" t="s">
        <v>17</v>
      </c>
      <c r="K195" s="27">
        <v>25</v>
      </c>
      <c r="L195" s="28" t="s">
        <v>22</v>
      </c>
      <c r="M195" s="27">
        <v>0</v>
      </c>
      <c r="O195" s="23">
        <v>195</v>
      </c>
      <c r="P195" t="str">
        <f>IF(O195&gt;0,VLOOKUP($O195,Dep!$A:$M,3),"")</f>
        <v>09:30</v>
      </c>
      <c r="Q195" t="str">
        <f>IF(O195&gt;0,VLOOKUP($O195,Dep!$A:$M,6),"")</f>
        <v>YVR</v>
      </c>
      <c r="R195" t="str">
        <f>IF(O195&gt;0,VLOOKUP($O195,Dep!$A:$M,7),"")</f>
        <v>DH8</v>
      </c>
      <c r="S195">
        <f>IF(O195&gt;0,VLOOKUP($O195,Dep!$A:$M,9),"")</f>
        <v>30</v>
      </c>
      <c r="T195" t="str">
        <f>IF(O195&gt;0,VLOOKUP($O195,Dep!$A:$M,10),"")</f>
        <v>INT</v>
      </c>
      <c r="U195" t="str">
        <f>IF(O195&gt;0,VLOOKUP($O195,Dep!$A:$M,12),"")</f>
        <v>AS</v>
      </c>
      <c r="V195" t="str">
        <f t="shared" ref="V195:V258" si="42">IF(O195&gt;0,IF(R195=G195,"","X"),"")</f>
        <v/>
      </c>
      <c r="W195" t="str">
        <f t="shared" ref="W195:W258" si="43">IF(O195&gt;0,IF(U195=L195,"","X"),"")</f>
        <v/>
      </c>
      <c r="X195" t="str">
        <f t="shared" ref="X195:X258" si="44">IF(O195&gt;0,IF(Q195=E195,"","X"),"")</f>
        <v>X</v>
      </c>
      <c r="Y195">
        <f t="shared" si="39"/>
        <v>0</v>
      </c>
      <c r="Z195" t="str">
        <f t="shared" ref="Z195:Z258" si="45">IF(O195&gt;0,IF(P195&lt;C195,1,""),"")</f>
        <v/>
      </c>
      <c r="AA195" s="20">
        <f t="shared" si="40"/>
        <v>6.3194444444444442E-2</v>
      </c>
      <c r="AB195">
        <f t="shared" ref="AB195:AB258" si="46">A195</f>
        <v>194</v>
      </c>
      <c r="AC195" s="20" t="str">
        <f t="shared" ref="AC195:AC258" si="47">C195</f>
        <v>07:59</v>
      </c>
      <c r="AD195" s="20" t="str">
        <f t="shared" si="41"/>
        <v>09:30</v>
      </c>
      <c r="AE195" t="str">
        <f>VLOOKUP(G195,ACtypes!A:C,3,FALSE)</f>
        <v>B</v>
      </c>
      <c r="AF195" t="str">
        <f t="shared" ref="AF195:AF258" si="48">IF(J195="INT",1,"")</f>
        <v/>
      </c>
      <c r="AG195">
        <f t="shared" ref="AG195:AG258" si="49">IF(T195="INT",1,"")</f>
        <v>1</v>
      </c>
      <c r="AH195">
        <f t="shared" ref="AH195:AH258" si="50">I195</f>
        <v>30</v>
      </c>
    </row>
    <row r="196" spans="1:34" x14ac:dyDescent="0.3">
      <c r="A196" s="41">
        <f t="shared" ref="A196:A259" si="51">A195+1</f>
        <v>195</v>
      </c>
      <c r="B196" s="27">
        <v>364</v>
      </c>
      <c r="C196" s="28" t="s">
        <v>187</v>
      </c>
      <c r="D196" s="28" t="s">
        <v>13</v>
      </c>
      <c r="E196" s="28" t="s">
        <v>424</v>
      </c>
      <c r="F196" s="28" t="s">
        <v>15</v>
      </c>
      <c r="G196" s="28" t="s">
        <v>21</v>
      </c>
      <c r="H196" s="27">
        <v>0</v>
      </c>
      <c r="I196" s="27">
        <v>30</v>
      </c>
      <c r="J196" s="28" t="s">
        <v>17</v>
      </c>
      <c r="K196" s="27">
        <v>25</v>
      </c>
      <c r="L196" s="28" t="s">
        <v>22</v>
      </c>
      <c r="M196" s="27">
        <v>0</v>
      </c>
      <c r="O196" s="23">
        <v>196</v>
      </c>
      <c r="P196" t="str">
        <f>IF(O196&gt;0,VLOOKUP($O196,Dep!$A:$M,3),"")</f>
        <v>09:50</v>
      </c>
      <c r="Q196" t="str">
        <f>IF(O196&gt;0,VLOOKUP($O196,Dep!$A:$M,6),"")</f>
        <v>YLW</v>
      </c>
      <c r="R196" t="str">
        <f>IF(O196&gt;0,VLOOKUP($O196,Dep!$A:$M,7),"")</f>
        <v>DH8</v>
      </c>
      <c r="S196">
        <f>IF(O196&gt;0,VLOOKUP($O196,Dep!$A:$M,9),"")</f>
        <v>30</v>
      </c>
      <c r="T196" t="str">
        <f>IF(O196&gt;0,VLOOKUP($O196,Dep!$A:$M,10),"")</f>
        <v>INT</v>
      </c>
      <c r="U196" t="str">
        <f>IF(O196&gt;0,VLOOKUP($O196,Dep!$A:$M,12),"")</f>
        <v>AS</v>
      </c>
      <c r="V196" t="str">
        <f t="shared" si="42"/>
        <v/>
      </c>
      <c r="W196" t="str">
        <f t="shared" si="43"/>
        <v/>
      </c>
      <c r="X196" t="str">
        <f t="shared" si="44"/>
        <v>X</v>
      </c>
      <c r="Y196">
        <f t="shared" si="39"/>
        <v>0</v>
      </c>
      <c r="Z196" t="str">
        <f t="shared" si="45"/>
        <v/>
      </c>
      <c r="AA196" s="20">
        <f t="shared" si="40"/>
        <v>7.6388888888888951E-2</v>
      </c>
      <c r="AB196">
        <f t="shared" si="46"/>
        <v>195</v>
      </c>
      <c r="AC196" s="20" t="str">
        <f t="shared" si="47"/>
        <v>08:00</v>
      </c>
      <c r="AD196" s="20" t="str">
        <f t="shared" si="41"/>
        <v>09:50</v>
      </c>
      <c r="AE196" t="str">
        <f>VLOOKUP(G196,ACtypes!A:C,3,FALSE)</f>
        <v>B</v>
      </c>
      <c r="AF196" t="str">
        <f t="shared" si="48"/>
        <v/>
      </c>
      <c r="AG196">
        <f t="shared" si="49"/>
        <v>1</v>
      </c>
      <c r="AH196">
        <f t="shared" si="50"/>
        <v>30</v>
      </c>
    </row>
    <row r="197" spans="1:34" x14ac:dyDescent="0.3">
      <c r="A197" s="41">
        <f t="shared" si="51"/>
        <v>196</v>
      </c>
      <c r="B197" s="27">
        <v>994</v>
      </c>
      <c r="C197" s="28" t="s">
        <v>495</v>
      </c>
      <c r="D197" s="28" t="s">
        <v>13</v>
      </c>
      <c r="E197" s="28" t="s">
        <v>493</v>
      </c>
      <c r="F197" s="28" t="s">
        <v>15</v>
      </c>
      <c r="G197" s="28" t="s">
        <v>21</v>
      </c>
      <c r="H197" s="27">
        <v>0</v>
      </c>
      <c r="I197" s="27">
        <v>30</v>
      </c>
      <c r="J197" s="28" t="s">
        <v>28</v>
      </c>
      <c r="K197" s="27">
        <v>25</v>
      </c>
      <c r="L197" s="28" t="s">
        <v>22</v>
      </c>
      <c r="M197" s="27">
        <v>0</v>
      </c>
      <c r="O197" s="23">
        <v>197</v>
      </c>
      <c r="P197" t="str">
        <f>IF(O197&gt;0,VLOOKUP($O197,Dep!$A:$M,3),"")</f>
        <v>10:00</v>
      </c>
      <c r="Q197" t="str">
        <f>IF(O197&gt;0,VLOOKUP($O197,Dep!$A:$M,6),"")</f>
        <v>PDX</v>
      </c>
      <c r="R197" t="str">
        <f>IF(O197&gt;0,VLOOKUP($O197,Dep!$A:$M,7),"")</f>
        <v>DH8</v>
      </c>
      <c r="S197">
        <f>IF(O197&gt;0,VLOOKUP($O197,Dep!$A:$M,9),"")</f>
        <v>30</v>
      </c>
      <c r="T197" t="str">
        <f>IF(O197&gt;0,VLOOKUP($O197,Dep!$A:$M,10),"")</f>
        <v>NAT</v>
      </c>
      <c r="U197" t="str">
        <f>IF(O197&gt;0,VLOOKUP($O197,Dep!$A:$M,12),"")</f>
        <v>AS</v>
      </c>
      <c r="V197" t="str">
        <f t="shared" si="42"/>
        <v/>
      </c>
      <c r="W197" t="str">
        <f t="shared" si="43"/>
        <v/>
      </c>
      <c r="X197" t="str">
        <f t="shared" si="44"/>
        <v>X</v>
      </c>
      <c r="Y197">
        <f t="shared" si="39"/>
        <v>0</v>
      </c>
      <c r="Z197" t="str">
        <f t="shared" si="45"/>
        <v/>
      </c>
      <c r="AA197" s="20">
        <f t="shared" si="40"/>
        <v>7.6388888888888951E-2</v>
      </c>
      <c r="AB197">
        <f t="shared" si="46"/>
        <v>196</v>
      </c>
      <c r="AC197" s="20" t="str">
        <f t="shared" si="47"/>
        <v>08:10</v>
      </c>
      <c r="AD197" s="20" t="str">
        <f t="shared" si="41"/>
        <v>10:00</v>
      </c>
      <c r="AE197" t="str">
        <f>VLOOKUP(G197,ACtypes!A:C,3,FALSE)</f>
        <v>B</v>
      </c>
      <c r="AF197">
        <f t="shared" si="48"/>
        <v>1</v>
      </c>
      <c r="AG197" t="str">
        <f t="shared" si="49"/>
        <v/>
      </c>
      <c r="AH197">
        <f t="shared" si="50"/>
        <v>30</v>
      </c>
    </row>
    <row r="198" spans="1:34" x14ac:dyDescent="0.3">
      <c r="A198" s="41">
        <f t="shared" si="51"/>
        <v>197</v>
      </c>
      <c r="B198" s="27">
        <v>330</v>
      </c>
      <c r="C198" s="28" t="s">
        <v>397</v>
      </c>
      <c r="D198" s="28" t="s">
        <v>13</v>
      </c>
      <c r="E198" s="28" t="s">
        <v>366</v>
      </c>
      <c r="F198" s="28" t="s">
        <v>15</v>
      </c>
      <c r="G198" s="28" t="s">
        <v>21</v>
      </c>
      <c r="H198" s="27">
        <v>0</v>
      </c>
      <c r="I198" s="27">
        <v>30</v>
      </c>
      <c r="J198" s="28" t="s">
        <v>17</v>
      </c>
      <c r="K198" s="27">
        <v>25</v>
      </c>
      <c r="L198" s="28" t="s">
        <v>22</v>
      </c>
      <c r="M198" s="27">
        <v>0</v>
      </c>
      <c r="O198" s="23">
        <v>198</v>
      </c>
      <c r="P198" t="str">
        <f>IF(O198&gt;0,VLOOKUP($O198,Dep!$A:$M,3),"")</f>
        <v>10:02</v>
      </c>
      <c r="Q198" t="str">
        <f>IF(O198&gt;0,VLOOKUP($O198,Dep!$A:$M,6),"")</f>
        <v>PSC</v>
      </c>
      <c r="R198" t="str">
        <f>IF(O198&gt;0,VLOOKUP($O198,Dep!$A:$M,7),"")</f>
        <v>DH8</v>
      </c>
      <c r="S198">
        <f>IF(O198&gt;0,VLOOKUP($O198,Dep!$A:$M,9),"")</f>
        <v>30</v>
      </c>
      <c r="T198" t="str">
        <f>IF(O198&gt;0,VLOOKUP($O198,Dep!$A:$M,10),"")</f>
        <v>NAT</v>
      </c>
      <c r="U198" t="str">
        <f>IF(O198&gt;0,VLOOKUP($O198,Dep!$A:$M,12),"")</f>
        <v>AS</v>
      </c>
      <c r="V198" t="str">
        <f t="shared" si="42"/>
        <v/>
      </c>
      <c r="W198" t="str">
        <f t="shared" si="43"/>
        <v/>
      </c>
      <c r="X198" t="str">
        <f t="shared" si="44"/>
        <v>X</v>
      </c>
      <c r="Y198">
        <f t="shared" si="39"/>
        <v>0</v>
      </c>
      <c r="Z198" t="str">
        <f t="shared" si="45"/>
        <v/>
      </c>
      <c r="AA198" s="20">
        <f t="shared" si="40"/>
        <v>6.7361111111111149E-2</v>
      </c>
      <c r="AB198">
        <f t="shared" si="46"/>
        <v>197</v>
      </c>
      <c r="AC198" s="20" t="str">
        <f t="shared" si="47"/>
        <v>08:25</v>
      </c>
      <c r="AD198" s="20" t="str">
        <f t="shared" si="41"/>
        <v>10:02</v>
      </c>
      <c r="AE198" t="str">
        <f>VLOOKUP(G198,ACtypes!A:C,3,FALSE)</f>
        <v>B</v>
      </c>
      <c r="AF198" t="str">
        <f t="shared" si="48"/>
        <v/>
      </c>
      <c r="AG198" t="str">
        <f t="shared" si="49"/>
        <v/>
      </c>
      <c r="AH198">
        <f t="shared" si="50"/>
        <v>30</v>
      </c>
    </row>
    <row r="199" spans="1:34" x14ac:dyDescent="0.3">
      <c r="A199" s="41">
        <f t="shared" si="51"/>
        <v>198</v>
      </c>
      <c r="B199" s="27">
        <v>365</v>
      </c>
      <c r="C199" s="28" t="s">
        <v>308</v>
      </c>
      <c r="D199" s="28" t="s">
        <v>13</v>
      </c>
      <c r="E199" s="28" t="s">
        <v>424</v>
      </c>
      <c r="F199" s="28" t="s">
        <v>15</v>
      </c>
      <c r="G199" s="28" t="s">
        <v>21</v>
      </c>
      <c r="H199" s="27">
        <v>0</v>
      </c>
      <c r="I199" s="27">
        <v>30</v>
      </c>
      <c r="J199" s="28" t="s">
        <v>17</v>
      </c>
      <c r="K199" s="27">
        <v>25</v>
      </c>
      <c r="L199" s="28" t="s">
        <v>22</v>
      </c>
      <c r="M199" s="27">
        <v>0</v>
      </c>
      <c r="O199" s="23">
        <v>199</v>
      </c>
      <c r="P199" t="str">
        <f>IF(O199&gt;0,VLOOKUP($O199,Dep!$A:$M,3),"")</f>
        <v>10:02</v>
      </c>
      <c r="Q199" t="str">
        <f>IF(O199&gt;0,VLOOKUP($O199,Dep!$A:$M,6),"")</f>
        <v>PUW</v>
      </c>
      <c r="R199" t="str">
        <f>IF(O199&gt;0,VLOOKUP($O199,Dep!$A:$M,7),"")</f>
        <v>DH8</v>
      </c>
      <c r="S199">
        <f>IF(O199&gt;0,VLOOKUP($O199,Dep!$A:$M,9),"")</f>
        <v>30</v>
      </c>
      <c r="T199" t="str">
        <f>IF(O199&gt;0,VLOOKUP($O199,Dep!$A:$M,10),"")</f>
        <v>NAT</v>
      </c>
      <c r="U199" t="str">
        <f>IF(O199&gt;0,VLOOKUP($O199,Dep!$A:$M,12),"")</f>
        <v>AS</v>
      </c>
      <c r="V199" t="str">
        <f t="shared" si="42"/>
        <v/>
      </c>
      <c r="W199" t="str">
        <f t="shared" si="43"/>
        <v/>
      </c>
      <c r="X199" t="str">
        <f t="shared" si="44"/>
        <v>X</v>
      </c>
      <c r="Y199">
        <f t="shared" si="39"/>
        <v>0</v>
      </c>
      <c r="Z199" t="str">
        <f t="shared" si="45"/>
        <v/>
      </c>
      <c r="AA199" s="20">
        <f t="shared" si="40"/>
        <v>2.5694444444444464E-2</v>
      </c>
      <c r="AB199">
        <f t="shared" si="46"/>
        <v>198</v>
      </c>
      <c r="AC199" s="20" t="str">
        <f t="shared" si="47"/>
        <v>09:25</v>
      </c>
      <c r="AD199" s="20" t="str">
        <f t="shared" si="41"/>
        <v>10:02</v>
      </c>
      <c r="AE199" t="str">
        <f>VLOOKUP(G199,ACtypes!A:C,3,FALSE)</f>
        <v>B</v>
      </c>
      <c r="AF199" t="str">
        <f t="shared" si="48"/>
        <v/>
      </c>
      <c r="AG199" t="str">
        <f t="shared" si="49"/>
        <v/>
      </c>
      <c r="AH199">
        <f t="shared" si="50"/>
        <v>30</v>
      </c>
    </row>
    <row r="200" spans="1:34" x14ac:dyDescent="0.3">
      <c r="A200" s="41">
        <f t="shared" si="51"/>
        <v>199</v>
      </c>
      <c r="B200" s="27">
        <v>998</v>
      </c>
      <c r="C200" s="28" t="s">
        <v>308</v>
      </c>
      <c r="D200" s="28" t="s">
        <v>13</v>
      </c>
      <c r="E200" s="28" t="s">
        <v>493</v>
      </c>
      <c r="F200" s="28" t="s">
        <v>15</v>
      </c>
      <c r="G200" s="28" t="s">
        <v>21</v>
      </c>
      <c r="H200" s="27">
        <v>0</v>
      </c>
      <c r="I200" s="27">
        <v>30</v>
      </c>
      <c r="J200" s="28" t="s">
        <v>28</v>
      </c>
      <c r="K200" s="27">
        <v>25</v>
      </c>
      <c r="L200" s="28" t="s">
        <v>22</v>
      </c>
      <c r="M200" s="27">
        <v>0</v>
      </c>
      <c r="O200" s="23">
        <v>200</v>
      </c>
      <c r="P200" t="str">
        <f>IF(O200&gt;0,VLOOKUP($O200,Dep!$A:$M,3),"")</f>
        <v>10:10</v>
      </c>
      <c r="Q200" t="str">
        <f>IF(O200&gt;0,VLOOKUP($O200,Dep!$A:$M,6),"")</f>
        <v>ALW</v>
      </c>
      <c r="R200" t="str">
        <f>IF(O200&gt;0,VLOOKUP($O200,Dep!$A:$M,7),"")</f>
        <v>DH8</v>
      </c>
      <c r="S200">
        <f>IF(O200&gt;0,VLOOKUP($O200,Dep!$A:$M,9),"")</f>
        <v>30</v>
      </c>
      <c r="T200" t="str">
        <f>IF(O200&gt;0,VLOOKUP($O200,Dep!$A:$M,10),"")</f>
        <v>NAT</v>
      </c>
      <c r="U200" t="str">
        <f>IF(O200&gt;0,VLOOKUP($O200,Dep!$A:$M,12),"")</f>
        <v>AS</v>
      </c>
      <c r="V200" t="str">
        <f t="shared" si="42"/>
        <v/>
      </c>
      <c r="W200" t="str">
        <f t="shared" si="43"/>
        <v/>
      </c>
      <c r="X200" t="str">
        <f t="shared" si="44"/>
        <v>X</v>
      </c>
      <c r="Y200">
        <f t="shared" si="39"/>
        <v>0</v>
      </c>
      <c r="Z200" t="str">
        <f t="shared" si="45"/>
        <v/>
      </c>
      <c r="AA200" s="20">
        <f t="shared" si="40"/>
        <v>3.125E-2</v>
      </c>
      <c r="AB200">
        <f t="shared" si="46"/>
        <v>199</v>
      </c>
      <c r="AC200" s="20" t="str">
        <f t="shared" si="47"/>
        <v>09:25</v>
      </c>
      <c r="AD200" s="20" t="str">
        <f t="shared" si="41"/>
        <v>10:10</v>
      </c>
      <c r="AE200" t="str">
        <f>VLOOKUP(G200,ACtypes!A:C,3,FALSE)</f>
        <v>B</v>
      </c>
      <c r="AF200">
        <f t="shared" si="48"/>
        <v>1</v>
      </c>
      <c r="AG200" t="str">
        <f t="shared" si="49"/>
        <v/>
      </c>
      <c r="AH200">
        <f t="shared" si="50"/>
        <v>30</v>
      </c>
    </row>
    <row r="201" spans="1:34" x14ac:dyDescent="0.3">
      <c r="A201" s="41">
        <f t="shared" si="51"/>
        <v>200</v>
      </c>
      <c r="B201" s="27">
        <v>228</v>
      </c>
      <c r="C201" s="28" t="s">
        <v>301</v>
      </c>
      <c r="D201" s="28" t="s">
        <v>13</v>
      </c>
      <c r="E201" s="28" t="s">
        <v>299</v>
      </c>
      <c r="F201" s="28" t="s">
        <v>15</v>
      </c>
      <c r="G201" s="28" t="s">
        <v>21</v>
      </c>
      <c r="H201" s="27">
        <v>0</v>
      </c>
      <c r="I201" s="27">
        <v>30</v>
      </c>
      <c r="J201" s="28" t="s">
        <v>17</v>
      </c>
      <c r="K201" s="27">
        <v>25</v>
      </c>
      <c r="L201" s="28" t="s">
        <v>22</v>
      </c>
      <c r="M201" s="27">
        <v>0</v>
      </c>
      <c r="O201" s="23">
        <v>201</v>
      </c>
      <c r="P201" t="str">
        <f>IF(O201&gt;0,VLOOKUP($O201,Dep!$A:$M,3),"")</f>
        <v>10:12</v>
      </c>
      <c r="Q201" t="str">
        <f>IF(O201&gt;0,VLOOKUP($O201,Dep!$A:$M,6),"")</f>
        <v>EAT</v>
      </c>
      <c r="R201" t="str">
        <f>IF(O201&gt;0,VLOOKUP($O201,Dep!$A:$M,7),"")</f>
        <v>DH8</v>
      </c>
      <c r="S201">
        <f>IF(O201&gt;0,VLOOKUP($O201,Dep!$A:$M,9),"")</f>
        <v>30</v>
      </c>
      <c r="T201" t="str">
        <f>IF(O201&gt;0,VLOOKUP($O201,Dep!$A:$M,10),"")</f>
        <v>NAT</v>
      </c>
      <c r="U201" t="str">
        <f>IF(O201&gt;0,VLOOKUP($O201,Dep!$A:$M,12),"")</f>
        <v>AS</v>
      </c>
      <c r="V201" t="str">
        <f t="shared" si="42"/>
        <v/>
      </c>
      <c r="W201" t="str">
        <f t="shared" si="43"/>
        <v/>
      </c>
      <c r="X201" t="str">
        <f t="shared" si="44"/>
        <v>X</v>
      </c>
      <c r="Y201">
        <f t="shared" si="39"/>
        <v>0</v>
      </c>
      <c r="Z201" t="str">
        <f t="shared" si="45"/>
        <v/>
      </c>
      <c r="AA201" s="20">
        <f t="shared" si="40"/>
        <v>2.9166666666666674E-2</v>
      </c>
      <c r="AB201">
        <f t="shared" si="46"/>
        <v>200</v>
      </c>
      <c r="AC201" s="20" t="str">
        <f t="shared" si="47"/>
        <v>09:30</v>
      </c>
      <c r="AD201" s="20" t="str">
        <f t="shared" si="41"/>
        <v>10:12</v>
      </c>
      <c r="AE201" t="str">
        <f>VLOOKUP(G201,ACtypes!A:C,3,FALSE)</f>
        <v>B</v>
      </c>
      <c r="AF201" t="str">
        <f t="shared" si="48"/>
        <v/>
      </c>
      <c r="AG201" t="str">
        <f t="shared" si="49"/>
        <v/>
      </c>
      <c r="AH201">
        <f t="shared" si="50"/>
        <v>30</v>
      </c>
    </row>
    <row r="202" spans="1:34" x14ac:dyDescent="0.3">
      <c r="A202" s="41">
        <f t="shared" si="51"/>
        <v>201</v>
      </c>
      <c r="B202" s="27">
        <v>317</v>
      </c>
      <c r="C202" s="28" t="s">
        <v>385</v>
      </c>
      <c r="D202" s="28" t="s">
        <v>13</v>
      </c>
      <c r="E202" s="28" t="s">
        <v>366</v>
      </c>
      <c r="F202" s="28" t="s">
        <v>15</v>
      </c>
      <c r="G202" s="28" t="s">
        <v>21</v>
      </c>
      <c r="H202" s="27">
        <v>0</v>
      </c>
      <c r="I202" s="27">
        <v>30</v>
      </c>
      <c r="J202" s="28" t="s">
        <v>17</v>
      </c>
      <c r="K202" s="27">
        <v>25</v>
      </c>
      <c r="L202" s="28" t="s">
        <v>22</v>
      </c>
      <c r="M202" s="27">
        <v>0</v>
      </c>
      <c r="O202" s="23">
        <v>202</v>
      </c>
      <c r="P202" t="str">
        <f>IF(O202&gt;0,VLOOKUP($O202,Dep!$A:$M,3),"")</f>
        <v>10:15</v>
      </c>
      <c r="Q202" t="str">
        <f>IF(O202&gt;0,VLOOKUP($O202,Dep!$A:$M,6),"")</f>
        <v>YKM</v>
      </c>
      <c r="R202" t="str">
        <f>IF(O202&gt;0,VLOOKUP($O202,Dep!$A:$M,7),"")</f>
        <v>DH8</v>
      </c>
      <c r="S202">
        <f>IF(O202&gt;0,VLOOKUP($O202,Dep!$A:$M,9),"")</f>
        <v>30</v>
      </c>
      <c r="T202" t="str">
        <f>IF(O202&gt;0,VLOOKUP($O202,Dep!$A:$M,10),"")</f>
        <v>NAT</v>
      </c>
      <c r="U202" t="str">
        <f>IF(O202&gt;0,VLOOKUP($O202,Dep!$A:$M,12),"")</f>
        <v>AS</v>
      </c>
      <c r="V202" t="str">
        <f t="shared" si="42"/>
        <v/>
      </c>
      <c r="W202" t="str">
        <f t="shared" si="43"/>
        <v/>
      </c>
      <c r="X202" t="str">
        <f t="shared" si="44"/>
        <v>X</v>
      </c>
      <c r="Y202">
        <f t="shared" si="39"/>
        <v>0</v>
      </c>
      <c r="Z202" t="str">
        <f t="shared" si="45"/>
        <v/>
      </c>
      <c r="AA202" s="20">
        <f t="shared" si="40"/>
        <v>2.6388888888888851E-2</v>
      </c>
      <c r="AB202">
        <f t="shared" si="46"/>
        <v>201</v>
      </c>
      <c r="AC202" s="20" t="str">
        <f t="shared" si="47"/>
        <v>09:37</v>
      </c>
      <c r="AD202" s="20" t="str">
        <f t="shared" si="41"/>
        <v>10:15</v>
      </c>
      <c r="AE202" t="str">
        <f>VLOOKUP(G202,ACtypes!A:C,3,FALSE)</f>
        <v>B</v>
      </c>
      <c r="AF202" t="str">
        <f t="shared" si="48"/>
        <v/>
      </c>
      <c r="AG202" t="str">
        <f t="shared" si="49"/>
        <v/>
      </c>
      <c r="AH202">
        <f t="shared" si="50"/>
        <v>30</v>
      </c>
    </row>
    <row r="203" spans="1:34" x14ac:dyDescent="0.3">
      <c r="A203" s="41">
        <f t="shared" si="51"/>
        <v>202</v>
      </c>
      <c r="B203" s="27">
        <v>355</v>
      </c>
      <c r="C203" s="28" t="s">
        <v>421</v>
      </c>
      <c r="D203" s="28" t="s">
        <v>13</v>
      </c>
      <c r="E203" s="28" t="s">
        <v>418</v>
      </c>
      <c r="F203" s="28" t="s">
        <v>15</v>
      </c>
      <c r="G203" s="28" t="s">
        <v>21</v>
      </c>
      <c r="H203" s="27">
        <v>0</v>
      </c>
      <c r="I203" s="27">
        <v>30</v>
      </c>
      <c r="J203" s="28" t="s">
        <v>17</v>
      </c>
      <c r="K203" s="27">
        <v>25</v>
      </c>
      <c r="L203" s="28" t="s">
        <v>22</v>
      </c>
      <c r="M203" s="27">
        <v>0</v>
      </c>
      <c r="O203" s="23">
        <v>203</v>
      </c>
      <c r="P203" t="str">
        <f>IF(O203&gt;0,VLOOKUP($O203,Dep!$A:$M,3),"")</f>
        <v>10:20</v>
      </c>
      <c r="Q203" t="str">
        <f>IF(O203&gt;0,VLOOKUP($O203,Dep!$A:$M,6),"")</f>
        <v>YYJ</v>
      </c>
      <c r="R203" t="str">
        <f>IF(O203&gt;0,VLOOKUP($O203,Dep!$A:$M,7),"")</f>
        <v>DH8</v>
      </c>
      <c r="S203">
        <f>IF(O203&gt;0,VLOOKUP($O203,Dep!$A:$M,9),"")</f>
        <v>30</v>
      </c>
      <c r="T203" t="str">
        <f>IF(O203&gt;0,VLOOKUP($O203,Dep!$A:$M,10),"")</f>
        <v>INT</v>
      </c>
      <c r="U203" t="str">
        <f>IF(O203&gt;0,VLOOKUP($O203,Dep!$A:$M,12),"")</f>
        <v>AS</v>
      </c>
      <c r="V203" t="str">
        <f t="shared" si="42"/>
        <v/>
      </c>
      <c r="W203" t="str">
        <f t="shared" si="43"/>
        <v/>
      </c>
      <c r="X203" t="str">
        <f t="shared" si="44"/>
        <v>X</v>
      </c>
      <c r="Y203">
        <f t="shared" si="39"/>
        <v>0</v>
      </c>
      <c r="Z203" t="str">
        <f t="shared" si="45"/>
        <v/>
      </c>
      <c r="AA203" s="20">
        <f t="shared" si="40"/>
        <v>2.6388888888888962E-2</v>
      </c>
      <c r="AB203">
        <f t="shared" si="46"/>
        <v>202</v>
      </c>
      <c r="AC203" s="20" t="str">
        <f t="shared" si="47"/>
        <v>09:42</v>
      </c>
      <c r="AD203" s="20" t="str">
        <f t="shared" si="41"/>
        <v>10:20</v>
      </c>
      <c r="AE203" t="str">
        <f>VLOOKUP(G203,ACtypes!A:C,3,FALSE)</f>
        <v>B</v>
      </c>
      <c r="AF203" t="str">
        <f t="shared" si="48"/>
        <v/>
      </c>
      <c r="AG203">
        <f t="shared" si="49"/>
        <v>1</v>
      </c>
      <c r="AH203">
        <f t="shared" si="50"/>
        <v>30</v>
      </c>
    </row>
    <row r="204" spans="1:34" x14ac:dyDescent="0.3">
      <c r="A204" s="41">
        <f t="shared" si="51"/>
        <v>203</v>
      </c>
      <c r="B204" s="27">
        <v>40</v>
      </c>
      <c r="C204" s="28" t="s">
        <v>81</v>
      </c>
      <c r="D204" s="28" t="s">
        <v>13</v>
      </c>
      <c r="E204" s="28" t="s">
        <v>76</v>
      </c>
      <c r="F204" s="28" t="s">
        <v>15</v>
      </c>
      <c r="G204" s="28" t="s">
        <v>21</v>
      </c>
      <c r="H204" s="27">
        <v>0</v>
      </c>
      <c r="I204" s="27">
        <v>30</v>
      </c>
      <c r="J204" s="28" t="s">
        <v>17</v>
      </c>
      <c r="K204" s="27">
        <v>25</v>
      </c>
      <c r="L204" s="28" t="s">
        <v>22</v>
      </c>
      <c r="M204" s="27">
        <v>0</v>
      </c>
      <c r="O204" s="23">
        <v>204</v>
      </c>
      <c r="P204" t="str">
        <f>IF(O204&gt;0,VLOOKUP($O204,Dep!$A:$M,3),"")</f>
        <v>10:25</v>
      </c>
      <c r="Q204" t="str">
        <f>IF(O204&gt;0,VLOOKUP($O204,Dep!$A:$M,6),"")</f>
        <v>BLI</v>
      </c>
      <c r="R204" t="str">
        <f>IF(O204&gt;0,VLOOKUP($O204,Dep!$A:$M,7),"")</f>
        <v>DH8</v>
      </c>
      <c r="S204">
        <f>IF(O204&gt;0,VLOOKUP($O204,Dep!$A:$M,9),"")</f>
        <v>30</v>
      </c>
      <c r="T204" t="str">
        <f>IF(O204&gt;0,VLOOKUP($O204,Dep!$A:$M,10),"")</f>
        <v>NAT</v>
      </c>
      <c r="U204" t="str">
        <f>IF(O204&gt;0,VLOOKUP($O204,Dep!$A:$M,12),"")</f>
        <v>AS</v>
      </c>
      <c r="V204" t="str">
        <f t="shared" si="42"/>
        <v/>
      </c>
      <c r="W204" t="str">
        <f t="shared" si="43"/>
        <v/>
      </c>
      <c r="X204" t="str">
        <f t="shared" si="44"/>
        <v/>
      </c>
      <c r="Y204">
        <f t="shared" si="39"/>
        <v>0</v>
      </c>
      <c r="Z204" t="str">
        <f t="shared" si="45"/>
        <v/>
      </c>
      <c r="AA204" s="20">
        <f t="shared" si="40"/>
        <v>2.7777777777777735E-2</v>
      </c>
      <c r="AB204">
        <f t="shared" si="46"/>
        <v>203</v>
      </c>
      <c r="AC204" s="20" t="str">
        <f t="shared" si="47"/>
        <v>09:45</v>
      </c>
      <c r="AD204" s="20" t="str">
        <f t="shared" si="41"/>
        <v>10:25</v>
      </c>
      <c r="AE204" t="str">
        <f>VLOOKUP(G204,ACtypes!A:C,3,FALSE)</f>
        <v>B</v>
      </c>
      <c r="AF204" t="str">
        <f t="shared" si="48"/>
        <v/>
      </c>
      <c r="AG204" t="str">
        <f t="shared" si="49"/>
        <v/>
      </c>
      <c r="AH204">
        <f t="shared" si="50"/>
        <v>30</v>
      </c>
    </row>
    <row r="205" spans="1:34" x14ac:dyDescent="0.3">
      <c r="A205" s="41">
        <f t="shared" si="51"/>
        <v>204</v>
      </c>
      <c r="B205" s="27">
        <v>979</v>
      </c>
      <c r="C205" s="28" t="s">
        <v>480</v>
      </c>
      <c r="D205" s="28" t="s">
        <v>13</v>
      </c>
      <c r="E205" s="28" t="s">
        <v>474</v>
      </c>
      <c r="F205" s="28" t="s">
        <v>15</v>
      </c>
      <c r="G205" s="28" t="s">
        <v>21</v>
      </c>
      <c r="H205" s="27">
        <v>0</v>
      </c>
      <c r="I205" s="27">
        <v>30</v>
      </c>
      <c r="J205" s="28" t="s">
        <v>28</v>
      </c>
      <c r="K205" s="27">
        <v>25</v>
      </c>
      <c r="L205" s="28" t="s">
        <v>22</v>
      </c>
      <c r="M205" s="27">
        <v>0</v>
      </c>
      <c r="O205" s="23">
        <v>205</v>
      </c>
      <c r="P205" t="str">
        <f>IF(O205&gt;0,VLOOKUP($O205,Dep!$A:$M,3),"")</f>
        <v>10:25</v>
      </c>
      <c r="Q205" t="str">
        <f>IF(O205&gt;0,VLOOKUP($O205,Dep!$A:$M,6),"")</f>
        <v>EUG</v>
      </c>
      <c r="R205" t="str">
        <f>IF(O205&gt;0,VLOOKUP($O205,Dep!$A:$M,7),"")</f>
        <v>DH8</v>
      </c>
      <c r="S205">
        <f>IF(O205&gt;0,VLOOKUP($O205,Dep!$A:$M,9),"")</f>
        <v>30</v>
      </c>
      <c r="T205" t="str">
        <f>IF(O205&gt;0,VLOOKUP($O205,Dep!$A:$M,10),"")</f>
        <v>NAT</v>
      </c>
      <c r="U205" t="str">
        <f>IF(O205&gt;0,VLOOKUP($O205,Dep!$A:$M,12),"")</f>
        <v>AS</v>
      </c>
      <c r="V205" t="str">
        <f t="shared" si="42"/>
        <v/>
      </c>
      <c r="W205" t="str">
        <f t="shared" si="43"/>
        <v/>
      </c>
      <c r="X205" t="str">
        <f t="shared" si="44"/>
        <v>X</v>
      </c>
      <c r="Y205">
        <f t="shared" si="39"/>
        <v>0</v>
      </c>
      <c r="Z205" t="str">
        <f t="shared" si="45"/>
        <v/>
      </c>
      <c r="AA205" s="20">
        <f t="shared" si="40"/>
        <v>2.4305555555555469E-2</v>
      </c>
      <c r="AB205">
        <f t="shared" si="46"/>
        <v>204</v>
      </c>
      <c r="AC205" s="20" t="str">
        <f t="shared" si="47"/>
        <v>09:50</v>
      </c>
      <c r="AD205" s="20" t="str">
        <f t="shared" si="41"/>
        <v>10:25</v>
      </c>
      <c r="AE205" t="str">
        <f>VLOOKUP(G205,ACtypes!A:C,3,FALSE)</f>
        <v>B</v>
      </c>
      <c r="AF205">
        <f t="shared" si="48"/>
        <v>1</v>
      </c>
      <c r="AG205" t="str">
        <f t="shared" si="49"/>
        <v/>
      </c>
      <c r="AH205">
        <f t="shared" si="50"/>
        <v>30</v>
      </c>
    </row>
    <row r="206" spans="1:34" x14ac:dyDescent="0.3">
      <c r="A206" s="41">
        <f t="shared" si="51"/>
        <v>205</v>
      </c>
      <c r="B206" s="27">
        <v>308</v>
      </c>
      <c r="C206" s="28" t="s">
        <v>378</v>
      </c>
      <c r="D206" s="28" t="s">
        <v>13</v>
      </c>
      <c r="E206" s="28" t="s">
        <v>366</v>
      </c>
      <c r="F206" s="28" t="s">
        <v>15</v>
      </c>
      <c r="G206" s="28" t="s">
        <v>21</v>
      </c>
      <c r="H206" s="27">
        <v>0</v>
      </c>
      <c r="I206" s="27">
        <v>30</v>
      </c>
      <c r="J206" s="28" t="s">
        <v>17</v>
      </c>
      <c r="K206" s="27">
        <v>25</v>
      </c>
      <c r="L206" s="28" t="s">
        <v>22</v>
      </c>
      <c r="M206" s="27">
        <v>0</v>
      </c>
      <c r="O206" s="23">
        <v>206</v>
      </c>
      <c r="P206" t="str">
        <f>IF(O206&gt;0,VLOOKUP($O206,Dep!$A:$M,3),"")</f>
        <v>10:30</v>
      </c>
      <c r="Q206" t="str">
        <f>IF(O206&gt;0,VLOOKUP($O206,Dep!$A:$M,6),"")</f>
        <v>PDX</v>
      </c>
      <c r="R206" t="str">
        <f>IF(O206&gt;0,VLOOKUP($O206,Dep!$A:$M,7),"")</f>
        <v>DH8</v>
      </c>
      <c r="S206">
        <f>IF(O206&gt;0,VLOOKUP($O206,Dep!$A:$M,9),"")</f>
        <v>30</v>
      </c>
      <c r="T206" t="str">
        <f>IF(O206&gt;0,VLOOKUP($O206,Dep!$A:$M,10),"")</f>
        <v>NAT</v>
      </c>
      <c r="U206" t="str">
        <f>IF(O206&gt;0,VLOOKUP($O206,Dep!$A:$M,12),"")</f>
        <v>AS</v>
      </c>
      <c r="V206" t="str">
        <f t="shared" si="42"/>
        <v/>
      </c>
      <c r="W206" t="str">
        <f t="shared" si="43"/>
        <v/>
      </c>
      <c r="X206" t="str">
        <f t="shared" si="44"/>
        <v/>
      </c>
      <c r="Y206">
        <f t="shared" si="39"/>
        <v>0</v>
      </c>
      <c r="Z206" t="str">
        <f t="shared" si="45"/>
        <v/>
      </c>
      <c r="AA206" s="20">
        <f t="shared" si="40"/>
        <v>2.430555555555558E-2</v>
      </c>
      <c r="AB206">
        <f t="shared" si="46"/>
        <v>205</v>
      </c>
      <c r="AC206" s="20" t="str">
        <f t="shared" si="47"/>
        <v>09:55</v>
      </c>
      <c r="AD206" s="20" t="str">
        <f t="shared" si="41"/>
        <v>10:30</v>
      </c>
      <c r="AE206" t="str">
        <f>VLOOKUP(G206,ACtypes!A:C,3,FALSE)</f>
        <v>B</v>
      </c>
      <c r="AF206" t="str">
        <f t="shared" si="48"/>
        <v/>
      </c>
      <c r="AG206" t="str">
        <f t="shared" si="49"/>
        <v/>
      </c>
      <c r="AH206">
        <f t="shared" si="50"/>
        <v>30</v>
      </c>
    </row>
    <row r="207" spans="1:34" x14ac:dyDescent="0.3">
      <c r="A207" s="41">
        <f t="shared" si="51"/>
        <v>206</v>
      </c>
      <c r="B207" s="27">
        <v>957</v>
      </c>
      <c r="C207" s="28" t="s">
        <v>378</v>
      </c>
      <c r="D207" s="28" t="s">
        <v>13</v>
      </c>
      <c r="E207" s="28" t="s">
        <v>532</v>
      </c>
      <c r="F207" s="28" t="s">
        <v>15</v>
      </c>
      <c r="G207" s="28" t="s">
        <v>21</v>
      </c>
      <c r="H207" s="27">
        <v>0</v>
      </c>
      <c r="I207" s="27">
        <v>30</v>
      </c>
      <c r="J207" s="28" t="s">
        <v>17</v>
      </c>
      <c r="K207" s="27">
        <v>25</v>
      </c>
      <c r="L207" s="28" t="s">
        <v>22</v>
      </c>
      <c r="M207" s="27">
        <v>0</v>
      </c>
      <c r="O207" s="23">
        <v>207</v>
      </c>
      <c r="P207" t="str">
        <f>IF(O207&gt;0,VLOOKUP($O207,Dep!$A:$M,3),"")</f>
        <v>10:30</v>
      </c>
      <c r="Q207" t="str">
        <f>IF(O207&gt;0,VLOOKUP($O207,Dep!$A:$M,6),"")</f>
        <v>YVR</v>
      </c>
      <c r="R207" t="str">
        <f>IF(O207&gt;0,VLOOKUP($O207,Dep!$A:$M,7),"")</f>
        <v>DH8</v>
      </c>
      <c r="S207">
        <f>IF(O207&gt;0,VLOOKUP($O207,Dep!$A:$M,9),"")</f>
        <v>30</v>
      </c>
      <c r="T207" t="str">
        <f>IF(O207&gt;0,VLOOKUP($O207,Dep!$A:$M,10),"")</f>
        <v>INT</v>
      </c>
      <c r="U207" t="str">
        <f>IF(O207&gt;0,VLOOKUP($O207,Dep!$A:$M,12),"")</f>
        <v>AS</v>
      </c>
      <c r="V207" t="str">
        <f t="shared" si="42"/>
        <v/>
      </c>
      <c r="W207" t="str">
        <f t="shared" si="43"/>
        <v/>
      </c>
      <c r="X207" t="str">
        <f t="shared" si="44"/>
        <v>X</v>
      </c>
      <c r="Y207">
        <f t="shared" si="39"/>
        <v>0</v>
      </c>
      <c r="Z207" t="str">
        <f t="shared" si="45"/>
        <v/>
      </c>
      <c r="AA207" s="20">
        <f t="shared" si="40"/>
        <v>2.430555555555558E-2</v>
      </c>
      <c r="AB207">
        <f t="shared" si="46"/>
        <v>206</v>
      </c>
      <c r="AC207" s="20" t="str">
        <f t="shared" si="47"/>
        <v>09:55</v>
      </c>
      <c r="AD207" s="20" t="str">
        <f t="shared" si="41"/>
        <v>10:30</v>
      </c>
      <c r="AE207" t="str">
        <f>VLOOKUP(G207,ACtypes!A:C,3,FALSE)</f>
        <v>B</v>
      </c>
      <c r="AF207" t="str">
        <f t="shared" si="48"/>
        <v/>
      </c>
      <c r="AG207">
        <f t="shared" si="49"/>
        <v>1</v>
      </c>
      <c r="AH207">
        <f t="shared" si="50"/>
        <v>30</v>
      </c>
    </row>
    <row r="208" spans="1:34" x14ac:dyDescent="0.3">
      <c r="A208" s="41">
        <f t="shared" si="51"/>
        <v>207</v>
      </c>
      <c r="B208" s="27">
        <v>305</v>
      </c>
      <c r="C208" s="28" t="s">
        <v>127</v>
      </c>
      <c r="D208" s="28" t="s">
        <v>13</v>
      </c>
      <c r="E208" s="28" t="s">
        <v>366</v>
      </c>
      <c r="F208" s="28" t="s">
        <v>15</v>
      </c>
      <c r="G208" s="28" t="s">
        <v>21</v>
      </c>
      <c r="H208" s="27">
        <v>0</v>
      </c>
      <c r="I208" s="27">
        <v>30</v>
      </c>
      <c r="J208" s="28" t="s">
        <v>17</v>
      </c>
      <c r="K208" s="27">
        <v>25</v>
      </c>
      <c r="L208" s="28" t="s">
        <v>22</v>
      </c>
      <c r="M208" s="27">
        <v>0</v>
      </c>
      <c r="O208" s="23">
        <v>208</v>
      </c>
      <c r="P208" t="str">
        <f>IF(O208&gt;0,VLOOKUP($O208,Dep!$A:$M,3),"")</f>
        <v>11:00</v>
      </c>
      <c r="Q208" t="str">
        <f>IF(O208&gt;0,VLOOKUP($O208,Dep!$A:$M,6),"")</f>
        <v>PDX</v>
      </c>
      <c r="R208" t="str">
        <f>IF(O208&gt;0,VLOOKUP($O208,Dep!$A:$M,7),"")</f>
        <v>DH8</v>
      </c>
      <c r="S208">
        <f>IF(O208&gt;0,VLOOKUP($O208,Dep!$A:$M,9),"")</f>
        <v>30</v>
      </c>
      <c r="T208" t="str">
        <f>IF(O208&gt;0,VLOOKUP($O208,Dep!$A:$M,10),"")</f>
        <v>NAT</v>
      </c>
      <c r="U208" t="str">
        <f>IF(O208&gt;0,VLOOKUP($O208,Dep!$A:$M,12),"")</f>
        <v>AS</v>
      </c>
      <c r="V208" t="str">
        <f t="shared" si="42"/>
        <v/>
      </c>
      <c r="W208" t="str">
        <f t="shared" si="43"/>
        <v/>
      </c>
      <c r="X208" t="str">
        <f t="shared" si="44"/>
        <v/>
      </c>
      <c r="Y208">
        <f t="shared" si="39"/>
        <v>0</v>
      </c>
      <c r="Z208" t="str">
        <f t="shared" si="45"/>
        <v/>
      </c>
      <c r="AA208" s="20">
        <f t="shared" si="40"/>
        <v>2.6388888888888851E-2</v>
      </c>
      <c r="AB208">
        <f t="shared" si="46"/>
        <v>207</v>
      </c>
      <c r="AC208" s="20" t="str">
        <f t="shared" si="47"/>
        <v>10:22</v>
      </c>
      <c r="AD208" s="20" t="str">
        <f t="shared" si="41"/>
        <v>11:00</v>
      </c>
      <c r="AE208" t="str">
        <f>VLOOKUP(G208,ACtypes!A:C,3,FALSE)</f>
        <v>B</v>
      </c>
      <c r="AF208" t="str">
        <f t="shared" si="48"/>
        <v/>
      </c>
      <c r="AG208" t="str">
        <f t="shared" si="49"/>
        <v/>
      </c>
      <c r="AH208">
        <f t="shared" si="50"/>
        <v>30</v>
      </c>
    </row>
    <row r="209" spans="1:34" x14ac:dyDescent="0.3">
      <c r="A209" s="41">
        <f t="shared" si="51"/>
        <v>208</v>
      </c>
      <c r="B209" s="27">
        <v>107</v>
      </c>
      <c r="C209" s="28" t="s">
        <v>168</v>
      </c>
      <c r="D209" s="28" t="s">
        <v>13</v>
      </c>
      <c r="E209" s="28" t="s">
        <v>167</v>
      </c>
      <c r="F209" s="28" t="s">
        <v>15</v>
      </c>
      <c r="G209" s="28" t="s">
        <v>21</v>
      </c>
      <c r="H209" s="27">
        <v>0</v>
      </c>
      <c r="I209" s="27">
        <v>30</v>
      </c>
      <c r="J209" s="28" t="s">
        <v>17</v>
      </c>
      <c r="K209" s="27">
        <v>25</v>
      </c>
      <c r="L209" s="28" t="s">
        <v>22</v>
      </c>
      <c r="M209" s="27">
        <v>0</v>
      </c>
      <c r="O209" s="23">
        <v>209</v>
      </c>
      <c r="P209" t="str">
        <f>IF(O209&gt;0,VLOOKUP($O209,Dep!$A:$M,3),"")</f>
        <v>11:30</v>
      </c>
      <c r="Q209" t="str">
        <f>IF(O209&gt;0,VLOOKUP($O209,Dep!$A:$M,6),"")</f>
        <v>PDX</v>
      </c>
      <c r="R209" t="str">
        <f>IF(O209&gt;0,VLOOKUP($O209,Dep!$A:$M,7),"")</f>
        <v>DH8</v>
      </c>
      <c r="S209">
        <f>IF(O209&gt;0,VLOOKUP($O209,Dep!$A:$M,9),"")</f>
        <v>30</v>
      </c>
      <c r="T209" t="str">
        <f>IF(O209&gt;0,VLOOKUP($O209,Dep!$A:$M,10),"")</f>
        <v>NAT</v>
      </c>
      <c r="U209" t="str">
        <f>IF(O209&gt;0,VLOOKUP($O209,Dep!$A:$M,12),"")</f>
        <v>AS</v>
      </c>
      <c r="V209" t="str">
        <f t="shared" si="42"/>
        <v/>
      </c>
      <c r="W209" t="str">
        <f t="shared" si="43"/>
        <v/>
      </c>
      <c r="X209" t="str">
        <f t="shared" si="44"/>
        <v>X</v>
      </c>
      <c r="Y209">
        <f t="shared" si="39"/>
        <v>0</v>
      </c>
      <c r="Z209" t="str">
        <f t="shared" si="45"/>
        <v/>
      </c>
      <c r="AA209" s="20">
        <f t="shared" si="40"/>
        <v>3.6111111111111149E-2</v>
      </c>
      <c r="AB209">
        <f t="shared" si="46"/>
        <v>208</v>
      </c>
      <c r="AC209" s="20" t="str">
        <f t="shared" si="47"/>
        <v>10:38</v>
      </c>
      <c r="AD209" s="20" t="str">
        <f t="shared" si="41"/>
        <v>11:30</v>
      </c>
      <c r="AE209" t="str">
        <f>VLOOKUP(G209,ACtypes!A:C,3,FALSE)</f>
        <v>B</v>
      </c>
      <c r="AF209" t="str">
        <f t="shared" si="48"/>
        <v/>
      </c>
      <c r="AG209" t="str">
        <f t="shared" si="49"/>
        <v/>
      </c>
      <c r="AH209">
        <f t="shared" si="50"/>
        <v>30</v>
      </c>
    </row>
    <row r="210" spans="1:34" x14ac:dyDescent="0.3">
      <c r="A210" s="41">
        <f t="shared" si="51"/>
        <v>209</v>
      </c>
      <c r="B210" s="27">
        <v>309</v>
      </c>
      <c r="C210" s="28" t="s">
        <v>178</v>
      </c>
      <c r="D210" s="28" t="s">
        <v>13</v>
      </c>
      <c r="E210" s="28" t="s">
        <v>366</v>
      </c>
      <c r="F210" s="28" t="s">
        <v>15</v>
      </c>
      <c r="G210" s="28" t="s">
        <v>21</v>
      </c>
      <c r="H210" s="27">
        <v>0</v>
      </c>
      <c r="I210" s="27">
        <v>30</v>
      </c>
      <c r="J210" s="28" t="s">
        <v>17</v>
      </c>
      <c r="K210" s="27">
        <v>25</v>
      </c>
      <c r="L210" s="28" t="s">
        <v>22</v>
      </c>
      <c r="M210" s="27">
        <v>0</v>
      </c>
      <c r="O210" s="23">
        <v>210</v>
      </c>
      <c r="P210" t="str">
        <f>IF(O210&gt;0,VLOOKUP($O210,Dep!$A:$M,3),"")</f>
        <v>11:30</v>
      </c>
      <c r="Q210" t="str">
        <f>IF(O210&gt;0,VLOOKUP($O210,Dep!$A:$M,6),"")</f>
        <v>YVR</v>
      </c>
      <c r="R210" t="str">
        <f>IF(O210&gt;0,VLOOKUP($O210,Dep!$A:$M,7),"")</f>
        <v>DH8</v>
      </c>
      <c r="S210">
        <f>IF(O210&gt;0,VLOOKUP($O210,Dep!$A:$M,9),"")</f>
        <v>30</v>
      </c>
      <c r="T210" t="str">
        <f>IF(O210&gt;0,VLOOKUP($O210,Dep!$A:$M,10),"")</f>
        <v>INT</v>
      </c>
      <c r="U210" t="str">
        <f>IF(O210&gt;0,VLOOKUP($O210,Dep!$A:$M,12),"")</f>
        <v>AS</v>
      </c>
      <c r="V210" t="str">
        <f t="shared" si="42"/>
        <v/>
      </c>
      <c r="W210" t="str">
        <f t="shared" si="43"/>
        <v/>
      </c>
      <c r="X210" t="str">
        <f t="shared" si="44"/>
        <v>X</v>
      </c>
      <c r="Y210">
        <f t="shared" si="39"/>
        <v>0</v>
      </c>
      <c r="Z210" t="str">
        <f t="shared" si="45"/>
        <v/>
      </c>
      <c r="AA210" s="20">
        <f t="shared" si="40"/>
        <v>2.430555555555558E-2</v>
      </c>
      <c r="AB210">
        <f t="shared" si="46"/>
        <v>209</v>
      </c>
      <c r="AC210" s="20" t="str">
        <f t="shared" si="47"/>
        <v>10:55</v>
      </c>
      <c r="AD210" s="20" t="str">
        <f t="shared" si="41"/>
        <v>11:30</v>
      </c>
      <c r="AE210" t="str">
        <f>VLOOKUP(G210,ACtypes!A:C,3,FALSE)</f>
        <v>B</v>
      </c>
      <c r="AF210" t="str">
        <f t="shared" si="48"/>
        <v/>
      </c>
      <c r="AG210">
        <f t="shared" si="49"/>
        <v>1</v>
      </c>
      <c r="AH210">
        <f t="shared" si="50"/>
        <v>30</v>
      </c>
    </row>
    <row r="211" spans="1:34" x14ac:dyDescent="0.3">
      <c r="A211" s="41">
        <f t="shared" si="51"/>
        <v>210</v>
      </c>
      <c r="B211" s="27">
        <v>969</v>
      </c>
      <c r="C211" s="28" t="s">
        <v>178</v>
      </c>
      <c r="D211" s="28" t="s">
        <v>13</v>
      </c>
      <c r="E211" s="28" t="s">
        <v>474</v>
      </c>
      <c r="F211" s="28" t="s">
        <v>15</v>
      </c>
      <c r="G211" s="28" t="s">
        <v>21</v>
      </c>
      <c r="H211" s="27">
        <v>0</v>
      </c>
      <c r="I211" s="27">
        <v>30</v>
      </c>
      <c r="J211" s="28" t="s">
        <v>28</v>
      </c>
      <c r="K211" s="27">
        <v>25</v>
      </c>
      <c r="L211" s="28" t="s">
        <v>22</v>
      </c>
      <c r="M211" s="27">
        <v>0</v>
      </c>
      <c r="O211" s="23">
        <v>211</v>
      </c>
      <c r="P211" t="str">
        <f>IF(O211&gt;0,VLOOKUP($O211,Dep!$A:$M,3),"")</f>
        <v>11:50</v>
      </c>
      <c r="Q211" t="str">
        <f>IF(O211&gt;0,VLOOKUP($O211,Dep!$A:$M,6),"")</f>
        <v>YVR</v>
      </c>
      <c r="R211" t="str">
        <f>IF(O211&gt;0,VLOOKUP($O211,Dep!$A:$M,7),"")</f>
        <v>DH8</v>
      </c>
      <c r="S211">
        <f>IF(O211&gt;0,VLOOKUP($O211,Dep!$A:$M,9),"")</f>
        <v>30</v>
      </c>
      <c r="T211" t="str">
        <f>IF(O211&gt;0,VLOOKUP($O211,Dep!$A:$M,10),"")</f>
        <v>INT</v>
      </c>
      <c r="U211" t="str">
        <f>IF(O211&gt;0,VLOOKUP($O211,Dep!$A:$M,12),"")</f>
        <v>AS</v>
      </c>
      <c r="V211" t="str">
        <f t="shared" si="42"/>
        <v/>
      </c>
      <c r="W211" t="str">
        <f t="shared" si="43"/>
        <v/>
      </c>
      <c r="X211" t="str">
        <f t="shared" si="44"/>
        <v/>
      </c>
      <c r="Y211">
        <f t="shared" si="39"/>
        <v>0</v>
      </c>
      <c r="Z211" t="str">
        <f t="shared" si="45"/>
        <v/>
      </c>
      <c r="AA211" s="20">
        <f t="shared" si="40"/>
        <v>3.8194444444444475E-2</v>
      </c>
      <c r="AB211">
        <f t="shared" si="46"/>
        <v>210</v>
      </c>
      <c r="AC211" s="20" t="str">
        <f t="shared" si="47"/>
        <v>10:55</v>
      </c>
      <c r="AD211" s="20" t="str">
        <f t="shared" si="41"/>
        <v>11:50</v>
      </c>
      <c r="AE211" t="str">
        <f>VLOOKUP(G211,ACtypes!A:C,3,FALSE)</f>
        <v>B</v>
      </c>
      <c r="AF211">
        <f t="shared" si="48"/>
        <v>1</v>
      </c>
      <c r="AG211">
        <f t="shared" si="49"/>
        <v>1</v>
      </c>
      <c r="AH211">
        <f t="shared" si="50"/>
        <v>30</v>
      </c>
    </row>
    <row r="212" spans="1:34" x14ac:dyDescent="0.3">
      <c r="A212" s="41">
        <f t="shared" si="51"/>
        <v>211</v>
      </c>
      <c r="B212" s="27">
        <v>307</v>
      </c>
      <c r="C212" s="28" t="s">
        <v>12</v>
      </c>
      <c r="D212" s="28" t="s">
        <v>13</v>
      </c>
      <c r="E212" s="28" t="s">
        <v>366</v>
      </c>
      <c r="F212" s="28" t="s">
        <v>15</v>
      </c>
      <c r="G212" s="28" t="s">
        <v>21</v>
      </c>
      <c r="H212" s="27">
        <v>0</v>
      </c>
      <c r="I212" s="27">
        <v>30</v>
      </c>
      <c r="J212" s="28" t="s">
        <v>17</v>
      </c>
      <c r="K212" s="27">
        <v>25</v>
      </c>
      <c r="L212" s="28" t="s">
        <v>22</v>
      </c>
      <c r="M212" s="27">
        <v>0</v>
      </c>
      <c r="O212" s="23">
        <v>212</v>
      </c>
      <c r="P212" t="str">
        <f>IF(O212&gt;0,VLOOKUP($O212,Dep!$A:$M,3),"")</f>
        <v>12:00</v>
      </c>
      <c r="Q212" t="str">
        <f>IF(O212&gt;0,VLOOKUP($O212,Dep!$A:$M,6),"")</f>
        <v>PDX</v>
      </c>
      <c r="R212" t="str">
        <f>IF(O212&gt;0,VLOOKUP($O212,Dep!$A:$M,7),"")</f>
        <v>DH8</v>
      </c>
      <c r="S212">
        <f>IF(O212&gt;0,VLOOKUP($O212,Dep!$A:$M,9),"")</f>
        <v>30</v>
      </c>
      <c r="T212" t="str">
        <f>IF(O212&gt;0,VLOOKUP($O212,Dep!$A:$M,10),"")</f>
        <v>NAT</v>
      </c>
      <c r="U212" t="str">
        <f>IF(O212&gt;0,VLOOKUP($O212,Dep!$A:$M,12),"")</f>
        <v>AS</v>
      </c>
      <c r="V212" t="str">
        <f t="shared" si="42"/>
        <v/>
      </c>
      <c r="W212" t="str">
        <f t="shared" si="43"/>
        <v/>
      </c>
      <c r="X212" t="str">
        <f t="shared" si="44"/>
        <v/>
      </c>
      <c r="Y212">
        <f t="shared" si="39"/>
        <v>0</v>
      </c>
      <c r="Z212" t="str">
        <f t="shared" si="45"/>
        <v/>
      </c>
      <c r="AA212" s="20">
        <f t="shared" si="40"/>
        <v>2.430555555555558E-2</v>
      </c>
      <c r="AB212">
        <f t="shared" si="46"/>
        <v>211</v>
      </c>
      <c r="AC212" s="20" t="str">
        <f t="shared" si="47"/>
        <v>11:25</v>
      </c>
      <c r="AD212" s="20" t="str">
        <f t="shared" si="41"/>
        <v>12:00</v>
      </c>
      <c r="AE212" t="str">
        <f>VLOOKUP(G212,ACtypes!A:C,3,FALSE)</f>
        <v>B</v>
      </c>
      <c r="AF212" t="str">
        <f t="shared" si="48"/>
        <v/>
      </c>
      <c r="AG212" t="str">
        <f t="shared" si="49"/>
        <v/>
      </c>
      <c r="AH212">
        <f t="shared" si="50"/>
        <v>30</v>
      </c>
    </row>
    <row r="213" spans="1:34" x14ac:dyDescent="0.3">
      <c r="A213" s="41">
        <f t="shared" si="51"/>
        <v>212</v>
      </c>
      <c r="B213" s="27">
        <v>104</v>
      </c>
      <c r="C213" s="28" t="s">
        <v>164</v>
      </c>
      <c r="D213" s="28" t="s">
        <v>13</v>
      </c>
      <c r="E213" s="28" t="s">
        <v>162</v>
      </c>
      <c r="F213" s="28" t="s">
        <v>15</v>
      </c>
      <c r="G213" s="28" t="s">
        <v>21</v>
      </c>
      <c r="H213" s="27">
        <v>0</v>
      </c>
      <c r="I213" s="27">
        <v>30</v>
      </c>
      <c r="J213" s="28" t="s">
        <v>17</v>
      </c>
      <c r="K213" s="27">
        <v>25</v>
      </c>
      <c r="L213" s="28" t="s">
        <v>22</v>
      </c>
      <c r="M213" s="27">
        <v>0</v>
      </c>
      <c r="O213" s="23">
        <v>213</v>
      </c>
      <c r="P213" t="str">
        <f>IF(O213&gt;0,VLOOKUP($O213,Dep!$A:$M,3),"")</f>
        <v>12:30</v>
      </c>
      <c r="Q213" t="str">
        <f>IF(O213&gt;0,VLOOKUP($O213,Dep!$A:$M,6),"")</f>
        <v>PDX</v>
      </c>
      <c r="R213" t="str">
        <f>IF(O213&gt;0,VLOOKUP($O213,Dep!$A:$M,7),"")</f>
        <v>DH8</v>
      </c>
      <c r="S213">
        <f>IF(O213&gt;0,VLOOKUP($O213,Dep!$A:$M,9),"")</f>
        <v>30</v>
      </c>
      <c r="T213" t="str">
        <f>IF(O213&gt;0,VLOOKUP($O213,Dep!$A:$M,10),"")</f>
        <v>NAT</v>
      </c>
      <c r="U213" t="str">
        <f>IF(O213&gt;0,VLOOKUP($O213,Dep!$A:$M,12),"")</f>
        <v>AS</v>
      </c>
      <c r="V213" t="str">
        <f t="shared" si="42"/>
        <v/>
      </c>
      <c r="W213" t="str">
        <f t="shared" si="43"/>
        <v/>
      </c>
      <c r="X213" t="str">
        <f t="shared" si="44"/>
        <v>X</v>
      </c>
      <c r="Y213">
        <f t="shared" si="39"/>
        <v>0</v>
      </c>
      <c r="Z213" t="str">
        <f t="shared" si="45"/>
        <v/>
      </c>
      <c r="AA213" s="20">
        <f t="shared" si="40"/>
        <v>2.4305555555555636E-2</v>
      </c>
      <c r="AB213">
        <f t="shared" si="46"/>
        <v>212</v>
      </c>
      <c r="AC213" s="20" t="str">
        <f t="shared" si="47"/>
        <v>11:55</v>
      </c>
      <c r="AD213" s="20" t="str">
        <f t="shared" si="41"/>
        <v>12:30</v>
      </c>
      <c r="AE213" t="str">
        <f>VLOOKUP(G213,ACtypes!A:C,3,FALSE)</f>
        <v>B</v>
      </c>
      <c r="AF213" t="str">
        <f t="shared" si="48"/>
        <v/>
      </c>
      <c r="AG213" t="str">
        <f t="shared" si="49"/>
        <v/>
      </c>
      <c r="AH213">
        <f t="shared" si="50"/>
        <v>30</v>
      </c>
    </row>
    <row r="214" spans="1:34" x14ac:dyDescent="0.3">
      <c r="A214" s="41">
        <f t="shared" si="51"/>
        <v>213</v>
      </c>
      <c r="B214" s="27">
        <v>959</v>
      </c>
      <c r="C214" s="28" t="s">
        <v>164</v>
      </c>
      <c r="D214" s="28" t="s">
        <v>13</v>
      </c>
      <c r="E214" s="28" t="s">
        <v>532</v>
      </c>
      <c r="F214" s="28" t="s">
        <v>15</v>
      </c>
      <c r="G214" s="28" t="s">
        <v>21</v>
      </c>
      <c r="H214" s="27">
        <v>0</v>
      </c>
      <c r="I214" s="27">
        <v>30</v>
      </c>
      <c r="J214" s="28" t="s">
        <v>17</v>
      </c>
      <c r="K214" s="27">
        <v>25</v>
      </c>
      <c r="L214" s="28" t="s">
        <v>22</v>
      </c>
      <c r="M214" s="27">
        <v>0</v>
      </c>
      <c r="O214" s="23">
        <v>214</v>
      </c>
      <c r="P214" t="str">
        <f>IF(O214&gt;0,VLOOKUP($O214,Dep!$A:$M,3),"")</f>
        <v>12:35</v>
      </c>
      <c r="Q214" t="str">
        <f>IF(O214&gt;0,VLOOKUP($O214,Dep!$A:$M,6),"")</f>
        <v>BLI</v>
      </c>
      <c r="R214" t="str">
        <f>IF(O214&gt;0,VLOOKUP($O214,Dep!$A:$M,7),"")</f>
        <v>DH8</v>
      </c>
      <c r="S214">
        <f>IF(O214&gt;0,VLOOKUP($O214,Dep!$A:$M,9),"")</f>
        <v>30</v>
      </c>
      <c r="T214" t="str">
        <f>IF(O214&gt;0,VLOOKUP($O214,Dep!$A:$M,10),"")</f>
        <v>NAT</v>
      </c>
      <c r="U214" t="str">
        <f>IF(O214&gt;0,VLOOKUP($O214,Dep!$A:$M,12),"")</f>
        <v>AS</v>
      </c>
      <c r="V214" t="str">
        <f t="shared" si="42"/>
        <v/>
      </c>
      <c r="W214" t="str">
        <f t="shared" si="43"/>
        <v/>
      </c>
      <c r="X214" t="str">
        <f t="shared" si="44"/>
        <v>X</v>
      </c>
      <c r="Y214">
        <f t="shared" si="39"/>
        <v>0</v>
      </c>
      <c r="Z214" t="str">
        <f t="shared" si="45"/>
        <v/>
      </c>
      <c r="AA214" s="20">
        <f t="shared" si="40"/>
        <v>2.7777777777777846E-2</v>
      </c>
      <c r="AB214">
        <f t="shared" si="46"/>
        <v>213</v>
      </c>
      <c r="AC214" s="20" t="str">
        <f t="shared" si="47"/>
        <v>11:55</v>
      </c>
      <c r="AD214" s="20" t="str">
        <f t="shared" si="41"/>
        <v>12:35</v>
      </c>
      <c r="AE214" t="str">
        <f>VLOOKUP(G214,ACtypes!A:C,3,FALSE)</f>
        <v>B</v>
      </c>
      <c r="AF214" t="str">
        <f t="shared" si="48"/>
        <v/>
      </c>
      <c r="AG214" t="str">
        <f t="shared" si="49"/>
        <v/>
      </c>
      <c r="AH214">
        <f t="shared" si="50"/>
        <v>30</v>
      </c>
    </row>
    <row r="215" spans="1:34" x14ac:dyDescent="0.3">
      <c r="A215" s="41">
        <f t="shared" si="51"/>
        <v>214</v>
      </c>
      <c r="B215" s="27">
        <v>968</v>
      </c>
      <c r="C215" s="28" t="s">
        <v>164</v>
      </c>
      <c r="D215" s="28" t="s">
        <v>13</v>
      </c>
      <c r="E215" s="28" t="s">
        <v>474</v>
      </c>
      <c r="F215" s="28" t="s">
        <v>15</v>
      </c>
      <c r="G215" s="28" t="s">
        <v>21</v>
      </c>
      <c r="H215" s="27">
        <v>0</v>
      </c>
      <c r="I215" s="27">
        <v>30</v>
      </c>
      <c r="J215" s="28" t="s">
        <v>28</v>
      </c>
      <c r="K215" s="27">
        <v>25</v>
      </c>
      <c r="L215" s="28" t="s">
        <v>22</v>
      </c>
      <c r="M215" s="27">
        <v>0</v>
      </c>
      <c r="O215" s="23">
        <v>215</v>
      </c>
      <c r="P215" t="str">
        <f>IF(O215&gt;0,VLOOKUP($O215,Dep!$A:$M,3),"")</f>
        <v>12:35</v>
      </c>
      <c r="Q215" t="str">
        <f>IF(O215&gt;0,VLOOKUP($O215,Dep!$A:$M,6),"")</f>
        <v>YKM</v>
      </c>
      <c r="R215" t="str">
        <f>IF(O215&gt;0,VLOOKUP($O215,Dep!$A:$M,7),"")</f>
        <v>DH8</v>
      </c>
      <c r="S215">
        <f>IF(O215&gt;0,VLOOKUP($O215,Dep!$A:$M,9),"")</f>
        <v>30</v>
      </c>
      <c r="T215" t="str">
        <f>IF(O215&gt;0,VLOOKUP($O215,Dep!$A:$M,10),"")</f>
        <v>NAT</v>
      </c>
      <c r="U215" t="str">
        <f>IF(O215&gt;0,VLOOKUP($O215,Dep!$A:$M,12),"")</f>
        <v>AS</v>
      </c>
      <c r="V215" t="str">
        <f t="shared" si="42"/>
        <v/>
      </c>
      <c r="W215" t="str">
        <f t="shared" si="43"/>
        <v/>
      </c>
      <c r="X215" t="str">
        <f t="shared" si="44"/>
        <v>X</v>
      </c>
      <c r="Y215">
        <f t="shared" si="39"/>
        <v>0</v>
      </c>
      <c r="Z215" t="str">
        <f t="shared" si="45"/>
        <v/>
      </c>
      <c r="AA215" s="20">
        <f t="shared" si="40"/>
        <v>2.7777777777777846E-2</v>
      </c>
      <c r="AB215">
        <f t="shared" si="46"/>
        <v>214</v>
      </c>
      <c r="AC215" s="20" t="str">
        <f t="shared" si="47"/>
        <v>11:55</v>
      </c>
      <c r="AD215" s="20" t="str">
        <f t="shared" si="41"/>
        <v>12:35</v>
      </c>
      <c r="AE215" t="str">
        <f>VLOOKUP(G215,ACtypes!A:C,3,FALSE)</f>
        <v>B</v>
      </c>
      <c r="AF215">
        <f t="shared" si="48"/>
        <v>1</v>
      </c>
      <c r="AG215" t="str">
        <f t="shared" si="49"/>
        <v/>
      </c>
      <c r="AH215">
        <f t="shared" si="50"/>
        <v>30</v>
      </c>
    </row>
    <row r="216" spans="1:34" x14ac:dyDescent="0.3">
      <c r="A216" s="41">
        <f t="shared" si="51"/>
        <v>215</v>
      </c>
      <c r="B216" s="27">
        <v>311</v>
      </c>
      <c r="C216" s="28" t="s">
        <v>379</v>
      </c>
      <c r="D216" s="28" t="s">
        <v>13</v>
      </c>
      <c r="E216" s="28" t="s">
        <v>366</v>
      </c>
      <c r="F216" s="28" t="s">
        <v>15</v>
      </c>
      <c r="G216" s="28" t="s">
        <v>21</v>
      </c>
      <c r="H216" s="27">
        <v>0</v>
      </c>
      <c r="I216" s="27">
        <v>30</v>
      </c>
      <c r="J216" s="28" t="s">
        <v>17</v>
      </c>
      <c r="K216" s="27">
        <v>25</v>
      </c>
      <c r="L216" s="28" t="s">
        <v>22</v>
      </c>
      <c r="M216" s="27">
        <v>0</v>
      </c>
      <c r="O216" s="23">
        <v>216</v>
      </c>
      <c r="P216" t="str">
        <f>IF(O216&gt;0,VLOOKUP($O216,Dep!$A:$M,3),"")</f>
        <v>12:40</v>
      </c>
      <c r="Q216" t="str">
        <f>IF(O216&gt;0,VLOOKUP($O216,Dep!$A:$M,6),"")</f>
        <v>RDM</v>
      </c>
      <c r="R216" t="str">
        <f>IF(O216&gt;0,VLOOKUP($O216,Dep!$A:$M,7),"")</f>
        <v>DH8</v>
      </c>
      <c r="S216">
        <f>IF(O216&gt;0,VLOOKUP($O216,Dep!$A:$M,9),"")</f>
        <v>30</v>
      </c>
      <c r="T216" t="str">
        <f>IF(O216&gt;0,VLOOKUP($O216,Dep!$A:$M,10),"")</f>
        <v>NAT</v>
      </c>
      <c r="U216" t="str">
        <f>IF(O216&gt;0,VLOOKUP($O216,Dep!$A:$M,12),"")</f>
        <v>AS</v>
      </c>
      <c r="V216" t="str">
        <f t="shared" si="42"/>
        <v/>
      </c>
      <c r="W216" t="str">
        <f t="shared" si="43"/>
        <v/>
      </c>
      <c r="X216" t="str">
        <f t="shared" si="44"/>
        <v>X</v>
      </c>
      <c r="Y216">
        <f t="shared" si="39"/>
        <v>0</v>
      </c>
      <c r="Z216" t="str">
        <f t="shared" si="45"/>
        <v/>
      </c>
      <c r="AA216" s="20">
        <f t="shared" si="40"/>
        <v>2.8472222222222288E-2</v>
      </c>
      <c r="AB216">
        <f t="shared" si="46"/>
        <v>215</v>
      </c>
      <c r="AC216" s="20" t="str">
        <f t="shared" si="47"/>
        <v>11:59</v>
      </c>
      <c r="AD216" s="20" t="str">
        <f t="shared" si="41"/>
        <v>12:40</v>
      </c>
      <c r="AE216" t="str">
        <f>VLOOKUP(G216,ACtypes!A:C,3,FALSE)</f>
        <v>B</v>
      </c>
      <c r="AF216" t="str">
        <f t="shared" si="48"/>
        <v/>
      </c>
      <c r="AG216" t="str">
        <f t="shared" si="49"/>
        <v/>
      </c>
      <c r="AH216">
        <f t="shared" si="50"/>
        <v>30</v>
      </c>
    </row>
    <row r="217" spans="1:34" x14ac:dyDescent="0.3">
      <c r="A217" s="41">
        <f t="shared" si="51"/>
        <v>216</v>
      </c>
      <c r="B217" s="27">
        <v>41</v>
      </c>
      <c r="C217" s="28" t="s">
        <v>82</v>
      </c>
      <c r="D217" s="28" t="s">
        <v>13</v>
      </c>
      <c r="E217" s="28" t="s">
        <v>76</v>
      </c>
      <c r="F217" s="28" t="s">
        <v>15</v>
      </c>
      <c r="G217" s="28" t="s">
        <v>21</v>
      </c>
      <c r="H217" s="27">
        <v>0</v>
      </c>
      <c r="I217" s="27">
        <v>30</v>
      </c>
      <c r="J217" s="28" t="s">
        <v>17</v>
      </c>
      <c r="K217" s="27">
        <v>25</v>
      </c>
      <c r="L217" s="28" t="s">
        <v>22</v>
      </c>
      <c r="M217" s="27">
        <v>0</v>
      </c>
      <c r="O217" s="23">
        <v>217</v>
      </c>
      <c r="P217" t="str">
        <f>IF(O217&gt;0,VLOOKUP($O217,Dep!$A:$M,3),"")</f>
        <v>12:40</v>
      </c>
      <c r="Q217" t="str">
        <f>IF(O217&gt;0,VLOOKUP($O217,Dep!$A:$M,6),"")</f>
        <v>YVR</v>
      </c>
      <c r="R217" t="str">
        <f>IF(O217&gt;0,VLOOKUP($O217,Dep!$A:$M,7),"")</f>
        <v>DH8</v>
      </c>
      <c r="S217">
        <f>IF(O217&gt;0,VLOOKUP($O217,Dep!$A:$M,9),"")</f>
        <v>30</v>
      </c>
      <c r="T217" t="str">
        <f>IF(O217&gt;0,VLOOKUP($O217,Dep!$A:$M,10),"")</f>
        <v>INT</v>
      </c>
      <c r="U217" t="str">
        <f>IF(O217&gt;0,VLOOKUP($O217,Dep!$A:$M,12),"")</f>
        <v>AS</v>
      </c>
      <c r="V217" t="str">
        <f t="shared" si="42"/>
        <v/>
      </c>
      <c r="W217" t="str">
        <f t="shared" si="43"/>
        <v/>
      </c>
      <c r="X217" t="str">
        <f t="shared" si="44"/>
        <v>X</v>
      </c>
      <c r="Y217">
        <f t="shared" si="39"/>
        <v>0</v>
      </c>
      <c r="Z217" t="str">
        <f t="shared" si="45"/>
        <v/>
      </c>
      <c r="AA217" s="20">
        <f t="shared" si="40"/>
        <v>2.5694444444444464E-2</v>
      </c>
      <c r="AB217">
        <f t="shared" si="46"/>
        <v>216</v>
      </c>
      <c r="AC217" s="20" t="str">
        <f t="shared" si="47"/>
        <v>12:03</v>
      </c>
      <c r="AD217" s="20" t="str">
        <f t="shared" si="41"/>
        <v>12:40</v>
      </c>
      <c r="AE217" t="str">
        <f>VLOOKUP(G217,ACtypes!A:C,3,FALSE)</f>
        <v>B</v>
      </c>
      <c r="AF217" t="str">
        <f t="shared" si="48"/>
        <v/>
      </c>
      <c r="AG217">
        <f t="shared" si="49"/>
        <v>1</v>
      </c>
      <c r="AH217">
        <f t="shared" si="50"/>
        <v>30</v>
      </c>
    </row>
    <row r="218" spans="1:34" x14ac:dyDescent="0.3">
      <c r="A218" s="41">
        <f t="shared" si="51"/>
        <v>217</v>
      </c>
      <c r="B218" s="27">
        <v>356</v>
      </c>
      <c r="C218" s="28" t="s">
        <v>87</v>
      </c>
      <c r="D218" s="28" t="s">
        <v>13</v>
      </c>
      <c r="E218" s="28" t="s">
        <v>418</v>
      </c>
      <c r="F218" s="28" t="s">
        <v>15</v>
      </c>
      <c r="G218" s="28" t="s">
        <v>21</v>
      </c>
      <c r="H218" s="27">
        <v>0</v>
      </c>
      <c r="I218" s="27">
        <v>30</v>
      </c>
      <c r="J218" s="28" t="s">
        <v>17</v>
      </c>
      <c r="K218" s="27">
        <v>25</v>
      </c>
      <c r="L218" s="28" t="s">
        <v>22</v>
      </c>
      <c r="M218" s="27">
        <v>0</v>
      </c>
      <c r="O218" s="23">
        <v>218</v>
      </c>
      <c r="P218" t="str">
        <f>IF(O218&gt;0,VLOOKUP($O218,Dep!$A:$M,3),"")</f>
        <v>12:52</v>
      </c>
      <c r="Q218" t="str">
        <f>IF(O218&gt;0,VLOOKUP($O218,Dep!$A:$M,6),"")</f>
        <v>PSC</v>
      </c>
      <c r="R218" t="str">
        <f>IF(O218&gt;0,VLOOKUP($O218,Dep!$A:$M,7),"")</f>
        <v>DH8</v>
      </c>
      <c r="S218">
        <f>IF(O218&gt;0,VLOOKUP($O218,Dep!$A:$M,9),"")</f>
        <v>30</v>
      </c>
      <c r="T218" t="str">
        <f>IF(O218&gt;0,VLOOKUP($O218,Dep!$A:$M,10),"")</f>
        <v>NAT</v>
      </c>
      <c r="U218" t="str">
        <f>IF(O218&gt;0,VLOOKUP($O218,Dep!$A:$M,12),"")</f>
        <v>AS</v>
      </c>
      <c r="V218" t="str">
        <f t="shared" si="42"/>
        <v/>
      </c>
      <c r="W218" t="str">
        <f t="shared" si="43"/>
        <v/>
      </c>
      <c r="X218" t="str">
        <f t="shared" si="44"/>
        <v/>
      </c>
      <c r="Y218">
        <f t="shared" si="39"/>
        <v>0</v>
      </c>
      <c r="Z218" t="str">
        <f t="shared" si="45"/>
        <v/>
      </c>
      <c r="AA218" s="20">
        <f t="shared" si="40"/>
        <v>2.5694444444444464E-2</v>
      </c>
      <c r="AB218">
        <f t="shared" si="46"/>
        <v>217</v>
      </c>
      <c r="AC218" s="20" t="str">
        <f t="shared" si="47"/>
        <v>12:15</v>
      </c>
      <c r="AD218" s="20" t="str">
        <f t="shared" si="41"/>
        <v>12:52</v>
      </c>
      <c r="AE218" t="str">
        <f>VLOOKUP(G218,ACtypes!A:C,3,FALSE)</f>
        <v>B</v>
      </c>
      <c r="AF218" t="str">
        <f t="shared" si="48"/>
        <v/>
      </c>
      <c r="AG218" t="str">
        <f t="shared" si="49"/>
        <v/>
      </c>
      <c r="AH218">
        <f t="shared" si="50"/>
        <v>30</v>
      </c>
    </row>
    <row r="219" spans="1:34" x14ac:dyDescent="0.3">
      <c r="A219" s="41">
        <f t="shared" si="51"/>
        <v>218</v>
      </c>
      <c r="B219" s="27">
        <v>332</v>
      </c>
      <c r="C219" s="28" t="s">
        <v>399</v>
      </c>
      <c r="D219" s="28" t="s">
        <v>13</v>
      </c>
      <c r="E219" s="28" t="s">
        <v>366</v>
      </c>
      <c r="F219" s="28" t="s">
        <v>15</v>
      </c>
      <c r="G219" s="28" t="s">
        <v>21</v>
      </c>
      <c r="H219" s="27">
        <v>0</v>
      </c>
      <c r="I219" s="27">
        <v>30</v>
      </c>
      <c r="J219" s="28" t="s">
        <v>17</v>
      </c>
      <c r="K219" s="27">
        <v>25</v>
      </c>
      <c r="L219" s="28" t="s">
        <v>22</v>
      </c>
      <c r="M219" s="27">
        <v>0</v>
      </c>
      <c r="O219" s="23">
        <v>219</v>
      </c>
      <c r="P219" t="str">
        <f>IF(O219&gt;0,VLOOKUP($O219,Dep!$A:$M,3),"")</f>
        <v>13:00</v>
      </c>
      <c r="Q219" t="str">
        <f>IF(O219&gt;0,VLOOKUP($O219,Dep!$A:$M,6),"")</f>
        <v>PDX</v>
      </c>
      <c r="R219" t="str">
        <f>IF(O219&gt;0,VLOOKUP($O219,Dep!$A:$M,7),"")</f>
        <v>DH8</v>
      </c>
      <c r="S219">
        <f>IF(O219&gt;0,VLOOKUP($O219,Dep!$A:$M,9),"")</f>
        <v>30</v>
      </c>
      <c r="T219" t="str">
        <f>IF(O219&gt;0,VLOOKUP($O219,Dep!$A:$M,10),"")</f>
        <v>NAT</v>
      </c>
      <c r="U219" t="str">
        <f>IF(O219&gt;0,VLOOKUP($O219,Dep!$A:$M,12),"")</f>
        <v>AS</v>
      </c>
      <c r="V219" t="str">
        <f t="shared" si="42"/>
        <v/>
      </c>
      <c r="W219" t="str">
        <f t="shared" si="43"/>
        <v/>
      </c>
      <c r="X219" t="str">
        <f t="shared" si="44"/>
        <v/>
      </c>
      <c r="Y219">
        <f t="shared" si="39"/>
        <v>0</v>
      </c>
      <c r="Z219" t="str">
        <f t="shared" si="45"/>
        <v/>
      </c>
      <c r="AA219" s="20">
        <f t="shared" si="40"/>
        <v>2.6388888888888795E-2</v>
      </c>
      <c r="AB219">
        <f t="shared" si="46"/>
        <v>218</v>
      </c>
      <c r="AC219" s="20" t="str">
        <f t="shared" si="47"/>
        <v>12:22</v>
      </c>
      <c r="AD219" s="20" t="str">
        <f t="shared" si="41"/>
        <v>13:00</v>
      </c>
      <c r="AE219" t="str">
        <f>VLOOKUP(G219,ACtypes!A:C,3,FALSE)</f>
        <v>B</v>
      </c>
      <c r="AF219" t="str">
        <f t="shared" si="48"/>
        <v/>
      </c>
      <c r="AG219" t="str">
        <f t="shared" si="49"/>
        <v/>
      </c>
      <c r="AH219">
        <f t="shared" si="50"/>
        <v>30</v>
      </c>
    </row>
    <row r="220" spans="1:34" x14ac:dyDescent="0.3">
      <c r="A220" s="41">
        <f t="shared" si="51"/>
        <v>219</v>
      </c>
      <c r="B220" s="27">
        <v>997</v>
      </c>
      <c r="C220" s="28" t="s">
        <v>496</v>
      </c>
      <c r="D220" s="28" t="s">
        <v>13</v>
      </c>
      <c r="E220" s="28" t="s">
        <v>493</v>
      </c>
      <c r="F220" s="28" t="s">
        <v>15</v>
      </c>
      <c r="G220" s="28" t="s">
        <v>21</v>
      </c>
      <c r="H220" s="27">
        <v>0</v>
      </c>
      <c r="I220" s="27">
        <v>30</v>
      </c>
      <c r="J220" s="28" t="s">
        <v>28</v>
      </c>
      <c r="K220" s="27">
        <v>25</v>
      </c>
      <c r="L220" s="28" t="s">
        <v>22</v>
      </c>
      <c r="M220" s="27">
        <v>0</v>
      </c>
      <c r="O220" s="23">
        <v>220</v>
      </c>
      <c r="P220" t="str">
        <f>IF(O220&gt;0,VLOOKUP($O220,Dep!$A:$M,3),"")</f>
        <v>13:02</v>
      </c>
      <c r="Q220" t="str">
        <f>IF(O220&gt;0,VLOOKUP($O220,Dep!$A:$M,6),"")</f>
        <v>YYJ</v>
      </c>
      <c r="R220" t="str">
        <f>IF(O220&gt;0,VLOOKUP($O220,Dep!$A:$M,7),"")</f>
        <v>DH8</v>
      </c>
      <c r="S220">
        <f>IF(O220&gt;0,VLOOKUP($O220,Dep!$A:$M,9),"")</f>
        <v>30</v>
      </c>
      <c r="T220" t="str">
        <f>IF(O220&gt;0,VLOOKUP($O220,Dep!$A:$M,10),"")</f>
        <v>INT</v>
      </c>
      <c r="U220" t="str">
        <f>IF(O220&gt;0,VLOOKUP($O220,Dep!$A:$M,12),"")</f>
        <v>AS</v>
      </c>
      <c r="V220" t="str">
        <f t="shared" si="42"/>
        <v/>
      </c>
      <c r="W220" t="str">
        <f t="shared" si="43"/>
        <v/>
      </c>
      <c r="X220" t="str">
        <f t="shared" si="44"/>
        <v/>
      </c>
      <c r="Y220">
        <f t="shared" si="39"/>
        <v>0</v>
      </c>
      <c r="Z220" t="str">
        <f t="shared" si="45"/>
        <v/>
      </c>
      <c r="AA220" s="20">
        <f t="shared" si="40"/>
        <v>2.3611111111111027E-2</v>
      </c>
      <c r="AB220">
        <f t="shared" si="46"/>
        <v>219</v>
      </c>
      <c r="AC220" s="20" t="str">
        <f t="shared" si="47"/>
        <v>12:28</v>
      </c>
      <c r="AD220" s="20" t="str">
        <f t="shared" si="41"/>
        <v>13:02</v>
      </c>
      <c r="AE220" t="str">
        <f>VLOOKUP(G220,ACtypes!A:C,3,FALSE)</f>
        <v>B</v>
      </c>
      <c r="AF220">
        <f t="shared" si="48"/>
        <v>1</v>
      </c>
      <c r="AG220">
        <f t="shared" si="49"/>
        <v>1</v>
      </c>
      <c r="AH220">
        <f t="shared" si="50"/>
        <v>30</v>
      </c>
    </row>
    <row r="221" spans="1:34" x14ac:dyDescent="0.3">
      <c r="A221" s="41">
        <f t="shared" si="51"/>
        <v>220</v>
      </c>
      <c r="B221" s="27">
        <v>4</v>
      </c>
      <c r="C221" s="28" t="s">
        <v>24</v>
      </c>
      <c r="D221" s="28" t="s">
        <v>13</v>
      </c>
      <c r="E221" s="28" t="s">
        <v>20</v>
      </c>
      <c r="F221" s="28" t="s">
        <v>15</v>
      </c>
      <c r="G221" s="28" t="s">
        <v>21</v>
      </c>
      <c r="H221" s="27">
        <v>0</v>
      </c>
      <c r="I221" s="27">
        <v>30</v>
      </c>
      <c r="J221" s="28" t="s">
        <v>17</v>
      </c>
      <c r="K221" s="27">
        <v>25</v>
      </c>
      <c r="L221" s="28" t="s">
        <v>22</v>
      </c>
      <c r="M221" s="27">
        <v>0</v>
      </c>
      <c r="O221" s="23">
        <v>221</v>
      </c>
      <c r="P221" t="str">
        <f>IF(O221&gt;0,VLOOKUP($O221,Dep!$A:$M,3),"")</f>
        <v>13:25</v>
      </c>
      <c r="Q221" t="str">
        <f>IF(O221&gt;0,VLOOKUP($O221,Dep!$A:$M,6),"")</f>
        <v>YLW</v>
      </c>
      <c r="R221" t="str">
        <f>IF(O221&gt;0,VLOOKUP($O221,Dep!$A:$M,7),"")</f>
        <v>DH8</v>
      </c>
      <c r="S221">
        <f>IF(O221&gt;0,VLOOKUP($O221,Dep!$A:$M,9),"")</f>
        <v>30</v>
      </c>
      <c r="T221" t="str">
        <f>IF(O221&gt;0,VLOOKUP($O221,Dep!$A:$M,10),"")</f>
        <v>INT</v>
      </c>
      <c r="U221" t="str">
        <f>IF(O221&gt;0,VLOOKUP($O221,Dep!$A:$M,12),"")</f>
        <v>AS</v>
      </c>
      <c r="V221" t="str">
        <f t="shared" si="42"/>
        <v/>
      </c>
      <c r="W221" t="str">
        <f t="shared" si="43"/>
        <v/>
      </c>
      <c r="X221" t="str">
        <f t="shared" si="44"/>
        <v>X</v>
      </c>
      <c r="Y221">
        <f t="shared" si="39"/>
        <v>0</v>
      </c>
      <c r="Z221" t="str">
        <f t="shared" si="45"/>
        <v/>
      </c>
      <c r="AA221" s="20">
        <f t="shared" si="40"/>
        <v>3.5416666666666652E-2</v>
      </c>
      <c r="AB221">
        <f t="shared" si="46"/>
        <v>220</v>
      </c>
      <c r="AC221" s="20" t="str">
        <f t="shared" si="47"/>
        <v>12:34</v>
      </c>
      <c r="AD221" s="20" t="str">
        <f t="shared" si="41"/>
        <v>13:25</v>
      </c>
      <c r="AE221" t="str">
        <f>VLOOKUP(G221,ACtypes!A:C,3,FALSE)</f>
        <v>B</v>
      </c>
      <c r="AF221" t="str">
        <f t="shared" si="48"/>
        <v/>
      </c>
      <c r="AG221">
        <f t="shared" si="49"/>
        <v>1</v>
      </c>
      <c r="AH221">
        <f t="shared" si="50"/>
        <v>30</v>
      </c>
    </row>
    <row r="222" spans="1:34" x14ac:dyDescent="0.3">
      <c r="A222" s="41">
        <f t="shared" si="51"/>
        <v>221</v>
      </c>
      <c r="B222" s="27">
        <v>964</v>
      </c>
      <c r="C222" s="28" t="s">
        <v>535</v>
      </c>
      <c r="D222" s="28" t="s">
        <v>13</v>
      </c>
      <c r="E222" s="28" t="s">
        <v>534</v>
      </c>
      <c r="F222" s="28" t="s">
        <v>15</v>
      </c>
      <c r="G222" s="28" t="s">
        <v>21</v>
      </c>
      <c r="H222" s="27">
        <v>0</v>
      </c>
      <c r="I222" s="27">
        <v>30</v>
      </c>
      <c r="J222" s="28" t="s">
        <v>28</v>
      </c>
      <c r="K222" s="27">
        <v>25</v>
      </c>
      <c r="L222" s="28" t="s">
        <v>22</v>
      </c>
      <c r="M222" s="27">
        <v>0</v>
      </c>
      <c r="O222" s="23">
        <v>222</v>
      </c>
      <c r="P222" t="str">
        <f>IF(O222&gt;0,VLOOKUP($O222,Dep!$A:$M,3),"")</f>
        <v>13:30</v>
      </c>
      <c r="Q222" t="str">
        <f>IF(O222&gt;0,VLOOKUP($O222,Dep!$A:$M,6),"")</f>
        <v>PDX</v>
      </c>
      <c r="R222" t="str">
        <f>IF(O222&gt;0,VLOOKUP($O222,Dep!$A:$M,7),"")</f>
        <v>DH8</v>
      </c>
      <c r="S222">
        <f>IF(O222&gt;0,VLOOKUP($O222,Dep!$A:$M,9),"")</f>
        <v>30</v>
      </c>
      <c r="T222" t="str">
        <f>IF(O222&gt;0,VLOOKUP($O222,Dep!$A:$M,10),"")</f>
        <v>NAT</v>
      </c>
      <c r="U222" t="str">
        <f>IF(O222&gt;0,VLOOKUP($O222,Dep!$A:$M,12),"")</f>
        <v>AS</v>
      </c>
      <c r="V222" t="str">
        <f t="shared" si="42"/>
        <v/>
      </c>
      <c r="W222" t="str">
        <f t="shared" si="43"/>
        <v/>
      </c>
      <c r="X222" t="str">
        <f t="shared" si="44"/>
        <v>X</v>
      </c>
      <c r="Y222">
        <f t="shared" si="39"/>
        <v>0</v>
      </c>
      <c r="Z222" t="str">
        <f t="shared" si="45"/>
        <v/>
      </c>
      <c r="AA222" s="20">
        <f t="shared" si="40"/>
        <v>2.6388888888888906E-2</v>
      </c>
      <c r="AB222">
        <f t="shared" si="46"/>
        <v>221</v>
      </c>
      <c r="AC222" s="20" t="str">
        <f t="shared" si="47"/>
        <v>12:52</v>
      </c>
      <c r="AD222" s="20" t="str">
        <f t="shared" si="41"/>
        <v>13:30</v>
      </c>
      <c r="AE222" t="str">
        <f>VLOOKUP(G222,ACtypes!A:C,3,FALSE)</f>
        <v>B</v>
      </c>
      <c r="AF222">
        <f t="shared" si="48"/>
        <v>1</v>
      </c>
      <c r="AG222" t="str">
        <f t="shared" si="49"/>
        <v/>
      </c>
      <c r="AH222">
        <f t="shared" si="50"/>
        <v>30</v>
      </c>
    </row>
    <row r="223" spans="1:34" x14ac:dyDescent="0.3">
      <c r="A223" s="41">
        <f t="shared" si="51"/>
        <v>222</v>
      </c>
      <c r="B223" s="27">
        <v>328</v>
      </c>
      <c r="C223" s="28" t="s">
        <v>395</v>
      </c>
      <c r="D223" s="28" t="s">
        <v>13</v>
      </c>
      <c r="E223" s="28" t="s">
        <v>366</v>
      </c>
      <c r="F223" s="28" t="s">
        <v>15</v>
      </c>
      <c r="G223" s="28" t="s">
        <v>21</v>
      </c>
      <c r="H223" s="27">
        <v>0</v>
      </c>
      <c r="I223" s="27">
        <v>30</v>
      </c>
      <c r="J223" s="28" t="s">
        <v>17</v>
      </c>
      <c r="K223" s="27">
        <v>25</v>
      </c>
      <c r="L223" s="28" t="s">
        <v>22</v>
      </c>
      <c r="M223" s="27">
        <v>0</v>
      </c>
      <c r="O223" s="23">
        <v>223</v>
      </c>
      <c r="P223" t="str">
        <f>IF(O223&gt;0,VLOOKUP($O223,Dep!$A:$M,3),"")</f>
        <v>13:30</v>
      </c>
      <c r="Q223" t="str">
        <f>IF(O223&gt;0,VLOOKUP($O223,Dep!$A:$M,6),"")</f>
        <v>YVR</v>
      </c>
      <c r="R223" t="str">
        <f>IF(O223&gt;0,VLOOKUP($O223,Dep!$A:$M,7),"")</f>
        <v>DH8</v>
      </c>
      <c r="S223">
        <f>IF(O223&gt;0,VLOOKUP($O223,Dep!$A:$M,9),"")</f>
        <v>30</v>
      </c>
      <c r="T223" t="str">
        <f>IF(O223&gt;0,VLOOKUP($O223,Dep!$A:$M,10),"")</f>
        <v>INT</v>
      </c>
      <c r="U223" t="str">
        <f>IF(O223&gt;0,VLOOKUP($O223,Dep!$A:$M,12),"")</f>
        <v>AS</v>
      </c>
      <c r="V223" t="str">
        <f t="shared" si="42"/>
        <v/>
      </c>
      <c r="W223" t="str">
        <f t="shared" si="43"/>
        <v/>
      </c>
      <c r="X223" t="str">
        <f t="shared" si="44"/>
        <v>X</v>
      </c>
      <c r="Y223">
        <f t="shared" si="39"/>
        <v>0</v>
      </c>
      <c r="Z223" t="str">
        <f t="shared" si="45"/>
        <v/>
      </c>
      <c r="AA223" s="20">
        <f t="shared" si="40"/>
        <v>2.430555555555558E-2</v>
      </c>
      <c r="AB223">
        <f t="shared" si="46"/>
        <v>222</v>
      </c>
      <c r="AC223" s="20" t="str">
        <f t="shared" si="47"/>
        <v>12:55</v>
      </c>
      <c r="AD223" s="20" t="str">
        <f t="shared" si="41"/>
        <v>13:30</v>
      </c>
      <c r="AE223" t="str">
        <f>VLOOKUP(G223,ACtypes!A:C,3,FALSE)</f>
        <v>B</v>
      </c>
      <c r="AF223" t="str">
        <f t="shared" si="48"/>
        <v/>
      </c>
      <c r="AG223">
        <f t="shared" si="49"/>
        <v>1</v>
      </c>
      <c r="AH223">
        <f t="shared" si="50"/>
        <v>30</v>
      </c>
    </row>
    <row r="224" spans="1:34" x14ac:dyDescent="0.3">
      <c r="A224" s="41">
        <f t="shared" si="51"/>
        <v>223</v>
      </c>
      <c r="B224" s="27">
        <v>975</v>
      </c>
      <c r="C224" s="28" t="s">
        <v>479</v>
      </c>
      <c r="D224" s="28" t="s">
        <v>13</v>
      </c>
      <c r="E224" s="28" t="s">
        <v>474</v>
      </c>
      <c r="F224" s="28" t="s">
        <v>15</v>
      </c>
      <c r="G224" s="28" t="s">
        <v>21</v>
      </c>
      <c r="H224" s="27">
        <v>0</v>
      </c>
      <c r="I224" s="27">
        <v>30</v>
      </c>
      <c r="J224" s="28" t="s">
        <v>28</v>
      </c>
      <c r="K224" s="27">
        <v>25</v>
      </c>
      <c r="L224" s="28" t="s">
        <v>22</v>
      </c>
      <c r="M224" s="27">
        <v>0</v>
      </c>
      <c r="O224" s="23">
        <v>224</v>
      </c>
      <c r="P224" t="str">
        <f>IF(O224&gt;0,VLOOKUP($O224,Dep!$A:$M,3),"")</f>
        <v>13:32</v>
      </c>
      <c r="Q224" t="str">
        <f>IF(O224&gt;0,VLOOKUP($O224,Dep!$A:$M,6),"")</f>
        <v>LWS</v>
      </c>
      <c r="R224" t="str">
        <f>IF(O224&gt;0,VLOOKUP($O224,Dep!$A:$M,7),"")</f>
        <v>DH8</v>
      </c>
      <c r="S224">
        <f>IF(O224&gt;0,VLOOKUP($O224,Dep!$A:$M,9),"")</f>
        <v>30</v>
      </c>
      <c r="T224" t="str">
        <f>IF(O224&gt;0,VLOOKUP($O224,Dep!$A:$M,10),"")</f>
        <v>NAT</v>
      </c>
      <c r="U224" t="str">
        <f>IF(O224&gt;0,VLOOKUP($O224,Dep!$A:$M,12),"")</f>
        <v>AS</v>
      </c>
      <c r="V224" t="str">
        <f t="shared" si="42"/>
        <v/>
      </c>
      <c r="W224" t="str">
        <f t="shared" si="43"/>
        <v/>
      </c>
      <c r="X224" t="str">
        <f t="shared" si="44"/>
        <v>X</v>
      </c>
      <c r="Y224">
        <f t="shared" si="39"/>
        <v>0</v>
      </c>
      <c r="Z224" t="str">
        <f t="shared" si="45"/>
        <v/>
      </c>
      <c r="AA224" s="20">
        <f t="shared" si="40"/>
        <v>2.2916666666666696E-2</v>
      </c>
      <c r="AB224">
        <f t="shared" si="46"/>
        <v>223</v>
      </c>
      <c r="AC224" s="20" t="str">
        <f t="shared" si="47"/>
        <v>12:59</v>
      </c>
      <c r="AD224" s="20" t="str">
        <f t="shared" si="41"/>
        <v>13:32</v>
      </c>
      <c r="AE224" t="str">
        <f>VLOOKUP(G224,ACtypes!A:C,3,FALSE)</f>
        <v>B</v>
      </c>
      <c r="AF224">
        <f t="shared" si="48"/>
        <v>1</v>
      </c>
      <c r="AG224" t="str">
        <f t="shared" si="49"/>
        <v/>
      </c>
      <c r="AH224">
        <f t="shared" si="50"/>
        <v>30</v>
      </c>
    </row>
    <row r="225" spans="1:34" x14ac:dyDescent="0.3">
      <c r="A225" s="41">
        <f t="shared" si="51"/>
        <v>224</v>
      </c>
      <c r="B225" s="27">
        <v>227</v>
      </c>
      <c r="C225" s="28" t="s">
        <v>300</v>
      </c>
      <c r="D225" s="28" t="s">
        <v>13</v>
      </c>
      <c r="E225" s="28" t="s">
        <v>299</v>
      </c>
      <c r="F225" s="28" t="s">
        <v>15</v>
      </c>
      <c r="G225" s="28" t="s">
        <v>21</v>
      </c>
      <c r="H225" s="27">
        <v>0</v>
      </c>
      <c r="I225" s="27">
        <v>30</v>
      </c>
      <c r="J225" s="28" t="s">
        <v>17</v>
      </c>
      <c r="K225" s="27">
        <v>25</v>
      </c>
      <c r="L225" s="28" t="s">
        <v>22</v>
      </c>
      <c r="M225" s="27">
        <v>0</v>
      </c>
      <c r="O225" s="23">
        <v>225</v>
      </c>
      <c r="P225" t="str">
        <f>IF(O225&gt;0,VLOOKUP($O225,Dep!$A:$M,3),"")</f>
        <v>13:45</v>
      </c>
      <c r="Q225" t="str">
        <f>IF(O225&gt;0,VLOOKUP($O225,Dep!$A:$M,6),"")</f>
        <v>EAT</v>
      </c>
      <c r="R225" t="str">
        <f>IF(O225&gt;0,VLOOKUP($O225,Dep!$A:$M,7),"")</f>
        <v>DH8</v>
      </c>
      <c r="S225">
        <f>IF(O225&gt;0,VLOOKUP($O225,Dep!$A:$M,9),"")</f>
        <v>30</v>
      </c>
      <c r="T225" t="str">
        <f>IF(O225&gt;0,VLOOKUP($O225,Dep!$A:$M,10),"")</f>
        <v>NAT</v>
      </c>
      <c r="U225" t="str">
        <f>IF(O225&gt;0,VLOOKUP($O225,Dep!$A:$M,12),"")</f>
        <v>AS</v>
      </c>
      <c r="V225" t="str">
        <f t="shared" si="42"/>
        <v/>
      </c>
      <c r="W225" t="str">
        <f t="shared" si="43"/>
        <v/>
      </c>
      <c r="X225" t="str">
        <f t="shared" si="44"/>
        <v>X</v>
      </c>
      <c r="Y225">
        <f t="shared" si="39"/>
        <v>0</v>
      </c>
      <c r="Z225" t="str">
        <f t="shared" si="45"/>
        <v/>
      </c>
      <c r="AA225" s="20">
        <f t="shared" si="40"/>
        <v>2.0833333333333259E-2</v>
      </c>
      <c r="AB225">
        <f t="shared" si="46"/>
        <v>224</v>
      </c>
      <c r="AC225" s="20" t="str">
        <f t="shared" si="47"/>
        <v>13:15</v>
      </c>
      <c r="AD225" s="20" t="str">
        <f t="shared" si="41"/>
        <v>13:45</v>
      </c>
      <c r="AE225" t="str">
        <f>VLOOKUP(G225,ACtypes!A:C,3,FALSE)</f>
        <v>B</v>
      </c>
      <c r="AF225" t="str">
        <f t="shared" si="48"/>
        <v/>
      </c>
      <c r="AG225" t="str">
        <f t="shared" si="49"/>
        <v/>
      </c>
      <c r="AH225">
        <f t="shared" si="50"/>
        <v>30</v>
      </c>
    </row>
    <row r="226" spans="1:34" x14ac:dyDescent="0.3">
      <c r="A226" s="41">
        <f t="shared" si="51"/>
        <v>225</v>
      </c>
      <c r="B226" s="27">
        <v>329</v>
      </c>
      <c r="C226" s="28" t="s">
        <v>396</v>
      </c>
      <c r="D226" s="28" t="s">
        <v>13</v>
      </c>
      <c r="E226" s="28" t="s">
        <v>366</v>
      </c>
      <c r="F226" s="28" t="s">
        <v>15</v>
      </c>
      <c r="G226" s="28" t="s">
        <v>21</v>
      </c>
      <c r="H226" s="27">
        <v>0</v>
      </c>
      <c r="I226" s="27">
        <v>30</v>
      </c>
      <c r="J226" s="28" t="s">
        <v>17</v>
      </c>
      <c r="K226" s="27">
        <v>25</v>
      </c>
      <c r="L226" s="28" t="s">
        <v>22</v>
      </c>
      <c r="M226" s="27">
        <v>0</v>
      </c>
      <c r="O226" s="23">
        <v>226</v>
      </c>
      <c r="P226" t="str">
        <f>IF(O226&gt;0,VLOOKUP($O226,Dep!$A:$M,3),"")</f>
        <v>14:00</v>
      </c>
      <c r="Q226" t="str">
        <f>IF(O226&gt;0,VLOOKUP($O226,Dep!$A:$M,6),"")</f>
        <v>PDX</v>
      </c>
      <c r="R226" t="str">
        <f>IF(O226&gt;0,VLOOKUP($O226,Dep!$A:$M,7),"")</f>
        <v>DH8</v>
      </c>
      <c r="S226">
        <f>IF(O226&gt;0,VLOOKUP($O226,Dep!$A:$M,9),"")</f>
        <v>30</v>
      </c>
      <c r="T226" t="str">
        <f>IF(O226&gt;0,VLOOKUP($O226,Dep!$A:$M,10),"")</f>
        <v>NAT</v>
      </c>
      <c r="U226" t="str">
        <f>IF(O226&gt;0,VLOOKUP($O226,Dep!$A:$M,12),"")</f>
        <v>AS</v>
      </c>
      <c r="V226" t="str">
        <f t="shared" si="42"/>
        <v/>
      </c>
      <c r="W226" t="str">
        <f t="shared" si="43"/>
        <v/>
      </c>
      <c r="X226" t="str">
        <f t="shared" si="44"/>
        <v/>
      </c>
      <c r="Y226">
        <f t="shared" si="39"/>
        <v>0</v>
      </c>
      <c r="Z226" t="str">
        <f t="shared" si="45"/>
        <v/>
      </c>
      <c r="AA226" s="20">
        <f t="shared" si="40"/>
        <v>2.430555555555558E-2</v>
      </c>
      <c r="AB226">
        <f t="shared" si="46"/>
        <v>225</v>
      </c>
      <c r="AC226" s="20" t="str">
        <f t="shared" si="47"/>
        <v>13:25</v>
      </c>
      <c r="AD226" s="20" t="str">
        <f t="shared" si="41"/>
        <v>14:00</v>
      </c>
      <c r="AE226" t="str">
        <f>VLOOKUP(G226,ACtypes!A:C,3,FALSE)</f>
        <v>B</v>
      </c>
      <c r="AF226" t="str">
        <f t="shared" si="48"/>
        <v/>
      </c>
      <c r="AG226" t="str">
        <f t="shared" si="49"/>
        <v/>
      </c>
      <c r="AH226">
        <f t="shared" si="50"/>
        <v>30</v>
      </c>
    </row>
    <row r="227" spans="1:34" x14ac:dyDescent="0.3">
      <c r="A227" s="41">
        <f t="shared" si="51"/>
        <v>226</v>
      </c>
      <c r="B227" s="27">
        <v>972</v>
      </c>
      <c r="C227" s="28" t="s">
        <v>477</v>
      </c>
      <c r="D227" s="28" t="s">
        <v>13</v>
      </c>
      <c r="E227" s="28" t="s">
        <v>474</v>
      </c>
      <c r="F227" s="28" t="s">
        <v>15</v>
      </c>
      <c r="G227" s="28" t="s">
        <v>21</v>
      </c>
      <c r="H227" s="27">
        <v>0</v>
      </c>
      <c r="I227" s="27">
        <v>30</v>
      </c>
      <c r="J227" s="28" t="s">
        <v>28</v>
      </c>
      <c r="K227" s="27">
        <v>25</v>
      </c>
      <c r="L227" s="28" t="s">
        <v>22</v>
      </c>
      <c r="M227" s="27">
        <v>0</v>
      </c>
      <c r="O227" s="23">
        <v>227</v>
      </c>
      <c r="P227" t="str">
        <f>IF(O227&gt;0,VLOOKUP($O227,Dep!$A:$M,3),"")</f>
        <v>14:20</v>
      </c>
      <c r="Q227" t="str">
        <f>IF(O227&gt;0,VLOOKUP($O227,Dep!$A:$M,6),"")</f>
        <v>YYJ</v>
      </c>
      <c r="R227" t="str">
        <f>IF(O227&gt;0,VLOOKUP($O227,Dep!$A:$M,7),"")</f>
        <v>DH8</v>
      </c>
      <c r="S227">
        <f>IF(O227&gt;0,VLOOKUP($O227,Dep!$A:$M,9),"")</f>
        <v>30</v>
      </c>
      <c r="T227" t="str">
        <f>IF(O227&gt;0,VLOOKUP($O227,Dep!$A:$M,10),"")</f>
        <v>INT</v>
      </c>
      <c r="U227" t="str">
        <f>IF(O227&gt;0,VLOOKUP($O227,Dep!$A:$M,12),"")</f>
        <v>AS</v>
      </c>
      <c r="V227" t="str">
        <f t="shared" si="42"/>
        <v/>
      </c>
      <c r="W227" t="str">
        <f t="shared" si="43"/>
        <v/>
      </c>
      <c r="X227" t="str">
        <f t="shared" si="44"/>
        <v>X</v>
      </c>
      <c r="Y227">
        <f t="shared" si="39"/>
        <v>0</v>
      </c>
      <c r="Z227" t="str">
        <f t="shared" si="45"/>
        <v/>
      </c>
      <c r="AA227" s="20">
        <f t="shared" si="40"/>
        <v>2.0833333333333259E-2</v>
      </c>
      <c r="AB227">
        <f t="shared" si="46"/>
        <v>226</v>
      </c>
      <c r="AC227" s="20" t="str">
        <f t="shared" si="47"/>
        <v>13:50</v>
      </c>
      <c r="AD227" s="20" t="str">
        <f t="shared" si="41"/>
        <v>14:20</v>
      </c>
      <c r="AE227" t="str">
        <f>VLOOKUP(G227,ACtypes!A:C,3,FALSE)</f>
        <v>B</v>
      </c>
      <c r="AF227">
        <f t="shared" si="48"/>
        <v>1</v>
      </c>
      <c r="AG227">
        <f t="shared" si="49"/>
        <v>1</v>
      </c>
      <c r="AH227">
        <f t="shared" si="50"/>
        <v>30</v>
      </c>
    </row>
    <row r="228" spans="1:34" x14ac:dyDescent="0.3">
      <c r="A228" s="41">
        <f t="shared" si="51"/>
        <v>227</v>
      </c>
      <c r="B228" s="27">
        <v>321</v>
      </c>
      <c r="C228" s="28" t="s">
        <v>388</v>
      </c>
      <c r="D228" s="28" t="s">
        <v>13</v>
      </c>
      <c r="E228" s="28" t="s">
        <v>366</v>
      </c>
      <c r="F228" s="28" t="s">
        <v>15</v>
      </c>
      <c r="G228" s="28" t="s">
        <v>21</v>
      </c>
      <c r="H228" s="27">
        <v>0</v>
      </c>
      <c r="I228" s="27">
        <v>30</v>
      </c>
      <c r="J228" s="28" t="s">
        <v>17</v>
      </c>
      <c r="K228" s="27">
        <v>25</v>
      </c>
      <c r="L228" s="28" t="s">
        <v>22</v>
      </c>
      <c r="M228" s="27">
        <v>0</v>
      </c>
      <c r="O228" s="23">
        <v>228</v>
      </c>
      <c r="P228" t="str">
        <f>IF(O228&gt;0,VLOOKUP($O228,Dep!$A:$M,3),"")</f>
        <v>14:22</v>
      </c>
      <c r="Q228" t="str">
        <f>IF(O228&gt;0,VLOOKUP($O228,Dep!$A:$M,6),"")</f>
        <v>BLI</v>
      </c>
      <c r="R228" t="str">
        <f>IF(O228&gt;0,VLOOKUP($O228,Dep!$A:$M,7),"")</f>
        <v>DH8</v>
      </c>
      <c r="S228">
        <f>IF(O228&gt;0,VLOOKUP($O228,Dep!$A:$M,9),"")</f>
        <v>30</v>
      </c>
      <c r="T228" t="str">
        <f>IF(O228&gt;0,VLOOKUP($O228,Dep!$A:$M,10),"")</f>
        <v>NAT</v>
      </c>
      <c r="U228" t="str">
        <f>IF(O228&gt;0,VLOOKUP($O228,Dep!$A:$M,12),"")</f>
        <v>AS</v>
      </c>
      <c r="V228" t="str">
        <f t="shared" si="42"/>
        <v/>
      </c>
      <c r="W228" t="str">
        <f t="shared" si="43"/>
        <v/>
      </c>
      <c r="X228" t="str">
        <f t="shared" si="44"/>
        <v>X</v>
      </c>
      <c r="Y228">
        <f t="shared" si="39"/>
        <v>0</v>
      </c>
      <c r="Z228" t="str">
        <f t="shared" si="45"/>
        <v/>
      </c>
      <c r="AA228" s="20">
        <f t="shared" si="40"/>
        <v>2.0833333333333259E-2</v>
      </c>
      <c r="AB228">
        <f t="shared" si="46"/>
        <v>227</v>
      </c>
      <c r="AC228" s="20" t="str">
        <f t="shared" si="47"/>
        <v>13:52</v>
      </c>
      <c r="AD228" s="20" t="str">
        <f t="shared" si="41"/>
        <v>14:22</v>
      </c>
      <c r="AE228" t="str">
        <f>VLOOKUP(G228,ACtypes!A:C,3,FALSE)</f>
        <v>B</v>
      </c>
      <c r="AF228" t="str">
        <f t="shared" si="48"/>
        <v/>
      </c>
      <c r="AG228" t="str">
        <f t="shared" si="49"/>
        <v/>
      </c>
      <c r="AH228">
        <f t="shared" si="50"/>
        <v>30</v>
      </c>
    </row>
    <row r="229" spans="1:34" x14ac:dyDescent="0.3">
      <c r="A229" s="41">
        <f t="shared" si="51"/>
        <v>228</v>
      </c>
      <c r="B229" s="27">
        <v>977</v>
      </c>
      <c r="C229" s="28" t="s">
        <v>142</v>
      </c>
      <c r="D229" s="28" t="s">
        <v>13</v>
      </c>
      <c r="E229" s="28" t="s">
        <v>474</v>
      </c>
      <c r="F229" s="28" t="s">
        <v>15</v>
      </c>
      <c r="G229" s="28" t="s">
        <v>21</v>
      </c>
      <c r="H229" s="27">
        <v>0</v>
      </c>
      <c r="I229" s="27">
        <v>30</v>
      </c>
      <c r="J229" s="28" t="s">
        <v>28</v>
      </c>
      <c r="K229" s="27">
        <v>25</v>
      </c>
      <c r="L229" s="28" t="s">
        <v>22</v>
      </c>
      <c r="M229" s="27">
        <v>0</v>
      </c>
      <c r="O229" s="23">
        <v>229</v>
      </c>
      <c r="P229" t="str">
        <f>IF(O229&gt;0,VLOOKUP($O229,Dep!$A:$M,3),"")</f>
        <v>14:30</v>
      </c>
      <c r="Q229" t="str">
        <f>IF(O229&gt;0,VLOOKUP($O229,Dep!$A:$M,6),"")</f>
        <v>YVR</v>
      </c>
      <c r="R229" t="str">
        <f>IF(O229&gt;0,VLOOKUP($O229,Dep!$A:$M,7),"")</f>
        <v>DH8</v>
      </c>
      <c r="S229">
        <f>IF(O229&gt;0,VLOOKUP($O229,Dep!$A:$M,9),"")</f>
        <v>30</v>
      </c>
      <c r="T229" t="str">
        <f>IF(O229&gt;0,VLOOKUP($O229,Dep!$A:$M,10),"")</f>
        <v>INT</v>
      </c>
      <c r="U229" t="str">
        <f>IF(O229&gt;0,VLOOKUP($O229,Dep!$A:$M,12),"")</f>
        <v>AS</v>
      </c>
      <c r="V229" t="str">
        <f t="shared" si="42"/>
        <v/>
      </c>
      <c r="W229" t="str">
        <f t="shared" si="43"/>
        <v/>
      </c>
      <c r="X229" t="str">
        <f t="shared" si="44"/>
        <v/>
      </c>
      <c r="Y229">
        <f t="shared" si="39"/>
        <v>0</v>
      </c>
      <c r="Z229" t="str">
        <f t="shared" si="45"/>
        <v/>
      </c>
      <c r="AA229" s="20">
        <f t="shared" si="40"/>
        <v>2.0833333333333259E-2</v>
      </c>
      <c r="AB229">
        <f t="shared" si="46"/>
        <v>228</v>
      </c>
      <c r="AC229" s="20" t="str">
        <f t="shared" si="47"/>
        <v>14:00</v>
      </c>
      <c r="AD229" s="20" t="str">
        <f t="shared" si="41"/>
        <v>14:30</v>
      </c>
      <c r="AE229" t="str">
        <f>VLOOKUP(G229,ACtypes!A:C,3,FALSE)</f>
        <v>B</v>
      </c>
      <c r="AF229">
        <f t="shared" si="48"/>
        <v>1</v>
      </c>
      <c r="AG229">
        <f t="shared" si="49"/>
        <v>1</v>
      </c>
      <c r="AH229">
        <f t="shared" si="50"/>
        <v>30</v>
      </c>
    </row>
    <row r="230" spans="1:34" x14ac:dyDescent="0.3">
      <c r="A230" s="41">
        <f t="shared" si="51"/>
        <v>229</v>
      </c>
      <c r="B230" s="27">
        <v>36</v>
      </c>
      <c r="C230" s="28" t="s">
        <v>77</v>
      </c>
      <c r="D230" s="28" t="s">
        <v>13</v>
      </c>
      <c r="E230" s="28" t="s">
        <v>76</v>
      </c>
      <c r="F230" s="28" t="s">
        <v>15</v>
      </c>
      <c r="G230" s="28" t="s">
        <v>21</v>
      </c>
      <c r="H230" s="27">
        <v>0</v>
      </c>
      <c r="I230" s="27">
        <v>30</v>
      </c>
      <c r="J230" s="28" t="s">
        <v>17</v>
      </c>
      <c r="K230" s="27">
        <v>25</v>
      </c>
      <c r="L230" s="28" t="s">
        <v>22</v>
      </c>
      <c r="M230" s="27">
        <v>0</v>
      </c>
      <c r="O230" s="23">
        <v>230</v>
      </c>
      <c r="P230" t="str">
        <f>IF(O230&gt;0,VLOOKUP($O230,Dep!$A:$M,3),"")</f>
        <v>14:50</v>
      </c>
      <c r="Q230" t="str">
        <f>IF(O230&gt;0,VLOOKUP($O230,Dep!$A:$M,6),"")</f>
        <v>RDM</v>
      </c>
      <c r="R230" t="str">
        <f>IF(O230&gt;0,VLOOKUP($O230,Dep!$A:$M,7),"")</f>
        <v>DH8</v>
      </c>
      <c r="S230">
        <f>IF(O230&gt;0,VLOOKUP($O230,Dep!$A:$M,9),"")</f>
        <v>30</v>
      </c>
      <c r="T230" t="str">
        <f>IF(O230&gt;0,VLOOKUP($O230,Dep!$A:$M,10),"")</f>
        <v>NAT</v>
      </c>
      <c r="U230" t="str">
        <f>IF(O230&gt;0,VLOOKUP($O230,Dep!$A:$M,12),"")</f>
        <v>AS</v>
      </c>
      <c r="V230" t="str">
        <f t="shared" si="42"/>
        <v/>
      </c>
      <c r="W230" t="str">
        <f t="shared" si="43"/>
        <v/>
      </c>
      <c r="X230" t="str">
        <f t="shared" si="44"/>
        <v>X</v>
      </c>
      <c r="Y230">
        <f t="shared" si="39"/>
        <v>0</v>
      </c>
      <c r="Z230" t="str">
        <f t="shared" si="45"/>
        <v/>
      </c>
      <c r="AA230" s="20">
        <f t="shared" si="40"/>
        <v>2.2222222222222254E-2</v>
      </c>
      <c r="AB230">
        <f t="shared" si="46"/>
        <v>229</v>
      </c>
      <c r="AC230" s="20" t="str">
        <f t="shared" si="47"/>
        <v>14:18</v>
      </c>
      <c r="AD230" s="20" t="str">
        <f t="shared" si="41"/>
        <v>14:50</v>
      </c>
      <c r="AE230" t="str">
        <f>VLOOKUP(G230,ACtypes!A:C,3,FALSE)</f>
        <v>B</v>
      </c>
      <c r="AF230" t="str">
        <f t="shared" si="48"/>
        <v/>
      </c>
      <c r="AG230" t="str">
        <f t="shared" si="49"/>
        <v/>
      </c>
      <c r="AH230">
        <f t="shared" si="50"/>
        <v>30</v>
      </c>
    </row>
    <row r="231" spans="1:34" x14ac:dyDescent="0.3">
      <c r="A231" s="41">
        <f t="shared" si="51"/>
        <v>230</v>
      </c>
      <c r="B231" s="27">
        <v>958</v>
      </c>
      <c r="C231" s="28" t="s">
        <v>533</v>
      </c>
      <c r="D231" s="28" t="s">
        <v>13</v>
      </c>
      <c r="E231" s="28" t="s">
        <v>532</v>
      </c>
      <c r="F231" s="28" t="s">
        <v>15</v>
      </c>
      <c r="G231" s="28" t="s">
        <v>21</v>
      </c>
      <c r="H231" s="27">
        <v>0</v>
      </c>
      <c r="I231" s="27">
        <v>30</v>
      </c>
      <c r="J231" s="28" t="s">
        <v>17</v>
      </c>
      <c r="K231" s="27">
        <v>25</v>
      </c>
      <c r="L231" s="28" t="s">
        <v>22</v>
      </c>
      <c r="M231" s="27">
        <v>0</v>
      </c>
      <c r="O231" s="23">
        <v>231</v>
      </c>
      <c r="P231" t="str">
        <f>IF(O231&gt;0,VLOOKUP($O231,Dep!$A:$M,3),"")</f>
        <v>15:00</v>
      </c>
      <c r="Q231" t="str">
        <f>IF(O231&gt;0,VLOOKUP($O231,Dep!$A:$M,6),"")</f>
        <v>PDX</v>
      </c>
      <c r="R231" t="str">
        <f>IF(O231&gt;0,VLOOKUP($O231,Dep!$A:$M,7),"")</f>
        <v>DH8</v>
      </c>
      <c r="S231">
        <f>IF(O231&gt;0,VLOOKUP($O231,Dep!$A:$M,9),"")</f>
        <v>30</v>
      </c>
      <c r="T231" t="str">
        <f>IF(O231&gt;0,VLOOKUP($O231,Dep!$A:$M,10),"")</f>
        <v>NAT</v>
      </c>
      <c r="U231" t="str">
        <f>IF(O231&gt;0,VLOOKUP($O231,Dep!$A:$M,12),"")</f>
        <v>AS</v>
      </c>
      <c r="V231" t="str">
        <f t="shared" si="42"/>
        <v/>
      </c>
      <c r="W231" t="str">
        <f t="shared" si="43"/>
        <v/>
      </c>
      <c r="X231" t="str">
        <f t="shared" si="44"/>
        <v>X</v>
      </c>
      <c r="Y231">
        <f t="shared" si="39"/>
        <v>0</v>
      </c>
      <c r="Z231" t="str">
        <f t="shared" si="45"/>
        <v/>
      </c>
      <c r="AA231" s="20">
        <f t="shared" si="40"/>
        <v>2.777777777777779E-2</v>
      </c>
      <c r="AB231">
        <f t="shared" si="46"/>
        <v>230</v>
      </c>
      <c r="AC231" s="20" t="str">
        <f t="shared" si="47"/>
        <v>14:20</v>
      </c>
      <c r="AD231" s="20" t="str">
        <f t="shared" si="41"/>
        <v>15:00</v>
      </c>
      <c r="AE231" t="str">
        <f>VLOOKUP(G231,ACtypes!A:C,3,FALSE)</f>
        <v>B</v>
      </c>
      <c r="AF231" t="str">
        <f t="shared" si="48"/>
        <v/>
      </c>
      <c r="AG231" t="str">
        <f t="shared" si="49"/>
        <v/>
      </c>
      <c r="AH231">
        <f t="shared" si="50"/>
        <v>30</v>
      </c>
    </row>
    <row r="232" spans="1:34" x14ac:dyDescent="0.3">
      <c r="A232" s="41">
        <f t="shared" si="51"/>
        <v>231</v>
      </c>
      <c r="B232" s="27">
        <v>318</v>
      </c>
      <c r="C232" s="28" t="s">
        <v>354</v>
      </c>
      <c r="D232" s="28" t="s">
        <v>13</v>
      </c>
      <c r="E232" s="28" t="s">
        <v>366</v>
      </c>
      <c r="F232" s="28" t="s">
        <v>15</v>
      </c>
      <c r="G232" s="28" t="s">
        <v>21</v>
      </c>
      <c r="H232" s="27">
        <v>0</v>
      </c>
      <c r="I232" s="27">
        <v>30</v>
      </c>
      <c r="J232" s="28" t="s">
        <v>17</v>
      </c>
      <c r="K232" s="27">
        <v>25</v>
      </c>
      <c r="L232" s="28" t="s">
        <v>22</v>
      </c>
      <c r="M232" s="27">
        <v>0</v>
      </c>
      <c r="O232" s="23">
        <v>232</v>
      </c>
      <c r="P232" t="str">
        <f>IF(O232&gt;0,VLOOKUP($O232,Dep!$A:$M,3),"")</f>
        <v>15:30</v>
      </c>
      <c r="Q232" t="str">
        <f>IF(O232&gt;0,VLOOKUP($O232,Dep!$A:$M,6),"")</f>
        <v>PDX</v>
      </c>
      <c r="R232" t="str">
        <f>IF(O232&gt;0,VLOOKUP($O232,Dep!$A:$M,7),"")</f>
        <v>DH8</v>
      </c>
      <c r="S232">
        <f>IF(O232&gt;0,VLOOKUP($O232,Dep!$A:$M,9),"")</f>
        <v>30</v>
      </c>
      <c r="T232" t="str">
        <f>IF(O232&gt;0,VLOOKUP($O232,Dep!$A:$M,10),"")</f>
        <v>NAT</v>
      </c>
      <c r="U232" t="str">
        <f>IF(O232&gt;0,VLOOKUP($O232,Dep!$A:$M,12),"")</f>
        <v>AS</v>
      </c>
      <c r="V232" t="str">
        <f t="shared" si="42"/>
        <v/>
      </c>
      <c r="W232" t="str">
        <f t="shared" si="43"/>
        <v/>
      </c>
      <c r="X232" t="str">
        <f t="shared" si="44"/>
        <v/>
      </c>
      <c r="Y232">
        <f t="shared" si="39"/>
        <v>0</v>
      </c>
      <c r="Z232" t="str">
        <f t="shared" si="45"/>
        <v/>
      </c>
      <c r="AA232" s="20">
        <f t="shared" si="40"/>
        <v>4.7222222222222276E-2</v>
      </c>
      <c r="AB232">
        <f t="shared" si="46"/>
        <v>231</v>
      </c>
      <c r="AC232" s="20" t="str">
        <f t="shared" si="47"/>
        <v>14:22</v>
      </c>
      <c r="AD232" s="20" t="str">
        <f t="shared" si="41"/>
        <v>15:30</v>
      </c>
      <c r="AE232" t="str">
        <f>VLOOKUP(G232,ACtypes!A:C,3,FALSE)</f>
        <v>B</v>
      </c>
      <c r="AF232" t="str">
        <f t="shared" si="48"/>
        <v/>
      </c>
      <c r="AG232" t="str">
        <f t="shared" si="49"/>
        <v/>
      </c>
      <c r="AH232">
        <f t="shared" si="50"/>
        <v>30</v>
      </c>
    </row>
    <row r="233" spans="1:34" x14ac:dyDescent="0.3">
      <c r="A233" s="41">
        <f t="shared" si="51"/>
        <v>232</v>
      </c>
      <c r="B233" s="27">
        <v>974</v>
      </c>
      <c r="C233" s="28" t="s">
        <v>478</v>
      </c>
      <c r="D233" s="28" t="s">
        <v>13</v>
      </c>
      <c r="E233" s="28" t="s">
        <v>474</v>
      </c>
      <c r="F233" s="28" t="s">
        <v>15</v>
      </c>
      <c r="G233" s="28" t="s">
        <v>21</v>
      </c>
      <c r="H233" s="27">
        <v>0</v>
      </c>
      <c r="I233" s="27">
        <v>30</v>
      </c>
      <c r="J233" s="28" t="s">
        <v>28</v>
      </c>
      <c r="K233" s="27">
        <v>25</v>
      </c>
      <c r="L233" s="28" t="s">
        <v>22</v>
      </c>
      <c r="M233" s="27">
        <v>0</v>
      </c>
      <c r="O233" s="23">
        <v>233</v>
      </c>
      <c r="P233" t="str">
        <f>IF(O233&gt;0,VLOOKUP($O233,Dep!$A:$M,3),"")</f>
        <v>15:30</v>
      </c>
      <c r="Q233" t="str">
        <f>IF(O233&gt;0,VLOOKUP($O233,Dep!$A:$M,6),"")</f>
        <v>YVR</v>
      </c>
      <c r="R233" t="str">
        <f>IF(O233&gt;0,VLOOKUP($O233,Dep!$A:$M,7),"")</f>
        <v>DH8</v>
      </c>
      <c r="S233">
        <f>IF(O233&gt;0,VLOOKUP($O233,Dep!$A:$M,9),"")</f>
        <v>30</v>
      </c>
      <c r="T233" t="str">
        <f>IF(O233&gt;0,VLOOKUP($O233,Dep!$A:$M,10),"")</f>
        <v>INT</v>
      </c>
      <c r="U233" t="str">
        <f>IF(O233&gt;0,VLOOKUP($O233,Dep!$A:$M,12),"")</f>
        <v>AS</v>
      </c>
      <c r="V233" t="str">
        <f t="shared" si="42"/>
        <v/>
      </c>
      <c r="W233" t="str">
        <f t="shared" si="43"/>
        <v/>
      </c>
      <c r="X233" t="str">
        <f t="shared" si="44"/>
        <v/>
      </c>
      <c r="Y233">
        <f t="shared" si="39"/>
        <v>0</v>
      </c>
      <c r="Z233" t="str">
        <f t="shared" si="45"/>
        <v/>
      </c>
      <c r="AA233" s="20">
        <f t="shared" si="40"/>
        <v>2.777777777777779E-2</v>
      </c>
      <c r="AB233">
        <f t="shared" si="46"/>
        <v>232</v>
      </c>
      <c r="AC233" s="20" t="str">
        <f t="shared" si="47"/>
        <v>14:50</v>
      </c>
      <c r="AD233" s="20" t="str">
        <f t="shared" si="41"/>
        <v>15:30</v>
      </c>
      <c r="AE233" t="str">
        <f>VLOOKUP(G233,ACtypes!A:C,3,FALSE)</f>
        <v>B</v>
      </c>
      <c r="AF233">
        <f t="shared" si="48"/>
        <v>1</v>
      </c>
      <c r="AG233">
        <f t="shared" si="49"/>
        <v>1</v>
      </c>
      <c r="AH233">
        <f t="shared" si="50"/>
        <v>30</v>
      </c>
    </row>
    <row r="234" spans="1:34" x14ac:dyDescent="0.3">
      <c r="A234" s="41">
        <f t="shared" si="51"/>
        <v>233</v>
      </c>
      <c r="B234" s="27">
        <v>996</v>
      </c>
      <c r="C234" s="28" t="s">
        <v>98</v>
      </c>
      <c r="D234" s="28" t="s">
        <v>13</v>
      </c>
      <c r="E234" s="28" t="s">
        <v>493</v>
      </c>
      <c r="F234" s="28" t="s">
        <v>15</v>
      </c>
      <c r="G234" s="28" t="s">
        <v>21</v>
      </c>
      <c r="H234" s="27">
        <v>0</v>
      </c>
      <c r="I234" s="27">
        <v>30</v>
      </c>
      <c r="J234" s="28" t="s">
        <v>28</v>
      </c>
      <c r="K234" s="27">
        <v>25</v>
      </c>
      <c r="L234" s="28" t="s">
        <v>22</v>
      </c>
      <c r="M234" s="27">
        <v>0</v>
      </c>
      <c r="O234" s="23">
        <v>234</v>
      </c>
      <c r="P234" t="str">
        <f>IF(O234&gt;0,VLOOKUP($O234,Dep!$A:$M,3),"")</f>
        <v>15:33</v>
      </c>
      <c r="Q234" t="str">
        <f>IF(O234&gt;0,VLOOKUP($O234,Dep!$A:$M,6),"")</f>
        <v>YYJ</v>
      </c>
      <c r="R234" t="str">
        <f>IF(O234&gt;0,VLOOKUP($O234,Dep!$A:$M,7),"")</f>
        <v>DH8</v>
      </c>
      <c r="S234">
        <f>IF(O234&gt;0,VLOOKUP($O234,Dep!$A:$M,9),"")</f>
        <v>30</v>
      </c>
      <c r="T234" t="str">
        <f>IF(O234&gt;0,VLOOKUP($O234,Dep!$A:$M,10),"")</f>
        <v>INT</v>
      </c>
      <c r="U234" t="str">
        <f>IF(O234&gt;0,VLOOKUP($O234,Dep!$A:$M,12),"")</f>
        <v>AS</v>
      </c>
      <c r="V234" t="str">
        <f t="shared" si="42"/>
        <v/>
      </c>
      <c r="W234" t="str">
        <f t="shared" si="43"/>
        <v/>
      </c>
      <c r="X234" t="str">
        <f t="shared" si="44"/>
        <v/>
      </c>
      <c r="Y234">
        <f t="shared" si="39"/>
        <v>0</v>
      </c>
      <c r="Z234" t="str">
        <f t="shared" si="45"/>
        <v/>
      </c>
      <c r="AA234" s="20">
        <f t="shared" si="40"/>
        <v>2.6388888888888906E-2</v>
      </c>
      <c r="AB234">
        <f t="shared" si="46"/>
        <v>233</v>
      </c>
      <c r="AC234" s="20" t="str">
        <f t="shared" si="47"/>
        <v>14:55</v>
      </c>
      <c r="AD234" s="20" t="str">
        <f t="shared" si="41"/>
        <v>15:33</v>
      </c>
      <c r="AE234" t="str">
        <f>VLOOKUP(G234,ACtypes!A:C,3,FALSE)</f>
        <v>B</v>
      </c>
      <c r="AF234">
        <f t="shared" si="48"/>
        <v>1</v>
      </c>
      <c r="AG234">
        <f t="shared" si="49"/>
        <v>1</v>
      </c>
      <c r="AH234">
        <f t="shared" si="50"/>
        <v>30</v>
      </c>
    </row>
    <row r="235" spans="1:34" x14ac:dyDescent="0.3">
      <c r="A235" s="41">
        <f t="shared" si="51"/>
        <v>234</v>
      </c>
      <c r="B235" s="27">
        <v>319</v>
      </c>
      <c r="C235" s="28" t="s">
        <v>386</v>
      </c>
      <c r="D235" s="28" t="s">
        <v>13</v>
      </c>
      <c r="E235" s="28" t="s">
        <v>366</v>
      </c>
      <c r="F235" s="28" t="s">
        <v>15</v>
      </c>
      <c r="G235" s="28" t="s">
        <v>21</v>
      </c>
      <c r="H235" s="27">
        <v>0</v>
      </c>
      <c r="I235" s="27">
        <v>30</v>
      </c>
      <c r="J235" s="28" t="s">
        <v>17</v>
      </c>
      <c r="K235" s="27">
        <v>25</v>
      </c>
      <c r="L235" s="28" t="s">
        <v>22</v>
      </c>
      <c r="M235" s="27">
        <v>0</v>
      </c>
      <c r="O235" s="23">
        <v>235</v>
      </c>
      <c r="P235" t="str">
        <f>IF(O235&gt;0,VLOOKUP($O235,Dep!$A:$M,3),"")</f>
        <v>15:42</v>
      </c>
      <c r="Q235" t="str">
        <f>IF(O235&gt;0,VLOOKUP($O235,Dep!$A:$M,6),"")</f>
        <v>PSC</v>
      </c>
      <c r="R235" t="str">
        <f>IF(O235&gt;0,VLOOKUP($O235,Dep!$A:$M,7),"")</f>
        <v>DH8</v>
      </c>
      <c r="S235">
        <f>IF(O235&gt;0,VLOOKUP($O235,Dep!$A:$M,9),"")</f>
        <v>30</v>
      </c>
      <c r="T235" t="str">
        <f>IF(O235&gt;0,VLOOKUP($O235,Dep!$A:$M,10),"")</f>
        <v>NAT</v>
      </c>
      <c r="U235" t="str">
        <f>IF(O235&gt;0,VLOOKUP($O235,Dep!$A:$M,12),"")</f>
        <v>AS</v>
      </c>
      <c r="V235" t="str">
        <f t="shared" si="42"/>
        <v/>
      </c>
      <c r="W235" t="str">
        <f t="shared" si="43"/>
        <v/>
      </c>
      <c r="X235" t="str">
        <f t="shared" si="44"/>
        <v>X</v>
      </c>
      <c r="Y235">
        <f t="shared" si="39"/>
        <v>0</v>
      </c>
      <c r="Z235" t="str">
        <f t="shared" si="45"/>
        <v/>
      </c>
      <c r="AA235" s="20">
        <f t="shared" si="40"/>
        <v>2.9861111111111116E-2</v>
      </c>
      <c r="AB235">
        <f t="shared" si="46"/>
        <v>234</v>
      </c>
      <c r="AC235" s="20" t="str">
        <f t="shared" si="47"/>
        <v>14:59</v>
      </c>
      <c r="AD235" s="20" t="str">
        <f t="shared" si="41"/>
        <v>15:42</v>
      </c>
      <c r="AE235" t="str">
        <f>VLOOKUP(G235,ACtypes!A:C,3,FALSE)</f>
        <v>B</v>
      </c>
      <c r="AF235" t="str">
        <f t="shared" si="48"/>
        <v/>
      </c>
      <c r="AG235" t="str">
        <f t="shared" si="49"/>
        <v/>
      </c>
      <c r="AH235">
        <f t="shared" si="50"/>
        <v>30</v>
      </c>
    </row>
    <row r="236" spans="1:34" x14ac:dyDescent="0.3">
      <c r="A236" s="41">
        <f t="shared" si="51"/>
        <v>235</v>
      </c>
      <c r="B236" s="27">
        <v>353</v>
      </c>
      <c r="C236" s="28" t="s">
        <v>420</v>
      </c>
      <c r="D236" s="28" t="s">
        <v>13</v>
      </c>
      <c r="E236" s="28" t="s">
        <v>418</v>
      </c>
      <c r="F236" s="28" t="s">
        <v>15</v>
      </c>
      <c r="G236" s="28" t="s">
        <v>21</v>
      </c>
      <c r="H236" s="27">
        <v>0</v>
      </c>
      <c r="I236" s="27">
        <v>30</v>
      </c>
      <c r="J236" s="28" t="s">
        <v>17</v>
      </c>
      <c r="K236" s="27">
        <v>25</v>
      </c>
      <c r="L236" s="28" t="s">
        <v>22</v>
      </c>
      <c r="M236" s="27">
        <v>0</v>
      </c>
      <c r="O236" s="23">
        <v>236</v>
      </c>
      <c r="P236" t="str">
        <f>IF(O236&gt;0,VLOOKUP($O236,Dep!$A:$M,3),"")</f>
        <v>15:50</v>
      </c>
      <c r="Q236" t="str">
        <f>IF(O236&gt;0,VLOOKUP($O236,Dep!$A:$M,6),"")</f>
        <v>ALW</v>
      </c>
      <c r="R236" t="str">
        <f>IF(O236&gt;0,VLOOKUP($O236,Dep!$A:$M,7),"")</f>
        <v>DH8</v>
      </c>
      <c r="S236">
        <f>IF(O236&gt;0,VLOOKUP($O236,Dep!$A:$M,9),"")</f>
        <v>30</v>
      </c>
      <c r="T236" t="str">
        <f>IF(O236&gt;0,VLOOKUP($O236,Dep!$A:$M,10),"")</f>
        <v>NAT</v>
      </c>
      <c r="U236" t="str">
        <f>IF(O236&gt;0,VLOOKUP($O236,Dep!$A:$M,12),"")</f>
        <v>AS</v>
      </c>
      <c r="V236" t="str">
        <f t="shared" si="42"/>
        <v/>
      </c>
      <c r="W236" t="str">
        <f t="shared" si="43"/>
        <v/>
      </c>
      <c r="X236" t="str">
        <f t="shared" si="44"/>
        <v>X</v>
      </c>
      <c r="Y236">
        <f t="shared" si="39"/>
        <v>0</v>
      </c>
      <c r="Z236" t="str">
        <f t="shared" si="45"/>
        <v/>
      </c>
      <c r="AA236" s="20">
        <f t="shared" si="40"/>
        <v>3.0555555555555558E-2</v>
      </c>
      <c r="AB236">
        <f t="shared" si="46"/>
        <v>235</v>
      </c>
      <c r="AC236" s="20" t="str">
        <f t="shared" si="47"/>
        <v>15:06</v>
      </c>
      <c r="AD236" s="20" t="str">
        <f t="shared" si="41"/>
        <v>15:50</v>
      </c>
      <c r="AE236" t="str">
        <f>VLOOKUP(G236,ACtypes!A:C,3,FALSE)</f>
        <v>B</v>
      </c>
      <c r="AF236" t="str">
        <f t="shared" si="48"/>
        <v/>
      </c>
      <c r="AG236" t="str">
        <f t="shared" si="49"/>
        <v/>
      </c>
      <c r="AH236">
        <f t="shared" si="50"/>
        <v>30</v>
      </c>
    </row>
    <row r="237" spans="1:34" x14ac:dyDescent="0.3">
      <c r="A237" s="41">
        <f t="shared" si="51"/>
        <v>236</v>
      </c>
      <c r="B237" s="27">
        <v>363</v>
      </c>
      <c r="C237" s="28" t="s">
        <v>425</v>
      </c>
      <c r="D237" s="28" t="s">
        <v>13</v>
      </c>
      <c r="E237" s="28" t="s">
        <v>424</v>
      </c>
      <c r="F237" s="28" t="s">
        <v>15</v>
      </c>
      <c r="G237" s="28" t="s">
        <v>21</v>
      </c>
      <c r="H237" s="27">
        <v>0</v>
      </c>
      <c r="I237" s="27">
        <v>30</v>
      </c>
      <c r="J237" s="28" t="s">
        <v>17</v>
      </c>
      <c r="K237" s="27">
        <v>25</v>
      </c>
      <c r="L237" s="28" t="s">
        <v>22</v>
      </c>
      <c r="M237" s="27">
        <v>0</v>
      </c>
      <c r="O237" s="23">
        <v>237</v>
      </c>
      <c r="P237" t="str">
        <f>IF(O237&gt;0,VLOOKUP($O237,Dep!$A:$M,3),"")</f>
        <v>15:50</v>
      </c>
      <c r="Q237" t="str">
        <f>IF(O237&gt;0,VLOOKUP($O237,Dep!$A:$M,6),"")</f>
        <v>YKM</v>
      </c>
      <c r="R237" t="str">
        <f>IF(O237&gt;0,VLOOKUP($O237,Dep!$A:$M,7),"")</f>
        <v>DH8</v>
      </c>
      <c r="S237">
        <f>IF(O237&gt;0,VLOOKUP($O237,Dep!$A:$M,9),"")</f>
        <v>30</v>
      </c>
      <c r="T237" t="str">
        <f>IF(O237&gt;0,VLOOKUP($O237,Dep!$A:$M,10),"")</f>
        <v>NAT</v>
      </c>
      <c r="U237" t="str">
        <f>IF(O237&gt;0,VLOOKUP($O237,Dep!$A:$M,12),"")</f>
        <v>AS</v>
      </c>
      <c r="V237" t="str">
        <f t="shared" si="42"/>
        <v/>
      </c>
      <c r="W237" t="str">
        <f t="shared" si="43"/>
        <v/>
      </c>
      <c r="X237" t="str">
        <f t="shared" si="44"/>
        <v>X</v>
      </c>
      <c r="Y237">
        <f t="shared" si="39"/>
        <v>0</v>
      </c>
      <c r="Z237" t="str">
        <f t="shared" si="45"/>
        <v/>
      </c>
      <c r="AA237" s="20">
        <f t="shared" si="40"/>
        <v>2.0833333333333259E-2</v>
      </c>
      <c r="AB237">
        <f t="shared" si="46"/>
        <v>236</v>
      </c>
      <c r="AC237" s="20" t="str">
        <f t="shared" si="47"/>
        <v>15:20</v>
      </c>
      <c r="AD237" s="20" t="str">
        <f t="shared" si="41"/>
        <v>15:50</v>
      </c>
      <c r="AE237" t="str">
        <f>VLOOKUP(G237,ACtypes!A:C,3,FALSE)</f>
        <v>B</v>
      </c>
      <c r="AF237" t="str">
        <f t="shared" si="48"/>
        <v/>
      </c>
      <c r="AG237" t="str">
        <f t="shared" si="49"/>
        <v/>
      </c>
      <c r="AH237">
        <f t="shared" si="50"/>
        <v>30</v>
      </c>
    </row>
    <row r="238" spans="1:34" x14ac:dyDescent="0.3">
      <c r="A238" s="41">
        <f t="shared" si="51"/>
        <v>237</v>
      </c>
      <c r="B238" s="27">
        <v>326</v>
      </c>
      <c r="C238" s="28" t="s">
        <v>393</v>
      </c>
      <c r="D238" s="28" t="s">
        <v>13</v>
      </c>
      <c r="E238" s="28" t="s">
        <v>366</v>
      </c>
      <c r="F238" s="28" t="s">
        <v>15</v>
      </c>
      <c r="G238" s="28" t="s">
        <v>21</v>
      </c>
      <c r="H238" s="27">
        <v>0</v>
      </c>
      <c r="I238" s="27">
        <v>30</v>
      </c>
      <c r="J238" s="28" t="s">
        <v>17</v>
      </c>
      <c r="K238" s="27">
        <v>25</v>
      </c>
      <c r="L238" s="28" t="s">
        <v>22</v>
      </c>
      <c r="M238" s="27">
        <v>0</v>
      </c>
      <c r="O238" s="23">
        <v>238</v>
      </c>
      <c r="P238" t="str">
        <f>IF(O238&gt;0,VLOOKUP($O238,Dep!$A:$M,3),"")</f>
        <v>16:00</v>
      </c>
      <c r="Q238" t="str">
        <f>IF(O238&gt;0,VLOOKUP($O238,Dep!$A:$M,6),"")</f>
        <v>PDX</v>
      </c>
      <c r="R238" t="str">
        <f>IF(O238&gt;0,VLOOKUP($O238,Dep!$A:$M,7),"")</f>
        <v>DH8</v>
      </c>
      <c r="S238">
        <f>IF(O238&gt;0,VLOOKUP($O238,Dep!$A:$M,9),"")</f>
        <v>30</v>
      </c>
      <c r="T238" t="str">
        <f>IF(O238&gt;0,VLOOKUP($O238,Dep!$A:$M,10),"")</f>
        <v>NAT</v>
      </c>
      <c r="U238" t="str">
        <f>IF(O238&gt;0,VLOOKUP($O238,Dep!$A:$M,12),"")</f>
        <v>AS</v>
      </c>
      <c r="V238" t="str">
        <f t="shared" si="42"/>
        <v/>
      </c>
      <c r="W238" t="str">
        <f t="shared" si="43"/>
        <v/>
      </c>
      <c r="X238" t="str">
        <f t="shared" si="44"/>
        <v/>
      </c>
      <c r="Y238">
        <f t="shared" si="39"/>
        <v>0</v>
      </c>
      <c r="Z238" t="str">
        <f t="shared" si="45"/>
        <v/>
      </c>
      <c r="AA238" s="20">
        <f t="shared" si="40"/>
        <v>2.6388888888888795E-2</v>
      </c>
      <c r="AB238">
        <f t="shared" si="46"/>
        <v>237</v>
      </c>
      <c r="AC238" s="20" t="str">
        <f t="shared" si="47"/>
        <v>15:22</v>
      </c>
      <c r="AD238" s="20" t="str">
        <f t="shared" si="41"/>
        <v>16:00</v>
      </c>
      <c r="AE238" t="str">
        <f>VLOOKUP(G238,ACtypes!A:C,3,FALSE)</f>
        <v>B</v>
      </c>
      <c r="AF238" t="str">
        <f t="shared" si="48"/>
        <v/>
      </c>
      <c r="AG238" t="str">
        <f t="shared" si="49"/>
        <v/>
      </c>
      <c r="AH238">
        <f t="shared" si="50"/>
        <v>30</v>
      </c>
    </row>
    <row r="239" spans="1:34" x14ac:dyDescent="0.3">
      <c r="A239" s="41">
        <f t="shared" si="51"/>
        <v>238</v>
      </c>
      <c r="B239" s="27">
        <v>102</v>
      </c>
      <c r="C239" s="28" t="s">
        <v>161</v>
      </c>
      <c r="D239" s="28" t="s">
        <v>13</v>
      </c>
      <c r="E239" s="28" t="s">
        <v>162</v>
      </c>
      <c r="F239" s="28" t="s">
        <v>15</v>
      </c>
      <c r="G239" s="28" t="s">
        <v>21</v>
      </c>
      <c r="H239" s="27">
        <v>0</v>
      </c>
      <c r="I239" s="27">
        <v>30</v>
      </c>
      <c r="J239" s="28" t="s">
        <v>17</v>
      </c>
      <c r="K239" s="27">
        <v>25</v>
      </c>
      <c r="L239" s="28" t="s">
        <v>22</v>
      </c>
      <c r="M239" s="27">
        <v>0</v>
      </c>
      <c r="O239" s="23">
        <v>239</v>
      </c>
      <c r="P239" t="str">
        <f>IF(O239&gt;0,VLOOKUP($O239,Dep!$A:$M,3),"")</f>
        <v>16:22</v>
      </c>
      <c r="Q239" t="str">
        <f>IF(O239&gt;0,VLOOKUP($O239,Dep!$A:$M,6),"")</f>
        <v>BLI</v>
      </c>
      <c r="R239" t="str">
        <f>IF(O239&gt;0,VLOOKUP($O239,Dep!$A:$M,7),"")</f>
        <v>DH8</v>
      </c>
      <c r="S239">
        <f>IF(O239&gt;0,VLOOKUP($O239,Dep!$A:$M,9),"")</f>
        <v>30</v>
      </c>
      <c r="T239" t="str">
        <f>IF(O239&gt;0,VLOOKUP($O239,Dep!$A:$M,10),"")</f>
        <v>NAT</v>
      </c>
      <c r="U239" t="str">
        <f>IF(O239&gt;0,VLOOKUP($O239,Dep!$A:$M,12),"")</f>
        <v>AS</v>
      </c>
      <c r="V239" t="str">
        <f t="shared" si="42"/>
        <v/>
      </c>
      <c r="W239" t="str">
        <f t="shared" si="43"/>
        <v/>
      </c>
      <c r="X239" t="str">
        <f t="shared" si="44"/>
        <v>X</v>
      </c>
      <c r="Y239">
        <f t="shared" si="39"/>
        <v>0</v>
      </c>
      <c r="Z239" t="str">
        <f t="shared" si="45"/>
        <v/>
      </c>
      <c r="AA239" s="20">
        <f t="shared" si="40"/>
        <v>3.4027777777777768E-2</v>
      </c>
      <c r="AB239">
        <f t="shared" si="46"/>
        <v>238</v>
      </c>
      <c r="AC239" s="20" t="str">
        <f t="shared" si="47"/>
        <v>15:33</v>
      </c>
      <c r="AD239" s="20" t="str">
        <f t="shared" si="41"/>
        <v>16:22</v>
      </c>
      <c r="AE239" t="str">
        <f>VLOOKUP(G239,ACtypes!A:C,3,FALSE)</f>
        <v>B</v>
      </c>
      <c r="AF239" t="str">
        <f t="shared" si="48"/>
        <v/>
      </c>
      <c r="AG239" t="str">
        <f t="shared" si="49"/>
        <v/>
      </c>
      <c r="AH239">
        <f t="shared" si="50"/>
        <v>30</v>
      </c>
    </row>
    <row r="240" spans="1:34" x14ac:dyDescent="0.3">
      <c r="A240" s="41">
        <f t="shared" si="51"/>
        <v>239</v>
      </c>
      <c r="B240" s="27">
        <v>973</v>
      </c>
      <c r="C240" s="28" t="s">
        <v>321</v>
      </c>
      <c r="D240" s="28" t="s">
        <v>13</v>
      </c>
      <c r="E240" s="28" t="s">
        <v>474</v>
      </c>
      <c r="F240" s="28" t="s">
        <v>15</v>
      </c>
      <c r="G240" s="28" t="s">
        <v>21</v>
      </c>
      <c r="H240" s="27">
        <v>0</v>
      </c>
      <c r="I240" s="27">
        <v>30</v>
      </c>
      <c r="J240" s="28" t="s">
        <v>28</v>
      </c>
      <c r="K240" s="27">
        <v>25</v>
      </c>
      <c r="L240" s="28" t="s">
        <v>22</v>
      </c>
      <c r="M240" s="27">
        <v>0</v>
      </c>
      <c r="O240" s="23">
        <v>240</v>
      </c>
      <c r="P240" t="str">
        <f>IF(O240&gt;0,VLOOKUP($O240,Dep!$A:$M,3),"")</f>
        <v>16:30</v>
      </c>
      <c r="Q240" t="str">
        <f>IF(O240&gt;0,VLOOKUP($O240,Dep!$A:$M,6),"")</f>
        <v>PDX</v>
      </c>
      <c r="R240" t="str">
        <f>IF(O240&gt;0,VLOOKUP($O240,Dep!$A:$M,7),"")</f>
        <v>DH8</v>
      </c>
      <c r="S240">
        <f>IF(O240&gt;0,VLOOKUP($O240,Dep!$A:$M,9),"")</f>
        <v>30</v>
      </c>
      <c r="T240" t="str">
        <f>IF(O240&gt;0,VLOOKUP($O240,Dep!$A:$M,10),"")</f>
        <v>NAT</v>
      </c>
      <c r="U240" t="str">
        <f>IF(O240&gt;0,VLOOKUP($O240,Dep!$A:$M,12),"")</f>
        <v>AS</v>
      </c>
      <c r="V240" t="str">
        <f t="shared" si="42"/>
        <v/>
      </c>
      <c r="W240" t="str">
        <f t="shared" si="43"/>
        <v/>
      </c>
      <c r="X240" t="str">
        <f t="shared" si="44"/>
        <v>X</v>
      </c>
      <c r="Y240">
        <f t="shared" si="39"/>
        <v>0</v>
      </c>
      <c r="Z240" t="str">
        <f t="shared" si="45"/>
        <v/>
      </c>
      <c r="AA240" s="20">
        <f t="shared" si="40"/>
        <v>2.777777777777779E-2</v>
      </c>
      <c r="AB240">
        <f t="shared" si="46"/>
        <v>239</v>
      </c>
      <c r="AC240" s="20" t="str">
        <f t="shared" si="47"/>
        <v>15:50</v>
      </c>
      <c r="AD240" s="20" t="str">
        <f t="shared" si="41"/>
        <v>16:30</v>
      </c>
      <c r="AE240" t="str">
        <f>VLOOKUP(G240,ACtypes!A:C,3,FALSE)</f>
        <v>B</v>
      </c>
      <c r="AF240">
        <f t="shared" si="48"/>
        <v>1</v>
      </c>
      <c r="AG240" t="str">
        <f t="shared" si="49"/>
        <v/>
      </c>
      <c r="AH240">
        <f t="shared" si="50"/>
        <v>30</v>
      </c>
    </row>
    <row r="241" spans="1:34" x14ac:dyDescent="0.3">
      <c r="A241" s="41">
        <f t="shared" si="51"/>
        <v>240</v>
      </c>
      <c r="B241" s="27">
        <v>37</v>
      </c>
      <c r="C241" s="28" t="s">
        <v>78</v>
      </c>
      <c r="D241" s="28" t="s">
        <v>13</v>
      </c>
      <c r="E241" s="28" t="s">
        <v>76</v>
      </c>
      <c r="F241" s="28" t="s">
        <v>15</v>
      </c>
      <c r="G241" s="28" t="s">
        <v>21</v>
      </c>
      <c r="H241" s="27">
        <v>0</v>
      </c>
      <c r="I241" s="27">
        <v>30</v>
      </c>
      <c r="J241" s="28" t="s">
        <v>17</v>
      </c>
      <c r="K241" s="27">
        <v>25</v>
      </c>
      <c r="L241" s="28" t="s">
        <v>22</v>
      </c>
      <c r="M241" s="27">
        <v>0</v>
      </c>
      <c r="O241" s="23">
        <v>241</v>
      </c>
      <c r="P241" t="str">
        <f>IF(O241&gt;0,VLOOKUP($O241,Dep!$A:$M,3),"")</f>
        <v>16:30</v>
      </c>
      <c r="Q241" t="str">
        <f>IF(O241&gt;0,VLOOKUP($O241,Dep!$A:$M,6),"")</f>
        <v>YVR</v>
      </c>
      <c r="R241" t="str">
        <f>IF(O241&gt;0,VLOOKUP($O241,Dep!$A:$M,7),"")</f>
        <v>DH8</v>
      </c>
      <c r="S241">
        <f>IF(O241&gt;0,VLOOKUP($O241,Dep!$A:$M,9),"")</f>
        <v>30</v>
      </c>
      <c r="T241" t="str">
        <f>IF(O241&gt;0,VLOOKUP($O241,Dep!$A:$M,10),"")</f>
        <v>INT</v>
      </c>
      <c r="U241" t="str">
        <f>IF(O241&gt;0,VLOOKUP($O241,Dep!$A:$M,12),"")</f>
        <v>AS</v>
      </c>
      <c r="V241" t="str">
        <f t="shared" si="42"/>
        <v/>
      </c>
      <c r="W241" t="str">
        <f t="shared" si="43"/>
        <v/>
      </c>
      <c r="X241" t="str">
        <f t="shared" si="44"/>
        <v>X</v>
      </c>
      <c r="Y241">
        <f t="shared" si="39"/>
        <v>0</v>
      </c>
      <c r="Z241" t="str">
        <f t="shared" si="45"/>
        <v/>
      </c>
      <c r="AA241" s="20">
        <f t="shared" si="40"/>
        <v>2.2222222222222254E-2</v>
      </c>
      <c r="AB241">
        <f t="shared" si="46"/>
        <v>240</v>
      </c>
      <c r="AC241" s="20" t="str">
        <f t="shared" si="47"/>
        <v>15:58</v>
      </c>
      <c r="AD241" s="20" t="str">
        <f t="shared" si="41"/>
        <v>16:30</v>
      </c>
      <c r="AE241" t="str">
        <f>VLOOKUP(G241,ACtypes!A:C,3,FALSE)</f>
        <v>B</v>
      </c>
      <c r="AF241" t="str">
        <f t="shared" si="48"/>
        <v/>
      </c>
      <c r="AG241">
        <f t="shared" si="49"/>
        <v>1</v>
      </c>
      <c r="AH241">
        <f t="shared" si="50"/>
        <v>30</v>
      </c>
    </row>
    <row r="242" spans="1:34" x14ac:dyDescent="0.3">
      <c r="A242" s="41">
        <f t="shared" si="51"/>
        <v>241</v>
      </c>
      <c r="B242" s="27">
        <v>108</v>
      </c>
      <c r="C242" s="28" t="s">
        <v>169</v>
      </c>
      <c r="D242" s="28" t="s">
        <v>13</v>
      </c>
      <c r="E242" s="28" t="s">
        <v>167</v>
      </c>
      <c r="F242" s="28" t="s">
        <v>15</v>
      </c>
      <c r="G242" s="28" t="s">
        <v>21</v>
      </c>
      <c r="H242" s="27">
        <v>0</v>
      </c>
      <c r="I242" s="27">
        <v>30</v>
      </c>
      <c r="J242" s="28" t="s">
        <v>17</v>
      </c>
      <c r="K242" s="27">
        <v>25</v>
      </c>
      <c r="L242" s="28" t="s">
        <v>22</v>
      </c>
      <c r="M242" s="27">
        <v>0</v>
      </c>
      <c r="O242" s="23">
        <v>242</v>
      </c>
      <c r="P242" t="str">
        <f>IF(O242&gt;0,VLOOKUP($O242,Dep!$A:$M,3),"")</f>
        <v>17:00</v>
      </c>
      <c r="Q242" t="str">
        <f>IF(O242&gt;0,VLOOKUP($O242,Dep!$A:$M,6),"")</f>
        <v>PDX</v>
      </c>
      <c r="R242" t="str">
        <f>IF(O242&gt;0,VLOOKUP($O242,Dep!$A:$M,7),"")</f>
        <v>DH8</v>
      </c>
      <c r="S242">
        <f>IF(O242&gt;0,VLOOKUP($O242,Dep!$A:$M,9),"")</f>
        <v>30</v>
      </c>
      <c r="T242" t="str">
        <f>IF(O242&gt;0,VLOOKUP($O242,Dep!$A:$M,10),"")</f>
        <v>NAT</v>
      </c>
      <c r="U242" t="str">
        <f>IF(O242&gt;0,VLOOKUP($O242,Dep!$A:$M,12),"")</f>
        <v>AS</v>
      </c>
      <c r="V242" t="str">
        <f t="shared" si="42"/>
        <v/>
      </c>
      <c r="W242" t="str">
        <f t="shared" si="43"/>
        <v/>
      </c>
      <c r="X242" t="str">
        <f t="shared" si="44"/>
        <v>X</v>
      </c>
      <c r="Y242">
        <f t="shared" si="39"/>
        <v>0</v>
      </c>
      <c r="Z242" t="str">
        <f t="shared" si="45"/>
        <v/>
      </c>
      <c r="AA242" s="20">
        <f t="shared" si="40"/>
        <v>3.472222222222221E-2</v>
      </c>
      <c r="AB242">
        <f t="shared" si="46"/>
        <v>241</v>
      </c>
      <c r="AC242" s="20" t="str">
        <f t="shared" si="47"/>
        <v>16:10</v>
      </c>
      <c r="AD242" s="20" t="str">
        <f t="shared" si="41"/>
        <v>17:00</v>
      </c>
      <c r="AE242" t="str">
        <f>VLOOKUP(G242,ACtypes!A:C,3,FALSE)</f>
        <v>B</v>
      </c>
      <c r="AF242" t="str">
        <f t="shared" si="48"/>
        <v/>
      </c>
      <c r="AG242" t="str">
        <f t="shared" si="49"/>
        <v/>
      </c>
      <c r="AH242">
        <f t="shared" si="50"/>
        <v>30</v>
      </c>
    </row>
    <row r="243" spans="1:34" x14ac:dyDescent="0.3">
      <c r="A243" s="41">
        <f t="shared" si="51"/>
        <v>242</v>
      </c>
      <c r="B243" s="27">
        <v>995</v>
      </c>
      <c r="C243" s="28" t="s">
        <v>169</v>
      </c>
      <c r="D243" s="28" t="s">
        <v>13</v>
      </c>
      <c r="E243" s="28" t="s">
        <v>493</v>
      </c>
      <c r="F243" s="28" t="s">
        <v>15</v>
      </c>
      <c r="G243" s="28" t="s">
        <v>21</v>
      </c>
      <c r="H243" s="27">
        <v>0</v>
      </c>
      <c r="I243" s="27">
        <v>30</v>
      </c>
      <c r="J243" s="28" t="s">
        <v>28</v>
      </c>
      <c r="K243" s="27">
        <v>25</v>
      </c>
      <c r="L243" s="28" t="s">
        <v>22</v>
      </c>
      <c r="M243" s="27">
        <v>0</v>
      </c>
      <c r="O243" s="23">
        <v>243</v>
      </c>
      <c r="P243" t="str">
        <f>IF(O243&gt;0,VLOOKUP($O243,Dep!$A:$M,3),"")</f>
        <v>17:00</v>
      </c>
      <c r="Q243" t="str">
        <f>IF(O243&gt;0,VLOOKUP($O243,Dep!$A:$M,6),"")</f>
        <v>YLW</v>
      </c>
      <c r="R243" t="str">
        <f>IF(O243&gt;0,VLOOKUP($O243,Dep!$A:$M,7),"")</f>
        <v>DH8</v>
      </c>
      <c r="S243">
        <f>IF(O243&gt;0,VLOOKUP($O243,Dep!$A:$M,9),"")</f>
        <v>30</v>
      </c>
      <c r="T243" t="str">
        <f>IF(O243&gt;0,VLOOKUP($O243,Dep!$A:$M,10),"")</f>
        <v>INT</v>
      </c>
      <c r="U243" t="str">
        <f>IF(O243&gt;0,VLOOKUP($O243,Dep!$A:$M,12),"")</f>
        <v>AS</v>
      </c>
      <c r="V243" t="str">
        <f t="shared" si="42"/>
        <v/>
      </c>
      <c r="W243" t="str">
        <f t="shared" si="43"/>
        <v/>
      </c>
      <c r="X243" t="str">
        <f t="shared" si="44"/>
        <v>X</v>
      </c>
      <c r="Y243">
        <f t="shared" si="39"/>
        <v>0</v>
      </c>
      <c r="Z243" t="str">
        <f t="shared" si="45"/>
        <v/>
      </c>
      <c r="AA243" s="20">
        <f t="shared" si="40"/>
        <v>3.472222222222221E-2</v>
      </c>
      <c r="AB243">
        <f t="shared" si="46"/>
        <v>242</v>
      </c>
      <c r="AC243" s="20" t="str">
        <f t="shared" si="47"/>
        <v>16:10</v>
      </c>
      <c r="AD243" s="20" t="str">
        <f t="shared" si="41"/>
        <v>17:00</v>
      </c>
      <c r="AE243" t="str">
        <f>VLOOKUP(G243,ACtypes!A:C,3,FALSE)</f>
        <v>B</v>
      </c>
      <c r="AF243">
        <f t="shared" si="48"/>
        <v>1</v>
      </c>
      <c r="AG243">
        <f t="shared" si="49"/>
        <v>1</v>
      </c>
      <c r="AH243">
        <f t="shared" si="50"/>
        <v>30</v>
      </c>
    </row>
    <row r="244" spans="1:34" x14ac:dyDescent="0.3">
      <c r="A244" s="41">
        <f t="shared" si="51"/>
        <v>243</v>
      </c>
      <c r="B244" s="27">
        <v>312</v>
      </c>
      <c r="C244" s="28" t="s">
        <v>380</v>
      </c>
      <c r="D244" s="28" t="s">
        <v>13</v>
      </c>
      <c r="E244" s="28" t="s">
        <v>366</v>
      </c>
      <c r="F244" s="28" t="s">
        <v>15</v>
      </c>
      <c r="G244" s="28" t="s">
        <v>21</v>
      </c>
      <c r="H244" s="27">
        <v>0</v>
      </c>
      <c r="I244" s="27">
        <v>30</v>
      </c>
      <c r="J244" s="28" t="s">
        <v>17</v>
      </c>
      <c r="K244" s="27">
        <v>25</v>
      </c>
      <c r="L244" s="28" t="s">
        <v>22</v>
      </c>
      <c r="M244" s="27">
        <v>0</v>
      </c>
      <c r="O244" s="23">
        <v>244</v>
      </c>
      <c r="P244" t="str">
        <f>IF(O244&gt;0,VLOOKUP($O244,Dep!$A:$M,3),"")</f>
        <v>17:05</v>
      </c>
      <c r="Q244" t="str">
        <f>IF(O244&gt;0,VLOOKUP($O244,Dep!$A:$M,6),"")</f>
        <v>MFR</v>
      </c>
      <c r="R244" t="str">
        <f>IF(O244&gt;0,VLOOKUP($O244,Dep!$A:$M,7),"")</f>
        <v>DH8</v>
      </c>
      <c r="S244">
        <f>IF(O244&gt;0,VLOOKUP($O244,Dep!$A:$M,9),"")</f>
        <v>30</v>
      </c>
      <c r="T244" t="str">
        <f>IF(O244&gt;0,VLOOKUP($O244,Dep!$A:$M,10),"")</f>
        <v>NAT</v>
      </c>
      <c r="U244" t="str">
        <f>IF(O244&gt;0,VLOOKUP($O244,Dep!$A:$M,12),"")</f>
        <v>AS</v>
      </c>
      <c r="V244" t="str">
        <f t="shared" si="42"/>
        <v/>
      </c>
      <c r="W244" t="str">
        <f t="shared" si="43"/>
        <v/>
      </c>
      <c r="X244" t="str">
        <f t="shared" si="44"/>
        <v>X</v>
      </c>
      <c r="Y244">
        <f t="shared" si="39"/>
        <v>0</v>
      </c>
      <c r="Z244" t="str">
        <f t="shared" si="45"/>
        <v/>
      </c>
      <c r="AA244" s="20">
        <f t="shared" si="40"/>
        <v>2.9861111111111005E-2</v>
      </c>
      <c r="AB244">
        <f t="shared" si="46"/>
        <v>243</v>
      </c>
      <c r="AC244" s="20" t="str">
        <f t="shared" si="47"/>
        <v>16:22</v>
      </c>
      <c r="AD244" s="20" t="str">
        <f t="shared" si="41"/>
        <v>17:05</v>
      </c>
      <c r="AE244" t="str">
        <f>VLOOKUP(G244,ACtypes!A:C,3,FALSE)</f>
        <v>B</v>
      </c>
      <c r="AF244" t="str">
        <f t="shared" si="48"/>
        <v/>
      </c>
      <c r="AG244" t="str">
        <f t="shared" si="49"/>
        <v/>
      </c>
      <c r="AH244">
        <f t="shared" si="50"/>
        <v>30</v>
      </c>
    </row>
    <row r="245" spans="1:34" x14ac:dyDescent="0.3">
      <c r="A245" s="41">
        <f t="shared" si="51"/>
        <v>244</v>
      </c>
      <c r="B245" s="27">
        <v>962</v>
      </c>
      <c r="C245" s="28" t="s">
        <v>380</v>
      </c>
      <c r="D245" s="28" t="s">
        <v>13</v>
      </c>
      <c r="E245" s="28" t="s">
        <v>534</v>
      </c>
      <c r="F245" s="28" t="s">
        <v>15</v>
      </c>
      <c r="G245" s="28" t="s">
        <v>21</v>
      </c>
      <c r="H245" s="27">
        <v>0</v>
      </c>
      <c r="I245" s="27">
        <v>30</v>
      </c>
      <c r="J245" s="28" t="s">
        <v>28</v>
      </c>
      <c r="K245" s="27">
        <v>25</v>
      </c>
      <c r="L245" s="28" t="s">
        <v>22</v>
      </c>
      <c r="M245" s="27">
        <v>0</v>
      </c>
      <c r="O245" s="23">
        <v>245</v>
      </c>
      <c r="P245" t="str">
        <f>IF(O245&gt;0,VLOOKUP($O245,Dep!$A:$M,3),"")</f>
        <v>17:05</v>
      </c>
      <c r="Q245" t="str">
        <f>IF(O245&gt;0,VLOOKUP($O245,Dep!$A:$M,6),"")</f>
        <v>EUG</v>
      </c>
      <c r="R245" t="str">
        <f>IF(O245&gt;0,VLOOKUP($O245,Dep!$A:$M,7),"")</f>
        <v>DH8</v>
      </c>
      <c r="S245">
        <f>IF(O245&gt;0,VLOOKUP($O245,Dep!$A:$M,9),"")</f>
        <v>30</v>
      </c>
      <c r="T245" t="str">
        <f>IF(O245&gt;0,VLOOKUP($O245,Dep!$A:$M,10),"")</f>
        <v>NAT</v>
      </c>
      <c r="U245" t="str">
        <f>IF(O245&gt;0,VLOOKUP($O245,Dep!$A:$M,12),"")</f>
        <v>AS</v>
      </c>
      <c r="V245" t="str">
        <f t="shared" si="42"/>
        <v/>
      </c>
      <c r="W245" t="str">
        <f t="shared" si="43"/>
        <v/>
      </c>
      <c r="X245" t="str">
        <f t="shared" si="44"/>
        <v>X</v>
      </c>
      <c r="Y245">
        <f t="shared" si="39"/>
        <v>0</v>
      </c>
      <c r="Z245" t="str">
        <f t="shared" si="45"/>
        <v/>
      </c>
      <c r="AA245" s="20">
        <f t="shared" si="40"/>
        <v>2.9861111111111005E-2</v>
      </c>
      <c r="AB245">
        <f t="shared" si="46"/>
        <v>244</v>
      </c>
      <c r="AC245" s="20" t="str">
        <f t="shared" si="47"/>
        <v>16:22</v>
      </c>
      <c r="AD245" s="20" t="str">
        <f t="shared" si="41"/>
        <v>17:05</v>
      </c>
      <c r="AE245" t="str">
        <f>VLOOKUP(G245,ACtypes!A:C,3,FALSE)</f>
        <v>B</v>
      </c>
      <c r="AF245">
        <f t="shared" si="48"/>
        <v>1</v>
      </c>
      <c r="AG245" t="str">
        <f t="shared" si="49"/>
        <v/>
      </c>
      <c r="AH245">
        <f t="shared" si="50"/>
        <v>30</v>
      </c>
    </row>
    <row r="246" spans="1:34" x14ac:dyDescent="0.3">
      <c r="A246" s="41">
        <f t="shared" si="51"/>
        <v>245</v>
      </c>
      <c r="B246" s="27">
        <v>361</v>
      </c>
      <c r="C246" s="28" t="s">
        <v>88</v>
      </c>
      <c r="D246" s="28" t="s">
        <v>13</v>
      </c>
      <c r="E246" s="28" t="s">
        <v>423</v>
      </c>
      <c r="F246" s="28" t="s">
        <v>15</v>
      </c>
      <c r="G246" s="28" t="s">
        <v>21</v>
      </c>
      <c r="H246" s="27">
        <v>0</v>
      </c>
      <c r="I246" s="27">
        <v>30</v>
      </c>
      <c r="J246" s="28" t="s">
        <v>17</v>
      </c>
      <c r="K246" s="27">
        <v>25</v>
      </c>
      <c r="L246" s="28" t="s">
        <v>22</v>
      </c>
      <c r="M246" s="27">
        <v>0</v>
      </c>
      <c r="O246" s="23">
        <v>246</v>
      </c>
      <c r="P246" t="str">
        <f>IF(O246&gt;0,VLOOKUP($O246,Dep!$A:$M,3),"")</f>
        <v>17:20</v>
      </c>
      <c r="Q246" t="str">
        <f>IF(O246&gt;0,VLOOKUP($O246,Dep!$A:$M,6),"")</f>
        <v>PUW</v>
      </c>
      <c r="R246" t="str">
        <f>IF(O246&gt;0,VLOOKUP($O246,Dep!$A:$M,7),"")</f>
        <v>DH8</v>
      </c>
      <c r="S246">
        <f>IF(O246&gt;0,VLOOKUP($O246,Dep!$A:$M,9),"")</f>
        <v>30</v>
      </c>
      <c r="T246" t="str">
        <f>IF(O246&gt;0,VLOOKUP($O246,Dep!$A:$M,10),"")</f>
        <v>NAT</v>
      </c>
      <c r="U246" t="str">
        <f>IF(O246&gt;0,VLOOKUP($O246,Dep!$A:$M,12),"")</f>
        <v>AS</v>
      </c>
      <c r="V246" t="str">
        <f t="shared" si="42"/>
        <v/>
      </c>
      <c r="W246" t="str">
        <f t="shared" si="43"/>
        <v/>
      </c>
      <c r="X246" t="str">
        <f t="shared" si="44"/>
        <v/>
      </c>
      <c r="Y246">
        <f t="shared" si="39"/>
        <v>0</v>
      </c>
      <c r="Z246" t="str">
        <f t="shared" si="45"/>
        <v/>
      </c>
      <c r="AA246" s="20">
        <f t="shared" si="40"/>
        <v>2.430555555555558E-2</v>
      </c>
      <c r="AB246">
        <f t="shared" si="46"/>
        <v>245</v>
      </c>
      <c r="AC246" s="20" t="str">
        <f t="shared" si="47"/>
        <v>16:45</v>
      </c>
      <c r="AD246" s="20" t="str">
        <f t="shared" si="41"/>
        <v>17:20</v>
      </c>
      <c r="AE246" t="str">
        <f>VLOOKUP(G246,ACtypes!A:C,3,FALSE)</f>
        <v>B</v>
      </c>
      <c r="AF246" t="str">
        <f t="shared" si="48"/>
        <v/>
      </c>
      <c r="AG246" t="str">
        <f t="shared" si="49"/>
        <v/>
      </c>
      <c r="AH246">
        <f t="shared" si="50"/>
        <v>30</v>
      </c>
    </row>
    <row r="247" spans="1:34" x14ac:dyDescent="0.3">
      <c r="A247" s="41">
        <f t="shared" si="51"/>
        <v>246</v>
      </c>
      <c r="B247" s="27">
        <v>978</v>
      </c>
      <c r="C247" s="28" t="s">
        <v>104</v>
      </c>
      <c r="D247" s="28" t="s">
        <v>13</v>
      </c>
      <c r="E247" s="28" t="s">
        <v>474</v>
      </c>
      <c r="F247" s="28" t="s">
        <v>15</v>
      </c>
      <c r="G247" s="28" t="s">
        <v>21</v>
      </c>
      <c r="H247" s="27">
        <v>0</v>
      </c>
      <c r="I247" s="27">
        <v>30</v>
      </c>
      <c r="J247" s="28" t="s">
        <v>28</v>
      </c>
      <c r="K247" s="27">
        <v>25</v>
      </c>
      <c r="L247" s="28" t="s">
        <v>22</v>
      </c>
      <c r="M247" s="27">
        <v>0</v>
      </c>
      <c r="O247" s="23">
        <v>247</v>
      </c>
      <c r="P247" t="str">
        <f>IF(O247&gt;0,VLOOKUP($O247,Dep!$A:$M,3),"")</f>
        <v>17:30</v>
      </c>
      <c r="Q247" t="str">
        <f>IF(O247&gt;0,VLOOKUP($O247,Dep!$A:$M,6),"")</f>
        <v>PDX</v>
      </c>
      <c r="R247" t="str">
        <f>IF(O247&gt;0,VLOOKUP($O247,Dep!$A:$M,7),"")</f>
        <v>DH8</v>
      </c>
      <c r="S247">
        <f>IF(O247&gt;0,VLOOKUP($O247,Dep!$A:$M,9),"")</f>
        <v>30</v>
      </c>
      <c r="T247" t="str">
        <f>IF(O247&gt;0,VLOOKUP($O247,Dep!$A:$M,10),"")</f>
        <v>NAT</v>
      </c>
      <c r="U247" t="str">
        <f>IF(O247&gt;0,VLOOKUP($O247,Dep!$A:$M,12),"")</f>
        <v>AS</v>
      </c>
      <c r="V247" t="str">
        <f t="shared" si="42"/>
        <v/>
      </c>
      <c r="W247" t="str">
        <f t="shared" si="43"/>
        <v/>
      </c>
      <c r="X247" t="str">
        <f t="shared" si="44"/>
        <v>X</v>
      </c>
      <c r="Y247">
        <f t="shared" si="39"/>
        <v>0</v>
      </c>
      <c r="Z247" t="str">
        <f t="shared" si="45"/>
        <v/>
      </c>
      <c r="AA247" s="20">
        <f t="shared" si="40"/>
        <v>2.777777777777779E-2</v>
      </c>
      <c r="AB247">
        <f t="shared" si="46"/>
        <v>246</v>
      </c>
      <c r="AC247" s="20" t="str">
        <f t="shared" si="47"/>
        <v>16:50</v>
      </c>
      <c r="AD247" s="20" t="str">
        <f t="shared" si="41"/>
        <v>17:30</v>
      </c>
      <c r="AE247" t="str">
        <f>VLOOKUP(G247,ACtypes!A:C,3,FALSE)</f>
        <v>B</v>
      </c>
      <c r="AF247">
        <f t="shared" si="48"/>
        <v>1</v>
      </c>
      <c r="AG247" t="str">
        <f t="shared" si="49"/>
        <v/>
      </c>
      <c r="AH247">
        <f t="shared" si="50"/>
        <v>30</v>
      </c>
    </row>
    <row r="248" spans="1:34" x14ac:dyDescent="0.3">
      <c r="A248" s="41">
        <f t="shared" si="51"/>
        <v>247</v>
      </c>
      <c r="B248" s="27">
        <v>314</v>
      </c>
      <c r="C248" s="28" t="s">
        <v>382</v>
      </c>
      <c r="D248" s="28" t="s">
        <v>13</v>
      </c>
      <c r="E248" s="28" t="s">
        <v>366</v>
      </c>
      <c r="F248" s="28" t="s">
        <v>15</v>
      </c>
      <c r="G248" s="28" t="s">
        <v>21</v>
      </c>
      <c r="H248" s="27">
        <v>0</v>
      </c>
      <c r="I248" s="27">
        <v>30</v>
      </c>
      <c r="J248" s="28" t="s">
        <v>17</v>
      </c>
      <c r="K248" s="27">
        <v>25</v>
      </c>
      <c r="L248" s="28" t="s">
        <v>22</v>
      </c>
      <c r="M248" s="27">
        <v>0</v>
      </c>
      <c r="O248" s="23">
        <v>248</v>
      </c>
      <c r="P248" t="str">
        <f>IF(O248&gt;0,VLOOKUP($O248,Dep!$A:$M,3),"")</f>
        <v>17:55</v>
      </c>
      <c r="Q248" t="str">
        <f>IF(O248&gt;0,VLOOKUP($O248,Dep!$A:$M,6),"")</f>
        <v>EAT</v>
      </c>
      <c r="R248" t="str">
        <f>IF(O248&gt;0,VLOOKUP($O248,Dep!$A:$M,7),"")</f>
        <v>DH8</v>
      </c>
      <c r="S248">
        <f>IF(O248&gt;0,VLOOKUP($O248,Dep!$A:$M,9),"")</f>
        <v>30</v>
      </c>
      <c r="T248" t="str">
        <f>IF(O248&gt;0,VLOOKUP($O248,Dep!$A:$M,10),"")</f>
        <v>NAT</v>
      </c>
      <c r="U248" t="str">
        <f>IF(O248&gt;0,VLOOKUP($O248,Dep!$A:$M,12),"")</f>
        <v>AS</v>
      </c>
      <c r="V248" t="str">
        <f t="shared" si="42"/>
        <v/>
      </c>
      <c r="W248" t="str">
        <f t="shared" si="43"/>
        <v/>
      </c>
      <c r="X248" t="str">
        <f t="shared" si="44"/>
        <v>X</v>
      </c>
      <c r="Y248">
        <f t="shared" si="39"/>
        <v>0</v>
      </c>
      <c r="Z248" t="str">
        <f t="shared" si="45"/>
        <v/>
      </c>
      <c r="AA248" s="20">
        <f t="shared" si="40"/>
        <v>4.3749999999999956E-2</v>
      </c>
      <c r="AB248">
        <f t="shared" si="46"/>
        <v>247</v>
      </c>
      <c r="AC248" s="20" t="str">
        <f t="shared" si="47"/>
        <v>16:52</v>
      </c>
      <c r="AD248" s="20" t="str">
        <f t="shared" si="41"/>
        <v>17:55</v>
      </c>
      <c r="AE248" t="str">
        <f>VLOOKUP(G248,ACtypes!A:C,3,FALSE)</f>
        <v>B</v>
      </c>
      <c r="AF248" t="str">
        <f t="shared" si="48"/>
        <v/>
      </c>
      <c r="AG248" t="str">
        <f t="shared" si="49"/>
        <v/>
      </c>
      <c r="AH248">
        <f t="shared" si="50"/>
        <v>30</v>
      </c>
    </row>
    <row r="249" spans="1:34" x14ac:dyDescent="0.3">
      <c r="A249" s="41">
        <f t="shared" si="51"/>
        <v>248</v>
      </c>
      <c r="B249" s="27">
        <v>322</v>
      </c>
      <c r="C249" s="28" t="s">
        <v>389</v>
      </c>
      <c r="D249" s="28" t="s">
        <v>13</v>
      </c>
      <c r="E249" s="28" t="s">
        <v>366</v>
      </c>
      <c r="F249" s="28" t="s">
        <v>15</v>
      </c>
      <c r="G249" s="28" t="s">
        <v>21</v>
      </c>
      <c r="H249" s="27">
        <v>0</v>
      </c>
      <c r="I249" s="27">
        <v>30</v>
      </c>
      <c r="J249" s="28" t="s">
        <v>17</v>
      </c>
      <c r="K249" s="27">
        <v>25</v>
      </c>
      <c r="L249" s="28" t="s">
        <v>22</v>
      </c>
      <c r="M249" s="27">
        <v>0</v>
      </c>
      <c r="O249" s="23">
        <v>249</v>
      </c>
      <c r="P249" t="str">
        <f>IF(O249&gt;0,VLOOKUP($O249,Dep!$A:$M,3),"")</f>
        <v>18:00</v>
      </c>
      <c r="Q249" t="str">
        <f>IF(O249&gt;0,VLOOKUP($O249,Dep!$A:$M,6),"")</f>
        <v>PDX</v>
      </c>
      <c r="R249" t="str">
        <f>IF(O249&gt;0,VLOOKUP($O249,Dep!$A:$M,7),"")</f>
        <v>DH8</v>
      </c>
      <c r="S249">
        <f>IF(O249&gt;0,VLOOKUP($O249,Dep!$A:$M,9),"")</f>
        <v>30</v>
      </c>
      <c r="T249" t="str">
        <f>IF(O249&gt;0,VLOOKUP($O249,Dep!$A:$M,10),"")</f>
        <v>NAT</v>
      </c>
      <c r="U249" t="str">
        <f>IF(O249&gt;0,VLOOKUP($O249,Dep!$A:$M,12),"")</f>
        <v>AS</v>
      </c>
      <c r="V249" t="str">
        <f t="shared" si="42"/>
        <v/>
      </c>
      <c r="W249" t="str">
        <f t="shared" si="43"/>
        <v/>
      </c>
      <c r="X249" t="str">
        <f t="shared" si="44"/>
        <v/>
      </c>
      <c r="Y249">
        <f t="shared" si="39"/>
        <v>0</v>
      </c>
      <c r="Z249" t="str">
        <f t="shared" si="45"/>
        <v/>
      </c>
      <c r="AA249" s="20">
        <f t="shared" si="40"/>
        <v>2.5000000000000022E-2</v>
      </c>
      <c r="AB249">
        <f t="shared" si="46"/>
        <v>248</v>
      </c>
      <c r="AC249" s="20" t="str">
        <f t="shared" si="47"/>
        <v>17:24</v>
      </c>
      <c r="AD249" s="20" t="str">
        <f t="shared" si="41"/>
        <v>18:00</v>
      </c>
      <c r="AE249" t="str">
        <f>VLOOKUP(G249,ACtypes!A:C,3,FALSE)</f>
        <v>B</v>
      </c>
      <c r="AF249" t="str">
        <f t="shared" si="48"/>
        <v/>
      </c>
      <c r="AG249" t="str">
        <f t="shared" si="49"/>
        <v/>
      </c>
      <c r="AH249">
        <f t="shared" si="50"/>
        <v>30</v>
      </c>
    </row>
    <row r="250" spans="1:34" x14ac:dyDescent="0.3">
      <c r="A250" s="41">
        <f t="shared" si="51"/>
        <v>249</v>
      </c>
      <c r="B250" s="27">
        <v>366</v>
      </c>
      <c r="C250" s="28" t="s">
        <v>426</v>
      </c>
      <c r="D250" s="28" t="s">
        <v>13</v>
      </c>
      <c r="E250" s="28" t="s">
        <v>424</v>
      </c>
      <c r="F250" s="28" t="s">
        <v>15</v>
      </c>
      <c r="G250" s="28" t="s">
        <v>21</v>
      </c>
      <c r="H250" s="27">
        <v>0</v>
      </c>
      <c r="I250" s="27">
        <v>30</v>
      </c>
      <c r="J250" s="28" t="s">
        <v>17</v>
      </c>
      <c r="K250" s="27">
        <v>25</v>
      </c>
      <c r="L250" s="28" t="s">
        <v>22</v>
      </c>
      <c r="M250" s="27">
        <v>0</v>
      </c>
      <c r="O250" s="23">
        <v>250</v>
      </c>
      <c r="P250" t="str">
        <f>IF(O250&gt;0,VLOOKUP($O250,Dep!$A:$M,3),"")</f>
        <v>18:00</v>
      </c>
      <c r="Q250" t="str">
        <f>IF(O250&gt;0,VLOOKUP($O250,Dep!$A:$M,6),"")</f>
        <v>PSC</v>
      </c>
      <c r="R250" t="str">
        <f>IF(O250&gt;0,VLOOKUP($O250,Dep!$A:$M,7),"")</f>
        <v>DH8</v>
      </c>
      <c r="S250">
        <f>IF(O250&gt;0,VLOOKUP($O250,Dep!$A:$M,9),"")</f>
        <v>30</v>
      </c>
      <c r="T250" t="str">
        <f>IF(O250&gt;0,VLOOKUP($O250,Dep!$A:$M,10),"")</f>
        <v>NAT</v>
      </c>
      <c r="U250" t="str">
        <f>IF(O250&gt;0,VLOOKUP($O250,Dep!$A:$M,12),"")</f>
        <v>AS</v>
      </c>
      <c r="V250" t="str">
        <f t="shared" si="42"/>
        <v/>
      </c>
      <c r="W250" t="str">
        <f t="shared" si="43"/>
        <v/>
      </c>
      <c r="X250" t="str">
        <f t="shared" si="44"/>
        <v>X</v>
      </c>
      <c r="Y250">
        <f t="shared" si="39"/>
        <v>0</v>
      </c>
      <c r="Z250" t="str">
        <f t="shared" si="45"/>
        <v/>
      </c>
      <c r="AA250" s="20">
        <f t="shared" si="40"/>
        <v>2.083333333333337E-2</v>
      </c>
      <c r="AB250">
        <f t="shared" si="46"/>
        <v>249</v>
      </c>
      <c r="AC250" s="20" t="str">
        <f t="shared" si="47"/>
        <v>17:30</v>
      </c>
      <c r="AD250" s="20" t="str">
        <f t="shared" si="41"/>
        <v>18:00</v>
      </c>
      <c r="AE250" t="str">
        <f>VLOOKUP(G250,ACtypes!A:C,3,FALSE)</f>
        <v>B</v>
      </c>
      <c r="AF250" t="str">
        <f t="shared" si="48"/>
        <v/>
      </c>
      <c r="AG250" t="str">
        <f t="shared" si="49"/>
        <v/>
      </c>
      <c r="AH250">
        <f t="shared" si="50"/>
        <v>30</v>
      </c>
    </row>
    <row r="251" spans="1:34" x14ac:dyDescent="0.3">
      <c r="A251" s="41">
        <f t="shared" si="51"/>
        <v>250</v>
      </c>
      <c r="B251" s="27">
        <v>960</v>
      </c>
      <c r="C251" s="28" t="s">
        <v>426</v>
      </c>
      <c r="D251" s="28" t="s">
        <v>13</v>
      </c>
      <c r="E251" s="28" t="s">
        <v>532</v>
      </c>
      <c r="F251" s="28" t="s">
        <v>15</v>
      </c>
      <c r="G251" s="28" t="s">
        <v>21</v>
      </c>
      <c r="H251" s="27">
        <v>0</v>
      </c>
      <c r="I251" s="27">
        <v>30</v>
      </c>
      <c r="J251" s="28" t="s">
        <v>17</v>
      </c>
      <c r="K251" s="27">
        <v>25</v>
      </c>
      <c r="L251" s="28" t="s">
        <v>22</v>
      </c>
      <c r="M251" s="27">
        <v>0</v>
      </c>
      <c r="O251" s="23">
        <v>251</v>
      </c>
      <c r="P251" t="str">
        <f>IF(O251&gt;0,VLOOKUP($O251,Dep!$A:$M,3),"")</f>
        <v>18:00</v>
      </c>
      <c r="Q251" t="str">
        <f>IF(O251&gt;0,VLOOKUP($O251,Dep!$A:$M,6),"")</f>
        <v>YVR</v>
      </c>
      <c r="R251" t="str">
        <f>IF(O251&gt;0,VLOOKUP($O251,Dep!$A:$M,7),"")</f>
        <v>DH8</v>
      </c>
      <c r="S251">
        <f>IF(O251&gt;0,VLOOKUP($O251,Dep!$A:$M,9),"")</f>
        <v>30</v>
      </c>
      <c r="T251" t="str">
        <f>IF(O251&gt;0,VLOOKUP($O251,Dep!$A:$M,10),"")</f>
        <v>INT</v>
      </c>
      <c r="U251" t="str">
        <f>IF(O251&gt;0,VLOOKUP($O251,Dep!$A:$M,12),"")</f>
        <v>AS</v>
      </c>
      <c r="V251" t="str">
        <f t="shared" si="42"/>
        <v/>
      </c>
      <c r="W251" t="str">
        <f t="shared" si="43"/>
        <v/>
      </c>
      <c r="X251" t="str">
        <f t="shared" si="44"/>
        <v>X</v>
      </c>
      <c r="Y251">
        <f t="shared" si="39"/>
        <v>0</v>
      </c>
      <c r="Z251" t="str">
        <f t="shared" si="45"/>
        <v/>
      </c>
      <c r="AA251" s="20">
        <f t="shared" si="40"/>
        <v>2.083333333333337E-2</v>
      </c>
      <c r="AB251">
        <f t="shared" si="46"/>
        <v>250</v>
      </c>
      <c r="AC251" s="20" t="str">
        <f t="shared" si="47"/>
        <v>17:30</v>
      </c>
      <c r="AD251" s="20" t="str">
        <f t="shared" si="41"/>
        <v>18:00</v>
      </c>
      <c r="AE251" t="str">
        <f>VLOOKUP(G251,ACtypes!A:C,3,FALSE)</f>
        <v>B</v>
      </c>
      <c r="AF251" t="str">
        <f t="shared" si="48"/>
        <v/>
      </c>
      <c r="AG251">
        <f t="shared" si="49"/>
        <v>1</v>
      </c>
      <c r="AH251">
        <f t="shared" si="50"/>
        <v>30</v>
      </c>
    </row>
    <row r="252" spans="1:34" x14ac:dyDescent="0.3">
      <c r="A252" s="41">
        <f t="shared" si="51"/>
        <v>251</v>
      </c>
      <c r="B252" s="27">
        <v>999</v>
      </c>
      <c r="C252" s="28" t="s">
        <v>497</v>
      </c>
      <c r="D252" s="28" t="s">
        <v>13</v>
      </c>
      <c r="E252" s="28" t="s">
        <v>493</v>
      </c>
      <c r="F252" s="28" t="s">
        <v>15</v>
      </c>
      <c r="G252" s="28" t="s">
        <v>21</v>
      </c>
      <c r="H252" s="27">
        <v>0</v>
      </c>
      <c r="I252" s="27">
        <v>30</v>
      </c>
      <c r="J252" s="28" t="s">
        <v>28</v>
      </c>
      <c r="K252" s="27">
        <v>25</v>
      </c>
      <c r="L252" s="28" t="s">
        <v>22</v>
      </c>
      <c r="M252" s="27">
        <v>0</v>
      </c>
      <c r="O252" s="23">
        <v>252</v>
      </c>
      <c r="P252" t="str">
        <f>IF(O252&gt;0,VLOOKUP($O252,Dep!$A:$M,3),"")</f>
        <v>18:17</v>
      </c>
      <c r="Q252" t="str">
        <f>IF(O252&gt;0,VLOOKUP($O252,Dep!$A:$M,6),"")</f>
        <v>YYJ</v>
      </c>
      <c r="R252" t="str">
        <f>IF(O252&gt;0,VLOOKUP($O252,Dep!$A:$M,7),"")</f>
        <v>DH8</v>
      </c>
      <c r="S252">
        <f>IF(O252&gt;0,VLOOKUP($O252,Dep!$A:$M,9),"")</f>
        <v>30</v>
      </c>
      <c r="T252" t="str">
        <f>IF(O252&gt;0,VLOOKUP($O252,Dep!$A:$M,10),"")</f>
        <v>INT</v>
      </c>
      <c r="U252" t="str">
        <f>IF(O252&gt;0,VLOOKUP($O252,Dep!$A:$M,12),"")</f>
        <v>AS</v>
      </c>
      <c r="V252" t="str">
        <f t="shared" si="42"/>
        <v/>
      </c>
      <c r="W252" t="str">
        <f t="shared" si="43"/>
        <v/>
      </c>
      <c r="X252" t="str">
        <f t="shared" si="44"/>
        <v/>
      </c>
      <c r="Y252">
        <f t="shared" si="39"/>
        <v>0</v>
      </c>
      <c r="Z252" t="str">
        <f t="shared" si="45"/>
        <v/>
      </c>
      <c r="AA252" s="20">
        <f t="shared" si="40"/>
        <v>2.7083333333333459E-2</v>
      </c>
      <c r="AB252">
        <f t="shared" si="46"/>
        <v>251</v>
      </c>
      <c r="AC252" s="20" t="str">
        <f t="shared" si="47"/>
        <v>17:38</v>
      </c>
      <c r="AD252" s="20" t="str">
        <f t="shared" si="41"/>
        <v>18:17</v>
      </c>
      <c r="AE252" t="str">
        <f>VLOOKUP(G252,ACtypes!A:C,3,FALSE)</f>
        <v>B</v>
      </c>
      <c r="AF252">
        <f t="shared" si="48"/>
        <v>1</v>
      </c>
      <c r="AG252">
        <f t="shared" si="49"/>
        <v>1</v>
      </c>
      <c r="AH252">
        <f t="shared" si="50"/>
        <v>30</v>
      </c>
    </row>
    <row r="253" spans="1:34" x14ac:dyDescent="0.3">
      <c r="A253" s="41">
        <f t="shared" si="51"/>
        <v>252</v>
      </c>
      <c r="B253" s="27">
        <v>970</v>
      </c>
      <c r="C253" s="28" t="s">
        <v>475</v>
      </c>
      <c r="D253" s="28" t="s">
        <v>13</v>
      </c>
      <c r="E253" s="28" t="s">
        <v>474</v>
      </c>
      <c r="F253" s="28" t="s">
        <v>15</v>
      </c>
      <c r="G253" s="28" t="s">
        <v>21</v>
      </c>
      <c r="H253" s="27">
        <v>0</v>
      </c>
      <c r="I253" s="27">
        <v>30</v>
      </c>
      <c r="J253" s="28" t="s">
        <v>28</v>
      </c>
      <c r="K253" s="27">
        <v>25</v>
      </c>
      <c r="L253" s="28" t="s">
        <v>22</v>
      </c>
      <c r="M253" s="27">
        <v>0</v>
      </c>
      <c r="O253" s="23">
        <v>253</v>
      </c>
      <c r="P253" t="str">
        <f>IF(O253&gt;0,VLOOKUP($O253,Dep!$A:$M,3),"")</f>
        <v>18:25</v>
      </c>
      <c r="Q253" t="str">
        <f>IF(O253&gt;0,VLOOKUP($O253,Dep!$A:$M,6),"")</f>
        <v>RDM</v>
      </c>
      <c r="R253" t="str">
        <f>IF(O253&gt;0,VLOOKUP($O253,Dep!$A:$M,7),"")</f>
        <v>DH8</v>
      </c>
      <c r="S253">
        <f>IF(O253&gt;0,VLOOKUP($O253,Dep!$A:$M,9),"")</f>
        <v>30</v>
      </c>
      <c r="T253" t="str">
        <f>IF(O253&gt;0,VLOOKUP($O253,Dep!$A:$M,10),"")</f>
        <v>NAT</v>
      </c>
      <c r="U253" t="str">
        <f>IF(O253&gt;0,VLOOKUP($O253,Dep!$A:$M,12),"")</f>
        <v>AS</v>
      </c>
      <c r="V253" t="str">
        <f t="shared" si="42"/>
        <v/>
      </c>
      <c r="W253" t="str">
        <f t="shared" si="43"/>
        <v/>
      </c>
      <c r="X253" t="str">
        <f t="shared" si="44"/>
        <v>X</v>
      </c>
      <c r="Y253">
        <f t="shared" si="39"/>
        <v>0</v>
      </c>
      <c r="Z253" t="str">
        <f t="shared" si="45"/>
        <v/>
      </c>
      <c r="AA253" s="20">
        <f t="shared" si="40"/>
        <v>2.4305555555555691E-2</v>
      </c>
      <c r="AB253">
        <f t="shared" si="46"/>
        <v>252</v>
      </c>
      <c r="AC253" s="20" t="str">
        <f t="shared" si="47"/>
        <v>17:50</v>
      </c>
      <c r="AD253" s="20" t="str">
        <f t="shared" si="41"/>
        <v>18:25</v>
      </c>
      <c r="AE253" t="str">
        <f>VLOOKUP(G253,ACtypes!A:C,3,FALSE)</f>
        <v>B</v>
      </c>
      <c r="AF253">
        <f t="shared" si="48"/>
        <v>1</v>
      </c>
      <c r="AG253" t="str">
        <f t="shared" si="49"/>
        <v/>
      </c>
      <c r="AH253">
        <f t="shared" si="50"/>
        <v>30</v>
      </c>
    </row>
    <row r="254" spans="1:34" x14ac:dyDescent="0.3">
      <c r="A254" s="41">
        <f t="shared" si="51"/>
        <v>253</v>
      </c>
      <c r="B254" s="27">
        <v>325</v>
      </c>
      <c r="C254" s="28" t="s">
        <v>392</v>
      </c>
      <c r="D254" s="28" t="s">
        <v>13</v>
      </c>
      <c r="E254" s="28" t="s">
        <v>366</v>
      </c>
      <c r="F254" s="28" t="s">
        <v>15</v>
      </c>
      <c r="G254" s="28" t="s">
        <v>21</v>
      </c>
      <c r="H254" s="27">
        <v>0</v>
      </c>
      <c r="I254" s="27">
        <v>30</v>
      </c>
      <c r="J254" s="28" t="s">
        <v>17</v>
      </c>
      <c r="K254" s="27">
        <v>25</v>
      </c>
      <c r="L254" s="28" t="s">
        <v>22</v>
      </c>
      <c r="M254" s="27">
        <v>0</v>
      </c>
      <c r="O254" s="23">
        <v>254</v>
      </c>
      <c r="P254" t="str">
        <f>IF(O254&gt;0,VLOOKUP($O254,Dep!$A:$M,3),"")</f>
        <v>18:30</v>
      </c>
      <c r="Q254" t="str">
        <f>IF(O254&gt;0,VLOOKUP($O254,Dep!$A:$M,6),"")</f>
        <v>BLI</v>
      </c>
      <c r="R254" t="str">
        <f>IF(O254&gt;0,VLOOKUP($O254,Dep!$A:$M,7),"")</f>
        <v>DH8</v>
      </c>
      <c r="S254">
        <f>IF(O254&gt;0,VLOOKUP($O254,Dep!$A:$M,9),"")</f>
        <v>30</v>
      </c>
      <c r="T254" t="str">
        <f>IF(O254&gt;0,VLOOKUP($O254,Dep!$A:$M,10),"")</f>
        <v>NAT</v>
      </c>
      <c r="U254" t="str">
        <f>IF(O254&gt;0,VLOOKUP($O254,Dep!$A:$M,12),"")</f>
        <v>AS</v>
      </c>
      <c r="V254" t="str">
        <f t="shared" si="42"/>
        <v/>
      </c>
      <c r="W254" t="str">
        <f t="shared" si="43"/>
        <v/>
      </c>
      <c r="X254" t="str">
        <f t="shared" si="44"/>
        <v>X</v>
      </c>
      <c r="Y254">
        <f t="shared" si="39"/>
        <v>0</v>
      </c>
      <c r="Z254" t="str">
        <f t="shared" si="45"/>
        <v/>
      </c>
      <c r="AA254" s="20">
        <f t="shared" si="40"/>
        <v>2.6388888888888906E-2</v>
      </c>
      <c r="AB254">
        <f t="shared" si="46"/>
        <v>253</v>
      </c>
      <c r="AC254" s="20" t="str">
        <f t="shared" si="47"/>
        <v>17:52</v>
      </c>
      <c r="AD254" s="20" t="str">
        <f t="shared" si="41"/>
        <v>18:30</v>
      </c>
      <c r="AE254" t="str">
        <f>VLOOKUP(G254,ACtypes!A:C,3,FALSE)</f>
        <v>B</v>
      </c>
      <c r="AF254" t="str">
        <f t="shared" si="48"/>
        <v/>
      </c>
      <c r="AG254" t="str">
        <f t="shared" si="49"/>
        <v/>
      </c>
      <c r="AH254">
        <f t="shared" si="50"/>
        <v>30</v>
      </c>
    </row>
    <row r="255" spans="1:34" x14ac:dyDescent="0.3">
      <c r="A255" s="41">
        <f t="shared" si="51"/>
        <v>254</v>
      </c>
      <c r="B255" s="27">
        <v>38</v>
      </c>
      <c r="C255" s="28" t="s">
        <v>79</v>
      </c>
      <c r="D255" s="28" t="s">
        <v>13</v>
      </c>
      <c r="E255" s="28" t="s">
        <v>76</v>
      </c>
      <c r="F255" s="28" t="s">
        <v>15</v>
      </c>
      <c r="G255" s="28" t="s">
        <v>21</v>
      </c>
      <c r="H255" s="27">
        <v>0</v>
      </c>
      <c r="I255" s="27">
        <v>30</v>
      </c>
      <c r="J255" s="28" t="s">
        <v>17</v>
      </c>
      <c r="K255" s="27">
        <v>25</v>
      </c>
      <c r="L255" s="28" t="s">
        <v>22</v>
      </c>
      <c r="M255" s="27">
        <v>0</v>
      </c>
      <c r="O255" s="23">
        <v>255</v>
      </c>
      <c r="P255" t="str">
        <f>IF(O255&gt;0,VLOOKUP($O255,Dep!$A:$M,3),"")</f>
        <v>18:30</v>
      </c>
      <c r="Q255" t="str">
        <f>IF(O255&gt;0,VLOOKUP($O255,Dep!$A:$M,6),"")</f>
        <v>PDX</v>
      </c>
      <c r="R255" t="str">
        <f>IF(O255&gt;0,VLOOKUP($O255,Dep!$A:$M,7),"")</f>
        <v>DH8</v>
      </c>
      <c r="S255">
        <f>IF(O255&gt;0,VLOOKUP($O255,Dep!$A:$M,9),"")</f>
        <v>30</v>
      </c>
      <c r="T255" t="str">
        <f>IF(O255&gt;0,VLOOKUP($O255,Dep!$A:$M,10),"")</f>
        <v>NAT</v>
      </c>
      <c r="U255" t="str">
        <f>IF(O255&gt;0,VLOOKUP($O255,Dep!$A:$M,12),"")</f>
        <v>AS</v>
      </c>
      <c r="V255" t="str">
        <f t="shared" si="42"/>
        <v/>
      </c>
      <c r="W255" t="str">
        <f t="shared" si="43"/>
        <v/>
      </c>
      <c r="X255" t="str">
        <f t="shared" si="44"/>
        <v>X</v>
      </c>
      <c r="Y255">
        <f t="shared" si="39"/>
        <v>0</v>
      </c>
      <c r="Z255" t="str">
        <f t="shared" si="45"/>
        <v/>
      </c>
      <c r="AA255" s="20">
        <f t="shared" si="40"/>
        <v>2.2222222222222365E-2</v>
      </c>
      <c r="AB255">
        <f t="shared" si="46"/>
        <v>254</v>
      </c>
      <c r="AC255" s="20" t="str">
        <f t="shared" si="47"/>
        <v>17:58</v>
      </c>
      <c r="AD255" s="20" t="str">
        <f t="shared" si="41"/>
        <v>18:30</v>
      </c>
      <c r="AE255" t="str">
        <f>VLOOKUP(G255,ACtypes!A:C,3,FALSE)</f>
        <v>B</v>
      </c>
      <c r="AF255" t="str">
        <f t="shared" si="48"/>
        <v/>
      </c>
      <c r="AG255" t="str">
        <f t="shared" si="49"/>
        <v/>
      </c>
      <c r="AH255">
        <f t="shared" si="50"/>
        <v>30</v>
      </c>
    </row>
    <row r="256" spans="1:34" x14ac:dyDescent="0.3">
      <c r="A256" s="41">
        <f t="shared" si="51"/>
        <v>255</v>
      </c>
      <c r="B256" s="27">
        <v>358</v>
      </c>
      <c r="C256" s="28" t="s">
        <v>79</v>
      </c>
      <c r="D256" s="28" t="s">
        <v>13</v>
      </c>
      <c r="E256" s="28" t="s">
        <v>418</v>
      </c>
      <c r="F256" s="28" t="s">
        <v>15</v>
      </c>
      <c r="G256" s="28" t="s">
        <v>21</v>
      </c>
      <c r="H256" s="27">
        <v>0</v>
      </c>
      <c r="I256" s="27">
        <v>30</v>
      </c>
      <c r="J256" s="28" t="s">
        <v>17</v>
      </c>
      <c r="K256" s="27">
        <v>25</v>
      </c>
      <c r="L256" s="28" t="s">
        <v>22</v>
      </c>
      <c r="M256" s="27">
        <v>0</v>
      </c>
      <c r="O256" s="23">
        <v>256</v>
      </c>
      <c r="P256" t="str">
        <f>IF(O256&gt;0,VLOOKUP($O256,Dep!$A:$M,3),"")</f>
        <v>18:45</v>
      </c>
      <c r="Q256" t="str">
        <f>IF(O256&gt;0,VLOOKUP($O256,Dep!$A:$M,6),"")</f>
        <v>YKM</v>
      </c>
      <c r="R256" t="str">
        <f>IF(O256&gt;0,VLOOKUP($O256,Dep!$A:$M,7),"")</f>
        <v>DH8</v>
      </c>
      <c r="S256">
        <f>IF(O256&gt;0,VLOOKUP($O256,Dep!$A:$M,9),"")</f>
        <v>30</v>
      </c>
      <c r="T256" t="str">
        <f>IF(O256&gt;0,VLOOKUP($O256,Dep!$A:$M,10),"")</f>
        <v>NAT</v>
      </c>
      <c r="U256" t="str">
        <f>IF(O256&gt;0,VLOOKUP($O256,Dep!$A:$M,12),"")</f>
        <v>AS</v>
      </c>
      <c r="V256" t="str">
        <f t="shared" si="42"/>
        <v/>
      </c>
      <c r="W256" t="str">
        <f t="shared" si="43"/>
        <v/>
      </c>
      <c r="X256" t="str">
        <f t="shared" si="44"/>
        <v>X</v>
      </c>
      <c r="Y256">
        <f t="shared" si="39"/>
        <v>0</v>
      </c>
      <c r="Z256" t="str">
        <f t="shared" si="45"/>
        <v/>
      </c>
      <c r="AA256" s="20">
        <f t="shared" si="40"/>
        <v>3.2638888888888995E-2</v>
      </c>
      <c r="AB256">
        <f t="shared" si="46"/>
        <v>255</v>
      </c>
      <c r="AC256" s="20" t="str">
        <f t="shared" si="47"/>
        <v>17:58</v>
      </c>
      <c r="AD256" s="20" t="str">
        <f t="shared" si="41"/>
        <v>18:45</v>
      </c>
      <c r="AE256" t="str">
        <f>VLOOKUP(G256,ACtypes!A:C,3,FALSE)</f>
        <v>B</v>
      </c>
      <c r="AF256" t="str">
        <f t="shared" si="48"/>
        <v/>
      </c>
      <c r="AG256" t="str">
        <f t="shared" si="49"/>
        <v/>
      </c>
      <c r="AH256">
        <f t="shared" si="50"/>
        <v>30</v>
      </c>
    </row>
    <row r="257" spans="1:34" x14ac:dyDescent="0.3">
      <c r="A257" s="41">
        <f t="shared" si="51"/>
        <v>256</v>
      </c>
      <c r="B257" s="27">
        <v>2</v>
      </c>
      <c r="C257" s="28" t="s">
        <v>19</v>
      </c>
      <c r="D257" s="28" t="s">
        <v>13</v>
      </c>
      <c r="E257" s="28" t="s">
        <v>20</v>
      </c>
      <c r="F257" s="28" t="s">
        <v>15</v>
      </c>
      <c r="G257" s="28" t="s">
        <v>21</v>
      </c>
      <c r="H257" s="27">
        <v>0</v>
      </c>
      <c r="I257" s="27">
        <v>30</v>
      </c>
      <c r="J257" s="28" t="s">
        <v>17</v>
      </c>
      <c r="K257" s="27">
        <v>25</v>
      </c>
      <c r="L257" s="28" t="s">
        <v>22</v>
      </c>
      <c r="M257" s="27">
        <v>0</v>
      </c>
      <c r="O257" s="23">
        <v>257</v>
      </c>
      <c r="P257" t="str">
        <f>IF(O257&gt;0,VLOOKUP($O257,Dep!$A:$M,3),"")</f>
        <v>19:00</v>
      </c>
      <c r="Q257" t="str">
        <f>IF(O257&gt;0,VLOOKUP($O257,Dep!$A:$M,6),"")</f>
        <v>YVR</v>
      </c>
      <c r="R257" t="str">
        <f>IF(O257&gt;0,VLOOKUP($O257,Dep!$A:$M,7),"")</f>
        <v>DH8</v>
      </c>
      <c r="S257">
        <f>IF(O257&gt;0,VLOOKUP($O257,Dep!$A:$M,9),"")</f>
        <v>30</v>
      </c>
      <c r="T257" t="str">
        <f>IF(O257&gt;0,VLOOKUP($O257,Dep!$A:$M,10),"")</f>
        <v>INT</v>
      </c>
      <c r="U257" t="str">
        <f>IF(O257&gt;0,VLOOKUP($O257,Dep!$A:$M,12),"")</f>
        <v>AS</v>
      </c>
      <c r="V257" t="str">
        <f t="shared" si="42"/>
        <v/>
      </c>
      <c r="W257" t="str">
        <f t="shared" si="43"/>
        <v/>
      </c>
      <c r="X257" t="str">
        <f t="shared" si="44"/>
        <v>X</v>
      </c>
      <c r="Y257">
        <f t="shared" si="39"/>
        <v>0</v>
      </c>
      <c r="Z257" t="str">
        <f t="shared" si="45"/>
        <v/>
      </c>
      <c r="AA257" s="20">
        <f t="shared" si="40"/>
        <v>3.125E-2</v>
      </c>
      <c r="AB257">
        <f t="shared" si="46"/>
        <v>256</v>
      </c>
      <c r="AC257" s="20" t="str">
        <f t="shared" si="47"/>
        <v>18:15</v>
      </c>
      <c r="AD257" s="20" t="str">
        <f t="shared" si="41"/>
        <v>19:00</v>
      </c>
      <c r="AE257" t="str">
        <f>VLOOKUP(G257,ACtypes!A:C,3,FALSE)</f>
        <v>B</v>
      </c>
      <c r="AF257" t="str">
        <f t="shared" si="48"/>
        <v/>
      </c>
      <c r="AG257">
        <f t="shared" si="49"/>
        <v>1</v>
      </c>
      <c r="AH257">
        <f t="shared" si="50"/>
        <v>30</v>
      </c>
    </row>
    <row r="258" spans="1:34" x14ac:dyDescent="0.3">
      <c r="A258" s="41">
        <f t="shared" si="51"/>
        <v>257</v>
      </c>
      <c r="B258" s="27">
        <v>327</v>
      </c>
      <c r="C258" s="28" t="s">
        <v>394</v>
      </c>
      <c r="D258" s="28" t="s">
        <v>13</v>
      </c>
      <c r="E258" s="28" t="s">
        <v>366</v>
      </c>
      <c r="F258" s="28" t="s">
        <v>15</v>
      </c>
      <c r="G258" s="28" t="s">
        <v>21</v>
      </c>
      <c r="H258" s="27">
        <v>0</v>
      </c>
      <c r="I258" s="27">
        <v>30</v>
      </c>
      <c r="J258" s="28" t="s">
        <v>17</v>
      </c>
      <c r="K258" s="27">
        <v>25</v>
      </c>
      <c r="L258" s="28" t="s">
        <v>22</v>
      </c>
      <c r="M258" s="27">
        <v>0</v>
      </c>
      <c r="O258" s="23">
        <v>258</v>
      </c>
      <c r="P258" t="str">
        <f>IF(O258&gt;0,VLOOKUP($O258,Dep!$A:$M,3),"")</f>
        <v>19:30</v>
      </c>
      <c r="Q258" t="str">
        <f>IF(O258&gt;0,VLOOKUP($O258,Dep!$A:$M,6),"")</f>
        <v>LWS</v>
      </c>
      <c r="R258" t="str">
        <f>IF(O258&gt;0,VLOOKUP($O258,Dep!$A:$M,7),"")</f>
        <v>DH8</v>
      </c>
      <c r="S258">
        <f>IF(O258&gt;0,VLOOKUP($O258,Dep!$A:$M,9),"")</f>
        <v>30</v>
      </c>
      <c r="T258" t="str">
        <f>IF(O258&gt;0,VLOOKUP($O258,Dep!$A:$M,10),"")</f>
        <v>NAT</v>
      </c>
      <c r="U258" t="str">
        <f>IF(O258&gt;0,VLOOKUP($O258,Dep!$A:$M,12),"")</f>
        <v>AS</v>
      </c>
      <c r="V258" t="str">
        <f t="shared" si="42"/>
        <v/>
      </c>
      <c r="W258" t="str">
        <f t="shared" si="43"/>
        <v/>
      </c>
      <c r="X258" t="str">
        <f t="shared" si="44"/>
        <v>X</v>
      </c>
      <c r="Y258">
        <f t="shared" ref="Y258:Y321" si="52">IF(O258&gt;0,S258-I258,"")</f>
        <v>0</v>
      </c>
      <c r="Z258" t="str">
        <f t="shared" si="45"/>
        <v/>
      </c>
      <c r="AA258" s="20">
        <f t="shared" ref="AA258:AA321" si="53">IF(O258&gt;0,IF(P258-C258&gt;0,P258-C258,P258-C258+1),"")</f>
        <v>4.3750000000000067E-2</v>
      </c>
      <c r="AB258">
        <f t="shared" si="46"/>
        <v>257</v>
      </c>
      <c r="AC258" s="20" t="str">
        <f t="shared" si="47"/>
        <v>18:27</v>
      </c>
      <c r="AD258" s="20" t="str">
        <f t="shared" ref="AD258:AD321" si="54">IF(O258&gt;0,P258,AC258+1/24)</f>
        <v>19:30</v>
      </c>
      <c r="AE258" t="str">
        <f>VLOOKUP(G258,ACtypes!A:C,3,FALSE)</f>
        <v>B</v>
      </c>
      <c r="AF258" t="str">
        <f t="shared" si="48"/>
        <v/>
      </c>
      <c r="AG258" t="str">
        <f t="shared" si="49"/>
        <v/>
      </c>
      <c r="AH258">
        <f t="shared" si="50"/>
        <v>30</v>
      </c>
    </row>
    <row r="259" spans="1:34" x14ac:dyDescent="0.3">
      <c r="A259" s="41">
        <f t="shared" si="51"/>
        <v>258</v>
      </c>
      <c r="B259" s="27">
        <v>323</v>
      </c>
      <c r="C259" s="28" t="s">
        <v>390</v>
      </c>
      <c r="D259" s="28" t="s">
        <v>13</v>
      </c>
      <c r="E259" s="28" t="s">
        <v>366</v>
      </c>
      <c r="F259" s="28" t="s">
        <v>15</v>
      </c>
      <c r="G259" s="28" t="s">
        <v>21</v>
      </c>
      <c r="H259" s="27">
        <v>0</v>
      </c>
      <c r="I259" s="27">
        <v>30</v>
      </c>
      <c r="J259" s="28" t="s">
        <v>17</v>
      </c>
      <c r="K259" s="27">
        <v>25</v>
      </c>
      <c r="L259" s="28" t="s">
        <v>22</v>
      </c>
      <c r="M259" s="27">
        <v>0</v>
      </c>
      <c r="O259" s="23">
        <v>259</v>
      </c>
      <c r="P259" t="str">
        <f>IF(O259&gt;0,VLOOKUP($O259,Dep!$A:$M,3),"")</f>
        <v>19:30</v>
      </c>
      <c r="Q259" t="str">
        <f>IF(O259&gt;0,VLOOKUP($O259,Dep!$A:$M,6),"")</f>
        <v>PDX</v>
      </c>
      <c r="R259" t="str">
        <f>IF(O259&gt;0,VLOOKUP($O259,Dep!$A:$M,7),"")</f>
        <v>DH8</v>
      </c>
      <c r="S259">
        <f>IF(O259&gt;0,VLOOKUP($O259,Dep!$A:$M,9),"")</f>
        <v>30</v>
      </c>
      <c r="T259" t="str">
        <f>IF(O259&gt;0,VLOOKUP($O259,Dep!$A:$M,10),"")</f>
        <v>NAT</v>
      </c>
      <c r="U259" t="str">
        <f>IF(O259&gt;0,VLOOKUP($O259,Dep!$A:$M,12),"")</f>
        <v>AS</v>
      </c>
      <c r="V259" t="str">
        <f t="shared" ref="V259:V322" si="55">IF(O259&gt;0,IF(R259=G259,"","X"),"")</f>
        <v/>
      </c>
      <c r="W259" t="str">
        <f t="shared" ref="W259:W322" si="56">IF(O259&gt;0,IF(U259=L259,"","X"),"")</f>
        <v/>
      </c>
      <c r="X259" t="str">
        <f t="shared" ref="X259:X322" si="57">IF(O259&gt;0,IF(Q259=E259,"","X"),"")</f>
        <v/>
      </c>
      <c r="Y259">
        <f t="shared" si="52"/>
        <v>0</v>
      </c>
      <c r="Z259" t="str">
        <f t="shared" ref="Z259:Z322" si="58">IF(O259&gt;0,IF(P259&lt;C259,1,""),"")</f>
        <v/>
      </c>
      <c r="AA259" s="20">
        <f t="shared" si="53"/>
        <v>2.2916666666666696E-2</v>
      </c>
      <c r="AB259">
        <f t="shared" ref="AB259:AB322" si="59">A259</f>
        <v>258</v>
      </c>
      <c r="AC259" s="20" t="str">
        <f t="shared" ref="AC259:AC322" si="60">C259</f>
        <v>18:57</v>
      </c>
      <c r="AD259" s="20" t="str">
        <f t="shared" si="54"/>
        <v>19:30</v>
      </c>
      <c r="AE259" t="str">
        <f>VLOOKUP(G259,ACtypes!A:C,3,FALSE)</f>
        <v>B</v>
      </c>
      <c r="AF259" t="str">
        <f t="shared" ref="AF259:AF322" si="61">IF(J259="INT",1,"")</f>
        <v/>
      </c>
      <c r="AG259" t="str">
        <f t="shared" ref="AG259:AG322" si="62">IF(T259="INT",1,"")</f>
        <v/>
      </c>
      <c r="AH259">
        <f t="shared" ref="AH259:AH322" si="63">I259</f>
        <v>30</v>
      </c>
    </row>
    <row r="260" spans="1:34" x14ac:dyDescent="0.3">
      <c r="A260" s="41">
        <f t="shared" ref="A260:A323" si="64">A259+1</f>
        <v>259</v>
      </c>
      <c r="B260" s="27">
        <v>324</v>
      </c>
      <c r="C260" s="28" t="s">
        <v>391</v>
      </c>
      <c r="D260" s="28" t="s">
        <v>13</v>
      </c>
      <c r="E260" s="28" t="s">
        <v>366</v>
      </c>
      <c r="F260" s="28" t="s">
        <v>15</v>
      </c>
      <c r="G260" s="28" t="s">
        <v>21</v>
      </c>
      <c r="H260" s="27">
        <v>0</v>
      </c>
      <c r="I260" s="27">
        <v>30</v>
      </c>
      <c r="J260" s="28" t="s">
        <v>17</v>
      </c>
      <c r="K260" s="27">
        <v>25</v>
      </c>
      <c r="L260" s="28" t="s">
        <v>22</v>
      </c>
      <c r="M260" s="27">
        <v>0</v>
      </c>
      <c r="O260" s="23">
        <v>260</v>
      </c>
      <c r="P260" t="str">
        <f>IF(O260&gt;0,VLOOKUP($O260,Dep!$A:$M,3),"")</f>
        <v>19:55</v>
      </c>
      <c r="Q260" t="str">
        <f>IF(O260&gt;0,VLOOKUP($O260,Dep!$A:$M,6),"")</f>
        <v>ALW</v>
      </c>
      <c r="R260" t="str">
        <f>IF(O260&gt;0,VLOOKUP($O260,Dep!$A:$M,7),"")</f>
        <v>DH8</v>
      </c>
      <c r="S260">
        <f>IF(O260&gt;0,VLOOKUP($O260,Dep!$A:$M,9),"")</f>
        <v>30</v>
      </c>
      <c r="T260" t="str">
        <f>IF(O260&gt;0,VLOOKUP($O260,Dep!$A:$M,10),"")</f>
        <v>NAT</v>
      </c>
      <c r="U260" t="str">
        <f>IF(O260&gt;0,VLOOKUP($O260,Dep!$A:$M,12),"")</f>
        <v>AS</v>
      </c>
      <c r="V260" t="str">
        <f t="shared" si="55"/>
        <v/>
      </c>
      <c r="W260" t="str">
        <f t="shared" si="56"/>
        <v/>
      </c>
      <c r="X260" t="str">
        <f t="shared" si="57"/>
        <v>X</v>
      </c>
      <c r="Y260">
        <f t="shared" si="52"/>
        <v>0</v>
      </c>
      <c r="Z260" t="str">
        <f t="shared" si="58"/>
        <v/>
      </c>
      <c r="AA260" s="20">
        <f t="shared" si="53"/>
        <v>2.083333333333337E-2</v>
      </c>
      <c r="AB260">
        <f t="shared" si="59"/>
        <v>259</v>
      </c>
      <c r="AC260" s="20" t="str">
        <f t="shared" si="60"/>
        <v>19:25</v>
      </c>
      <c r="AD260" s="20" t="str">
        <f t="shared" si="54"/>
        <v>19:55</v>
      </c>
      <c r="AE260" t="str">
        <f>VLOOKUP(G260,ACtypes!A:C,3,FALSE)</f>
        <v>B</v>
      </c>
      <c r="AF260" t="str">
        <f t="shared" si="61"/>
        <v/>
      </c>
      <c r="AG260" t="str">
        <f t="shared" si="62"/>
        <v/>
      </c>
      <c r="AH260">
        <f t="shared" si="63"/>
        <v>30</v>
      </c>
    </row>
    <row r="261" spans="1:34" x14ac:dyDescent="0.3">
      <c r="A261" s="41">
        <f t="shared" si="64"/>
        <v>260</v>
      </c>
      <c r="B261" s="27">
        <v>971</v>
      </c>
      <c r="C261" s="28" t="s">
        <v>476</v>
      </c>
      <c r="D261" s="28" t="s">
        <v>13</v>
      </c>
      <c r="E261" s="28" t="s">
        <v>474</v>
      </c>
      <c r="F261" s="28" t="s">
        <v>15</v>
      </c>
      <c r="G261" s="28" t="s">
        <v>21</v>
      </c>
      <c r="H261" s="27">
        <v>0</v>
      </c>
      <c r="I261" s="27">
        <v>30</v>
      </c>
      <c r="J261" s="28" t="s">
        <v>28</v>
      </c>
      <c r="K261" s="27">
        <v>25</v>
      </c>
      <c r="L261" s="28" t="s">
        <v>22</v>
      </c>
      <c r="M261" s="27">
        <v>0</v>
      </c>
      <c r="O261" s="23">
        <v>261</v>
      </c>
      <c r="P261" t="str">
        <f>IF(O261&gt;0,VLOOKUP($O261,Dep!$A:$M,3),"")</f>
        <v>20:05</v>
      </c>
      <c r="Q261" t="str">
        <f>IF(O261&gt;0,VLOOKUP($O261,Dep!$A:$M,6),"")</f>
        <v>PSC</v>
      </c>
      <c r="R261" t="str">
        <f>IF(O261&gt;0,VLOOKUP($O261,Dep!$A:$M,7),"")</f>
        <v>DH8</v>
      </c>
      <c r="S261">
        <f>IF(O261&gt;0,VLOOKUP($O261,Dep!$A:$M,9),"")</f>
        <v>30</v>
      </c>
      <c r="T261" t="str">
        <f>IF(O261&gt;0,VLOOKUP($O261,Dep!$A:$M,10),"")</f>
        <v>NAT</v>
      </c>
      <c r="U261" t="str">
        <f>IF(O261&gt;0,VLOOKUP($O261,Dep!$A:$M,12),"")</f>
        <v>AS</v>
      </c>
      <c r="V261" t="str">
        <f t="shared" si="55"/>
        <v/>
      </c>
      <c r="W261" t="str">
        <f t="shared" si="56"/>
        <v/>
      </c>
      <c r="X261" t="str">
        <f t="shared" si="57"/>
        <v>X</v>
      </c>
      <c r="Y261">
        <f t="shared" si="52"/>
        <v>0</v>
      </c>
      <c r="Z261" t="str">
        <f t="shared" si="58"/>
        <v/>
      </c>
      <c r="AA261" s="20">
        <f t="shared" si="53"/>
        <v>2.4305555555555469E-2</v>
      </c>
      <c r="AB261">
        <f t="shared" si="59"/>
        <v>260</v>
      </c>
      <c r="AC261" s="20" t="str">
        <f t="shared" si="60"/>
        <v>19:30</v>
      </c>
      <c r="AD261" s="20" t="str">
        <f t="shared" si="54"/>
        <v>20:05</v>
      </c>
      <c r="AE261" t="str">
        <f>VLOOKUP(G261,ACtypes!A:C,3,FALSE)</f>
        <v>B</v>
      </c>
      <c r="AF261">
        <f t="shared" si="61"/>
        <v>1</v>
      </c>
      <c r="AG261" t="str">
        <f t="shared" si="62"/>
        <v/>
      </c>
      <c r="AH261">
        <f t="shared" si="63"/>
        <v>30</v>
      </c>
    </row>
    <row r="262" spans="1:34" x14ac:dyDescent="0.3">
      <c r="A262" s="41">
        <f t="shared" si="64"/>
        <v>261</v>
      </c>
      <c r="B262" s="27">
        <v>103</v>
      </c>
      <c r="C262" s="28" t="s">
        <v>163</v>
      </c>
      <c r="D262" s="28" t="s">
        <v>13</v>
      </c>
      <c r="E262" s="28" t="s">
        <v>162</v>
      </c>
      <c r="F262" s="28" t="s">
        <v>15</v>
      </c>
      <c r="G262" s="28" t="s">
        <v>21</v>
      </c>
      <c r="H262" s="27">
        <v>0</v>
      </c>
      <c r="I262" s="27">
        <v>30</v>
      </c>
      <c r="J262" s="28" t="s">
        <v>17</v>
      </c>
      <c r="K262" s="27">
        <v>25</v>
      </c>
      <c r="L262" s="28" t="s">
        <v>22</v>
      </c>
      <c r="M262" s="27">
        <v>0</v>
      </c>
      <c r="O262" s="23">
        <v>262</v>
      </c>
      <c r="P262" t="str">
        <f>IF(O262&gt;0,VLOOKUP($O262,Dep!$A:$M,3),"")</f>
        <v>20:40</v>
      </c>
      <c r="Q262" t="str">
        <f>IF(O262&gt;0,VLOOKUP($O262,Dep!$A:$M,6),"")</f>
        <v>YYJ</v>
      </c>
      <c r="R262" t="str">
        <f>IF(O262&gt;0,VLOOKUP($O262,Dep!$A:$M,7),"")</f>
        <v>DH8</v>
      </c>
      <c r="S262">
        <f>IF(O262&gt;0,VLOOKUP($O262,Dep!$A:$M,9),"")</f>
        <v>30</v>
      </c>
      <c r="T262" t="str">
        <f>IF(O262&gt;0,VLOOKUP($O262,Dep!$A:$M,10),"")</f>
        <v>INT</v>
      </c>
      <c r="U262" t="str">
        <f>IF(O262&gt;0,VLOOKUP($O262,Dep!$A:$M,12),"")</f>
        <v>AS</v>
      </c>
      <c r="V262" t="str">
        <f t="shared" si="55"/>
        <v/>
      </c>
      <c r="W262" t="str">
        <f t="shared" si="56"/>
        <v/>
      </c>
      <c r="X262" t="str">
        <f t="shared" si="57"/>
        <v>X</v>
      </c>
      <c r="Y262">
        <f t="shared" si="52"/>
        <v>0</v>
      </c>
      <c r="Z262" t="str">
        <f t="shared" si="58"/>
        <v/>
      </c>
      <c r="AA262" s="20">
        <f t="shared" si="53"/>
        <v>4.166666666666663E-2</v>
      </c>
      <c r="AB262">
        <f t="shared" si="59"/>
        <v>261</v>
      </c>
      <c r="AC262" s="20" t="str">
        <f t="shared" si="60"/>
        <v>19:40</v>
      </c>
      <c r="AD262" s="20" t="str">
        <f t="shared" si="54"/>
        <v>20:40</v>
      </c>
      <c r="AE262" t="str">
        <f>VLOOKUP(G262,ACtypes!A:C,3,FALSE)</f>
        <v>B</v>
      </c>
      <c r="AF262" t="str">
        <f t="shared" si="61"/>
        <v/>
      </c>
      <c r="AG262">
        <f t="shared" si="62"/>
        <v>1</v>
      </c>
      <c r="AH262">
        <f t="shared" si="63"/>
        <v>30</v>
      </c>
    </row>
    <row r="263" spans="1:34" x14ac:dyDescent="0.3">
      <c r="A263" s="41">
        <f t="shared" si="64"/>
        <v>262</v>
      </c>
      <c r="B263" s="27">
        <v>963</v>
      </c>
      <c r="C263" s="28" t="s">
        <v>184</v>
      </c>
      <c r="D263" s="28" t="s">
        <v>13</v>
      </c>
      <c r="E263" s="28" t="s">
        <v>534</v>
      </c>
      <c r="F263" s="28" t="s">
        <v>15</v>
      </c>
      <c r="G263" s="28" t="s">
        <v>21</v>
      </c>
      <c r="H263" s="27">
        <v>0</v>
      </c>
      <c r="I263" s="27">
        <v>30</v>
      </c>
      <c r="J263" s="28" t="s">
        <v>28</v>
      </c>
      <c r="K263" s="27">
        <v>25</v>
      </c>
      <c r="L263" s="28" t="s">
        <v>22</v>
      </c>
      <c r="M263" s="27">
        <v>0</v>
      </c>
      <c r="O263" s="23">
        <v>263</v>
      </c>
      <c r="P263" t="str">
        <f>IF(O263&gt;0,VLOOKUP($O263,Dep!$A:$M,3),"")</f>
        <v>21:00</v>
      </c>
      <c r="Q263" t="str">
        <f>IF(O263&gt;0,VLOOKUP($O263,Dep!$A:$M,6),"")</f>
        <v>PDX</v>
      </c>
      <c r="R263" t="str">
        <f>IF(O263&gt;0,VLOOKUP($O263,Dep!$A:$M,7),"")</f>
        <v>DH8</v>
      </c>
      <c r="S263">
        <f>IF(O263&gt;0,VLOOKUP($O263,Dep!$A:$M,9),"")</f>
        <v>30</v>
      </c>
      <c r="T263" t="str">
        <f>IF(O263&gt;0,VLOOKUP($O263,Dep!$A:$M,10),"")</f>
        <v>NAT</v>
      </c>
      <c r="U263" t="str">
        <f>IF(O263&gt;0,VLOOKUP($O263,Dep!$A:$M,12),"")</f>
        <v>AS</v>
      </c>
      <c r="V263" t="str">
        <f t="shared" si="55"/>
        <v/>
      </c>
      <c r="W263" t="str">
        <f t="shared" si="56"/>
        <v/>
      </c>
      <c r="X263" t="str">
        <f t="shared" si="57"/>
        <v>X</v>
      </c>
      <c r="Y263">
        <f t="shared" si="52"/>
        <v>0</v>
      </c>
      <c r="Z263" t="str">
        <f t="shared" si="58"/>
        <v/>
      </c>
      <c r="AA263" s="20">
        <f t="shared" si="53"/>
        <v>4.861111111111116E-2</v>
      </c>
      <c r="AB263">
        <f t="shared" si="59"/>
        <v>262</v>
      </c>
      <c r="AC263" s="20" t="str">
        <f t="shared" si="60"/>
        <v>19:50</v>
      </c>
      <c r="AD263" s="20" t="str">
        <f t="shared" si="54"/>
        <v>21:00</v>
      </c>
      <c r="AE263" t="str">
        <f>VLOOKUP(G263,ACtypes!A:C,3,FALSE)</f>
        <v>B</v>
      </c>
      <c r="AF263">
        <f t="shared" si="61"/>
        <v>1</v>
      </c>
      <c r="AG263" t="str">
        <f t="shared" si="62"/>
        <v/>
      </c>
      <c r="AH263">
        <f t="shared" si="63"/>
        <v>30</v>
      </c>
    </row>
    <row r="264" spans="1:34" x14ac:dyDescent="0.3">
      <c r="A264" s="41">
        <f t="shared" si="64"/>
        <v>263</v>
      </c>
      <c r="B264" s="27">
        <v>106</v>
      </c>
      <c r="C264" s="28" t="s">
        <v>166</v>
      </c>
      <c r="D264" s="28" t="s">
        <v>13</v>
      </c>
      <c r="E264" s="28" t="s">
        <v>167</v>
      </c>
      <c r="F264" s="28" t="s">
        <v>15</v>
      </c>
      <c r="G264" s="28" t="s">
        <v>21</v>
      </c>
      <c r="H264" s="27">
        <v>0</v>
      </c>
      <c r="I264" s="27">
        <v>30</v>
      </c>
      <c r="J264" s="28" t="s">
        <v>17</v>
      </c>
      <c r="K264" s="27">
        <v>25</v>
      </c>
      <c r="L264" s="28" t="s">
        <v>22</v>
      </c>
      <c r="M264" s="27">
        <v>0</v>
      </c>
      <c r="O264" s="23">
        <v>264</v>
      </c>
      <c r="P264" t="str">
        <f>IF(O264&gt;0,VLOOKUP($O264,Dep!$A:$M,3),"")</f>
        <v>21:30</v>
      </c>
      <c r="Q264" t="str">
        <f>IF(O264&gt;0,VLOOKUP($O264,Dep!$A:$M,6),"")</f>
        <v>PDX</v>
      </c>
      <c r="R264" t="str">
        <f>IF(O264&gt;0,VLOOKUP($O264,Dep!$A:$M,7),"")</f>
        <v>DH8</v>
      </c>
      <c r="S264">
        <f>IF(O264&gt;0,VLOOKUP($O264,Dep!$A:$M,9),"")</f>
        <v>30</v>
      </c>
      <c r="T264" t="str">
        <f>IF(O264&gt;0,VLOOKUP($O264,Dep!$A:$M,10),"")</f>
        <v>NAT</v>
      </c>
      <c r="U264" t="str">
        <f>IF(O264&gt;0,VLOOKUP($O264,Dep!$A:$M,12),"")</f>
        <v>AS</v>
      </c>
      <c r="V264" t="str">
        <f t="shared" si="55"/>
        <v/>
      </c>
      <c r="W264" t="str">
        <f t="shared" si="56"/>
        <v/>
      </c>
      <c r="X264" t="str">
        <f t="shared" si="57"/>
        <v>X</v>
      </c>
      <c r="Y264">
        <f t="shared" si="52"/>
        <v>0</v>
      </c>
      <c r="Z264" t="str">
        <f t="shared" si="58"/>
        <v/>
      </c>
      <c r="AA264" s="20">
        <f t="shared" si="53"/>
        <v>5.7638888888888906E-2</v>
      </c>
      <c r="AB264">
        <f t="shared" si="59"/>
        <v>263</v>
      </c>
      <c r="AC264" s="20" t="str">
        <f t="shared" si="60"/>
        <v>20:07</v>
      </c>
      <c r="AD264" s="20" t="str">
        <f t="shared" si="54"/>
        <v>21:30</v>
      </c>
      <c r="AE264" t="str">
        <f>VLOOKUP(G264,ACtypes!A:C,3,FALSE)</f>
        <v>B</v>
      </c>
      <c r="AF264" t="str">
        <f t="shared" si="61"/>
        <v/>
      </c>
      <c r="AG264" t="str">
        <f t="shared" si="62"/>
        <v/>
      </c>
      <c r="AH264">
        <f t="shared" si="63"/>
        <v>30</v>
      </c>
    </row>
    <row r="265" spans="1:34" x14ac:dyDescent="0.3">
      <c r="A265" s="41">
        <f t="shared" si="64"/>
        <v>264</v>
      </c>
      <c r="B265" s="27">
        <v>35</v>
      </c>
      <c r="C265" s="28" t="s">
        <v>75</v>
      </c>
      <c r="D265" s="28" t="s">
        <v>13</v>
      </c>
      <c r="E265" s="28" t="s">
        <v>76</v>
      </c>
      <c r="F265" s="28" t="s">
        <v>15</v>
      </c>
      <c r="G265" s="28" t="s">
        <v>21</v>
      </c>
      <c r="H265" s="27">
        <v>0</v>
      </c>
      <c r="I265" s="27">
        <v>30</v>
      </c>
      <c r="J265" s="28" t="s">
        <v>17</v>
      </c>
      <c r="K265" s="27">
        <v>25</v>
      </c>
      <c r="L265" s="28" t="s">
        <v>22</v>
      </c>
      <c r="M265" s="27">
        <v>0</v>
      </c>
      <c r="O265" s="23">
        <v>265</v>
      </c>
      <c r="P265" t="str">
        <f>IF(O265&gt;0,VLOOKUP($O265,Dep!$A:$M,3),"")</f>
        <v>21:50</v>
      </c>
      <c r="Q265" t="str">
        <f>IF(O265&gt;0,VLOOKUP($O265,Dep!$A:$M,6),"")</f>
        <v>YLW</v>
      </c>
      <c r="R265" t="str">
        <f>IF(O265&gt;0,VLOOKUP($O265,Dep!$A:$M,7),"")</f>
        <v>DH8</v>
      </c>
      <c r="S265">
        <f>IF(O265&gt;0,VLOOKUP($O265,Dep!$A:$M,9),"")</f>
        <v>30</v>
      </c>
      <c r="T265" t="str">
        <f>IF(O265&gt;0,VLOOKUP($O265,Dep!$A:$M,10),"")</f>
        <v>INT</v>
      </c>
      <c r="U265" t="str">
        <f>IF(O265&gt;0,VLOOKUP($O265,Dep!$A:$M,12),"")</f>
        <v>AS</v>
      </c>
      <c r="V265" t="str">
        <f t="shared" si="55"/>
        <v/>
      </c>
      <c r="W265" t="str">
        <f t="shared" si="56"/>
        <v/>
      </c>
      <c r="X265" t="str">
        <f t="shared" si="57"/>
        <v>X</v>
      </c>
      <c r="Y265">
        <f t="shared" si="52"/>
        <v>0</v>
      </c>
      <c r="Z265" t="str">
        <f t="shared" si="58"/>
        <v/>
      </c>
      <c r="AA265" s="20">
        <f t="shared" si="53"/>
        <v>6.944444444444442E-2</v>
      </c>
      <c r="AB265">
        <f t="shared" si="59"/>
        <v>264</v>
      </c>
      <c r="AC265" s="20" t="str">
        <f t="shared" si="60"/>
        <v>20:10</v>
      </c>
      <c r="AD265" s="20" t="str">
        <f t="shared" si="54"/>
        <v>21:50</v>
      </c>
      <c r="AE265" t="str">
        <f>VLOOKUP(G265,ACtypes!A:C,3,FALSE)</f>
        <v>B</v>
      </c>
      <c r="AF265" t="str">
        <f t="shared" si="61"/>
        <v/>
      </c>
      <c r="AG265">
        <f t="shared" si="62"/>
        <v>1</v>
      </c>
      <c r="AH265">
        <f t="shared" si="63"/>
        <v>30</v>
      </c>
    </row>
    <row r="266" spans="1:34" x14ac:dyDescent="0.3">
      <c r="A266" s="41">
        <f t="shared" si="64"/>
        <v>265</v>
      </c>
      <c r="B266" s="27">
        <v>992</v>
      </c>
      <c r="C266" s="28" t="s">
        <v>75</v>
      </c>
      <c r="D266" s="28" t="s">
        <v>13</v>
      </c>
      <c r="E266" s="28" t="s">
        <v>493</v>
      </c>
      <c r="F266" s="28" t="s">
        <v>15</v>
      </c>
      <c r="G266" s="28" t="s">
        <v>21</v>
      </c>
      <c r="H266" s="27">
        <v>0</v>
      </c>
      <c r="I266" s="27">
        <v>30</v>
      </c>
      <c r="J266" s="28" t="s">
        <v>28</v>
      </c>
      <c r="K266" s="27">
        <v>25</v>
      </c>
      <c r="L266" s="28" t="s">
        <v>22</v>
      </c>
      <c r="M266" s="27">
        <v>0</v>
      </c>
      <c r="O266" s="23">
        <v>266</v>
      </c>
      <c r="P266" t="str">
        <f>IF(O266&gt;0,VLOOKUP($O266,Dep!$A:$M,3),"")</f>
        <v>22:15</v>
      </c>
      <c r="Q266" t="str">
        <f>IF(O266&gt;0,VLOOKUP($O266,Dep!$A:$M,6),"")</f>
        <v>MFR</v>
      </c>
      <c r="R266" t="str">
        <f>IF(O266&gt;0,VLOOKUP($O266,Dep!$A:$M,7),"")</f>
        <v>DH8</v>
      </c>
      <c r="S266">
        <f>IF(O266&gt;0,VLOOKUP($O266,Dep!$A:$M,9),"")</f>
        <v>30</v>
      </c>
      <c r="T266" t="str">
        <f>IF(O266&gt;0,VLOOKUP($O266,Dep!$A:$M,10),"")</f>
        <v>NAT</v>
      </c>
      <c r="U266" t="str">
        <f>IF(O266&gt;0,VLOOKUP($O266,Dep!$A:$M,12),"")</f>
        <v>AS</v>
      </c>
      <c r="V266" t="str">
        <f t="shared" si="55"/>
        <v/>
      </c>
      <c r="W266" t="str">
        <f t="shared" si="56"/>
        <v/>
      </c>
      <c r="X266" t="str">
        <f t="shared" si="57"/>
        <v>X</v>
      </c>
      <c r="Y266">
        <f t="shared" si="52"/>
        <v>0</v>
      </c>
      <c r="Z266" t="str">
        <f t="shared" si="58"/>
        <v/>
      </c>
      <c r="AA266" s="20">
        <f t="shared" si="53"/>
        <v>8.680555555555558E-2</v>
      </c>
      <c r="AB266">
        <f t="shared" si="59"/>
        <v>265</v>
      </c>
      <c r="AC266" s="20" t="str">
        <f t="shared" si="60"/>
        <v>20:10</v>
      </c>
      <c r="AD266" s="20" t="str">
        <f t="shared" si="54"/>
        <v>22:15</v>
      </c>
      <c r="AE266" t="str">
        <f>VLOOKUP(G266,ACtypes!A:C,3,FALSE)</f>
        <v>B</v>
      </c>
      <c r="AF266">
        <f t="shared" si="61"/>
        <v>1</v>
      </c>
      <c r="AG266" t="str">
        <f t="shared" si="62"/>
        <v/>
      </c>
      <c r="AH266">
        <f t="shared" si="63"/>
        <v>30</v>
      </c>
    </row>
    <row r="267" spans="1:34" x14ac:dyDescent="0.3">
      <c r="A267" s="41">
        <f t="shared" si="64"/>
        <v>266</v>
      </c>
      <c r="B267" s="27">
        <v>354</v>
      </c>
      <c r="C267" s="28" t="s">
        <v>376</v>
      </c>
      <c r="D267" s="28" t="s">
        <v>13</v>
      </c>
      <c r="E267" s="28" t="s">
        <v>418</v>
      </c>
      <c r="F267" s="28" t="s">
        <v>15</v>
      </c>
      <c r="G267" s="28" t="s">
        <v>21</v>
      </c>
      <c r="H267" s="27">
        <v>0</v>
      </c>
      <c r="I267" s="27">
        <v>30</v>
      </c>
      <c r="J267" s="28" t="s">
        <v>17</v>
      </c>
      <c r="K267" s="27">
        <v>25</v>
      </c>
      <c r="L267" s="28" t="s">
        <v>22</v>
      </c>
      <c r="M267" s="27">
        <v>0</v>
      </c>
      <c r="O267" s="23">
        <v>267</v>
      </c>
      <c r="P267" t="str">
        <f>IF(O267&gt;0,VLOOKUP($O267,Dep!$A:$M,3),"")</f>
        <v>22:15</v>
      </c>
      <c r="Q267" t="str">
        <f>IF(O267&gt;0,VLOOKUP($O267,Dep!$A:$M,6),"")</f>
        <v>PUW</v>
      </c>
      <c r="R267" t="str">
        <f>IF(O267&gt;0,VLOOKUP($O267,Dep!$A:$M,7),"")</f>
        <v>DH8</v>
      </c>
      <c r="S267">
        <f>IF(O267&gt;0,VLOOKUP($O267,Dep!$A:$M,9),"")</f>
        <v>30</v>
      </c>
      <c r="T267" t="str">
        <f>IF(O267&gt;0,VLOOKUP($O267,Dep!$A:$M,10),"")</f>
        <v>NAT</v>
      </c>
      <c r="U267" t="str">
        <f>IF(O267&gt;0,VLOOKUP($O267,Dep!$A:$M,12),"")</f>
        <v>AS</v>
      </c>
      <c r="V267" t="str">
        <f t="shared" si="55"/>
        <v/>
      </c>
      <c r="W267" t="str">
        <f t="shared" si="56"/>
        <v/>
      </c>
      <c r="X267" t="str">
        <f t="shared" si="57"/>
        <v>X</v>
      </c>
      <c r="Y267">
        <f t="shared" si="52"/>
        <v>0</v>
      </c>
      <c r="Z267" t="str">
        <f t="shared" si="58"/>
        <v/>
      </c>
      <c r="AA267" s="20">
        <f t="shared" si="53"/>
        <v>8.333333333333337E-2</v>
      </c>
      <c r="AB267">
        <f t="shared" si="59"/>
        <v>266</v>
      </c>
      <c r="AC267" s="20" t="str">
        <f t="shared" si="60"/>
        <v>20:15</v>
      </c>
      <c r="AD267" s="20" t="str">
        <f t="shared" si="54"/>
        <v>22:15</v>
      </c>
      <c r="AE267" t="str">
        <f>VLOOKUP(G267,ACtypes!A:C,3,FALSE)</f>
        <v>B</v>
      </c>
      <c r="AF267" t="str">
        <f t="shared" si="61"/>
        <v/>
      </c>
      <c r="AG267" t="str">
        <f t="shared" si="62"/>
        <v/>
      </c>
      <c r="AH267">
        <f t="shared" si="63"/>
        <v>30</v>
      </c>
    </row>
    <row r="268" spans="1:34" x14ac:dyDescent="0.3">
      <c r="A268" s="41">
        <f t="shared" si="64"/>
        <v>267</v>
      </c>
      <c r="B268" s="27">
        <v>967</v>
      </c>
      <c r="C268" s="28" t="s">
        <v>120</v>
      </c>
      <c r="D268" s="28" t="s">
        <v>13</v>
      </c>
      <c r="E268" s="28" t="s">
        <v>474</v>
      </c>
      <c r="F268" s="28" t="s">
        <v>15</v>
      </c>
      <c r="G268" s="28" t="s">
        <v>21</v>
      </c>
      <c r="H268" s="27">
        <v>0</v>
      </c>
      <c r="I268" s="27">
        <v>30</v>
      </c>
      <c r="J268" s="28" t="s">
        <v>28</v>
      </c>
      <c r="K268" s="27">
        <v>25</v>
      </c>
      <c r="L268" s="28" t="s">
        <v>22</v>
      </c>
      <c r="M268" s="27">
        <v>0</v>
      </c>
      <c r="O268" s="23">
        <v>268</v>
      </c>
      <c r="P268" t="str">
        <f>IF(O268&gt;0,VLOOKUP($O268,Dep!$A:$M,3),"")</f>
        <v>22:15</v>
      </c>
      <c r="Q268" t="str">
        <f>IF(O268&gt;0,VLOOKUP($O268,Dep!$A:$M,6),"")</f>
        <v>EAT</v>
      </c>
      <c r="R268" t="str">
        <f>IF(O268&gt;0,VLOOKUP($O268,Dep!$A:$M,7),"")</f>
        <v>DH8</v>
      </c>
      <c r="S268">
        <f>IF(O268&gt;0,VLOOKUP($O268,Dep!$A:$M,9),"")</f>
        <v>30</v>
      </c>
      <c r="T268" t="str">
        <f>IF(O268&gt;0,VLOOKUP($O268,Dep!$A:$M,10),"")</f>
        <v>NAT</v>
      </c>
      <c r="U268" t="str">
        <f>IF(O268&gt;0,VLOOKUP($O268,Dep!$A:$M,12),"")</f>
        <v>AS</v>
      </c>
      <c r="V268" t="str">
        <f t="shared" si="55"/>
        <v/>
      </c>
      <c r="W268" t="str">
        <f t="shared" si="56"/>
        <v/>
      </c>
      <c r="X268" t="str">
        <f t="shared" si="57"/>
        <v>X</v>
      </c>
      <c r="Y268">
        <f t="shared" si="52"/>
        <v>0</v>
      </c>
      <c r="Z268" t="str">
        <f t="shared" si="58"/>
        <v/>
      </c>
      <c r="AA268" s="20">
        <f t="shared" si="53"/>
        <v>7.986111111111116E-2</v>
      </c>
      <c r="AB268">
        <f t="shared" si="59"/>
        <v>267</v>
      </c>
      <c r="AC268" s="20" t="str">
        <f t="shared" si="60"/>
        <v>20:20</v>
      </c>
      <c r="AD268" s="20" t="str">
        <f t="shared" si="54"/>
        <v>22:15</v>
      </c>
      <c r="AE268" t="str">
        <f>VLOOKUP(G268,ACtypes!A:C,3,FALSE)</f>
        <v>B</v>
      </c>
      <c r="AF268">
        <f t="shared" si="61"/>
        <v>1</v>
      </c>
      <c r="AG268" t="str">
        <f t="shared" si="62"/>
        <v/>
      </c>
      <c r="AH268">
        <f t="shared" si="63"/>
        <v>30</v>
      </c>
    </row>
    <row r="269" spans="1:34" x14ac:dyDescent="0.3">
      <c r="A269" s="41">
        <f t="shared" si="64"/>
        <v>268</v>
      </c>
      <c r="B269" s="27">
        <v>236</v>
      </c>
      <c r="C269" s="28" t="s">
        <v>311</v>
      </c>
      <c r="D269" s="28" t="s">
        <v>13</v>
      </c>
      <c r="E269" s="28" t="s">
        <v>312</v>
      </c>
      <c r="F269" s="28" t="s">
        <v>15</v>
      </c>
      <c r="G269" s="28" t="s">
        <v>21</v>
      </c>
      <c r="H269" s="27">
        <v>0</v>
      </c>
      <c r="I269" s="27">
        <v>30</v>
      </c>
      <c r="J269" s="28" t="s">
        <v>17</v>
      </c>
      <c r="K269" s="27">
        <v>25</v>
      </c>
      <c r="L269" s="28" t="s">
        <v>22</v>
      </c>
      <c r="M269" s="27">
        <v>0</v>
      </c>
      <c r="O269" s="23">
        <v>269</v>
      </c>
      <c r="P269" t="str">
        <f>IF(O269&gt;0,VLOOKUP($O269,Dep!$A:$M,3),"")</f>
        <v>22:45</v>
      </c>
      <c r="Q269" t="str">
        <f>IF(O269&gt;0,VLOOKUP($O269,Dep!$A:$M,6),"")</f>
        <v>RDM</v>
      </c>
      <c r="R269" t="str">
        <f>IF(O269&gt;0,VLOOKUP($O269,Dep!$A:$M,7),"")</f>
        <v>DH8</v>
      </c>
      <c r="S269">
        <f>IF(O269&gt;0,VLOOKUP($O269,Dep!$A:$M,9),"")</f>
        <v>30</v>
      </c>
      <c r="T269" t="str">
        <f>IF(O269&gt;0,VLOOKUP($O269,Dep!$A:$M,10),"")</f>
        <v>NAT</v>
      </c>
      <c r="U269" t="str">
        <f>IF(O269&gt;0,VLOOKUP($O269,Dep!$A:$M,12),"")</f>
        <v>AS</v>
      </c>
      <c r="V269" t="str">
        <f t="shared" si="55"/>
        <v/>
      </c>
      <c r="W269" t="str">
        <f t="shared" si="56"/>
        <v/>
      </c>
      <c r="X269" t="str">
        <f t="shared" si="57"/>
        <v>X</v>
      </c>
      <c r="Y269">
        <f t="shared" si="52"/>
        <v>0</v>
      </c>
      <c r="Z269" t="str">
        <f t="shared" si="58"/>
        <v/>
      </c>
      <c r="AA269" s="20">
        <f t="shared" si="53"/>
        <v>9.7916666666666652E-2</v>
      </c>
      <c r="AB269">
        <f t="shared" si="59"/>
        <v>268</v>
      </c>
      <c r="AC269" s="20" t="str">
        <f t="shared" si="60"/>
        <v>20:24</v>
      </c>
      <c r="AD269" s="20" t="str">
        <f t="shared" si="54"/>
        <v>22:45</v>
      </c>
      <c r="AE269" t="str">
        <f>VLOOKUP(G269,ACtypes!A:C,3,FALSE)</f>
        <v>B</v>
      </c>
      <c r="AF269" t="str">
        <f t="shared" si="61"/>
        <v/>
      </c>
      <c r="AG269" t="str">
        <f t="shared" si="62"/>
        <v/>
      </c>
      <c r="AH269">
        <f t="shared" si="63"/>
        <v>30</v>
      </c>
    </row>
    <row r="270" spans="1:34" x14ac:dyDescent="0.3">
      <c r="A270" s="41">
        <f t="shared" si="64"/>
        <v>269</v>
      </c>
      <c r="B270" s="27">
        <v>310</v>
      </c>
      <c r="C270" s="28" t="s">
        <v>173</v>
      </c>
      <c r="D270" s="28" t="s">
        <v>13</v>
      </c>
      <c r="E270" s="28" t="s">
        <v>366</v>
      </c>
      <c r="F270" s="28" t="s">
        <v>15</v>
      </c>
      <c r="G270" s="28" t="s">
        <v>21</v>
      </c>
      <c r="H270" s="27">
        <v>0</v>
      </c>
      <c r="I270" s="27">
        <v>30</v>
      </c>
      <c r="J270" s="28" t="s">
        <v>17</v>
      </c>
      <c r="K270" s="27">
        <v>25</v>
      </c>
      <c r="L270" s="28" t="s">
        <v>22</v>
      </c>
      <c r="M270" s="27">
        <v>0</v>
      </c>
      <c r="O270" s="23">
        <v>270</v>
      </c>
      <c r="P270" t="str">
        <f>IF(O270&gt;0,VLOOKUP($O270,Dep!$A:$M,3),"")</f>
        <v>22:45</v>
      </c>
      <c r="Q270" t="str">
        <f>IF(O270&gt;0,VLOOKUP($O270,Dep!$A:$M,6),"")</f>
        <v>YVR</v>
      </c>
      <c r="R270" t="str">
        <f>IF(O270&gt;0,VLOOKUP($O270,Dep!$A:$M,7),"")</f>
        <v>DH8</v>
      </c>
      <c r="S270">
        <f>IF(O270&gt;0,VLOOKUP($O270,Dep!$A:$M,9),"")</f>
        <v>30</v>
      </c>
      <c r="T270" t="str">
        <f>IF(O270&gt;0,VLOOKUP($O270,Dep!$A:$M,10),"")</f>
        <v>INT</v>
      </c>
      <c r="U270" t="str">
        <f>IF(O270&gt;0,VLOOKUP($O270,Dep!$A:$M,12),"")</f>
        <v>AS</v>
      </c>
      <c r="V270" t="str">
        <f t="shared" si="55"/>
        <v/>
      </c>
      <c r="W270" t="str">
        <f t="shared" si="56"/>
        <v/>
      </c>
      <c r="X270" t="str">
        <f t="shared" si="57"/>
        <v>X</v>
      </c>
      <c r="Y270">
        <f t="shared" si="52"/>
        <v>0</v>
      </c>
      <c r="Z270" t="str">
        <f t="shared" si="58"/>
        <v/>
      </c>
      <c r="AA270" s="20">
        <f t="shared" si="53"/>
        <v>9.7222222222222099E-2</v>
      </c>
      <c r="AB270">
        <f t="shared" si="59"/>
        <v>269</v>
      </c>
      <c r="AC270" s="20" t="str">
        <f t="shared" si="60"/>
        <v>20:25</v>
      </c>
      <c r="AD270" s="20" t="str">
        <f t="shared" si="54"/>
        <v>22:45</v>
      </c>
      <c r="AE270" t="str">
        <f>VLOOKUP(G270,ACtypes!A:C,3,FALSE)</f>
        <v>B</v>
      </c>
      <c r="AF270" t="str">
        <f t="shared" si="61"/>
        <v/>
      </c>
      <c r="AG270">
        <f t="shared" si="62"/>
        <v>1</v>
      </c>
      <c r="AH270">
        <f t="shared" si="63"/>
        <v>30</v>
      </c>
    </row>
    <row r="271" spans="1:34" x14ac:dyDescent="0.3">
      <c r="A271" s="41">
        <f t="shared" si="64"/>
        <v>270</v>
      </c>
      <c r="B271" s="27">
        <v>956</v>
      </c>
      <c r="C271" s="28" t="s">
        <v>519</v>
      </c>
      <c r="D271" s="28" t="s">
        <v>13</v>
      </c>
      <c r="E271" s="28" t="s">
        <v>532</v>
      </c>
      <c r="F271" s="28" t="s">
        <v>15</v>
      </c>
      <c r="G271" s="28" t="s">
        <v>21</v>
      </c>
      <c r="H271" s="27">
        <v>0</v>
      </c>
      <c r="I271" s="27">
        <v>30</v>
      </c>
      <c r="J271" s="28" t="s">
        <v>17</v>
      </c>
      <c r="K271" s="27">
        <v>25</v>
      </c>
      <c r="L271" s="28" t="s">
        <v>22</v>
      </c>
      <c r="M271" s="27">
        <v>0</v>
      </c>
      <c r="O271" s="23">
        <v>271</v>
      </c>
      <c r="P271" t="str">
        <f>IF(O271&gt;0,VLOOKUP($O271,Dep!$A:$M,3),"")</f>
        <v>22:50</v>
      </c>
      <c r="Q271" t="str">
        <f>IF(O271&gt;0,VLOOKUP($O271,Dep!$A:$M,6),"")</f>
        <v>EUG</v>
      </c>
      <c r="R271" t="str">
        <f>IF(O271&gt;0,VLOOKUP($O271,Dep!$A:$M,7),"")</f>
        <v>DH8</v>
      </c>
      <c r="S271">
        <f>IF(O271&gt;0,VLOOKUP($O271,Dep!$A:$M,9),"")</f>
        <v>30</v>
      </c>
      <c r="T271" t="str">
        <f>IF(O271&gt;0,VLOOKUP($O271,Dep!$A:$M,10),"")</f>
        <v>NAT</v>
      </c>
      <c r="U271" t="str">
        <f>IF(O271&gt;0,VLOOKUP($O271,Dep!$A:$M,12),"")</f>
        <v>AS</v>
      </c>
      <c r="V271" t="str">
        <f t="shared" si="55"/>
        <v/>
      </c>
      <c r="W271" t="str">
        <f t="shared" si="56"/>
        <v/>
      </c>
      <c r="X271" t="str">
        <f t="shared" si="57"/>
        <v>X</v>
      </c>
      <c r="Y271">
        <f t="shared" si="52"/>
        <v>0</v>
      </c>
      <c r="Z271" t="str">
        <f t="shared" si="58"/>
        <v/>
      </c>
      <c r="AA271" s="20">
        <f t="shared" si="53"/>
        <v>9.722222222222221E-2</v>
      </c>
      <c r="AB271">
        <f t="shared" si="59"/>
        <v>270</v>
      </c>
      <c r="AC271" s="20" t="str">
        <f t="shared" si="60"/>
        <v>20:30</v>
      </c>
      <c r="AD271" s="20" t="str">
        <f t="shared" si="54"/>
        <v>22:50</v>
      </c>
      <c r="AE271" t="str">
        <f>VLOOKUP(G271,ACtypes!A:C,3,FALSE)</f>
        <v>B</v>
      </c>
      <c r="AF271" t="str">
        <f t="shared" si="61"/>
        <v/>
      </c>
      <c r="AG271" t="str">
        <f t="shared" si="62"/>
        <v/>
      </c>
      <c r="AH271">
        <f t="shared" si="63"/>
        <v>30</v>
      </c>
    </row>
    <row r="272" spans="1:34" x14ac:dyDescent="0.3">
      <c r="A272" s="41">
        <f t="shared" si="64"/>
        <v>271</v>
      </c>
      <c r="B272" s="27">
        <v>226</v>
      </c>
      <c r="C272" s="28" t="s">
        <v>179</v>
      </c>
      <c r="D272" s="28" t="s">
        <v>13</v>
      </c>
      <c r="E272" s="28" t="s">
        <v>299</v>
      </c>
      <c r="F272" s="28" t="s">
        <v>15</v>
      </c>
      <c r="G272" s="28" t="s">
        <v>21</v>
      </c>
      <c r="H272" s="27">
        <v>0</v>
      </c>
      <c r="I272" s="27">
        <v>30</v>
      </c>
      <c r="J272" s="28" t="s">
        <v>17</v>
      </c>
      <c r="K272" s="27">
        <v>25</v>
      </c>
      <c r="L272" s="28" t="s">
        <v>22</v>
      </c>
      <c r="M272" s="27">
        <v>0</v>
      </c>
      <c r="O272" s="23">
        <v>272</v>
      </c>
      <c r="P272" t="str">
        <f>IF(O272&gt;0,VLOOKUP($O272,Dep!$A:$M,3),"")</f>
        <v>23:05</v>
      </c>
      <c r="Q272" t="str">
        <f>IF(O272&gt;0,VLOOKUP($O272,Dep!$A:$M,6),"")</f>
        <v>YYJ</v>
      </c>
      <c r="R272" t="str">
        <f>IF(O272&gt;0,VLOOKUP($O272,Dep!$A:$M,7),"")</f>
        <v>DH8</v>
      </c>
      <c r="S272">
        <f>IF(O272&gt;0,VLOOKUP($O272,Dep!$A:$M,9),"")</f>
        <v>30</v>
      </c>
      <c r="T272" t="str">
        <f>IF(O272&gt;0,VLOOKUP($O272,Dep!$A:$M,10),"")</f>
        <v>INT</v>
      </c>
      <c r="U272" t="str">
        <f>IF(O272&gt;0,VLOOKUP($O272,Dep!$A:$M,12),"")</f>
        <v>AS</v>
      </c>
      <c r="V272" t="str">
        <f t="shared" si="55"/>
        <v/>
      </c>
      <c r="W272" t="str">
        <f t="shared" si="56"/>
        <v/>
      </c>
      <c r="X272" t="str">
        <f t="shared" si="57"/>
        <v>X</v>
      </c>
      <c r="Y272">
        <f t="shared" si="52"/>
        <v>0</v>
      </c>
      <c r="Z272" t="str">
        <f t="shared" si="58"/>
        <v/>
      </c>
      <c r="AA272" s="20">
        <f t="shared" si="53"/>
        <v>0.10416666666666663</v>
      </c>
      <c r="AB272">
        <f t="shared" si="59"/>
        <v>271</v>
      </c>
      <c r="AC272" s="20" t="str">
        <f t="shared" si="60"/>
        <v>20:35</v>
      </c>
      <c r="AD272" s="20" t="str">
        <f t="shared" si="54"/>
        <v>23:05</v>
      </c>
      <c r="AE272" t="str">
        <f>VLOOKUP(G272,ACtypes!A:C,3,FALSE)</f>
        <v>B</v>
      </c>
      <c r="AF272" t="str">
        <f t="shared" si="61"/>
        <v/>
      </c>
      <c r="AG272">
        <f t="shared" si="62"/>
        <v>1</v>
      </c>
      <c r="AH272">
        <f t="shared" si="63"/>
        <v>30</v>
      </c>
    </row>
    <row r="273" spans="1:34" x14ac:dyDescent="0.3">
      <c r="A273" s="41">
        <f t="shared" si="64"/>
        <v>272</v>
      </c>
      <c r="B273" s="27">
        <v>362</v>
      </c>
      <c r="C273" s="28" t="s">
        <v>304</v>
      </c>
      <c r="D273" s="28" t="s">
        <v>13</v>
      </c>
      <c r="E273" s="28" t="s">
        <v>424</v>
      </c>
      <c r="F273" s="28" t="s">
        <v>15</v>
      </c>
      <c r="G273" s="28" t="s">
        <v>21</v>
      </c>
      <c r="H273" s="27">
        <v>0</v>
      </c>
      <c r="I273" s="27">
        <v>30</v>
      </c>
      <c r="J273" s="28" t="s">
        <v>17</v>
      </c>
      <c r="K273" s="27">
        <v>25</v>
      </c>
      <c r="L273" s="28" t="s">
        <v>22</v>
      </c>
      <c r="M273" s="27">
        <v>0</v>
      </c>
      <c r="O273" s="23">
        <v>273</v>
      </c>
      <c r="P273" t="str">
        <f>IF(O273&gt;0,VLOOKUP($O273,Dep!$A:$M,3),"")</f>
        <v>23:06</v>
      </c>
      <c r="Q273" t="str">
        <f>IF(O273&gt;0,VLOOKUP($O273,Dep!$A:$M,6),"")</f>
        <v>PSC</v>
      </c>
      <c r="R273" t="str">
        <f>IF(O273&gt;0,VLOOKUP($O273,Dep!$A:$M,7),"")</f>
        <v>DH8</v>
      </c>
      <c r="S273">
        <f>IF(O273&gt;0,VLOOKUP($O273,Dep!$A:$M,9),"")</f>
        <v>30</v>
      </c>
      <c r="T273" t="str">
        <f>IF(O273&gt;0,VLOOKUP($O273,Dep!$A:$M,10),"")</f>
        <v>NAT</v>
      </c>
      <c r="U273" t="str">
        <f>IF(O273&gt;0,VLOOKUP($O273,Dep!$A:$M,12),"")</f>
        <v>AS</v>
      </c>
      <c r="V273" t="str">
        <f t="shared" si="55"/>
        <v/>
      </c>
      <c r="W273" t="str">
        <f t="shared" si="56"/>
        <v/>
      </c>
      <c r="X273" t="str">
        <f t="shared" si="57"/>
        <v>X</v>
      </c>
      <c r="Y273">
        <f t="shared" si="52"/>
        <v>0</v>
      </c>
      <c r="Z273" t="str">
        <f t="shared" si="58"/>
        <v/>
      </c>
      <c r="AA273" s="20">
        <f t="shared" si="53"/>
        <v>8.4027777777777812E-2</v>
      </c>
      <c r="AB273">
        <f t="shared" si="59"/>
        <v>272</v>
      </c>
      <c r="AC273" s="20" t="str">
        <f t="shared" si="60"/>
        <v>21:05</v>
      </c>
      <c r="AD273" s="20" t="str">
        <f t="shared" si="54"/>
        <v>23:06</v>
      </c>
      <c r="AE273" t="str">
        <f>VLOOKUP(G273,ACtypes!A:C,3,FALSE)</f>
        <v>B</v>
      </c>
      <c r="AF273" t="str">
        <f t="shared" si="61"/>
        <v/>
      </c>
      <c r="AG273" t="str">
        <f t="shared" si="62"/>
        <v/>
      </c>
      <c r="AH273">
        <f t="shared" si="63"/>
        <v>30</v>
      </c>
    </row>
    <row r="274" spans="1:34" x14ac:dyDescent="0.3">
      <c r="A274" s="41">
        <f t="shared" si="64"/>
        <v>273</v>
      </c>
      <c r="B274" s="27">
        <v>966</v>
      </c>
      <c r="C274" s="28" t="s">
        <v>159</v>
      </c>
      <c r="D274" s="28" t="s">
        <v>13</v>
      </c>
      <c r="E274" s="28" t="s">
        <v>474</v>
      </c>
      <c r="F274" s="28" t="s">
        <v>15</v>
      </c>
      <c r="G274" s="28" t="s">
        <v>21</v>
      </c>
      <c r="H274" s="27">
        <v>0</v>
      </c>
      <c r="I274" s="27">
        <v>30</v>
      </c>
      <c r="J274" s="28" t="s">
        <v>28</v>
      </c>
      <c r="K274" s="27">
        <v>25</v>
      </c>
      <c r="L274" s="28" t="s">
        <v>22</v>
      </c>
      <c r="M274" s="27">
        <v>0</v>
      </c>
      <c r="O274" s="23">
        <v>274</v>
      </c>
      <c r="P274" t="str">
        <f>IF(O274&gt;0,VLOOKUP($O274,Dep!$A:$M,3),"")</f>
        <v>23:10</v>
      </c>
      <c r="Q274" t="str">
        <f>IF(O274&gt;0,VLOOKUP($O274,Dep!$A:$M,6),"")</f>
        <v>BLI</v>
      </c>
      <c r="R274" t="str">
        <f>IF(O274&gt;0,VLOOKUP($O274,Dep!$A:$M,7),"")</f>
        <v>DH8</v>
      </c>
      <c r="S274">
        <f>IF(O274&gt;0,VLOOKUP($O274,Dep!$A:$M,9),"")</f>
        <v>30</v>
      </c>
      <c r="T274" t="str">
        <f>IF(O274&gt;0,VLOOKUP($O274,Dep!$A:$M,10),"")</f>
        <v>NAT</v>
      </c>
      <c r="U274" t="str">
        <f>IF(O274&gt;0,VLOOKUP($O274,Dep!$A:$M,12),"")</f>
        <v>AS</v>
      </c>
      <c r="V274" t="str">
        <f t="shared" si="55"/>
        <v/>
      </c>
      <c r="W274" t="str">
        <f t="shared" si="56"/>
        <v/>
      </c>
      <c r="X274" t="str">
        <f t="shared" si="57"/>
        <v>X</v>
      </c>
      <c r="Y274">
        <f t="shared" si="52"/>
        <v>0</v>
      </c>
      <c r="Z274" t="str">
        <f t="shared" si="58"/>
        <v/>
      </c>
      <c r="AA274" s="20">
        <f t="shared" si="53"/>
        <v>7.6388888888888951E-2</v>
      </c>
      <c r="AB274">
        <f t="shared" si="59"/>
        <v>273</v>
      </c>
      <c r="AC274" s="20" t="str">
        <f t="shared" si="60"/>
        <v>21:20</v>
      </c>
      <c r="AD274" s="20" t="str">
        <f t="shared" si="54"/>
        <v>23:10</v>
      </c>
      <c r="AE274" t="str">
        <f>VLOOKUP(G274,ACtypes!A:C,3,FALSE)</f>
        <v>B</v>
      </c>
      <c r="AF274">
        <f t="shared" si="61"/>
        <v>1</v>
      </c>
      <c r="AG274" t="str">
        <f t="shared" si="62"/>
        <v/>
      </c>
      <c r="AH274">
        <f t="shared" si="63"/>
        <v>30</v>
      </c>
    </row>
    <row r="275" spans="1:34" x14ac:dyDescent="0.3">
      <c r="A275" s="41">
        <f t="shared" si="64"/>
        <v>274</v>
      </c>
      <c r="B275" s="27">
        <v>313</v>
      </c>
      <c r="C275" s="28" t="s">
        <v>381</v>
      </c>
      <c r="D275" s="28" t="s">
        <v>13</v>
      </c>
      <c r="E275" s="28" t="s">
        <v>366</v>
      </c>
      <c r="F275" s="28" t="s">
        <v>15</v>
      </c>
      <c r="G275" s="28" t="s">
        <v>21</v>
      </c>
      <c r="H275" s="27">
        <v>0</v>
      </c>
      <c r="I275" s="27">
        <v>30</v>
      </c>
      <c r="J275" s="28" t="s">
        <v>17</v>
      </c>
      <c r="K275" s="27">
        <v>25</v>
      </c>
      <c r="L275" s="28" t="s">
        <v>22</v>
      </c>
      <c r="M275" s="27">
        <v>0</v>
      </c>
      <c r="O275" s="23">
        <v>275</v>
      </c>
      <c r="P275" t="str">
        <f>IF(O275&gt;0,VLOOKUP($O275,Dep!$A:$M,3),"")</f>
        <v>23:10</v>
      </c>
      <c r="Q275" t="str">
        <f>IF(O275&gt;0,VLOOKUP($O275,Dep!$A:$M,6),"")</f>
        <v>YKM</v>
      </c>
      <c r="R275" t="str">
        <f>IF(O275&gt;0,VLOOKUP($O275,Dep!$A:$M,7),"")</f>
        <v>DH8</v>
      </c>
      <c r="S275">
        <f>IF(O275&gt;0,VLOOKUP($O275,Dep!$A:$M,9),"")</f>
        <v>30</v>
      </c>
      <c r="T275" t="str">
        <f>IF(O275&gt;0,VLOOKUP($O275,Dep!$A:$M,10),"")</f>
        <v>NAT</v>
      </c>
      <c r="U275" t="str">
        <f>IF(O275&gt;0,VLOOKUP($O275,Dep!$A:$M,12),"")</f>
        <v>AS</v>
      </c>
      <c r="V275" t="str">
        <f t="shared" si="55"/>
        <v/>
      </c>
      <c r="W275" t="str">
        <f t="shared" si="56"/>
        <v/>
      </c>
      <c r="X275" t="str">
        <f t="shared" si="57"/>
        <v>X</v>
      </c>
      <c r="Y275">
        <f t="shared" si="52"/>
        <v>0</v>
      </c>
      <c r="Z275" t="str">
        <f t="shared" si="58"/>
        <v/>
      </c>
      <c r="AA275" s="20">
        <f t="shared" si="53"/>
        <v>7.4999999999999956E-2</v>
      </c>
      <c r="AB275">
        <f t="shared" si="59"/>
        <v>274</v>
      </c>
      <c r="AC275" s="20" t="str">
        <f t="shared" si="60"/>
        <v>21:22</v>
      </c>
      <c r="AD275" s="20" t="str">
        <f t="shared" si="54"/>
        <v>23:10</v>
      </c>
      <c r="AE275" t="str">
        <f>VLOOKUP(G275,ACtypes!A:C,3,FALSE)</f>
        <v>B</v>
      </c>
      <c r="AF275" t="str">
        <f t="shared" si="61"/>
        <v/>
      </c>
      <c r="AG275" t="str">
        <f t="shared" si="62"/>
        <v/>
      </c>
      <c r="AH275">
        <f t="shared" si="63"/>
        <v>30</v>
      </c>
    </row>
    <row r="276" spans="1:34" x14ac:dyDescent="0.3">
      <c r="A276" s="41">
        <f t="shared" si="64"/>
        <v>275</v>
      </c>
      <c r="B276" s="27">
        <v>315</v>
      </c>
      <c r="C276" s="28" t="s">
        <v>383</v>
      </c>
      <c r="D276" s="28" t="s">
        <v>13</v>
      </c>
      <c r="E276" s="28" t="s">
        <v>366</v>
      </c>
      <c r="F276" s="28" t="s">
        <v>15</v>
      </c>
      <c r="G276" s="28" t="s">
        <v>21</v>
      </c>
      <c r="H276" s="27">
        <v>0</v>
      </c>
      <c r="I276" s="27">
        <v>30</v>
      </c>
      <c r="J276" s="28" t="s">
        <v>17</v>
      </c>
      <c r="K276" s="27">
        <v>25</v>
      </c>
      <c r="L276" s="28" t="s">
        <v>22</v>
      </c>
      <c r="M276" s="27">
        <v>0</v>
      </c>
      <c r="O276" s="23">
        <v>179</v>
      </c>
      <c r="P276" t="str">
        <f>IF(O276&gt;0,VLOOKUP($O276,Dep!$A:$M,3),"")</f>
        <v>06:00</v>
      </c>
      <c r="Q276" t="str">
        <f>IF(O276&gt;0,VLOOKUP($O276,Dep!$A:$M,6),"")</f>
        <v>PDX</v>
      </c>
      <c r="R276" t="str">
        <f>IF(O276&gt;0,VLOOKUP($O276,Dep!$A:$M,7),"")</f>
        <v>DH8</v>
      </c>
      <c r="S276">
        <f>IF(O276&gt;0,VLOOKUP($O276,Dep!$A:$M,9),"")</f>
        <v>30</v>
      </c>
      <c r="T276" t="str">
        <f>IF(O276&gt;0,VLOOKUP($O276,Dep!$A:$M,10),"")</f>
        <v>NAT</v>
      </c>
      <c r="U276" t="str">
        <f>IF(O276&gt;0,VLOOKUP($O276,Dep!$A:$M,12),"")</f>
        <v>AS</v>
      </c>
      <c r="V276" t="str">
        <f t="shared" si="55"/>
        <v/>
      </c>
      <c r="W276" t="str">
        <f t="shared" si="56"/>
        <v/>
      </c>
      <c r="X276" t="str">
        <f t="shared" si="57"/>
        <v/>
      </c>
      <c r="Y276">
        <f t="shared" si="52"/>
        <v>0</v>
      </c>
      <c r="Z276">
        <f t="shared" si="58"/>
        <v>1</v>
      </c>
      <c r="AA276" s="20">
        <f t="shared" si="53"/>
        <v>0.31805555555555554</v>
      </c>
      <c r="AB276">
        <f t="shared" si="59"/>
        <v>275</v>
      </c>
      <c r="AC276" s="20" t="str">
        <f t="shared" si="60"/>
        <v>22:22</v>
      </c>
      <c r="AD276" s="20" t="str">
        <f t="shared" si="54"/>
        <v>06:00</v>
      </c>
      <c r="AE276" t="str">
        <f>VLOOKUP(G276,ACtypes!A:C,3,FALSE)</f>
        <v>B</v>
      </c>
      <c r="AF276" t="str">
        <f t="shared" si="61"/>
        <v/>
      </c>
      <c r="AG276" t="str">
        <f t="shared" si="62"/>
        <v/>
      </c>
      <c r="AH276">
        <f t="shared" si="63"/>
        <v>30</v>
      </c>
    </row>
    <row r="277" spans="1:34" x14ac:dyDescent="0.3">
      <c r="A277" s="41">
        <f t="shared" si="64"/>
        <v>276</v>
      </c>
      <c r="B277" s="27">
        <v>149</v>
      </c>
      <c r="C277" s="28" t="s">
        <v>213</v>
      </c>
      <c r="D277" s="28" t="s">
        <v>13</v>
      </c>
      <c r="E277" s="28" t="s">
        <v>196</v>
      </c>
      <c r="F277" s="28" t="s">
        <v>15</v>
      </c>
      <c r="G277" s="28" t="s">
        <v>32</v>
      </c>
      <c r="H277" s="27">
        <v>0</v>
      </c>
      <c r="I277" s="27">
        <v>112</v>
      </c>
      <c r="J277" s="28" t="s">
        <v>17</v>
      </c>
      <c r="K277" s="27">
        <v>25</v>
      </c>
      <c r="L277" s="28" t="s">
        <v>22</v>
      </c>
      <c r="M277" s="27">
        <v>9.9</v>
      </c>
      <c r="O277" s="23">
        <v>280</v>
      </c>
      <c r="P277" t="str">
        <f>IF(O277&gt;0,VLOOKUP($O277,Dep!$A:$M,3),"")</f>
        <v>07:50</v>
      </c>
      <c r="Q277" t="str">
        <f>IF(O277&gt;0,VLOOKUP($O277,Dep!$A:$M,6),"")</f>
        <v>LGB</v>
      </c>
      <c r="R277" t="str">
        <f>IF(O277&gt;0,VLOOKUP($O277,Dep!$A:$M,7),"")</f>
        <v>M80</v>
      </c>
      <c r="S277">
        <f>IF(O277&gt;0,VLOOKUP($O277,Dep!$A:$M,9),"")</f>
        <v>112</v>
      </c>
      <c r="T277" t="str">
        <f>IF(O277&gt;0,VLOOKUP($O277,Dep!$A:$M,10),"")</f>
        <v>NAT</v>
      </c>
      <c r="U277" t="str">
        <f>IF(O277&gt;0,VLOOKUP($O277,Dep!$A:$M,12),"")</f>
        <v>AS</v>
      </c>
      <c r="V277" t="str">
        <f t="shared" si="55"/>
        <v/>
      </c>
      <c r="W277" t="str">
        <f t="shared" si="56"/>
        <v/>
      </c>
      <c r="X277" t="str">
        <f t="shared" si="57"/>
        <v>X</v>
      </c>
      <c r="Y277">
        <f t="shared" si="52"/>
        <v>0</v>
      </c>
      <c r="Z277" t="str">
        <f t="shared" si="58"/>
        <v/>
      </c>
      <c r="AA277" s="20">
        <f t="shared" si="53"/>
        <v>3.2638888888888884E-2</v>
      </c>
      <c r="AB277">
        <f t="shared" si="59"/>
        <v>276</v>
      </c>
      <c r="AC277" s="20" t="str">
        <f t="shared" si="60"/>
        <v>07:03</v>
      </c>
      <c r="AD277" s="20" t="str">
        <f t="shared" si="54"/>
        <v>07:50</v>
      </c>
      <c r="AE277" t="str">
        <f>VLOOKUP(G277,ACtypes!A:C,3,FALSE)</f>
        <v>C</v>
      </c>
      <c r="AF277" t="str">
        <f t="shared" si="61"/>
        <v/>
      </c>
      <c r="AG277" t="str">
        <f t="shared" si="62"/>
        <v/>
      </c>
      <c r="AH277">
        <f t="shared" si="63"/>
        <v>112</v>
      </c>
    </row>
    <row r="278" spans="1:34" x14ac:dyDescent="0.3">
      <c r="A278" s="41">
        <f t="shared" si="64"/>
        <v>277</v>
      </c>
      <c r="B278" s="27">
        <v>371</v>
      </c>
      <c r="C278" s="28" t="s">
        <v>429</v>
      </c>
      <c r="D278" s="28" t="s">
        <v>13</v>
      </c>
      <c r="E278" s="28" t="s">
        <v>427</v>
      </c>
      <c r="F278" s="28" t="s">
        <v>15</v>
      </c>
      <c r="G278" s="28" t="s">
        <v>32</v>
      </c>
      <c r="H278" s="27">
        <v>0</v>
      </c>
      <c r="I278" s="27">
        <v>112</v>
      </c>
      <c r="J278" s="28" t="s">
        <v>17</v>
      </c>
      <c r="K278" s="27">
        <v>25</v>
      </c>
      <c r="L278" s="28" t="s">
        <v>22</v>
      </c>
      <c r="M278" s="27">
        <v>9.9</v>
      </c>
      <c r="O278" s="23">
        <v>281</v>
      </c>
      <c r="P278" t="str">
        <f>IF(O278&gt;0,VLOOKUP($O278,Dep!$A:$M,3),"")</f>
        <v>09:21</v>
      </c>
      <c r="Q278" t="str">
        <f>IF(O278&gt;0,VLOOKUP($O278,Dep!$A:$M,6),"")</f>
        <v>SAN</v>
      </c>
      <c r="R278" t="str">
        <f>IF(O278&gt;0,VLOOKUP($O278,Dep!$A:$M,7),"")</f>
        <v>M80</v>
      </c>
      <c r="S278">
        <f>IF(O278&gt;0,VLOOKUP($O278,Dep!$A:$M,9),"")</f>
        <v>112</v>
      </c>
      <c r="T278" t="str">
        <f>IF(O278&gt;0,VLOOKUP($O278,Dep!$A:$M,10),"")</f>
        <v>NAT</v>
      </c>
      <c r="U278" t="str">
        <f>IF(O278&gt;0,VLOOKUP($O278,Dep!$A:$M,12),"")</f>
        <v>AS</v>
      </c>
      <c r="V278" t="str">
        <f t="shared" si="55"/>
        <v/>
      </c>
      <c r="W278" t="str">
        <f t="shared" si="56"/>
        <v/>
      </c>
      <c r="X278" t="str">
        <f t="shared" si="57"/>
        <v>X</v>
      </c>
      <c r="Y278">
        <f t="shared" si="52"/>
        <v>0</v>
      </c>
      <c r="Z278" t="str">
        <f t="shared" si="58"/>
        <v/>
      </c>
      <c r="AA278" s="20">
        <f t="shared" si="53"/>
        <v>2.7083333333333348E-2</v>
      </c>
      <c r="AB278">
        <f t="shared" si="59"/>
        <v>277</v>
      </c>
      <c r="AC278" s="20" t="str">
        <f t="shared" si="60"/>
        <v>08:42</v>
      </c>
      <c r="AD278" s="20" t="str">
        <f t="shared" si="54"/>
        <v>09:21</v>
      </c>
      <c r="AE278" t="str">
        <f>VLOOKUP(G278,ACtypes!A:C,3,FALSE)</f>
        <v>C</v>
      </c>
      <c r="AF278" t="str">
        <f t="shared" si="61"/>
        <v/>
      </c>
      <c r="AG278" t="str">
        <f t="shared" si="62"/>
        <v/>
      </c>
      <c r="AH278">
        <f t="shared" si="63"/>
        <v>112</v>
      </c>
    </row>
    <row r="279" spans="1:34" x14ac:dyDescent="0.3">
      <c r="A279" s="41">
        <f t="shared" si="64"/>
        <v>278</v>
      </c>
      <c r="B279" s="27">
        <v>925</v>
      </c>
      <c r="C279" s="28" t="s">
        <v>500</v>
      </c>
      <c r="D279" s="28" t="s">
        <v>13</v>
      </c>
      <c r="E279" s="28" t="s">
        <v>501</v>
      </c>
      <c r="F279" s="28" t="s">
        <v>15</v>
      </c>
      <c r="G279" s="28" t="s">
        <v>32</v>
      </c>
      <c r="H279" s="27">
        <v>0</v>
      </c>
      <c r="I279" s="27">
        <v>112</v>
      </c>
      <c r="J279" s="28" t="s">
        <v>17</v>
      </c>
      <c r="K279" s="27">
        <v>25</v>
      </c>
      <c r="L279" s="28" t="s">
        <v>22</v>
      </c>
      <c r="M279" s="27">
        <v>9.9</v>
      </c>
      <c r="O279" s="23">
        <v>282</v>
      </c>
      <c r="P279" t="str">
        <f>IF(O279&gt;0,VLOOKUP($O279,Dep!$A:$M,3),"")</f>
        <v>09:22</v>
      </c>
      <c r="Q279" t="str">
        <f>IF(O279&gt;0,VLOOKUP($O279,Dep!$A:$M,6),"")</f>
        <v>ANC</v>
      </c>
      <c r="R279" t="str">
        <f>IF(O279&gt;0,VLOOKUP($O279,Dep!$A:$M,7),"")</f>
        <v>M80</v>
      </c>
      <c r="S279">
        <f>IF(O279&gt;0,VLOOKUP($O279,Dep!$A:$M,9),"")</f>
        <v>112</v>
      </c>
      <c r="T279" t="str">
        <f>IF(O279&gt;0,VLOOKUP($O279,Dep!$A:$M,10),"")</f>
        <v>NAT</v>
      </c>
      <c r="U279" t="str">
        <f>IF(O279&gt;0,VLOOKUP($O279,Dep!$A:$M,12),"")</f>
        <v>AS</v>
      </c>
      <c r="V279" t="str">
        <f t="shared" si="55"/>
        <v/>
      </c>
      <c r="W279" t="str">
        <f t="shared" si="56"/>
        <v/>
      </c>
      <c r="X279" t="str">
        <f t="shared" si="57"/>
        <v>X</v>
      </c>
      <c r="Y279">
        <f t="shared" si="52"/>
        <v>0</v>
      </c>
      <c r="Z279" t="str">
        <f t="shared" si="58"/>
        <v/>
      </c>
      <c r="AA279" s="20">
        <f t="shared" si="53"/>
        <v>2.4999999999999967E-2</v>
      </c>
      <c r="AB279">
        <f t="shared" si="59"/>
        <v>278</v>
      </c>
      <c r="AC279" s="20" t="str">
        <f t="shared" si="60"/>
        <v>08:46</v>
      </c>
      <c r="AD279" s="20" t="str">
        <f t="shared" si="54"/>
        <v>09:22</v>
      </c>
      <c r="AE279" t="str">
        <f>VLOOKUP(G279,ACtypes!A:C,3,FALSE)</f>
        <v>C</v>
      </c>
      <c r="AF279" t="str">
        <f t="shared" si="61"/>
        <v/>
      </c>
      <c r="AG279" t="str">
        <f t="shared" si="62"/>
        <v/>
      </c>
      <c r="AH279">
        <f t="shared" si="63"/>
        <v>112</v>
      </c>
    </row>
    <row r="280" spans="1:34" x14ac:dyDescent="0.3">
      <c r="A280" s="41">
        <f t="shared" si="64"/>
        <v>279</v>
      </c>
      <c r="B280" s="27">
        <v>271</v>
      </c>
      <c r="C280" s="28" t="s">
        <v>348</v>
      </c>
      <c r="D280" s="28" t="s">
        <v>13</v>
      </c>
      <c r="E280" s="28" t="s">
        <v>349</v>
      </c>
      <c r="F280" s="28" t="s">
        <v>15</v>
      </c>
      <c r="G280" s="28" t="s">
        <v>32</v>
      </c>
      <c r="H280" s="27">
        <v>0</v>
      </c>
      <c r="I280" s="27">
        <v>112</v>
      </c>
      <c r="J280" s="28" t="s">
        <v>17</v>
      </c>
      <c r="K280" s="27">
        <v>25</v>
      </c>
      <c r="L280" s="28" t="s">
        <v>22</v>
      </c>
      <c r="M280" s="27">
        <v>9.9</v>
      </c>
      <c r="O280" s="23">
        <v>283</v>
      </c>
      <c r="P280" t="str">
        <f>IF(O280&gt;0,VLOOKUP($O280,Dep!$A:$M,3),"")</f>
        <v>09:37</v>
      </c>
      <c r="Q280" t="str">
        <f>IF(O280&gt;0,VLOOKUP($O280,Dep!$A:$M,6),"")</f>
        <v>LAS</v>
      </c>
      <c r="R280" t="str">
        <f>IF(O280&gt;0,VLOOKUP($O280,Dep!$A:$M,7),"")</f>
        <v>M80</v>
      </c>
      <c r="S280">
        <f>IF(O280&gt;0,VLOOKUP($O280,Dep!$A:$M,9),"")</f>
        <v>112</v>
      </c>
      <c r="T280" t="str">
        <f>IF(O280&gt;0,VLOOKUP($O280,Dep!$A:$M,10),"")</f>
        <v>NAT</v>
      </c>
      <c r="U280" t="str">
        <f>IF(O280&gt;0,VLOOKUP($O280,Dep!$A:$M,12),"")</f>
        <v>AS</v>
      </c>
      <c r="V280" t="str">
        <f t="shared" si="55"/>
        <v/>
      </c>
      <c r="W280" t="str">
        <f t="shared" si="56"/>
        <v/>
      </c>
      <c r="X280" t="str">
        <f t="shared" si="57"/>
        <v>X</v>
      </c>
      <c r="Y280">
        <f t="shared" si="52"/>
        <v>0</v>
      </c>
      <c r="Z280" t="str">
        <f t="shared" si="58"/>
        <v/>
      </c>
      <c r="AA280" s="20">
        <f t="shared" si="53"/>
        <v>2.430555555555558E-2</v>
      </c>
      <c r="AB280">
        <f t="shared" si="59"/>
        <v>279</v>
      </c>
      <c r="AC280" s="20" t="str">
        <f t="shared" si="60"/>
        <v>09:02</v>
      </c>
      <c r="AD280" s="20" t="str">
        <f t="shared" si="54"/>
        <v>09:37</v>
      </c>
      <c r="AE280" t="str">
        <f>VLOOKUP(G280,ACtypes!A:C,3,FALSE)</f>
        <v>C</v>
      </c>
      <c r="AF280" t="str">
        <f t="shared" si="61"/>
        <v/>
      </c>
      <c r="AG280" t="str">
        <f t="shared" si="62"/>
        <v/>
      </c>
      <c r="AH280">
        <f t="shared" si="63"/>
        <v>112</v>
      </c>
    </row>
    <row r="281" spans="1:34" x14ac:dyDescent="0.3">
      <c r="A281" s="41">
        <f t="shared" si="64"/>
        <v>280</v>
      </c>
      <c r="B281" s="27">
        <v>341</v>
      </c>
      <c r="C281" s="28" t="s">
        <v>289</v>
      </c>
      <c r="D281" s="28" t="s">
        <v>13</v>
      </c>
      <c r="E281" s="28" t="s">
        <v>404</v>
      </c>
      <c r="F281" s="28" t="s">
        <v>15</v>
      </c>
      <c r="G281" s="28" t="s">
        <v>32</v>
      </c>
      <c r="H281" s="27">
        <v>0</v>
      </c>
      <c r="I281" s="27">
        <v>112</v>
      </c>
      <c r="J281" s="28" t="s">
        <v>17</v>
      </c>
      <c r="K281" s="27">
        <v>25</v>
      </c>
      <c r="L281" s="28" t="s">
        <v>22</v>
      </c>
      <c r="M281" s="27">
        <v>9.9</v>
      </c>
      <c r="O281" s="23">
        <v>284</v>
      </c>
      <c r="P281" t="str">
        <f>IF(O281&gt;0,VLOOKUP($O281,Dep!$A:$M,3),"")</f>
        <v>09:55</v>
      </c>
      <c r="Q281" t="str">
        <f>IF(O281&gt;0,VLOOKUP($O281,Dep!$A:$M,6),"")</f>
        <v>RNO</v>
      </c>
      <c r="R281" t="str">
        <f>IF(O281&gt;0,VLOOKUP($O281,Dep!$A:$M,7),"")</f>
        <v>M80</v>
      </c>
      <c r="S281">
        <f>IF(O281&gt;0,VLOOKUP($O281,Dep!$A:$M,9),"")</f>
        <v>112</v>
      </c>
      <c r="T281" t="str">
        <f>IF(O281&gt;0,VLOOKUP($O281,Dep!$A:$M,10),"")</f>
        <v>NAT</v>
      </c>
      <c r="U281" t="str">
        <f>IF(O281&gt;0,VLOOKUP($O281,Dep!$A:$M,12),"")</f>
        <v>AS</v>
      </c>
      <c r="V281" t="str">
        <f t="shared" si="55"/>
        <v/>
      </c>
      <c r="W281" t="str">
        <f t="shared" si="56"/>
        <v/>
      </c>
      <c r="X281" t="str">
        <f t="shared" si="57"/>
        <v>X</v>
      </c>
      <c r="Y281">
        <f t="shared" si="52"/>
        <v>0</v>
      </c>
      <c r="Z281" t="str">
        <f t="shared" si="58"/>
        <v/>
      </c>
      <c r="AA281" s="20">
        <f t="shared" si="53"/>
        <v>2.7083333333333293E-2</v>
      </c>
      <c r="AB281">
        <f t="shared" si="59"/>
        <v>280</v>
      </c>
      <c r="AC281" s="20" t="str">
        <f t="shared" si="60"/>
        <v>09:16</v>
      </c>
      <c r="AD281" s="20" t="str">
        <f t="shared" si="54"/>
        <v>09:55</v>
      </c>
      <c r="AE281" t="str">
        <f>VLOOKUP(G281,ACtypes!A:C,3,FALSE)</f>
        <v>C</v>
      </c>
      <c r="AF281" t="str">
        <f t="shared" si="61"/>
        <v/>
      </c>
      <c r="AG281" t="str">
        <f t="shared" si="62"/>
        <v/>
      </c>
      <c r="AH281">
        <f t="shared" si="63"/>
        <v>112</v>
      </c>
    </row>
    <row r="282" spans="1:34" x14ac:dyDescent="0.3">
      <c r="A282" s="41">
        <f t="shared" si="64"/>
        <v>281</v>
      </c>
      <c r="B282" s="27">
        <v>376</v>
      </c>
      <c r="C282" s="28" t="s">
        <v>434</v>
      </c>
      <c r="D282" s="28" t="s">
        <v>13</v>
      </c>
      <c r="E282" s="28" t="s">
        <v>432</v>
      </c>
      <c r="F282" s="28" t="s">
        <v>15</v>
      </c>
      <c r="G282" s="28" t="s">
        <v>32</v>
      </c>
      <c r="H282" s="27">
        <v>0</v>
      </c>
      <c r="I282" s="27">
        <v>112</v>
      </c>
      <c r="J282" s="28" t="s">
        <v>17</v>
      </c>
      <c r="K282" s="27">
        <v>25</v>
      </c>
      <c r="L282" s="28" t="s">
        <v>22</v>
      </c>
      <c r="M282" s="27">
        <v>9.9</v>
      </c>
      <c r="O282" s="23">
        <v>285</v>
      </c>
      <c r="P282" t="str">
        <f>IF(O282&gt;0,VLOOKUP($O282,Dep!$A:$M,3),"")</f>
        <v>10:00</v>
      </c>
      <c r="Q282" t="str">
        <f>IF(O282&gt;0,VLOOKUP($O282,Dep!$A:$M,6),"")</f>
        <v>SMF</v>
      </c>
      <c r="R282" t="str">
        <f>IF(O282&gt;0,VLOOKUP($O282,Dep!$A:$M,7),"")</f>
        <v>M80</v>
      </c>
      <c r="S282">
        <f>IF(O282&gt;0,VLOOKUP($O282,Dep!$A:$M,9),"")</f>
        <v>112</v>
      </c>
      <c r="T282" t="str">
        <f>IF(O282&gt;0,VLOOKUP($O282,Dep!$A:$M,10),"")</f>
        <v>NAT</v>
      </c>
      <c r="U282" t="str">
        <f>IF(O282&gt;0,VLOOKUP($O282,Dep!$A:$M,12),"")</f>
        <v>AS</v>
      </c>
      <c r="V282" t="str">
        <f t="shared" si="55"/>
        <v/>
      </c>
      <c r="W282" t="str">
        <f t="shared" si="56"/>
        <v/>
      </c>
      <c r="X282" t="str">
        <f t="shared" si="57"/>
        <v>X</v>
      </c>
      <c r="Y282">
        <f t="shared" si="52"/>
        <v>0</v>
      </c>
      <c r="Z282" t="str">
        <f t="shared" si="58"/>
        <v/>
      </c>
      <c r="AA282" s="20">
        <f t="shared" si="53"/>
        <v>2.6388888888888906E-2</v>
      </c>
      <c r="AB282">
        <f t="shared" si="59"/>
        <v>281</v>
      </c>
      <c r="AC282" s="20" t="str">
        <f t="shared" si="60"/>
        <v>09:22</v>
      </c>
      <c r="AD282" s="20" t="str">
        <f t="shared" si="54"/>
        <v>10:00</v>
      </c>
      <c r="AE282" t="str">
        <f>VLOOKUP(G282,ACtypes!A:C,3,FALSE)</f>
        <v>C</v>
      </c>
      <c r="AF282" t="str">
        <f t="shared" si="61"/>
        <v/>
      </c>
      <c r="AG282" t="str">
        <f t="shared" si="62"/>
        <v/>
      </c>
      <c r="AH282">
        <f t="shared" si="63"/>
        <v>112</v>
      </c>
    </row>
    <row r="283" spans="1:34" x14ac:dyDescent="0.3">
      <c r="A283" s="41">
        <f t="shared" si="64"/>
        <v>282</v>
      </c>
      <c r="B283" s="27">
        <v>223</v>
      </c>
      <c r="C283" s="28" t="s">
        <v>293</v>
      </c>
      <c r="D283" s="28" t="s">
        <v>13</v>
      </c>
      <c r="E283" s="28" t="s">
        <v>292</v>
      </c>
      <c r="F283" s="28" t="s">
        <v>15</v>
      </c>
      <c r="G283" s="28" t="s">
        <v>32</v>
      </c>
      <c r="H283" s="27">
        <v>0</v>
      </c>
      <c r="I283" s="27">
        <v>112</v>
      </c>
      <c r="J283" s="28" t="s">
        <v>17</v>
      </c>
      <c r="K283" s="27">
        <v>25</v>
      </c>
      <c r="L283" s="28" t="s">
        <v>22</v>
      </c>
      <c r="M283" s="27">
        <v>9.9</v>
      </c>
      <c r="O283" s="23">
        <v>286</v>
      </c>
      <c r="P283" t="str">
        <f>IF(O283&gt;0,VLOOKUP($O283,Dep!$A:$M,3),"")</f>
        <v>10:15</v>
      </c>
      <c r="Q283" t="str">
        <f>IF(O283&gt;0,VLOOKUP($O283,Dep!$A:$M,6),"")</f>
        <v>LAX</v>
      </c>
      <c r="R283" t="str">
        <f>IF(O283&gt;0,VLOOKUP($O283,Dep!$A:$M,7),"")</f>
        <v>M80</v>
      </c>
      <c r="S283">
        <f>IF(O283&gt;0,VLOOKUP($O283,Dep!$A:$M,9),"")</f>
        <v>112</v>
      </c>
      <c r="T283" t="str">
        <f>IF(O283&gt;0,VLOOKUP($O283,Dep!$A:$M,10),"")</f>
        <v>NAT</v>
      </c>
      <c r="U283" t="str">
        <f>IF(O283&gt;0,VLOOKUP($O283,Dep!$A:$M,12),"")</f>
        <v>AS</v>
      </c>
      <c r="V283" t="str">
        <f t="shared" si="55"/>
        <v/>
      </c>
      <c r="W283" t="str">
        <f t="shared" si="56"/>
        <v/>
      </c>
      <c r="X283" t="str">
        <f t="shared" si="57"/>
        <v>X</v>
      </c>
      <c r="Y283">
        <f t="shared" si="52"/>
        <v>0</v>
      </c>
      <c r="Z283" t="str">
        <f t="shared" si="58"/>
        <v/>
      </c>
      <c r="AA283" s="20">
        <f t="shared" si="53"/>
        <v>3.1944444444444442E-2</v>
      </c>
      <c r="AB283">
        <f t="shared" si="59"/>
        <v>282</v>
      </c>
      <c r="AC283" s="20" t="str">
        <f t="shared" si="60"/>
        <v>09:29</v>
      </c>
      <c r="AD283" s="20" t="str">
        <f t="shared" si="54"/>
        <v>10:15</v>
      </c>
      <c r="AE283" t="str">
        <f>VLOOKUP(G283,ACtypes!A:C,3,FALSE)</f>
        <v>C</v>
      </c>
      <c r="AF283" t="str">
        <f t="shared" si="61"/>
        <v/>
      </c>
      <c r="AG283" t="str">
        <f t="shared" si="62"/>
        <v/>
      </c>
      <c r="AH283">
        <f t="shared" si="63"/>
        <v>112</v>
      </c>
    </row>
    <row r="284" spans="1:34" x14ac:dyDescent="0.3">
      <c r="A284" s="41">
        <f t="shared" si="64"/>
        <v>283</v>
      </c>
      <c r="B284" s="27">
        <v>220</v>
      </c>
      <c r="C284" s="28" t="s">
        <v>290</v>
      </c>
      <c r="D284" s="28" t="s">
        <v>13</v>
      </c>
      <c r="E284" s="28" t="s">
        <v>279</v>
      </c>
      <c r="F284" s="28" t="s">
        <v>15</v>
      </c>
      <c r="G284" s="28" t="s">
        <v>32</v>
      </c>
      <c r="H284" s="27">
        <v>0</v>
      </c>
      <c r="I284" s="27">
        <v>112</v>
      </c>
      <c r="J284" s="28" t="s">
        <v>17</v>
      </c>
      <c r="K284" s="27">
        <v>25</v>
      </c>
      <c r="L284" s="28" t="s">
        <v>22</v>
      </c>
      <c r="M284" s="27">
        <v>9.9</v>
      </c>
      <c r="O284" s="23">
        <v>287</v>
      </c>
      <c r="P284" t="str">
        <f>IF(O284&gt;0,VLOOKUP($O284,Dep!$A:$M,3),"")</f>
        <v>10:19</v>
      </c>
      <c r="Q284" t="str">
        <f>IF(O284&gt;0,VLOOKUP($O284,Dep!$A:$M,6),"")</f>
        <v>ANC</v>
      </c>
      <c r="R284" t="str">
        <f>IF(O284&gt;0,VLOOKUP($O284,Dep!$A:$M,7),"")</f>
        <v>M80</v>
      </c>
      <c r="S284">
        <f>IF(O284&gt;0,VLOOKUP($O284,Dep!$A:$M,9),"")</f>
        <v>112</v>
      </c>
      <c r="T284" t="str">
        <f>IF(O284&gt;0,VLOOKUP($O284,Dep!$A:$M,10),"")</f>
        <v>NAT</v>
      </c>
      <c r="U284" t="str">
        <f>IF(O284&gt;0,VLOOKUP($O284,Dep!$A:$M,12),"")</f>
        <v>AS</v>
      </c>
      <c r="V284" t="str">
        <f t="shared" si="55"/>
        <v/>
      </c>
      <c r="W284" t="str">
        <f t="shared" si="56"/>
        <v/>
      </c>
      <c r="X284" t="str">
        <f t="shared" si="57"/>
        <v>X</v>
      </c>
      <c r="Y284">
        <f t="shared" si="52"/>
        <v>0</v>
      </c>
      <c r="Z284" t="str">
        <f t="shared" si="58"/>
        <v/>
      </c>
      <c r="AA284" s="20">
        <f t="shared" si="53"/>
        <v>2.7777777777777735E-2</v>
      </c>
      <c r="AB284">
        <f t="shared" si="59"/>
        <v>283</v>
      </c>
      <c r="AC284" s="20" t="str">
        <f t="shared" si="60"/>
        <v>09:39</v>
      </c>
      <c r="AD284" s="20" t="str">
        <f t="shared" si="54"/>
        <v>10:19</v>
      </c>
      <c r="AE284" t="str">
        <f>VLOOKUP(G284,ACtypes!A:C,3,FALSE)</f>
        <v>C</v>
      </c>
      <c r="AF284" t="str">
        <f t="shared" si="61"/>
        <v/>
      </c>
      <c r="AG284" t="str">
        <f t="shared" si="62"/>
        <v/>
      </c>
      <c r="AH284">
        <f t="shared" si="63"/>
        <v>112</v>
      </c>
    </row>
    <row r="285" spans="1:34" x14ac:dyDescent="0.3">
      <c r="A285" s="41">
        <f t="shared" si="64"/>
        <v>284</v>
      </c>
      <c r="B285" s="27">
        <v>56</v>
      </c>
      <c r="C285" s="28" t="s">
        <v>102</v>
      </c>
      <c r="D285" s="28" t="s">
        <v>13</v>
      </c>
      <c r="E285" s="28" t="s">
        <v>101</v>
      </c>
      <c r="F285" s="28" t="s">
        <v>15</v>
      </c>
      <c r="G285" s="28" t="s">
        <v>32</v>
      </c>
      <c r="H285" s="27">
        <v>0</v>
      </c>
      <c r="I285" s="27">
        <v>112</v>
      </c>
      <c r="J285" s="28" t="s">
        <v>17</v>
      </c>
      <c r="K285" s="27">
        <v>25</v>
      </c>
      <c r="L285" s="28" t="s">
        <v>22</v>
      </c>
      <c r="M285" s="27">
        <v>9.9</v>
      </c>
      <c r="O285" s="23">
        <v>288</v>
      </c>
      <c r="P285" t="str">
        <f>IF(O285&gt;0,VLOOKUP($O285,Dep!$A:$M,3),"")</f>
        <v>10:58</v>
      </c>
      <c r="Q285" t="str">
        <f>IF(O285&gt;0,VLOOKUP($O285,Dep!$A:$M,6),"")</f>
        <v>TUS</v>
      </c>
      <c r="R285" t="str">
        <f>IF(O285&gt;0,VLOOKUP($O285,Dep!$A:$M,7),"")</f>
        <v>M80</v>
      </c>
      <c r="S285">
        <f>IF(O285&gt;0,VLOOKUP($O285,Dep!$A:$M,9),"")</f>
        <v>112</v>
      </c>
      <c r="T285" t="str">
        <f>IF(O285&gt;0,VLOOKUP($O285,Dep!$A:$M,10),"")</f>
        <v>NAT</v>
      </c>
      <c r="U285" t="str">
        <f>IF(O285&gt;0,VLOOKUP($O285,Dep!$A:$M,12),"")</f>
        <v>AS</v>
      </c>
      <c r="V285" t="str">
        <f t="shared" si="55"/>
        <v/>
      </c>
      <c r="W285" t="str">
        <f t="shared" si="56"/>
        <v/>
      </c>
      <c r="X285" t="str">
        <f t="shared" si="57"/>
        <v>X</v>
      </c>
      <c r="Y285">
        <f t="shared" si="52"/>
        <v>0</v>
      </c>
      <c r="Z285" t="str">
        <f t="shared" si="58"/>
        <v/>
      </c>
      <c r="AA285" s="20">
        <f t="shared" si="53"/>
        <v>2.430555555555558E-2</v>
      </c>
      <c r="AB285">
        <f t="shared" si="59"/>
        <v>284</v>
      </c>
      <c r="AC285" s="20" t="str">
        <f t="shared" si="60"/>
        <v>10:23</v>
      </c>
      <c r="AD285" s="20" t="str">
        <f t="shared" si="54"/>
        <v>10:58</v>
      </c>
      <c r="AE285" t="str">
        <f>VLOOKUP(G285,ACtypes!A:C,3,FALSE)</f>
        <v>C</v>
      </c>
      <c r="AF285" t="str">
        <f t="shared" si="61"/>
        <v/>
      </c>
      <c r="AG285" t="str">
        <f t="shared" si="62"/>
        <v/>
      </c>
      <c r="AH285">
        <f t="shared" si="63"/>
        <v>112</v>
      </c>
    </row>
    <row r="286" spans="1:34" x14ac:dyDescent="0.3">
      <c r="A286" s="41">
        <f t="shared" si="64"/>
        <v>285</v>
      </c>
      <c r="B286" s="27">
        <v>9</v>
      </c>
      <c r="C286" s="28" t="s">
        <v>37</v>
      </c>
      <c r="D286" s="28" t="s">
        <v>13</v>
      </c>
      <c r="E286" s="28" t="s">
        <v>31</v>
      </c>
      <c r="F286" s="28" t="s">
        <v>15</v>
      </c>
      <c r="G286" s="28" t="s">
        <v>32</v>
      </c>
      <c r="H286" s="27">
        <v>0</v>
      </c>
      <c r="I286" s="27">
        <v>112</v>
      </c>
      <c r="J286" s="28" t="s">
        <v>17</v>
      </c>
      <c r="K286" s="27">
        <v>25</v>
      </c>
      <c r="L286" s="28" t="s">
        <v>22</v>
      </c>
      <c r="M286" s="27">
        <v>9.9</v>
      </c>
      <c r="O286" s="23">
        <v>289</v>
      </c>
      <c r="P286" t="str">
        <f>IF(O286&gt;0,VLOOKUP($O286,Dep!$A:$M,3),"")</f>
        <v>11:28</v>
      </c>
      <c r="Q286" t="str">
        <f>IF(O286&gt;0,VLOOKUP($O286,Dep!$A:$M,6),"")</f>
        <v>SAN</v>
      </c>
      <c r="R286" t="str">
        <f>IF(O286&gt;0,VLOOKUP($O286,Dep!$A:$M,7),"")</f>
        <v>M80</v>
      </c>
      <c r="S286">
        <f>IF(O286&gt;0,VLOOKUP($O286,Dep!$A:$M,9),"")</f>
        <v>112</v>
      </c>
      <c r="T286" t="str">
        <f>IF(O286&gt;0,VLOOKUP($O286,Dep!$A:$M,10),"")</f>
        <v>NAT</v>
      </c>
      <c r="U286" t="str">
        <f>IF(O286&gt;0,VLOOKUP($O286,Dep!$A:$M,12),"")</f>
        <v>AS</v>
      </c>
      <c r="V286" t="str">
        <f t="shared" si="55"/>
        <v/>
      </c>
      <c r="W286" t="str">
        <f t="shared" si="56"/>
        <v/>
      </c>
      <c r="X286" t="str">
        <f t="shared" si="57"/>
        <v>X</v>
      </c>
      <c r="Y286">
        <f t="shared" si="52"/>
        <v>0</v>
      </c>
      <c r="Z286" t="str">
        <f t="shared" si="58"/>
        <v/>
      </c>
      <c r="AA286" s="20">
        <f t="shared" si="53"/>
        <v>4.0277777777777801E-2</v>
      </c>
      <c r="AB286">
        <f t="shared" si="59"/>
        <v>285</v>
      </c>
      <c r="AC286" s="20" t="str">
        <f t="shared" si="60"/>
        <v>10:30</v>
      </c>
      <c r="AD286" s="20" t="str">
        <f t="shared" si="54"/>
        <v>11:28</v>
      </c>
      <c r="AE286" t="str">
        <f>VLOOKUP(G286,ACtypes!A:C,3,FALSE)</f>
        <v>C</v>
      </c>
      <c r="AF286" t="str">
        <f t="shared" si="61"/>
        <v/>
      </c>
      <c r="AG286" t="str">
        <f t="shared" si="62"/>
        <v/>
      </c>
      <c r="AH286">
        <f t="shared" si="63"/>
        <v>112</v>
      </c>
    </row>
    <row r="287" spans="1:34" x14ac:dyDescent="0.3">
      <c r="A287" s="41">
        <f t="shared" si="64"/>
        <v>286</v>
      </c>
      <c r="B287" s="27">
        <v>373</v>
      </c>
      <c r="C287" s="28" t="s">
        <v>431</v>
      </c>
      <c r="D287" s="28" t="s">
        <v>13</v>
      </c>
      <c r="E287" s="28" t="s">
        <v>432</v>
      </c>
      <c r="F287" s="28" t="s">
        <v>15</v>
      </c>
      <c r="G287" s="28" t="s">
        <v>32</v>
      </c>
      <c r="H287" s="27">
        <v>0</v>
      </c>
      <c r="I287" s="27">
        <v>112</v>
      </c>
      <c r="J287" s="28" t="s">
        <v>17</v>
      </c>
      <c r="K287" s="27">
        <v>25</v>
      </c>
      <c r="L287" s="28" t="s">
        <v>22</v>
      </c>
      <c r="M287" s="27">
        <v>9.9</v>
      </c>
      <c r="O287" s="23">
        <v>290</v>
      </c>
      <c r="P287" t="str">
        <f>IF(O287&gt;0,VLOOKUP($O287,Dep!$A:$M,3),"")</f>
        <v>11:55</v>
      </c>
      <c r="Q287" t="str">
        <f>IF(O287&gt;0,VLOOKUP($O287,Dep!$A:$M,6),"")</f>
        <v>PHX</v>
      </c>
      <c r="R287" t="str">
        <f>IF(O287&gt;0,VLOOKUP($O287,Dep!$A:$M,7),"")</f>
        <v>M80</v>
      </c>
      <c r="S287">
        <f>IF(O287&gt;0,VLOOKUP($O287,Dep!$A:$M,9),"")</f>
        <v>112</v>
      </c>
      <c r="T287" t="str">
        <f>IF(O287&gt;0,VLOOKUP($O287,Dep!$A:$M,10),"")</f>
        <v>NAT</v>
      </c>
      <c r="U287" t="str">
        <f>IF(O287&gt;0,VLOOKUP($O287,Dep!$A:$M,12),"")</f>
        <v>AS</v>
      </c>
      <c r="V287" t="str">
        <f t="shared" si="55"/>
        <v/>
      </c>
      <c r="W287" t="str">
        <f t="shared" si="56"/>
        <v/>
      </c>
      <c r="X287" t="str">
        <f t="shared" si="57"/>
        <v>X</v>
      </c>
      <c r="Y287">
        <f t="shared" si="52"/>
        <v>0</v>
      </c>
      <c r="Z287" t="str">
        <f t="shared" si="58"/>
        <v/>
      </c>
      <c r="AA287" s="20">
        <f t="shared" si="53"/>
        <v>3.125E-2</v>
      </c>
      <c r="AB287">
        <f t="shared" si="59"/>
        <v>286</v>
      </c>
      <c r="AC287" s="20" t="str">
        <f t="shared" si="60"/>
        <v>11:10</v>
      </c>
      <c r="AD287" s="20" t="str">
        <f t="shared" si="54"/>
        <v>11:55</v>
      </c>
      <c r="AE287" t="str">
        <f>VLOOKUP(G287,ACtypes!A:C,3,FALSE)</f>
        <v>C</v>
      </c>
      <c r="AF287" t="str">
        <f t="shared" si="61"/>
        <v/>
      </c>
      <c r="AG287" t="str">
        <f t="shared" si="62"/>
        <v/>
      </c>
      <c r="AH287">
        <f t="shared" si="63"/>
        <v>112</v>
      </c>
    </row>
    <row r="288" spans="1:34" x14ac:dyDescent="0.3">
      <c r="A288" s="41">
        <f t="shared" si="64"/>
        <v>287</v>
      </c>
      <c r="B288" s="27">
        <v>934</v>
      </c>
      <c r="C288" s="28" t="s">
        <v>508</v>
      </c>
      <c r="D288" s="28" t="s">
        <v>13</v>
      </c>
      <c r="E288" s="28" t="s">
        <v>501</v>
      </c>
      <c r="F288" s="28" t="s">
        <v>15</v>
      </c>
      <c r="G288" s="28" t="s">
        <v>32</v>
      </c>
      <c r="H288" s="27">
        <v>0</v>
      </c>
      <c r="I288" s="27">
        <v>112</v>
      </c>
      <c r="J288" s="28" t="s">
        <v>17</v>
      </c>
      <c r="K288" s="27">
        <v>25</v>
      </c>
      <c r="L288" s="28" t="s">
        <v>22</v>
      </c>
      <c r="M288" s="27">
        <v>9.9</v>
      </c>
      <c r="O288" s="23">
        <v>291</v>
      </c>
      <c r="P288" t="str">
        <f>IF(O288&gt;0,VLOOKUP($O288,Dep!$A:$M,3),"")</f>
        <v>12:10</v>
      </c>
      <c r="Q288" t="str">
        <f>IF(O288&gt;0,VLOOKUP($O288,Dep!$A:$M,6),"")</f>
        <v>ANC</v>
      </c>
      <c r="R288" t="str">
        <f>IF(O288&gt;0,VLOOKUP($O288,Dep!$A:$M,7),"")</f>
        <v>M80</v>
      </c>
      <c r="S288">
        <f>IF(O288&gt;0,VLOOKUP($O288,Dep!$A:$M,9),"")</f>
        <v>112</v>
      </c>
      <c r="T288" t="str">
        <f>IF(O288&gt;0,VLOOKUP($O288,Dep!$A:$M,10),"")</f>
        <v>NAT</v>
      </c>
      <c r="U288" t="str">
        <f>IF(O288&gt;0,VLOOKUP($O288,Dep!$A:$M,12),"")</f>
        <v>AS</v>
      </c>
      <c r="V288" t="str">
        <f t="shared" si="55"/>
        <v/>
      </c>
      <c r="W288" t="str">
        <f t="shared" si="56"/>
        <v/>
      </c>
      <c r="X288" t="str">
        <f t="shared" si="57"/>
        <v>X</v>
      </c>
      <c r="Y288">
        <f t="shared" si="52"/>
        <v>0</v>
      </c>
      <c r="Z288" t="str">
        <f t="shared" si="58"/>
        <v/>
      </c>
      <c r="AA288" s="20">
        <f t="shared" si="53"/>
        <v>3.7499999999999922E-2</v>
      </c>
      <c r="AB288">
        <f t="shared" si="59"/>
        <v>287</v>
      </c>
      <c r="AC288" s="20" t="str">
        <f t="shared" si="60"/>
        <v>11:16</v>
      </c>
      <c r="AD288" s="20" t="str">
        <f t="shared" si="54"/>
        <v>12:10</v>
      </c>
      <c r="AE288" t="str">
        <f>VLOOKUP(G288,ACtypes!A:C,3,FALSE)</f>
        <v>C</v>
      </c>
      <c r="AF288" t="str">
        <f t="shared" si="61"/>
        <v/>
      </c>
      <c r="AG288" t="str">
        <f t="shared" si="62"/>
        <v/>
      </c>
      <c r="AH288">
        <f t="shared" si="63"/>
        <v>112</v>
      </c>
    </row>
    <row r="289" spans="1:34" x14ac:dyDescent="0.3">
      <c r="A289" s="41">
        <f t="shared" si="64"/>
        <v>288</v>
      </c>
      <c r="B289" s="27">
        <v>10</v>
      </c>
      <c r="C289" s="28" t="s">
        <v>38</v>
      </c>
      <c r="D289" s="28" t="s">
        <v>13</v>
      </c>
      <c r="E289" s="28" t="s">
        <v>31</v>
      </c>
      <c r="F289" s="28" t="s">
        <v>15</v>
      </c>
      <c r="G289" s="28" t="s">
        <v>32</v>
      </c>
      <c r="H289" s="27">
        <v>0</v>
      </c>
      <c r="I289" s="27">
        <v>112</v>
      </c>
      <c r="J289" s="28" t="s">
        <v>17</v>
      </c>
      <c r="K289" s="27">
        <v>25</v>
      </c>
      <c r="L289" s="28" t="s">
        <v>22</v>
      </c>
      <c r="M289" s="27">
        <v>9.9</v>
      </c>
      <c r="O289" s="23">
        <v>292</v>
      </c>
      <c r="P289" t="str">
        <f>IF(O289&gt;0,VLOOKUP($O289,Dep!$A:$M,3),"")</f>
        <v>12:22</v>
      </c>
      <c r="Q289" t="str">
        <f>IF(O289&gt;0,VLOOKUP($O289,Dep!$A:$M,6),"")</f>
        <v>ONT</v>
      </c>
      <c r="R289" t="str">
        <f>IF(O289&gt;0,VLOOKUP($O289,Dep!$A:$M,7),"")</f>
        <v>M80</v>
      </c>
      <c r="S289">
        <f>IF(O289&gt;0,VLOOKUP($O289,Dep!$A:$M,9),"")</f>
        <v>112</v>
      </c>
      <c r="T289" t="str">
        <f>IF(O289&gt;0,VLOOKUP($O289,Dep!$A:$M,10),"")</f>
        <v>NAT</v>
      </c>
      <c r="U289" t="str">
        <f>IF(O289&gt;0,VLOOKUP($O289,Dep!$A:$M,12),"")</f>
        <v>AS</v>
      </c>
      <c r="V289" t="str">
        <f t="shared" si="55"/>
        <v/>
      </c>
      <c r="W289" t="str">
        <f t="shared" si="56"/>
        <v/>
      </c>
      <c r="X289" t="str">
        <f t="shared" si="57"/>
        <v>X</v>
      </c>
      <c r="Y289">
        <f t="shared" si="52"/>
        <v>0</v>
      </c>
      <c r="Z289" t="str">
        <f t="shared" si="58"/>
        <v/>
      </c>
      <c r="AA289" s="20">
        <f t="shared" si="53"/>
        <v>3.5416666666666707E-2</v>
      </c>
      <c r="AB289">
        <f t="shared" si="59"/>
        <v>288</v>
      </c>
      <c r="AC289" s="20" t="str">
        <f t="shared" si="60"/>
        <v>11:31</v>
      </c>
      <c r="AD289" s="20" t="str">
        <f t="shared" si="54"/>
        <v>12:22</v>
      </c>
      <c r="AE289" t="str">
        <f>VLOOKUP(G289,ACtypes!A:C,3,FALSE)</f>
        <v>C</v>
      </c>
      <c r="AF289" t="str">
        <f t="shared" si="61"/>
        <v/>
      </c>
      <c r="AG289" t="str">
        <f t="shared" si="62"/>
        <v/>
      </c>
      <c r="AH289">
        <f t="shared" si="63"/>
        <v>112</v>
      </c>
    </row>
    <row r="290" spans="1:34" x14ac:dyDescent="0.3">
      <c r="A290" s="41">
        <f t="shared" si="64"/>
        <v>289</v>
      </c>
      <c r="B290" s="27">
        <v>270</v>
      </c>
      <c r="C290" s="28" t="s">
        <v>164</v>
      </c>
      <c r="D290" s="28" t="s">
        <v>13</v>
      </c>
      <c r="E290" s="28" t="s">
        <v>335</v>
      </c>
      <c r="F290" s="28" t="s">
        <v>15</v>
      </c>
      <c r="G290" s="28" t="s">
        <v>32</v>
      </c>
      <c r="H290" s="27">
        <v>0</v>
      </c>
      <c r="I290" s="27">
        <v>112</v>
      </c>
      <c r="J290" s="28" t="s">
        <v>17</v>
      </c>
      <c r="K290" s="27">
        <v>25</v>
      </c>
      <c r="L290" s="28" t="s">
        <v>22</v>
      </c>
      <c r="M290" s="27">
        <v>9.9</v>
      </c>
      <c r="O290" s="23">
        <v>293</v>
      </c>
      <c r="P290" t="str">
        <f>IF(O290&gt;0,VLOOKUP($O290,Dep!$A:$M,3),"")</f>
        <v>12:43</v>
      </c>
      <c r="Q290" t="str">
        <f>IF(O290&gt;0,VLOOKUP($O290,Dep!$A:$M,6),"")</f>
        <v>FAI</v>
      </c>
      <c r="R290" t="str">
        <f>IF(O290&gt;0,VLOOKUP($O290,Dep!$A:$M,7),"")</f>
        <v>M80</v>
      </c>
      <c r="S290">
        <f>IF(O290&gt;0,VLOOKUP($O290,Dep!$A:$M,9),"")</f>
        <v>112</v>
      </c>
      <c r="T290" t="str">
        <f>IF(O290&gt;0,VLOOKUP($O290,Dep!$A:$M,10),"")</f>
        <v>NAT</v>
      </c>
      <c r="U290" t="str">
        <f>IF(O290&gt;0,VLOOKUP($O290,Dep!$A:$M,12),"")</f>
        <v>AS</v>
      </c>
      <c r="V290" t="str">
        <f t="shared" si="55"/>
        <v/>
      </c>
      <c r="W290" t="str">
        <f t="shared" si="56"/>
        <v/>
      </c>
      <c r="X290" t="str">
        <f t="shared" si="57"/>
        <v>X</v>
      </c>
      <c r="Y290">
        <f t="shared" si="52"/>
        <v>0</v>
      </c>
      <c r="Z290" t="str">
        <f t="shared" si="58"/>
        <v/>
      </c>
      <c r="AA290" s="20">
        <f t="shared" si="53"/>
        <v>3.3333333333333381E-2</v>
      </c>
      <c r="AB290">
        <f t="shared" si="59"/>
        <v>289</v>
      </c>
      <c r="AC290" s="20" t="str">
        <f t="shared" si="60"/>
        <v>11:55</v>
      </c>
      <c r="AD290" s="20" t="str">
        <f t="shared" si="54"/>
        <v>12:43</v>
      </c>
      <c r="AE290" t="str">
        <f>VLOOKUP(G290,ACtypes!A:C,3,FALSE)</f>
        <v>C</v>
      </c>
      <c r="AF290" t="str">
        <f t="shared" si="61"/>
        <v/>
      </c>
      <c r="AG290" t="str">
        <f t="shared" si="62"/>
        <v/>
      </c>
      <c r="AH290">
        <f t="shared" si="63"/>
        <v>112</v>
      </c>
    </row>
    <row r="291" spans="1:34" x14ac:dyDescent="0.3">
      <c r="A291" s="41">
        <f t="shared" si="64"/>
        <v>290</v>
      </c>
      <c r="B291" s="27">
        <v>911</v>
      </c>
      <c r="C291" s="28" t="s">
        <v>462</v>
      </c>
      <c r="D291" s="28" t="s">
        <v>13</v>
      </c>
      <c r="E291" s="28" t="s">
        <v>455</v>
      </c>
      <c r="F291" s="28" t="s">
        <v>15</v>
      </c>
      <c r="G291" s="28" t="s">
        <v>32</v>
      </c>
      <c r="H291" s="27">
        <v>0</v>
      </c>
      <c r="I291" s="27">
        <v>112</v>
      </c>
      <c r="J291" s="28" t="s">
        <v>17</v>
      </c>
      <c r="K291" s="27">
        <v>25</v>
      </c>
      <c r="L291" s="28" t="s">
        <v>22</v>
      </c>
      <c r="M291" s="27">
        <v>9.9</v>
      </c>
      <c r="O291" s="23">
        <v>294</v>
      </c>
      <c r="P291" t="str">
        <f>IF(O291&gt;0,VLOOKUP($O291,Dep!$A:$M,3),"")</f>
        <v>13:16</v>
      </c>
      <c r="Q291" t="str">
        <f>IF(O291&gt;0,VLOOKUP($O291,Dep!$A:$M,6),"")</f>
        <v>SFO</v>
      </c>
      <c r="R291" t="str">
        <f>IF(O291&gt;0,VLOOKUP($O291,Dep!$A:$M,7),"")</f>
        <v>M80</v>
      </c>
      <c r="S291">
        <f>IF(O291&gt;0,VLOOKUP($O291,Dep!$A:$M,9),"")</f>
        <v>112</v>
      </c>
      <c r="T291" t="str">
        <f>IF(O291&gt;0,VLOOKUP($O291,Dep!$A:$M,10),"")</f>
        <v>NAT</v>
      </c>
      <c r="U291" t="str">
        <f>IF(O291&gt;0,VLOOKUP($O291,Dep!$A:$M,12),"")</f>
        <v>AS</v>
      </c>
      <c r="V291" t="str">
        <f t="shared" si="55"/>
        <v/>
      </c>
      <c r="W291" t="str">
        <f t="shared" si="56"/>
        <v/>
      </c>
      <c r="X291" t="str">
        <f t="shared" si="57"/>
        <v>X</v>
      </c>
      <c r="Y291">
        <f t="shared" si="52"/>
        <v>0</v>
      </c>
      <c r="Z291" t="str">
        <f t="shared" si="58"/>
        <v/>
      </c>
      <c r="AA291" s="20">
        <f t="shared" si="53"/>
        <v>3.1944444444444442E-2</v>
      </c>
      <c r="AB291">
        <f t="shared" si="59"/>
        <v>290</v>
      </c>
      <c r="AC291" s="20" t="str">
        <f t="shared" si="60"/>
        <v>12:30</v>
      </c>
      <c r="AD291" s="20" t="str">
        <f t="shared" si="54"/>
        <v>13:16</v>
      </c>
      <c r="AE291" t="str">
        <f>VLOOKUP(G291,ACtypes!A:C,3,FALSE)</f>
        <v>C</v>
      </c>
      <c r="AF291" t="str">
        <f t="shared" si="61"/>
        <v/>
      </c>
      <c r="AG291" t="str">
        <f t="shared" si="62"/>
        <v/>
      </c>
      <c r="AH291">
        <f t="shared" si="63"/>
        <v>112</v>
      </c>
    </row>
    <row r="292" spans="1:34" x14ac:dyDescent="0.3">
      <c r="A292" s="41">
        <f t="shared" si="64"/>
        <v>291</v>
      </c>
      <c r="B292" s="27">
        <v>55</v>
      </c>
      <c r="C292" s="28" t="s">
        <v>100</v>
      </c>
      <c r="D292" s="28" t="s">
        <v>13</v>
      </c>
      <c r="E292" s="28" t="s">
        <v>101</v>
      </c>
      <c r="F292" s="28" t="s">
        <v>15</v>
      </c>
      <c r="G292" s="28" t="s">
        <v>32</v>
      </c>
      <c r="H292" s="27">
        <v>0</v>
      </c>
      <c r="I292" s="27">
        <v>112</v>
      </c>
      <c r="J292" s="28" t="s">
        <v>17</v>
      </c>
      <c r="K292" s="27">
        <v>25</v>
      </c>
      <c r="L292" s="28" t="s">
        <v>22</v>
      </c>
      <c r="M292" s="27">
        <v>9.9</v>
      </c>
      <c r="O292" s="23">
        <v>295</v>
      </c>
      <c r="P292" t="str">
        <f>IF(O292&gt;0,VLOOKUP($O292,Dep!$A:$M,3),"")</f>
        <v>13:39</v>
      </c>
      <c r="Q292" t="str">
        <f>IF(O292&gt;0,VLOOKUP($O292,Dep!$A:$M,6),"")</f>
        <v>LAX</v>
      </c>
      <c r="R292" t="str">
        <f>IF(O292&gt;0,VLOOKUP($O292,Dep!$A:$M,7),"")</f>
        <v>M80</v>
      </c>
      <c r="S292">
        <f>IF(O292&gt;0,VLOOKUP($O292,Dep!$A:$M,9),"")</f>
        <v>112</v>
      </c>
      <c r="T292" t="str">
        <f>IF(O292&gt;0,VLOOKUP($O292,Dep!$A:$M,10),"")</f>
        <v>NAT</v>
      </c>
      <c r="U292" t="str">
        <f>IF(O292&gt;0,VLOOKUP($O292,Dep!$A:$M,12),"")</f>
        <v>AS</v>
      </c>
      <c r="V292" t="str">
        <f t="shared" si="55"/>
        <v/>
      </c>
      <c r="W292" t="str">
        <f t="shared" si="56"/>
        <v/>
      </c>
      <c r="X292" t="str">
        <f t="shared" si="57"/>
        <v>X</v>
      </c>
      <c r="Y292">
        <f t="shared" si="52"/>
        <v>0</v>
      </c>
      <c r="Z292" t="str">
        <f t="shared" si="58"/>
        <v/>
      </c>
      <c r="AA292" s="20">
        <f t="shared" si="53"/>
        <v>4.7222222222222165E-2</v>
      </c>
      <c r="AB292">
        <f t="shared" si="59"/>
        <v>291</v>
      </c>
      <c r="AC292" s="20" t="str">
        <f t="shared" si="60"/>
        <v>12:31</v>
      </c>
      <c r="AD292" s="20" t="str">
        <f t="shared" si="54"/>
        <v>13:39</v>
      </c>
      <c r="AE292" t="str">
        <f>VLOOKUP(G292,ACtypes!A:C,3,FALSE)</f>
        <v>C</v>
      </c>
      <c r="AF292" t="str">
        <f t="shared" si="61"/>
        <v/>
      </c>
      <c r="AG292" t="str">
        <f t="shared" si="62"/>
        <v/>
      </c>
      <c r="AH292">
        <f t="shared" si="63"/>
        <v>112</v>
      </c>
    </row>
    <row r="293" spans="1:34" x14ac:dyDescent="0.3">
      <c r="A293" s="41">
        <f t="shared" si="64"/>
        <v>292</v>
      </c>
      <c r="B293" s="27">
        <v>224</v>
      </c>
      <c r="C293" s="28" t="s">
        <v>294</v>
      </c>
      <c r="D293" s="28" t="s">
        <v>13</v>
      </c>
      <c r="E293" s="28" t="s">
        <v>292</v>
      </c>
      <c r="F293" s="28" t="s">
        <v>15</v>
      </c>
      <c r="G293" s="28" t="s">
        <v>32</v>
      </c>
      <c r="H293" s="27">
        <v>0</v>
      </c>
      <c r="I293" s="27">
        <v>112</v>
      </c>
      <c r="J293" s="28" t="s">
        <v>17</v>
      </c>
      <c r="K293" s="27">
        <v>25</v>
      </c>
      <c r="L293" s="28" t="s">
        <v>22</v>
      </c>
      <c r="M293" s="27">
        <v>9.9</v>
      </c>
      <c r="O293" s="23">
        <v>296</v>
      </c>
      <c r="P293" t="str">
        <f>IF(O293&gt;0,VLOOKUP($O293,Dep!$A:$M,3),"")</f>
        <v>14:07</v>
      </c>
      <c r="Q293" t="str">
        <f>IF(O293&gt;0,VLOOKUP($O293,Dep!$A:$M,6),"")</f>
        <v>LGB</v>
      </c>
      <c r="R293" t="str">
        <f>IF(O293&gt;0,VLOOKUP($O293,Dep!$A:$M,7),"")</f>
        <v>M80</v>
      </c>
      <c r="S293">
        <f>IF(O293&gt;0,VLOOKUP($O293,Dep!$A:$M,9),"")</f>
        <v>112</v>
      </c>
      <c r="T293" t="str">
        <f>IF(O293&gt;0,VLOOKUP($O293,Dep!$A:$M,10),"")</f>
        <v>NAT</v>
      </c>
      <c r="U293" t="str">
        <f>IF(O293&gt;0,VLOOKUP($O293,Dep!$A:$M,12),"")</f>
        <v>AS</v>
      </c>
      <c r="V293" t="str">
        <f t="shared" si="55"/>
        <v/>
      </c>
      <c r="W293" t="str">
        <f t="shared" si="56"/>
        <v/>
      </c>
      <c r="X293" t="str">
        <f t="shared" si="57"/>
        <v/>
      </c>
      <c r="Y293">
        <f t="shared" si="52"/>
        <v>0</v>
      </c>
      <c r="Z293" t="str">
        <f t="shared" si="58"/>
        <v/>
      </c>
      <c r="AA293" s="20">
        <f t="shared" si="53"/>
        <v>2.430555555555558E-2</v>
      </c>
      <c r="AB293">
        <f t="shared" si="59"/>
        <v>292</v>
      </c>
      <c r="AC293" s="20" t="str">
        <f t="shared" si="60"/>
        <v>13:32</v>
      </c>
      <c r="AD293" s="20" t="str">
        <f t="shared" si="54"/>
        <v>14:07</v>
      </c>
      <c r="AE293" t="str">
        <f>VLOOKUP(G293,ACtypes!A:C,3,FALSE)</f>
        <v>C</v>
      </c>
      <c r="AF293" t="str">
        <f t="shared" si="61"/>
        <v/>
      </c>
      <c r="AG293" t="str">
        <f t="shared" si="62"/>
        <v/>
      </c>
      <c r="AH293">
        <f t="shared" si="63"/>
        <v>112</v>
      </c>
    </row>
    <row r="294" spans="1:34" x14ac:dyDescent="0.3">
      <c r="A294" s="41">
        <f t="shared" si="64"/>
        <v>293</v>
      </c>
      <c r="B294" s="27">
        <v>372</v>
      </c>
      <c r="C294" s="28" t="s">
        <v>430</v>
      </c>
      <c r="D294" s="28" t="s">
        <v>13</v>
      </c>
      <c r="E294" s="28" t="s">
        <v>427</v>
      </c>
      <c r="F294" s="28" t="s">
        <v>15</v>
      </c>
      <c r="G294" s="28" t="s">
        <v>32</v>
      </c>
      <c r="H294" s="27">
        <v>0</v>
      </c>
      <c r="I294" s="27">
        <v>112</v>
      </c>
      <c r="J294" s="28" t="s">
        <v>17</v>
      </c>
      <c r="K294" s="27">
        <v>25</v>
      </c>
      <c r="L294" s="28" t="s">
        <v>22</v>
      </c>
      <c r="M294" s="27">
        <v>9.9</v>
      </c>
      <c r="O294" s="23">
        <v>297</v>
      </c>
      <c r="P294" t="str">
        <f>IF(O294&gt;0,VLOOKUP($O294,Dep!$A:$M,3),"")</f>
        <v>14:29</v>
      </c>
      <c r="Q294" t="str">
        <f>IF(O294&gt;0,VLOOKUP($O294,Dep!$A:$M,6),"")</f>
        <v>SMF</v>
      </c>
      <c r="R294" t="str">
        <f>IF(O294&gt;0,VLOOKUP($O294,Dep!$A:$M,7),"")</f>
        <v>M80</v>
      </c>
      <c r="S294">
        <f>IF(O294&gt;0,VLOOKUP($O294,Dep!$A:$M,9),"")</f>
        <v>112</v>
      </c>
      <c r="T294" t="str">
        <f>IF(O294&gt;0,VLOOKUP($O294,Dep!$A:$M,10),"")</f>
        <v>NAT</v>
      </c>
      <c r="U294" t="str">
        <f>IF(O294&gt;0,VLOOKUP($O294,Dep!$A:$M,12),"")</f>
        <v>AS</v>
      </c>
      <c r="V294" t="str">
        <f t="shared" si="55"/>
        <v/>
      </c>
      <c r="W294" t="str">
        <f t="shared" si="56"/>
        <v/>
      </c>
      <c r="X294" t="str">
        <f t="shared" si="57"/>
        <v>X</v>
      </c>
      <c r="Y294">
        <f t="shared" si="52"/>
        <v>0</v>
      </c>
      <c r="Z294" t="str">
        <f t="shared" si="58"/>
        <v/>
      </c>
      <c r="AA294" s="20">
        <f t="shared" si="53"/>
        <v>2.5000000000000022E-2</v>
      </c>
      <c r="AB294">
        <f t="shared" si="59"/>
        <v>293</v>
      </c>
      <c r="AC294" s="20" t="str">
        <f t="shared" si="60"/>
        <v>13:53</v>
      </c>
      <c r="AD294" s="20" t="str">
        <f t="shared" si="54"/>
        <v>14:29</v>
      </c>
      <c r="AE294" t="str">
        <f>VLOOKUP(G294,ACtypes!A:C,3,FALSE)</f>
        <v>C</v>
      </c>
      <c r="AF294" t="str">
        <f t="shared" si="61"/>
        <v/>
      </c>
      <c r="AG294" t="str">
        <f t="shared" si="62"/>
        <v/>
      </c>
      <c r="AH294">
        <f t="shared" si="63"/>
        <v>112</v>
      </c>
    </row>
    <row r="295" spans="1:34" x14ac:dyDescent="0.3">
      <c r="A295" s="41">
        <f t="shared" si="64"/>
        <v>294</v>
      </c>
      <c r="B295" s="27">
        <v>933</v>
      </c>
      <c r="C295" s="28" t="s">
        <v>507</v>
      </c>
      <c r="D295" s="28" t="s">
        <v>13</v>
      </c>
      <c r="E295" s="28" t="s">
        <v>501</v>
      </c>
      <c r="F295" s="28" t="s">
        <v>15</v>
      </c>
      <c r="G295" s="28" t="s">
        <v>32</v>
      </c>
      <c r="H295" s="27">
        <v>0</v>
      </c>
      <c r="I295" s="27">
        <v>112</v>
      </c>
      <c r="J295" s="28" t="s">
        <v>17</v>
      </c>
      <c r="K295" s="27">
        <v>25</v>
      </c>
      <c r="L295" s="28" t="s">
        <v>22</v>
      </c>
      <c r="M295" s="27">
        <v>9.9</v>
      </c>
      <c r="O295" s="23">
        <v>298</v>
      </c>
      <c r="P295" t="str">
        <f>IF(O295&gt;0,VLOOKUP($O295,Dep!$A:$M,3),"")</f>
        <v>14:33</v>
      </c>
      <c r="Q295" t="str">
        <f>IF(O295&gt;0,VLOOKUP($O295,Dep!$A:$M,6),"")</f>
        <v>SJC</v>
      </c>
      <c r="R295" t="str">
        <f>IF(O295&gt;0,VLOOKUP($O295,Dep!$A:$M,7),"")</f>
        <v>M80</v>
      </c>
      <c r="S295">
        <f>IF(O295&gt;0,VLOOKUP($O295,Dep!$A:$M,9),"")</f>
        <v>112</v>
      </c>
      <c r="T295" t="str">
        <f>IF(O295&gt;0,VLOOKUP($O295,Dep!$A:$M,10),"")</f>
        <v>NAT</v>
      </c>
      <c r="U295" t="str">
        <f>IF(O295&gt;0,VLOOKUP($O295,Dep!$A:$M,12),"")</f>
        <v>AS</v>
      </c>
      <c r="V295" t="str">
        <f t="shared" si="55"/>
        <v/>
      </c>
      <c r="W295" t="str">
        <f t="shared" si="56"/>
        <v/>
      </c>
      <c r="X295" t="str">
        <f t="shared" si="57"/>
        <v>X</v>
      </c>
      <c r="Y295">
        <f t="shared" si="52"/>
        <v>0</v>
      </c>
      <c r="Z295" t="str">
        <f t="shared" si="58"/>
        <v/>
      </c>
      <c r="AA295" s="20">
        <f t="shared" si="53"/>
        <v>2.430555555555558E-2</v>
      </c>
      <c r="AB295">
        <f t="shared" si="59"/>
        <v>294</v>
      </c>
      <c r="AC295" s="20" t="str">
        <f t="shared" si="60"/>
        <v>13:58</v>
      </c>
      <c r="AD295" s="20" t="str">
        <f t="shared" si="54"/>
        <v>14:33</v>
      </c>
      <c r="AE295" t="str">
        <f>VLOOKUP(G295,ACtypes!A:C,3,FALSE)</f>
        <v>C</v>
      </c>
      <c r="AF295" t="str">
        <f t="shared" si="61"/>
        <v/>
      </c>
      <c r="AG295" t="str">
        <f t="shared" si="62"/>
        <v/>
      </c>
      <c r="AH295">
        <f t="shared" si="63"/>
        <v>112</v>
      </c>
    </row>
    <row r="296" spans="1:34" x14ac:dyDescent="0.3">
      <c r="A296" s="41">
        <f t="shared" si="64"/>
        <v>295</v>
      </c>
      <c r="B296" s="27">
        <v>203</v>
      </c>
      <c r="C296" s="28" t="s">
        <v>274</v>
      </c>
      <c r="D296" s="28" t="s">
        <v>13</v>
      </c>
      <c r="E296" s="28" t="s">
        <v>265</v>
      </c>
      <c r="F296" s="28" t="s">
        <v>15</v>
      </c>
      <c r="G296" s="28" t="s">
        <v>32</v>
      </c>
      <c r="H296" s="27">
        <v>0</v>
      </c>
      <c r="I296" s="27">
        <v>112</v>
      </c>
      <c r="J296" s="28" t="s">
        <v>17</v>
      </c>
      <c r="K296" s="27">
        <v>25</v>
      </c>
      <c r="L296" s="28" t="s">
        <v>22</v>
      </c>
      <c r="M296" s="27">
        <v>9.9</v>
      </c>
      <c r="O296" s="23">
        <v>299</v>
      </c>
      <c r="P296" t="str">
        <f>IF(O296&gt;0,VLOOKUP($O296,Dep!$A:$M,3),"")</f>
        <v>15:55</v>
      </c>
      <c r="Q296" t="str">
        <f>IF(O296&gt;0,VLOOKUP($O296,Dep!$A:$M,6),"")</f>
        <v>PHX</v>
      </c>
      <c r="R296" t="str">
        <f>IF(O296&gt;0,VLOOKUP($O296,Dep!$A:$M,7),"")</f>
        <v>M80</v>
      </c>
      <c r="S296">
        <f>IF(O296&gt;0,VLOOKUP($O296,Dep!$A:$M,9),"")</f>
        <v>112</v>
      </c>
      <c r="T296" t="str">
        <f>IF(O296&gt;0,VLOOKUP($O296,Dep!$A:$M,10),"")</f>
        <v>NAT</v>
      </c>
      <c r="U296" t="str">
        <f>IF(O296&gt;0,VLOOKUP($O296,Dep!$A:$M,12),"")</f>
        <v>AS</v>
      </c>
      <c r="V296" t="str">
        <f t="shared" si="55"/>
        <v/>
      </c>
      <c r="W296" t="str">
        <f t="shared" si="56"/>
        <v/>
      </c>
      <c r="X296" t="str">
        <f t="shared" si="57"/>
        <v>X</v>
      </c>
      <c r="Y296">
        <f t="shared" si="52"/>
        <v>0</v>
      </c>
      <c r="Z296" t="str">
        <f t="shared" si="58"/>
        <v/>
      </c>
      <c r="AA296" s="20">
        <f t="shared" si="53"/>
        <v>2.777777777777779E-2</v>
      </c>
      <c r="AB296">
        <f t="shared" si="59"/>
        <v>295</v>
      </c>
      <c r="AC296" s="20" t="str">
        <f t="shared" si="60"/>
        <v>15:15</v>
      </c>
      <c r="AD296" s="20" t="str">
        <f t="shared" si="54"/>
        <v>15:55</v>
      </c>
      <c r="AE296" t="str">
        <f>VLOOKUP(G296,ACtypes!A:C,3,FALSE)</f>
        <v>C</v>
      </c>
      <c r="AF296" t="str">
        <f t="shared" si="61"/>
        <v/>
      </c>
      <c r="AG296" t="str">
        <f t="shared" si="62"/>
        <v/>
      </c>
      <c r="AH296">
        <f t="shared" si="63"/>
        <v>112</v>
      </c>
    </row>
    <row r="297" spans="1:34" x14ac:dyDescent="0.3">
      <c r="A297" s="41">
        <f t="shared" si="64"/>
        <v>296</v>
      </c>
      <c r="B297" s="27">
        <v>377</v>
      </c>
      <c r="C297" s="28" t="s">
        <v>435</v>
      </c>
      <c r="D297" s="28" t="s">
        <v>13</v>
      </c>
      <c r="E297" s="28" t="s">
        <v>432</v>
      </c>
      <c r="F297" s="28" t="s">
        <v>15</v>
      </c>
      <c r="G297" s="28" t="s">
        <v>32</v>
      </c>
      <c r="H297" s="27">
        <v>0</v>
      </c>
      <c r="I297" s="27">
        <v>112</v>
      </c>
      <c r="J297" s="28" t="s">
        <v>17</v>
      </c>
      <c r="K297" s="27">
        <v>25</v>
      </c>
      <c r="L297" s="28" t="s">
        <v>22</v>
      </c>
      <c r="M297" s="27">
        <v>9.9</v>
      </c>
      <c r="O297" s="23">
        <v>300</v>
      </c>
      <c r="P297" t="str">
        <f>IF(O297&gt;0,VLOOKUP($O297,Dep!$A:$M,3),"")</f>
        <v>16:00</v>
      </c>
      <c r="Q297" t="str">
        <f>IF(O297&gt;0,VLOOKUP($O297,Dep!$A:$M,6),"")</f>
        <v>GEG</v>
      </c>
      <c r="R297" t="str">
        <f>IF(O297&gt;0,VLOOKUP($O297,Dep!$A:$M,7),"")</f>
        <v>M80</v>
      </c>
      <c r="S297">
        <f>IF(O297&gt;0,VLOOKUP($O297,Dep!$A:$M,9),"")</f>
        <v>112</v>
      </c>
      <c r="T297" t="str">
        <f>IF(O297&gt;0,VLOOKUP($O297,Dep!$A:$M,10),"")</f>
        <v>NAT</v>
      </c>
      <c r="U297" t="str">
        <f>IF(O297&gt;0,VLOOKUP($O297,Dep!$A:$M,12),"")</f>
        <v>AS</v>
      </c>
      <c r="V297" t="str">
        <f t="shared" si="55"/>
        <v/>
      </c>
      <c r="W297" t="str">
        <f t="shared" si="56"/>
        <v/>
      </c>
      <c r="X297" t="str">
        <f t="shared" si="57"/>
        <v>X</v>
      </c>
      <c r="Y297">
        <f t="shared" si="52"/>
        <v>0</v>
      </c>
      <c r="Z297" t="str">
        <f t="shared" si="58"/>
        <v/>
      </c>
      <c r="AA297" s="20">
        <f t="shared" si="53"/>
        <v>2.8472222222222232E-2</v>
      </c>
      <c r="AB297">
        <f t="shared" si="59"/>
        <v>296</v>
      </c>
      <c r="AC297" s="20" t="str">
        <f t="shared" si="60"/>
        <v>15:19</v>
      </c>
      <c r="AD297" s="20" t="str">
        <f t="shared" si="54"/>
        <v>16:00</v>
      </c>
      <c r="AE297" t="str">
        <f>VLOOKUP(G297,ACtypes!A:C,3,FALSE)</f>
        <v>C</v>
      </c>
      <c r="AF297" t="str">
        <f t="shared" si="61"/>
        <v/>
      </c>
      <c r="AG297" t="str">
        <f t="shared" si="62"/>
        <v/>
      </c>
      <c r="AH297">
        <f t="shared" si="63"/>
        <v>112</v>
      </c>
    </row>
    <row r="298" spans="1:34" x14ac:dyDescent="0.3">
      <c r="A298" s="41">
        <f t="shared" si="64"/>
        <v>297</v>
      </c>
      <c r="B298" s="27">
        <v>221</v>
      </c>
      <c r="C298" s="28" t="s">
        <v>291</v>
      </c>
      <c r="D298" s="28" t="s">
        <v>13</v>
      </c>
      <c r="E298" s="28" t="s">
        <v>279</v>
      </c>
      <c r="F298" s="28" t="s">
        <v>15</v>
      </c>
      <c r="G298" s="28" t="s">
        <v>32</v>
      </c>
      <c r="H298" s="27">
        <v>0</v>
      </c>
      <c r="I298" s="27">
        <v>112</v>
      </c>
      <c r="J298" s="28" t="s">
        <v>17</v>
      </c>
      <c r="K298" s="27">
        <v>25</v>
      </c>
      <c r="L298" s="28" t="s">
        <v>22</v>
      </c>
      <c r="M298" s="27">
        <v>9.9</v>
      </c>
      <c r="O298" s="23">
        <v>301</v>
      </c>
      <c r="P298" t="str">
        <f>IF(O298&gt;0,VLOOKUP($O298,Dep!$A:$M,3),"")</f>
        <v>16:47</v>
      </c>
      <c r="Q298" t="str">
        <f>IF(O298&gt;0,VLOOKUP($O298,Dep!$A:$M,6),"")</f>
        <v>SJC</v>
      </c>
      <c r="R298" t="str">
        <f>IF(O298&gt;0,VLOOKUP($O298,Dep!$A:$M,7),"")</f>
        <v>M80</v>
      </c>
      <c r="S298">
        <f>IF(O298&gt;0,VLOOKUP($O298,Dep!$A:$M,9),"")</f>
        <v>112</v>
      </c>
      <c r="T298" t="str">
        <f>IF(O298&gt;0,VLOOKUP($O298,Dep!$A:$M,10),"")</f>
        <v>NAT</v>
      </c>
      <c r="U298" t="str">
        <f>IF(O298&gt;0,VLOOKUP($O298,Dep!$A:$M,12),"")</f>
        <v>AS</v>
      </c>
      <c r="V298" t="str">
        <f t="shared" si="55"/>
        <v/>
      </c>
      <c r="W298" t="str">
        <f t="shared" si="56"/>
        <v/>
      </c>
      <c r="X298" t="str">
        <f t="shared" si="57"/>
        <v>X</v>
      </c>
      <c r="Y298">
        <f t="shared" si="52"/>
        <v>0</v>
      </c>
      <c r="Z298" t="str">
        <f t="shared" si="58"/>
        <v/>
      </c>
      <c r="AA298" s="20">
        <f t="shared" si="53"/>
        <v>3.1944444444444553E-2</v>
      </c>
      <c r="AB298">
        <f t="shared" si="59"/>
        <v>297</v>
      </c>
      <c r="AC298" s="20" t="str">
        <f t="shared" si="60"/>
        <v>16:01</v>
      </c>
      <c r="AD298" s="20" t="str">
        <f t="shared" si="54"/>
        <v>16:47</v>
      </c>
      <c r="AE298" t="str">
        <f>VLOOKUP(G298,ACtypes!A:C,3,FALSE)</f>
        <v>C</v>
      </c>
      <c r="AF298" t="str">
        <f t="shared" si="61"/>
        <v/>
      </c>
      <c r="AG298" t="str">
        <f t="shared" si="62"/>
        <v/>
      </c>
      <c r="AH298">
        <f t="shared" si="63"/>
        <v>112</v>
      </c>
    </row>
    <row r="299" spans="1:34" x14ac:dyDescent="0.3">
      <c r="A299" s="41">
        <f t="shared" si="64"/>
        <v>298</v>
      </c>
      <c r="B299" s="27">
        <v>8</v>
      </c>
      <c r="C299" s="28" t="s">
        <v>36</v>
      </c>
      <c r="D299" s="28" t="s">
        <v>13</v>
      </c>
      <c r="E299" s="28" t="s">
        <v>31</v>
      </c>
      <c r="F299" s="28" t="s">
        <v>15</v>
      </c>
      <c r="G299" s="28" t="s">
        <v>32</v>
      </c>
      <c r="H299" s="27">
        <v>0</v>
      </c>
      <c r="I299" s="27">
        <v>112</v>
      </c>
      <c r="J299" s="28" t="s">
        <v>17</v>
      </c>
      <c r="K299" s="27">
        <v>25</v>
      </c>
      <c r="L299" s="28" t="s">
        <v>22</v>
      </c>
      <c r="M299" s="27">
        <v>9.9</v>
      </c>
      <c r="O299" s="23">
        <v>302</v>
      </c>
      <c r="P299" t="str">
        <f>IF(O299&gt;0,VLOOKUP($O299,Dep!$A:$M,3),"")</f>
        <v>17:36</v>
      </c>
      <c r="Q299" t="str">
        <f>IF(O299&gt;0,VLOOKUP($O299,Dep!$A:$M,6),"")</f>
        <v>LAS</v>
      </c>
      <c r="R299" t="str">
        <f>IF(O299&gt;0,VLOOKUP($O299,Dep!$A:$M,7),"")</f>
        <v>M80</v>
      </c>
      <c r="S299">
        <f>IF(O299&gt;0,VLOOKUP($O299,Dep!$A:$M,9),"")</f>
        <v>112</v>
      </c>
      <c r="T299" t="str">
        <f>IF(O299&gt;0,VLOOKUP($O299,Dep!$A:$M,10),"")</f>
        <v>NAT</v>
      </c>
      <c r="U299" t="str">
        <f>IF(O299&gt;0,VLOOKUP($O299,Dep!$A:$M,12),"")</f>
        <v>AS</v>
      </c>
      <c r="V299" t="str">
        <f t="shared" si="55"/>
        <v/>
      </c>
      <c r="W299" t="str">
        <f t="shared" si="56"/>
        <v/>
      </c>
      <c r="X299" t="str">
        <f t="shared" si="57"/>
        <v>X</v>
      </c>
      <c r="Y299">
        <f t="shared" si="52"/>
        <v>0</v>
      </c>
      <c r="Z299" t="str">
        <f t="shared" si="58"/>
        <v/>
      </c>
      <c r="AA299" s="20">
        <f t="shared" si="53"/>
        <v>2.777777777777779E-2</v>
      </c>
      <c r="AB299">
        <f t="shared" si="59"/>
        <v>298</v>
      </c>
      <c r="AC299" s="20" t="str">
        <f t="shared" si="60"/>
        <v>16:56</v>
      </c>
      <c r="AD299" s="20" t="str">
        <f t="shared" si="54"/>
        <v>17:36</v>
      </c>
      <c r="AE299" t="str">
        <f>VLOOKUP(G299,ACtypes!A:C,3,FALSE)</f>
        <v>C</v>
      </c>
      <c r="AF299" t="str">
        <f t="shared" si="61"/>
        <v/>
      </c>
      <c r="AG299" t="str">
        <f t="shared" si="62"/>
        <v/>
      </c>
      <c r="AH299">
        <f t="shared" si="63"/>
        <v>112</v>
      </c>
    </row>
    <row r="300" spans="1:34" x14ac:dyDescent="0.3">
      <c r="A300" s="41">
        <f t="shared" si="64"/>
        <v>299</v>
      </c>
      <c r="B300" s="27">
        <v>374</v>
      </c>
      <c r="C300" s="28" t="s">
        <v>403</v>
      </c>
      <c r="D300" s="28" t="s">
        <v>13</v>
      </c>
      <c r="E300" s="28" t="s">
        <v>432</v>
      </c>
      <c r="F300" s="28" t="s">
        <v>15</v>
      </c>
      <c r="G300" s="28" t="s">
        <v>32</v>
      </c>
      <c r="H300" s="27">
        <v>0</v>
      </c>
      <c r="I300" s="27">
        <v>112</v>
      </c>
      <c r="J300" s="28" t="s">
        <v>17</v>
      </c>
      <c r="K300" s="27">
        <v>25</v>
      </c>
      <c r="L300" s="28" t="s">
        <v>22</v>
      </c>
      <c r="M300" s="27">
        <v>9.9</v>
      </c>
      <c r="O300" s="23">
        <v>303</v>
      </c>
      <c r="P300" t="str">
        <f>IF(O300&gt;0,VLOOKUP($O300,Dep!$A:$M,3),"")</f>
        <v>18:00</v>
      </c>
      <c r="Q300" t="str">
        <f>IF(O300&gt;0,VLOOKUP($O300,Dep!$A:$M,6),"")</f>
        <v>GEG</v>
      </c>
      <c r="R300" t="str">
        <f>IF(O300&gt;0,VLOOKUP($O300,Dep!$A:$M,7),"")</f>
        <v>M80</v>
      </c>
      <c r="S300">
        <f>IF(O300&gt;0,VLOOKUP($O300,Dep!$A:$M,9),"")</f>
        <v>112</v>
      </c>
      <c r="T300" t="str">
        <f>IF(O300&gt;0,VLOOKUP($O300,Dep!$A:$M,10),"")</f>
        <v>NAT</v>
      </c>
      <c r="U300" t="str">
        <f>IF(O300&gt;0,VLOOKUP($O300,Dep!$A:$M,12),"")</f>
        <v>AS</v>
      </c>
      <c r="V300" t="str">
        <f t="shared" si="55"/>
        <v/>
      </c>
      <c r="W300" t="str">
        <f t="shared" si="56"/>
        <v/>
      </c>
      <c r="X300" t="str">
        <f t="shared" si="57"/>
        <v>X</v>
      </c>
      <c r="Y300">
        <f t="shared" si="52"/>
        <v>0</v>
      </c>
      <c r="Z300" t="str">
        <f t="shared" si="58"/>
        <v/>
      </c>
      <c r="AA300" s="20">
        <f t="shared" si="53"/>
        <v>2.777777777777779E-2</v>
      </c>
      <c r="AB300">
        <f t="shared" si="59"/>
        <v>299</v>
      </c>
      <c r="AC300" s="20" t="str">
        <f t="shared" si="60"/>
        <v>17:20</v>
      </c>
      <c r="AD300" s="20" t="str">
        <f t="shared" si="54"/>
        <v>18:00</v>
      </c>
      <c r="AE300" t="str">
        <f>VLOOKUP(G300,ACtypes!A:C,3,FALSE)</f>
        <v>C</v>
      </c>
      <c r="AF300" t="str">
        <f t="shared" si="61"/>
        <v/>
      </c>
      <c r="AG300" t="str">
        <f t="shared" si="62"/>
        <v/>
      </c>
      <c r="AH300">
        <f t="shared" si="63"/>
        <v>112</v>
      </c>
    </row>
    <row r="301" spans="1:34" x14ac:dyDescent="0.3">
      <c r="A301" s="41">
        <f t="shared" si="64"/>
        <v>300</v>
      </c>
      <c r="B301" s="27">
        <v>951</v>
      </c>
      <c r="C301" s="28" t="s">
        <v>525</v>
      </c>
      <c r="D301" s="28" t="s">
        <v>13</v>
      </c>
      <c r="E301" s="28" t="s">
        <v>526</v>
      </c>
      <c r="F301" s="28" t="s">
        <v>15</v>
      </c>
      <c r="G301" s="28" t="s">
        <v>32</v>
      </c>
      <c r="H301" s="27">
        <v>0</v>
      </c>
      <c r="I301" s="27">
        <v>112</v>
      </c>
      <c r="J301" s="28" t="s">
        <v>17</v>
      </c>
      <c r="K301" s="27">
        <v>25</v>
      </c>
      <c r="L301" s="28" t="s">
        <v>22</v>
      </c>
      <c r="M301" s="27">
        <v>9.9</v>
      </c>
      <c r="O301" s="23">
        <v>304</v>
      </c>
      <c r="P301" t="str">
        <f>IF(O301&gt;0,VLOOKUP($O301,Dep!$A:$M,3),"")</f>
        <v>18:15</v>
      </c>
      <c r="Q301" t="str">
        <f>IF(O301&gt;0,VLOOKUP($O301,Dep!$A:$M,6),"")</f>
        <v>RNO</v>
      </c>
      <c r="R301" t="str">
        <f>IF(O301&gt;0,VLOOKUP($O301,Dep!$A:$M,7),"")</f>
        <v>M80</v>
      </c>
      <c r="S301">
        <f>IF(O301&gt;0,VLOOKUP($O301,Dep!$A:$M,9),"")</f>
        <v>112</v>
      </c>
      <c r="T301" t="str">
        <f>IF(O301&gt;0,VLOOKUP($O301,Dep!$A:$M,10),"")</f>
        <v>NAT</v>
      </c>
      <c r="U301" t="str">
        <f>IF(O301&gt;0,VLOOKUP($O301,Dep!$A:$M,12),"")</f>
        <v>AS</v>
      </c>
      <c r="V301" t="str">
        <f t="shared" si="55"/>
        <v/>
      </c>
      <c r="W301" t="str">
        <f t="shared" si="56"/>
        <v/>
      </c>
      <c r="X301" t="str">
        <f t="shared" si="57"/>
        <v>X</v>
      </c>
      <c r="Y301">
        <f t="shared" si="52"/>
        <v>0</v>
      </c>
      <c r="Z301" t="str">
        <f t="shared" si="58"/>
        <v/>
      </c>
      <c r="AA301" s="20">
        <f t="shared" si="53"/>
        <v>3.4722222222222099E-2</v>
      </c>
      <c r="AB301">
        <f t="shared" si="59"/>
        <v>300</v>
      </c>
      <c r="AC301" s="20" t="str">
        <f t="shared" si="60"/>
        <v>17:25</v>
      </c>
      <c r="AD301" s="20" t="str">
        <f t="shared" si="54"/>
        <v>18:15</v>
      </c>
      <c r="AE301" t="str">
        <f>VLOOKUP(G301,ACtypes!A:C,3,FALSE)</f>
        <v>C</v>
      </c>
      <c r="AF301" t="str">
        <f t="shared" si="61"/>
        <v/>
      </c>
      <c r="AG301" t="str">
        <f t="shared" si="62"/>
        <v/>
      </c>
      <c r="AH301">
        <f t="shared" si="63"/>
        <v>112</v>
      </c>
    </row>
    <row r="302" spans="1:34" x14ac:dyDescent="0.3">
      <c r="A302" s="41">
        <f t="shared" si="64"/>
        <v>301</v>
      </c>
      <c r="B302" s="27">
        <v>272</v>
      </c>
      <c r="C302" s="28" t="s">
        <v>287</v>
      </c>
      <c r="D302" s="28" t="s">
        <v>13</v>
      </c>
      <c r="E302" s="28" t="s">
        <v>349</v>
      </c>
      <c r="F302" s="28" t="s">
        <v>15</v>
      </c>
      <c r="G302" s="28" t="s">
        <v>32</v>
      </c>
      <c r="H302" s="27">
        <v>0</v>
      </c>
      <c r="I302" s="27">
        <v>112</v>
      </c>
      <c r="J302" s="28" t="s">
        <v>17</v>
      </c>
      <c r="K302" s="27">
        <v>25</v>
      </c>
      <c r="L302" s="28" t="s">
        <v>22</v>
      </c>
      <c r="M302" s="27">
        <v>9.9</v>
      </c>
      <c r="O302" s="23">
        <v>305</v>
      </c>
      <c r="P302" t="str">
        <f>IF(O302&gt;0,VLOOKUP($O302,Dep!$A:$M,3),"")</f>
        <v>18:31</v>
      </c>
      <c r="Q302" t="str">
        <f>IF(O302&gt;0,VLOOKUP($O302,Dep!$A:$M,6),"")</f>
        <v>LAS</v>
      </c>
      <c r="R302" t="str">
        <f>IF(O302&gt;0,VLOOKUP($O302,Dep!$A:$M,7),"")</f>
        <v>M80</v>
      </c>
      <c r="S302">
        <f>IF(O302&gt;0,VLOOKUP($O302,Dep!$A:$M,9),"")</f>
        <v>112</v>
      </c>
      <c r="T302" t="str">
        <f>IF(O302&gt;0,VLOOKUP($O302,Dep!$A:$M,10),"")</f>
        <v>NAT</v>
      </c>
      <c r="U302" t="str">
        <f>IF(O302&gt;0,VLOOKUP($O302,Dep!$A:$M,12),"")</f>
        <v>AS</v>
      </c>
      <c r="V302" t="str">
        <f t="shared" si="55"/>
        <v/>
      </c>
      <c r="W302" t="str">
        <f t="shared" si="56"/>
        <v/>
      </c>
      <c r="X302" t="str">
        <f t="shared" si="57"/>
        <v>X</v>
      </c>
      <c r="Y302">
        <f t="shared" si="52"/>
        <v>0</v>
      </c>
      <c r="Z302" t="str">
        <f t="shared" si="58"/>
        <v/>
      </c>
      <c r="AA302" s="20">
        <f t="shared" si="53"/>
        <v>2.4305555555555469E-2</v>
      </c>
      <c r="AB302">
        <f t="shared" si="59"/>
        <v>301</v>
      </c>
      <c r="AC302" s="20" t="str">
        <f t="shared" si="60"/>
        <v>17:56</v>
      </c>
      <c r="AD302" s="20" t="str">
        <f t="shared" si="54"/>
        <v>18:31</v>
      </c>
      <c r="AE302" t="str">
        <f>VLOOKUP(G302,ACtypes!A:C,3,FALSE)</f>
        <v>C</v>
      </c>
      <c r="AF302" t="str">
        <f t="shared" si="61"/>
        <v/>
      </c>
      <c r="AG302" t="str">
        <f t="shared" si="62"/>
        <v/>
      </c>
      <c r="AH302">
        <f t="shared" si="63"/>
        <v>112</v>
      </c>
    </row>
    <row r="303" spans="1:34" x14ac:dyDescent="0.3">
      <c r="A303" s="41">
        <f t="shared" si="64"/>
        <v>302</v>
      </c>
      <c r="B303" s="27">
        <v>890</v>
      </c>
      <c r="C303" s="28" t="s">
        <v>287</v>
      </c>
      <c r="D303" s="28" t="s">
        <v>13</v>
      </c>
      <c r="E303" s="28" t="s">
        <v>440</v>
      </c>
      <c r="F303" s="28" t="s">
        <v>15</v>
      </c>
      <c r="G303" s="28" t="s">
        <v>32</v>
      </c>
      <c r="H303" s="27">
        <v>0</v>
      </c>
      <c r="I303" s="27">
        <v>112</v>
      </c>
      <c r="J303" s="28" t="s">
        <v>17</v>
      </c>
      <c r="K303" s="27">
        <v>25</v>
      </c>
      <c r="L303" s="28" t="s">
        <v>22</v>
      </c>
      <c r="M303" s="27">
        <v>9.9</v>
      </c>
      <c r="O303" s="23">
        <v>306</v>
      </c>
      <c r="P303" t="str">
        <f>IF(O303&gt;0,VLOOKUP($O303,Dep!$A:$M,3),"")</f>
        <v>18:48</v>
      </c>
      <c r="Q303" t="str">
        <f>IF(O303&gt;0,VLOOKUP($O303,Dep!$A:$M,6),"")</f>
        <v>ANC</v>
      </c>
      <c r="R303" t="str">
        <f>IF(O303&gt;0,VLOOKUP($O303,Dep!$A:$M,7),"")</f>
        <v>M80</v>
      </c>
      <c r="S303">
        <f>IF(O303&gt;0,VLOOKUP($O303,Dep!$A:$M,9),"")</f>
        <v>112</v>
      </c>
      <c r="T303" t="str">
        <f>IF(O303&gt;0,VLOOKUP($O303,Dep!$A:$M,10),"")</f>
        <v>NAT</v>
      </c>
      <c r="U303" t="str">
        <f>IF(O303&gt;0,VLOOKUP($O303,Dep!$A:$M,12),"")</f>
        <v>AS</v>
      </c>
      <c r="V303" t="str">
        <f t="shared" si="55"/>
        <v/>
      </c>
      <c r="W303" t="str">
        <f t="shared" si="56"/>
        <v/>
      </c>
      <c r="X303" t="str">
        <f t="shared" si="57"/>
        <v>X</v>
      </c>
      <c r="Y303">
        <f t="shared" si="52"/>
        <v>0</v>
      </c>
      <c r="Z303" t="str">
        <f t="shared" si="58"/>
        <v/>
      </c>
      <c r="AA303" s="20">
        <f t="shared" si="53"/>
        <v>3.6111111111111094E-2</v>
      </c>
      <c r="AB303">
        <f t="shared" si="59"/>
        <v>302</v>
      </c>
      <c r="AC303" s="20" t="str">
        <f t="shared" si="60"/>
        <v>17:56</v>
      </c>
      <c r="AD303" s="20" t="str">
        <f t="shared" si="54"/>
        <v>18:48</v>
      </c>
      <c r="AE303" t="str">
        <f>VLOOKUP(G303,ACtypes!A:C,3,FALSE)</f>
        <v>C</v>
      </c>
      <c r="AF303" t="str">
        <f t="shared" si="61"/>
        <v/>
      </c>
      <c r="AG303" t="str">
        <f t="shared" si="62"/>
        <v/>
      </c>
      <c r="AH303">
        <f t="shared" si="63"/>
        <v>112</v>
      </c>
    </row>
    <row r="304" spans="1:34" x14ac:dyDescent="0.3">
      <c r="A304" s="41">
        <f t="shared" si="64"/>
        <v>303</v>
      </c>
      <c r="B304" s="27">
        <v>342</v>
      </c>
      <c r="C304" s="28" t="s">
        <v>409</v>
      </c>
      <c r="D304" s="28" t="s">
        <v>13</v>
      </c>
      <c r="E304" s="28" t="s">
        <v>404</v>
      </c>
      <c r="F304" s="28" t="s">
        <v>15</v>
      </c>
      <c r="G304" s="28" t="s">
        <v>32</v>
      </c>
      <c r="H304" s="27">
        <v>0</v>
      </c>
      <c r="I304" s="27">
        <v>112</v>
      </c>
      <c r="J304" s="28" t="s">
        <v>17</v>
      </c>
      <c r="K304" s="27">
        <v>25</v>
      </c>
      <c r="L304" s="28" t="s">
        <v>22</v>
      </c>
      <c r="M304" s="27">
        <v>9.9</v>
      </c>
      <c r="O304" s="23">
        <v>307</v>
      </c>
      <c r="P304" t="str">
        <f>IF(O304&gt;0,VLOOKUP($O304,Dep!$A:$M,3),"")</f>
        <v>18:55</v>
      </c>
      <c r="Q304" t="str">
        <f>IF(O304&gt;0,VLOOKUP($O304,Dep!$A:$M,6),"")</f>
        <v>BUR</v>
      </c>
      <c r="R304" t="str">
        <f>IF(O304&gt;0,VLOOKUP($O304,Dep!$A:$M,7),"")</f>
        <v>M80</v>
      </c>
      <c r="S304">
        <f>IF(O304&gt;0,VLOOKUP($O304,Dep!$A:$M,9),"")</f>
        <v>112</v>
      </c>
      <c r="T304" t="str">
        <f>IF(O304&gt;0,VLOOKUP($O304,Dep!$A:$M,10),"")</f>
        <v>NAT</v>
      </c>
      <c r="U304" t="str">
        <f>IF(O304&gt;0,VLOOKUP($O304,Dep!$A:$M,12),"")</f>
        <v>AS</v>
      </c>
      <c r="V304" t="str">
        <f t="shared" si="55"/>
        <v/>
      </c>
      <c r="W304" t="str">
        <f t="shared" si="56"/>
        <v/>
      </c>
      <c r="X304" t="str">
        <f t="shared" si="57"/>
        <v>X</v>
      </c>
      <c r="Y304">
        <f t="shared" si="52"/>
        <v>0</v>
      </c>
      <c r="Z304" t="str">
        <f t="shared" si="58"/>
        <v/>
      </c>
      <c r="AA304" s="20">
        <f t="shared" si="53"/>
        <v>2.9861111111111227E-2</v>
      </c>
      <c r="AB304">
        <f t="shared" si="59"/>
        <v>303</v>
      </c>
      <c r="AC304" s="20" t="str">
        <f t="shared" si="60"/>
        <v>18:12</v>
      </c>
      <c r="AD304" s="20" t="str">
        <f t="shared" si="54"/>
        <v>18:55</v>
      </c>
      <c r="AE304" t="str">
        <f>VLOOKUP(G304,ACtypes!A:C,3,FALSE)</f>
        <v>C</v>
      </c>
      <c r="AF304" t="str">
        <f t="shared" si="61"/>
        <v/>
      </c>
      <c r="AG304" t="str">
        <f t="shared" si="62"/>
        <v/>
      </c>
      <c r="AH304">
        <f t="shared" si="63"/>
        <v>112</v>
      </c>
    </row>
    <row r="305" spans="1:34" x14ac:dyDescent="0.3">
      <c r="A305" s="41">
        <f t="shared" si="64"/>
        <v>304</v>
      </c>
      <c r="B305" s="27">
        <v>935</v>
      </c>
      <c r="C305" s="28" t="s">
        <v>509</v>
      </c>
      <c r="D305" s="28" t="s">
        <v>13</v>
      </c>
      <c r="E305" s="28" t="s">
        <v>501</v>
      </c>
      <c r="F305" s="28" t="s">
        <v>15</v>
      </c>
      <c r="G305" s="28" t="s">
        <v>32</v>
      </c>
      <c r="H305" s="27">
        <v>0</v>
      </c>
      <c r="I305" s="27">
        <v>112</v>
      </c>
      <c r="J305" s="28" t="s">
        <v>17</v>
      </c>
      <c r="K305" s="27">
        <v>25</v>
      </c>
      <c r="L305" s="28" t="s">
        <v>22</v>
      </c>
      <c r="M305" s="27">
        <v>9.9</v>
      </c>
      <c r="O305" s="23">
        <v>308</v>
      </c>
      <c r="P305" t="str">
        <f>IF(O305&gt;0,VLOOKUP($O305,Dep!$A:$M,3),"")</f>
        <v>18:56</v>
      </c>
      <c r="Q305" t="str">
        <f>IF(O305&gt;0,VLOOKUP($O305,Dep!$A:$M,6),"")</f>
        <v>LGB</v>
      </c>
      <c r="R305" t="str">
        <f>IF(O305&gt;0,VLOOKUP($O305,Dep!$A:$M,7),"")</f>
        <v>M80</v>
      </c>
      <c r="S305">
        <f>IF(O305&gt;0,VLOOKUP($O305,Dep!$A:$M,9),"")</f>
        <v>112</v>
      </c>
      <c r="T305" t="str">
        <f>IF(O305&gt;0,VLOOKUP($O305,Dep!$A:$M,10),"")</f>
        <v>NAT</v>
      </c>
      <c r="U305" t="str">
        <f>IF(O305&gt;0,VLOOKUP($O305,Dep!$A:$M,12),"")</f>
        <v>AS</v>
      </c>
      <c r="V305" t="str">
        <f t="shared" si="55"/>
        <v/>
      </c>
      <c r="W305" t="str">
        <f t="shared" si="56"/>
        <v/>
      </c>
      <c r="X305" t="str">
        <f t="shared" si="57"/>
        <v>X</v>
      </c>
      <c r="Y305">
        <f t="shared" si="52"/>
        <v>0</v>
      </c>
      <c r="Z305" t="str">
        <f t="shared" si="58"/>
        <v/>
      </c>
      <c r="AA305" s="20">
        <f t="shared" si="53"/>
        <v>2.4305555555555469E-2</v>
      </c>
      <c r="AB305">
        <f t="shared" si="59"/>
        <v>304</v>
      </c>
      <c r="AC305" s="20" t="str">
        <f t="shared" si="60"/>
        <v>18:21</v>
      </c>
      <c r="AD305" s="20" t="str">
        <f t="shared" si="54"/>
        <v>18:56</v>
      </c>
      <c r="AE305" t="str">
        <f>VLOOKUP(G305,ACtypes!A:C,3,FALSE)</f>
        <v>C</v>
      </c>
      <c r="AF305" t="str">
        <f t="shared" si="61"/>
        <v/>
      </c>
      <c r="AG305" t="str">
        <f t="shared" si="62"/>
        <v/>
      </c>
      <c r="AH305">
        <f t="shared" si="63"/>
        <v>112</v>
      </c>
    </row>
    <row r="306" spans="1:34" x14ac:dyDescent="0.3">
      <c r="A306" s="41">
        <f t="shared" si="64"/>
        <v>305</v>
      </c>
      <c r="B306" s="27">
        <v>148</v>
      </c>
      <c r="C306" s="28" t="s">
        <v>66</v>
      </c>
      <c r="D306" s="28" t="s">
        <v>13</v>
      </c>
      <c r="E306" s="28" t="s">
        <v>196</v>
      </c>
      <c r="F306" s="28" t="s">
        <v>15</v>
      </c>
      <c r="G306" s="28" t="s">
        <v>32</v>
      </c>
      <c r="H306" s="27">
        <v>0</v>
      </c>
      <c r="I306" s="27">
        <v>112</v>
      </c>
      <c r="J306" s="28" t="s">
        <v>17</v>
      </c>
      <c r="K306" s="27">
        <v>25</v>
      </c>
      <c r="L306" s="28" t="s">
        <v>22</v>
      </c>
      <c r="M306" s="27">
        <v>9.9</v>
      </c>
      <c r="O306" s="23">
        <v>309</v>
      </c>
      <c r="P306" t="str">
        <f>IF(O306&gt;0,VLOOKUP($O306,Dep!$A:$M,3),"")</f>
        <v>19:20</v>
      </c>
      <c r="Q306" t="str">
        <f>IF(O306&gt;0,VLOOKUP($O306,Dep!$A:$M,6),"")</f>
        <v>PHX</v>
      </c>
      <c r="R306" t="str">
        <f>IF(O306&gt;0,VLOOKUP($O306,Dep!$A:$M,7),"")</f>
        <v>M80</v>
      </c>
      <c r="S306">
        <f>IF(O306&gt;0,VLOOKUP($O306,Dep!$A:$M,9),"")</f>
        <v>112</v>
      </c>
      <c r="T306" t="str">
        <f>IF(O306&gt;0,VLOOKUP($O306,Dep!$A:$M,10),"")</f>
        <v>NAT</v>
      </c>
      <c r="U306" t="str">
        <f>IF(O306&gt;0,VLOOKUP($O306,Dep!$A:$M,12),"")</f>
        <v>AS</v>
      </c>
      <c r="V306" t="str">
        <f t="shared" si="55"/>
        <v/>
      </c>
      <c r="W306" t="str">
        <f t="shared" si="56"/>
        <v/>
      </c>
      <c r="X306" t="str">
        <f t="shared" si="57"/>
        <v>X</v>
      </c>
      <c r="Y306">
        <f t="shared" si="52"/>
        <v>0</v>
      </c>
      <c r="Z306" t="str">
        <f t="shared" si="58"/>
        <v/>
      </c>
      <c r="AA306" s="20">
        <f t="shared" si="53"/>
        <v>3.4027777777777768E-2</v>
      </c>
      <c r="AB306">
        <f t="shared" si="59"/>
        <v>305</v>
      </c>
      <c r="AC306" s="20" t="str">
        <f t="shared" si="60"/>
        <v>18:31</v>
      </c>
      <c r="AD306" s="20" t="str">
        <f t="shared" si="54"/>
        <v>19:20</v>
      </c>
      <c r="AE306" t="str">
        <f>VLOOKUP(G306,ACtypes!A:C,3,FALSE)</f>
        <v>C</v>
      </c>
      <c r="AF306" t="str">
        <f t="shared" si="61"/>
        <v/>
      </c>
      <c r="AG306" t="str">
        <f t="shared" si="62"/>
        <v/>
      </c>
      <c r="AH306">
        <f t="shared" si="63"/>
        <v>112</v>
      </c>
    </row>
    <row r="307" spans="1:34" x14ac:dyDescent="0.3">
      <c r="A307" s="41">
        <f t="shared" si="64"/>
        <v>306</v>
      </c>
      <c r="B307" s="27">
        <v>910</v>
      </c>
      <c r="C307" s="28" t="s">
        <v>461</v>
      </c>
      <c r="D307" s="28" t="s">
        <v>13</v>
      </c>
      <c r="E307" s="28" t="s">
        <v>455</v>
      </c>
      <c r="F307" s="28" t="s">
        <v>15</v>
      </c>
      <c r="G307" s="28" t="s">
        <v>32</v>
      </c>
      <c r="H307" s="27">
        <v>0</v>
      </c>
      <c r="I307" s="27">
        <v>112</v>
      </c>
      <c r="J307" s="28" t="s">
        <v>17</v>
      </c>
      <c r="K307" s="27">
        <v>25</v>
      </c>
      <c r="L307" s="28" t="s">
        <v>22</v>
      </c>
      <c r="M307" s="27">
        <v>9.9</v>
      </c>
      <c r="O307" s="23">
        <v>310</v>
      </c>
      <c r="P307" t="str">
        <f>IF(O307&gt;0,VLOOKUP($O307,Dep!$A:$M,3),"")</f>
        <v>20:30</v>
      </c>
      <c r="Q307" t="str">
        <f>IF(O307&gt;0,VLOOKUP($O307,Dep!$A:$M,6),"")</f>
        <v>ONT</v>
      </c>
      <c r="R307" t="str">
        <f>IF(O307&gt;0,VLOOKUP($O307,Dep!$A:$M,7),"")</f>
        <v>M80</v>
      </c>
      <c r="S307">
        <f>IF(O307&gt;0,VLOOKUP($O307,Dep!$A:$M,9),"")</f>
        <v>112</v>
      </c>
      <c r="T307" t="str">
        <f>IF(O307&gt;0,VLOOKUP($O307,Dep!$A:$M,10),"")</f>
        <v>NAT</v>
      </c>
      <c r="U307" t="str">
        <f>IF(O307&gt;0,VLOOKUP($O307,Dep!$A:$M,12),"")</f>
        <v>AS</v>
      </c>
      <c r="V307" t="str">
        <f t="shared" si="55"/>
        <v/>
      </c>
      <c r="W307" t="str">
        <f t="shared" si="56"/>
        <v/>
      </c>
      <c r="X307" t="str">
        <f t="shared" si="57"/>
        <v>X</v>
      </c>
      <c r="Y307">
        <f t="shared" si="52"/>
        <v>0</v>
      </c>
      <c r="Z307" t="str">
        <f t="shared" si="58"/>
        <v/>
      </c>
      <c r="AA307" s="20">
        <f t="shared" si="53"/>
        <v>5.4861111111111027E-2</v>
      </c>
      <c r="AB307">
        <f t="shared" si="59"/>
        <v>306</v>
      </c>
      <c r="AC307" s="20" t="str">
        <f t="shared" si="60"/>
        <v>19:11</v>
      </c>
      <c r="AD307" s="20" t="str">
        <f t="shared" si="54"/>
        <v>20:30</v>
      </c>
      <c r="AE307" t="str">
        <f>VLOOKUP(G307,ACtypes!A:C,3,FALSE)</f>
        <v>C</v>
      </c>
      <c r="AF307" t="str">
        <f t="shared" si="61"/>
        <v/>
      </c>
      <c r="AG307" t="str">
        <f t="shared" si="62"/>
        <v/>
      </c>
      <c r="AH307">
        <f t="shared" si="63"/>
        <v>112</v>
      </c>
    </row>
    <row r="308" spans="1:34" x14ac:dyDescent="0.3">
      <c r="A308" s="41">
        <f t="shared" si="64"/>
        <v>307</v>
      </c>
      <c r="B308" s="27">
        <v>375</v>
      </c>
      <c r="C308" s="28" t="s">
        <v>433</v>
      </c>
      <c r="D308" s="28" t="s">
        <v>13</v>
      </c>
      <c r="E308" s="28" t="s">
        <v>432</v>
      </c>
      <c r="F308" s="28" t="s">
        <v>15</v>
      </c>
      <c r="G308" s="28" t="s">
        <v>32</v>
      </c>
      <c r="H308" s="27">
        <v>0</v>
      </c>
      <c r="I308" s="27">
        <v>112</v>
      </c>
      <c r="J308" s="28" t="s">
        <v>17</v>
      </c>
      <c r="K308" s="27">
        <v>25</v>
      </c>
      <c r="L308" s="28" t="s">
        <v>22</v>
      </c>
      <c r="M308" s="27">
        <v>9.9</v>
      </c>
      <c r="O308" s="23">
        <v>311</v>
      </c>
      <c r="P308" t="str">
        <f>IF(O308&gt;0,VLOOKUP($O308,Dep!$A:$M,3),"")</f>
        <v>20:35</v>
      </c>
      <c r="Q308" t="str">
        <f>IF(O308&gt;0,VLOOKUP($O308,Dep!$A:$M,6),"")</f>
        <v>SMF</v>
      </c>
      <c r="R308" t="str">
        <f>IF(O308&gt;0,VLOOKUP($O308,Dep!$A:$M,7),"")</f>
        <v>M80</v>
      </c>
      <c r="S308">
        <f>IF(O308&gt;0,VLOOKUP($O308,Dep!$A:$M,9),"")</f>
        <v>112</v>
      </c>
      <c r="T308" t="str">
        <f>IF(O308&gt;0,VLOOKUP($O308,Dep!$A:$M,10),"")</f>
        <v>NAT</v>
      </c>
      <c r="U308" t="str">
        <f>IF(O308&gt;0,VLOOKUP($O308,Dep!$A:$M,12),"")</f>
        <v>AS</v>
      </c>
      <c r="V308" t="str">
        <f t="shared" si="55"/>
        <v/>
      </c>
      <c r="W308" t="str">
        <f t="shared" si="56"/>
        <v/>
      </c>
      <c r="X308" t="str">
        <f t="shared" si="57"/>
        <v>X</v>
      </c>
      <c r="Y308">
        <f t="shared" si="52"/>
        <v>0</v>
      </c>
      <c r="Z308" t="str">
        <f t="shared" si="58"/>
        <v/>
      </c>
      <c r="AA308" s="20">
        <f t="shared" si="53"/>
        <v>3.6805555555555536E-2</v>
      </c>
      <c r="AB308">
        <f t="shared" si="59"/>
        <v>307</v>
      </c>
      <c r="AC308" s="20" t="str">
        <f t="shared" si="60"/>
        <v>19:42</v>
      </c>
      <c r="AD308" s="20" t="str">
        <f t="shared" si="54"/>
        <v>20:35</v>
      </c>
      <c r="AE308" t="str">
        <f>VLOOKUP(G308,ACtypes!A:C,3,FALSE)</f>
        <v>C</v>
      </c>
      <c r="AF308" t="str">
        <f t="shared" si="61"/>
        <v/>
      </c>
      <c r="AG308" t="str">
        <f t="shared" si="62"/>
        <v/>
      </c>
      <c r="AH308">
        <f t="shared" si="63"/>
        <v>112</v>
      </c>
    </row>
    <row r="309" spans="1:34" x14ac:dyDescent="0.3">
      <c r="A309" s="41">
        <f t="shared" si="64"/>
        <v>308</v>
      </c>
      <c r="B309" s="27">
        <v>222</v>
      </c>
      <c r="C309" s="28" t="s">
        <v>184</v>
      </c>
      <c r="D309" s="28" t="s">
        <v>13</v>
      </c>
      <c r="E309" s="28" t="s">
        <v>292</v>
      </c>
      <c r="F309" s="28" t="s">
        <v>15</v>
      </c>
      <c r="G309" s="28" t="s">
        <v>32</v>
      </c>
      <c r="H309" s="27">
        <v>0</v>
      </c>
      <c r="I309" s="27">
        <v>112</v>
      </c>
      <c r="J309" s="28" t="s">
        <v>17</v>
      </c>
      <c r="K309" s="27">
        <v>25</v>
      </c>
      <c r="L309" s="28" t="s">
        <v>22</v>
      </c>
      <c r="M309" s="27">
        <v>9.9</v>
      </c>
      <c r="O309" s="23">
        <v>312</v>
      </c>
      <c r="P309" t="str">
        <f>IF(O309&gt;0,VLOOKUP($O309,Dep!$A:$M,3),"")</f>
        <v>21:00</v>
      </c>
      <c r="Q309" t="str">
        <f>IF(O309&gt;0,VLOOKUP($O309,Dep!$A:$M,6),"")</f>
        <v>ANC</v>
      </c>
      <c r="R309" t="str">
        <f>IF(O309&gt;0,VLOOKUP($O309,Dep!$A:$M,7),"")</f>
        <v>M80</v>
      </c>
      <c r="S309">
        <f>IF(O309&gt;0,VLOOKUP($O309,Dep!$A:$M,9),"")</f>
        <v>112</v>
      </c>
      <c r="T309" t="str">
        <f>IF(O309&gt;0,VLOOKUP($O309,Dep!$A:$M,10),"")</f>
        <v>NAT</v>
      </c>
      <c r="U309" t="str">
        <f>IF(O309&gt;0,VLOOKUP($O309,Dep!$A:$M,12),"")</f>
        <v>AS</v>
      </c>
      <c r="V309" t="str">
        <f t="shared" si="55"/>
        <v/>
      </c>
      <c r="W309" t="str">
        <f t="shared" si="56"/>
        <v/>
      </c>
      <c r="X309" t="str">
        <f t="shared" si="57"/>
        <v>X</v>
      </c>
      <c r="Y309">
        <f t="shared" si="52"/>
        <v>0</v>
      </c>
      <c r="Z309" t="str">
        <f t="shared" si="58"/>
        <v/>
      </c>
      <c r="AA309" s="20">
        <f t="shared" si="53"/>
        <v>4.861111111111116E-2</v>
      </c>
      <c r="AB309">
        <f t="shared" si="59"/>
        <v>308</v>
      </c>
      <c r="AC309" s="20" t="str">
        <f t="shared" si="60"/>
        <v>19:50</v>
      </c>
      <c r="AD309" s="20" t="str">
        <f t="shared" si="54"/>
        <v>21:00</v>
      </c>
      <c r="AE309" t="str">
        <f>VLOOKUP(G309,ACtypes!A:C,3,FALSE)</f>
        <v>C</v>
      </c>
      <c r="AF309" t="str">
        <f t="shared" si="61"/>
        <v/>
      </c>
      <c r="AG309" t="str">
        <f t="shared" si="62"/>
        <v/>
      </c>
      <c r="AH309">
        <f t="shared" si="63"/>
        <v>112</v>
      </c>
    </row>
    <row r="310" spans="1:34" x14ac:dyDescent="0.3">
      <c r="A310" s="41">
        <f t="shared" si="64"/>
        <v>309</v>
      </c>
      <c r="B310" s="27">
        <v>6</v>
      </c>
      <c r="C310" s="28" t="s">
        <v>30</v>
      </c>
      <c r="D310" s="28" t="s">
        <v>13</v>
      </c>
      <c r="E310" s="28" t="s">
        <v>31</v>
      </c>
      <c r="F310" s="28" t="s">
        <v>15</v>
      </c>
      <c r="G310" s="28" t="s">
        <v>32</v>
      </c>
      <c r="H310" s="27">
        <v>0</v>
      </c>
      <c r="I310" s="27">
        <v>112</v>
      </c>
      <c r="J310" s="28" t="s">
        <v>17</v>
      </c>
      <c r="K310" s="27">
        <v>25</v>
      </c>
      <c r="L310" s="28" t="s">
        <v>22</v>
      </c>
      <c r="M310" s="27">
        <v>9.9</v>
      </c>
      <c r="O310" s="23">
        <v>313</v>
      </c>
      <c r="P310" t="str">
        <f>IF(O310&gt;0,VLOOKUP($O310,Dep!$A:$M,3),"")</f>
        <v>21:00</v>
      </c>
      <c r="Q310" t="str">
        <f>IF(O310&gt;0,VLOOKUP($O310,Dep!$A:$M,6),"")</f>
        <v>GEG</v>
      </c>
      <c r="R310" t="str">
        <f>IF(O310&gt;0,VLOOKUP($O310,Dep!$A:$M,7),"")</f>
        <v>M80</v>
      </c>
      <c r="S310">
        <f>IF(O310&gt;0,VLOOKUP($O310,Dep!$A:$M,9),"")</f>
        <v>112</v>
      </c>
      <c r="T310" t="str">
        <f>IF(O310&gt;0,VLOOKUP($O310,Dep!$A:$M,10),"")</f>
        <v>NAT</v>
      </c>
      <c r="U310" t="str">
        <f>IF(O310&gt;0,VLOOKUP($O310,Dep!$A:$M,12),"")</f>
        <v>AS</v>
      </c>
      <c r="V310" t="str">
        <f t="shared" si="55"/>
        <v/>
      </c>
      <c r="W310" t="str">
        <f t="shared" si="56"/>
        <v/>
      </c>
      <c r="X310" t="str">
        <f t="shared" si="57"/>
        <v>X</v>
      </c>
      <c r="Y310">
        <f t="shared" si="52"/>
        <v>0</v>
      </c>
      <c r="Z310" t="str">
        <f t="shared" si="58"/>
        <v/>
      </c>
      <c r="AA310" s="20">
        <f t="shared" si="53"/>
        <v>4.3055555555555625E-2</v>
      </c>
      <c r="AB310">
        <f t="shared" si="59"/>
        <v>309</v>
      </c>
      <c r="AC310" s="20" t="str">
        <f t="shared" si="60"/>
        <v>19:58</v>
      </c>
      <c r="AD310" s="20" t="str">
        <f t="shared" si="54"/>
        <v>21:00</v>
      </c>
      <c r="AE310" t="str">
        <f>VLOOKUP(G310,ACtypes!A:C,3,FALSE)</f>
        <v>C</v>
      </c>
      <c r="AF310" t="str">
        <f t="shared" si="61"/>
        <v/>
      </c>
      <c r="AG310" t="str">
        <f t="shared" si="62"/>
        <v/>
      </c>
      <c r="AH310">
        <f t="shared" si="63"/>
        <v>112</v>
      </c>
    </row>
    <row r="311" spans="1:34" x14ac:dyDescent="0.3">
      <c r="A311" s="41">
        <f t="shared" si="64"/>
        <v>310</v>
      </c>
      <c r="B311" s="27">
        <v>150</v>
      </c>
      <c r="C311" s="28" t="s">
        <v>214</v>
      </c>
      <c r="D311" s="28" t="s">
        <v>13</v>
      </c>
      <c r="E311" s="28" t="s">
        <v>196</v>
      </c>
      <c r="F311" s="28" t="s">
        <v>15</v>
      </c>
      <c r="G311" s="28" t="s">
        <v>32</v>
      </c>
      <c r="H311" s="27">
        <v>0</v>
      </c>
      <c r="I311" s="27">
        <v>112</v>
      </c>
      <c r="J311" s="28" t="s">
        <v>17</v>
      </c>
      <c r="K311" s="27">
        <v>25</v>
      </c>
      <c r="L311" s="28" t="s">
        <v>22</v>
      </c>
      <c r="M311" s="27">
        <v>9.9</v>
      </c>
      <c r="O311" s="23">
        <v>314</v>
      </c>
      <c r="P311" t="str">
        <f>IF(O311&gt;0,VLOOKUP($O311,Dep!$A:$M,3),"")</f>
        <v>21:08</v>
      </c>
      <c r="Q311" t="str">
        <f>IF(O311&gt;0,VLOOKUP($O311,Dep!$A:$M,6),"")</f>
        <v>RNO</v>
      </c>
      <c r="R311" t="str">
        <f>IF(O311&gt;0,VLOOKUP($O311,Dep!$A:$M,7),"")</f>
        <v>M80</v>
      </c>
      <c r="S311">
        <f>IF(O311&gt;0,VLOOKUP($O311,Dep!$A:$M,9),"")</f>
        <v>112</v>
      </c>
      <c r="T311" t="str">
        <f>IF(O311&gt;0,VLOOKUP($O311,Dep!$A:$M,10),"")</f>
        <v>NAT</v>
      </c>
      <c r="U311" t="str">
        <f>IF(O311&gt;0,VLOOKUP($O311,Dep!$A:$M,12),"")</f>
        <v>AS</v>
      </c>
      <c r="V311" t="str">
        <f t="shared" si="55"/>
        <v/>
      </c>
      <c r="W311" t="str">
        <f t="shared" si="56"/>
        <v/>
      </c>
      <c r="X311" t="str">
        <f t="shared" si="57"/>
        <v>X</v>
      </c>
      <c r="Y311">
        <f t="shared" si="52"/>
        <v>0</v>
      </c>
      <c r="Z311" t="str">
        <f t="shared" si="58"/>
        <v/>
      </c>
      <c r="AA311" s="20">
        <f t="shared" si="53"/>
        <v>2.4305555555555469E-2</v>
      </c>
      <c r="AB311">
        <f t="shared" si="59"/>
        <v>310</v>
      </c>
      <c r="AC311" s="20" t="str">
        <f t="shared" si="60"/>
        <v>20:33</v>
      </c>
      <c r="AD311" s="20" t="str">
        <f t="shared" si="54"/>
        <v>21:08</v>
      </c>
      <c r="AE311" t="str">
        <f>VLOOKUP(G311,ACtypes!A:C,3,FALSE)</f>
        <v>C</v>
      </c>
      <c r="AF311" t="str">
        <f t="shared" si="61"/>
        <v/>
      </c>
      <c r="AG311" t="str">
        <f t="shared" si="62"/>
        <v/>
      </c>
      <c r="AH311">
        <f t="shared" si="63"/>
        <v>112</v>
      </c>
    </row>
    <row r="312" spans="1:34" x14ac:dyDescent="0.3">
      <c r="A312" s="41">
        <f t="shared" si="64"/>
        <v>311</v>
      </c>
      <c r="B312" s="27">
        <v>118</v>
      </c>
      <c r="C312" s="28" t="s">
        <v>179</v>
      </c>
      <c r="D312" s="28" t="s">
        <v>13</v>
      </c>
      <c r="E312" s="28" t="s">
        <v>180</v>
      </c>
      <c r="F312" s="28" t="s">
        <v>15</v>
      </c>
      <c r="G312" s="28" t="s">
        <v>32</v>
      </c>
      <c r="H312" s="27">
        <v>0</v>
      </c>
      <c r="I312" s="27">
        <v>112</v>
      </c>
      <c r="J312" s="28" t="s">
        <v>17</v>
      </c>
      <c r="K312" s="27">
        <v>25</v>
      </c>
      <c r="L312" s="28" t="s">
        <v>22</v>
      </c>
      <c r="M312" s="27">
        <v>9.9</v>
      </c>
      <c r="O312" s="23">
        <v>315</v>
      </c>
      <c r="P312" t="str">
        <f>IF(O312&gt;0,VLOOKUP($O312,Dep!$A:$M,3),"")</f>
        <v>21:15</v>
      </c>
      <c r="Q312" t="str">
        <f>IF(O312&gt;0,VLOOKUP($O312,Dep!$A:$M,6),"")</f>
        <v>SAN</v>
      </c>
      <c r="R312" t="str">
        <f>IF(O312&gt;0,VLOOKUP($O312,Dep!$A:$M,7),"")</f>
        <v>M80</v>
      </c>
      <c r="S312">
        <f>IF(O312&gt;0,VLOOKUP($O312,Dep!$A:$M,9),"")</f>
        <v>112</v>
      </c>
      <c r="T312" t="str">
        <f>IF(O312&gt;0,VLOOKUP($O312,Dep!$A:$M,10),"")</f>
        <v>NAT</v>
      </c>
      <c r="U312" t="str">
        <f>IF(O312&gt;0,VLOOKUP($O312,Dep!$A:$M,12),"")</f>
        <v>AS</v>
      </c>
      <c r="V312" t="str">
        <f t="shared" si="55"/>
        <v/>
      </c>
      <c r="W312" t="str">
        <f t="shared" si="56"/>
        <v/>
      </c>
      <c r="X312" t="str">
        <f t="shared" si="57"/>
        <v>X</v>
      </c>
      <c r="Y312">
        <f t="shared" si="52"/>
        <v>0</v>
      </c>
      <c r="Z312" t="str">
        <f t="shared" si="58"/>
        <v/>
      </c>
      <c r="AA312" s="20">
        <f t="shared" si="53"/>
        <v>2.777777777777779E-2</v>
      </c>
      <c r="AB312">
        <f t="shared" si="59"/>
        <v>311</v>
      </c>
      <c r="AC312" s="20" t="str">
        <f t="shared" si="60"/>
        <v>20:35</v>
      </c>
      <c r="AD312" s="20" t="str">
        <f t="shared" si="54"/>
        <v>21:15</v>
      </c>
      <c r="AE312" t="str">
        <f>VLOOKUP(G312,ACtypes!A:C,3,FALSE)</f>
        <v>C</v>
      </c>
      <c r="AF312" t="str">
        <f t="shared" si="61"/>
        <v/>
      </c>
      <c r="AG312" t="str">
        <f t="shared" si="62"/>
        <v/>
      </c>
      <c r="AH312">
        <f t="shared" si="63"/>
        <v>112</v>
      </c>
    </row>
    <row r="313" spans="1:34" x14ac:dyDescent="0.3">
      <c r="A313" s="41">
        <f t="shared" si="64"/>
        <v>312</v>
      </c>
      <c r="B313" s="27">
        <v>909</v>
      </c>
      <c r="C313" s="28" t="s">
        <v>159</v>
      </c>
      <c r="D313" s="28" t="s">
        <v>13</v>
      </c>
      <c r="E313" s="28" t="s">
        <v>455</v>
      </c>
      <c r="F313" s="28" t="s">
        <v>15</v>
      </c>
      <c r="G313" s="28" t="s">
        <v>32</v>
      </c>
      <c r="H313" s="27">
        <v>0</v>
      </c>
      <c r="I313" s="27">
        <v>112</v>
      </c>
      <c r="J313" s="28" t="s">
        <v>17</v>
      </c>
      <c r="K313" s="27">
        <v>25</v>
      </c>
      <c r="L313" s="28" t="s">
        <v>22</v>
      </c>
      <c r="M313" s="27">
        <v>9.9</v>
      </c>
      <c r="O313" s="23">
        <v>316</v>
      </c>
      <c r="P313" t="str">
        <f>IF(O313&gt;0,VLOOKUP($O313,Dep!$A:$M,3),"")</f>
        <v>22:10</v>
      </c>
      <c r="Q313" t="str">
        <f>IF(O313&gt;0,VLOOKUP($O313,Dep!$A:$M,6),"")</f>
        <v>GEG</v>
      </c>
      <c r="R313" t="str">
        <f>IF(O313&gt;0,VLOOKUP($O313,Dep!$A:$M,7),"")</f>
        <v>M80</v>
      </c>
      <c r="S313">
        <f>IF(O313&gt;0,VLOOKUP($O313,Dep!$A:$M,9),"")</f>
        <v>112</v>
      </c>
      <c r="T313" t="str">
        <f>IF(O313&gt;0,VLOOKUP($O313,Dep!$A:$M,10),"")</f>
        <v>NAT</v>
      </c>
      <c r="U313" t="str">
        <f>IF(O313&gt;0,VLOOKUP($O313,Dep!$A:$M,12),"")</f>
        <v>AS</v>
      </c>
      <c r="V313" t="str">
        <f t="shared" si="55"/>
        <v/>
      </c>
      <c r="W313" t="str">
        <f t="shared" si="56"/>
        <v/>
      </c>
      <c r="X313" t="str">
        <f t="shared" si="57"/>
        <v>X</v>
      </c>
      <c r="Y313">
        <f t="shared" si="52"/>
        <v>0</v>
      </c>
      <c r="Z313" t="str">
        <f t="shared" si="58"/>
        <v/>
      </c>
      <c r="AA313" s="20">
        <f t="shared" si="53"/>
        <v>3.4722222222222321E-2</v>
      </c>
      <c r="AB313">
        <f t="shared" si="59"/>
        <v>312</v>
      </c>
      <c r="AC313" s="20" t="str">
        <f t="shared" si="60"/>
        <v>21:20</v>
      </c>
      <c r="AD313" s="20" t="str">
        <f t="shared" si="54"/>
        <v>22:10</v>
      </c>
      <c r="AE313" t="str">
        <f>VLOOKUP(G313,ACtypes!A:C,3,FALSE)</f>
        <v>C</v>
      </c>
      <c r="AF313" t="str">
        <f t="shared" si="61"/>
        <v/>
      </c>
      <c r="AG313" t="str">
        <f t="shared" si="62"/>
        <v/>
      </c>
      <c r="AH313">
        <f t="shared" si="63"/>
        <v>112</v>
      </c>
    </row>
    <row r="314" spans="1:34" x14ac:dyDescent="0.3">
      <c r="A314" s="41">
        <f t="shared" si="64"/>
        <v>313</v>
      </c>
      <c r="B314" s="27">
        <v>370</v>
      </c>
      <c r="C314" s="28" t="s">
        <v>428</v>
      </c>
      <c r="D314" s="28" t="s">
        <v>13</v>
      </c>
      <c r="E314" s="28" t="s">
        <v>427</v>
      </c>
      <c r="F314" s="28" t="s">
        <v>15</v>
      </c>
      <c r="G314" s="28" t="s">
        <v>32</v>
      </c>
      <c r="H314" s="27">
        <v>0</v>
      </c>
      <c r="I314" s="27">
        <v>112</v>
      </c>
      <c r="J314" s="28" t="s">
        <v>17</v>
      </c>
      <c r="K314" s="27">
        <v>25</v>
      </c>
      <c r="L314" s="28" t="s">
        <v>22</v>
      </c>
      <c r="M314" s="27">
        <v>9.9</v>
      </c>
      <c r="O314" s="23">
        <v>276</v>
      </c>
      <c r="P314" t="str">
        <f>IF(O314&gt;0,VLOOKUP($O314,Dep!$A:$M,3),"")</f>
        <v>06:55</v>
      </c>
      <c r="Q314" t="str">
        <f>IF(O314&gt;0,VLOOKUP($O314,Dep!$A:$M,6),"")</f>
        <v>BUR</v>
      </c>
      <c r="R314" t="str">
        <f>IF(O314&gt;0,VLOOKUP($O314,Dep!$A:$M,7),"")</f>
        <v>M80</v>
      </c>
      <c r="S314">
        <f>IF(O314&gt;0,VLOOKUP($O314,Dep!$A:$M,9),"")</f>
        <v>112</v>
      </c>
      <c r="T314" t="str">
        <f>IF(O314&gt;0,VLOOKUP($O314,Dep!$A:$M,10),"")</f>
        <v>NAT</v>
      </c>
      <c r="U314" t="str">
        <f>IF(O314&gt;0,VLOOKUP($O314,Dep!$A:$M,12),"")</f>
        <v>AS</v>
      </c>
      <c r="V314" t="str">
        <f t="shared" si="55"/>
        <v/>
      </c>
      <c r="W314" t="str">
        <f t="shared" si="56"/>
        <v/>
      </c>
      <c r="X314" t="str">
        <f t="shared" si="57"/>
        <v>X</v>
      </c>
      <c r="Y314">
        <f t="shared" si="52"/>
        <v>0</v>
      </c>
      <c r="Z314">
        <f t="shared" si="58"/>
        <v>1</v>
      </c>
      <c r="AA314" s="20">
        <f t="shared" si="53"/>
        <v>0.36111111111111116</v>
      </c>
      <c r="AB314">
        <f t="shared" si="59"/>
        <v>313</v>
      </c>
      <c r="AC314" s="20" t="str">
        <f t="shared" si="60"/>
        <v>22:15</v>
      </c>
      <c r="AD314" s="20" t="str">
        <f t="shared" si="54"/>
        <v>06:55</v>
      </c>
      <c r="AE314" t="str">
        <f>VLOOKUP(G314,ACtypes!A:C,3,FALSE)</f>
        <v>C</v>
      </c>
      <c r="AF314" t="str">
        <f t="shared" si="61"/>
        <v/>
      </c>
      <c r="AG314" t="str">
        <f t="shared" si="62"/>
        <v/>
      </c>
      <c r="AH314">
        <f t="shared" si="63"/>
        <v>112</v>
      </c>
    </row>
    <row r="315" spans="1:34" x14ac:dyDescent="0.3">
      <c r="A315" s="41">
        <f t="shared" si="64"/>
        <v>314</v>
      </c>
      <c r="B315" s="27">
        <v>343</v>
      </c>
      <c r="C315" s="28" t="s">
        <v>410</v>
      </c>
      <c r="D315" s="28" t="s">
        <v>13</v>
      </c>
      <c r="E315" s="28" t="s">
        <v>404</v>
      </c>
      <c r="F315" s="28" t="s">
        <v>15</v>
      </c>
      <c r="G315" s="28" t="s">
        <v>32</v>
      </c>
      <c r="H315" s="27">
        <v>0</v>
      </c>
      <c r="I315" s="27">
        <v>112</v>
      </c>
      <c r="J315" s="28" t="s">
        <v>17</v>
      </c>
      <c r="K315" s="27">
        <v>25</v>
      </c>
      <c r="L315" s="28" t="s">
        <v>22</v>
      </c>
      <c r="M315" s="27">
        <v>9.9</v>
      </c>
      <c r="O315" s="23">
        <v>277</v>
      </c>
      <c r="P315" t="str">
        <f>IF(O315&gt;0,VLOOKUP($O315,Dep!$A:$M,3),"")</f>
        <v>07:05</v>
      </c>
      <c r="Q315" t="str">
        <f>IF(O315&gt;0,VLOOKUP($O315,Dep!$A:$M,6),"")</f>
        <v>SMF</v>
      </c>
      <c r="R315" t="str">
        <f>IF(O315&gt;0,VLOOKUP($O315,Dep!$A:$M,7),"")</f>
        <v>M80</v>
      </c>
      <c r="S315">
        <f>IF(O315&gt;0,VLOOKUP($O315,Dep!$A:$M,9),"")</f>
        <v>112</v>
      </c>
      <c r="T315" t="str">
        <f>IF(O315&gt;0,VLOOKUP($O315,Dep!$A:$M,10),"")</f>
        <v>NAT</v>
      </c>
      <c r="U315" t="str">
        <f>IF(O315&gt;0,VLOOKUP($O315,Dep!$A:$M,12),"")</f>
        <v>AS</v>
      </c>
      <c r="V315" t="str">
        <f t="shared" si="55"/>
        <v/>
      </c>
      <c r="W315" t="str">
        <f t="shared" si="56"/>
        <v/>
      </c>
      <c r="X315" t="str">
        <f t="shared" si="57"/>
        <v>X</v>
      </c>
      <c r="Y315">
        <f t="shared" si="52"/>
        <v>0</v>
      </c>
      <c r="Z315">
        <f t="shared" si="58"/>
        <v>1</v>
      </c>
      <c r="AA315" s="20">
        <f t="shared" si="53"/>
        <v>0.36597222222222214</v>
      </c>
      <c r="AB315">
        <f t="shared" si="59"/>
        <v>314</v>
      </c>
      <c r="AC315" s="20" t="str">
        <f t="shared" si="60"/>
        <v>22:18</v>
      </c>
      <c r="AD315" s="20" t="str">
        <f t="shared" si="54"/>
        <v>07:05</v>
      </c>
      <c r="AE315" t="str">
        <f>VLOOKUP(G315,ACtypes!A:C,3,FALSE)</f>
        <v>C</v>
      </c>
      <c r="AF315" t="str">
        <f t="shared" si="61"/>
        <v/>
      </c>
      <c r="AG315" t="str">
        <f t="shared" si="62"/>
        <v/>
      </c>
      <c r="AH315">
        <f t="shared" si="63"/>
        <v>112</v>
      </c>
    </row>
    <row r="316" spans="1:34" x14ac:dyDescent="0.3">
      <c r="A316" s="41">
        <f t="shared" si="64"/>
        <v>315</v>
      </c>
      <c r="B316" s="27">
        <v>205</v>
      </c>
      <c r="C316" s="28" t="s">
        <v>276</v>
      </c>
      <c r="D316" s="28" t="s">
        <v>13</v>
      </c>
      <c r="E316" s="28" t="s">
        <v>265</v>
      </c>
      <c r="F316" s="28" t="s">
        <v>15</v>
      </c>
      <c r="G316" s="28" t="s">
        <v>32</v>
      </c>
      <c r="H316" s="27">
        <v>0</v>
      </c>
      <c r="I316" s="27">
        <v>112</v>
      </c>
      <c r="J316" s="28" t="s">
        <v>17</v>
      </c>
      <c r="K316" s="27">
        <v>25</v>
      </c>
      <c r="L316" s="28" t="s">
        <v>22</v>
      </c>
      <c r="M316" s="27">
        <v>9.9</v>
      </c>
      <c r="O316" s="23">
        <v>278</v>
      </c>
      <c r="P316" t="str">
        <f>IF(O316&gt;0,VLOOKUP($O316,Dep!$A:$M,3),"")</f>
        <v>07:20</v>
      </c>
      <c r="Q316" t="str">
        <f>IF(O316&gt;0,VLOOKUP($O316,Dep!$A:$M,6),"")</f>
        <v>OAK</v>
      </c>
      <c r="R316" t="str">
        <f>IF(O316&gt;0,VLOOKUP($O316,Dep!$A:$M,7),"")</f>
        <v>M80</v>
      </c>
      <c r="S316">
        <f>IF(O316&gt;0,VLOOKUP($O316,Dep!$A:$M,9),"")</f>
        <v>112</v>
      </c>
      <c r="T316" t="str">
        <f>IF(O316&gt;0,VLOOKUP($O316,Dep!$A:$M,10),"")</f>
        <v>NAT</v>
      </c>
      <c r="U316" t="str">
        <f>IF(O316&gt;0,VLOOKUP($O316,Dep!$A:$M,12),"")</f>
        <v>AS</v>
      </c>
      <c r="V316" t="str">
        <f t="shared" si="55"/>
        <v/>
      </c>
      <c r="W316" t="str">
        <f t="shared" si="56"/>
        <v/>
      </c>
      <c r="X316" t="str">
        <f t="shared" si="57"/>
        <v>X</v>
      </c>
      <c r="Y316">
        <f t="shared" si="52"/>
        <v>0</v>
      </c>
      <c r="Z316">
        <f t="shared" si="58"/>
        <v>1</v>
      </c>
      <c r="AA316" s="20">
        <f t="shared" si="53"/>
        <v>0.34583333333333321</v>
      </c>
      <c r="AB316">
        <f t="shared" si="59"/>
        <v>315</v>
      </c>
      <c r="AC316" s="20" t="str">
        <f t="shared" si="60"/>
        <v>23:02</v>
      </c>
      <c r="AD316" s="20" t="str">
        <f t="shared" si="54"/>
        <v>07:20</v>
      </c>
      <c r="AE316" t="str">
        <f>VLOOKUP(G316,ACtypes!A:C,3,FALSE)</f>
        <v>C</v>
      </c>
      <c r="AF316" t="str">
        <f t="shared" si="61"/>
        <v/>
      </c>
      <c r="AG316" t="str">
        <f t="shared" si="62"/>
        <v/>
      </c>
      <c r="AH316">
        <f t="shared" si="63"/>
        <v>112</v>
      </c>
    </row>
    <row r="317" spans="1:34" x14ac:dyDescent="0.3">
      <c r="A317" s="41">
        <f t="shared" si="64"/>
        <v>316</v>
      </c>
      <c r="B317" s="27">
        <v>204</v>
      </c>
      <c r="C317" s="28" t="s">
        <v>275</v>
      </c>
      <c r="D317" s="28" t="s">
        <v>13</v>
      </c>
      <c r="E317" s="28" t="s">
        <v>265</v>
      </c>
      <c r="F317" s="28" t="s">
        <v>15</v>
      </c>
      <c r="G317" s="28" t="s">
        <v>32</v>
      </c>
      <c r="H317" s="27">
        <v>0</v>
      </c>
      <c r="I317" s="27">
        <v>112</v>
      </c>
      <c r="J317" s="28" t="s">
        <v>17</v>
      </c>
      <c r="K317" s="27">
        <v>25</v>
      </c>
      <c r="L317" s="28" t="s">
        <v>22</v>
      </c>
      <c r="M317" s="27">
        <v>9.9</v>
      </c>
      <c r="O317" s="23">
        <v>279</v>
      </c>
      <c r="P317" t="str">
        <f>IF(O317&gt;0,VLOOKUP($O317,Dep!$A:$M,3),"")</f>
        <v>07:50</v>
      </c>
      <c r="Q317" t="str">
        <f>IF(O317&gt;0,VLOOKUP($O317,Dep!$A:$M,6),"")</f>
        <v>SJC</v>
      </c>
      <c r="R317" t="str">
        <f>IF(O317&gt;0,VLOOKUP($O317,Dep!$A:$M,7),"")</f>
        <v>M80</v>
      </c>
      <c r="S317">
        <f>IF(O317&gt;0,VLOOKUP($O317,Dep!$A:$M,9),"")</f>
        <v>112</v>
      </c>
      <c r="T317" t="str">
        <f>IF(O317&gt;0,VLOOKUP($O317,Dep!$A:$M,10),"")</f>
        <v>NAT</v>
      </c>
      <c r="U317" t="str">
        <f>IF(O317&gt;0,VLOOKUP($O317,Dep!$A:$M,12),"")</f>
        <v>AS</v>
      </c>
      <c r="V317" t="str">
        <f t="shared" si="55"/>
        <v/>
      </c>
      <c r="W317" t="str">
        <f t="shared" si="56"/>
        <v/>
      </c>
      <c r="X317" t="str">
        <f t="shared" si="57"/>
        <v>X</v>
      </c>
      <c r="Y317">
        <f t="shared" si="52"/>
        <v>0</v>
      </c>
      <c r="Z317">
        <f t="shared" si="58"/>
        <v>1</v>
      </c>
      <c r="AA317" s="20">
        <f t="shared" si="53"/>
        <v>0.32777777777777795</v>
      </c>
      <c r="AB317">
        <f t="shared" si="59"/>
        <v>316</v>
      </c>
      <c r="AC317" s="20" t="str">
        <f t="shared" si="60"/>
        <v>23:58</v>
      </c>
      <c r="AD317" s="20" t="str">
        <f t="shared" si="54"/>
        <v>07:50</v>
      </c>
      <c r="AE317" t="str">
        <f>VLOOKUP(G317,ACtypes!A:C,3,FALSE)</f>
        <v>C</v>
      </c>
      <c r="AF317" t="str">
        <f t="shared" si="61"/>
        <v/>
      </c>
      <c r="AG317" t="str">
        <f t="shared" si="62"/>
        <v/>
      </c>
      <c r="AH317">
        <f t="shared" si="63"/>
        <v>112</v>
      </c>
    </row>
    <row r="318" spans="1:34" x14ac:dyDescent="0.3">
      <c r="A318" s="41">
        <f t="shared" si="64"/>
        <v>317</v>
      </c>
      <c r="B318" s="27">
        <v>176</v>
      </c>
      <c r="C318" s="28" t="s">
        <v>239</v>
      </c>
      <c r="D318" s="28" t="s">
        <v>13</v>
      </c>
      <c r="E318" s="28" t="s">
        <v>247</v>
      </c>
      <c r="F318" s="28" t="s">
        <v>15</v>
      </c>
      <c r="G318" s="28" t="s">
        <v>245</v>
      </c>
      <c r="H318" s="27">
        <v>0</v>
      </c>
      <c r="I318" s="27">
        <v>125</v>
      </c>
      <c r="J318" s="28" t="s">
        <v>17</v>
      </c>
      <c r="K318" s="27">
        <v>25</v>
      </c>
      <c r="L318" s="28" t="s">
        <v>250</v>
      </c>
      <c r="M318" s="27">
        <v>0</v>
      </c>
      <c r="O318" s="23">
        <v>317</v>
      </c>
      <c r="P318" t="str">
        <f>IF(O318&gt;0,VLOOKUP($O318,Dep!$A:$M,3),"")</f>
        <v>13:50</v>
      </c>
      <c r="Q318" t="str">
        <f>IF(O318&gt;0,VLOOKUP($O318,Dep!$A:$M,6),"")</f>
        <v>JFK</v>
      </c>
      <c r="R318" t="str">
        <f>IF(O318&gt;0,VLOOKUP($O318,Dep!$A:$M,7),"")</f>
        <v>320</v>
      </c>
      <c r="S318">
        <f>IF(O318&gt;0,VLOOKUP($O318,Dep!$A:$M,9),"")</f>
        <v>125</v>
      </c>
      <c r="T318" t="str">
        <f>IF(O318&gt;0,VLOOKUP($O318,Dep!$A:$M,10),"")</f>
        <v>NAT</v>
      </c>
      <c r="U318" t="str">
        <f>IF(O318&gt;0,VLOOKUP($O318,Dep!$A:$M,12),"")</f>
        <v>B6</v>
      </c>
      <c r="V318" t="str">
        <f t="shared" si="55"/>
        <v/>
      </c>
      <c r="W318" t="str">
        <f t="shared" si="56"/>
        <v/>
      </c>
      <c r="X318" t="str">
        <f t="shared" si="57"/>
        <v/>
      </c>
      <c r="Y318">
        <f t="shared" si="52"/>
        <v>0</v>
      </c>
      <c r="Z318" t="str">
        <f t="shared" si="58"/>
        <v/>
      </c>
      <c r="AA318" s="20">
        <f t="shared" si="53"/>
        <v>7.2916666666666741E-2</v>
      </c>
      <c r="AB318">
        <f t="shared" si="59"/>
        <v>317</v>
      </c>
      <c r="AC318" s="20" t="str">
        <f t="shared" si="60"/>
        <v>12:05</v>
      </c>
      <c r="AD318" s="20" t="str">
        <f t="shared" si="54"/>
        <v>13:50</v>
      </c>
      <c r="AE318" t="str">
        <f>VLOOKUP(G318,ACtypes!A:C,3,FALSE)</f>
        <v>C</v>
      </c>
      <c r="AF318" t="str">
        <f t="shared" si="61"/>
        <v/>
      </c>
      <c r="AG318" t="str">
        <f t="shared" si="62"/>
        <v/>
      </c>
      <c r="AH318">
        <f t="shared" si="63"/>
        <v>125</v>
      </c>
    </row>
    <row r="319" spans="1:34" x14ac:dyDescent="0.3">
      <c r="A319" s="41">
        <f t="shared" si="64"/>
        <v>318</v>
      </c>
      <c r="B319" s="27">
        <v>177</v>
      </c>
      <c r="C319" s="28" t="s">
        <v>251</v>
      </c>
      <c r="D319" s="28" t="s">
        <v>13</v>
      </c>
      <c r="E319" s="28" t="s">
        <v>247</v>
      </c>
      <c r="F319" s="28" t="s">
        <v>15</v>
      </c>
      <c r="G319" s="28" t="s">
        <v>245</v>
      </c>
      <c r="H319" s="27">
        <v>0</v>
      </c>
      <c r="I319" s="27">
        <v>125</v>
      </c>
      <c r="J319" s="28" t="s">
        <v>17</v>
      </c>
      <c r="K319" s="27">
        <v>25</v>
      </c>
      <c r="L319" s="28" t="s">
        <v>250</v>
      </c>
      <c r="M319" s="27">
        <v>0</v>
      </c>
      <c r="O319" s="23">
        <v>318</v>
      </c>
      <c r="P319" t="str">
        <f>IF(O319&gt;0,VLOOKUP($O319,Dep!$A:$M,3),"")</f>
        <v>23:59</v>
      </c>
      <c r="Q319" t="str">
        <f>IF(O319&gt;0,VLOOKUP($O319,Dep!$A:$M,6),"")</f>
        <v>JFK</v>
      </c>
      <c r="R319" t="str">
        <f>IF(O319&gt;0,VLOOKUP($O319,Dep!$A:$M,7),"")</f>
        <v>320</v>
      </c>
      <c r="S319">
        <f>IF(O319&gt;0,VLOOKUP($O319,Dep!$A:$M,9),"")</f>
        <v>125</v>
      </c>
      <c r="T319" t="str">
        <f>IF(O319&gt;0,VLOOKUP($O319,Dep!$A:$M,10),"")</f>
        <v>NAT</v>
      </c>
      <c r="U319" t="str">
        <f>IF(O319&gt;0,VLOOKUP($O319,Dep!$A:$M,12),"")</f>
        <v>B6</v>
      </c>
      <c r="V319" t="str">
        <f t="shared" si="55"/>
        <v/>
      </c>
      <c r="W319" t="str">
        <f t="shared" si="56"/>
        <v/>
      </c>
      <c r="X319" t="str">
        <f t="shared" si="57"/>
        <v/>
      </c>
      <c r="Y319">
        <f t="shared" si="52"/>
        <v>0</v>
      </c>
      <c r="Z319" t="str">
        <f t="shared" si="58"/>
        <v/>
      </c>
      <c r="AA319" s="20">
        <f t="shared" si="53"/>
        <v>4.166666666666663E-2</v>
      </c>
      <c r="AB319">
        <f t="shared" si="59"/>
        <v>318</v>
      </c>
      <c r="AC319" s="20" t="str">
        <f t="shared" si="60"/>
        <v>22:59</v>
      </c>
      <c r="AD319" s="20" t="str">
        <f t="shared" si="54"/>
        <v>23:59</v>
      </c>
      <c r="AE319" t="str">
        <f>VLOOKUP(G319,ACtypes!A:C,3,FALSE)</f>
        <v>C</v>
      </c>
      <c r="AF319" t="str">
        <f t="shared" si="61"/>
        <v/>
      </c>
      <c r="AG319" t="str">
        <f t="shared" si="62"/>
        <v/>
      </c>
      <c r="AH319">
        <f t="shared" si="63"/>
        <v>125</v>
      </c>
    </row>
    <row r="320" spans="1:34" x14ac:dyDescent="0.3">
      <c r="A320" s="41">
        <f t="shared" si="64"/>
        <v>319</v>
      </c>
      <c r="B320" s="27">
        <v>225</v>
      </c>
      <c r="C320" s="28" t="s">
        <v>295</v>
      </c>
      <c r="D320" s="28" t="s">
        <v>13</v>
      </c>
      <c r="E320" s="28" t="s">
        <v>296</v>
      </c>
      <c r="F320" s="28" t="s">
        <v>15</v>
      </c>
      <c r="G320" s="28" t="s">
        <v>297</v>
      </c>
      <c r="H320" s="27">
        <v>0</v>
      </c>
      <c r="I320" s="27">
        <v>321</v>
      </c>
      <c r="J320" s="28" t="s">
        <v>28</v>
      </c>
      <c r="K320" s="27">
        <v>25</v>
      </c>
      <c r="L320" s="28" t="s">
        <v>298</v>
      </c>
      <c r="M320" s="27">
        <v>17.100000000000001</v>
      </c>
      <c r="O320" s="23">
        <v>319</v>
      </c>
      <c r="P320" t="str">
        <f>IF(O320&gt;0,VLOOKUP($O320,Dep!$A:$M,3),"")</f>
        <v>18:40</v>
      </c>
      <c r="Q320" t="str">
        <f>IF(O320&gt;0,VLOOKUP($O320,Dep!$A:$M,6),"")</f>
        <v>LHR</v>
      </c>
      <c r="R320" t="str">
        <f>IF(O320&gt;0,VLOOKUP($O320,Dep!$A:$M,7),"")</f>
        <v>744</v>
      </c>
      <c r="S320">
        <f>IF(O320&gt;0,VLOOKUP($O320,Dep!$A:$M,9),"")</f>
        <v>321</v>
      </c>
      <c r="T320" t="str">
        <f>IF(O320&gt;0,VLOOKUP($O320,Dep!$A:$M,10),"")</f>
        <v>INT</v>
      </c>
      <c r="U320" t="str">
        <f>IF(O320&gt;0,VLOOKUP($O320,Dep!$A:$M,12),"")</f>
        <v>BA</v>
      </c>
      <c r="V320" t="str">
        <f t="shared" si="55"/>
        <v/>
      </c>
      <c r="W320" t="str">
        <f t="shared" si="56"/>
        <v/>
      </c>
      <c r="X320" t="str">
        <f t="shared" si="57"/>
        <v/>
      </c>
      <c r="Y320">
        <f t="shared" si="52"/>
        <v>0</v>
      </c>
      <c r="Z320" t="str">
        <f t="shared" si="58"/>
        <v/>
      </c>
      <c r="AA320" s="20">
        <f t="shared" si="53"/>
        <v>0.10069444444444442</v>
      </c>
      <c r="AB320">
        <f t="shared" si="59"/>
        <v>319</v>
      </c>
      <c r="AC320" s="20" t="str">
        <f t="shared" si="60"/>
        <v>16:15</v>
      </c>
      <c r="AD320" s="20" t="str">
        <f t="shared" si="54"/>
        <v>18:40</v>
      </c>
      <c r="AE320" t="str">
        <f>VLOOKUP(G320,ACtypes!A:C,3,FALSE)</f>
        <v>E</v>
      </c>
      <c r="AF320">
        <f t="shared" si="61"/>
        <v>1</v>
      </c>
      <c r="AG320">
        <f t="shared" si="62"/>
        <v>1</v>
      </c>
      <c r="AH320">
        <f t="shared" si="63"/>
        <v>321</v>
      </c>
    </row>
    <row r="321" spans="1:34" x14ac:dyDescent="0.3">
      <c r="A321" s="41">
        <f t="shared" si="64"/>
        <v>320</v>
      </c>
      <c r="B321" s="27">
        <v>113</v>
      </c>
      <c r="C321" s="28" t="s">
        <v>174</v>
      </c>
      <c r="D321" s="28" t="s">
        <v>13</v>
      </c>
      <c r="E321" s="28" t="s">
        <v>172</v>
      </c>
      <c r="F321" s="28" t="s">
        <v>15</v>
      </c>
      <c r="G321" s="28" t="s">
        <v>175</v>
      </c>
      <c r="H321" s="27">
        <v>0</v>
      </c>
      <c r="I321" s="27">
        <v>218</v>
      </c>
      <c r="J321" s="28" t="s">
        <v>17</v>
      </c>
      <c r="K321" s="27">
        <v>25</v>
      </c>
      <c r="L321" s="28" t="s">
        <v>176</v>
      </c>
      <c r="M321" s="27">
        <v>54.5</v>
      </c>
      <c r="O321" s="23">
        <v>320</v>
      </c>
      <c r="P321" t="str">
        <f>IF(O321&gt;0,VLOOKUP($O321,Dep!$A:$M,3),"")</f>
        <v>04:20</v>
      </c>
      <c r="Q321" t="str">
        <f>IF(O321&gt;0,VLOOKUP($O321,Dep!$A:$M,6),"")</f>
        <v>TPE</v>
      </c>
      <c r="R321" t="str">
        <f>IF(O321&gt;0,VLOOKUP($O321,Dep!$A:$M,7),"")</f>
        <v>74E</v>
      </c>
      <c r="S321">
        <f>IF(O321&gt;0,VLOOKUP($O321,Dep!$A:$M,9),"")</f>
        <v>218</v>
      </c>
      <c r="T321" t="str">
        <f>IF(O321&gt;0,VLOOKUP($O321,Dep!$A:$M,10),"")</f>
        <v>INT</v>
      </c>
      <c r="U321" t="str">
        <f>IF(O321&gt;0,VLOOKUP($O321,Dep!$A:$M,12),"")</f>
        <v>BR</v>
      </c>
      <c r="V321" t="str">
        <f t="shared" si="55"/>
        <v/>
      </c>
      <c r="W321" t="str">
        <f t="shared" si="56"/>
        <v/>
      </c>
      <c r="X321" t="str">
        <f t="shared" si="57"/>
        <v>X</v>
      </c>
      <c r="Y321">
        <f t="shared" si="52"/>
        <v>0</v>
      </c>
      <c r="Z321" t="str">
        <f t="shared" si="58"/>
        <v/>
      </c>
      <c r="AA321" s="20">
        <f t="shared" si="53"/>
        <v>6.2499999999999986E-2</v>
      </c>
      <c r="AB321">
        <f t="shared" si="59"/>
        <v>320</v>
      </c>
      <c r="AC321" s="20" t="str">
        <f t="shared" si="60"/>
        <v>02:50</v>
      </c>
      <c r="AD321" s="20" t="str">
        <f t="shared" si="54"/>
        <v>04:20</v>
      </c>
      <c r="AE321" t="str">
        <f>VLOOKUP(G321,ACtypes!A:C,3,FALSE)</f>
        <v>E</v>
      </c>
      <c r="AF321" t="str">
        <f t="shared" si="61"/>
        <v/>
      </c>
      <c r="AG321">
        <f t="shared" si="62"/>
        <v>1</v>
      </c>
      <c r="AH321">
        <f t="shared" si="63"/>
        <v>218</v>
      </c>
    </row>
    <row r="322" spans="1:34" x14ac:dyDescent="0.3">
      <c r="A322" s="41">
        <f t="shared" si="64"/>
        <v>321</v>
      </c>
      <c r="B322" s="27">
        <v>950</v>
      </c>
      <c r="C322" s="28" t="s">
        <v>142</v>
      </c>
      <c r="D322" s="28" t="s">
        <v>13</v>
      </c>
      <c r="E322" s="28" t="s">
        <v>523</v>
      </c>
      <c r="F322" s="28" t="s">
        <v>15</v>
      </c>
      <c r="G322" s="28" t="s">
        <v>175</v>
      </c>
      <c r="H322" s="27">
        <v>0</v>
      </c>
      <c r="I322" s="27">
        <v>218</v>
      </c>
      <c r="J322" s="28" t="s">
        <v>28</v>
      </c>
      <c r="K322" s="27">
        <v>25</v>
      </c>
      <c r="L322" s="28" t="s">
        <v>176</v>
      </c>
      <c r="M322" s="27">
        <v>54.5</v>
      </c>
      <c r="O322" s="23">
        <v>321</v>
      </c>
      <c r="P322" t="str">
        <f>IF(O322&gt;0,VLOOKUP($O322,Dep!$A:$M,3),"")</f>
        <v>15:35</v>
      </c>
      <c r="Q322" t="str">
        <f>IF(O322&gt;0,VLOOKUP($O322,Dep!$A:$M,6),"")</f>
        <v>EWR</v>
      </c>
      <c r="R322" t="str">
        <f>IF(O322&gt;0,VLOOKUP($O322,Dep!$A:$M,7),"")</f>
        <v>74E</v>
      </c>
      <c r="S322">
        <f>IF(O322&gt;0,VLOOKUP($O322,Dep!$A:$M,9),"")</f>
        <v>218</v>
      </c>
      <c r="T322" t="str">
        <f>IF(O322&gt;0,VLOOKUP($O322,Dep!$A:$M,10),"")</f>
        <v>NAT</v>
      </c>
      <c r="U322" t="str">
        <f>IF(O322&gt;0,VLOOKUP($O322,Dep!$A:$M,12),"")</f>
        <v>BR</v>
      </c>
      <c r="V322" t="str">
        <f t="shared" si="55"/>
        <v/>
      </c>
      <c r="W322" t="str">
        <f t="shared" si="56"/>
        <v/>
      </c>
      <c r="X322" t="str">
        <f t="shared" si="57"/>
        <v>X</v>
      </c>
      <c r="Y322">
        <f t="shared" ref="Y322:Y385" si="65">IF(O322&gt;0,S322-I322,"")</f>
        <v>0</v>
      </c>
      <c r="Z322" t="str">
        <f t="shared" si="58"/>
        <v/>
      </c>
      <c r="AA322" s="20">
        <f t="shared" ref="AA322:AA385" si="66">IF(O322&gt;0,IF(P322-C322&gt;0,P322-C322,P322-C322+1),"")</f>
        <v>6.597222222222221E-2</v>
      </c>
      <c r="AB322">
        <f t="shared" si="59"/>
        <v>321</v>
      </c>
      <c r="AC322" s="20" t="str">
        <f t="shared" si="60"/>
        <v>14:00</v>
      </c>
      <c r="AD322" s="20" t="str">
        <f t="shared" ref="AD322:AD385" si="67">IF(O322&gt;0,P322,AC322+1/24)</f>
        <v>15:35</v>
      </c>
      <c r="AE322" t="str">
        <f>VLOOKUP(G322,ACtypes!A:C,3,FALSE)</f>
        <v>E</v>
      </c>
      <c r="AF322">
        <f t="shared" si="61"/>
        <v>1</v>
      </c>
      <c r="AG322" t="str">
        <f t="shared" si="62"/>
        <v/>
      </c>
      <c r="AH322">
        <f t="shared" si="63"/>
        <v>218</v>
      </c>
    </row>
    <row r="323" spans="1:34" x14ac:dyDescent="0.3">
      <c r="A323" s="41">
        <f t="shared" si="64"/>
        <v>322</v>
      </c>
      <c r="B323" s="27">
        <v>949</v>
      </c>
      <c r="C323" s="28" t="s">
        <v>132</v>
      </c>
      <c r="D323" s="28" t="s">
        <v>13</v>
      </c>
      <c r="E323" s="28" t="s">
        <v>523</v>
      </c>
      <c r="F323" s="28" t="s">
        <v>15</v>
      </c>
      <c r="G323" s="28" t="s">
        <v>115</v>
      </c>
      <c r="H323" s="27">
        <v>0</v>
      </c>
      <c r="I323" s="27">
        <v>212</v>
      </c>
      <c r="J323" s="28" t="s">
        <v>28</v>
      </c>
      <c r="K323" s="27">
        <v>25</v>
      </c>
      <c r="L323" s="28" t="s">
        <v>524</v>
      </c>
      <c r="M323" s="27">
        <v>12</v>
      </c>
      <c r="O323" s="23">
        <v>322</v>
      </c>
      <c r="P323" t="str">
        <f>IF(O323&gt;0,VLOOKUP($O323,Dep!$A:$M,3),"")</f>
        <v>15:00</v>
      </c>
      <c r="Q323" t="str">
        <f>IF(O323&gt;0,VLOOKUP($O323,Dep!$A:$M,6),"")</f>
        <v>IAH</v>
      </c>
      <c r="R323" t="str">
        <f>IF(O323&gt;0,VLOOKUP($O323,Dep!$A:$M,7),"")</f>
        <v>343</v>
      </c>
      <c r="S323">
        <f>IF(O323&gt;0,VLOOKUP($O323,Dep!$A:$M,9),"")</f>
        <v>212</v>
      </c>
      <c r="T323" t="str">
        <f>IF(O323&gt;0,VLOOKUP($O323,Dep!$A:$M,10),"")</f>
        <v>NAT</v>
      </c>
      <c r="U323" t="str">
        <f>IF(O323&gt;0,VLOOKUP($O323,Dep!$A:$M,12),"")</f>
        <v>CI</v>
      </c>
      <c r="V323" t="str">
        <f t="shared" ref="V323:V386" si="68">IF(O323&gt;0,IF(R323=G323,"","X"),"")</f>
        <v/>
      </c>
      <c r="W323" t="str">
        <f t="shared" ref="W323:W386" si="69">IF(O323&gt;0,IF(U323=L323,"","X"),"")</f>
        <v/>
      </c>
      <c r="X323" t="str">
        <f t="shared" ref="X323:X386" si="70">IF(O323&gt;0,IF(Q323=E323,"","X"),"")</f>
        <v>X</v>
      </c>
      <c r="Y323">
        <f t="shared" si="65"/>
        <v>0</v>
      </c>
      <c r="Z323" t="str">
        <f t="shared" ref="Z323:Z386" si="71">IF(O323&gt;0,IF(P323&lt;C323,1,""),"")</f>
        <v/>
      </c>
      <c r="AA323" s="20">
        <f t="shared" si="66"/>
        <v>8.333333333333337E-2</v>
      </c>
      <c r="AB323">
        <f t="shared" ref="AB323:AB386" si="72">A323</f>
        <v>322</v>
      </c>
      <c r="AC323" s="20" t="str">
        <f t="shared" ref="AC323:AC386" si="73">C323</f>
        <v>13:00</v>
      </c>
      <c r="AD323" s="20" t="str">
        <f t="shared" si="67"/>
        <v>15:00</v>
      </c>
      <c r="AE323" t="str">
        <f>VLOOKUP(G323,ACtypes!A:C,3,FALSE)</f>
        <v>E</v>
      </c>
      <c r="AF323">
        <f t="shared" ref="AF323:AF386" si="74">IF(J323="INT",1,"")</f>
        <v>1</v>
      </c>
      <c r="AG323" t="str">
        <f t="shared" ref="AG323:AG386" si="75">IF(T323="INT",1,"")</f>
        <v/>
      </c>
      <c r="AH323">
        <f t="shared" ref="AH323:AH386" si="76">I323</f>
        <v>212</v>
      </c>
    </row>
    <row r="324" spans="1:34" x14ac:dyDescent="0.3">
      <c r="A324" s="41">
        <f t="shared" ref="A324:A387" si="77">A323+1</f>
        <v>323</v>
      </c>
      <c r="B324" s="27">
        <v>167</v>
      </c>
      <c r="C324" s="28" t="s">
        <v>235</v>
      </c>
      <c r="D324" s="28" t="s">
        <v>13</v>
      </c>
      <c r="E324" s="28" t="s">
        <v>232</v>
      </c>
      <c r="F324" s="28" t="s">
        <v>15</v>
      </c>
      <c r="G324" s="28" t="s">
        <v>16</v>
      </c>
      <c r="H324" s="27">
        <v>0</v>
      </c>
      <c r="I324" s="27">
        <v>99</v>
      </c>
      <c r="J324" s="28" t="s">
        <v>17</v>
      </c>
      <c r="K324" s="27">
        <v>25</v>
      </c>
      <c r="L324" s="28" t="s">
        <v>35</v>
      </c>
      <c r="M324" s="27">
        <v>13.5</v>
      </c>
      <c r="O324" s="23">
        <v>323</v>
      </c>
      <c r="P324" t="str">
        <f>IF(O324&gt;0,VLOOKUP($O324,Dep!$A:$M,3),"")</f>
        <v>07:15</v>
      </c>
      <c r="Q324" t="str">
        <f>IF(O324&gt;0,VLOOKUP($O324,Dep!$A:$M,6),"")</f>
        <v>IAH</v>
      </c>
      <c r="R324" t="str">
        <f>IF(O324&gt;0,VLOOKUP($O324,Dep!$A:$M,7),"")</f>
        <v>733</v>
      </c>
      <c r="S324">
        <f>IF(O324&gt;0,VLOOKUP($O324,Dep!$A:$M,9),"")</f>
        <v>99</v>
      </c>
      <c r="T324" t="str">
        <f>IF(O324&gt;0,VLOOKUP($O324,Dep!$A:$M,10),"")</f>
        <v>NAT</v>
      </c>
      <c r="U324" t="str">
        <f>IF(O324&gt;0,VLOOKUP($O324,Dep!$A:$M,12),"")</f>
        <v>CO</v>
      </c>
      <c r="V324" t="str">
        <f t="shared" si="68"/>
        <v/>
      </c>
      <c r="W324" t="str">
        <f t="shared" si="69"/>
        <v/>
      </c>
      <c r="X324" t="str">
        <f t="shared" si="70"/>
        <v/>
      </c>
      <c r="Y324">
        <f t="shared" si="65"/>
        <v>0</v>
      </c>
      <c r="Z324">
        <f t="shared" si="71"/>
        <v>1</v>
      </c>
      <c r="AA324" s="20">
        <f t="shared" si="66"/>
        <v>0.39236111111111116</v>
      </c>
      <c r="AB324">
        <f t="shared" si="72"/>
        <v>323</v>
      </c>
      <c r="AC324" s="20" t="str">
        <f t="shared" si="73"/>
        <v>21:50</v>
      </c>
      <c r="AD324" s="20" t="str">
        <f t="shared" si="67"/>
        <v>07:15</v>
      </c>
      <c r="AE324" t="str">
        <f>VLOOKUP(G324,ACtypes!A:C,3,FALSE)</f>
        <v>C</v>
      </c>
      <c r="AF324" t="str">
        <f t="shared" si="74"/>
        <v/>
      </c>
      <c r="AG324" t="str">
        <f t="shared" si="75"/>
        <v/>
      </c>
      <c r="AH324">
        <f t="shared" si="76"/>
        <v>99</v>
      </c>
    </row>
    <row r="325" spans="1:34" x14ac:dyDescent="0.3">
      <c r="A325" s="41">
        <f t="shared" si="77"/>
        <v>324</v>
      </c>
      <c r="B325" s="27">
        <v>169</v>
      </c>
      <c r="C325" s="28" t="s">
        <v>237</v>
      </c>
      <c r="D325" s="28" t="s">
        <v>13</v>
      </c>
      <c r="E325" s="28" t="s">
        <v>232</v>
      </c>
      <c r="F325" s="28" t="s">
        <v>15</v>
      </c>
      <c r="G325" s="28" t="s">
        <v>70</v>
      </c>
      <c r="H325" s="27">
        <v>0</v>
      </c>
      <c r="I325" s="27">
        <v>124</v>
      </c>
      <c r="J325" s="28" t="s">
        <v>17</v>
      </c>
      <c r="K325" s="27">
        <v>25</v>
      </c>
      <c r="L325" s="28" t="s">
        <v>35</v>
      </c>
      <c r="M325" s="27">
        <v>17.3</v>
      </c>
      <c r="O325" s="23">
        <v>325</v>
      </c>
      <c r="P325" t="str">
        <f>IF(O325&gt;0,VLOOKUP($O325,Dep!$A:$M,3),"")</f>
        <v>11:00</v>
      </c>
      <c r="Q325" t="str">
        <f>IF(O325&gt;0,VLOOKUP($O325,Dep!$A:$M,6),"")</f>
        <v>EWR</v>
      </c>
      <c r="R325" t="str">
        <f>IF(O325&gt;0,VLOOKUP($O325,Dep!$A:$M,7),"")</f>
        <v>738</v>
      </c>
      <c r="S325">
        <f>IF(O325&gt;0,VLOOKUP($O325,Dep!$A:$M,9),"")</f>
        <v>124</v>
      </c>
      <c r="T325" t="str">
        <f>IF(O325&gt;0,VLOOKUP($O325,Dep!$A:$M,10),"")</f>
        <v>NAT</v>
      </c>
      <c r="U325" t="str">
        <f>IF(O325&gt;0,VLOOKUP($O325,Dep!$A:$M,12),"")</f>
        <v>CO</v>
      </c>
      <c r="V325" t="str">
        <f t="shared" si="68"/>
        <v/>
      </c>
      <c r="W325" t="str">
        <f t="shared" si="69"/>
        <v/>
      </c>
      <c r="X325" t="str">
        <f t="shared" si="70"/>
        <v>X</v>
      </c>
      <c r="Y325">
        <f t="shared" si="65"/>
        <v>0</v>
      </c>
      <c r="Z325" t="str">
        <f t="shared" si="71"/>
        <v/>
      </c>
      <c r="AA325" s="20">
        <f t="shared" si="66"/>
        <v>3.3333333333333326E-2</v>
      </c>
      <c r="AB325">
        <f t="shared" si="72"/>
        <v>324</v>
      </c>
      <c r="AC325" s="20" t="str">
        <f t="shared" si="73"/>
        <v>10:12</v>
      </c>
      <c r="AD325" s="20" t="str">
        <f t="shared" si="67"/>
        <v>11:00</v>
      </c>
      <c r="AE325" t="str">
        <f>VLOOKUP(G325,ACtypes!A:C,3,FALSE)</f>
        <v>C</v>
      </c>
      <c r="AF325" t="str">
        <f t="shared" si="74"/>
        <v/>
      </c>
      <c r="AG325" t="str">
        <f t="shared" si="75"/>
        <v/>
      </c>
      <c r="AH325">
        <f t="shared" si="76"/>
        <v>124</v>
      </c>
    </row>
    <row r="326" spans="1:34" x14ac:dyDescent="0.3">
      <c r="A326" s="41">
        <f t="shared" si="77"/>
        <v>325</v>
      </c>
      <c r="B326" s="27">
        <v>117</v>
      </c>
      <c r="C326" s="28" t="s">
        <v>178</v>
      </c>
      <c r="D326" s="28" t="s">
        <v>13</v>
      </c>
      <c r="E326" s="28" t="s">
        <v>172</v>
      </c>
      <c r="F326" s="28" t="s">
        <v>15</v>
      </c>
      <c r="G326" s="28" t="s">
        <v>70</v>
      </c>
      <c r="H326" s="27">
        <v>0</v>
      </c>
      <c r="I326" s="27">
        <v>124</v>
      </c>
      <c r="J326" s="28" t="s">
        <v>17</v>
      </c>
      <c r="K326" s="27">
        <v>25</v>
      </c>
      <c r="L326" s="28" t="s">
        <v>35</v>
      </c>
      <c r="M326" s="27">
        <v>17.3</v>
      </c>
      <c r="O326" s="23">
        <v>326</v>
      </c>
      <c r="P326" t="str">
        <f>IF(O326&gt;0,VLOOKUP($O326,Dep!$A:$M,3),"")</f>
        <v>11:45</v>
      </c>
      <c r="Q326" t="str">
        <f>IF(O326&gt;0,VLOOKUP($O326,Dep!$A:$M,6),"")</f>
        <v>IAH</v>
      </c>
      <c r="R326" t="str">
        <f>IF(O326&gt;0,VLOOKUP($O326,Dep!$A:$M,7),"")</f>
        <v>738</v>
      </c>
      <c r="S326">
        <f>IF(O326&gt;0,VLOOKUP($O326,Dep!$A:$M,9),"")</f>
        <v>124</v>
      </c>
      <c r="T326" t="str">
        <f>IF(O326&gt;0,VLOOKUP($O326,Dep!$A:$M,10),"")</f>
        <v>NAT</v>
      </c>
      <c r="U326" t="str">
        <f>IF(O326&gt;0,VLOOKUP($O326,Dep!$A:$M,12),"")</f>
        <v>CO</v>
      </c>
      <c r="V326" t="str">
        <f t="shared" si="68"/>
        <v/>
      </c>
      <c r="W326" t="str">
        <f t="shared" si="69"/>
        <v/>
      </c>
      <c r="X326" t="str">
        <f t="shared" si="70"/>
        <v>X</v>
      </c>
      <c r="Y326">
        <f t="shared" si="65"/>
        <v>0</v>
      </c>
      <c r="Z326" t="str">
        <f t="shared" si="71"/>
        <v/>
      </c>
      <c r="AA326" s="20">
        <f t="shared" si="66"/>
        <v>3.472222222222221E-2</v>
      </c>
      <c r="AB326">
        <f t="shared" si="72"/>
        <v>325</v>
      </c>
      <c r="AC326" s="20" t="str">
        <f t="shared" si="73"/>
        <v>10:55</v>
      </c>
      <c r="AD326" s="20" t="str">
        <f t="shared" si="67"/>
        <v>11:45</v>
      </c>
      <c r="AE326" t="str">
        <f>VLOOKUP(G326,ACtypes!A:C,3,FALSE)</f>
        <v>C</v>
      </c>
      <c r="AF326" t="str">
        <f t="shared" si="74"/>
        <v/>
      </c>
      <c r="AG326" t="str">
        <f t="shared" si="75"/>
        <v/>
      </c>
      <c r="AH326">
        <f t="shared" si="76"/>
        <v>124</v>
      </c>
    </row>
    <row r="327" spans="1:34" x14ac:dyDescent="0.3">
      <c r="A327" s="41">
        <f t="shared" si="77"/>
        <v>326</v>
      </c>
      <c r="B327" s="27">
        <v>170</v>
      </c>
      <c r="C327" s="28" t="s">
        <v>238</v>
      </c>
      <c r="D327" s="28" t="s">
        <v>13</v>
      </c>
      <c r="E327" s="28" t="s">
        <v>232</v>
      </c>
      <c r="F327" s="28" t="s">
        <v>15</v>
      </c>
      <c r="G327" s="28" t="s">
        <v>70</v>
      </c>
      <c r="H327" s="27">
        <v>0</v>
      </c>
      <c r="I327" s="27">
        <v>124</v>
      </c>
      <c r="J327" s="28" t="s">
        <v>17</v>
      </c>
      <c r="K327" s="27">
        <v>25</v>
      </c>
      <c r="L327" s="28" t="s">
        <v>35</v>
      </c>
      <c r="M327" s="27">
        <v>17.3</v>
      </c>
      <c r="O327" s="23">
        <v>327</v>
      </c>
      <c r="P327" t="str">
        <f>IF(O327&gt;0,VLOOKUP($O327,Dep!$A:$M,3),"")</f>
        <v>15:30</v>
      </c>
      <c r="Q327" t="str">
        <f>IF(O327&gt;0,VLOOKUP($O327,Dep!$A:$M,6),"")</f>
        <v>EWR</v>
      </c>
      <c r="R327" t="str">
        <f>IF(O327&gt;0,VLOOKUP($O327,Dep!$A:$M,7),"")</f>
        <v>738</v>
      </c>
      <c r="S327">
        <f>IF(O327&gt;0,VLOOKUP($O327,Dep!$A:$M,9),"")</f>
        <v>124</v>
      </c>
      <c r="T327" t="str">
        <f>IF(O327&gt;0,VLOOKUP($O327,Dep!$A:$M,10),"")</f>
        <v>NAT</v>
      </c>
      <c r="U327" t="str">
        <f>IF(O327&gt;0,VLOOKUP($O327,Dep!$A:$M,12),"")</f>
        <v>CO</v>
      </c>
      <c r="V327" t="str">
        <f t="shared" si="68"/>
        <v/>
      </c>
      <c r="W327" t="str">
        <f t="shared" si="69"/>
        <v/>
      </c>
      <c r="X327" t="str">
        <f t="shared" si="70"/>
        <v>X</v>
      </c>
      <c r="Y327">
        <f t="shared" si="65"/>
        <v>0</v>
      </c>
      <c r="Z327" t="str">
        <f t="shared" si="71"/>
        <v/>
      </c>
      <c r="AA327" s="20">
        <f t="shared" si="66"/>
        <v>4.1666666666666741E-2</v>
      </c>
      <c r="AB327">
        <f t="shared" si="72"/>
        <v>326</v>
      </c>
      <c r="AC327" s="20" t="str">
        <f t="shared" si="73"/>
        <v>14:30</v>
      </c>
      <c r="AD327" s="20" t="str">
        <f t="shared" si="67"/>
        <v>15:30</v>
      </c>
      <c r="AE327" t="str">
        <f>VLOOKUP(G327,ACtypes!A:C,3,FALSE)</f>
        <v>C</v>
      </c>
      <c r="AF327" t="str">
        <f t="shared" si="74"/>
        <v/>
      </c>
      <c r="AG327" t="str">
        <f t="shared" si="75"/>
        <v/>
      </c>
      <c r="AH327">
        <f t="shared" si="76"/>
        <v>124</v>
      </c>
    </row>
    <row r="328" spans="1:34" x14ac:dyDescent="0.3">
      <c r="A328" s="41">
        <f t="shared" si="77"/>
        <v>327</v>
      </c>
      <c r="B328" s="27">
        <v>168</v>
      </c>
      <c r="C328" s="28" t="s">
        <v>236</v>
      </c>
      <c r="D328" s="28" t="s">
        <v>13</v>
      </c>
      <c r="E328" s="28" t="s">
        <v>232</v>
      </c>
      <c r="F328" s="28" t="s">
        <v>15</v>
      </c>
      <c r="G328" s="28" t="s">
        <v>70</v>
      </c>
      <c r="H328" s="27">
        <v>0</v>
      </c>
      <c r="I328" s="27">
        <v>124</v>
      </c>
      <c r="J328" s="28" t="s">
        <v>17</v>
      </c>
      <c r="K328" s="27">
        <v>25</v>
      </c>
      <c r="L328" s="28" t="s">
        <v>35</v>
      </c>
      <c r="M328" s="27">
        <v>17.3</v>
      </c>
      <c r="O328" s="23">
        <v>328</v>
      </c>
      <c r="P328" t="str">
        <f>IF(O328&gt;0,VLOOKUP($O328,Dep!$A:$M,3),"")</f>
        <v>17:55</v>
      </c>
      <c r="Q328" t="str">
        <f>IF(O328&gt;0,VLOOKUP($O328,Dep!$A:$M,6),"")</f>
        <v>IAH</v>
      </c>
      <c r="R328" t="str">
        <f>IF(O328&gt;0,VLOOKUP($O328,Dep!$A:$M,7),"")</f>
        <v>738</v>
      </c>
      <c r="S328">
        <f>IF(O328&gt;0,VLOOKUP($O328,Dep!$A:$M,9),"")</f>
        <v>124</v>
      </c>
      <c r="T328" t="str">
        <f>IF(O328&gt;0,VLOOKUP($O328,Dep!$A:$M,10),"")</f>
        <v>NAT</v>
      </c>
      <c r="U328" t="str">
        <f>IF(O328&gt;0,VLOOKUP($O328,Dep!$A:$M,12),"")</f>
        <v>CO</v>
      </c>
      <c r="V328" t="str">
        <f t="shared" si="68"/>
        <v/>
      </c>
      <c r="W328" t="str">
        <f t="shared" si="69"/>
        <v/>
      </c>
      <c r="X328" t="str">
        <f t="shared" si="70"/>
        <v/>
      </c>
      <c r="Y328">
        <f t="shared" si="65"/>
        <v>0</v>
      </c>
      <c r="Z328" t="str">
        <f t="shared" si="71"/>
        <v/>
      </c>
      <c r="AA328" s="20">
        <f t="shared" si="66"/>
        <v>3.7500000000000089E-2</v>
      </c>
      <c r="AB328">
        <f t="shared" si="72"/>
        <v>327</v>
      </c>
      <c r="AC328" s="20" t="str">
        <f t="shared" si="73"/>
        <v>17:01</v>
      </c>
      <c r="AD328" s="20" t="str">
        <f t="shared" si="67"/>
        <v>17:55</v>
      </c>
      <c r="AE328" t="str">
        <f>VLOOKUP(G328,ACtypes!A:C,3,FALSE)</f>
        <v>C</v>
      </c>
      <c r="AF328" t="str">
        <f t="shared" si="74"/>
        <v/>
      </c>
      <c r="AG328" t="str">
        <f t="shared" si="75"/>
        <v/>
      </c>
      <c r="AH328">
        <f t="shared" si="76"/>
        <v>124</v>
      </c>
    </row>
    <row r="329" spans="1:34" x14ac:dyDescent="0.3">
      <c r="A329" s="41">
        <f t="shared" si="77"/>
        <v>328</v>
      </c>
      <c r="B329" s="27">
        <v>116</v>
      </c>
      <c r="C329" s="28" t="s">
        <v>140</v>
      </c>
      <c r="D329" s="28" t="s">
        <v>13</v>
      </c>
      <c r="E329" s="28" t="s">
        <v>172</v>
      </c>
      <c r="F329" s="28" t="s">
        <v>15</v>
      </c>
      <c r="G329" s="28" t="s">
        <v>70</v>
      </c>
      <c r="H329" s="27">
        <v>0</v>
      </c>
      <c r="I329" s="27">
        <v>124</v>
      </c>
      <c r="J329" s="28" t="s">
        <v>17</v>
      </c>
      <c r="K329" s="27">
        <v>25</v>
      </c>
      <c r="L329" s="28" t="s">
        <v>35</v>
      </c>
      <c r="M329" s="27">
        <v>17.3</v>
      </c>
      <c r="O329" s="23">
        <v>324</v>
      </c>
      <c r="P329" t="str">
        <f>IF(O329&gt;0,VLOOKUP($O329,Dep!$A:$M,3),"")</f>
        <v>08:30</v>
      </c>
      <c r="Q329" t="str">
        <f>IF(O329&gt;0,VLOOKUP($O329,Dep!$A:$M,6),"")</f>
        <v>IAH</v>
      </c>
      <c r="R329" t="str">
        <f>IF(O329&gt;0,VLOOKUP($O329,Dep!$A:$M,7),"")</f>
        <v>738</v>
      </c>
      <c r="S329">
        <f>IF(O329&gt;0,VLOOKUP($O329,Dep!$A:$M,9),"")</f>
        <v>124</v>
      </c>
      <c r="T329" t="str">
        <f>IF(O329&gt;0,VLOOKUP($O329,Dep!$A:$M,10),"")</f>
        <v>NAT</v>
      </c>
      <c r="U329" t="str">
        <f>IF(O329&gt;0,VLOOKUP($O329,Dep!$A:$M,12),"")</f>
        <v>CO</v>
      </c>
      <c r="V329" t="str">
        <f t="shared" si="68"/>
        <v/>
      </c>
      <c r="W329" t="str">
        <f t="shared" si="69"/>
        <v/>
      </c>
      <c r="X329" t="str">
        <f t="shared" si="70"/>
        <v>X</v>
      </c>
      <c r="Y329">
        <f t="shared" si="65"/>
        <v>0</v>
      </c>
      <c r="Z329">
        <f t="shared" si="71"/>
        <v>1</v>
      </c>
      <c r="AA329" s="20">
        <f t="shared" si="66"/>
        <v>0.39930555555555558</v>
      </c>
      <c r="AB329">
        <f t="shared" si="72"/>
        <v>328</v>
      </c>
      <c r="AC329" s="20" t="str">
        <f t="shared" si="73"/>
        <v>22:55</v>
      </c>
      <c r="AD329" s="20" t="str">
        <f t="shared" si="67"/>
        <v>08:30</v>
      </c>
      <c r="AE329" t="str">
        <f>VLOOKUP(G329,ACtypes!A:C,3,FALSE)</f>
        <v>C</v>
      </c>
      <c r="AF329" t="str">
        <f t="shared" si="74"/>
        <v/>
      </c>
      <c r="AG329" t="str">
        <f t="shared" si="75"/>
        <v/>
      </c>
      <c r="AH329">
        <f t="shared" si="76"/>
        <v>124</v>
      </c>
    </row>
    <row r="330" spans="1:34" x14ac:dyDescent="0.3">
      <c r="A330" s="41">
        <f t="shared" si="77"/>
        <v>329</v>
      </c>
      <c r="B330" s="27">
        <v>12</v>
      </c>
      <c r="C330" s="28" t="s">
        <v>42</v>
      </c>
      <c r="D330" s="28" t="s">
        <v>13</v>
      </c>
      <c r="E330" s="28" t="s">
        <v>31</v>
      </c>
      <c r="F330" s="28" t="s">
        <v>15</v>
      </c>
      <c r="G330" s="28" t="s">
        <v>43</v>
      </c>
      <c r="H330" s="27">
        <v>0</v>
      </c>
      <c r="I330" s="27">
        <v>134</v>
      </c>
      <c r="J330" s="28" t="s">
        <v>17</v>
      </c>
      <c r="K330" s="27">
        <v>25</v>
      </c>
      <c r="L330" s="28" t="s">
        <v>35</v>
      </c>
      <c r="M330" s="27">
        <v>0</v>
      </c>
      <c r="O330" s="23">
        <v>329</v>
      </c>
      <c r="P330" t="str">
        <f>IF(O330&gt;0,VLOOKUP($O330,Dep!$A:$M,3),"")</f>
        <v>06:05</v>
      </c>
      <c r="Q330" t="str">
        <f>IF(O330&gt;0,VLOOKUP($O330,Dep!$A:$M,6),"")</f>
        <v>IAH</v>
      </c>
      <c r="R330" t="str">
        <f>IF(O330&gt;0,VLOOKUP($O330,Dep!$A:$M,7),"")</f>
        <v>739</v>
      </c>
      <c r="S330">
        <f>IF(O330&gt;0,VLOOKUP($O330,Dep!$A:$M,9),"")</f>
        <v>134</v>
      </c>
      <c r="T330" t="str">
        <f>IF(O330&gt;0,VLOOKUP($O330,Dep!$A:$M,10),"")</f>
        <v>NAT</v>
      </c>
      <c r="U330" t="str">
        <f>IF(O330&gt;0,VLOOKUP($O330,Dep!$A:$M,12),"")</f>
        <v>CO</v>
      </c>
      <c r="V330" t="str">
        <f t="shared" si="68"/>
        <v/>
      </c>
      <c r="W330" t="str">
        <f t="shared" si="69"/>
        <v/>
      </c>
      <c r="X330" t="str">
        <f t="shared" si="70"/>
        <v>X</v>
      </c>
      <c r="Y330">
        <f t="shared" si="65"/>
        <v>0</v>
      </c>
      <c r="Z330" t="str">
        <f t="shared" si="71"/>
        <v/>
      </c>
      <c r="AA330" s="20">
        <f t="shared" si="66"/>
        <v>4.0972222222222215E-2</v>
      </c>
      <c r="AB330">
        <f t="shared" si="72"/>
        <v>329</v>
      </c>
      <c r="AC330" s="20" t="str">
        <f t="shared" si="73"/>
        <v>05:06</v>
      </c>
      <c r="AD330" s="20" t="str">
        <f t="shared" si="67"/>
        <v>06:05</v>
      </c>
      <c r="AE330" t="str">
        <f>VLOOKUP(G330,ACtypes!A:C,3,FALSE)</f>
        <v>C</v>
      </c>
      <c r="AF330" t="str">
        <f t="shared" si="74"/>
        <v/>
      </c>
      <c r="AG330" t="str">
        <f t="shared" si="75"/>
        <v/>
      </c>
      <c r="AH330">
        <f t="shared" si="76"/>
        <v>134</v>
      </c>
    </row>
    <row r="331" spans="1:34" x14ac:dyDescent="0.3">
      <c r="A331" s="41">
        <f t="shared" si="77"/>
        <v>330</v>
      </c>
      <c r="B331" s="27">
        <v>164</v>
      </c>
      <c r="C331" s="28" t="s">
        <v>231</v>
      </c>
      <c r="D331" s="28" t="s">
        <v>13</v>
      </c>
      <c r="E331" s="28" t="s">
        <v>232</v>
      </c>
      <c r="F331" s="28" t="s">
        <v>15</v>
      </c>
      <c r="G331" s="28" t="s">
        <v>43</v>
      </c>
      <c r="H331" s="27">
        <v>0</v>
      </c>
      <c r="I331" s="27">
        <v>134</v>
      </c>
      <c r="J331" s="28" t="s">
        <v>17</v>
      </c>
      <c r="K331" s="27">
        <v>25</v>
      </c>
      <c r="L331" s="28" t="s">
        <v>35</v>
      </c>
      <c r="M331" s="27">
        <v>0</v>
      </c>
      <c r="O331" s="23">
        <v>330</v>
      </c>
      <c r="P331" t="str">
        <f>IF(O331&gt;0,VLOOKUP($O331,Dep!$A:$M,3),"")</f>
        <v>13:25</v>
      </c>
      <c r="Q331" t="str">
        <f>IF(O331&gt;0,VLOOKUP($O331,Dep!$A:$M,6),"")</f>
        <v>IAH</v>
      </c>
      <c r="R331" t="str">
        <f>IF(O331&gt;0,VLOOKUP($O331,Dep!$A:$M,7),"")</f>
        <v>739</v>
      </c>
      <c r="S331">
        <f>IF(O331&gt;0,VLOOKUP($O331,Dep!$A:$M,9),"")</f>
        <v>134</v>
      </c>
      <c r="T331" t="str">
        <f>IF(O331&gt;0,VLOOKUP($O331,Dep!$A:$M,10),"")</f>
        <v>NAT</v>
      </c>
      <c r="U331" t="str">
        <f>IF(O331&gt;0,VLOOKUP($O331,Dep!$A:$M,12),"")</f>
        <v>CO</v>
      </c>
      <c r="V331" t="str">
        <f t="shared" si="68"/>
        <v/>
      </c>
      <c r="W331" t="str">
        <f t="shared" si="69"/>
        <v/>
      </c>
      <c r="X331" t="str">
        <f t="shared" si="70"/>
        <v/>
      </c>
      <c r="Y331">
        <f t="shared" si="65"/>
        <v>0</v>
      </c>
      <c r="Z331" t="str">
        <f t="shared" si="71"/>
        <v/>
      </c>
      <c r="AA331" s="20">
        <f t="shared" si="66"/>
        <v>5.0000000000000044E-2</v>
      </c>
      <c r="AB331">
        <f t="shared" si="72"/>
        <v>330</v>
      </c>
      <c r="AC331" s="20" t="str">
        <f t="shared" si="73"/>
        <v>12:13</v>
      </c>
      <c r="AD331" s="20" t="str">
        <f t="shared" si="67"/>
        <v>13:25</v>
      </c>
      <c r="AE331" t="str">
        <f>VLOOKUP(G331,ACtypes!A:C,3,FALSE)</f>
        <v>C</v>
      </c>
      <c r="AF331" t="str">
        <f t="shared" si="74"/>
        <v/>
      </c>
      <c r="AG331" t="str">
        <f t="shared" si="75"/>
        <v/>
      </c>
      <c r="AH331">
        <f t="shared" si="76"/>
        <v>134</v>
      </c>
    </row>
    <row r="332" spans="1:34" x14ac:dyDescent="0.3">
      <c r="A332" s="41">
        <f t="shared" si="77"/>
        <v>331</v>
      </c>
      <c r="B332" s="27">
        <v>166</v>
      </c>
      <c r="C332" s="28" t="s">
        <v>234</v>
      </c>
      <c r="D332" s="28" t="s">
        <v>13</v>
      </c>
      <c r="E332" s="28" t="s">
        <v>232</v>
      </c>
      <c r="F332" s="28" t="s">
        <v>15</v>
      </c>
      <c r="G332" s="28" t="s">
        <v>43</v>
      </c>
      <c r="H332" s="27">
        <v>0</v>
      </c>
      <c r="I332" s="27">
        <v>134</v>
      </c>
      <c r="J332" s="28" t="s">
        <v>17</v>
      </c>
      <c r="K332" s="27">
        <v>25</v>
      </c>
      <c r="L332" s="28" t="s">
        <v>35</v>
      </c>
      <c r="M332" s="27">
        <v>0</v>
      </c>
      <c r="O332" s="23">
        <v>331</v>
      </c>
      <c r="P332" t="str">
        <f>IF(O332&gt;0,VLOOKUP($O332,Dep!$A:$M,3),"")</f>
        <v>21:25</v>
      </c>
      <c r="Q332" t="str">
        <f>IF(O332&gt;0,VLOOKUP($O332,Dep!$A:$M,6),"")</f>
        <v>ANC</v>
      </c>
      <c r="R332" t="str">
        <f>IF(O332&gt;0,VLOOKUP($O332,Dep!$A:$M,7),"")</f>
        <v>739</v>
      </c>
      <c r="S332">
        <f>IF(O332&gt;0,VLOOKUP($O332,Dep!$A:$M,9),"")</f>
        <v>134</v>
      </c>
      <c r="T332" t="str">
        <f>IF(O332&gt;0,VLOOKUP($O332,Dep!$A:$M,10),"")</f>
        <v>NAT</v>
      </c>
      <c r="U332" t="str">
        <f>IF(O332&gt;0,VLOOKUP($O332,Dep!$A:$M,12),"")</f>
        <v>CO</v>
      </c>
      <c r="V332" t="str">
        <f t="shared" si="68"/>
        <v/>
      </c>
      <c r="W332" t="str">
        <f t="shared" si="69"/>
        <v/>
      </c>
      <c r="X332" t="str">
        <f t="shared" si="70"/>
        <v>X</v>
      </c>
      <c r="Y332">
        <f t="shared" si="65"/>
        <v>0</v>
      </c>
      <c r="Z332" t="str">
        <f t="shared" si="71"/>
        <v/>
      </c>
      <c r="AA332" s="20">
        <f t="shared" si="66"/>
        <v>4.6527777777777835E-2</v>
      </c>
      <c r="AB332">
        <f t="shared" si="72"/>
        <v>331</v>
      </c>
      <c r="AC332" s="20" t="str">
        <f t="shared" si="73"/>
        <v>20:18</v>
      </c>
      <c r="AD332" s="20" t="str">
        <f t="shared" si="67"/>
        <v>21:25</v>
      </c>
      <c r="AE332" t="str">
        <f>VLOOKUP(G332,ACtypes!A:C,3,FALSE)</f>
        <v>C</v>
      </c>
      <c r="AF332" t="str">
        <f t="shared" si="74"/>
        <v/>
      </c>
      <c r="AG332" t="str">
        <f t="shared" si="75"/>
        <v/>
      </c>
      <c r="AH332">
        <f t="shared" si="76"/>
        <v>134</v>
      </c>
    </row>
    <row r="333" spans="1:34" x14ac:dyDescent="0.3">
      <c r="A333" s="41">
        <f t="shared" si="77"/>
        <v>332</v>
      </c>
      <c r="B333" s="27">
        <v>61</v>
      </c>
      <c r="C333" s="28" t="s">
        <v>107</v>
      </c>
      <c r="D333" s="28" t="s">
        <v>13</v>
      </c>
      <c r="E333" s="28" t="s">
        <v>108</v>
      </c>
      <c r="F333" s="28" t="s">
        <v>15</v>
      </c>
      <c r="G333" s="28" t="s">
        <v>53</v>
      </c>
      <c r="H333" s="27">
        <v>0</v>
      </c>
      <c r="I333" s="27">
        <v>99</v>
      </c>
      <c r="J333" s="28" t="s">
        <v>17</v>
      </c>
      <c r="K333" s="27">
        <v>25</v>
      </c>
      <c r="L333" s="28" t="s">
        <v>35</v>
      </c>
      <c r="M333" s="27">
        <v>15.3</v>
      </c>
      <c r="O333" s="23">
        <v>332</v>
      </c>
      <c r="P333" t="str">
        <f>IF(O333&gt;0,VLOOKUP($O333,Dep!$A:$M,3),"")</f>
        <v>23:30</v>
      </c>
      <c r="Q333" t="str">
        <f>IF(O333&gt;0,VLOOKUP($O333,Dep!$A:$M,6),"")</f>
        <v>CLE</v>
      </c>
      <c r="R333" t="str">
        <f>IF(O333&gt;0,VLOOKUP($O333,Dep!$A:$M,7),"")</f>
        <v>73G</v>
      </c>
      <c r="S333">
        <f>IF(O333&gt;0,VLOOKUP($O333,Dep!$A:$M,9),"")</f>
        <v>99</v>
      </c>
      <c r="T333" t="str">
        <f>IF(O333&gt;0,VLOOKUP($O333,Dep!$A:$M,10),"")</f>
        <v>NAT</v>
      </c>
      <c r="U333" t="str">
        <f>IF(O333&gt;0,VLOOKUP($O333,Dep!$A:$M,12),"")</f>
        <v>CO</v>
      </c>
      <c r="V333" t="str">
        <f t="shared" si="68"/>
        <v/>
      </c>
      <c r="W333" t="str">
        <f t="shared" si="69"/>
        <v/>
      </c>
      <c r="X333" t="str">
        <f t="shared" si="70"/>
        <v/>
      </c>
      <c r="Y333">
        <f t="shared" si="65"/>
        <v>0</v>
      </c>
      <c r="Z333" t="str">
        <f t="shared" si="71"/>
        <v/>
      </c>
      <c r="AA333" s="20">
        <f t="shared" si="66"/>
        <v>4.7916666666666607E-2</v>
      </c>
      <c r="AB333">
        <f t="shared" si="72"/>
        <v>332</v>
      </c>
      <c r="AC333" s="20" t="str">
        <f t="shared" si="73"/>
        <v>22:21</v>
      </c>
      <c r="AD333" s="20" t="str">
        <f t="shared" si="67"/>
        <v>23:30</v>
      </c>
      <c r="AE333" t="str">
        <f>VLOOKUP(G333,ACtypes!A:C,3,FALSE)</f>
        <v>C</v>
      </c>
      <c r="AF333" t="str">
        <f t="shared" si="74"/>
        <v/>
      </c>
      <c r="AG333" t="str">
        <f t="shared" si="75"/>
        <v/>
      </c>
      <c r="AH333">
        <f t="shared" si="76"/>
        <v>99</v>
      </c>
    </row>
    <row r="334" spans="1:34" x14ac:dyDescent="0.3">
      <c r="A334" s="41">
        <f t="shared" si="77"/>
        <v>333</v>
      </c>
      <c r="B334" s="27">
        <v>165</v>
      </c>
      <c r="C334" s="28" t="s">
        <v>233</v>
      </c>
      <c r="D334" s="28" t="s">
        <v>13</v>
      </c>
      <c r="E334" s="28" t="s">
        <v>232</v>
      </c>
      <c r="F334" s="28" t="s">
        <v>15</v>
      </c>
      <c r="G334" s="28" t="s">
        <v>160</v>
      </c>
      <c r="H334" s="27">
        <v>0</v>
      </c>
      <c r="I334" s="27">
        <v>168</v>
      </c>
      <c r="J334" s="28" t="s">
        <v>17</v>
      </c>
      <c r="K334" s="27">
        <v>25</v>
      </c>
      <c r="L334" s="28" t="s">
        <v>35</v>
      </c>
      <c r="M334" s="27">
        <v>3</v>
      </c>
      <c r="O334" s="23">
        <v>333</v>
      </c>
      <c r="P334" t="str">
        <f>IF(O334&gt;0,VLOOKUP($O334,Dep!$A:$M,3),"")</f>
        <v>00:20</v>
      </c>
      <c r="Q334" t="str">
        <f>IF(O334&gt;0,VLOOKUP($O334,Dep!$A:$M,6),"")</f>
        <v>IAH</v>
      </c>
      <c r="R334" t="str">
        <f>IF(O334&gt;0,VLOOKUP($O334,Dep!$A:$M,7),"")</f>
        <v>753</v>
      </c>
      <c r="S334">
        <f>IF(O334&gt;0,VLOOKUP($O334,Dep!$A:$M,9),"")</f>
        <v>168</v>
      </c>
      <c r="T334" t="str">
        <f>IF(O334&gt;0,VLOOKUP($O334,Dep!$A:$M,10),"")</f>
        <v>NAT</v>
      </c>
      <c r="U334" t="str">
        <f>IF(O334&gt;0,VLOOKUP($O334,Dep!$A:$M,12),"")</f>
        <v>CO</v>
      </c>
      <c r="V334" t="str">
        <f t="shared" si="68"/>
        <v/>
      </c>
      <c r="W334" t="str">
        <f t="shared" si="69"/>
        <v/>
      </c>
      <c r="X334" t="str">
        <f t="shared" si="70"/>
        <v/>
      </c>
      <c r="Y334">
        <f t="shared" si="65"/>
        <v>0</v>
      </c>
      <c r="Z334">
        <f t="shared" si="71"/>
        <v>1</v>
      </c>
      <c r="AA334" s="20">
        <f t="shared" si="66"/>
        <v>5.2777777777777701E-2</v>
      </c>
      <c r="AB334">
        <f t="shared" si="72"/>
        <v>333</v>
      </c>
      <c r="AC334" s="20" t="str">
        <f t="shared" si="73"/>
        <v>23:04</v>
      </c>
      <c r="AD334" s="20" t="str">
        <f t="shared" si="67"/>
        <v>00:20</v>
      </c>
      <c r="AE334" t="str">
        <f>VLOOKUP(G334,ACtypes!A:C,3,FALSE)</f>
        <v>C</v>
      </c>
      <c r="AF334" t="str">
        <f t="shared" si="74"/>
        <v/>
      </c>
      <c r="AG334" t="str">
        <f t="shared" si="75"/>
        <v/>
      </c>
      <c r="AH334">
        <f t="shared" si="76"/>
        <v>168</v>
      </c>
    </row>
    <row r="335" spans="1:34" x14ac:dyDescent="0.3">
      <c r="A335" s="41">
        <f t="shared" si="77"/>
        <v>334</v>
      </c>
      <c r="B335" s="27">
        <v>111</v>
      </c>
      <c r="C335" s="28" t="s">
        <v>171</v>
      </c>
      <c r="D335" s="28" t="s">
        <v>13</v>
      </c>
      <c r="E335" s="28" t="s">
        <v>172</v>
      </c>
      <c r="F335" s="28" t="s">
        <v>15</v>
      </c>
      <c r="G335" s="28" t="s">
        <v>34</v>
      </c>
      <c r="H335" s="27">
        <v>0</v>
      </c>
      <c r="I335" s="27">
        <v>138</v>
      </c>
      <c r="J335" s="28" t="s">
        <v>17</v>
      </c>
      <c r="K335" s="27">
        <v>25</v>
      </c>
      <c r="L335" s="28" t="s">
        <v>35</v>
      </c>
      <c r="M335" s="27">
        <v>8.6999999999999993</v>
      </c>
      <c r="O335" s="23">
        <v>335</v>
      </c>
      <c r="P335" t="str">
        <f>IF(O335&gt;0,VLOOKUP($O335,Dep!$A:$M,3),"")</f>
        <v>17:15</v>
      </c>
      <c r="Q335" t="str">
        <f>IF(O335&gt;0,VLOOKUP($O335,Dep!$A:$M,6),"")</f>
        <v>ANC</v>
      </c>
      <c r="R335" t="str">
        <f>IF(O335&gt;0,VLOOKUP($O335,Dep!$A:$M,7),"")</f>
        <v>757</v>
      </c>
      <c r="S335">
        <f>IF(O335&gt;0,VLOOKUP($O335,Dep!$A:$M,9),"")</f>
        <v>138</v>
      </c>
      <c r="T335" t="str">
        <f>IF(O335&gt;0,VLOOKUP($O335,Dep!$A:$M,10),"")</f>
        <v>NAT</v>
      </c>
      <c r="U335" t="str">
        <f>IF(O335&gt;0,VLOOKUP($O335,Dep!$A:$M,12),"")</f>
        <v>CO</v>
      </c>
      <c r="V335" t="str">
        <f t="shared" si="68"/>
        <v/>
      </c>
      <c r="W335" t="str">
        <f t="shared" si="69"/>
        <v/>
      </c>
      <c r="X335" t="str">
        <f t="shared" si="70"/>
        <v>X</v>
      </c>
      <c r="Y335">
        <f t="shared" si="65"/>
        <v>0</v>
      </c>
      <c r="Z335" t="str">
        <f t="shared" si="71"/>
        <v/>
      </c>
      <c r="AA335" s="20">
        <f t="shared" si="66"/>
        <v>4.2361111111111072E-2</v>
      </c>
      <c r="AB335">
        <f t="shared" si="72"/>
        <v>334</v>
      </c>
      <c r="AC335" s="20" t="str">
        <f t="shared" si="73"/>
        <v>16:14</v>
      </c>
      <c r="AD335" s="20" t="str">
        <f t="shared" si="67"/>
        <v>17:15</v>
      </c>
      <c r="AE335" t="str">
        <f>VLOOKUP(G335,ACtypes!A:C,3,FALSE)</f>
        <v>C</v>
      </c>
      <c r="AF335" t="str">
        <f t="shared" si="74"/>
        <v/>
      </c>
      <c r="AG335" t="str">
        <f t="shared" si="75"/>
        <v/>
      </c>
      <c r="AH335">
        <f t="shared" si="76"/>
        <v>138</v>
      </c>
    </row>
    <row r="336" spans="1:34" x14ac:dyDescent="0.3">
      <c r="A336" s="41">
        <f t="shared" si="77"/>
        <v>335</v>
      </c>
      <c r="B336" s="27">
        <v>112</v>
      </c>
      <c r="C336" s="28" t="s">
        <v>173</v>
      </c>
      <c r="D336" s="28" t="s">
        <v>13</v>
      </c>
      <c r="E336" s="28" t="s">
        <v>172</v>
      </c>
      <c r="F336" s="28" t="s">
        <v>15</v>
      </c>
      <c r="G336" s="28" t="s">
        <v>34</v>
      </c>
      <c r="H336" s="27">
        <v>0</v>
      </c>
      <c r="I336" s="27">
        <v>138</v>
      </c>
      <c r="J336" s="28" t="s">
        <v>17</v>
      </c>
      <c r="K336" s="27">
        <v>25</v>
      </c>
      <c r="L336" s="28" t="s">
        <v>35</v>
      </c>
      <c r="M336" s="27">
        <v>8.6999999999999993</v>
      </c>
      <c r="O336" s="23">
        <v>336</v>
      </c>
      <c r="P336" t="str">
        <f>IF(O336&gt;0,VLOOKUP($O336,Dep!$A:$M,3),"")</f>
        <v>22:35</v>
      </c>
      <c r="Q336" t="str">
        <f>IF(O336&gt;0,VLOOKUP($O336,Dep!$A:$M,6),"")</f>
        <v>EWR</v>
      </c>
      <c r="R336" t="str">
        <f>IF(O336&gt;0,VLOOKUP($O336,Dep!$A:$M,7),"")</f>
        <v>757</v>
      </c>
      <c r="S336">
        <f>IF(O336&gt;0,VLOOKUP($O336,Dep!$A:$M,9),"")</f>
        <v>138</v>
      </c>
      <c r="T336" t="str">
        <f>IF(O336&gt;0,VLOOKUP($O336,Dep!$A:$M,10),"")</f>
        <v>NAT</v>
      </c>
      <c r="U336" t="str">
        <f>IF(O336&gt;0,VLOOKUP($O336,Dep!$A:$M,12),"")</f>
        <v>CO</v>
      </c>
      <c r="V336" t="str">
        <f t="shared" si="68"/>
        <v/>
      </c>
      <c r="W336" t="str">
        <f t="shared" si="69"/>
        <v/>
      </c>
      <c r="X336" t="str">
        <f t="shared" si="70"/>
        <v/>
      </c>
      <c r="Y336">
        <f t="shared" si="65"/>
        <v>0</v>
      </c>
      <c r="Z336" t="str">
        <f t="shared" si="71"/>
        <v/>
      </c>
      <c r="AA336" s="20">
        <f t="shared" si="66"/>
        <v>9.0277777777777679E-2</v>
      </c>
      <c r="AB336">
        <f t="shared" si="72"/>
        <v>335</v>
      </c>
      <c r="AC336" s="20" t="str">
        <f t="shared" si="73"/>
        <v>20:25</v>
      </c>
      <c r="AD336" s="20" t="str">
        <f t="shared" si="67"/>
        <v>22:35</v>
      </c>
      <c r="AE336" t="str">
        <f>VLOOKUP(G336,ACtypes!A:C,3,FALSE)</f>
        <v>C</v>
      </c>
      <c r="AF336" t="str">
        <f t="shared" si="74"/>
        <v/>
      </c>
      <c r="AG336" t="str">
        <f t="shared" si="75"/>
        <v/>
      </c>
      <c r="AH336">
        <f t="shared" si="76"/>
        <v>138</v>
      </c>
    </row>
    <row r="337" spans="1:34" x14ac:dyDescent="0.3">
      <c r="A337" s="41">
        <f t="shared" si="77"/>
        <v>336</v>
      </c>
      <c r="B337" s="27">
        <v>7</v>
      </c>
      <c r="C337" s="28" t="s">
        <v>33</v>
      </c>
      <c r="D337" s="28" t="s">
        <v>13</v>
      </c>
      <c r="E337" s="28" t="s">
        <v>31</v>
      </c>
      <c r="F337" s="28" t="s">
        <v>15</v>
      </c>
      <c r="G337" s="28" t="s">
        <v>34</v>
      </c>
      <c r="H337" s="27">
        <v>0</v>
      </c>
      <c r="I337" s="27">
        <v>138</v>
      </c>
      <c r="J337" s="28" t="s">
        <v>17</v>
      </c>
      <c r="K337" s="27">
        <v>25</v>
      </c>
      <c r="L337" s="28" t="s">
        <v>35</v>
      </c>
      <c r="M337" s="27">
        <v>8.6999999999999993</v>
      </c>
      <c r="O337" s="23">
        <v>334</v>
      </c>
      <c r="P337" t="str">
        <f>IF(O337&gt;0,VLOOKUP($O337,Dep!$A:$M,3),"")</f>
        <v>08:00</v>
      </c>
      <c r="Q337" t="str">
        <f>IF(O337&gt;0,VLOOKUP($O337,Dep!$A:$M,6),"")</f>
        <v>EWR</v>
      </c>
      <c r="R337" t="str">
        <f>IF(O337&gt;0,VLOOKUP($O337,Dep!$A:$M,7),"")</f>
        <v>757</v>
      </c>
      <c r="S337">
        <f>IF(O337&gt;0,VLOOKUP($O337,Dep!$A:$M,9),"")</f>
        <v>138</v>
      </c>
      <c r="T337" t="str">
        <f>IF(O337&gt;0,VLOOKUP($O337,Dep!$A:$M,10),"")</f>
        <v>NAT</v>
      </c>
      <c r="U337" t="str">
        <f>IF(O337&gt;0,VLOOKUP($O337,Dep!$A:$M,12),"")</f>
        <v>CO</v>
      </c>
      <c r="V337" t="str">
        <f t="shared" si="68"/>
        <v/>
      </c>
      <c r="W337" t="str">
        <f t="shared" si="69"/>
        <v/>
      </c>
      <c r="X337" t="str">
        <f t="shared" si="70"/>
        <v>X</v>
      </c>
      <c r="Y337">
        <f t="shared" si="65"/>
        <v>0</v>
      </c>
      <c r="Z337">
        <f t="shared" si="71"/>
        <v>1</v>
      </c>
      <c r="AA337" s="20">
        <f t="shared" si="66"/>
        <v>0.43333333333333335</v>
      </c>
      <c r="AB337">
        <f t="shared" si="72"/>
        <v>336</v>
      </c>
      <c r="AC337" s="20" t="str">
        <f t="shared" si="73"/>
        <v>21:36</v>
      </c>
      <c r="AD337" s="20" t="str">
        <f t="shared" si="67"/>
        <v>08:00</v>
      </c>
      <c r="AE337" t="str">
        <f>VLOOKUP(G337,ACtypes!A:C,3,FALSE)</f>
        <v>C</v>
      </c>
      <c r="AF337" t="str">
        <f t="shared" si="74"/>
        <v/>
      </c>
      <c r="AG337" t="str">
        <f t="shared" si="75"/>
        <v/>
      </c>
      <c r="AH337">
        <f t="shared" si="76"/>
        <v>138</v>
      </c>
    </row>
    <row r="338" spans="1:34" x14ac:dyDescent="0.3">
      <c r="A338" s="41">
        <f t="shared" si="77"/>
        <v>337</v>
      </c>
      <c r="B338" s="27">
        <v>161</v>
      </c>
      <c r="C338" s="28" t="s">
        <v>179</v>
      </c>
      <c r="D338" s="28" t="s">
        <v>13</v>
      </c>
      <c r="E338" s="28" t="s">
        <v>226</v>
      </c>
      <c r="F338" s="28" t="s">
        <v>15</v>
      </c>
      <c r="G338" s="28" t="s">
        <v>40</v>
      </c>
      <c r="H338" s="27">
        <v>0</v>
      </c>
      <c r="I338" s="27">
        <v>106</v>
      </c>
      <c r="J338" s="28" t="s">
        <v>17</v>
      </c>
      <c r="K338" s="27">
        <v>25</v>
      </c>
      <c r="L338" s="28" t="s">
        <v>229</v>
      </c>
      <c r="M338" s="27">
        <v>0</v>
      </c>
      <c r="O338" s="23">
        <v>337</v>
      </c>
      <c r="P338" t="str">
        <f>IF(O338&gt;0,VLOOKUP($O338,Dep!$A:$M,3),"")</f>
        <v>22:30</v>
      </c>
      <c r="Q338" t="str">
        <f>IF(O338&gt;0,VLOOKUP($O338,Dep!$A:$M,6),"")</f>
        <v>IAD</v>
      </c>
      <c r="R338" t="str">
        <f>IF(O338&gt;0,VLOOKUP($O338,Dep!$A:$M,7),"")</f>
        <v>319</v>
      </c>
      <c r="S338">
        <f>IF(O338&gt;0,VLOOKUP($O338,Dep!$A:$M,9),"")</f>
        <v>106</v>
      </c>
      <c r="T338" t="str">
        <f>IF(O338&gt;0,VLOOKUP($O338,Dep!$A:$M,10),"")</f>
        <v>NAT</v>
      </c>
      <c r="U338" t="str">
        <f>IF(O338&gt;0,VLOOKUP($O338,Dep!$A:$M,12),"")</f>
        <v>DH</v>
      </c>
      <c r="V338" t="str">
        <f t="shared" si="68"/>
        <v/>
      </c>
      <c r="W338" t="str">
        <f t="shared" si="69"/>
        <v/>
      </c>
      <c r="X338" t="str">
        <f t="shared" si="70"/>
        <v/>
      </c>
      <c r="Y338">
        <f t="shared" si="65"/>
        <v>0</v>
      </c>
      <c r="Z338" t="str">
        <f t="shared" si="71"/>
        <v/>
      </c>
      <c r="AA338" s="20">
        <f t="shared" si="66"/>
        <v>7.986111111111116E-2</v>
      </c>
      <c r="AB338">
        <f t="shared" si="72"/>
        <v>337</v>
      </c>
      <c r="AC338" s="20" t="str">
        <f t="shared" si="73"/>
        <v>20:35</v>
      </c>
      <c r="AD338" s="20" t="str">
        <f t="shared" si="67"/>
        <v>22:30</v>
      </c>
      <c r="AE338" t="str">
        <f>VLOOKUP(G338,ACtypes!A:C,3,FALSE)</f>
        <v>C</v>
      </c>
      <c r="AF338" t="str">
        <f t="shared" si="74"/>
        <v/>
      </c>
      <c r="AG338" t="str">
        <f t="shared" si="75"/>
        <v/>
      </c>
      <c r="AH338">
        <f t="shared" si="76"/>
        <v>106</v>
      </c>
    </row>
    <row r="339" spans="1:34" x14ac:dyDescent="0.3">
      <c r="A339" s="41">
        <f t="shared" si="77"/>
        <v>338</v>
      </c>
      <c r="B339" s="27">
        <v>917</v>
      </c>
      <c r="C339" s="28" t="s">
        <v>77</v>
      </c>
      <c r="D339" s="28" t="s">
        <v>13</v>
      </c>
      <c r="E339" s="28" t="s">
        <v>464</v>
      </c>
      <c r="F339" s="28" t="s">
        <v>15</v>
      </c>
      <c r="G339" s="28" t="s">
        <v>16</v>
      </c>
      <c r="H339" s="27">
        <v>0</v>
      </c>
      <c r="I339" s="27">
        <v>102</v>
      </c>
      <c r="J339" s="28" t="s">
        <v>17</v>
      </c>
      <c r="K339" s="27">
        <v>25</v>
      </c>
      <c r="L339" s="28" t="s">
        <v>63</v>
      </c>
      <c r="M339" s="27">
        <v>0</v>
      </c>
      <c r="O339" s="23">
        <v>338</v>
      </c>
      <c r="P339" t="str">
        <f>IF(O339&gt;0,VLOOKUP($O339,Dep!$A:$M,3),"")</f>
        <v>15:04</v>
      </c>
      <c r="Q339" t="str">
        <f>IF(O339&gt;0,VLOOKUP($O339,Dep!$A:$M,6),"")</f>
        <v>SLC</v>
      </c>
      <c r="R339" t="str">
        <f>IF(O339&gt;0,VLOOKUP($O339,Dep!$A:$M,7),"")</f>
        <v>733</v>
      </c>
      <c r="S339">
        <f>IF(O339&gt;0,VLOOKUP($O339,Dep!$A:$M,9),"")</f>
        <v>102</v>
      </c>
      <c r="T339" t="str">
        <f>IF(O339&gt;0,VLOOKUP($O339,Dep!$A:$M,10),"")</f>
        <v>NAT</v>
      </c>
      <c r="U339" t="str">
        <f>IF(O339&gt;0,VLOOKUP($O339,Dep!$A:$M,12),"")</f>
        <v>DL</v>
      </c>
      <c r="V339" t="str">
        <f t="shared" si="68"/>
        <v/>
      </c>
      <c r="W339" t="str">
        <f t="shared" si="69"/>
        <v/>
      </c>
      <c r="X339" t="str">
        <f t="shared" si="70"/>
        <v/>
      </c>
      <c r="Y339">
        <f t="shared" si="65"/>
        <v>0</v>
      </c>
      <c r="Z339" t="str">
        <f t="shared" si="71"/>
        <v/>
      </c>
      <c r="AA339" s="20">
        <f t="shared" si="66"/>
        <v>3.1944444444444442E-2</v>
      </c>
      <c r="AB339">
        <f t="shared" si="72"/>
        <v>338</v>
      </c>
      <c r="AC339" s="20" t="str">
        <f t="shared" si="73"/>
        <v>14:18</v>
      </c>
      <c r="AD339" s="20" t="str">
        <f t="shared" si="67"/>
        <v>15:04</v>
      </c>
      <c r="AE339" t="str">
        <f>VLOOKUP(G339,ACtypes!A:C,3,FALSE)</f>
        <v>C</v>
      </c>
      <c r="AF339" t="str">
        <f t="shared" si="74"/>
        <v/>
      </c>
      <c r="AG339" t="str">
        <f t="shared" si="75"/>
        <v/>
      </c>
      <c r="AH339">
        <f t="shared" si="76"/>
        <v>102</v>
      </c>
    </row>
    <row r="340" spans="1:34" x14ac:dyDescent="0.3">
      <c r="A340" s="41">
        <f t="shared" si="77"/>
        <v>339</v>
      </c>
      <c r="B340" s="27">
        <v>916</v>
      </c>
      <c r="C340" s="28" t="s">
        <v>468</v>
      </c>
      <c r="D340" s="28" t="s">
        <v>13</v>
      </c>
      <c r="E340" s="28" t="s">
        <v>464</v>
      </c>
      <c r="F340" s="28" t="s">
        <v>15</v>
      </c>
      <c r="G340" s="28" t="s">
        <v>16</v>
      </c>
      <c r="H340" s="27">
        <v>0</v>
      </c>
      <c r="I340" s="27">
        <v>102</v>
      </c>
      <c r="J340" s="28" t="s">
        <v>17</v>
      </c>
      <c r="K340" s="27">
        <v>25</v>
      </c>
      <c r="L340" s="28" t="s">
        <v>63</v>
      </c>
      <c r="M340" s="27">
        <v>0</v>
      </c>
      <c r="O340" s="23">
        <v>339</v>
      </c>
      <c r="P340" t="str">
        <f>IF(O340&gt;0,VLOOKUP($O340,Dep!$A:$M,3),"")</f>
        <v>17:00</v>
      </c>
      <c r="Q340" t="str">
        <f>IF(O340&gt;0,VLOOKUP($O340,Dep!$A:$M,6),"")</f>
        <v>SLC</v>
      </c>
      <c r="R340" t="str">
        <f>IF(O340&gt;0,VLOOKUP($O340,Dep!$A:$M,7),"")</f>
        <v>733</v>
      </c>
      <c r="S340">
        <f>IF(O340&gt;0,VLOOKUP($O340,Dep!$A:$M,9),"")</f>
        <v>102</v>
      </c>
      <c r="T340" t="str">
        <f>IF(O340&gt;0,VLOOKUP($O340,Dep!$A:$M,10),"")</f>
        <v>NAT</v>
      </c>
      <c r="U340" t="str">
        <f>IF(O340&gt;0,VLOOKUP($O340,Dep!$A:$M,12),"")</f>
        <v>DL</v>
      </c>
      <c r="V340" t="str">
        <f t="shared" si="68"/>
        <v/>
      </c>
      <c r="W340" t="str">
        <f t="shared" si="69"/>
        <v/>
      </c>
      <c r="X340" t="str">
        <f t="shared" si="70"/>
        <v/>
      </c>
      <c r="Y340">
        <f t="shared" si="65"/>
        <v>0</v>
      </c>
      <c r="Z340" t="str">
        <f t="shared" si="71"/>
        <v/>
      </c>
      <c r="AA340" s="20">
        <f t="shared" si="66"/>
        <v>3.2638888888888995E-2</v>
      </c>
      <c r="AB340">
        <f t="shared" si="72"/>
        <v>339</v>
      </c>
      <c r="AC340" s="20" t="str">
        <f t="shared" si="73"/>
        <v>16:13</v>
      </c>
      <c r="AD340" s="20" t="str">
        <f t="shared" si="67"/>
        <v>17:00</v>
      </c>
      <c r="AE340" t="str">
        <f>VLOOKUP(G340,ACtypes!A:C,3,FALSE)</f>
        <v>C</v>
      </c>
      <c r="AF340" t="str">
        <f t="shared" si="74"/>
        <v/>
      </c>
      <c r="AG340" t="str">
        <f t="shared" si="75"/>
        <v/>
      </c>
      <c r="AH340">
        <f t="shared" si="76"/>
        <v>102</v>
      </c>
    </row>
    <row r="341" spans="1:34" x14ac:dyDescent="0.3">
      <c r="A341" s="41">
        <f t="shared" si="77"/>
        <v>340</v>
      </c>
      <c r="B341" s="27">
        <v>32</v>
      </c>
      <c r="C341" s="28" t="s">
        <v>69</v>
      </c>
      <c r="D341" s="28" t="s">
        <v>13</v>
      </c>
      <c r="E341" s="28" t="s">
        <v>61</v>
      </c>
      <c r="F341" s="28" t="s">
        <v>15</v>
      </c>
      <c r="G341" s="28" t="s">
        <v>70</v>
      </c>
      <c r="H341" s="27">
        <v>0</v>
      </c>
      <c r="I341" s="27">
        <v>123</v>
      </c>
      <c r="J341" s="28" t="s">
        <v>17</v>
      </c>
      <c r="K341" s="27">
        <v>25</v>
      </c>
      <c r="L341" s="28" t="s">
        <v>63</v>
      </c>
      <c r="M341" s="27">
        <v>0</v>
      </c>
      <c r="O341" s="23">
        <v>341</v>
      </c>
      <c r="P341" t="str">
        <f>IF(O341&gt;0,VLOOKUP($O341,Dep!$A:$M,3),"")</f>
        <v>15:00</v>
      </c>
      <c r="Q341" t="str">
        <f>IF(O341&gt;0,VLOOKUP($O341,Dep!$A:$M,6),"")</f>
        <v>ATL</v>
      </c>
      <c r="R341" t="str">
        <f>IF(O341&gt;0,VLOOKUP($O341,Dep!$A:$M,7),"")</f>
        <v>738</v>
      </c>
      <c r="S341">
        <f>IF(O341&gt;0,VLOOKUP($O341,Dep!$A:$M,9),"")</f>
        <v>123</v>
      </c>
      <c r="T341" t="str">
        <f>IF(O341&gt;0,VLOOKUP($O341,Dep!$A:$M,10),"")</f>
        <v>NAT</v>
      </c>
      <c r="U341" t="str">
        <f>IF(O341&gt;0,VLOOKUP($O341,Dep!$A:$M,12),"")</f>
        <v>DL</v>
      </c>
      <c r="V341" t="str">
        <f t="shared" si="68"/>
        <v/>
      </c>
      <c r="W341" t="str">
        <f t="shared" si="69"/>
        <v/>
      </c>
      <c r="X341" t="str">
        <f t="shared" si="70"/>
        <v/>
      </c>
      <c r="Y341">
        <f t="shared" si="65"/>
        <v>0</v>
      </c>
      <c r="Z341" t="str">
        <f t="shared" si="71"/>
        <v/>
      </c>
      <c r="AA341" s="20">
        <f t="shared" si="66"/>
        <v>4.2361111111111183E-2</v>
      </c>
      <c r="AB341">
        <f t="shared" si="72"/>
        <v>340</v>
      </c>
      <c r="AC341" s="20" t="str">
        <f t="shared" si="73"/>
        <v>13:59</v>
      </c>
      <c r="AD341" s="20" t="str">
        <f t="shared" si="67"/>
        <v>15:00</v>
      </c>
      <c r="AE341" t="str">
        <f>VLOOKUP(G341,ACtypes!A:C,3,FALSE)</f>
        <v>C</v>
      </c>
      <c r="AF341" t="str">
        <f t="shared" si="74"/>
        <v/>
      </c>
      <c r="AG341" t="str">
        <f t="shared" si="75"/>
        <v/>
      </c>
      <c r="AH341">
        <f t="shared" si="76"/>
        <v>123</v>
      </c>
    </row>
    <row r="342" spans="1:34" x14ac:dyDescent="0.3">
      <c r="A342" s="41">
        <f t="shared" si="77"/>
        <v>341</v>
      </c>
      <c r="B342" s="27">
        <v>67</v>
      </c>
      <c r="C342" s="28" t="s">
        <v>66</v>
      </c>
      <c r="D342" s="28" t="s">
        <v>13</v>
      </c>
      <c r="E342" s="28" t="s">
        <v>118</v>
      </c>
      <c r="F342" s="28" t="s">
        <v>15</v>
      </c>
      <c r="G342" s="28" t="s">
        <v>70</v>
      </c>
      <c r="H342" s="27">
        <v>0</v>
      </c>
      <c r="I342" s="27">
        <v>123</v>
      </c>
      <c r="J342" s="28" t="s">
        <v>17</v>
      </c>
      <c r="K342" s="27">
        <v>25</v>
      </c>
      <c r="L342" s="28" t="s">
        <v>63</v>
      </c>
      <c r="M342" s="27">
        <v>0</v>
      </c>
      <c r="O342" s="23">
        <v>340</v>
      </c>
      <c r="P342" t="str">
        <f>IF(O342&gt;0,VLOOKUP($O342,Dep!$A:$M,3),"")</f>
        <v>06:00</v>
      </c>
      <c r="Q342" t="str">
        <f>IF(O342&gt;0,VLOOKUP($O342,Dep!$A:$M,6),"")</f>
        <v>SLC</v>
      </c>
      <c r="R342" t="str">
        <f>IF(O342&gt;0,VLOOKUP($O342,Dep!$A:$M,7),"")</f>
        <v>738</v>
      </c>
      <c r="S342">
        <f>IF(O342&gt;0,VLOOKUP($O342,Dep!$A:$M,9),"")</f>
        <v>123</v>
      </c>
      <c r="T342" t="str">
        <f>IF(O342&gt;0,VLOOKUP($O342,Dep!$A:$M,10),"")</f>
        <v>NAT</v>
      </c>
      <c r="U342" t="str">
        <f>IF(O342&gt;0,VLOOKUP($O342,Dep!$A:$M,12),"")</f>
        <v>DL</v>
      </c>
      <c r="V342" t="str">
        <f t="shared" si="68"/>
        <v/>
      </c>
      <c r="W342" t="str">
        <f t="shared" si="69"/>
        <v/>
      </c>
      <c r="X342" t="str">
        <f t="shared" si="70"/>
        <v>X</v>
      </c>
      <c r="Y342">
        <f t="shared" si="65"/>
        <v>0</v>
      </c>
      <c r="Z342">
        <f t="shared" si="71"/>
        <v>1</v>
      </c>
      <c r="AA342" s="20">
        <f t="shared" si="66"/>
        <v>0.4784722222222223</v>
      </c>
      <c r="AB342">
        <f t="shared" si="72"/>
        <v>341</v>
      </c>
      <c r="AC342" s="20" t="str">
        <f t="shared" si="73"/>
        <v>18:31</v>
      </c>
      <c r="AD342" s="20" t="str">
        <f t="shared" si="67"/>
        <v>06:00</v>
      </c>
      <c r="AE342" t="str">
        <f>VLOOKUP(G342,ACtypes!A:C,3,FALSE)</f>
        <v>C</v>
      </c>
      <c r="AF342" t="str">
        <f t="shared" si="74"/>
        <v/>
      </c>
      <c r="AG342" t="str">
        <f t="shared" si="75"/>
        <v/>
      </c>
      <c r="AH342">
        <f t="shared" si="76"/>
        <v>123</v>
      </c>
    </row>
    <row r="343" spans="1:34" x14ac:dyDescent="0.3">
      <c r="A343" s="41">
        <f t="shared" si="77"/>
        <v>342</v>
      </c>
      <c r="B343" s="27">
        <v>173</v>
      </c>
      <c r="C343" s="28" t="s">
        <v>246</v>
      </c>
      <c r="D343" s="28" t="s">
        <v>13</v>
      </c>
      <c r="E343" s="28" t="s">
        <v>247</v>
      </c>
      <c r="F343" s="28" t="s">
        <v>15</v>
      </c>
      <c r="G343" s="28" t="s">
        <v>34</v>
      </c>
      <c r="H343" s="27">
        <v>0</v>
      </c>
      <c r="I343" s="27">
        <v>148</v>
      </c>
      <c r="J343" s="28" t="s">
        <v>17</v>
      </c>
      <c r="K343" s="27">
        <v>25</v>
      </c>
      <c r="L343" s="28" t="s">
        <v>63</v>
      </c>
      <c r="M343" s="27">
        <v>8.6999999999999993</v>
      </c>
      <c r="O343" s="23">
        <v>345</v>
      </c>
      <c r="P343" t="str">
        <f>IF(O343&gt;0,VLOOKUP($O343,Dep!$A:$M,3),"")</f>
        <v>10:54</v>
      </c>
      <c r="Q343" t="str">
        <f>IF(O343&gt;0,VLOOKUP($O343,Dep!$A:$M,6),"")</f>
        <v>JFK</v>
      </c>
      <c r="R343" t="str">
        <f>IF(O343&gt;0,VLOOKUP($O343,Dep!$A:$M,7),"")</f>
        <v>757</v>
      </c>
      <c r="S343">
        <f>IF(O343&gt;0,VLOOKUP($O343,Dep!$A:$M,9),"")</f>
        <v>148</v>
      </c>
      <c r="T343" t="str">
        <f>IF(O343&gt;0,VLOOKUP($O343,Dep!$A:$M,10),"")</f>
        <v>NAT</v>
      </c>
      <c r="U343" t="str">
        <f>IF(O343&gt;0,VLOOKUP($O343,Dep!$A:$M,12),"")</f>
        <v>DL</v>
      </c>
      <c r="V343" t="str">
        <f t="shared" si="68"/>
        <v/>
      </c>
      <c r="W343" t="str">
        <f t="shared" si="69"/>
        <v/>
      </c>
      <c r="X343" t="str">
        <f t="shared" si="70"/>
        <v/>
      </c>
      <c r="Y343">
        <f t="shared" si="65"/>
        <v>0</v>
      </c>
      <c r="Z343" t="str">
        <f t="shared" si="71"/>
        <v/>
      </c>
      <c r="AA343" s="20">
        <f t="shared" si="66"/>
        <v>3.6111111111111094E-2</v>
      </c>
      <c r="AB343">
        <f t="shared" si="72"/>
        <v>342</v>
      </c>
      <c r="AC343" s="20" t="str">
        <f t="shared" si="73"/>
        <v>10:02</v>
      </c>
      <c r="AD343" s="20" t="str">
        <f t="shared" si="67"/>
        <v>10:54</v>
      </c>
      <c r="AE343" t="str">
        <f>VLOOKUP(G343,ACtypes!A:C,3,FALSE)</f>
        <v>C</v>
      </c>
      <c r="AF343" t="str">
        <f t="shared" si="74"/>
        <v/>
      </c>
      <c r="AG343" t="str">
        <f t="shared" si="75"/>
        <v/>
      </c>
      <c r="AH343">
        <f t="shared" si="76"/>
        <v>148</v>
      </c>
    </row>
    <row r="344" spans="1:34" x14ac:dyDescent="0.3">
      <c r="A344" s="41">
        <f t="shared" si="77"/>
        <v>343</v>
      </c>
      <c r="B344" s="27">
        <v>923</v>
      </c>
      <c r="C344" s="28" t="s">
        <v>473</v>
      </c>
      <c r="D344" s="28" t="s">
        <v>13</v>
      </c>
      <c r="E344" s="28" t="s">
        <v>464</v>
      </c>
      <c r="F344" s="28" t="s">
        <v>15</v>
      </c>
      <c r="G344" s="28" t="s">
        <v>34</v>
      </c>
      <c r="H344" s="27">
        <v>0</v>
      </c>
      <c r="I344" s="27">
        <v>148</v>
      </c>
      <c r="J344" s="28" t="s">
        <v>17</v>
      </c>
      <c r="K344" s="27">
        <v>25</v>
      </c>
      <c r="L344" s="28" t="s">
        <v>63</v>
      </c>
      <c r="M344" s="27">
        <v>8.6999999999999993</v>
      </c>
      <c r="O344" s="23">
        <v>346</v>
      </c>
      <c r="P344" t="str">
        <f>IF(O344&gt;0,VLOOKUP($O344,Dep!$A:$M,3),"")</f>
        <v>11:00</v>
      </c>
      <c r="Q344" t="str">
        <f>IF(O344&gt;0,VLOOKUP($O344,Dep!$A:$M,6),"")</f>
        <v>CVG</v>
      </c>
      <c r="R344" t="str">
        <f>IF(O344&gt;0,VLOOKUP($O344,Dep!$A:$M,7),"")</f>
        <v>757</v>
      </c>
      <c r="S344">
        <f>IF(O344&gt;0,VLOOKUP($O344,Dep!$A:$M,9),"")</f>
        <v>148</v>
      </c>
      <c r="T344" t="str">
        <f>IF(O344&gt;0,VLOOKUP($O344,Dep!$A:$M,10),"")</f>
        <v>NAT</v>
      </c>
      <c r="U344" t="str">
        <f>IF(O344&gt;0,VLOOKUP($O344,Dep!$A:$M,12),"")</f>
        <v>DL</v>
      </c>
      <c r="V344" t="str">
        <f t="shared" si="68"/>
        <v/>
      </c>
      <c r="W344" t="str">
        <f t="shared" si="69"/>
        <v/>
      </c>
      <c r="X344" t="str">
        <f t="shared" si="70"/>
        <v>X</v>
      </c>
      <c r="Y344">
        <f t="shared" si="65"/>
        <v>0</v>
      </c>
      <c r="Z344" t="str">
        <f t="shared" si="71"/>
        <v/>
      </c>
      <c r="AA344" s="20">
        <f t="shared" si="66"/>
        <v>3.472222222222221E-2</v>
      </c>
      <c r="AB344">
        <f t="shared" si="72"/>
        <v>343</v>
      </c>
      <c r="AC344" s="20" t="str">
        <f t="shared" si="73"/>
        <v>10:10</v>
      </c>
      <c r="AD344" s="20" t="str">
        <f t="shared" si="67"/>
        <v>11:00</v>
      </c>
      <c r="AE344" t="str">
        <f>VLOOKUP(G344,ACtypes!A:C,3,FALSE)</f>
        <v>C</v>
      </c>
      <c r="AF344" t="str">
        <f t="shared" si="74"/>
        <v/>
      </c>
      <c r="AG344" t="str">
        <f t="shared" si="75"/>
        <v/>
      </c>
      <c r="AH344">
        <f t="shared" si="76"/>
        <v>148</v>
      </c>
    </row>
    <row r="345" spans="1:34" x14ac:dyDescent="0.3">
      <c r="A345" s="41">
        <f t="shared" si="77"/>
        <v>344</v>
      </c>
      <c r="B345" s="27">
        <v>66</v>
      </c>
      <c r="C345" s="28" t="s">
        <v>119</v>
      </c>
      <c r="D345" s="28" t="s">
        <v>13</v>
      </c>
      <c r="E345" s="28" t="s">
        <v>118</v>
      </c>
      <c r="F345" s="28" t="s">
        <v>15</v>
      </c>
      <c r="G345" s="28" t="s">
        <v>34</v>
      </c>
      <c r="H345" s="27">
        <v>0</v>
      </c>
      <c r="I345" s="27">
        <v>148</v>
      </c>
      <c r="J345" s="28" t="s">
        <v>17</v>
      </c>
      <c r="K345" s="27">
        <v>25</v>
      </c>
      <c r="L345" s="28" t="s">
        <v>63</v>
      </c>
      <c r="M345" s="27">
        <v>8.6999999999999993</v>
      </c>
      <c r="O345" s="23">
        <v>347</v>
      </c>
      <c r="P345" t="str">
        <f>IF(O345&gt;0,VLOOKUP($O345,Dep!$A:$M,3),"")</f>
        <v>12:30</v>
      </c>
      <c r="Q345" t="str">
        <f>IF(O345&gt;0,VLOOKUP($O345,Dep!$A:$M,6),"")</f>
        <v>CVG</v>
      </c>
      <c r="R345" t="str">
        <f>IF(O345&gt;0,VLOOKUP($O345,Dep!$A:$M,7),"")</f>
        <v>757</v>
      </c>
      <c r="S345">
        <f>IF(O345&gt;0,VLOOKUP($O345,Dep!$A:$M,9),"")</f>
        <v>148</v>
      </c>
      <c r="T345" t="str">
        <f>IF(O345&gt;0,VLOOKUP($O345,Dep!$A:$M,10),"")</f>
        <v>NAT</v>
      </c>
      <c r="U345" t="str">
        <f>IF(O345&gt;0,VLOOKUP($O345,Dep!$A:$M,12),"")</f>
        <v>DL</v>
      </c>
      <c r="V345" t="str">
        <f t="shared" si="68"/>
        <v/>
      </c>
      <c r="W345" t="str">
        <f t="shared" si="69"/>
        <v/>
      </c>
      <c r="X345" t="str">
        <f t="shared" si="70"/>
        <v/>
      </c>
      <c r="Y345">
        <f t="shared" si="65"/>
        <v>0</v>
      </c>
      <c r="Z345" t="str">
        <f t="shared" si="71"/>
        <v/>
      </c>
      <c r="AA345" s="20">
        <f t="shared" si="66"/>
        <v>5.4861111111111138E-2</v>
      </c>
      <c r="AB345">
        <f t="shared" si="72"/>
        <v>344</v>
      </c>
      <c r="AC345" s="20" t="str">
        <f t="shared" si="73"/>
        <v>11:11</v>
      </c>
      <c r="AD345" s="20" t="str">
        <f t="shared" si="67"/>
        <v>12:30</v>
      </c>
      <c r="AE345" t="str">
        <f>VLOOKUP(G345,ACtypes!A:C,3,FALSE)</f>
        <v>C</v>
      </c>
      <c r="AF345" t="str">
        <f t="shared" si="74"/>
        <v/>
      </c>
      <c r="AG345" t="str">
        <f t="shared" si="75"/>
        <v/>
      </c>
      <c r="AH345">
        <f t="shared" si="76"/>
        <v>148</v>
      </c>
    </row>
    <row r="346" spans="1:34" x14ac:dyDescent="0.3">
      <c r="A346" s="41">
        <f t="shared" si="77"/>
        <v>345</v>
      </c>
      <c r="B346" s="27">
        <v>31</v>
      </c>
      <c r="C346" s="28" t="s">
        <v>68</v>
      </c>
      <c r="D346" s="28" t="s">
        <v>13</v>
      </c>
      <c r="E346" s="28" t="s">
        <v>61</v>
      </c>
      <c r="F346" s="28" t="s">
        <v>15</v>
      </c>
      <c r="G346" s="28" t="s">
        <v>34</v>
      </c>
      <c r="H346" s="27">
        <v>0</v>
      </c>
      <c r="I346" s="27">
        <v>148</v>
      </c>
      <c r="J346" s="28" t="s">
        <v>17</v>
      </c>
      <c r="K346" s="27">
        <v>25</v>
      </c>
      <c r="L346" s="28" t="s">
        <v>63</v>
      </c>
      <c r="M346" s="27">
        <v>8.6999999999999993</v>
      </c>
      <c r="O346" s="23">
        <v>348</v>
      </c>
      <c r="P346" t="str">
        <f>IF(O346&gt;0,VLOOKUP($O346,Dep!$A:$M,3),"")</f>
        <v>13:05</v>
      </c>
      <c r="Q346" t="str">
        <f>IF(O346&gt;0,VLOOKUP($O346,Dep!$A:$M,6),"")</f>
        <v>SLC</v>
      </c>
      <c r="R346" t="str">
        <f>IF(O346&gt;0,VLOOKUP($O346,Dep!$A:$M,7),"")</f>
        <v>757</v>
      </c>
      <c r="S346">
        <f>IF(O346&gt;0,VLOOKUP($O346,Dep!$A:$M,9),"")</f>
        <v>148</v>
      </c>
      <c r="T346" t="str">
        <f>IF(O346&gt;0,VLOOKUP($O346,Dep!$A:$M,10),"")</f>
        <v>NAT</v>
      </c>
      <c r="U346" t="str">
        <f>IF(O346&gt;0,VLOOKUP($O346,Dep!$A:$M,12),"")</f>
        <v>DL</v>
      </c>
      <c r="V346" t="str">
        <f t="shared" si="68"/>
        <v/>
      </c>
      <c r="W346" t="str">
        <f t="shared" si="69"/>
        <v/>
      </c>
      <c r="X346" t="str">
        <f t="shared" si="70"/>
        <v>X</v>
      </c>
      <c r="Y346">
        <f t="shared" si="65"/>
        <v>0</v>
      </c>
      <c r="Z346" t="str">
        <f t="shared" si="71"/>
        <v/>
      </c>
      <c r="AA346" s="20">
        <f t="shared" si="66"/>
        <v>3.6805555555555647E-2</v>
      </c>
      <c r="AB346">
        <f t="shared" si="72"/>
        <v>345</v>
      </c>
      <c r="AC346" s="20" t="str">
        <f t="shared" si="73"/>
        <v>12:12</v>
      </c>
      <c r="AD346" s="20" t="str">
        <f t="shared" si="67"/>
        <v>13:05</v>
      </c>
      <c r="AE346" t="str">
        <f>VLOOKUP(G346,ACtypes!A:C,3,FALSE)</f>
        <v>C</v>
      </c>
      <c r="AF346" t="str">
        <f t="shared" si="74"/>
        <v/>
      </c>
      <c r="AG346" t="str">
        <f t="shared" si="75"/>
        <v/>
      </c>
      <c r="AH346">
        <f t="shared" si="76"/>
        <v>148</v>
      </c>
    </row>
    <row r="347" spans="1:34" x14ac:dyDescent="0.3">
      <c r="A347" s="41">
        <f t="shared" si="77"/>
        <v>346</v>
      </c>
      <c r="B347" s="27">
        <v>924</v>
      </c>
      <c r="C347" s="28" t="s">
        <v>87</v>
      </c>
      <c r="D347" s="28" t="s">
        <v>13</v>
      </c>
      <c r="E347" s="28" t="s">
        <v>464</v>
      </c>
      <c r="F347" s="28" t="s">
        <v>15</v>
      </c>
      <c r="G347" s="28" t="s">
        <v>34</v>
      </c>
      <c r="H347" s="27">
        <v>0</v>
      </c>
      <c r="I347" s="27">
        <v>148</v>
      </c>
      <c r="J347" s="28" t="s">
        <v>17</v>
      </c>
      <c r="K347" s="27">
        <v>25</v>
      </c>
      <c r="L347" s="28" t="s">
        <v>63</v>
      </c>
      <c r="M347" s="27">
        <v>8.6999999999999993</v>
      </c>
      <c r="O347" s="23">
        <v>349</v>
      </c>
      <c r="P347" t="str">
        <f>IF(O347&gt;0,VLOOKUP($O347,Dep!$A:$M,3),"")</f>
        <v>13:30</v>
      </c>
      <c r="Q347" t="str">
        <f>IF(O347&gt;0,VLOOKUP($O347,Dep!$A:$M,6),"")</f>
        <v>ATL</v>
      </c>
      <c r="R347" t="str">
        <f>IF(O347&gt;0,VLOOKUP($O347,Dep!$A:$M,7),"")</f>
        <v>757</v>
      </c>
      <c r="S347">
        <f>IF(O347&gt;0,VLOOKUP($O347,Dep!$A:$M,9),"")</f>
        <v>148</v>
      </c>
      <c r="T347" t="str">
        <f>IF(O347&gt;0,VLOOKUP($O347,Dep!$A:$M,10),"")</f>
        <v>NAT</v>
      </c>
      <c r="U347" t="str">
        <f>IF(O347&gt;0,VLOOKUP($O347,Dep!$A:$M,12),"")</f>
        <v>DL</v>
      </c>
      <c r="V347" t="str">
        <f t="shared" si="68"/>
        <v/>
      </c>
      <c r="W347" t="str">
        <f t="shared" si="69"/>
        <v/>
      </c>
      <c r="X347" t="str">
        <f t="shared" si="70"/>
        <v>X</v>
      </c>
      <c r="Y347">
        <f t="shared" si="65"/>
        <v>0</v>
      </c>
      <c r="Z347" t="str">
        <f t="shared" si="71"/>
        <v/>
      </c>
      <c r="AA347" s="20">
        <f t="shared" si="66"/>
        <v>5.208333333333337E-2</v>
      </c>
      <c r="AB347">
        <f t="shared" si="72"/>
        <v>346</v>
      </c>
      <c r="AC347" s="20" t="str">
        <f t="shared" si="73"/>
        <v>12:15</v>
      </c>
      <c r="AD347" s="20" t="str">
        <f t="shared" si="67"/>
        <v>13:30</v>
      </c>
      <c r="AE347" t="str">
        <f>VLOOKUP(G347,ACtypes!A:C,3,FALSE)</f>
        <v>C</v>
      </c>
      <c r="AF347" t="str">
        <f t="shared" si="74"/>
        <v/>
      </c>
      <c r="AG347" t="str">
        <f t="shared" si="75"/>
        <v/>
      </c>
      <c r="AH347">
        <f t="shared" si="76"/>
        <v>148</v>
      </c>
    </row>
    <row r="348" spans="1:34" x14ac:dyDescent="0.3">
      <c r="A348" s="41">
        <f t="shared" si="77"/>
        <v>347</v>
      </c>
      <c r="B348" s="27">
        <v>175</v>
      </c>
      <c r="C348" s="28" t="s">
        <v>249</v>
      </c>
      <c r="D348" s="28" t="s">
        <v>13</v>
      </c>
      <c r="E348" s="28" t="s">
        <v>247</v>
      </c>
      <c r="F348" s="28" t="s">
        <v>15</v>
      </c>
      <c r="G348" s="28" t="s">
        <v>34</v>
      </c>
      <c r="H348" s="27">
        <v>0</v>
      </c>
      <c r="I348" s="27">
        <v>148</v>
      </c>
      <c r="J348" s="28" t="s">
        <v>17</v>
      </c>
      <c r="K348" s="27">
        <v>25</v>
      </c>
      <c r="L348" s="28" t="s">
        <v>63</v>
      </c>
      <c r="M348" s="27">
        <v>8.6999999999999993</v>
      </c>
      <c r="O348" s="23">
        <v>350</v>
      </c>
      <c r="P348" t="str">
        <f>IF(O348&gt;0,VLOOKUP($O348,Dep!$A:$M,3),"")</f>
        <v>23:10</v>
      </c>
      <c r="Q348" t="str">
        <f>IF(O348&gt;0,VLOOKUP($O348,Dep!$A:$M,6),"")</f>
        <v>JFK</v>
      </c>
      <c r="R348" t="str">
        <f>IF(O348&gt;0,VLOOKUP($O348,Dep!$A:$M,7),"")</f>
        <v>757</v>
      </c>
      <c r="S348">
        <f>IF(O348&gt;0,VLOOKUP($O348,Dep!$A:$M,9),"")</f>
        <v>148</v>
      </c>
      <c r="T348" t="str">
        <f>IF(O348&gt;0,VLOOKUP($O348,Dep!$A:$M,10),"")</f>
        <v>NAT</v>
      </c>
      <c r="U348" t="str">
        <f>IF(O348&gt;0,VLOOKUP($O348,Dep!$A:$M,12),"")</f>
        <v>DL</v>
      </c>
      <c r="V348" t="str">
        <f t="shared" si="68"/>
        <v/>
      </c>
      <c r="W348" t="str">
        <f t="shared" si="69"/>
        <v/>
      </c>
      <c r="X348" t="str">
        <f t="shared" si="70"/>
        <v/>
      </c>
      <c r="Y348">
        <f t="shared" si="65"/>
        <v>0</v>
      </c>
      <c r="Z348" t="str">
        <f t="shared" si="71"/>
        <v/>
      </c>
      <c r="AA348" s="20">
        <f t="shared" si="66"/>
        <v>9.4444444444444553E-2</v>
      </c>
      <c r="AB348">
        <f t="shared" si="72"/>
        <v>347</v>
      </c>
      <c r="AC348" s="20" t="str">
        <f t="shared" si="73"/>
        <v>20:54</v>
      </c>
      <c r="AD348" s="20" t="str">
        <f t="shared" si="67"/>
        <v>23:10</v>
      </c>
      <c r="AE348" t="str">
        <f>VLOOKUP(G348,ACtypes!A:C,3,FALSE)</f>
        <v>C</v>
      </c>
      <c r="AF348" t="str">
        <f t="shared" si="74"/>
        <v/>
      </c>
      <c r="AG348" t="str">
        <f t="shared" si="75"/>
        <v/>
      </c>
      <c r="AH348">
        <f t="shared" si="76"/>
        <v>148</v>
      </c>
    </row>
    <row r="349" spans="1:34" x14ac:dyDescent="0.3">
      <c r="A349" s="41">
        <f t="shared" si="77"/>
        <v>348</v>
      </c>
      <c r="B349" s="27">
        <v>174</v>
      </c>
      <c r="C349" s="28" t="s">
        <v>248</v>
      </c>
      <c r="D349" s="28" t="s">
        <v>13</v>
      </c>
      <c r="E349" s="28" t="s">
        <v>247</v>
      </c>
      <c r="F349" s="28" t="s">
        <v>15</v>
      </c>
      <c r="G349" s="28" t="s">
        <v>34</v>
      </c>
      <c r="H349" s="27">
        <v>0</v>
      </c>
      <c r="I349" s="27">
        <v>148</v>
      </c>
      <c r="J349" s="28" t="s">
        <v>17</v>
      </c>
      <c r="K349" s="27">
        <v>25</v>
      </c>
      <c r="L349" s="28" t="s">
        <v>63</v>
      </c>
      <c r="M349" s="27">
        <v>8.6999999999999993</v>
      </c>
      <c r="O349" s="23">
        <v>342</v>
      </c>
      <c r="P349" t="str">
        <f>IF(O349&gt;0,VLOOKUP($O349,Dep!$A:$M,3),"")</f>
        <v>06:10</v>
      </c>
      <c r="Q349" t="str">
        <f>IF(O349&gt;0,VLOOKUP($O349,Dep!$A:$M,6),"")</f>
        <v>ATL</v>
      </c>
      <c r="R349" t="str">
        <f>IF(O349&gt;0,VLOOKUP($O349,Dep!$A:$M,7),"")</f>
        <v>757</v>
      </c>
      <c r="S349">
        <f>IF(O349&gt;0,VLOOKUP($O349,Dep!$A:$M,9),"")</f>
        <v>148</v>
      </c>
      <c r="T349" t="str">
        <f>IF(O349&gt;0,VLOOKUP($O349,Dep!$A:$M,10),"")</f>
        <v>NAT</v>
      </c>
      <c r="U349" t="str">
        <f>IF(O349&gt;0,VLOOKUP($O349,Dep!$A:$M,12),"")</f>
        <v>DL</v>
      </c>
      <c r="V349" t="str">
        <f t="shared" si="68"/>
        <v/>
      </c>
      <c r="W349" t="str">
        <f t="shared" si="69"/>
        <v/>
      </c>
      <c r="X349" t="str">
        <f t="shared" si="70"/>
        <v>X</v>
      </c>
      <c r="Y349">
        <f t="shared" si="65"/>
        <v>0</v>
      </c>
      <c r="Z349">
        <f t="shared" si="71"/>
        <v>1</v>
      </c>
      <c r="AA349" s="20">
        <f t="shared" si="66"/>
        <v>0.32847222222222228</v>
      </c>
      <c r="AB349">
        <f t="shared" si="72"/>
        <v>348</v>
      </c>
      <c r="AC349" s="20" t="str">
        <f t="shared" si="73"/>
        <v>22:17</v>
      </c>
      <c r="AD349" s="20" t="str">
        <f t="shared" si="67"/>
        <v>06:10</v>
      </c>
      <c r="AE349" t="str">
        <f>VLOOKUP(G349,ACtypes!A:C,3,FALSE)</f>
        <v>C</v>
      </c>
      <c r="AF349" t="str">
        <f t="shared" si="74"/>
        <v/>
      </c>
      <c r="AG349" t="str">
        <f t="shared" si="75"/>
        <v/>
      </c>
      <c r="AH349">
        <f t="shared" si="76"/>
        <v>148</v>
      </c>
    </row>
    <row r="350" spans="1:34" x14ac:dyDescent="0.3">
      <c r="A350" s="41">
        <f t="shared" si="77"/>
        <v>349</v>
      </c>
      <c r="B350" s="27">
        <v>65</v>
      </c>
      <c r="C350" s="28" t="s">
        <v>117</v>
      </c>
      <c r="D350" s="28" t="s">
        <v>13</v>
      </c>
      <c r="E350" s="28" t="s">
        <v>118</v>
      </c>
      <c r="F350" s="28" t="s">
        <v>15</v>
      </c>
      <c r="G350" s="28" t="s">
        <v>34</v>
      </c>
      <c r="H350" s="27">
        <v>0</v>
      </c>
      <c r="I350" s="27">
        <v>148</v>
      </c>
      <c r="J350" s="28" t="s">
        <v>17</v>
      </c>
      <c r="K350" s="27">
        <v>25</v>
      </c>
      <c r="L350" s="28" t="s">
        <v>63</v>
      </c>
      <c r="M350" s="27">
        <v>8.6999999999999993</v>
      </c>
      <c r="O350" s="23">
        <v>343</v>
      </c>
      <c r="P350" t="str">
        <f>IF(O350&gt;0,VLOOKUP($O350,Dep!$A:$M,3),"")</f>
        <v>06:35</v>
      </c>
      <c r="Q350" t="str">
        <f>IF(O350&gt;0,VLOOKUP($O350,Dep!$A:$M,6),"")</f>
        <v>CVG</v>
      </c>
      <c r="R350" t="str">
        <f>IF(O350&gt;0,VLOOKUP($O350,Dep!$A:$M,7),"")</f>
        <v>757</v>
      </c>
      <c r="S350">
        <f>IF(O350&gt;0,VLOOKUP($O350,Dep!$A:$M,9),"")</f>
        <v>148</v>
      </c>
      <c r="T350" t="str">
        <f>IF(O350&gt;0,VLOOKUP($O350,Dep!$A:$M,10),"")</f>
        <v>NAT</v>
      </c>
      <c r="U350" t="str">
        <f>IF(O350&gt;0,VLOOKUP($O350,Dep!$A:$M,12),"")</f>
        <v>DL</v>
      </c>
      <c r="V350" t="str">
        <f t="shared" si="68"/>
        <v/>
      </c>
      <c r="W350" t="str">
        <f t="shared" si="69"/>
        <v/>
      </c>
      <c r="X350" t="str">
        <f t="shared" si="70"/>
        <v/>
      </c>
      <c r="Y350">
        <f t="shared" si="65"/>
        <v>0</v>
      </c>
      <c r="Z350">
        <f t="shared" si="71"/>
        <v>1</v>
      </c>
      <c r="AA350" s="20">
        <f t="shared" si="66"/>
        <v>0.33125000000000004</v>
      </c>
      <c r="AB350">
        <f t="shared" si="72"/>
        <v>349</v>
      </c>
      <c r="AC350" s="20" t="str">
        <f t="shared" si="73"/>
        <v>22:38</v>
      </c>
      <c r="AD350" s="20" t="str">
        <f t="shared" si="67"/>
        <v>06:35</v>
      </c>
      <c r="AE350" t="str">
        <f>VLOOKUP(G350,ACtypes!A:C,3,FALSE)</f>
        <v>C</v>
      </c>
      <c r="AF350" t="str">
        <f t="shared" si="74"/>
        <v/>
      </c>
      <c r="AG350" t="str">
        <f t="shared" si="75"/>
        <v/>
      </c>
      <c r="AH350">
        <f t="shared" si="76"/>
        <v>148</v>
      </c>
    </row>
    <row r="351" spans="1:34" x14ac:dyDescent="0.3">
      <c r="A351" s="41">
        <f t="shared" si="77"/>
        <v>350</v>
      </c>
      <c r="B351" s="27">
        <v>30</v>
      </c>
      <c r="C351" s="28" t="s">
        <v>67</v>
      </c>
      <c r="D351" s="28" t="s">
        <v>13</v>
      </c>
      <c r="E351" s="28" t="s">
        <v>61</v>
      </c>
      <c r="F351" s="28" t="s">
        <v>15</v>
      </c>
      <c r="G351" s="28" t="s">
        <v>34</v>
      </c>
      <c r="H351" s="27">
        <v>0</v>
      </c>
      <c r="I351" s="27">
        <v>148</v>
      </c>
      <c r="J351" s="28" t="s">
        <v>17</v>
      </c>
      <c r="K351" s="27">
        <v>25</v>
      </c>
      <c r="L351" s="28" t="s">
        <v>63</v>
      </c>
      <c r="M351" s="27">
        <v>8.6999999999999993</v>
      </c>
      <c r="O351" s="23">
        <v>344</v>
      </c>
      <c r="P351" t="str">
        <f>IF(O351&gt;0,VLOOKUP($O351,Dep!$A:$M,3),"")</f>
        <v>08:13</v>
      </c>
      <c r="Q351" t="str">
        <f>IF(O351&gt;0,VLOOKUP($O351,Dep!$A:$M,6),"")</f>
        <v>JFK</v>
      </c>
      <c r="R351" t="str">
        <f>IF(O351&gt;0,VLOOKUP($O351,Dep!$A:$M,7),"")</f>
        <v>757</v>
      </c>
      <c r="S351">
        <f>IF(O351&gt;0,VLOOKUP($O351,Dep!$A:$M,9),"")</f>
        <v>148</v>
      </c>
      <c r="T351" t="str">
        <f>IF(O351&gt;0,VLOOKUP($O351,Dep!$A:$M,10),"")</f>
        <v>NAT</v>
      </c>
      <c r="U351" t="str">
        <f>IF(O351&gt;0,VLOOKUP($O351,Dep!$A:$M,12),"")</f>
        <v>DL</v>
      </c>
      <c r="V351" t="str">
        <f t="shared" si="68"/>
        <v/>
      </c>
      <c r="W351" t="str">
        <f t="shared" si="69"/>
        <v/>
      </c>
      <c r="X351" t="str">
        <f t="shared" si="70"/>
        <v>X</v>
      </c>
      <c r="Y351">
        <f t="shared" si="65"/>
        <v>0</v>
      </c>
      <c r="Z351">
        <f t="shared" si="71"/>
        <v>1</v>
      </c>
      <c r="AA351" s="20">
        <f t="shared" si="66"/>
        <v>0.39097222222222228</v>
      </c>
      <c r="AB351">
        <f t="shared" si="72"/>
        <v>350</v>
      </c>
      <c r="AC351" s="20" t="str">
        <f t="shared" si="73"/>
        <v>22:50</v>
      </c>
      <c r="AD351" s="20" t="str">
        <f t="shared" si="67"/>
        <v>08:13</v>
      </c>
      <c r="AE351" t="str">
        <f>VLOOKUP(G351,ACtypes!A:C,3,FALSE)</f>
        <v>C</v>
      </c>
      <c r="AF351" t="str">
        <f t="shared" si="74"/>
        <v/>
      </c>
      <c r="AG351" t="str">
        <f t="shared" si="75"/>
        <v/>
      </c>
      <c r="AH351">
        <f t="shared" si="76"/>
        <v>148</v>
      </c>
    </row>
    <row r="352" spans="1:34" x14ac:dyDescent="0.3">
      <c r="A352" s="41">
        <f t="shared" si="77"/>
        <v>351</v>
      </c>
      <c r="B352" s="27">
        <v>920</v>
      </c>
      <c r="C352" s="28" t="s">
        <v>215</v>
      </c>
      <c r="D352" s="28" t="s">
        <v>13</v>
      </c>
      <c r="E352" s="28" t="s">
        <v>464</v>
      </c>
      <c r="F352" s="28" t="s">
        <v>15</v>
      </c>
      <c r="G352" s="28" t="s">
        <v>223</v>
      </c>
      <c r="H352" s="27">
        <v>0</v>
      </c>
      <c r="I352" s="27">
        <v>156</v>
      </c>
      <c r="J352" s="28" t="s">
        <v>17</v>
      </c>
      <c r="K352" s="27">
        <v>25</v>
      </c>
      <c r="L352" s="28" t="s">
        <v>63</v>
      </c>
      <c r="M352" s="27">
        <v>12.7</v>
      </c>
      <c r="O352" s="23">
        <v>351</v>
      </c>
      <c r="P352" t="str">
        <f>IF(O352&gt;0,VLOOKUP($O352,Dep!$A:$M,3),"")</f>
        <v>07:30</v>
      </c>
      <c r="Q352" t="str">
        <f>IF(O352&gt;0,VLOOKUP($O352,Dep!$A:$M,6),"")</f>
        <v>ATL</v>
      </c>
      <c r="R352" t="str">
        <f>IF(O352&gt;0,VLOOKUP($O352,Dep!$A:$M,7),"")</f>
        <v>763</v>
      </c>
      <c r="S352">
        <f>IF(O352&gt;0,VLOOKUP($O352,Dep!$A:$M,9),"")</f>
        <v>156</v>
      </c>
      <c r="T352" t="str">
        <f>IF(O352&gt;0,VLOOKUP($O352,Dep!$A:$M,10),"")</f>
        <v>NAT</v>
      </c>
      <c r="U352" t="str">
        <f>IF(O352&gt;0,VLOOKUP($O352,Dep!$A:$M,12),"")</f>
        <v>DL</v>
      </c>
      <c r="V352" t="str">
        <f t="shared" si="68"/>
        <v/>
      </c>
      <c r="W352" t="str">
        <f t="shared" si="69"/>
        <v/>
      </c>
      <c r="X352" t="str">
        <f t="shared" si="70"/>
        <v>X</v>
      </c>
      <c r="Y352">
        <f t="shared" si="65"/>
        <v>0</v>
      </c>
      <c r="Z352">
        <f t="shared" si="71"/>
        <v>1</v>
      </c>
      <c r="AA352" s="20">
        <f t="shared" si="66"/>
        <v>0.39513888888888893</v>
      </c>
      <c r="AB352">
        <f t="shared" si="72"/>
        <v>351</v>
      </c>
      <c r="AC352" s="20" t="str">
        <f t="shared" si="73"/>
        <v>22:01</v>
      </c>
      <c r="AD352" s="20" t="str">
        <f t="shared" si="67"/>
        <v>07:30</v>
      </c>
      <c r="AE352" t="str">
        <f>VLOOKUP(G352,ACtypes!A:C,3,FALSE)</f>
        <v>D</v>
      </c>
      <c r="AF352" t="str">
        <f t="shared" si="74"/>
        <v/>
      </c>
      <c r="AG352" t="str">
        <f t="shared" si="75"/>
        <v/>
      </c>
      <c r="AH352">
        <f t="shared" si="76"/>
        <v>156</v>
      </c>
    </row>
    <row r="353" spans="1:34" x14ac:dyDescent="0.3">
      <c r="A353" s="41">
        <f t="shared" si="77"/>
        <v>352</v>
      </c>
      <c r="B353" s="27">
        <v>28</v>
      </c>
      <c r="C353" s="28" t="s">
        <v>64</v>
      </c>
      <c r="D353" s="28" t="s">
        <v>13</v>
      </c>
      <c r="E353" s="28" t="s">
        <v>61</v>
      </c>
      <c r="F353" s="28" t="s">
        <v>15</v>
      </c>
      <c r="G353" s="28" t="s">
        <v>65</v>
      </c>
      <c r="H353" s="27">
        <v>0</v>
      </c>
      <c r="I353" s="27">
        <v>230</v>
      </c>
      <c r="J353" s="28" t="s">
        <v>17</v>
      </c>
      <c r="K353" s="27">
        <v>25</v>
      </c>
      <c r="L353" s="28" t="s">
        <v>63</v>
      </c>
      <c r="M353" s="27">
        <v>0</v>
      </c>
      <c r="O353" s="23">
        <v>353</v>
      </c>
      <c r="P353" t="str">
        <f>IF(O353&gt;0,VLOOKUP($O353,Dep!$A:$M,3),"")</f>
        <v>12:06</v>
      </c>
      <c r="Q353" t="str">
        <f>IF(O353&gt;0,VLOOKUP($O353,Dep!$A:$M,6),"")</f>
        <v>ATL</v>
      </c>
      <c r="R353" t="str">
        <f>IF(O353&gt;0,VLOOKUP($O353,Dep!$A:$M,7),"")</f>
        <v>764</v>
      </c>
      <c r="S353">
        <f>IF(O353&gt;0,VLOOKUP($O353,Dep!$A:$M,9),"")</f>
        <v>230</v>
      </c>
      <c r="T353" t="str">
        <f>IF(O353&gt;0,VLOOKUP($O353,Dep!$A:$M,10),"")</f>
        <v>NAT</v>
      </c>
      <c r="U353" t="str">
        <f>IF(O353&gt;0,VLOOKUP($O353,Dep!$A:$M,12),"")</f>
        <v>DL</v>
      </c>
      <c r="V353" t="str">
        <f t="shared" si="68"/>
        <v/>
      </c>
      <c r="W353" t="str">
        <f t="shared" si="69"/>
        <v/>
      </c>
      <c r="X353" t="str">
        <f t="shared" si="70"/>
        <v/>
      </c>
      <c r="Y353">
        <f t="shared" si="65"/>
        <v>0</v>
      </c>
      <c r="Z353" t="str">
        <f t="shared" si="71"/>
        <v/>
      </c>
      <c r="AA353" s="20">
        <f t="shared" si="66"/>
        <v>4.513888888888884E-2</v>
      </c>
      <c r="AB353">
        <f t="shared" si="72"/>
        <v>352</v>
      </c>
      <c r="AC353" s="20" t="str">
        <f t="shared" si="73"/>
        <v>11:01</v>
      </c>
      <c r="AD353" s="20" t="str">
        <f t="shared" si="67"/>
        <v>12:06</v>
      </c>
      <c r="AE353" t="str">
        <f>VLOOKUP(G353,ACtypes!A:C,3,FALSE)</f>
        <v>D</v>
      </c>
      <c r="AF353" t="str">
        <f t="shared" si="74"/>
        <v/>
      </c>
      <c r="AG353" t="str">
        <f t="shared" si="75"/>
        <v/>
      </c>
      <c r="AH353">
        <f t="shared" si="76"/>
        <v>230</v>
      </c>
    </row>
    <row r="354" spans="1:34" x14ac:dyDescent="0.3">
      <c r="A354" s="41">
        <f t="shared" si="77"/>
        <v>353</v>
      </c>
      <c r="B354" s="27">
        <v>29</v>
      </c>
      <c r="C354" s="28" t="s">
        <v>66</v>
      </c>
      <c r="D354" s="28" t="s">
        <v>13</v>
      </c>
      <c r="E354" s="28" t="s">
        <v>61</v>
      </c>
      <c r="F354" s="28" t="s">
        <v>15</v>
      </c>
      <c r="G354" s="28" t="s">
        <v>65</v>
      </c>
      <c r="H354" s="27">
        <v>0</v>
      </c>
      <c r="I354" s="27">
        <v>230</v>
      </c>
      <c r="J354" s="28" t="s">
        <v>17</v>
      </c>
      <c r="K354" s="27">
        <v>25</v>
      </c>
      <c r="L354" s="28" t="s">
        <v>63</v>
      </c>
      <c r="M354" s="27">
        <v>0</v>
      </c>
      <c r="O354" s="23">
        <v>352</v>
      </c>
      <c r="P354" t="str">
        <f>IF(O354&gt;0,VLOOKUP($O354,Dep!$A:$M,3),"")</f>
        <v>08:50</v>
      </c>
      <c r="Q354" t="str">
        <f>IF(O354&gt;0,VLOOKUP($O354,Dep!$A:$M,6),"")</f>
        <v>ATL</v>
      </c>
      <c r="R354" t="str">
        <f>IF(O354&gt;0,VLOOKUP($O354,Dep!$A:$M,7),"")</f>
        <v>764</v>
      </c>
      <c r="S354">
        <f>IF(O354&gt;0,VLOOKUP($O354,Dep!$A:$M,9),"")</f>
        <v>230</v>
      </c>
      <c r="T354" t="str">
        <f>IF(O354&gt;0,VLOOKUP($O354,Dep!$A:$M,10),"")</f>
        <v>NAT</v>
      </c>
      <c r="U354" t="str">
        <f>IF(O354&gt;0,VLOOKUP($O354,Dep!$A:$M,12),"")</f>
        <v>DL</v>
      </c>
      <c r="V354" t="str">
        <f t="shared" si="68"/>
        <v/>
      </c>
      <c r="W354" t="str">
        <f t="shared" si="69"/>
        <v/>
      </c>
      <c r="X354" t="str">
        <f t="shared" si="70"/>
        <v/>
      </c>
      <c r="Y354">
        <f t="shared" si="65"/>
        <v>0</v>
      </c>
      <c r="Z354">
        <f t="shared" si="71"/>
        <v>1</v>
      </c>
      <c r="AA354" s="20">
        <f t="shared" si="66"/>
        <v>0.59652777777777788</v>
      </c>
      <c r="AB354">
        <f t="shared" si="72"/>
        <v>353</v>
      </c>
      <c r="AC354" s="20" t="str">
        <f t="shared" si="73"/>
        <v>18:31</v>
      </c>
      <c r="AD354" s="20" t="str">
        <f t="shared" si="67"/>
        <v>08:50</v>
      </c>
      <c r="AE354" t="str">
        <f>VLOOKUP(G354,ACtypes!A:C,3,FALSE)</f>
        <v>D</v>
      </c>
      <c r="AF354" t="str">
        <f t="shared" si="74"/>
        <v/>
      </c>
      <c r="AG354" t="str">
        <f t="shared" si="75"/>
        <v/>
      </c>
      <c r="AH354">
        <f t="shared" si="76"/>
        <v>230</v>
      </c>
    </row>
    <row r="355" spans="1:34" x14ac:dyDescent="0.3">
      <c r="A355" s="41">
        <f t="shared" si="77"/>
        <v>354</v>
      </c>
      <c r="B355" s="27">
        <v>27</v>
      </c>
      <c r="C355" s="28" t="s">
        <v>60</v>
      </c>
      <c r="D355" s="28" t="s">
        <v>13</v>
      </c>
      <c r="E355" s="28" t="s">
        <v>61</v>
      </c>
      <c r="F355" s="28" t="s">
        <v>15</v>
      </c>
      <c r="G355" s="28" t="s">
        <v>62</v>
      </c>
      <c r="H355" s="27">
        <v>0</v>
      </c>
      <c r="I355" s="27">
        <v>168</v>
      </c>
      <c r="J355" s="28" t="s">
        <v>17</v>
      </c>
      <c r="K355" s="27">
        <v>25</v>
      </c>
      <c r="L355" s="28" t="s">
        <v>63</v>
      </c>
      <c r="M355" s="27">
        <v>10.8</v>
      </c>
      <c r="O355" s="23">
        <v>354</v>
      </c>
      <c r="P355" t="str">
        <f>IF(O355&gt;0,VLOOKUP($O355,Dep!$A:$M,3),"")</f>
        <v>22:40</v>
      </c>
      <c r="Q355" t="str">
        <f>IF(O355&gt;0,VLOOKUP($O355,Dep!$A:$M,6),"")</f>
        <v>ATL</v>
      </c>
      <c r="R355" t="str">
        <f>IF(O355&gt;0,VLOOKUP($O355,Dep!$A:$M,7),"")</f>
        <v>767</v>
      </c>
      <c r="S355">
        <f>IF(O355&gt;0,VLOOKUP($O355,Dep!$A:$M,9),"")</f>
        <v>168</v>
      </c>
      <c r="T355" t="str">
        <f>IF(O355&gt;0,VLOOKUP($O355,Dep!$A:$M,10),"")</f>
        <v>NAT</v>
      </c>
      <c r="U355" t="str">
        <f>IF(O355&gt;0,VLOOKUP($O355,Dep!$A:$M,12),"")</f>
        <v>DL</v>
      </c>
      <c r="V355" t="str">
        <f t="shared" si="68"/>
        <v/>
      </c>
      <c r="W355" t="str">
        <f t="shared" si="69"/>
        <v/>
      </c>
      <c r="X355" t="str">
        <f t="shared" si="70"/>
        <v/>
      </c>
      <c r="Y355">
        <f t="shared" si="65"/>
        <v>0</v>
      </c>
      <c r="Z355" t="str">
        <f t="shared" si="71"/>
        <v/>
      </c>
      <c r="AA355" s="20">
        <f t="shared" si="66"/>
        <v>7.5694444444444509E-2</v>
      </c>
      <c r="AB355">
        <f t="shared" si="72"/>
        <v>354</v>
      </c>
      <c r="AC355" s="20" t="str">
        <f t="shared" si="73"/>
        <v>20:51</v>
      </c>
      <c r="AD355" s="20" t="str">
        <f t="shared" si="67"/>
        <v>22:40</v>
      </c>
      <c r="AE355" t="str">
        <f>VLOOKUP(G355,ACtypes!A:C,3,FALSE)</f>
        <v>D</v>
      </c>
      <c r="AF355" t="str">
        <f t="shared" si="74"/>
        <v/>
      </c>
      <c r="AG355" t="str">
        <f t="shared" si="75"/>
        <v/>
      </c>
      <c r="AH355">
        <f t="shared" si="76"/>
        <v>168</v>
      </c>
    </row>
    <row r="356" spans="1:34" x14ac:dyDescent="0.3">
      <c r="A356" s="41">
        <f t="shared" si="77"/>
        <v>355</v>
      </c>
      <c r="B356" s="27">
        <v>918</v>
      </c>
      <c r="C356" s="28" t="s">
        <v>469</v>
      </c>
      <c r="D356" s="28" t="s">
        <v>13</v>
      </c>
      <c r="E356" s="28" t="s">
        <v>464</v>
      </c>
      <c r="F356" s="28" t="s">
        <v>15</v>
      </c>
      <c r="G356" s="28" t="s">
        <v>186</v>
      </c>
      <c r="H356" s="27">
        <v>0</v>
      </c>
      <c r="I356" s="27">
        <v>56</v>
      </c>
      <c r="J356" s="28" t="s">
        <v>17</v>
      </c>
      <c r="K356" s="27">
        <v>25</v>
      </c>
      <c r="L356" s="28" t="s">
        <v>63</v>
      </c>
      <c r="M356" s="27">
        <v>0</v>
      </c>
      <c r="O356" s="23">
        <v>355</v>
      </c>
      <c r="P356" t="str">
        <f>IF(O356&gt;0,VLOOKUP($O356,Dep!$A:$M,3),"")</f>
        <v>09:41</v>
      </c>
      <c r="Q356" t="str">
        <f>IF(O356&gt;0,VLOOKUP($O356,Dep!$A:$M,6),"")</f>
        <v>SLC</v>
      </c>
      <c r="R356" t="str">
        <f>IF(O356&gt;0,VLOOKUP($O356,Dep!$A:$M,7),"")</f>
        <v>CR7</v>
      </c>
      <c r="S356">
        <f>IF(O356&gt;0,VLOOKUP($O356,Dep!$A:$M,9),"")</f>
        <v>56</v>
      </c>
      <c r="T356" t="str">
        <f>IF(O356&gt;0,VLOOKUP($O356,Dep!$A:$M,10),"")</f>
        <v>NAT</v>
      </c>
      <c r="U356" t="str">
        <f>IF(O356&gt;0,VLOOKUP($O356,Dep!$A:$M,12),"")</f>
        <v>DL</v>
      </c>
      <c r="V356" t="str">
        <f t="shared" si="68"/>
        <v/>
      </c>
      <c r="W356" t="str">
        <f t="shared" si="69"/>
        <v/>
      </c>
      <c r="X356" t="str">
        <f t="shared" si="70"/>
        <v/>
      </c>
      <c r="Y356">
        <f t="shared" si="65"/>
        <v>0</v>
      </c>
      <c r="Z356" t="str">
        <f t="shared" si="71"/>
        <v/>
      </c>
      <c r="AA356" s="20">
        <f t="shared" si="66"/>
        <v>2.430555555555558E-2</v>
      </c>
      <c r="AB356">
        <f t="shared" si="72"/>
        <v>355</v>
      </c>
      <c r="AC356" s="20" t="str">
        <f t="shared" si="73"/>
        <v>09:06</v>
      </c>
      <c r="AD356" s="20" t="str">
        <f t="shared" si="67"/>
        <v>09:41</v>
      </c>
      <c r="AE356" t="str">
        <f>VLOOKUP(G356,ACtypes!A:C,3,FALSE)</f>
        <v>C</v>
      </c>
      <c r="AF356" t="str">
        <f t="shared" si="74"/>
        <v/>
      </c>
      <c r="AG356" t="str">
        <f t="shared" si="75"/>
        <v/>
      </c>
      <c r="AH356">
        <f t="shared" si="76"/>
        <v>56</v>
      </c>
    </row>
    <row r="357" spans="1:34" x14ac:dyDescent="0.3">
      <c r="A357" s="41">
        <f t="shared" si="77"/>
        <v>356</v>
      </c>
      <c r="B357" s="27">
        <v>919</v>
      </c>
      <c r="C357" s="28" t="s">
        <v>470</v>
      </c>
      <c r="D357" s="28" t="s">
        <v>13</v>
      </c>
      <c r="E357" s="28" t="s">
        <v>464</v>
      </c>
      <c r="F357" s="28" t="s">
        <v>15</v>
      </c>
      <c r="G357" s="28" t="s">
        <v>186</v>
      </c>
      <c r="H357" s="27">
        <v>0</v>
      </c>
      <c r="I357" s="27">
        <v>56</v>
      </c>
      <c r="J357" s="28" t="s">
        <v>17</v>
      </c>
      <c r="K357" s="27">
        <v>25</v>
      </c>
      <c r="L357" s="28" t="s">
        <v>63</v>
      </c>
      <c r="M357" s="27">
        <v>0</v>
      </c>
      <c r="O357" s="23">
        <v>356</v>
      </c>
      <c r="P357" t="str">
        <f>IF(O357&gt;0,VLOOKUP($O357,Dep!$A:$M,3),"")</f>
        <v>19:07</v>
      </c>
      <c r="Q357" t="str">
        <f>IF(O357&gt;0,VLOOKUP($O357,Dep!$A:$M,6),"")</f>
        <v>SLC</v>
      </c>
      <c r="R357" t="str">
        <f>IF(O357&gt;0,VLOOKUP($O357,Dep!$A:$M,7),"")</f>
        <v>CR7</v>
      </c>
      <c r="S357">
        <f>IF(O357&gt;0,VLOOKUP($O357,Dep!$A:$M,9),"")</f>
        <v>56</v>
      </c>
      <c r="T357" t="str">
        <f>IF(O357&gt;0,VLOOKUP($O357,Dep!$A:$M,10),"")</f>
        <v>NAT</v>
      </c>
      <c r="U357" t="str">
        <f>IF(O357&gt;0,VLOOKUP($O357,Dep!$A:$M,12),"")</f>
        <v>DL</v>
      </c>
      <c r="V357" t="str">
        <f t="shared" si="68"/>
        <v/>
      </c>
      <c r="W357" t="str">
        <f t="shared" si="69"/>
        <v/>
      </c>
      <c r="X357" t="str">
        <f t="shared" si="70"/>
        <v/>
      </c>
      <c r="Y357">
        <f t="shared" si="65"/>
        <v>0</v>
      </c>
      <c r="Z357" t="str">
        <f t="shared" si="71"/>
        <v/>
      </c>
      <c r="AA357" s="20">
        <f t="shared" si="66"/>
        <v>2.430555555555558E-2</v>
      </c>
      <c r="AB357">
        <f t="shared" si="72"/>
        <v>356</v>
      </c>
      <c r="AC357" s="20" t="str">
        <f t="shared" si="73"/>
        <v>18:32</v>
      </c>
      <c r="AD357" s="20" t="str">
        <f t="shared" si="67"/>
        <v>19:07</v>
      </c>
      <c r="AE357" t="str">
        <f>VLOOKUP(G357,ACtypes!A:C,3,FALSE)</f>
        <v>C</v>
      </c>
      <c r="AF357" t="str">
        <f t="shared" si="74"/>
        <v/>
      </c>
      <c r="AG357" t="str">
        <f t="shared" si="75"/>
        <v/>
      </c>
      <c r="AH357">
        <f t="shared" si="76"/>
        <v>56</v>
      </c>
    </row>
    <row r="358" spans="1:34" x14ac:dyDescent="0.3">
      <c r="A358" s="41">
        <f t="shared" si="77"/>
        <v>357</v>
      </c>
      <c r="B358" s="27">
        <v>922</v>
      </c>
      <c r="C358" s="28" t="s">
        <v>459</v>
      </c>
      <c r="D358" s="28" t="s">
        <v>13</v>
      </c>
      <c r="E358" s="28" t="s">
        <v>464</v>
      </c>
      <c r="F358" s="28" t="s">
        <v>15</v>
      </c>
      <c r="G358" s="28" t="s">
        <v>472</v>
      </c>
      <c r="H358" s="27">
        <v>0</v>
      </c>
      <c r="I358" s="27">
        <v>40</v>
      </c>
      <c r="J358" s="28" t="s">
        <v>17</v>
      </c>
      <c r="K358" s="27">
        <v>25</v>
      </c>
      <c r="L358" s="28" t="s">
        <v>63</v>
      </c>
      <c r="M358" s="27">
        <v>0</v>
      </c>
      <c r="O358" s="23">
        <v>357</v>
      </c>
      <c r="P358" t="str">
        <f>IF(O358&gt;0,VLOOKUP($O358,Dep!$A:$M,3),"")</f>
        <v>11:21</v>
      </c>
      <c r="Q358" t="str">
        <f>IF(O358&gt;0,VLOOKUP($O358,Dep!$A:$M,6),"")</f>
        <v>SLC</v>
      </c>
      <c r="R358" t="str">
        <f>IF(O358&gt;0,VLOOKUP($O358,Dep!$A:$M,7),"")</f>
        <v>CRJ</v>
      </c>
      <c r="S358">
        <f>IF(O358&gt;0,VLOOKUP($O358,Dep!$A:$M,9),"")</f>
        <v>40</v>
      </c>
      <c r="T358" t="str">
        <f>IF(O358&gt;0,VLOOKUP($O358,Dep!$A:$M,10),"")</f>
        <v>NAT</v>
      </c>
      <c r="U358" t="str">
        <f>IF(O358&gt;0,VLOOKUP($O358,Dep!$A:$M,12),"")</f>
        <v>DL</v>
      </c>
      <c r="V358" t="str">
        <f t="shared" si="68"/>
        <v/>
      </c>
      <c r="W358" t="str">
        <f t="shared" si="69"/>
        <v/>
      </c>
      <c r="X358" t="str">
        <f t="shared" si="70"/>
        <v/>
      </c>
      <c r="Y358">
        <f t="shared" si="65"/>
        <v>0</v>
      </c>
      <c r="Z358" t="str">
        <f t="shared" si="71"/>
        <v/>
      </c>
      <c r="AA358" s="20">
        <f t="shared" si="66"/>
        <v>2.0833333333333315E-2</v>
      </c>
      <c r="AB358">
        <f t="shared" si="72"/>
        <v>357</v>
      </c>
      <c r="AC358" s="20" t="str">
        <f t="shared" si="73"/>
        <v>10:51</v>
      </c>
      <c r="AD358" s="20" t="str">
        <f t="shared" si="67"/>
        <v>11:21</v>
      </c>
      <c r="AE358" t="str">
        <f>VLOOKUP(G358,ACtypes!A:C,3,FALSE)</f>
        <v>C</v>
      </c>
      <c r="AF358" t="str">
        <f t="shared" si="74"/>
        <v/>
      </c>
      <c r="AG358" t="str">
        <f t="shared" si="75"/>
        <v/>
      </c>
      <c r="AH358">
        <f t="shared" si="76"/>
        <v>40</v>
      </c>
    </row>
    <row r="359" spans="1:34" x14ac:dyDescent="0.3">
      <c r="A359" s="41">
        <f t="shared" si="77"/>
        <v>358</v>
      </c>
      <c r="B359" s="27">
        <v>921</v>
      </c>
      <c r="C359" s="28" t="s">
        <v>471</v>
      </c>
      <c r="D359" s="28" t="s">
        <v>13</v>
      </c>
      <c r="E359" s="28" t="s">
        <v>464</v>
      </c>
      <c r="F359" s="28" t="s">
        <v>15</v>
      </c>
      <c r="G359" s="28" t="s">
        <v>472</v>
      </c>
      <c r="H359" s="27">
        <v>0</v>
      </c>
      <c r="I359" s="27">
        <v>40</v>
      </c>
      <c r="J359" s="28" t="s">
        <v>17</v>
      </c>
      <c r="K359" s="27">
        <v>25</v>
      </c>
      <c r="L359" s="28" t="s">
        <v>63</v>
      </c>
      <c r="M359" s="27">
        <v>0</v>
      </c>
      <c r="O359" s="23">
        <v>358</v>
      </c>
      <c r="P359" t="str">
        <f>IF(O359&gt;0,VLOOKUP($O359,Dep!$A:$M,3),"")</f>
        <v>18:01</v>
      </c>
      <c r="Q359" t="str">
        <f>IF(O359&gt;0,VLOOKUP($O359,Dep!$A:$M,6),"")</f>
        <v>SLC</v>
      </c>
      <c r="R359" t="str">
        <f>IF(O359&gt;0,VLOOKUP($O359,Dep!$A:$M,7),"")</f>
        <v>CRJ</v>
      </c>
      <c r="S359">
        <f>IF(O359&gt;0,VLOOKUP($O359,Dep!$A:$M,9),"")</f>
        <v>40</v>
      </c>
      <c r="T359" t="str">
        <f>IF(O359&gt;0,VLOOKUP($O359,Dep!$A:$M,10),"")</f>
        <v>NAT</v>
      </c>
      <c r="U359" t="str">
        <f>IF(O359&gt;0,VLOOKUP($O359,Dep!$A:$M,12),"")</f>
        <v>DL</v>
      </c>
      <c r="V359" t="str">
        <f t="shared" si="68"/>
        <v/>
      </c>
      <c r="W359" t="str">
        <f t="shared" si="69"/>
        <v/>
      </c>
      <c r="X359" t="str">
        <f t="shared" si="70"/>
        <v/>
      </c>
      <c r="Y359">
        <f t="shared" si="65"/>
        <v>0</v>
      </c>
      <c r="Z359" t="str">
        <f t="shared" si="71"/>
        <v/>
      </c>
      <c r="AA359" s="20">
        <f t="shared" si="66"/>
        <v>1.7361111111111049E-2</v>
      </c>
      <c r="AB359">
        <f t="shared" si="72"/>
        <v>358</v>
      </c>
      <c r="AC359" s="20" t="str">
        <f t="shared" si="73"/>
        <v>17:36</v>
      </c>
      <c r="AD359" s="20" t="str">
        <f t="shared" si="67"/>
        <v>18:01</v>
      </c>
      <c r="AE359" t="str">
        <f>VLOOKUP(G359,ACtypes!A:C,3,FALSE)</f>
        <v>C</v>
      </c>
      <c r="AF359" t="str">
        <f t="shared" si="74"/>
        <v/>
      </c>
      <c r="AG359" t="str">
        <f t="shared" si="75"/>
        <v/>
      </c>
      <c r="AH359">
        <f t="shared" si="76"/>
        <v>40</v>
      </c>
    </row>
    <row r="360" spans="1:34" x14ac:dyDescent="0.3">
      <c r="A360" s="41">
        <f t="shared" si="77"/>
        <v>359</v>
      </c>
      <c r="B360" s="27">
        <v>912</v>
      </c>
      <c r="C360" s="28" t="s">
        <v>463</v>
      </c>
      <c r="D360" s="28" t="s">
        <v>13</v>
      </c>
      <c r="E360" s="28" t="s">
        <v>464</v>
      </c>
      <c r="F360" s="28" t="s">
        <v>15</v>
      </c>
      <c r="G360" s="28" t="s">
        <v>465</v>
      </c>
      <c r="H360" s="27">
        <v>0</v>
      </c>
      <c r="I360" s="27">
        <v>120</v>
      </c>
      <c r="J360" s="28" t="s">
        <v>17</v>
      </c>
      <c r="K360" s="27">
        <v>25</v>
      </c>
      <c r="L360" s="28" t="s">
        <v>63</v>
      </c>
      <c r="M360" s="27">
        <v>0</v>
      </c>
      <c r="O360" s="23">
        <v>359</v>
      </c>
      <c r="P360" t="str">
        <f>IF(O360&gt;0,VLOOKUP($O360,Dep!$A:$M,3),"")</f>
        <v>07:20</v>
      </c>
      <c r="Q360" t="str">
        <f>IF(O360&gt;0,VLOOKUP($O360,Dep!$A:$M,6),"")</f>
        <v>SLC</v>
      </c>
      <c r="R360" t="str">
        <f>IF(O360&gt;0,VLOOKUP($O360,Dep!$A:$M,7),"")</f>
        <v>M90</v>
      </c>
      <c r="S360">
        <f>IF(O360&gt;0,VLOOKUP($O360,Dep!$A:$M,9),"")</f>
        <v>120</v>
      </c>
      <c r="T360" t="str">
        <f>IF(O360&gt;0,VLOOKUP($O360,Dep!$A:$M,10),"")</f>
        <v>NAT</v>
      </c>
      <c r="U360" t="str">
        <f>IF(O360&gt;0,VLOOKUP($O360,Dep!$A:$M,12),"")</f>
        <v>DL</v>
      </c>
      <c r="V360" t="str">
        <f t="shared" si="68"/>
        <v/>
      </c>
      <c r="W360" t="str">
        <f t="shared" si="69"/>
        <v/>
      </c>
      <c r="X360" t="str">
        <f t="shared" si="70"/>
        <v/>
      </c>
      <c r="Y360">
        <f t="shared" si="65"/>
        <v>0</v>
      </c>
      <c r="Z360">
        <f t="shared" si="71"/>
        <v>1</v>
      </c>
      <c r="AA360" s="20">
        <f t="shared" si="66"/>
        <v>0.46805555555555545</v>
      </c>
      <c r="AB360">
        <f t="shared" si="72"/>
        <v>359</v>
      </c>
      <c r="AC360" s="20" t="str">
        <f t="shared" si="73"/>
        <v>20:06</v>
      </c>
      <c r="AD360" s="20" t="str">
        <f t="shared" si="67"/>
        <v>07:20</v>
      </c>
      <c r="AE360" t="str">
        <f>VLOOKUP(G360,ACtypes!A:C,3,FALSE)</f>
        <v>C</v>
      </c>
      <c r="AF360" t="str">
        <f t="shared" si="74"/>
        <v/>
      </c>
      <c r="AG360" t="str">
        <f t="shared" si="75"/>
        <v/>
      </c>
      <c r="AH360">
        <f t="shared" si="76"/>
        <v>120</v>
      </c>
    </row>
    <row r="361" spans="1:34" x14ac:dyDescent="0.3">
      <c r="A361" s="41">
        <f t="shared" si="77"/>
        <v>360</v>
      </c>
      <c r="B361" s="27">
        <v>78</v>
      </c>
      <c r="C361" s="28" t="s">
        <v>134</v>
      </c>
      <c r="D361" s="28" t="s">
        <v>13</v>
      </c>
      <c r="E361" s="28" t="s">
        <v>124</v>
      </c>
      <c r="F361" s="28" t="s">
        <v>15</v>
      </c>
      <c r="G361" s="28" t="s">
        <v>135</v>
      </c>
      <c r="H361" s="27">
        <v>0</v>
      </c>
      <c r="I361" s="27">
        <v>91</v>
      </c>
      <c r="J361" s="28" t="s">
        <v>17</v>
      </c>
      <c r="K361" s="27">
        <v>25</v>
      </c>
      <c r="L361" s="28" t="s">
        <v>136</v>
      </c>
      <c r="M361" s="27">
        <v>0</v>
      </c>
      <c r="O361" s="23">
        <v>360</v>
      </c>
      <c r="P361" t="str">
        <f>IF(O361&gt;0,VLOOKUP($O361,Dep!$A:$M,3),"")</f>
        <v>10:55</v>
      </c>
      <c r="Q361" t="str">
        <f>IF(O361&gt;0,VLOOKUP($O361,Dep!$A:$M,6),"")</f>
        <v>DEN</v>
      </c>
      <c r="R361" t="str">
        <f>IF(O361&gt;0,VLOOKUP($O361,Dep!$A:$M,7),"")</f>
        <v>318</v>
      </c>
      <c r="S361">
        <f>IF(O361&gt;0,VLOOKUP($O361,Dep!$A:$M,9),"")</f>
        <v>91</v>
      </c>
      <c r="T361" t="str">
        <f>IF(O361&gt;0,VLOOKUP($O361,Dep!$A:$M,10),"")</f>
        <v>NAT</v>
      </c>
      <c r="U361" t="str">
        <f>IF(O361&gt;0,VLOOKUP($O361,Dep!$A:$M,12),"")</f>
        <v>F9</v>
      </c>
      <c r="V361" t="str">
        <f t="shared" si="68"/>
        <v/>
      </c>
      <c r="W361" t="str">
        <f t="shared" si="69"/>
        <v/>
      </c>
      <c r="X361" t="str">
        <f t="shared" si="70"/>
        <v/>
      </c>
      <c r="Y361">
        <f t="shared" si="65"/>
        <v>0</v>
      </c>
      <c r="Z361" t="str">
        <f t="shared" si="71"/>
        <v/>
      </c>
      <c r="AA361" s="20">
        <f t="shared" si="66"/>
        <v>2.777777777777779E-2</v>
      </c>
      <c r="AB361">
        <f t="shared" si="72"/>
        <v>360</v>
      </c>
      <c r="AC361" s="20" t="str">
        <f t="shared" si="73"/>
        <v>10:15</v>
      </c>
      <c r="AD361" s="20" t="str">
        <f t="shared" si="67"/>
        <v>10:55</v>
      </c>
      <c r="AE361" t="str">
        <f>VLOOKUP(G361,ACtypes!A:C,3,FALSE)</f>
        <v>C</v>
      </c>
      <c r="AF361" t="str">
        <f t="shared" si="74"/>
        <v/>
      </c>
      <c r="AG361" t="str">
        <f t="shared" si="75"/>
        <v/>
      </c>
      <c r="AH361">
        <f t="shared" si="76"/>
        <v>91</v>
      </c>
    </row>
    <row r="362" spans="1:34" x14ac:dyDescent="0.3">
      <c r="A362" s="41">
        <f t="shared" si="77"/>
        <v>361</v>
      </c>
      <c r="B362" s="27">
        <v>84</v>
      </c>
      <c r="C362" s="28" t="s">
        <v>141</v>
      </c>
      <c r="D362" s="28" t="s">
        <v>13</v>
      </c>
      <c r="E362" s="28" t="s">
        <v>124</v>
      </c>
      <c r="F362" s="28" t="s">
        <v>15</v>
      </c>
      <c r="G362" s="28" t="s">
        <v>40</v>
      </c>
      <c r="H362" s="27">
        <v>0</v>
      </c>
      <c r="I362" s="27">
        <v>106</v>
      </c>
      <c r="J362" s="28" t="s">
        <v>17</v>
      </c>
      <c r="K362" s="27">
        <v>25</v>
      </c>
      <c r="L362" s="28" t="s">
        <v>136</v>
      </c>
      <c r="M362" s="27">
        <v>0</v>
      </c>
      <c r="O362" s="23">
        <v>362</v>
      </c>
      <c r="P362" t="str">
        <f>IF(O362&gt;0,VLOOKUP($O362,Dep!$A:$M,3),"")</f>
        <v>09:25</v>
      </c>
      <c r="Q362" t="str">
        <f>IF(O362&gt;0,VLOOKUP($O362,Dep!$A:$M,6),"")</f>
        <v>DEN</v>
      </c>
      <c r="R362" t="str">
        <f>IF(O362&gt;0,VLOOKUP($O362,Dep!$A:$M,7),"")</f>
        <v>319</v>
      </c>
      <c r="S362">
        <f>IF(O362&gt;0,VLOOKUP($O362,Dep!$A:$M,9),"")</f>
        <v>106</v>
      </c>
      <c r="T362" t="str">
        <f>IF(O362&gt;0,VLOOKUP($O362,Dep!$A:$M,10),"")</f>
        <v>NAT</v>
      </c>
      <c r="U362" t="str">
        <f>IF(O362&gt;0,VLOOKUP($O362,Dep!$A:$M,12),"")</f>
        <v>F9</v>
      </c>
      <c r="V362" t="str">
        <f t="shared" si="68"/>
        <v/>
      </c>
      <c r="W362" t="str">
        <f t="shared" si="69"/>
        <v/>
      </c>
      <c r="X362" t="str">
        <f t="shared" si="70"/>
        <v/>
      </c>
      <c r="Y362">
        <f t="shared" si="65"/>
        <v>0</v>
      </c>
      <c r="Z362" t="str">
        <f t="shared" si="71"/>
        <v/>
      </c>
      <c r="AA362" s="20">
        <f t="shared" si="66"/>
        <v>2.777777777777779E-2</v>
      </c>
      <c r="AB362">
        <f t="shared" si="72"/>
        <v>361</v>
      </c>
      <c r="AC362" s="20" t="str">
        <f t="shared" si="73"/>
        <v>08:45</v>
      </c>
      <c r="AD362" s="20" t="str">
        <f t="shared" si="67"/>
        <v>09:25</v>
      </c>
      <c r="AE362" t="str">
        <f>VLOOKUP(G362,ACtypes!A:C,3,FALSE)</f>
        <v>C</v>
      </c>
      <c r="AF362" t="str">
        <f t="shared" si="74"/>
        <v/>
      </c>
      <c r="AG362" t="str">
        <f t="shared" si="75"/>
        <v/>
      </c>
      <c r="AH362">
        <f t="shared" si="76"/>
        <v>106</v>
      </c>
    </row>
    <row r="363" spans="1:34" x14ac:dyDescent="0.3">
      <c r="A363" s="41">
        <f t="shared" si="77"/>
        <v>362</v>
      </c>
      <c r="B363" s="27">
        <v>85</v>
      </c>
      <c r="C363" s="28" t="s">
        <v>142</v>
      </c>
      <c r="D363" s="28" t="s">
        <v>13</v>
      </c>
      <c r="E363" s="28" t="s">
        <v>124</v>
      </c>
      <c r="F363" s="28" t="s">
        <v>15</v>
      </c>
      <c r="G363" s="28" t="s">
        <v>40</v>
      </c>
      <c r="H363" s="27">
        <v>0</v>
      </c>
      <c r="I363" s="27">
        <v>106</v>
      </c>
      <c r="J363" s="28" t="s">
        <v>17</v>
      </c>
      <c r="K363" s="27">
        <v>25</v>
      </c>
      <c r="L363" s="28" t="s">
        <v>136</v>
      </c>
      <c r="M363" s="27">
        <v>0</v>
      </c>
      <c r="O363" s="23">
        <v>363</v>
      </c>
      <c r="P363" t="str">
        <f>IF(O363&gt;0,VLOOKUP($O363,Dep!$A:$M,3),"")</f>
        <v>14:40</v>
      </c>
      <c r="Q363" t="str">
        <f>IF(O363&gt;0,VLOOKUP($O363,Dep!$A:$M,6),"")</f>
        <v>DEN</v>
      </c>
      <c r="R363" t="str">
        <f>IF(O363&gt;0,VLOOKUP($O363,Dep!$A:$M,7),"")</f>
        <v>319</v>
      </c>
      <c r="S363">
        <f>IF(O363&gt;0,VLOOKUP($O363,Dep!$A:$M,9),"")</f>
        <v>106</v>
      </c>
      <c r="T363" t="str">
        <f>IF(O363&gt;0,VLOOKUP($O363,Dep!$A:$M,10),"")</f>
        <v>NAT</v>
      </c>
      <c r="U363" t="str">
        <f>IF(O363&gt;0,VLOOKUP($O363,Dep!$A:$M,12),"")</f>
        <v>F9</v>
      </c>
      <c r="V363" t="str">
        <f t="shared" si="68"/>
        <v/>
      </c>
      <c r="W363" t="str">
        <f t="shared" si="69"/>
        <v/>
      </c>
      <c r="X363" t="str">
        <f t="shared" si="70"/>
        <v/>
      </c>
      <c r="Y363">
        <f t="shared" si="65"/>
        <v>0</v>
      </c>
      <c r="Z363" t="str">
        <f t="shared" si="71"/>
        <v/>
      </c>
      <c r="AA363" s="20">
        <f t="shared" si="66"/>
        <v>2.7777777777777679E-2</v>
      </c>
      <c r="AB363">
        <f t="shared" si="72"/>
        <v>362</v>
      </c>
      <c r="AC363" s="20" t="str">
        <f t="shared" si="73"/>
        <v>14:00</v>
      </c>
      <c r="AD363" s="20" t="str">
        <f t="shared" si="67"/>
        <v>14:40</v>
      </c>
      <c r="AE363" t="str">
        <f>VLOOKUP(G363,ACtypes!A:C,3,FALSE)</f>
        <v>C</v>
      </c>
      <c r="AF363" t="str">
        <f t="shared" si="74"/>
        <v/>
      </c>
      <c r="AG363" t="str">
        <f t="shared" si="75"/>
        <v/>
      </c>
      <c r="AH363">
        <f t="shared" si="76"/>
        <v>106</v>
      </c>
    </row>
    <row r="364" spans="1:34" x14ac:dyDescent="0.3">
      <c r="A364" s="41">
        <f t="shared" si="77"/>
        <v>363</v>
      </c>
      <c r="B364" s="27">
        <v>86</v>
      </c>
      <c r="C364" s="28" t="s">
        <v>143</v>
      </c>
      <c r="D364" s="28" t="s">
        <v>13</v>
      </c>
      <c r="E364" s="28" t="s">
        <v>124</v>
      </c>
      <c r="F364" s="28" t="s">
        <v>15</v>
      </c>
      <c r="G364" s="28" t="s">
        <v>40</v>
      </c>
      <c r="H364" s="27">
        <v>0</v>
      </c>
      <c r="I364" s="27">
        <v>106</v>
      </c>
      <c r="J364" s="28" t="s">
        <v>17</v>
      </c>
      <c r="K364" s="27">
        <v>25</v>
      </c>
      <c r="L364" s="28" t="s">
        <v>136</v>
      </c>
      <c r="M364" s="27">
        <v>0</v>
      </c>
      <c r="O364" s="23">
        <v>364</v>
      </c>
      <c r="P364" t="str">
        <f>IF(O364&gt;0,VLOOKUP($O364,Dep!$A:$M,3),"")</f>
        <v>20:15</v>
      </c>
      <c r="Q364" t="str">
        <f>IF(O364&gt;0,VLOOKUP($O364,Dep!$A:$M,6),"")</f>
        <v>DEN</v>
      </c>
      <c r="R364" t="str">
        <f>IF(O364&gt;0,VLOOKUP($O364,Dep!$A:$M,7),"")</f>
        <v>319</v>
      </c>
      <c r="S364">
        <f>IF(O364&gt;0,VLOOKUP($O364,Dep!$A:$M,9),"")</f>
        <v>106</v>
      </c>
      <c r="T364" t="str">
        <f>IF(O364&gt;0,VLOOKUP($O364,Dep!$A:$M,10),"")</f>
        <v>NAT</v>
      </c>
      <c r="U364" t="str">
        <f>IF(O364&gt;0,VLOOKUP($O364,Dep!$A:$M,12),"")</f>
        <v>F9</v>
      </c>
      <c r="V364" t="str">
        <f t="shared" si="68"/>
        <v/>
      </c>
      <c r="W364" t="str">
        <f t="shared" si="69"/>
        <v/>
      </c>
      <c r="X364" t="str">
        <f t="shared" si="70"/>
        <v/>
      </c>
      <c r="Y364">
        <f t="shared" si="65"/>
        <v>0</v>
      </c>
      <c r="Z364" t="str">
        <f t="shared" si="71"/>
        <v/>
      </c>
      <c r="AA364" s="20">
        <f t="shared" si="66"/>
        <v>2.777777777777779E-2</v>
      </c>
      <c r="AB364">
        <f t="shared" si="72"/>
        <v>363</v>
      </c>
      <c r="AC364" s="20" t="str">
        <f t="shared" si="73"/>
        <v>19:35</v>
      </c>
      <c r="AD364" s="20" t="str">
        <f t="shared" si="67"/>
        <v>20:15</v>
      </c>
      <c r="AE364" t="str">
        <f>VLOOKUP(G364,ACtypes!A:C,3,FALSE)</f>
        <v>C</v>
      </c>
      <c r="AF364" t="str">
        <f t="shared" si="74"/>
        <v/>
      </c>
      <c r="AG364" t="str">
        <f t="shared" si="75"/>
        <v/>
      </c>
      <c r="AH364">
        <f t="shared" si="76"/>
        <v>106</v>
      </c>
    </row>
    <row r="365" spans="1:34" x14ac:dyDescent="0.3">
      <c r="A365" s="41">
        <f t="shared" si="77"/>
        <v>364</v>
      </c>
      <c r="B365" s="27">
        <v>83</v>
      </c>
      <c r="C365" s="28" t="s">
        <v>140</v>
      </c>
      <c r="D365" s="28" t="s">
        <v>13</v>
      </c>
      <c r="E365" s="28" t="s">
        <v>124</v>
      </c>
      <c r="F365" s="28" t="s">
        <v>15</v>
      </c>
      <c r="G365" s="28" t="s">
        <v>40</v>
      </c>
      <c r="H365" s="27">
        <v>0</v>
      </c>
      <c r="I365" s="27">
        <v>106</v>
      </c>
      <c r="J365" s="28" t="s">
        <v>17</v>
      </c>
      <c r="K365" s="27">
        <v>25</v>
      </c>
      <c r="L365" s="28" t="s">
        <v>136</v>
      </c>
      <c r="M365" s="27">
        <v>0</v>
      </c>
      <c r="O365" s="23">
        <v>361</v>
      </c>
      <c r="P365" t="str">
        <f>IF(O365&gt;0,VLOOKUP($O365,Dep!$A:$M,3),"")</f>
        <v>06:20</v>
      </c>
      <c r="Q365" t="str">
        <f>IF(O365&gt;0,VLOOKUP($O365,Dep!$A:$M,6),"")</f>
        <v>DEN</v>
      </c>
      <c r="R365" t="str">
        <f>IF(O365&gt;0,VLOOKUP($O365,Dep!$A:$M,7),"")</f>
        <v>319</v>
      </c>
      <c r="S365">
        <f>IF(O365&gt;0,VLOOKUP($O365,Dep!$A:$M,9),"")</f>
        <v>106</v>
      </c>
      <c r="T365" t="str">
        <f>IF(O365&gt;0,VLOOKUP($O365,Dep!$A:$M,10),"")</f>
        <v>NAT</v>
      </c>
      <c r="U365" t="str">
        <f>IF(O365&gt;0,VLOOKUP($O365,Dep!$A:$M,12),"")</f>
        <v>F9</v>
      </c>
      <c r="V365" t="str">
        <f t="shared" si="68"/>
        <v/>
      </c>
      <c r="W365" t="str">
        <f t="shared" si="69"/>
        <v/>
      </c>
      <c r="X365" t="str">
        <f t="shared" si="70"/>
        <v/>
      </c>
      <c r="Y365">
        <f t="shared" si="65"/>
        <v>0</v>
      </c>
      <c r="Z365">
        <f t="shared" si="71"/>
        <v>1</v>
      </c>
      <c r="AA365" s="20">
        <f t="shared" si="66"/>
        <v>0.30902777777777768</v>
      </c>
      <c r="AB365">
        <f t="shared" si="72"/>
        <v>364</v>
      </c>
      <c r="AC365" s="20" t="str">
        <f t="shared" si="73"/>
        <v>22:55</v>
      </c>
      <c r="AD365" s="20" t="str">
        <f t="shared" si="67"/>
        <v>06:20</v>
      </c>
      <c r="AE365" t="str">
        <f>VLOOKUP(G365,ACtypes!A:C,3,FALSE)</f>
        <v>C</v>
      </c>
      <c r="AF365" t="str">
        <f t="shared" si="74"/>
        <v/>
      </c>
      <c r="AG365" t="str">
        <f t="shared" si="75"/>
        <v/>
      </c>
      <c r="AH365">
        <f t="shared" si="76"/>
        <v>106</v>
      </c>
    </row>
    <row r="366" spans="1:34" x14ac:dyDescent="0.3">
      <c r="A366" s="41">
        <f t="shared" si="77"/>
        <v>365</v>
      </c>
      <c r="B366" s="27">
        <v>269</v>
      </c>
      <c r="C366" s="28" t="s">
        <v>345</v>
      </c>
      <c r="D366" s="28" t="s">
        <v>13</v>
      </c>
      <c r="E366" s="28" t="s">
        <v>335</v>
      </c>
      <c r="F366" s="28" t="s">
        <v>15</v>
      </c>
      <c r="G366" s="28" t="s">
        <v>346</v>
      </c>
      <c r="H366" s="27">
        <v>0</v>
      </c>
      <c r="I366" s="27">
        <v>0</v>
      </c>
      <c r="J366" s="28" t="s">
        <v>17</v>
      </c>
      <c r="K366" s="27">
        <v>25</v>
      </c>
      <c r="L366" s="28" t="s">
        <v>347</v>
      </c>
      <c r="M366" s="27">
        <v>65.599999999999994</v>
      </c>
      <c r="O366" s="23">
        <v>365</v>
      </c>
      <c r="P366" t="str">
        <f>IF(O366&gt;0,VLOOKUP($O366,Dep!$A:$M,3),"")</f>
        <v>05:25</v>
      </c>
      <c r="Q366" t="str">
        <f>IF(O366&gt;0,VLOOKUP($O366,Dep!$A:$M,6),"")</f>
        <v>ANC</v>
      </c>
      <c r="R366" t="str">
        <f>IF(O366&gt;0,VLOOKUP($O366,Dep!$A:$M,7),"")</f>
        <v>D1F</v>
      </c>
      <c r="S366">
        <f>IF(O366&gt;0,VLOOKUP($O366,Dep!$A:$M,9),"")</f>
        <v>0</v>
      </c>
      <c r="T366" t="str">
        <f>IF(O366&gt;0,VLOOKUP($O366,Dep!$A:$M,10),"")</f>
        <v>NAT</v>
      </c>
      <c r="U366" t="str">
        <f>IF(O366&gt;0,VLOOKUP($O366,Dep!$A:$M,12),"")</f>
        <v>FX</v>
      </c>
      <c r="V366" t="str">
        <f t="shared" si="68"/>
        <v/>
      </c>
      <c r="W366" t="str">
        <f t="shared" si="69"/>
        <v/>
      </c>
      <c r="X366" t="str">
        <f t="shared" si="70"/>
        <v>X</v>
      </c>
      <c r="Y366">
        <f t="shared" si="65"/>
        <v>0</v>
      </c>
      <c r="Z366" t="str">
        <f t="shared" si="71"/>
        <v/>
      </c>
      <c r="AA366" s="20">
        <f t="shared" si="66"/>
        <v>5.555555555555558E-2</v>
      </c>
      <c r="AB366">
        <f t="shared" si="72"/>
        <v>365</v>
      </c>
      <c r="AC366" s="20" t="str">
        <f t="shared" si="73"/>
        <v>04:05</v>
      </c>
      <c r="AD366" s="20" t="str">
        <f t="shared" si="67"/>
        <v>05:25</v>
      </c>
      <c r="AE366" t="str">
        <f>VLOOKUP(G366,ACtypes!A:C,3,FALSE)</f>
        <v>D</v>
      </c>
      <c r="AF366" t="str">
        <f t="shared" si="74"/>
        <v/>
      </c>
      <c r="AG366" t="str">
        <f t="shared" si="75"/>
        <v/>
      </c>
      <c r="AH366">
        <f t="shared" si="76"/>
        <v>0</v>
      </c>
    </row>
    <row r="367" spans="1:34" x14ac:dyDescent="0.3">
      <c r="A367" s="41">
        <f t="shared" si="77"/>
        <v>366</v>
      </c>
      <c r="B367" s="27">
        <v>157</v>
      </c>
      <c r="C367" s="28" t="s">
        <v>220</v>
      </c>
      <c r="D367" s="28" t="s">
        <v>13</v>
      </c>
      <c r="E367" s="28" t="s">
        <v>221</v>
      </c>
      <c r="F367" s="28" t="s">
        <v>15</v>
      </c>
      <c r="G367" s="28" t="s">
        <v>223</v>
      </c>
      <c r="H367" s="27">
        <v>0</v>
      </c>
      <c r="I367" s="27">
        <v>184</v>
      </c>
      <c r="J367" s="28" t="s">
        <v>17</v>
      </c>
      <c r="K367" s="27">
        <v>25</v>
      </c>
      <c r="L367" s="28" t="s">
        <v>224</v>
      </c>
      <c r="M367" s="27">
        <v>12.7</v>
      </c>
      <c r="O367" s="23">
        <v>368</v>
      </c>
      <c r="P367" t="str">
        <f>IF(O367&gt;0,VLOOKUP($O367,Dep!$A:$M,3),"")</f>
        <v>08:45</v>
      </c>
      <c r="Q367" t="str">
        <f>IF(O367&gt;0,VLOOKUP($O367,Dep!$A:$M,6),"")</f>
        <v>HNL</v>
      </c>
      <c r="R367" t="str">
        <f>IF(O367&gt;0,VLOOKUP($O367,Dep!$A:$M,7),"")</f>
        <v>763</v>
      </c>
      <c r="S367">
        <f>IF(O367&gt;0,VLOOKUP($O367,Dep!$A:$M,9),"")</f>
        <v>184</v>
      </c>
      <c r="T367" t="str">
        <f>IF(O367&gt;0,VLOOKUP($O367,Dep!$A:$M,10),"")</f>
        <v>NAT</v>
      </c>
      <c r="U367" t="str">
        <f>IF(O367&gt;0,VLOOKUP($O367,Dep!$A:$M,12),"")</f>
        <v>HA</v>
      </c>
      <c r="V367" t="str">
        <f t="shared" si="68"/>
        <v/>
      </c>
      <c r="W367" t="str">
        <f t="shared" si="69"/>
        <v/>
      </c>
      <c r="X367" t="str">
        <f t="shared" si="70"/>
        <v/>
      </c>
      <c r="Y367">
        <f t="shared" si="65"/>
        <v>0</v>
      </c>
      <c r="Z367">
        <f t="shared" si="71"/>
        <v>1</v>
      </c>
      <c r="AA367" s="20">
        <f t="shared" si="66"/>
        <v>0.45833333333333326</v>
      </c>
      <c r="AB367">
        <f t="shared" si="72"/>
        <v>366</v>
      </c>
      <c r="AC367" s="20" t="str">
        <f t="shared" si="73"/>
        <v>21:45</v>
      </c>
      <c r="AD367" s="20" t="str">
        <f t="shared" si="67"/>
        <v>08:45</v>
      </c>
      <c r="AE367" t="str">
        <f>VLOOKUP(G367,ACtypes!A:C,3,FALSE)</f>
        <v>D</v>
      </c>
      <c r="AF367" t="str">
        <f t="shared" si="74"/>
        <v/>
      </c>
      <c r="AG367" t="str">
        <f t="shared" si="75"/>
        <v/>
      </c>
      <c r="AH367">
        <f t="shared" si="76"/>
        <v>184</v>
      </c>
    </row>
    <row r="368" spans="1:34" x14ac:dyDescent="0.3">
      <c r="A368" s="41">
        <f t="shared" si="77"/>
        <v>367</v>
      </c>
      <c r="B368" s="27">
        <v>156</v>
      </c>
      <c r="C368" s="28" t="s">
        <v>67</v>
      </c>
      <c r="D368" s="28" t="s">
        <v>13</v>
      </c>
      <c r="E368" s="28" t="s">
        <v>221</v>
      </c>
      <c r="F368" s="28" t="s">
        <v>15</v>
      </c>
      <c r="G368" s="28" t="s">
        <v>223</v>
      </c>
      <c r="H368" s="27">
        <v>0</v>
      </c>
      <c r="I368" s="27">
        <v>184</v>
      </c>
      <c r="J368" s="28" t="s">
        <v>17</v>
      </c>
      <c r="K368" s="27">
        <v>25</v>
      </c>
      <c r="L368" s="28" t="s">
        <v>224</v>
      </c>
      <c r="M368" s="27">
        <v>12.7</v>
      </c>
      <c r="O368" s="23">
        <v>369</v>
      </c>
      <c r="P368" t="str">
        <f>IF(O368&gt;0,VLOOKUP($O368,Dep!$A:$M,3),"")</f>
        <v>10:00</v>
      </c>
      <c r="Q368" t="str">
        <f>IF(O368&gt;0,VLOOKUP($O368,Dep!$A:$M,6),"")</f>
        <v>OGG</v>
      </c>
      <c r="R368" t="str">
        <f>IF(O368&gt;0,VLOOKUP($O368,Dep!$A:$M,7),"")</f>
        <v>763</v>
      </c>
      <c r="S368">
        <f>IF(O368&gt;0,VLOOKUP($O368,Dep!$A:$M,9),"")</f>
        <v>184</v>
      </c>
      <c r="T368" t="str">
        <f>IF(O368&gt;0,VLOOKUP($O368,Dep!$A:$M,10),"")</f>
        <v>NAT</v>
      </c>
      <c r="U368" t="str">
        <f>IF(O368&gt;0,VLOOKUP($O368,Dep!$A:$M,12),"")</f>
        <v>HA</v>
      </c>
      <c r="V368" t="str">
        <f t="shared" si="68"/>
        <v/>
      </c>
      <c r="W368" t="str">
        <f t="shared" si="69"/>
        <v/>
      </c>
      <c r="X368" t="str">
        <f t="shared" si="70"/>
        <v>X</v>
      </c>
      <c r="Y368">
        <f t="shared" si="65"/>
        <v>0</v>
      </c>
      <c r="Z368">
        <f t="shared" si="71"/>
        <v>1</v>
      </c>
      <c r="AA368" s="20">
        <f t="shared" si="66"/>
        <v>0.4652777777777779</v>
      </c>
      <c r="AB368">
        <f t="shared" si="72"/>
        <v>367</v>
      </c>
      <c r="AC368" s="20" t="str">
        <f t="shared" si="73"/>
        <v>22:50</v>
      </c>
      <c r="AD368" s="20" t="str">
        <f t="shared" si="67"/>
        <v>10:00</v>
      </c>
      <c r="AE368" t="str">
        <f>VLOOKUP(G368,ACtypes!A:C,3,FALSE)</f>
        <v>D</v>
      </c>
      <c r="AF368" t="str">
        <f t="shared" si="74"/>
        <v/>
      </c>
      <c r="AG368" t="str">
        <f t="shared" si="75"/>
        <v/>
      </c>
      <c r="AH368">
        <f t="shared" si="76"/>
        <v>184</v>
      </c>
    </row>
    <row r="369" spans="1:34" x14ac:dyDescent="0.3">
      <c r="A369" s="41">
        <f t="shared" si="77"/>
        <v>368</v>
      </c>
      <c r="B369" s="27">
        <v>197</v>
      </c>
      <c r="C369" s="28" t="s">
        <v>269</v>
      </c>
      <c r="D369" s="28" t="s">
        <v>13</v>
      </c>
      <c r="E369" s="28" t="s">
        <v>265</v>
      </c>
      <c r="F369" s="28" t="s">
        <v>15</v>
      </c>
      <c r="G369" s="28" t="s">
        <v>40</v>
      </c>
      <c r="H369" s="27">
        <v>0</v>
      </c>
      <c r="I369" s="27">
        <v>99</v>
      </c>
      <c r="J369" s="28" t="s">
        <v>17</v>
      </c>
      <c r="K369" s="27">
        <v>25</v>
      </c>
      <c r="L369" s="28" t="s">
        <v>266</v>
      </c>
      <c r="M369" s="27">
        <v>0</v>
      </c>
      <c r="O369" s="23">
        <v>370</v>
      </c>
      <c r="P369" t="str">
        <f>IF(O369&gt;0,VLOOKUP($O369,Dep!$A:$M,3),"")</f>
        <v>12:50</v>
      </c>
      <c r="Q369" t="str">
        <f>IF(O369&gt;0,VLOOKUP($O369,Dep!$A:$M,6),"")</f>
        <v>LAS</v>
      </c>
      <c r="R369" t="str">
        <f>IF(O369&gt;0,VLOOKUP($O369,Dep!$A:$M,7),"")</f>
        <v>319</v>
      </c>
      <c r="S369">
        <f>IF(O369&gt;0,VLOOKUP($O369,Dep!$A:$M,9),"")</f>
        <v>99</v>
      </c>
      <c r="T369" t="str">
        <f>IF(O369&gt;0,VLOOKUP($O369,Dep!$A:$M,10),"")</f>
        <v>NAT</v>
      </c>
      <c r="U369" t="str">
        <f>IF(O369&gt;0,VLOOKUP($O369,Dep!$A:$M,12),"")</f>
        <v>HP</v>
      </c>
      <c r="V369" t="str">
        <f t="shared" si="68"/>
        <v/>
      </c>
      <c r="W369" t="str">
        <f t="shared" si="69"/>
        <v/>
      </c>
      <c r="X369" t="str">
        <f t="shared" si="70"/>
        <v/>
      </c>
      <c r="Y369">
        <f t="shared" si="65"/>
        <v>0</v>
      </c>
      <c r="Z369" t="str">
        <f t="shared" si="71"/>
        <v/>
      </c>
      <c r="AA369" s="20">
        <f t="shared" si="66"/>
        <v>2.777777777777779E-2</v>
      </c>
      <c r="AB369">
        <f t="shared" si="72"/>
        <v>368</v>
      </c>
      <c r="AC369" s="20" t="str">
        <f t="shared" si="73"/>
        <v>12:10</v>
      </c>
      <c r="AD369" s="20" t="str">
        <f t="shared" si="67"/>
        <v>12:50</v>
      </c>
      <c r="AE369" t="str">
        <f>VLOOKUP(G369,ACtypes!A:C,3,FALSE)</f>
        <v>C</v>
      </c>
      <c r="AF369" t="str">
        <f t="shared" si="74"/>
        <v/>
      </c>
      <c r="AG369" t="str">
        <f t="shared" si="75"/>
        <v/>
      </c>
      <c r="AH369">
        <f t="shared" si="76"/>
        <v>99</v>
      </c>
    </row>
    <row r="370" spans="1:34" x14ac:dyDescent="0.3">
      <c r="A370" s="41">
        <f t="shared" si="77"/>
        <v>369</v>
      </c>
      <c r="B370" s="27">
        <v>196</v>
      </c>
      <c r="C370" s="28" t="s">
        <v>268</v>
      </c>
      <c r="D370" s="28" t="s">
        <v>13</v>
      </c>
      <c r="E370" s="28" t="s">
        <v>265</v>
      </c>
      <c r="F370" s="28" t="s">
        <v>15</v>
      </c>
      <c r="G370" s="28" t="s">
        <v>245</v>
      </c>
      <c r="H370" s="27">
        <v>0</v>
      </c>
      <c r="I370" s="27">
        <v>120</v>
      </c>
      <c r="J370" s="28" t="s">
        <v>17</v>
      </c>
      <c r="K370" s="27">
        <v>25</v>
      </c>
      <c r="L370" s="28" t="s">
        <v>266</v>
      </c>
      <c r="M370" s="27">
        <v>0</v>
      </c>
      <c r="O370" s="23">
        <v>372</v>
      </c>
      <c r="P370" t="str">
        <f>IF(O370&gt;0,VLOOKUP($O370,Dep!$A:$M,3),"")</f>
        <v>08:00</v>
      </c>
      <c r="Q370" t="str">
        <f>IF(O370&gt;0,VLOOKUP($O370,Dep!$A:$M,6),"")</f>
        <v>PHX</v>
      </c>
      <c r="R370" t="str">
        <f>IF(O370&gt;0,VLOOKUP($O370,Dep!$A:$M,7),"")</f>
        <v>320</v>
      </c>
      <c r="S370">
        <f>IF(O370&gt;0,VLOOKUP($O370,Dep!$A:$M,9),"")</f>
        <v>120</v>
      </c>
      <c r="T370" t="str">
        <f>IF(O370&gt;0,VLOOKUP($O370,Dep!$A:$M,10),"")</f>
        <v>NAT</v>
      </c>
      <c r="U370" t="str">
        <f>IF(O370&gt;0,VLOOKUP($O370,Dep!$A:$M,12),"")</f>
        <v>HP</v>
      </c>
      <c r="V370" t="str">
        <f t="shared" si="68"/>
        <v/>
      </c>
      <c r="W370" t="str">
        <f t="shared" si="69"/>
        <v/>
      </c>
      <c r="X370" t="str">
        <f t="shared" si="70"/>
        <v>X</v>
      </c>
      <c r="Y370">
        <f t="shared" si="65"/>
        <v>0</v>
      </c>
      <c r="Z370" t="str">
        <f t="shared" si="71"/>
        <v/>
      </c>
      <c r="AA370" s="20">
        <f t="shared" si="66"/>
        <v>0.23541666666666666</v>
      </c>
      <c r="AB370">
        <f t="shared" si="72"/>
        <v>369</v>
      </c>
      <c r="AC370" s="20" t="str">
        <f t="shared" si="73"/>
        <v>02:21</v>
      </c>
      <c r="AD370" s="20" t="str">
        <f t="shared" si="67"/>
        <v>08:00</v>
      </c>
      <c r="AE370" t="str">
        <f>VLOOKUP(G370,ACtypes!A:C,3,FALSE)</f>
        <v>C</v>
      </c>
      <c r="AF370" t="str">
        <f t="shared" si="74"/>
        <v/>
      </c>
      <c r="AG370" t="str">
        <f t="shared" si="75"/>
        <v/>
      </c>
      <c r="AH370">
        <f t="shared" si="76"/>
        <v>120</v>
      </c>
    </row>
    <row r="371" spans="1:34" x14ac:dyDescent="0.3">
      <c r="A371" s="41">
        <f t="shared" si="77"/>
        <v>370</v>
      </c>
      <c r="B371" s="27">
        <v>349</v>
      </c>
      <c r="C371" s="28" t="s">
        <v>414</v>
      </c>
      <c r="D371" s="28" t="s">
        <v>13</v>
      </c>
      <c r="E371" s="28" t="s">
        <v>404</v>
      </c>
      <c r="F371" s="28" t="s">
        <v>15</v>
      </c>
      <c r="G371" s="28" t="s">
        <v>245</v>
      </c>
      <c r="H371" s="27">
        <v>0</v>
      </c>
      <c r="I371" s="27">
        <v>120</v>
      </c>
      <c r="J371" s="28" t="s">
        <v>17</v>
      </c>
      <c r="K371" s="27">
        <v>25</v>
      </c>
      <c r="L371" s="28" t="s">
        <v>266</v>
      </c>
      <c r="M371" s="27">
        <v>0</v>
      </c>
      <c r="O371" s="23">
        <v>373</v>
      </c>
      <c r="P371" t="str">
        <f>IF(O371&gt;0,VLOOKUP($O371,Dep!$A:$M,3),"")</f>
        <v>11:15</v>
      </c>
      <c r="Q371" t="str">
        <f>IF(O371&gt;0,VLOOKUP($O371,Dep!$A:$M,6),"")</f>
        <v>PHX</v>
      </c>
      <c r="R371" t="str">
        <f>IF(O371&gt;0,VLOOKUP($O371,Dep!$A:$M,7),"")</f>
        <v>320</v>
      </c>
      <c r="S371">
        <f>IF(O371&gt;0,VLOOKUP($O371,Dep!$A:$M,9),"")</f>
        <v>120</v>
      </c>
      <c r="T371" t="str">
        <f>IF(O371&gt;0,VLOOKUP($O371,Dep!$A:$M,10),"")</f>
        <v>NAT</v>
      </c>
      <c r="U371" t="str">
        <f>IF(O371&gt;0,VLOOKUP($O371,Dep!$A:$M,12),"")</f>
        <v>HP</v>
      </c>
      <c r="V371" t="str">
        <f t="shared" si="68"/>
        <v/>
      </c>
      <c r="W371" t="str">
        <f t="shared" si="69"/>
        <v/>
      </c>
      <c r="X371" t="str">
        <f t="shared" si="70"/>
        <v/>
      </c>
      <c r="Y371">
        <f t="shared" si="65"/>
        <v>0</v>
      </c>
      <c r="Z371" t="str">
        <f t="shared" si="71"/>
        <v/>
      </c>
      <c r="AA371" s="20">
        <f t="shared" si="66"/>
        <v>3.2638888888888884E-2</v>
      </c>
      <c r="AB371">
        <f t="shared" si="72"/>
        <v>370</v>
      </c>
      <c r="AC371" s="20" t="str">
        <f t="shared" si="73"/>
        <v>10:28</v>
      </c>
      <c r="AD371" s="20" t="str">
        <f t="shared" si="67"/>
        <v>11:15</v>
      </c>
      <c r="AE371" t="str">
        <f>VLOOKUP(G371,ACtypes!A:C,3,FALSE)</f>
        <v>C</v>
      </c>
      <c r="AF371" t="str">
        <f t="shared" si="74"/>
        <v/>
      </c>
      <c r="AG371" t="str">
        <f t="shared" si="75"/>
        <v/>
      </c>
      <c r="AH371">
        <f t="shared" si="76"/>
        <v>120</v>
      </c>
    </row>
    <row r="372" spans="1:34" x14ac:dyDescent="0.3">
      <c r="A372" s="41">
        <f t="shared" si="77"/>
        <v>371</v>
      </c>
      <c r="B372" s="27">
        <v>348</v>
      </c>
      <c r="C372" s="28" t="s">
        <v>324</v>
      </c>
      <c r="D372" s="28" t="s">
        <v>13</v>
      </c>
      <c r="E372" s="28" t="s">
        <v>404</v>
      </c>
      <c r="F372" s="28" t="s">
        <v>15</v>
      </c>
      <c r="G372" s="28" t="s">
        <v>245</v>
      </c>
      <c r="H372" s="27">
        <v>0</v>
      </c>
      <c r="I372" s="27">
        <v>120</v>
      </c>
      <c r="J372" s="28" t="s">
        <v>17</v>
      </c>
      <c r="K372" s="27">
        <v>25</v>
      </c>
      <c r="L372" s="28" t="s">
        <v>266</v>
      </c>
      <c r="M372" s="27">
        <v>0</v>
      </c>
      <c r="O372" s="23">
        <v>374</v>
      </c>
      <c r="P372" t="str">
        <f>IF(O372&gt;0,VLOOKUP($O372,Dep!$A:$M,3),"")</f>
        <v>14:15</v>
      </c>
      <c r="Q372" t="str">
        <f>IF(O372&gt;0,VLOOKUP($O372,Dep!$A:$M,6),"")</f>
        <v>PHX</v>
      </c>
      <c r="R372" t="str">
        <f>IF(O372&gt;0,VLOOKUP($O372,Dep!$A:$M,7),"")</f>
        <v>320</v>
      </c>
      <c r="S372">
        <f>IF(O372&gt;0,VLOOKUP($O372,Dep!$A:$M,9),"")</f>
        <v>120</v>
      </c>
      <c r="T372" t="str">
        <f>IF(O372&gt;0,VLOOKUP($O372,Dep!$A:$M,10),"")</f>
        <v>NAT</v>
      </c>
      <c r="U372" t="str">
        <f>IF(O372&gt;0,VLOOKUP($O372,Dep!$A:$M,12),"")</f>
        <v>HP</v>
      </c>
      <c r="V372" t="str">
        <f t="shared" si="68"/>
        <v/>
      </c>
      <c r="W372" t="str">
        <f t="shared" si="69"/>
        <v/>
      </c>
      <c r="X372" t="str">
        <f t="shared" si="70"/>
        <v/>
      </c>
      <c r="Y372">
        <f t="shared" si="65"/>
        <v>0</v>
      </c>
      <c r="Z372" t="str">
        <f t="shared" si="71"/>
        <v/>
      </c>
      <c r="AA372" s="20">
        <f t="shared" si="66"/>
        <v>3.5416666666666652E-2</v>
      </c>
      <c r="AB372">
        <f t="shared" si="72"/>
        <v>371</v>
      </c>
      <c r="AC372" s="20" t="str">
        <f t="shared" si="73"/>
        <v>13:24</v>
      </c>
      <c r="AD372" s="20" t="str">
        <f t="shared" si="67"/>
        <v>14:15</v>
      </c>
      <c r="AE372" t="str">
        <f>VLOOKUP(G372,ACtypes!A:C,3,FALSE)</f>
        <v>C</v>
      </c>
      <c r="AF372" t="str">
        <f t="shared" si="74"/>
        <v/>
      </c>
      <c r="AG372" t="str">
        <f t="shared" si="75"/>
        <v/>
      </c>
      <c r="AH372">
        <f t="shared" si="76"/>
        <v>120</v>
      </c>
    </row>
    <row r="373" spans="1:34" x14ac:dyDescent="0.3">
      <c r="A373" s="41">
        <f t="shared" si="77"/>
        <v>372</v>
      </c>
      <c r="B373" s="27">
        <v>195</v>
      </c>
      <c r="C373" s="28" t="s">
        <v>267</v>
      </c>
      <c r="D373" s="28" t="s">
        <v>13</v>
      </c>
      <c r="E373" s="28" t="s">
        <v>265</v>
      </c>
      <c r="F373" s="28" t="s">
        <v>15</v>
      </c>
      <c r="G373" s="28" t="s">
        <v>245</v>
      </c>
      <c r="H373" s="27">
        <v>0</v>
      </c>
      <c r="I373" s="27">
        <v>120</v>
      </c>
      <c r="J373" s="28" t="s">
        <v>17</v>
      </c>
      <c r="K373" s="27">
        <v>25</v>
      </c>
      <c r="L373" s="28" t="s">
        <v>266</v>
      </c>
      <c r="M373" s="27">
        <v>0</v>
      </c>
      <c r="O373" s="23">
        <v>375</v>
      </c>
      <c r="P373" t="str">
        <f>IF(O373&gt;0,VLOOKUP($O373,Dep!$A:$M,3),"")</f>
        <v>14:38</v>
      </c>
      <c r="Q373" t="str">
        <f>IF(O373&gt;0,VLOOKUP($O373,Dep!$A:$M,6),"")</f>
        <v>LAS</v>
      </c>
      <c r="R373" t="str">
        <f>IF(O373&gt;0,VLOOKUP($O373,Dep!$A:$M,7),"")</f>
        <v>320</v>
      </c>
      <c r="S373">
        <f>IF(O373&gt;0,VLOOKUP($O373,Dep!$A:$M,9),"")</f>
        <v>120</v>
      </c>
      <c r="T373" t="str">
        <f>IF(O373&gt;0,VLOOKUP($O373,Dep!$A:$M,10),"")</f>
        <v>NAT</v>
      </c>
      <c r="U373" t="str">
        <f>IF(O373&gt;0,VLOOKUP($O373,Dep!$A:$M,12),"")</f>
        <v>HP</v>
      </c>
      <c r="V373" t="str">
        <f t="shared" si="68"/>
        <v/>
      </c>
      <c r="W373" t="str">
        <f t="shared" si="69"/>
        <v/>
      </c>
      <c r="X373" t="str">
        <f t="shared" si="70"/>
        <v/>
      </c>
      <c r="Y373">
        <f t="shared" si="65"/>
        <v>0</v>
      </c>
      <c r="Z373" t="str">
        <f t="shared" si="71"/>
        <v/>
      </c>
      <c r="AA373" s="20">
        <f t="shared" si="66"/>
        <v>2.8472222222222232E-2</v>
      </c>
      <c r="AB373">
        <f t="shared" si="72"/>
        <v>372</v>
      </c>
      <c r="AC373" s="20" t="str">
        <f t="shared" si="73"/>
        <v>13:57</v>
      </c>
      <c r="AD373" s="20" t="str">
        <f t="shared" si="67"/>
        <v>14:38</v>
      </c>
      <c r="AE373" t="str">
        <f>VLOOKUP(G373,ACtypes!A:C,3,FALSE)</f>
        <v>C</v>
      </c>
      <c r="AF373" t="str">
        <f t="shared" si="74"/>
        <v/>
      </c>
      <c r="AG373" t="str">
        <f t="shared" si="75"/>
        <v/>
      </c>
      <c r="AH373">
        <f t="shared" si="76"/>
        <v>120</v>
      </c>
    </row>
    <row r="374" spans="1:34" x14ac:dyDescent="0.3">
      <c r="A374" s="41">
        <f t="shared" si="77"/>
        <v>373</v>
      </c>
      <c r="B374" s="27">
        <v>194</v>
      </c>
      <c r="C374" s="28" t="s">
        <v>130</v>
      </c>
      <c r="D374" s="28" t="s">
        <v>13</v>
      </c>
      <c r="E374" s="28" t="s">
        <v>265</v>
      </c>
      <c r="F374" s="28" t="s">
        <v>15</v>
      </c>
      <c r="G374" s="28" t="s">
        <v>245</v>
      </c>
      <c r="H374" s="27">
        <v>0</v>
      </c>
      <c r="I374" s="27">
        <v>120</v>
      </c>
      <c r="J374" s="28" t="s">
        <v>17</v>
      </c>
      <c r="K374" s="27">
        <v>25</v>
      </c>
      <c r="L374" s="28" t="s">
        <v>266</v>
      </c>
      <c r="M374" s="27">
        <v>0</v>
      </c>
      <c r="O374" s="23">
        <v>376</v>
      </c>
      <c r="P374" t="str">
        <f>IF(O374&gt;0,VLOOKUP($O374,Dep!$A:$M,3),"")</f>
        <v>17:22</v>
      </c>
      <c r="Q374" t="str">
        <f>IF(O374&gt;0,VLOOKUP($O374,Dep!$A:$M,6),"")</f>
        <v>LAS</v>
      </c>
      <c r="R374" t="str">
        <f>IF(O374&gt;0,VLOOKUP($O374,Dep!$A:$M,7),"")</f>
        <v>320</v>
      </c>
      <c r="S374">
        <f>IF(O374&gt;0,VLOOKUP($O374,Dep!$A:$M,9),"")</f>
        <v>120</v>
      </c>
      <c r="T374" t="str">
        <f>IF(O374&gt;0,VLOOKUP($O374,Dep!$A:$M,10),"")</f>
        <v>NAT</v>
      </c>
      <c r="U374" t="str">
        <f>IF(O374&gt;0,VLOOKUP($O374,Dep!$A:$M,12),"")</f>
        <v>HP</v>
      </c>
      <c r="V374" t="str">
        <f t="shared" si="68"/>
        <v/>
      </c>
      <c r="W374" t="str">
        <f t="shared" si="69"/>
        <v/>
      </c>
      <c r="X374" t="str">
        <f t="shared" si="70"/>
        <v/>
      </c>
      <c r="Y374">
        <f t="shared" si="65"/>
        <v>0</v>
      </c>
      <c r="Z374" t="str">
        <f t="shared" si="71"/>
        <v/>
      </c>
      <c r="AA374" s="20">
        <f t="shared" si="66"/>
        <v>3.4722222222222099E-2</v>
      </c>
      <c r="AB374">
        <f t="shared" si="72"/>
        <v>373</v>
      </c>
      <c r="AC374" s="20" t="str">
        <f t="shared" si="73"/>
        <v>16:32</v>
      </c>
      <c r="AD374" s="20" t="str">
        <f t="shared" si="67"/>
        <v>17:22</v>
      </c>
      <c r="AE374" t="str">
        <f>VLOOKUP(G374,ACtypes!A:C,3,FALSE)</f>
        <v>C</v>
      </c>
      <c r="AF374" t="str">
        <f t="shared" si="74"/>
        <v/>
      </c>
      <c r="AG374" t="str">
        <f t="shared" si="75"/>
        <v/>
      </c>
      <c r="AH374">
        <f t="shared" si="76"/>
        <v>120</v>
      </c>
    </row>
    <row r="375" spans="1:34" x14ac:dyDescent="0.3">
      <c r="A375" s="41">
        <f t="shared" si="77"/>
        <v>374</v>
      </c>
      <c r="B375" s="27">
        <v>347</v>
      </c>
      <c r="C375" s="28" t="s">
        <v>413</v>
      </c>
      <c r="D375" s="28" t="s">
        <v>13</v>
      </c>
      <c r="E375" s="28" t="s">
        <v>404</v>
      </c>
      <c r="F375" s="28" t="s">
        <v>15</v>
      </c>
      <c r="G375" s="28" t="s">
        <v>245</v>
      </c>
      <c r="H375" s="27">
        <v>0</v>
      </c>
      <c r="I375" s="27">
        <v>120</v>
      </c>
      <c r="J375" s="28" t="s">
        <v>17</v>
      </c>
      <c r="K375" s="27">
        <v>25</v>
      </c>
      <c r="L375" s="28" t="s">
        <v>266</v>
      </c>
      <c r="M375" s="27">
        <v>0</v>
      </c>
      <c r="O375" s="23">
        <v>377</v>
      </c>
      <c r="P375" t="str">
        <f>IF(O375&gt;0,VLOOKUP($O375,Dep!$A:$M,3),"")</f>
        <v>19:45</v>
      </c>
      <c r="Q375" t="str">
        <f>IF(O375&gt;0,VLOOKUP($O375,Dep!$A:$M,6),"")</f>
        <v>LAS</v>
      </c>
      <c r="R375" t="str">
        <f>IF(O375&gt;0,VLOOKUP($O375,Dep!$A:$M,7),"")</f>
        <v>320</v>
      </c>
      <c r="S375">
        <f>IF(O375&gt;0,VLOOKUP($O375,Dep!$A:$M,9),"")</f>
        <v>120</v>
      </c>
      <c r="T375" t="str">
        <f>IF(O375&gt;0,VLOOKUP($O375,Dep!$A:$M,10),"")</f>
        <v>NAT</v>
      </c>
      <c r="U375" t="str">
        <f>IF(O375&gt;0,VLOOKUP($O375,Dep!$A:$M,12),"")</f>
        <v>HP</v>
      </c>
      <c r="V375" t="str">
        <f t="shared" si="68"/>
        <v/>
      </c>
      <c r="W375" t="str">
        <f t="shared" si="69"/>
        <v/>
      </c>
      <c r="X375" t="str">
        <f t="shared" si="70"/>
        <v>X</v>
      </c>
      <c r="Y375">
        <f t="shared" si="65"/>
        <v>0</v>
      </c>
      <c r="Z375" t="str">
        <f t="shared" si="71"/>
        <v/>
      </c>
      <c r="AA375" s="20">
        <f t="shared" si="66"/>
        <v>2.777777777777779E-2</v>
      </c>
      <c r="AB375">
        <f t="shared" si="72"/>
        <v>374</v>
      </c>
      <c r="AC375" s="20" t="str">
        <f t="shared" si="73"/>
        <v>19:05</v>
      </c>
      <c r="AD375" s="20" t="str">
        <f t="shared" si="67"/>
        <v>19:45</v>
      </c>
      <c r="AE375" t="str">
        <f>VLOOKUP(G375,ACtypes!A:C,3,FALSE)</f>
        <v>C</v>
      </c>
      <c r="AF375" t="str">
        <f t="shared" si="74"/>
        <v/>
      </c>
      <c r="AG375" t="str">
        <f t="shared" si="75"/>
        <v/>
      </c>
      <c r="AH375">
        <f t="shared" si="76"/>
        <v>120</v>
      </c>
    </row>
    <row r="376" spans="1:34" x14ac:dyDescent="0.3">
      <c r="A376" s="41">
        <f t="shared" si="77"/>
        <v>375</v>
      </c>
      <c r="B376" s="27">
        <v>346</v>
      </c>
      <c r="C376" s="28" t="s">
        <v>412</v>
      </c>
      <c r="D376" s="28" t="s">
        <v>13</v>
      </c>
      <c r="E376" s="28" t="s">
        <v>404</v>
      </c>
      <c r="F376" s="28" t="s">
        <v>15</v>
      </c>
      <c r="G376" s="28" t="s">
        <v>245</v>
      </c>
      <c r="H376" s="27">
        <v>0</v>
      </c>
      <c r="I376" s="27">
        <v>120</v>
      </c>
      <c r="J376" s="28" t="s">
        <v>17</v>
      </c>
      <c r="K376" s="27">
        <v>25</v>
      </c>
      <c r="L376" s="28" t="s">
        <v>266</v>
      </c>
      <c r="M376" s="27">
        <v>0</v>
      </c>
      <c r="O376" s="23">
        <v>371</v>
      </c>
      <c r="P376" t="str">
        <f>IF(O376&gt;0,VLOOKUP($O376,Dep!$A:$M,3),"")</f>
        <v>05:30</v>
      </c>
      <c r="Q376" t="str">
        <f>IF(O376&gt;0,VLOOKUP($O376,Dep!$A:$M,6),"")</f>
        <v>PHX</v>
      </c>
      <c r="R376" t="str">
        <f>IF(O376&gt;0,VLOOKUP($O376,Dep!$A:$M,7),"")</f>
        <v>320</v>
      </c>
      <c r="S376">
        <f>IF(O376&gt;0,VLOOKUP($O376,Dep!$A:$M,9),"")</f>
        <v>120</v>
      </c>
      <c r="T376" t="str">
        <f>IF(O376&gt;0,VLOOKUP($O376,Dep!$A:$M,10),"")</f>
        <v>NAT</v>
      </c>
      <c r="U376" t="str">
        <f>IF(O376&gt;0,VLOOKUP($O376,Dep!$A:$M,12),"")</f>
        <v>HP</v>
      </c>
      <c r="V376" t="str">
        <f t="shared" si="68"/>
        <v/>
      </c>
      <c r="W376" t="str">
        <f t="shared" si="69"/>
        <v/>
      </c>
      <c r="X376" t="str">
        <f t="shared" si="70"/>
        <v/>
      </c>
      <c r="Y376">
        <f t="shared" si="65"/>
        <v>0</v>
      </c>
      <c r="Z376">
        <f t="shared" si="71"/>
        <v>1</v>
      </c>
      <c r="AA376" s="20">
        <f t="shared" si="66"/>
        <v>0.2847222222222221</v>
      </c>
      <c r="AB376">
        <f t="shared" si="72"/>
        <v>375</v>
      </c>
      <c r="AC376" s="20" t="str">
        <f t="shared" si="73"/>
        <v>22:40</v>
      </c>
      <c r="AD376" s="20" t="str">
        <f t="shared" si="67"/>
        <v>05:30</v>
      </c>
      <c r="AE376" t="str">
        <f>VLOOKUP(G376,ACtypes!A:C,3,FALSE)</f>
        <v>C</v>
      </c>
      <c r="AF376" t="str">
        <f t="shared" si="74"/>
        <v/>
      </c>
      <c r="AG376" t="str">
        <f t="shared" si="75"/>
        <v/>
      </c>
      <c r="AH376">
        <f t="shared" si="76"/>
        <v>120</v>
      </c>
    </row>
    <row r="377" spans="1:34" x14ac:dyDescent="0.3">
      <c r="A377" s="41">
        <f t="shared" si="77"/>
        <v>376</v>
      </c>
      <c r="B377" s="27">
        <v>337</v>
      </c>
      <c r="C377" s="28" t="s">
        <v>405</v>
      </c>
      <c r="D377" s="28" t="s">
        <v>13</v>
      </c>
      <c r="E377" s="28" t="s">
        <v>404</v>
      </c>
      <c r="F377" s="28" t="s">
        <v>15</v>
      </c>
      <c r="G377" s="28" t="s">
        <v>16</v>
      </c>
      <c r="H377" s="27">
        <v>0</v>
      </c>
      <c r="I377" s="27">
        <v>107</v>
      </c>
      <c r="J377" s="28" t="s">
        <v>17</v>
      </c>
      <c r="K377" s="27">
        <v>25</v>
      </c>
      <c r="L377" s="28" t="s">
        <v>266</v>
      </c>
      <c r="M377" s="27">
        <v>0</v>
      </c>
      <c r="O377" s="23">
        <v>379</v>
      </c>
      <c r="P377" t="str">
        <f>IF(O377&gt;0,VLOOKUP($O377,Dep!$A:$M,3),"")</f>
        <v>17:02</v>
      </c>
      <c r="Q377" t="str">
        <f>IF(O377&gt;0,VLOOKUP($O377,Dep!$A:$M,6),"")</f>
        <v>PHX</v>
      </c>
      <c r="R377" t="str">
        <f>IF(O377&gt;0,VLOOKUP($O377,Dep!$A:$M,7),"")</f>
        <v>733</v>
      </c>
      <c r="S377">
        <f>IF(O377&gt;0,VLOOKUP($O377,Dep!$A:$M,9),"")</f>
        <v>107</v>
      </c>
      <c r="T377" t="str">
        <f>IF(O377&gt;0,VLOOKUP($O377,Dep!$A:$M,10),"")</f>
        <v>NAT</v>
      </c>
      <c r="U377" t="str">
        <f>IF(O377&gt;0,VLOOKUP($O377,Dep!$A:$M,12),"")</f>
        <v>HP</v>
      </c>
      <c r="V377" t="str">
        <f t="shared" si="68"/>
        <v/>
      </c>
      <c r="W377" t="str">
        <f t="shared" si="69"/>
        <v/>
      </c>
      <c r="X377" t="str">
        <f t="shared" si="70"/>
        <v/>
      </c>
      <c r="Y377">
        <f t="shared" si="65"/>
        <v>0</v>
      </c>
      <c r="Z377" t="str">
        <f t="shared" si="71"/>
        <v/>
      </c>
      <c r="AA377" s="20">
        <f t="shared" si="66"/>
        <v>2.8472222222222232E-2</v>
      </c>
      <c r="AB377">
        <f t="shared" si="72"/>
        <v>376</v>
      </c>
      <c r="AC377" s="20" t="str">
        <f t="shared" si="73"/>
        <v>16:21</v>
      </c>
      <c r="AD377" s="20" t="str">
        <f t="shared" si="67"/>
        <v>17:02</v>
      </c>
      <c r="AE377" t="str">
        <f>VLOOKUP(G377,ACtypes!A:C,3,FALSE)</f>
        <v>C</v>
      </c>
      <c r="AF377" t="str">
        <f t="shared" si="74"/>
        <v/>
      </c>
      <c r="AG377" t="str">
        <f t="shared" si="75"/>
        <v/>
      </c>
      <c r="AH377">
        <f t="shared" si="76"/>
        <v>107</v>
      </c>
    </row>
    <row r="378" spans="1:34" x14ac:dyDescent="0.3">
      <c r="A378" s="41">
        <f t="shared" si="77"/>
        <v>377</v>
      </c>
      <c r="B378" s="27">
        <v>193</v>
      </c>
      <c r="C378" s="28" t="s">
        <v>264</v>
      </c>
      <c r="D378" s="28" t="s">
        <v>13</v>
      </c>
      <c r="E378" s="28" t="s">
        <v>265</v>
      </c>
      <c r="F378" s="28" t="s">
        <v>15</v>
      </c>
      <c r="G378" s="28" t="s">
        <v>16</v>
      </c>
      <c r="H378" s="27">
        <v>0</v>
      </c>
      <c r="I378" s="27">
        <v>107</v>
      </c>
      <c r="J378" s="28" t="s">
        <v>17</v>
      </c>
      <c r="K378" s="27">
        <v>25</v>
      </c>
      <c r="L378" s="28" t="s">
        <v>266</v>
      </c>
      <c r="M378" s="27">
        <v>0</v>
      </c>
      <c r="O378" s="23">
        <v>378</v>
      </c>
      <c r="P378" t="str">
        <f>IF(O378&gt;0,VLOOKUP($O378,Dep!$A:$M,3),"")</f>
        <v>08:15</v>
      </c>
      <c r="Q378" t="str">
        <f>IF(O378&gt;0,VLOOKUP($O378,Dep!$A:$M,6),"")</f>
        <v>LAS</v>
      </c>
      <c r="R378" t="str">
        <f>IF(O378&gt;0,VLOOKUP($O378,Dep!$A:$M,7),"")</f>
        <v>733</v>
      </c>
      <c r="S378">
        <f>IF(O378&gt;0,VLOOKUP($O378,Dep!$A:$M,9),"")</f>
        <v>107</v>
      </c>
      <c r="T378" t="str">
        <f>IF(O378&gt;0,VLOOKUP($O378,Dep!$A:$M,10),"")</f>
        <v>NAT</v>
      </c>
      <c r="U378" t="str">
        <f>IF(O378&gt;0,VLOOKUP($O378,Dep!$A:$M,12),"")</f>
        <v>HP</v>
      </c>
      <c r="V378" t="str">
        <f t="shared" si="68"/>
        <v/>
      </c>
      <c r="W378" t="str">
        <f t="shared" si="69"/>
        <v/>
      </c>
      <c r="X378" t="str">
        <f t="shared" si="70"/>
        <v/>
      </c>
      <c r="Y378">
        <f t="shared" si="65"/>
        <v>0</v>
      </c>
      <c r="Z378">
        <f t="shared" si="71"/>
        <v>1</v>
      </c>
      <c r="AA378" s="20">
        <f t="shared" si="66"/>
        <v>0.38194444444444453</v>
      </c>
      <c r="AB378">
        <f t="shared" si="72"/>
        <v>377</v>
      </c>
      <c r="AC378" s="20" t="str">
        <f t="shared" si="73"/>
        <v>23:05</v>
      </c>
      <c r="AD378" s="20" t="str">
        <f t="shared" si="67"/>
        <v>08:15</v>
      </c>
      <c r="AE378" t="str">
        <f>VLOOKUP(G378,ACtypes!A:C,3,FALSE)</f>
        <v>C</v>
      </c>
      <c r="AF378" t="str">
        <f t="shared" si="74"/>
        <v/>
      </c>
      <c r="AG378" t="str">
        <f t="shared" si="75"/>
        <v/>
      </c>
      <c r="AH378">
        <f t="shared" si="76"/>
        <v>107</v>
      </c>
    </row>
    <row r="379" spans="1:34" x14ac:dyDescent="0.3">
      <c r="A379" s="41">
        <f t="shared" si="77"/>
        <v>378</v>
      </c>
      <c r="B379" s="27">
        <v>338</v>
      </c>
      <c r="C379" s="28" t="s">
        <v>406</v>
      </c>
      <c r="D379" s="28" t="s">
        <v>13</v>
      </c>
      <c r="E379" s="28" t="s">
        <v>404</v>
      </c>
      <c r="F379" s="28" t="s">
        <v>15</v>
      </c>
      <c r="G379" s="28" t="s">
        <v>407</v>
      </c>
      <c r="H379" s="27">
        <v>0</v>
      </c>
      <c r="I379" s="27">
        <v>69</v>
      </c>
      <c r="J379" s="28" t="s">
        <v>17</v>
      </c>
      <c r="K379" s="27">
        <v>25</v>
      </c>
      <c r="L379" s="28" t="s">
        <v>266</v>
      </c>
      <c r="M379" s="27">
        <v>0</v>
      </c>
      <c r="O379" s="23">
        <v>380</v>
      </c>
      <c r="P379" t="str">
        <f>IF(O379&gt;0,VLOOKUP($O379,Dep!$A:$M,3),"")</f>
        <v>07:00</v>
      </c>
      <c r="Q379" t="str">
        <f>IF(O379&gt;0,VLOOKUP($O379,Dep!$A:$M,6),"")</f>
        <v>PHX</v>
      </c>
      <c r="R379" t="str">
        <f>IF(O379&gt;0,VLOOKUP($O379,Dep!$A:$M,7),"")</f>
        <v>CR9</v>
      </c>
      <c r="S379">
        <f>IF(O379&gt;0,VLOOKUP($O379,Dep!$A:$M,9),"")</f>
        <v>69</v>
      </c>
      <c r="T379" t="str">
        <f>IF(O379&gt;0,VLOOKUP($O379,Dep!$A:$M,10),"")</f>
        <v>NAT</v>
      </c>
      <c r="U379" t="str">
        <f>IF(O379&gt;0,VLOOKUP($O379,Dep!$A:$M,12),"")</f>
        <v>HP</v>
      </c>
      <c r="V379" t="str">
        <f t="shared" si="68"/>
        <v/>
      </c>
      <c r="W379" t="str">
        <f t="shared" si="69"/>
        <v/>
      </c>
      <c r="X379" t="str">
        <f t="shared" si="70"/>
        <v/>
      </c>
      <c r="Y379">
        <f t="shared" si="65"/>
        <v>0</v>
      </c>
      <c r="Z379" t="str">
        <f t="shared" si="71"/>
        <v/>
      </c>
      <c r="AA379" s="20">
        <f t="shared" si="66"/>
        <v>0.26527777777777778</v>
      </c>
      <c r="AB379">
        <f t="shared" si="72"/>
        <v>378</v>
      </c>
      <c r="AC379" s="20" t="str">
        <f t="shared" si="73"/>
        <v>00:38</v>
      </c>
      <c r="AD379" s="20" t="str">
        <f t="shared" si="67"/>
        <v>07:00</v>
      </c>
      <c r="AE379" t="str">
        <f>VLOOKUP(G379,ACtypes!A:C,3,FALSE)</f>
        <v>C</v>
      </c>
      <c r="AF379" t="str">
        <f t="shared" si="74"/>
        <v/>
      </c>
      <c r="AG379" t="str">
        <f t="shared" si="75"/>
        <v/>
      </c>
      <c r="AH379">
        <f t="shared" si="76"/>
        <v>69</v>
      </c>
    </row>
    <row r="380" spans="1:34" x14ac:dyDescent="0.3">
      <c r="A380" s="41">
        <f t="shared" si="77"/>
        <v>379</v>
      </c>
      <c r="B380" s="27">
        <v>171</v>
      </c>
      <c r="C380" s="28" t="s">
        <v>239</v>
      </c>
      <c r="D380" s="28" t="s">
        <v>13</v>
      </c>
      <c r="E380" s="28" t="s">
        <v>240</v>
      </c>
      <c r="F380" s="28" t="s">
        <v>15</v>
      </c>
      <c r="G380" s="28" t="s">
        <v>241</v>
      </c>
      <c r="H380" s="27">
        <v>0</v>
      </c>
      <c r="I380" s="27">
        <v>241</v>
      </c>
      <c r="J380" s="28" t="s">
        <v>28</v>
      </c>
      <c r="K380" s="27">
        <v>25</v>
      </c>
      <c r="L380" s="28" t="s">
        <v>242</v>
      </c>
      <c r="M380" s="27">
        <v>50</v>
      </c>
      <c r="O380" s="23">
        <v>381</v>
      </c>
      <c r="P380" t="str">
        <f>IF(O380&gt;0,VLOOKUP($O380,Dep!$A:$M,3),"")</f>
        <v>14:05</v>
      </c>
      <c r="Q380" t="str">
        <f>IF(O380&gt;0,VLOOKUP($O380,Dep!$A:$M,6),"")</f>
        <v>ICN</v>
      </c>
      <c r="R380" t="str">
        <f>IF(O380&gt;0,VLOOKUP($O380,Dep!$A:$M,7),"")</f>
        <v>772</v>
      </c>
      <c r="S380">
        <f>IF(O380&gt;0,VLOOKUP($O380,Dep!$A:$M,9),"")</f>
        <v>241</v>
      </c>
      <c r="T380" t="str">
        <f>IF(O380&gt;0,VLOOKUP($O380,Dep!$A:$M,10),"")</f>
        <v>INT</v>
      </c>
      <c r="U380" t="str">
        <f>IF(O380&gt;0,VLOOKUP($O380,Dep!$A:$M,12),"")</f>
        <v>KE</v>
      </c>
      <c r="V380" t="str">
        <f t="shared" si="68"/>
        <v/>
      </c>
      <c r="W380" t="str">
        <f t="shared" si="69"/>
        <v/>
      </c>
      <c r="X380" t="str">
        <f t="shared" si="70"/>
        <v/>
      </c>
      <c r="Y380">
        <f t="shared" si="65"/>
        <v>0</v>
      </c>
      <c r="Z380" t="str">
        <f t="shared" si="71"/>
        <v/>
      </c>
      <c r="AA380" s="20">
        <f t="shared" si="66"/>
        <v>8.333333333333337E-2</v>
      </c>
      <c r="AB380">
        <f t="shared" si="72"/>
        <v>379</v>
      </c>
      <c r="AC380" s="20" t="str">
        <f t="shared" si="73"/>
        <v>12:05</v>
      </c>
      <c r="AD380" s="20" t="str">
        <f t="shared" si="67"/>
        <v>14:05</v>
      </c>
      <c r="AE380" t="str">
        <f>VLOOKUP(G380,ACtypes!A:C,3,FALSE)</f>
        <v>E</v>
      </c>
      <c r="AF380">
        <f t="shared" si="74"/>
        <v>1</v>
      </c>
      <c r="AG380">
        <f t="shared" si="75"/>
        <v>1</v>
      </c>
      <c r="AH380">
        <f t="shared" si="76"/>
        <v>241</v>
      </c>
    </row>
    <row r="381" spans="1:34" x14ac:dyDescent="0.3">
      <c r="A381" s="41">
        <f t="shared" si="77"/>
        <v>380</v>
      </c>
      <c r="B381" s="27">
        <v>235</v>
      </c>
      <c r="C381" s="28" t="s">
        <v>283</v>
      </c>
      <c r="D381" s="28" t="s">
        <v>13</v>
      </c>
      <c r="E381" s="28" t="s">
        <v>310</v>
      </c>
      <c r="F381" s="28" t="s">
        <v>15</v>
      </c>
      <c r="G381" s="28" t="s">
        <v>40</v>
      </c>
      <c r="H381" s="27">
        <v>0</v>
      </c>
      <c r="I381" s="27">
        <v>99</v>
      </c>
      <c r="J381" s="28" t="s">
        <v>17</v>
      </c>
      <c r="K381" s="27">
        <v>25</v>
      </c>
      <c r="L381" s="28" t="s">
        <v>29</v>
      </c>
      <c r="M381" s="27">
        <v>4</v>
      </c>
      <c r="O381" s="23">
        <v>382</v>
      </c>
      <c r="P381" t="str">
        <f>IF(O381&gt;0,VLOOKUP($O381,Dep!$A:$M,3),"")</f>
        <v>08:30</v>
      </c>
      <c r="Q381" t="str">
        <f>IF(O381&gt;0,VLOOKUP($O381,Dep!$A:$M,6),"")</f>
        <v>IND</v>
      </c>
      <c r="R381" t="str">
        <f>IF(O381&gt;0,VLOOKUP($O381,Dep!$A:$M,7),"")</f>
        <v>319</v>
      </c>
      <c r="S381">
        <f>IF(O381&gt;0,VLOOKUP($O381,Dep!$A:$M,9),"")</f>
        <v>99</v>
      </c>
      <c r="T381" t="str">
        <f>IF(O381&gt;0,VLOOKUP($O381,Dep!$A:$M,10),"")</f>
        <v>NAT</v>
      </c>
      <c r="U381" t="str">
        <f>IF(O381&gt;0,VLOOKUP($O381,Dep!$A:$M,12),"")</f>
        <v>NW</v>
      </c>
      <c r="V381" t="str">
        <f t="shared" si="68"/>
        <v/>
      </c>
      <c r="W381" t="str">
        <f t="shared" si="69"/>
        <v/>
      </c>
      <c r="X381" t="str">
        <f t="shared" si="70"/>
        <v>X</v>
      </c>
      <c r="Y381">
        <f t="shared" si="65"/>
        <v>0</v>
      </c>
      <c r="Z381">
        <f t="shared" si="71"/>
        <v>1</v>
      </c>
      <c r="AA381" s="20">
        <f t="shared" si="66"/>
        <v>0.44930555555555562</v>
      </c>
      <c r="AB381">
        <f t="shared" si="72"/>
        <v>380</v>
      </c>
      <c r="AC381" s="20" t="str">
        <f t="shared" si="73"/>
        <v>21:43</v>
      </c>
      <c r="AD381" s="20" t="str">
        <f t="shared" si="67"/>
        <v>08:30</v>
      </c>
      <c r="AE381" t="str">
        <f>VLOOKUP(G381,ACtypes!A:C,3,FALSE)</f>
        <v>C</v>
      </c>
      <c r="AF381" t="str">
        <f t="shared" si="74"/>
        <v/>
      </c>
      <c r="AG381" t="str">
        <f t="shared" si="75"/>
        <v/>
      </c>
      <c r="AH381">
        <f t="shared" si="76"/>
        <v>99</v>
      </c>
    </row>
    <row r="382" spans="1:34" x14ac:dyDescent="0.3">
      <c r="A382" s="41">
        <f t="shared" si="77"/>
        <v>381</v>
      </c>
      <c r="B382" s="27">
        <v>234</v>
      </c>
      <c r="C382" s="28" t="s">
        <v>309</v>
      </c>
      <c r="D382" s="28" t="s">
        <v>13</v>
      </c>
      <c r="E382" s="28" t="s">
        <v>310</v>
      </c>
      <c r="F382" s="28" t="s">
        <v>15</v>
      </c>
      <c r="G382" s="28" t="s">
        <v>245</v>
      </c>
      <c r="H382" s="27">
        <v>0</v>
      </c>
      <c r="I382" s="27">
        <v>118</v>
      </c>
      <c r="J382" s="28" t="s">
        <v>17</v>
      </c>
      <c r="K382" s="27">
        <v>25</v>
      </c>
      <c r="L382" s="28" t="s">
        <v>29</v>
      </c>
      <c r="M382" s="27">
        <v>3.7</v>
      </c>
      <c r="O382" s="23">
        <v>383</v>
      </c>
      <c r="P382" t="str">
        <f>IF(O382&gt;0,VLOOKUP($O382,Dep!$A:$M,3),"")</f>
        <v>12:30</v>
      </c>
      <c r="Q382" t="str">
        <f>IF(O382&gt;0,VLOOKUP($O382,Dep!$A:$M,6),"")</f>
        <v>MEM</v>
      </c>
      <c r="R382" t="str">
        <f>IF(O382&gt;0,VLOOKUP($O382,Dep!$A:$M,7),"")</f>
        <v>320</v>
      </c>
      <c r="S382">
        <f>IF(O382&gt;0,VLOOKUP($O382,Dep!$A:$M,9),"")</f>
        <v>118</v>
      </c>
      <c r="T382" t="str">
        <f>IF(O382&gt;0,VLOOKUP($O382,Dep!$A:$M,10),"")</f>
        <v>NAT</v>
      </c>
      <c r="U382" t="str">
        <f>IF(O382&gt;0,VLOOKUP($O382,Dep!$A:$M,12),"")</f>
        <v>NW</v>
      </c>
      <c r="V382" t="str">
        <f t="shared" si="68"/>
        <v/>
      </c>
      <c r="W382" t="str">
        <f t="shared" si="69"/>
        <v/>
      </c>
      <c r="X382" t="str">
        <f t="shared" si="70"/>
        <v/>
      </c>
      <c r="Y382">
        <f t="shared" si="65"/>
        <v>0</v>
      </c>
      <c r="Z382" t="str">
        <f t="shared" si="71"/>
        <v/>
      </c>
      <c r="AA382" s="20">
        <f t="shared" si="66"/>
        <v>5.4166666666666752E-2</v>
      </c>
      <c r="AB382">
        <f t="shared" si="72"/>
        <v>381</v>
      </c>
      <c r="AC382" s="20" t="str">
        <f t="shared" si="73"/>
        <v>11:12</v>
      </c>
      <c r="AD382" s="20" t="str">
        <f t="shared" si="67"/>
        <v>12:30</v>
      </c>
      <c r="AE382" t="str">
        <f>VLOOKUP(G382,ACtypes!A:C,3,FALSE)</f>
        <v>C</v>
      </c>
      <c r="AF382" t="str">
        <f t="shared" si="74"/>
        <v/>
      </c>
      <c r="AG382" t="str">
        <f t="shared" si="75"/>
        <v/>
      </c>
      <c r="AH382">
        <f t="shared" si="76"/>
        <v>118</v>
      </c>
    </row>
    <row r="383" spans="1:34" x14ac:dyDescent="0.3">
      <c r="A383" s="41">
        <f t="shared" si="77"/>
        <v>382</v>
      </c>
      <c r="B383" s="27">
        <v>172</v>
      </c>
      <c r="C383" s="28" t="s">
        <v>243</v>
      </c>
      <c r="D383" s="28" t="s">
        <v>13</v>
      </c>
      <c r="E383" s="28" t="s">
        <v>244</v>
      </c>
      <c r="F383" s="28" t="s">
        <v>15</v>
      </c>
      <c r="G383" s="28" t="s">
        <v>245</v>
      </c>
      <c r="H383" s="27">
        <v>0</v>
      </c>
      <c r="I383" s="27">
        <v>118</v>
      </c>
      <c r="J383" s="28" t="s">
        <v>17</v>
      </c>
      <c r="K383" s="27">
        <v>25</v>
      </c>
      <c r="L383" s="28" t="s">
        <v>29</v>
      </c>
      <c r="M383" s="27">
        <v>3.7</v>
      </c>
      <c r="O383" s="23">
        <v>384</v>
      </c>
      <c r="P383" t="str">
        <f>IF(O383&gt;0,VLOOKUP($O383,Dep!$A:$M,3),"")</f>
        <v>14:23</v>
      </c>
      <c r="Q383" t="str">
        <f>IF(O383&gt;0,VLOOKUP($O383,Dep!$A:$M,6),"")</f>
        <v>DTW</v>
      </c>
      <c r="R383" t="str">
        <f>IF(O383&gt;0,VLOOKUP($O383,Dep!$A:$M,7),"")</f>
        <v>320</v>
      </c>
      <c r="S383">
        <f>IF(O383&gt;0,VLOOKUP($O383,Dep!$A:$M,9),"")</f>
        <v>118</v>
      </c>
      <c r="T383" t="str">
        <f>IF(O383&gt;0,VLOOKUP($O383,Dep!$A:$M,10),"")</f>
        <v>NAT</v>
      </c>
      <c r="U383" t="str">
        <f>IF(O383&gt;0,VLOOKUP($O383,Dep!$A:$M,12),"")</f>
        <v>NW</v>
      </c>
      <c r="V383" t="str">
        <f t="shared" si="68"/>
        <v/>
      </c>
      <c r="W383" t="str">
        <f t="shared" si="69"/>
        <v/>
      </c>
      <c r="X383" t="str">
        <f t="shared" si="70"/>
        <v>X</v>
      </c>
      <c r="Y383">
        <f t="shared" si="65"/>
        <v>0</v>
      </c>
      <c r="Z383" t="str">
        <f t="shared" si="71"/>
        <v/>
      </c>
      <c r="AA383" s="20">
        <f t="shared" si="66"/>
        <v>7.7083333333333282E-2</v>
      </c>
      <c r="AB383">
        <f t="shared" si="72"/>
        <v>382</v>
      </c>
      <c r="AC383" s="20" t="str">
        <f t="shared" si="73"/>
        <v>12:32</v>
      </c>
      <c r="AD383" s="20" t="str">
        <f t="shared" si="67"/>
        <v>14:23</v>
      </c>
      <c r="AE383" t="str">
        <f>VLOOKUP(G383,ACtypes!A:C,3,FALSE)</f>
        <v>C</v>
      </c>
      <c r="AF383" t="str">
        <f t="shared" si="74"/>
        <v/>
      </c>
      <c r="AG383" t="str">
        <f t="shared" si="75"/>
        <v/>
      </c>
      <c r="AH383">
        <f t="shared" si="76"/>
        <v>118</v>
      </c>
    </row>
    <row r="384" spans="1:34" x14ac:dyDescent="0.3">
      <c r="A384" s="41">
        <f t="shared" si="77"/>
        <v>383</v>
      </c>
      <c r="B384" s="27">
        <v>247</v>
      </c>
      <c r="C384" s="28" t="s">
        <v>323</v>
      </c>
      <c r="D384" s="28" t="s">
        <v>13</v>
      </c>
      <c r="E384" s="28" t="s">
        <v>317</v>
      </c>
      <c r="F384" s="28" t="s">
        <v>15</v>
      </c>
      <c r="G384" s="28" t="s">
        <v>245</v>
      </c>
      <c r="H384" s="27">
        <v>0</v>
      </c>
      <c r="I384" s="27">
        <v>118</v>
      </c>
      <c r="J384" s="28" t="s">
        <v>17</v>
      </c>
      <c r="K384" s="27">
        <v>25</v>
      </c>
      <c r="L384" s="28" t="s">
        <v>29</v>
      </c>
      <c r="M384" s="27">
        <v>3.7</v>
      </c>
      <c r="O384" s="23">
        <v>385</v>
      </c>
      <c r="P384" t="str">
        <f>IF(O384&gt;0,VLOOKUP($O384,Dep!$A:$M,3),"")</f>
        <v>17:25</v>
      </c>
      <c r="Q384" t="str">
        <f>IF(O384&gt;0,VLOOKUP($O384,Dep!$A:$M,6),"")</f>
        <v>MSP</v>
      </c>
      <c r="R384" t="str">
        <f>IF(O384&gt;0,VLOOKUP($O384,Dep!$A:$M,7),"")</f>
        <v>320</v>
      </c>
      <c r="S384">
        <f>IF(O384&gt;0,VLOOKUP($O384,Dep!$A:$M,9),"")</f>
        <v>118</v>
      </c>
      <c r="T384" t="str">
        <f>IF(O384&gt;0,VLOOKUP($O384,Dep!$A:$M,10),"")</f>
        <v>NAT</v>
      </c>
      <c r="U384" t="str">
        <f>IF(O384&gt;0,VLOOKUP($O384,Dep!$A:$M,12),"")</f>
        <v>NW</v>
      </c>
      <c r="V384" t="str">
        <f t="shared" si="68"/>
        <v/>
      </c>
      <c r="W384" t="str">
        <f t="shared" si="69"/>
        <v/>
      </c>
      <c r="X384" t="str">
        <f t="shared" si="70"/>
        <v/>
      </c>
      <c r="Y384">
        <f t="shared" si="65"/>
        <v>0</v>
      </c>
      <c r="Z384" t="str">
        <f t="shared" si="71"/>
        <v/>
      </c>
      <c r="AA384" s="20">
        <f t="shared" si="66"/>
        <v>5.6250000000000133E-2</v>
      </c>
      <c r="AB384">
        <f t="shared" si="72"/>
        <v>383</v>
      </c>
      <c r="AC384" s="20" t="str">
        <f t="shared" si="73"/>
        <v>16:04</v>
      </c>
      <c r="AD384" s="20" t="str">
        <f t="shared" si="67"/>
        <v>17:25</v>
      </c>
      <c r="AE384" t="str">
        <f>VLOOKUP(G384,ACtypes!A:C,3,FALSE)</f>
        <v>C</v>
      </c>
      <c r="AF384" t="str">
        <f t="shared" si="74"/>
        <v/>
      </c>
      <c r="AG384" t="str">
        <f t="shared" si="75"/>
        <v/>
      </c>
      <c r="AH384">
        <f t="shared" si="76"/>
        <v>118</v>
      </c>
    </row>
    <row r="385" spans="1:34" x14ac:dyDescent="0.3">
      <c r="A385" s="41">
        <f t="shared" si="77"/>
        <v>384</v>
      </c>
      <c r="B385" s="27">
        <v>246</v>
      </c>
      <c r="C385" s="28" t="s">
        <v>322</v>
      </c>
      <c r="D385" s="28" t="s">
        <v>13</v>
      </c>
      <c r="E385" s="28" t="s">
        <v>317</v>
      </c>
      <c r="F385" s="28" t="s">
        <v>15</v>
      </c>
      <c r="G385" s="28" t="s">
        <v>245</v>
      </c>
      <c r="H385" s="27">
        <v>0</v>
      </c>
      <c r="I385" s="27">
        <v>118</v>
      </c>
      <c r="J385" s="28" t="s">
        <v>17</v>
      </c>
      <c r="K385" s="27">
        <v>25</v>
      </c>
      <c r="L385" s="28" t="s">
        <v>29</v>
      </c>
      <c r="M385" s="27">
        <v>3.7</v>
      </c>
      <c r="O385" s="23">
        <v>386</v>
      </c>
      <c r="P385" t="str">
        <f>IF(O385&gt;0,VLOOKUP($O385,Dep!$A:$M,3),"")</f>
        <v>17:55</v>
      </c>
      <c r="Q385" t="str">
        <f>IF(O385&gt;0,VLOOKUP($O385,Dep!$A:$M,6),"")</f>
        <v>MSP</v>
      </c>
      <c r="R385" t="str">
        <f>IF(O385&gt;0,VLOOKUP($O385,Dep!$A:$M,7),"")</f>
        <v>320</v>
      </c>
      <c r="S385">
        <f>IF(O385&gt;0,VLOOKUP($O385,Dep!$A:$M,9),"")</f>
        <v>118</v>
      </c>
      <c r="T385" t="str">
        <f>IF(O385&gt;0,VLOOKUP($O385,Dep!$A:$M,10),"")</f>
        <v>NAT</v>
      </c>
      <c r="U385" t="str">
        <f>IF(O385&gt;0,VLOOKUP($O385,Dep!$A:$M,12),"")</f>
        <v>NW</v>
      </c>
      <c r="V385" t="str">
        <f t="shared" si="68"/>
        <v/>
      </c>
      <c r="W385" t="str">
        <f t="shared" si="69"/>
        <v/>
      </c>
      <c r="X385" t="str">
        <f t="shared" si="70"/>
        <v/>
      </c>
      <c r="Y385">
        <f t="shared" si="65"/>
        <v>0</v>
      </c>
      <c r="Z385" t="str">
        <f t="shared" si="71"/>
        <v/>
      </c>
      <c r="AA385" s="20">
        <f t="shared" si="66"/>
        <v>4.4444444444444398E-2</v>
      </c>
      <c r="AB385">
        <f t="shared" si="72"/>
        <v>384</v>
      </c>
      <c r="AC385" s="20" t="str">
        <f t="shared" si="73"/>
        <v>16:51</v>
      </c>
      <c r="AD385" s="20" t="str">
        <f t="shared" si="67"/>
        <v>17:55</v>
      </c>
      <c r="AE385" t="str">
        <f>VLOOKUP(G385,ACtypes!A:C,3,FALSE)</f>
        <v>C</v>
      </c>
      <c r="AF385" t="str">
        <f t="shared" si="74"/>
        <v/>
      </c>
      <c r="AG385" t="str">
        <f t="shared" si="75"/>
        <v/>
      </c>
      <c r="AH385">
        <f t="shared" si="76"/>
        <v>118</v>
      </c>
    </row>
    <row r="386" spans="1:34" x14ac:dyDescent="0.3">
      <c r="A386" s="41">
        <f t="shared" si="77"/>
        <v>385</v>
      </c>
      <c r="B386" s="27">
        <v>254</v>
      </c>
      <c r="C386" s="28" t="s">
        <v>332</v>
      </c>
      <c r="D386" s="28" t="s">
        <v>13</v>
      </c>
      <c r="E386" s="28" t="s">
        <v>330</v>
      </c>
      <c r="F386" s="28" t="s">
        <v>15</v>
      </c>
      <c r="G386" s="28" t="s">
        <v>333</v>
      </c>
      <c r="H386" s="27">
        <v>0</v>
      </c>
      <c r="I386" s="27">
        <v>214</v>
      </c>
      <c r="J386" s="28" t="s">
        <v>28</v>
      </c>
      <c r="K386" s="27">
        <v>25</v>
      </c>
      <c r="L386" s="28" t="s">
        <v>29</v>
      </c>
      <c r="M386" s="27">
        <v>23.6</v>
      </c>
      <c r="O386" s="23">
        <v>387</v>
      </c>
      <c r="P386" t="str">
        <f>IF(O386&gt;0,VLOOKUP($O386,Dep!$A:$M,3),"")</f>
        <v>14:45</v>
      </c>
      <c r="Q386" t="str">
        <f>IF(O386&gt;0,VLOOKUP($O386,Dep!$A:$M,6),"")</f>
        <v>NRT</v>
      </c>
      <c r="R386" t="str">
        <f>IF(O386&gt;0,VLOOKUP($O386,Dep!$A:$M,7),"")</f>
        <v>332</v>
      </c>
      <c r="S386">
        <f>IF(O386&gt;0,VLOOKUP($O386,Dep!$A:$M,9),"")</f>
        <v>214</v>
      </c>
      <c r="T386" t="str">
        <f>IF(O386&gt;0,VLOOKUP($O386,Dep!$A:$M,10),"")</f>
        <v>INT</v>
      </c>
      <c r="U386" t="str">
        <f>IF(O386&gt;0,VLOOKUP($O386,Dep!$A:$M,12),"")</f>
        <v>NW</v>
      </c>
      <c r="V386" t="str">
        <f t="shared" si="68"/>
        <v/>
      </c>
      <c r="W386" t="str">
        <f t="shared" si="69"/>
        <v/>
      </c>
      <c r="X386" t="str">
        <f t="shared" si="70"/>
        <v/>
      </c>
      <c r="Y386">
        <f t="shared" ref="Y386:Y449" si="78">IF(O386&gt;0,S386-I386,"")</f>
        <v>0</v>
      </c>
      <c r="Z386" t="str">
        <f t="shared" si="71"/>
        <v/>
      </c>
      <c r="AA386" s="20">
        <f t="shared" ref="AA386:AA449" si="79">IF(O386&gt;0,IF(P386-C386&gt;0,P386-C386,P386-C386+1),"")</f>
        <v>0.25694444444444448</v>
      </c>
      <c r="AB386">
        <f t="shared" si="72"/>
        <v>385</v>
      </c>
      <c r="AC386" s="20" t="str">
        <f t="shared" si="73"/>
        <v>08:35</v>
      </c>
      <c r="AD386" s="20" t="str">
        <f t="shared" ref="AD386:AD449" si="80">IF(O386&gt;0,P386,AC386+1/24)</f>
        <v>14:45</v>
      </c>
      <c r="AE386" t="str">
        <f>VLOOKUP(G386,ACtypes!A:C,3,FALSE)</f>
        <v>E</v>
      </c>
      <c r="AF386">
        <f t="shared" si="74"/>
        <v>1</v>
      </c>
      <c r="AG386">
        <f t="shared" si="75"/>
        <v>1</v>
      </c>
      <c r="AH386">
        <f t="shared" si="76"/>
        <v>214</v>
      </c>
    </row>
    <row r="387" spans="1:34" x14ac:dyDescent="0.3">
      <c r="A387" s="41">
        <f t="shared" si="77"/>
        <v>386</v>
      </c>
      <c r="B387" s="27">
        <v>5</v>
      </c>
      <c r="C387" s="28" t="s">
        <v>25</v>
      </c>
      <c r="D387" s="28" t="s">
        <v>13</v>
      </c>
      <c r="E387" s="28" t="s">
        <v>26</v>
      </c>
      <c r="F387" s="28" t="s">
        <v>15</v>
      </c>
      <c r="G387" s="28" t="s">
        <v>27</v>
      </c>
      <c r="H387" s="27">
        <v>0</v>
      </c>
      <c r="I387" s="27">
        <v>214</v>
      </c>
      <c r="J387" s="28" t="s">
        <v>28</v>
      </c>
      <c r="K387" s="27">
        <v>25</v>
      </c>
      <c r="L387" s="28" t="s">
        <v>29</v>
      </c>
      <c r="M387" s="27">
        <v>0</v>
      </c>
      <c r="O387" s="23">
        <v>388</v>
      </c>
      <c r="P387" t="str">
        <f>IF(O387&gt;0,VLOOKUP($O387,Dep!$A:$M,3),"")</f>
        <v>13:25</v>
      </c>
      <c r="Q387" t="str">
        <f>IF(O387&gt;0,VLOOKUP($O387,Dep!$A:$M,6),"")</f>
        <v>AMS</v>
      </c>
      <c r="R387" t="str">
        <f>IF(O387&gt;0,VLOOKUP($O387,Dep!$A:$M,7),"")</f>
        <v>333</v>
      </c>
      <c r="S387">
        <f>IF(O387&gt;0,VLOOKUP($O387,Dep!$A:$M,9),"")</f>
        <v>214</v>
      </c>
      <c r="T387" t="str">
        <f>IF(O387&gt;0,VLOOKUP($O387,Dep!$A:$M,10),"")</f>
        <v>INT</v>
      </c>
      <c r="U387" t="str">
        <f>IF(O387&gt;0,VLOOKUP($O387,Dep!$A:$M,12),"")</f>
        <v>NW</v>
      </c>
      <c r="V387" t="str">
        <f t="shared" ref="V387:V450" si="81">IF(O387&gt;0,IF(R387=G387,"","X"),"")</f>
        <v/>
      </c>
      <c r="W387" t="str">
        <f t="shared" ref="W387:W450" si="82">IF(O387&gt;0,IF(U387=L387,"","X"),"")</f>
        <v/>
      </c>
      <c r="X387" t="str">
        <f t="shared" ref="X387:X450" si="83">IF(O387&gt;0,IF(Q387=E387,"","X"),"")</f>
        <v/>
      </c>
      <c r="Y387">
        <f t="shared" si="78"/>
        <v>0</v>
      </c>
      <c r="Z387" t="str">
        <f t="shared" ref="Z387:Z450" si="84">IF(O387&gt;0,IF(P387&lt;C387,1,""),"")</f>
        <v/>
      </c>
      <c r="AA387" s="20">
        <f t="shared" si="79"/>
        <v>7.9861111111111105E-2</v>
      </c>
      <c r="AB387">
        <f t="shared" ref="AB387:AB450" si="85">A387</f>
        <v>386</v>
      </c>
      <c r="AC387" s="20" t="str">
        <f t="shared" ref="AC387:AC450" si="86">C387</f>
        <v>11:30</v>
      </c>
      <c r="AD387" s="20" t="str">
        <f t="shared" si="80"/>
        <v>13:25</v>
      </c>
      <c r="AE387" t="str">
        <f>VLOOKUP(G387,ACtypes!A:C,3,FALSE)</f>
        <v>E</v>
      </c>
      <c r="AF387">
        <f t="shared" ref="AF387:AF450" si="87">IF(J387="INT",1,"")</f>
        <v>1</v>
      </c>
      <c r="AG387">
        <f t="shared" ref="AG387:AG450" si="88">IF(T387="INT",1,"")</f>
        <v>1</v>
      </c>
      <c r="AH387">
        <f t="shared" ref="AH387:AH450" si="89">I387</f>
        <v>214</v>
      </c>
    </row>
    <row r="388" spans="1:34" x14ac:dyDescent="0.3">
      <c r="A388" s="41">
        <f t="shared" ref="A388:A451" si="90">A387+1</f>
        <v>387</v>
      </c>
      <c r="B388" s="27">
        <v>187</v>
      </c>
      <c r="C388" s="28" t="s">
        <v>257</v>
      </c>
      <c r="D388" s="28" t="s">
        <v>13</v>
      </c>
      <c r="E388" s="28" t="s">
        <v>258</v>
      </c>
      <c r="F388" s="28" t="s">
        <v>15</v>
      </c>
      <c r="G388" s="28" t="s">
        <v>160</v>
      </c>
      <c r="H388" s="27">
        <v>0</v>
      </c>
      <c r="I388" s="27">
        <v>179</v>
      </c>
      <c r="J388" s="28" t="s">
        <v>17</v>
      </c>
      <c r="K388" s="27">
        <v>25</v>
      </c>
      <c r="L388" s="28" t="s">
        <v>29</v>
      </c>
      <c r="M388" s="27">
        <v>3</v>
      </c>
      <c r="O388" s="23">
        <v>391</v>
      </c>
      <c r="P388" t="str">
        <f>IF(O388&gt;0,VLOOKUP($O388,Dep!$A:$M,3),"")</f>
        <v>09:00</v>
      </c>
      <c r="Q388" t="str">
        <f>IF(O388&gt;0,VLOOKUP($O388,Dep!$A:$M,6),"")</f>
        <v>DTW</v>
      </c>
      <c r="R388" t="str">
        <f>IF(O388&gt;0,VLOOKUP($O388,Dep!$A:$M,7),"")</f>
        <v>753</v>
      </c>
      <c r="S388">
        <f>IF(O388&gt;0,VLOOKUP($O388,Dep!$A:$M,9),"")</f>
        <v>179</v>
      </c>
      <c r="T388" t="str">
        <f>IF(O388&gt;0,VLOOKUP($O388,Dep!$A:$M,10),"")</f>
        <v>NAT</v>
      </c>
      <c r="U388" t="str">
        <f>IF(O388&gt;0,VLOOKUP($O388,Dep!$A:$M,12),"")</f>
        <v>NW</v>
      </c>
      <c r="V388" t="str">
        <f t="shared" si="81"/>
        <v/>
      </c>
      <c r="W388" t="str">
        <f t="shared" si="82"/>
        <v/>
      </c>
      <c r="X388" t="str">
        <f t="shared" si="83"/>
        <v>X</v>
      </c>
      <c r="Y388">
        <f t="shared" si="78"/>
        <v>0</v>
      </c>
      <c r="Z388" t="str">
        <f t="shared" si="84"/>
        <v/>
      </c>
      <c r="AA388" s="20">
        <f t="shared" si="79"/>
        <v>0.15208333333333335</v>
      </c>
      <c r="AB388">
        <f t="shared" si="85"/>
        <v>387</v>
      </c>
      <c r="AC388" s="20" t="str">
        <f t="shared" si="86"/>
        <v>05:21</v>
      </c>
      <c r="AD388" s="20" t="str">
        <f t="shared" si="80"/>
        <v>09:00</v>
      </c>
      <c r="AE388" t="str">
        <f>VLOOKUP(G388,ACtypes!A:C,3,FALSE)</f>
        <v>C</v>
      </c>
      <c r="AF388" t="str">
        <f t="shared" si="87"/>
        <v/>
      </c>
      <c r="AG388" t="str">
        <f t="shared" si="88"/>
        <v/>
      </c>
      <c r="AH388">
        <f t="shared" si="89"/>
        <v>179</v>
      </c>
    </row>
    <row r="389" spans="1:34" x14ac:dyDescent="0.3">
      <c r="A389" s="41">
        <f t="shared" si="90"/>
        <v>388</v>
      </c>
      <c r="B389" s="27">
        <v>251</v>
      </c>
      <c r="C389" s="28" t="s">
        <v>327</v>
      </c>
      <c r="D389" s="28" t="s">
        <v>13</v>
      </c>
      <c r="E389" s="28" t="s">
        <v>317</v>
      </c>
      <c r="F389" s="28" t="s">
        <v>15</v>
      </c>
      <c r="G389" s="28" t="s">
        <v>160</v>
      </c>
      <c r="H389" s="27">
        <v>0</v>
      </c>
      <c r="I389" s="27">
        <v>179</v>
      </c>
      <c r="J389" s="28" t="s">
        <v>17</v>
      </c>
      <c r="K389" s="27">
        <v>25</v>
      </c>
      <c r="L389" s="28" t="s">
        <v>29</v>
      </c>
      <c r="M389" s="27">
        <v>3</v>
      </c>
      <c r="O389" s="23">
        <v>392</v>
      </c>
      <c r="P389" t="str">
        <f>IF(O389&gt;0,VLOOKUP($O389,Dep!$A:$M,3),"")</f>
        <v>10:20</v>
      </c>
      <c r="Q389" t="str">
        <f>IF(O389&gt;0,VLOOKUP($O389,Dep!$A:$M,6),"")</f>
        <v>MSP</v>
      </c>
      <c r="R389" t="str">
        <f>IF(O389&gt;0,VLOOKUP($O389,Dep!$A:$M,7),"")</f>
        <v>753</v>
      </c>
      <c r="S389">
        <f>IF(O389&gt;0,VLOOKUP($O389,Dep!$A:$M,9),"")</f>
        <v>179</v>
      </c>
      <c r="T389" t="str">
        <f>IF(O389&gt;0,VLOOKUP($O389,Dep!$A:$M,10),"")</f>
        <v>NAT</v>
      </c>
      <c r="U389" t="str">
        <f>IF(O389&gt;0,VLOOKUP($O389,Dep!$A:$M,12),"")</f>
        <v>NW</v>
      </c>
      <c r="V389" t="str">
        <f t="shared" si="81"/>
        <v/>
      </c>
      <c r="W389" t="str">
        <f t="shared" si="82"/>
        <v/>
      </c>
      <c r="X389" t="str">
        <f t="shared" si="83"/>
        <v/>
      </c>
      <c r="Y389">
        <f t="shared" si="78"/>
        <v>0</v>
      </c>
      <c r="Z389" t="str">
        <f t="shared" si="84"/>
        <v/>
      </c>
      <c r="AA389" s="20">
        <f t="shared" si="79"/>
        <v>5.4861111111111083E-2</v>
      </c>
      <c r="AB389">
        <f t="shared" si="85"/>
        <v>388</v>
      </c>
      <c r="AC389" s="20" t="str">
        <f t="shared" si="86"/>
        <v>09:01</v>
      </c>
      <c r="AD389" s="20" t="str">
        <f t="shared" si="80"/>
        <v>10:20</v>
      </c>
      <c r="AE389" t="str">
        <f>VLOOKUP(G389,ACtypes!A:C,3,FALSE)</f>
        <v>C</v>
      </c>
      <c r="AF389" t="str">
        <f t="shared" si="87"/>
        <v/>
      </c>
      <c r="AG389" t="str">
        <f t="shared" si="88"/>
        <v/>
      </c>
      <c r="AH389">
        <f t="shared" si="89"/>
        <v>179</v>
      </c>
    </row>
    <row r="390" spans="1:34" x14ac:dyDescent="0.3">
      <c r="A390" s="41">
        <f t="shared" si="90"/>
        <v>389</v>
      </c>
      <c r="B390" s="27">
        <v>252</v>
      </c>
      <c r="C390" s="28" t="s">
        <v>328</v>
      </c>
      <c r="D390" s="28" t="s">
        <v>13</v>
      </c>
      <c r="E390" s="28" t="s">
        <v>317</v>
      </c>
      <c r="F390" s="28" t="s">
        <v>15</v>
      </c>
      <c r="G390" s="28" t="s">
        <v>160</v>
      </c>
      <c r="H390" s="27">
        <v>0</v>
      </c>
      <c r="I390" s="27">
        <v>179</v>
      </c>
      <c r="J390" s="28" t="s">
        <v>17</v>
      </c>
      <c r="K390" s="27">
        <v>25</v>
      </c>
      <c r="L390" s="28" t="s">
        <v>29</v>
      </c>
      <c r="M390" s="27">
        <v>3</v>
      </c>
      <c r="O390" s="23">
        <v>393</v>
      </c>
      <c r="P390" t="str">
        <f>IF(O390&gt;0,VLOOKUP($O390,Dep!$A:$M,3),"")</f>
        <v>12:20</v>
      </c>
      <c r="Q390" t="str">
        <f>IF(O390&gt;0,VLOOKUP($O390,Dep!$A:$M,6),"")</f>
        <v>MSP</v>
      </c>
      <c r="R390" t="str">
        <f>IF(O390&gt;0,VLOOKUP($O390,Dep!$A:$M,7),"")</f>
        <v>753</v>
      </c>
      <c r="S390">
        <f>IF(O390&gt;0,VLOOKUP($O390,Dep!$A:$M,9),"")</f>
        <v>179</v>
      </c>
      <c r="T390" t="str">
        <f>IF(O390&gt;0,VLOOKUP($O390,Dep!$A:$M,10),"")</f>
        <v>NAT</v>
      </c>
      <c r="U390" t="str">
        <f>IF(O390&gt;0,VLOOKUP($O390,Dep!$A:$M,12),"")</f>
        <v>NW</v>
      </c>
      <c r="V390" t="str">
        <f t="shared" si="81"/>
        <v/>
      </c>
      <c r="W390" t="str">
        <f t="shared" si="82"/>
        <v/>
      </c>
      <c r="X390" t="str">
        <f t="shared" si="83"/>
        <v/>
      </c>
      <c r="Y390">
        <f t="shared" si="78"/>
        <v>0</v>
      </c>
      <c r="Z390" t="str">
        <f t="shared" si="84"/>
        <v/>
      </c>
      <c r="AA390" s="20">
        <f t="shared" si="79"/>
        <v>5.5555555555555636E-2</v>
      </c>
      <c r="AB390">
        <f t="shared" si="85"/>
        <v>389</v>
      </c>
      <c r="AC390" s="20" t="str">
        <f t="shared" si="86"/>
        <v>11:00</v>
      </c>
      <c r="AD390" s="20" t="str">
        <f t="shared" si="80"/>
        <v>12:20</v>
      </c>
      <c r="AE390" t="str">
        <f>VLOOKUP(G390,ACtypes!A:C,3,FALSE)</f>
        <v>C</v>
      </c>
      <c r="AF390" t="str">
        <f t="shared" si="87"/>
        <v/>
      </c>
      <c r="AG390" t="str">
        <f t="shared" si="88"/>
        <v/>
      </c>
      <c r="AH390">
        <f t="shared" si="89"/>
        <v>179</v>
      </c>
    </row>
    <row r="391" spans="1:34" x14ac:dyDescent="0.3">
      <c r="A391" s="41">
        <f t="shared" si="90"/>
        <v>390</v>
      </c>
      <c r="B391" s="27">
        <v>248</v>
      </c>
      <c r="C391" s="28" t="s">
        <v>324</v>
      </c>
      <c r="D391" s="28" t="s">
        <v>13</v>
      </c>
      <c r="E391" s="28" t="s">
        <v>317</v>
      </c>
      <c r="F391" s="28" t="s">
        <v>15</v>
      </c>
      <c r="G391" s="28" t="s">
        <v>160</v>
      </c>
      <c r="H391" s="27">
        <v>0</v>
      </c>
      <c r="I391" s="27">
        <v>179</v>
      </c>
      <c r="J391" s="28" t="s">
        <v>17</v>
      </c>
      <c r="K391" s="27">
        <v>25</v>
      </c>
      <c r="L391" s="28" t="s">
        <v>29</v>
      </c>
      <c r="M391" s="27">
        <v>3</v>
      </c>
      <c r="O391" s="23">
        <v>394</v>
      </c>
      <c r="P391" t="str">
        <f>IF(O391&gt;0,VLOOKUP($O391,Dep!$A:$M,3),"")</f>
        <v>14:55</v>
      </c>
      <c r="Q391" t="str">
        <f>IF(O391&gt;0,VLOOKUP($O391,Dep!$A:$M,6),"")</f>
        <v>OGG</v>
      </c>
      <c r="R391" t="str">
        <f>IF(O391&gt;0,VLOOKUP($O391,Dep!$A:$M,7),"")</f>
        <v>753</v>
      </c>
      <c r="S391">
        <f>IF(O391&gt;0,VLOOKUP($O391,Dep!$A:$M,9),"")</f>
        <v>179</v>
      </c>
      <c r="T391" t="str">
        <f>IF(O391&gt;0,VLOOKUP($O391,Dep!$A:$M,10),"")</f>
        <v>NAT</v>
      </c>
      <c r="U391" t="str">
        <f>IF(O391&gt;0,VLOOKUP($O391,Dep!$A:$M,12),"")</f>
        <v>NW</v>
      </c>
      <c r="V391" t="str">
        <f t="shared" si="81"/>
        <v/>
      </c>
      <c r="W391" t="str">
        <f t="shared" si="82"/>
        <v/>
      </c>
      <c r="X391" t="str">
        <f t="shared" si="83"/>
        <v>X</v>
      </c>
      <c r="Y391">
        <f t="shared" si="78"/>
        <v>0</v>
      </c>
      <c r="Z391" t="str">
        <f t="shared" si="84"/>
        <v/>
      </c>
      <c r="AA391" s="20">
        <f t="shared" si="79"/>
        <v>6.3194444444444442E-2</v>
      </c>
      <c r="AB391">
        <f t="shared" si="85"/>
        <v>390</v>
      </c>
      <c r="AC391" s="20" t="str">
        <f t="shared" si="86"/>
        <v>13:24</v>
      </c>
      <c r="AD391" s="20" t="str">
        <f t="shared" si="80"/>
        <v>14:55</v>
      </c>
      <c r="AE391" t="str">
        <f>VLOOKUP(G391,ACtypes!A:C,3,FALSE)</f>
        <v>C</v>
      </c>
      <c r="AF391" t="str">
        <f t="shared" si="87"/>
        <v/>
      </c>
      <c r="AG391" t="str">
        <f t="shared" si="88"/>
        <v/>
      </c>
      <c r="AH391">
        <f t="shared" si="89"/>
        <v>179</v>
      </c>
    </row>
    <row r="392" spans="1:34" x14ac:dyDescent="0.3">
      <c r="A392" s="41">
        <f t="shared" si="90"/>
        <v>391</v>
      </c>
      <c r="B392" s="27">
        <v>249</v>
      </c>
      <c r="C392" s="28" t="s">
        <v>325</v>
      </c>
      <c r="D392" s="28" t="s">
        <v>13</v>
      </c>
      <c r="E392" s="28" t="s">
        <v>317</v>
      </c>
      <c r="F392" s="28" t="s">
        <v>15</v>
      </c>
      <c r="G392" s="28" t="s">
        <v>160</v>
      </c>
      <c r="H392" s="27">
        <v>0</v>
      </c>
      <c r="I392" s="27">
        <v>179</v>
      </c>
      <c r="J392" s="28" t="s">
        <v>17</v>
      </c>
      <c r="K392" s="27">
        <v>25</v>
      </c>
      <c r="L392" s="28" t="s">
        <v>29</v>
      </c>
      <c r="M392" s="27">
        <v>3</v>
      </c>
      <c r="O392" s="23">
        <v>395</v>
      </c>
      <c r="P392" t="str">
        <f>IF(O392&gt;0,VLOOKUP($O392,Dep!$A:$M,3),"")</f>
        <v>22:35</v>
      </c>
      <c r="Q392" t="str">
        <f>IF(O392&gt;0,VLOOKUP($O392,Dep!$A:$M,6),"")</f>
        <v>DTW</v>
      </c>
      <c r="R392" t="str">
        <f>IF(O392&gt;0,VLOOKUP($O392,Dep!$A:$M,7),"")</f>
        <v>753</v>
      </c>
      <c r="S392">
        <f>IF(O392&gt;0,VLOOKUP($O392,Dep!$A:$M,9),"")</f>
        <v>179</v>
      </c>
      <c r="T392" t="str">
        <f>IF(O392&gt;0,VLOOKUP($O392,Dep!$A:$M,10),"")</f>
        <v>NAT</v>
      </c>
      <c r="U392" t="str">
        <f>IF(O392&gt;0,VLOOKUP($O392,Dep!$A:$M,12),"")</f>
        <v>NW</v>
      </c>
      <c r="V392" t="str">
        <f t="shared" si="81"/>
        <v/>
      </c>
      <c r="W392" t="str">
        <f t="shared" si="82"/>
        <v/>
      </c>
      <c r="X392" t="str">
        <f t="shared" si="83"/>
        <v>X</v>
      </c>
      <c r="Y392">
        <f t="shared" si="78"/>
        <v>0</v>
      </c>
      <c r="Z392" t="str">
        <f t="shared" si="84"/>
        <v/>
      </c>
      <c r="AA392" s="20">
        <f t="shared" si="79"/>
        <v>0.14791666666666659</v>
      </c>
      <c r="AB392">
        <f t="shared" si="85"/>
        <v>391</v>
      </c>
      <c r="AC392" s="20" t="str">
        <f t="shared" si="86"/>
        <v>19:02</v>
      </c>
      <c r="AD392" s="20" t="str">
        <f t="shared" si="80"/>
        <v>22:35</v>
      </c>
      <c r="AE392" t="str">
        <f>VLOOKUP(G392,ACtypes!A:C,3,FALSE)</f>
        <v>C</v>
      </c>
      <c r="AF392" t="str">
        <f t="shared" si="87"/>
        <v/>
      </c>
      <c r="AG392" t="str">
        <f t="shared" si="88"/>
        <v/>
      </c>
      <c r="AH392">
        <f t="shared" si="89"/>
        <v>179</v>
      </c>
    </row>
    <row r="393" spans="1:34" x14ac:dyDescent="0.3">
      <c r="A393" s="41">
        <f t="shared" si="90"/>
        <v>392</v>
      </c>
      <c r="B393" s="27">
        <v>101</v>
      </c>
      <c r="C393" s="28" t="s">
        <v>159</v>
      </c>
      <c r="D393" s="28" t="s">
        <v>13</v>
      </c>
      <c r="E393" s="28" t="s">
        <v>156</v>
      </c>
      <c r="F393" s="28" t="s">
        <v>15</v>
      </c>
      <c r="G393" s="28" t="s">
        <v>160</v>
      </c>
      <c r="H393" s="27">
        <v>0</v>
      </c>
      <c r="I393" s="27">
        <v>179</v>
      </c>
      <c r="J393" s="28" t="s">
        <v>17</v>
      </c>
      <c r="K393" s="27">
        <v>25</v>
      </c>
      <c r="L393" s="28" t="s">
        <v>29</v>
      </c>
      <c r="M393" s="27">
        <v>3</v>
      </c>
      <c r="O393" s="23">
        <v>389</v>
      </c>
      <c r="P393" t="str">
        <f>IF(O393&gt;0,VLOOKUP($O393,Dep!$A:$M,3),"")</f>
        <v>01:00</v>
      </c>
      <c r="Q393" t="str">
        <f>IF(O393&gt;0,VLOOKUP($O393,Dep!$A:$M,6),"")</f>
        <v>MSP</v>
      </c>
      <c r="R393" t="str">
        <f>IF(O393&gt;0,VLOOKUP($O393,Dep!$A:$M,7),"")</f>
        <v>753</v>
      </c>
      <c r="S393">
        <f>IF(O393&gt;0,VLOOKUP($O393,Dep!$A:$M,9),"")</f>
        <v>179</v>
      </c>
      <c r="T393" t="str">
        <f>IF(O393&gt;0,VLOOKUP($O393,Dep!$A:$M,10),"")</f>
        <v>NAT</v>
      </c>
      <c r="U393" t="str">
        <f>IF(O393&gt;0,VLOOKUP($O393,Dep!$A:$M,12),"")</f>
        <v>NW</v>
      </c>
      <c r="V393" t="str">
        <f t="shared" si="81"/>
        <v/>
      </c>
      <c r="W393" t="str">
        <f t="shared" si="82"/>
        <v/>
      </c>
      <c r="X393" t="str">
        <f t="shared" si="83"/>
        <v>X</v>
      </c>
      <c r="Y393">
        <f t="shared" si="78"/>
        <v>0</v>
      </c>
      <c r="Z393">
        <f t="shared" si="84"/>
        <v>1</v>
      </c>
      <c r="AA393" s="20">
        <f t="shared" si="79"/>
        <v>0.15277777777777779</v>
      </c>
      <c r="AB393">
        <f t="shared" si="85"/>
        <v>392</v>
      </c>
      <c r="AC393" s="20" t="str">
        <f t="shared" si="86"/>
        <v>21:20</v>
      </c>
      <c r="AD393" s="20" t="str">
        <f t="shared" si="80"/>
        <v>01:00</v>
      </c>
      <c r="AE393" t="str">
        <f>VLOOKUP(G393,ACtypes!A:C,3,FALSE)</f>
        <v>C</v>
      </c>
      <c r="AF393" t="str">
        <f t="shared" si="87"/>
        <v/>
      </c>
      <c r="AG393" t="str">
        <f t="shared" si="88"/>
        <v/>
      </c>
      <c r="AH393">
        <f t="shared" si="89"/>
        <v>179</v>
      </c>
    </row>
    <row r="394" spans="1:34" x14ac:dyDescent="0.3">
      <c r="A394" s="41">
        <f t="shared" si="90"/>
        <v>393</v>
      </c>
      <c r="B394" s="27">
        <v>250</v>
      </c>
      <c r="C394" s="28" t="s">
        <v>326</v>
      </c>
      <c r="D394" s="28" t="s">
        <v>13</v>
      </c>
      <c r="E394" s="28" t="s">
        <v>317</v>
      </c>
      <c r="F394" s="28" t="s">
        <v>15</v>
      </c>
      <c r="G394" s="28" t="s">
        <v>160</v>
      </c>
      <c r="H394" s="27">
        <v>0</v>
      </c>
      <c r="I394" s="27">
        <v>179</v>
      </c>
      <c r="J394" s="28" t="s">
        <v>17</v>
      </c>
      <c r="K394" s="27">
        <v>25</v>
      </c>
      <c r="L394" s="28" t="s">
        <v>29</v>
      </c>
      <c r="M394" s="27">
        <v>3</v>
      </c>
      <c r="O394" s="23">
        <v>390</v>
      </c>
      <c r="P394" t="str">
        <f>IF(O394&gt;0,VLOOKUP($O394,Dep!$A:$M,3),"")</f>
        <v>09:00</v>
      </c>
      <c r="Q394" t="str">
        <f>IF(O394&gt;0,VLOOKUP($O394,Dep!$A:$M,6),"")</f>
        <v>MSP</v>
      </c>
      <c r="R394" t="str">
        <f>IF(O394&gt;0,VLOOKUP($O394,Dep!$A:$M,7),"")</f>
        <v>753</v>
      </c>
      <c r="S394">
        <f>IF(O394&gt;0,VLOOKUP($O394,Dep!$A:$M,9),"")</f>
        <v>179</v>
      </c>
      <c r="T394" t="str">
        <f>IF(O394&gt;0,VLOOKUP($O394,Dep!$A:$M,10),"")</f>
        <v>NAT</v>
      </c>
      <c r="U394" t="str">
        <f>IF(O394&gt;0,VLOOKUP($O394,Dep!$A:$M,12),"")</f>
        <v>NW</v>
      </c>
      <c r="V394" t="str">
        <f t="shared" si="81"/>
        <v/>
      </c>
      <c r="W394" t="str">
        <f t="shared" si="82"/>
        <v/>
      </c>
      <c r="X394" t="str">
        <f t="shared" si="83"/>
        <v/>
      </c>
      <c r="Y394">
        <f t="shared" si="78"/>
        <v>0</v>
      </c>
      <c r="Z394">
        <f t="shared" si="84"/>
        <v>1</v>
      </c>
      <c r="AA394" s="20">
        <f t="shared" si="79"/>
        <v>0.40555555555555556</v>
      </c>
      <c r="AB394">
        <f t="shared" si="85"/>
        <v>393</v>
      </c>
      <c r="AC394" s="20" t="str">
        <f t="shared" si="86"/>
        <v>23:16</v>
      </c>
      <c r="AD394" s="20" t="str">
        <f t="shared" si="80"/>
        <v>09:00</v>
      </c>
      <c r="AE394" t="str">
        <f>VLOOKUP(G394,ACtypes!A:C,3,FALSE)</f>
        <v>C</v>
      </c>
      <c r="AF394" t="str">
        <f t="shared" si="87"/>
        <v/>
      </c>
      <c r="AG394" t="str">
        <f t="shared" si="88"/>
        <v/>
      </c>
      <c r="AH394">
        <f t="shared" si="89"/>
        <v>179</v>
      </c>
    </row>
    <row r="395" spans="1:34" x14ac:dyDescent="0.3">
      <c r="A395" s="41">
        <f t="shared" si="90"/>
        <v>394</v>
      </c>
      <c r="B395" s="27">
        <v>98</v>
      </c>
      <c r="C395" s="28" t="s">
        <v>155</v>
      </c>
      <c r="D395" s="28" t="s">
        <v>13</v>
      </c>
      <c r="E395" s="28" t="s">
        <v>156</v>
      </c>
      <c r="F395" s="28" t="s">
        <v>15</v>
      </c>
      <c r="G395" s="28" t="s">
        <v>34</v>
      </c>
      <c r="H395" s="27">
        <v>0</v>
      </c>
      <c r="I395" s="27">
        <v>148</v>
      </c>
      <c r="J395" s="28" t="s">
        <v>17</v>
      </c>
      <c r="K395" s="27">
        <v>25</v>
      </c>
      <c r="L395" s="28" t="s">
        <v>29</v>
      </c>
      <c r="M395" s="27">
        <v>8.6999999999999993</v>
      </c>
      <c r="O395" s="23">
        <v>398</v>
      </c>
      <c r="P395" t="str">
        <f>IF(O395&gt;0,VLOOKUP($O395,Dep!$A:$M,3),"")</f>
        <v>12:35</v>
      </c>
      <c r="Q395" t="str">
        <f>IF(O395&gt;0,VLOOKUP($O395,Dep!$A:$M,6),"")</f>
        <v>DTW</v>
      </c>
      <c r="R395" t="str">
        <f>IF(O395&gt;0,VLOOKUP($O395,Dep!$A:$M,7),"")</f>
        <v>757</v>
      </c>
      <c r="S395">
        <f>IF(O395&gt;0,VLOOKUP($O395,Dep!$A:$M,9),"")</f>
        <v>148</v>
      </c>
      <c r="T395" t="str">
        <f>IF(O395&gt;0,VLOOKUP($O395,Dep!$A:$M,10),"")</f>
        <v>NAT</v>
      </c>
      <c r="U395" t="str">
        <f>IF(O395&gt;0,VLOOKUP($O395,Dep!$A:$M,12),"")</f>
        <v>NW</v>
      </c>
      <c r="V395" t="str">
        <f t="shared" si="81"/>
        <v/>
      </c>
      <c r="W395" t="str">
        <f t="shared" si="82"/>
        <v/>
      </c>
      <c r="X395" t="str">
        <f t="shared" si="83"/>
        <v/>
      </c>
      <c r="Y395">
        <f t="shared" si="78"/>
        <v>0</v>
      </c>
      <c r="Z395" t="str">
        <f t="shared" si="84"/>
        <v/>
      </c>
      <c r="AA395" s="20">
        <f t="shared" si="79"/>
        <v>5.6944444444444464E-2</v>
      </c>
      <c r="AB395">
        <f t="shared" si="85"/>
        <v>394</v>
      </c>
      <c r="AC395" s="20" t="str">
        <f t="shared" si="86"/>
        <v>11:13</v>
      </c>
      <c r="AD395" s="20" t="str">
        <f t="shared" si="80"/>
        <v>12:35</v>
      </c>
      <c r="AE395" t="str">
        <f>VLOOKUP(G395,ACtypes!A:C,3,FALSE)</f>
        <v>C</v>
      </c>
      <c r="AF395" t="str">
        <f t="shared" si="87"/>
        <v/>
      </c>
      <c r="AG395" t="str">
        <f t="shared" si="88"/>
        <v/>
      </c>
      <c r="AH395">
        <f t="shared" si="89"/>
        <v>148</v>
      </c>
    </row>
    <row r="396" spans="1:34" x14ac:dyDescent="0.3">
      <c r="A396" s="41">
        <f t="shared" si="90"/>
        <v>395</v>
      </c>
      <c r="B396" s="27">
        <v>100</v>
      </c>
      <c r="C396" s="28" t="s">
        <v>158</v>
      </c>
      <c r="D396" s="28" t="s">
        <v>13</v>
      </c>
      <c r="E396" s="28" t="s">
        <v>156</v>
      </c>
      <c r="F396" s="28" t="s">
        <v>15</v>
      </c>
      <c r="G396" s="28" t="s">
        <v>34</v>
      </c>
      <c r="H396" s="27">
        <v>0</v>
      </c>
      <c r="I396" s="27">
        <v>148</v>
      </c>
      <c r="J396" s="28" t="s">
        <v>17</v>
      </c>
      <c r="K396" s="27">
        <v>25</v>
      </c>
      <c r="L396" s="28" t="s">
        <v>29</v>
      </c>
      <c r="M396" s="27">
        <v>8.6999999999999993</v>
      </c>
      <c r="O396" s="23">
        <v>399</v>
      </c>
      <c r="P396" t="str">
        <f>IF(O396&gt;0,VLOOKUP($O396,Dep!$A:$M,3),"")</f>
        <v>15:05</v>
      </c>
      <c r="Q396" t="str">
        <f>IF(O396&gt;0,VLOOKUP($O396,Dep!$A:$M,6),"")</f>
        <v>MSP</v>
      </c>
      <c r="R396" t="str">
        <f>IF(O396&gt;0,VLOOKUP($O396,Dep!$A:$M,7),"")</f>
        <v>757</v>
      </c>
      <c r="S396">
        <f>IF(O396&gt;0,VLOOKUP($O396,Dep!$A:$M,9),"")</f>
        <v>148</v>
      </c>
      <c r="T396" t="str">
        <f>IF(O396&gt;0,VLOOKUP($O396,Dep!$A:$M,10),"")</f>
        <v>NAT</v>
      </c>
      <c r="U396" t="str">
        <f>IF(O396&gt;0,VLOOKUP($O396,Dep!$A:$M,12),"")</f>
        <v>NW</v>
      </c>
      <c r="V396" t="str">
        <f t="shared" si="81"/>
        <v/>
      </c>
      <c r="W396" t="str">
        <f t="shared" si="82"/>
        <v/>
      </c>
      <c r="X396" t="str">
        <f t="shared" si="83"/>
        <v>X</v>
      </c>
      <c r="Y396">
        <f t="shared" si="78"/>
        <v>0</v>
      </c>
      <c r="Z396" t="str">
        <f t="shared" si="84"/>
        <v/>
      </c>
      <c r="AA396" s="20">
        <f t="shared" si="79"/>
        <v>4.3749999999999956E-2</v>
      </c>
      <c r="AB396">
        <f t="shared" si="85"/>
        <v>395</v>
      </c>
      <c r="AC396" s="20" t="str">
        <f t="shared" si="86"/>
        <v>14:02</v>
      </c>
      <c r="AD396" s="20" t="str">
        <f t="shared" si="80"/>
        <v>15:05</v>
      </c>
      <c r="AE396" t="str">
        <f>VLOOKUP(G396,ACtypes!A:C,3,FALSE)</f>
        <v>C</v>
      </c>
      <c r="AF396" t="str">
        <f t="shared" si="87"/>
        <v/>
      </c>
      <c r="AG396" t="str">
        <f t="shared" si="88"/>
        <v/>
      </c>
      <c r="AH396">
        <f t="shared" si="89"/>
        <v>148</v>
      </c>
    </row>
    <row r="397" spans="1:34" x14ac:dyDescent="0.3">
      <c r="A397" s="41">
        <f t="shared" si="90"/>
        <v>396</v>
      </c>
      <c r="B397" s="27">
        <v>243</v>
      </c>
      <c r="C397" s="28" t="s">
        <v>318</v>
      </c>
      <c r="D397" s="28" t="s">
        <v>13</v>
      </c>
      <c r="E397" s="28" t="s">
        <v>317</v>
      </c>
      <c r="F397" s="28" t="s">
        <v>15</v>
      </c>
      <c r="G397" s="28" t="s">
        <v>34</v>
      </c>
      <c r="H397" s="27">
        <v>0</v>
      </c>
      <c r="I397" s="27">
        <v>148</v>
      </c>
      <c r="J397" s="28" t="s">
        <v>17</v>
      </c>
      <c r="K397" s="27">
        <v>25</v>
      </c>
      <c r="L397" s="28" t="s">
        <v>29</v>
      </c>
      <c r="M397" s="27">
        <v>8.6999999999999993</v>
      </c>
      <c r="O397" s="23">
        <v>400</v>
      </c>
      <c r="P397" t="str">
        <f>IF(O397&gt;0,VLOOKUP($O397,Dep!$A:$M,3),"")</f>
        <v>16:15</v>
      </c>
      <c r="Q397" t="str">
        <f>IF(O397&gt;0,VLOOKUP($O397,Dep!$A:$M,6),"")</f>
        <v>MSP</v>
      </c>
      <c r="R397" t="str">
        <f>IF(O397&gt;0,VLOOKUP($O397,Dep!$A:$M,7),"")</f>
        <v>757</v>
      </c>
      <c r="S397">
        <f>IF(O397&gt;0,VLOOKUP($O397,Dep!$A:$M,9),"")</f>
        <v>148</v>
      </c>
      <c r="T397" t="str">
        <f>IF(O397&gt;0,VLOOKUP($O397,Dep!$A:$M,10),"")</f>
        <v>NAT</v>
      </c>
      <c r="U397" t="str">
        <f>IF(O397&gt;0,VLOOKUP($O397,Dep!$A:$M,12),"")</f>
        <v>NW</v>
      </c>
      <c r="V397" t="str">
        <f t="shared" si="81"/>
        <v/>
      </c>
      <c r="W397" t="str">
        <f t="shared" si="82"/>
        <v/>
      </c>
      <c r="X397" t="str">
        <f t="shared" si="83"/>
        <v/>
      </c>
      <c r="Y397">
        <f t="shared" si="78"/>
        <v>0</v>
      </c>
      <c r="Z397" t="str">
        <f t="shared" si="84"/>
        <v/>
      </c>
      <c r="AA397" s="20">
        <f t="shared" si="79"/>
        <v>4.4444444444444509E-2</v>
      </c>
      <c r="AB397">
        <f t="shared" si="85"/>
        <v>396</v>
      </c>
      <c r="AC397" s="20" t="str">
        <f t="shared" si="86"/>
        <v>15:11</v>
      </c>
      <c r="AD397" s="20" t="str">
        <f t="shared" si="80"/>
        <v>16:15</v>
      </c>
      <c r="AE397" t="str">
        <f>VLOOKUP(G397,ACtypes!A:C,3,FALSE)</f>
        <v>C</v>
      </c>
      <c r="AF397" t="str">
        <f t="shared" si="87"/>
        <v/>
      </c>
      <c r="AG397" t="str">
        <f t="shared" si="88"/>
        <v/>
      </c>
      <c r="AH397">
        <f t="shared" si="89"/>
        <v>148</v>
      </c>
    </row>
    <row r="398" spans="1:34" x14ac:dyDescent="0.3">
      <c r="A398" s="41">
        <f t="shared" si="90"/>
        <v>397</v>
      </c>
      <c r="B398" s="27">
        <v>99</v>
      </c>
      <c r="C398" s="28" t="s">
        <v>157</v>
      </c>
      <c r="D398" s="28" t="s">
        <v>13</v>
      </c>
      <c r="E398" s="28" t="s">
        <v>156</v>
      </c>
      <c r="F398" s="28" t="s">
        <v>15</v>
      </c>
      <c r="G398" s="28" t="s">
        <v>34</v>
      </c>
      <c r="H398" s="27">
        <v>0</v>
      </c>
      <c r="I398" s="27">
        <v>148</v>
      </c>
      <c r="J398" s="28" t="s">
        <v>17</v>
      </c>
      <c r="K398" s="27">
        <v>25</v>
      </c>
      <c r="L398" s="28" t="s">
        <v>29</v>
      </c>
      <c r="M398" s="27">
        <v>8.6999999999999993</v>
      </c>
      <c r="O398" s="23">
        <v>396</v>
      </c>
      <c r="P398" t="str">
        <f>IF(O398&gt;0,VLOOKUP($O398,Dep!$A:$M,3),"")</f>
        <v>06:29</v>
      </c>
      <c r="Q398" t="str">
        <f>IF(O398&gt;0,VLOOKUP($O398,Dep!$A:$M,6),"")</f>
        <v>MEM</v>
      </c>
      <c r="R398" t="str">
        <f>IF(O398&gt;0,VLOOKUP($O398,Dep!$A:$M,7),"")</f>
        <v>757</v>
      </c>
      <c r="S398">
        <f>IF(O398&gt;0,VLOOKUP($O398,Dep!$A:$M,9),"")</f>
        <v>148</v>
      </c>
      <c r="T398" t="str">
        <f>IF(O398&gt;0,VLOOKUP($O398,Dep!$A:$M,10),"")</f>
        <v>NAT</v>
      </c>
      <c r="U398" t="str">
        <f>IF(O398&gt;0,VLOOKUP($O398,Dep!$A:$M,12),"")</f>
        <v>NW</v>
      </c>
      <c r="V398" t="str">
        <f t="shared" si="81"/>
        <v/>
      </c>
      <c r="W398" t="str">
        <f t="shared" si="82"/>
        <v/>
      </c>
      <c r="X398" t="str">
        <f t="shared" si="83"/>
        <v>X</v>
      </c>
      <c r="Y398">
        <f t="shared" si="78"/>
        <v>0</v>
      </c>
      <c r="Z398">
        <f t="shared" si="84"/>
        <v>1</v>
      </c>
      <c r="AA398" s="20">
        <f t="shared" si="79"/>
        <v>0.5395833333333333</v>
      </c>
      <c r="AB398">
        <f t="shared" si="85"/>
        <v>397</v>
      </c>
      <c r="AC398" s="20" t="str">
        <f t="shared" si="86"/>
        <v>17:32</v>
      </c>
      <c r="AD398" s="20" t="str">
        <f t="shared" si="80"/>
        <v>06:29</v>
      </c>
      <c r="AE398" t="str">
        <f>VLOOKUP(G398,ACtypes!A:C,3,FALSE)</f>
        <v>C</v>
      </c>
      <c r="AF398" t="str">
        <f t="shared" si="87"/>
        <v/>
      </c>
      <c r="AG398" t="str">
        <f t="shared" si="88"/>
        <v/>
      </c>
      <c r="AH398">
        <f t="shared" si="89"/>
        <v>148</v>
      </c>
    </row>
    <row r="399" spans="1:34" x14ac:dyDescent="0.3">
      <c r="A399" s="41">
        <f t="shared" si="90"/>
        <v>398</v>
      </c>
      <c r="B399" s="27">
        <v>242</v>
      </c>
      <c r="C399" s="28" t="s">
        <v>316</v>
      </c>
      <c r="D399" s="28" t="s">
        <v>13</v>
      </c>
      <c r="E399" s="28" t="s">
        <v>317</v>
      </c>
      <c r="F399" s="28" t="s">
        <v>15</v>
      </c>
      <c r="G399" s="28" t="s">
        <v>34</v>
      </c>
      <c r="H399" s="27">
        <v>0</v>
      </c>
      <c r="I399" s="27">
        <v>148</v>
      </c>
      <c r="J399" s="28" t="s">
        <v>17</v>
      </c>
      <c r="K399" s="27">
        <v>25</v>
      </c>
      <c r="L399" s="28" t="s">
        <v>29</v>
      </c>
      <c r="M399" s="27">
        <v>8.6999999999999993</v>
      </c>
      <c r="O399" s="23">
        <v>397</v>
      </c>
      <c r="P399" t="str">
        <f>IF(O399&gt;0,VLOOKUP($O399,Dep!$A:$M,3),"")</f>
        <v>07:05</v>
      </c>
      <c r="Q399" t="str">
        <f>IF(O399&gt;0,VLOOKUP($O399,Dep!$A:$M,6),"")</f>
        <v>MSP</v>
      </c>
      <c r="R399" t="str">
        <f>IF(O399&gt;0,VLOOKUP($O399,Dep!$A:$M,7),"")</f>
        <v>757</v>
      </c>
      <c r="S399">
        <f>IF(O399&gt;0,VLOOKUP($O399,Dep!$A:$M,9),"")</f>
        <v>148</v>
      </c>
      <c r="T399" t="str">
        <f>IF(O399&gt;0,VLOOKUP($O399,Dep!$A:$M,10),"")</f>
        <v>NAT</v>
      </c>
      <c r="U399" t="str">
        <f>IF(O399&gt;0,VLOOKUP($O399,Dep!$A:$M,12),"")</f>
        <v>NW</v>
      </c>
      <c r="V399" t="str">
        <f t="shared" si="81"/>
        <v/>
      </c>
      <c r="W399" t="str">
        <f t="shared" si="82"/>
        <v/>
      </c>
      <c r="X399" t="str">
        <f t="shared" si="83"/>
        <v/>
      </c>
      <c r="Y399">
        <f t="shared" si="78"/>
        <v>0</v>
      </c>
      <c r="Z399">
        <f t="shared" si="84"/>
        <v>1</v>
      </c>
      <c r="AA399" s="20">
        <f t="shared" si="79"/>
        <v>0.43124999999999991</v>
      </c>
      <c r="AB399">
        <f t="shared" si="85"/>
        <v>398</v>
      </c>
      <c r="AC399" s="20" t="str">
        <f t="shared" si="86"/>
        <v>20:44</v>
      </c>
      <c r="AD399" s="20" t="str">
        <f t="shared" si="80"/>
        <v>07:05</v>
      </c>
      <c r="AE399" t="str">
        <f>VLOOKUP(G399,ACtypes!A:C,3,FALSE)</f>
        <v>C</v>
      </c>
      <c r="AF399" t="str">
        <f t="shared" si="87"/>
        <v/>
      </c>
      <c r="AG399" t="str">
        <f t="shared" si="88"/>
        <v/>
      </c>
      <c r="AH399">
        <f t="shared" si="89"/>
        <v>148</v>
      </c>
    </row>
    <row r="400" spans="1:34" x14ac:dyDescent="0.3">
      <c r="A400" s="41">
        <f t="shared" si="90"/>
        <v>399</v>
      </c>
      <c r="B400" s="27">
        <v>155</v>
      </c>
      <c r="C400" s="28" t="s">
        <v>220</v>
      </c>
      <c r="D400" s="28" t="s">
        <v>13</v>
      </c>
      <c r="E400" s="28" t="s">
        <v>221</v>
      </c>
      <c r="F400" s="28" t="s">
        <v>15</v>
      </c>
      <c r="G400" s="28" t="s">
        <v>222</v>
      </c>
      <c r="H400" s="27">
        <v>0</v>
      </c>
      <c r="I400" s="27">
        <v>216</v>
      </c>
      <c r="J400" s="28" t="s">
        <v>17</v>
      </c>
      <c r="K400" s="27">
        <v>25</v>
      </c>
      <c r="L400" s="28" t="s">
        <v>29</v>
      </c>
      <c r="M400" s="27">
        <v>13.5</v>
      </c>
      <c r="O400" s="23">
        <v>401</v>
      </c>
      <c r="P400" t="str">
        <f>IF(O400&gt;0,VLOOKUP($O400,Dep!$A:$M,3),"")</f>
        <v>08:40</v>
      </c>
      <c r="Q400" t="str">
        <f>IF(O400&gt;0,VLOOKUP($O400,Dep!$A:$M,6),"")</f>
        <v>HNL</v>
      </c>
      <c r="R400" t="str">
        <f>IF(O400&gt;0,VLOOKUP($O400,Dep!$A:$M,7),"")</f>
        <v>D10</v>
      </c>
      <c r="S400">
        <f>IF(O400&gt;0,VLOOKUP($O400,Dep!$A:$M,9),"")</f>
        <v>216</v>
      </c>
      <c r="T400" t="str">
        <f>IF(O400&gt;0,VLOOKUP($O400,Dep!$A:$M,10),"")</f>
        <v>NAT</v>
      </c>
      <c r="U400" t="str">
        <f>IF(O400&gt;0,VLOOKUP($O400,Dep!$A:$M,12),"")</f>
        <v>NW</v>
      </c>
      <c r="V400" t="str">
        <f t="shared" si="81"/>
        <v/>
      </c>
      <c r="W400" t="str">
        <f t="shared" si="82"/>
        <v/>
      </c>
      <c r="X400" t="str">
        <f t="shared" si="83"/>
        <v/>
      </c>
      <c r="Y400">
        <f t="shared" si="78"/>
        <v>0</v>
      </c>
      <c r="Z400">
        <f t="shared" si="84"/>
        <v>1</v>
      </c>
      <c r="AA400" s="20">
        <f t="shared" si="79"/>
        <v>0.45486111111111116</v>
      </c>
      <c r="AB400">
        <f t="shared" si="85"/>
        <v>399</v>
      </c>
      <c r="AC400" s="20" t="str">
        <f t="shared" si="86"/>
        <v>21:45</v>
      </c>
      <c r="AD400" s="20" t="str">
        <f t="shared" si="80"/>
        <v>08:40</v>
      </c>
      <c r="AE400" t="str">
        <f>VLOOKUP(G400,ACtypes!A:C,3,FALSE)</f>
        <v>D</v>
      </c>
      <c r="AF400" t="str">
        <f t="shared" si="87"/>
        <v/>
      </c>
      <c r="AG400" t="str">
        <f t="shared" si="88"/>
        <v/>
      </c>
      <c r="AH400">
        <f t="shared" si="89"/>
        <v>216</v>
      </c>
    </row>
    <row r="401" spans="1:34" x14ac:dyDescent="0.3">
      <c r="A401" s="41">
        <f t="shared" si="90"/>
        <v>400</v>
      </c>
      <c r="B401" s="27">
        <v>64</v>
      </c>
      <c r="C401" s="28" t="s">
        <v>104</v>
      </c>
      <c r="D401" s="28" t="s">
        <v>13</v>
      </c>
      <c r="E401" s="28" t="s">
        <v>114</v>
      </c>
      <c r="F401" s="28" t="s">
        <v>15</v>
      </c>
      <c r="G401" s="28" t="s">
        <v>115</v>
      </c>
      <c r="H401" s="27">
        <v>0</v>
      </c>
      <c r="I401" s="27">
        <v>209</v>
      </c>
      <c r="J401" s="28" t="s">
        <v>28</v>
      </c>
      <c r="K401" s="27">
        <v>25</v>
      </c>
      <c r="L401" s="28" t="s">
        <v>116</v>
      </c>
      <c r="M401" s="27">
        <v>0</v>
      </c>
      <c r="O401" s="23">
        <v>402</v>
      </c>
      <c r="P401" t="str">
        <f>IF(O401&gt;0,VLOOKUP($O401,Dep!$A:$M,3),"")</f>
        <v>18:55</v>
      </c>
      <c r="Q401" t="str">
        <f>IF(O401&gt;0,VLOOKUP($O401,Dep!$A:$M,6),"")</f>
        <v>CPH</v>
      </c>
      <c r="R401" t="str">
        <f>IF(O401&gt;0,VLOOKUP($O401,Dep!$A:$M,7),"")</f>
        <v>343</v>
      </c>
      <c r="S401">
        <f>IF(O401&gt;0,VLOOKUP($O401,Dep!$A:$M,9),"")</f>
        <v>209</v>
      </c>
      <c r="T401" t="str">
        <f>IF(O401&gt;0,VLOOKUP($O401,Dep!$A:$M,10),"")</f>
        <v>INT</v>
      </c>
      <c r="U401" t="str">
        <f>IF(O401&gt;0,VLOOKUP($O401,Dep!$A:$M,12),"")</f>
        <v>SK</v>
      </c>
      <c r="V401" t="str">
        <f t="shared" si="81"/>
        <v/>
      </c>
      <c r="W401" t="str">
        <f t="shared" si="82"/>
        <v/>
      </c>
      <c r="X401" t="str">
        <f t="shared" si="83"/>
        <v/>
      </c>
      <c r="Y401">
        <f t="shared" si="78"/>
        <v>0</v>
      </c>
      <c r="Z401" t="str">
        <f t="shared" si="84"/>
        <v/>
      </c>
      <c r="AA401" s="20">
        <f t="shared" si="79"/>
        <v>8.6805555555555691E-2</v>
      </c>
      <c r="AB401">
        <f t="shared" si="85"/>
        <v>400</v>
      </c>
      <c r="AC401" s="20" t="str">
        <f t="shared" si="86"/>
        <v>16:50</v>
      </c>
      <c r="AD401" s="20" t="str">
        <f t="shared" si="80"/>
        <v>18:55</v>
      </c>
      <c r="AE401" t="str">
        <f>VLOOKUP(G401,ACtypes!A:C,3,FALSE)</f>
        <v>E</v>
      </c>
      <c r="AF401">
        <f t="shared" si="87"/>
        <v>1</v>
      </c>
      <c r="AG401">
        <f t="shared" si="88"/>
        <v>1</v>
      </c>
      <c r="AH401">
        <f t="shared" si="89"/>
        <v>209</v>
      </c>
    </row>
    <row r="402" spans="1:34" x14ac:dyDescent="0.3">
      <c r="A402" s="41">
        <f t="shared" si="90"/>
        <v>401</v>
      </c>
      <c r="B402" s="27">
        <v>948</v>
      </c>
      <c r="C402" s="28" t="s">
        <v>408</v>
      </c>
      <c r="D402" s="28" t="s">
        <v>13</v>
      </c>
      <c r="E402" s="28" t="s">
        <v>521</v>
      </c>
      <c r="F402" s="28" t="s">
        <v>15</v>
      </c>
      <c r="G402" s="28" t="s">
        <v>223</v>
      </c>
      <c r="H402" s="27">
        <v>0</v>
      </c>
      <c r="I402" s="27">
        <v>184</v>
      </c>
      <c r="J402" s="28" t="s">
        <v>28</v>
      </c>
      <c r="K402" s="27">
        <v>25</v>
      </c>
      <c r="L402" s="28" t="s">
        <v>522</v>
      </c>
      <c r="M402" s="27">
        <v>12.7</v>
      </c>
      <c r="O402" s="23">
        <v>403</v>
      </c>
      <c r="P402" t="str">
        <f>IF(O402&gt;0,VLOOKUP($O402,Dep!$A:$M,3),"")</f>
        <v>16:15</v>
      </c>
      <c r="Q402" t="str">
        <f>IF(O402&gt;0,VLOOKUP($O402,Dep!$A:$M,6),"")</f>
        <v>SVO</v>
      </c>
      <c r="R402" t="str">
        <f>IF(O402&gt;0,VLOOKUP($O402,Dep!$A:$M,7),"")</f>
        <v>763</v>
      </c>
      <c r="S402">
        <f>IF(O402&gt;0,VLOOKUP($O402,Dep!$A:$M,9),"")</f>
        <v>184</v>
      </c>
      <c r="T402" t="str">
        <f>IF(O402&gt;0,VLOOKUP($O402,Dep!$A:$M,10),"")</f>
        <v>INT</v>
      </c>
      <c r="U402" t="str">
        <f>IF(O402&gt;0,VLOOKUP($O402,Dep!$A:$M,12),"")</f>
        <v>SU</v>
      </c>
      <c r="V402" t="str">
        <f t="shared" si="81"/>
        <v/>
      </c>
      <c r="W402" t="str">
        <f t="shared" si="82"/>
        <v/>
      </c>
      <c r="X402" t="str">
        <f t="shared" si="83"/>
        <v/>
      </c>
      <c r="Y402">
        <f t="shared" si="78"/>
        <v>0</v>
      </c>
      <c r="Z402" t="str">
        <f t="shared" si="84"/>
        <v/>
      </c>
      <c r="AA402" s="20">
        <f t="shared" si="79"/>
        <v>6.5972222222222321E-2</v>
      </c>
      <c r="AB402">
        <f t="shared" si="85"/>
        <v>401</v>
      </c>
      <c r="AC402" s="20" t="str">
        <f t="shared" si="86"/>
        <v>14:40</v>
      </c>
      <c r="AD402" s="20" t="str">
        <f t="shared" si="80"/>
        <v>16:15</v>
      </c>
      <c r="AE402" t="str">
        <f>VLOOKUP(G402,ACtypes!A:C,3,FALSE)</f>
        <v>D</v>
      </c>
      <c r="AF402">
        <f t="shared" si="87"/>
        <v>1</v>
      </c>
      <c r="AG402">
        <f t="shared" si="88"/>
        <v>1</v>
      </c>
      <c r="AH402">
        <f t="shared" si="89"/>
        <v>184</v>
      </c>
    </row>
    <row r="403" spans="1:34" x14ac:dyDescent="0.3">
      <c r="A403" s="41">
        <f t="shared" si="90"/>
        <v>402</v>
      </c>
      <c r="B403" s="27">
        <v>245</v>
      </c>
      <c r="C403" s="28" t="s">
        <v>321</v>
      </c>
      <c r="D403" s="28" t="s">
        <v>13</v>
      </c>
      <c r="E403" s="28" t="s">
        <v>317</v>
      </c>
      <c r="F403" s="28" t="s">
        <v>15</v>
      </c>
      <c r="G403" s="28" t="s">
        <v>70</v>
      </c>
      <c r="H403" s="27">
        <v>0</v>
      </c>
      <c r="I403" s="27">
        <v>130</v>
      </c>
      <c r="J403" s="28" t="s">
        <v>17</v>
      </c>
      <c r="K403" s="27">
        <v>25</v>
      </c>
      <c r="L403" s="28" t="s">
        <v>320</v>
      </c>
      <c r="M403" s="27">
        <v>19.899999999999999</v>
      </c>
      <c r="O403" s="23">
        <v>404</v>
      </c>
      <c r="P403" t="str">
        <f>IF(O403&gt;0,VLOOKUP($O403,Dep!$A:$M,3),"")</f>
        <v>16:40</v>
      </c>
      <c r="Q403" t="str">
        <f>IF(O403&gt;0,VLOOKUP($O403,Dep!$A:$M,6),"")</f>
        <v>MSP</v>
      </c>
      <c r="R403" t="str">
        <f>IF(O403&gt;0,VLOOKUP($O403,Dep!$A:$M,7),"")</f>
        <v>738</v>
      </c>
      <c r="S403">
        <f>IF(O403&gt;0,VLOOKUP($O403,Dep!$A:$M,9),"")</f>
        <v>130</v>
      </c>
      <c r="T403" t="str">
        <f>IF(O403&gt;0,VLOOKUP($O403,Dep!$A:$M,10),"")</f>
        <v>NAT</v>
      </c>
      <c r="U403" t="str">
        <f>IF(O403&gt;0,VLOOKUP($O403,Dep!$A:$M,12),"")</f>
        <v>SY</v>
      </c>
      <c r="V403" t="str">
        <f t="shared" si="81"/>
        <v/>
      </c>
      <c r="W403" t="str">
        <f t="shared" si="82"/>
        <v/>
      </c>
      <c r="X403" t="str">
        <f t="shared" si="83"/>
        <v/>
      </c>
      <c r="Y403">
        <f t="shared" si="78"/>
        <v>0</v>
      </c>
      <c r="Z403" t="str">
        <f t="shared" si="84"/>
        <v/>
      </c>
      <c r="AA403" s="20">
        <f t="shared" si="79"/>
        <v>3.4722222222222321E-2</v>
      </c>
      <c r="AB403">
        <f t="shared" si="85"/>
        <v>402</v>
      </c>
      <c r="AC403" s="20" t="str">
        <f t="shared" si="86"/>
        <v>15:50</v>
      </c>
      <c r="AD403" s="20" t="str">
        <f t="shared" si="80"/>
        <v>16:40</v>
      </c>
      <c r="AE403" t="str">
        <f>VLOOKUP(G403,ACtypes!A:C,3,FALSE)</f>
        <v>C</v>
      </c>
      <c r="AF403" t="str">
        <f t="shared" si="87"/>
        <v/>
      </c>
      <c r="AG403" t="str">
        <f t="shared" si="88"/>
        <v/>
      </c>
      <c r="AH403">
        <f t="shared" si="89"/>
        <v>130</v>
      </c>
    </row>
    <row r="404" spans="1:34" x14ac:dyDescent="0.3">
      <c r="A404" s="41">
        <f t="shared" si="90"/>
        <v>403</v>
      </c>
      <c r="B404" s="27">
        <v>244</v>
      </c>
      <c r="C404" s="28" t="s">
        <v>319</v>
      </c>
      <c r="D404" s="28" t="s">
        <v>13</v>
      </c>
      <c r="E404" s="28" t="s">
        <v>317</v>
      </c>
      <c r="F404" s="28" t="s">
        <v>15</v>
      </c>
      <c r="G404" s="28" t="s">
        <v>70</v>
      </c>
      <c r="H404" s="27">
        <v>0</v>
      </c>
      <c r="I404" s="27">
        <v>130</v>
      </c>
      <c r="J404" s="28" t="s">
        <v>17</v>
      </c>
      <c r="K404" s="27">
        <v>25</v>
      </c>
      <c r="L404" s="28" t="s">
        <v>320</v>
      </c>
      <c r="M404" s="27">
        <v>19.899999999999999</v>
      </c>
      <c r="O404" s="23">
        <v>405</v>
      </c>
      <c r="P404" t="str">
        <f>IF(O404&gt;0,VLOOKUP($O404,Dep!$A:$M,3),"")</f>
        <v>23:59</v>
      </c>
      <c r="Q404" t="str">
        <f>IF(O404&gt;0,VLOOKUP($O404,Dep!$A:$M,6),"")</f>
        <v>MSP</v>
      </c>
      <c r="R404" t="str">
        <f>IF(O404&gt;0,VLOOKUP($O404,Dep!$A:$M,7),"")</f>
        <v>738</v>
      </c>
      <c r="S404">
        <f>IF(O404&gt;0,VLOOKUP($O404,Dep!$A:$M,9),"")</f>
        <v>130</v>
      </c>
      <c r="T404" t="str">
        <f>IF(O404&gt;0,VLOOKUP($O404,Dep!$A:$M,10),"")</f>
        <v>NAT</v>
      </c>
      <c r="U404" t="str">
        <f>IF(O404&gt;0,VLOOKUP($O404,Dep!$A:$M,12),"")</f>
        <v>SY</v>
      </c>
      <c r="V404" t="str">
        <f t="shared" si="81"/>
        <v/>
      </c>
      <c r="W404" t="str">
        <f t="shared" si="82"/>
        <v/>
      </c>
      <c r="X404" t="str">
        <f t="shared" si="83"/>
        <v/>
      </c>
      <c r="Y404">
        <f t="shared" si="78"/>
        <v>0</v>
      </c>
      <c r="Z404" t="str">
        <f t="shared" si="84"/>
        <v/>
      </c>
      <c r="AA404" s="20">
        <f t="shared" si="79"/>
        <v>3.0555555555555558E-2</v>
      </c>
      <c r="AB404">
        <f t="shared" si="85"/>
        <v>403</v>
      </c>
      <c r="AC404" s="20" t="str">
        <f t="shared" si="86"/>
        <v>23:15</v>
      </c>
      <c r="AD404" s="20" t="str">
        <f t="shared" si="80"/>
        <v>23:59</v>
      </c>
      <c r="AE404" t="str">
        <f>VLOOKUP(G404,ACtypes!A:C,3,FALSE)</f>
        <v>C</v>
      </c>
      <c r="AF404" t="str">
        <f t="shared" si="87"/>
        <v/>
      </c>
      <c r="AG404" t="str">
        <f t="shared" si="88"/>
        <v/>
      </c>
      <c r="AH404">
        <f t="shared" si="89"/>
        <v>130</v>
      </c>
    </row>
    <row r="405" spans="1:34" x14ac:dyDescent="0.3">
      <c r="A405" s="41">
        <f t="shared" si="90"/>
        <v>404</v>
      </c>
      <c r="B405" s="27">
        <v>276</v>
      </c>
      <c r="C405" s="28" t="s">
        <v>353</v>
      </c>
      <c r="D405" s="28" t="s">
        <v>13</v>
      </c>
      <c r="E405" s="28" t="s">
        <v>352</v>
      </c>
      <c r="F405" s="28" t="s">
        <v>15</v>
      </c>
      <c r="G405" s="28" t="s">
        <v>40</v>
      </c>
      <c r="H405" s="27">
        <v>0</v>
      </c>
      <c r="I405" s="27">
        <v>96</v>
      </c>
      <c r="J405" s="28" t="s">
        <v>17</v>
      </c>
      <c r="K405" s="27">
        <v>25</v>
      </c>
      <c r="L405" s="28" t="s">
        <v>41</v>
      </c>
      <c r="M405" s="27">
        <v>0</v>
      </c>
      <c r="O405" s="23">
        <v>407</v>
      </c>
      <c r="P405" t="str">
        <f>IF(O405&gt;0,VLOOKUP($O405,Dep!$A:$M,3),"")</f>
        <v>06:05</v>
      </c>
      <c r="Q405" t="str">
        <f>IF(O405&gt;0,VLOOKUP($O405,Dep!$A:$M,6),"")</f>
        <v>DEN</v>
      </c>
      <c r="R405" t="str">
        <f>IF(O405&gt;0,VLOOKUP($O405,Dep!$A:$M,7),"")</f>
        <v>319</v>
      </c>
      <c r="S405">
        <f>IF(O405&gt;0,VLOOKUP($O405,Dep!$A:$M,9),"")</f>
        <v>96</v>
      </c>
      <c r="T405" t="str">
        <f>IF(O405&gt;0,VLOOKUP($O405,Dep!$A:$M,10),"")</f>
        <v>NAT</v>
      </c>
      <c r="U405" t="str">
        <f>IF(O405&gt;0,VLOOKUP($O405,Dep!$A:$M,12),"")</f>
        <v>UA</v>
      </c>
      <c r="V405" t="str">
        <f t="shared" si="81"/>
        <v/>
      </c>
      <c r="W405" t="str">
        <f t="shared" si="82"/>
        <v/>
      </c>
      <c r="X405" t="str">
        <f t="shared" si="83"/>
        <v>X</v>
      </c>
      <c r="Y405">
        <f t="shared" si="78"/>
        <v>0</v>
      </c>
      <c r="Z405" t="str">
        <f t="shared" si="84"/>
        <v/>
      </c>
      <c r="AA405" s="20">
        <f t="shared" si="79"/>
        <v>0.24236111111111111</v>
      </c>
      <c r="AB405">
        <f t="shared" si="85"/>
        <v>404</v>
      </c>
      <c r="AC405" s="20" t="str">
        <f t="shared" si="86"/>
        <v>00:16</v>
      </c>
      <c r="AD405" s="20" t="str">
        <f t="shared" si="80"/>
        <v>06:05</v>
      </c>
      <c r="AE405" t="str">
        <f>VLOOKUP(G405,ACtypes!A:C,3,FALSE)</f>
        <v>C</v>
      </c>
      <c r="AF405" t="str">
        <f t="shared" si="87"/>
        <v/>
      </c>
      <c r="AG405" t="str">
        <f t="shared" si="88"/>
        <v/>
      </c>
      <c r="AH405">
        <f t="shared" si="89"/>
        <v>96</v>
      </c>
    </row>
    <row r="406" spans="1:34" x14ac:dyDescent="0.3">
      <c r="A406" s="41">
        <f t="shared" si="90"/>
        <v>405</v>
      </c>
      <c r="B406" s="27">
        <v>898</v>
      </c>
      <c r="C406" s="28" t="s">
        <v>451</v>
      </c>
      <c r="D406" s="28" t="s">
        <v>13</v>
      </c>
      <c r="E406" s="28" t="s">
        <v>440</v>
      </c>
      <c r="F406" s="28" t="s">
        <v>15</v>
      </c>
      <c r="G406" s="28" t="s">
        <v>40</v>
      </c>
      <c r="H406" s="27">
        <v>0</v>
      </c>
      <c r="I406" s="27">
        <v>96</v>
      </c>
      <c r="J406" s="28" t="s">
        <v>17</v>
      </c>
      <c r="K406" s="27">
        <v>25</v>
      </c>
      <c r="L406" s="28" t="s">
        <v>41</v>
      </c>
      <c r="M406" s="27">
        <v>0</v>
      </c>
      <c r="O406" s="23">
        <v>408</v>
      </c>
      <c r="P406" t="str">
        <f>IF(O406&gt;0,VLOOKUP($O406,Dep!$A:$M,3),"")</f>
        <v>06:05</v>
      </c>
      <c r="Q406" t="str">
        <f>IF(O406&gt;0,VLOOKUP($O406,Dep!$A:$M,6),"")</f>
        <v>LAX</v>
      </c>
      <c r="R406" t="str">
        <f>IF(O406&gt;0,VLOOKUP($O406,Dep!$A:$M,7),"")</f>
        <v>319</v>
      </c>
      <c r="S406">
        <f>IF(O406&gt;0,VLOOKUP($O406,Dep!$A:$M,9),"")</f>
        <v>96</v>
      </c>
      <c r="T406" t="str">
        <f>IF(O406&gt;0,VLOOKUP($O406,Dep!$A:$M,10),"")</f>
        <v>NAT</v>
      </c>
      <c r="U406" t="str">
        <f>IF(O406&gt;0,VLOOKUP($O406,Dep!$A:$M,12),"")</f>
        <v>UA</v>
      </c>
      <c r="V406" t="str">
        <f t="shared" si="81"/>
        <v/>
      </c>
      <c r="W406" t="str">
        <f t="shared" si="82"/>
        <v/>
      </c>
      <c r="X406" t="str">
        <f t="shared" si="83"/>
        <v>X</v>
      </c>
      <c r="Y406">
        <f t="shared" si="78"/>
        <v>0</v>
      </c>
      <c r="Z406" t="str">
        <f t="shared" si="84"/>
        <v/>
      </c>
      <c r="AA406" s="20">
        <f t="shared" si="79"/>
        <v>0.22777777777777777</v>
      </c>
      <c r="AB406">
        <f t="shared" si="85"/>
        <v>405</v>
      </c>
      <c r="AC406" s="20" t="str">
        <f t="shared" si="86"/>
        <v>00:37</v>
      </c>
      <c r="AD406" s="20" t="str">
        <f t="shared" si="80"/>
        <v>06:05</v>
      </c>
      <c r="AE406" t="str">
        <f>VLOOKUP(G406,ACtypes!A:C,3,FALSE)</f>
        <v>C</v>
      </c>
      <c r="AF406" t="str">
        <f t="shared" si="87"/>
        <v/>
      </c>
      <c r="AG406" t="str">
        <f t="shared" si="88"/>
        <v/>
      </c>
      <c r="AH406">
        <f t="shared" si="89"/>
        <v>96</v>
      </c>
    </row>
    <row r="407" spans="1:34" x14ac:dyDescent="0.3">
      <c r="A407" s="41">
        <f t="shared" si="90"/>
        <v>406</v>
      </c>
      <c r="B407" s="27">
        <v>11</v>
      </c>
      <c r="C407" s="28" t="s">
        <v>39</v>
      </c>
      <c r="D407" s="28" t="s">
        <v>13</v>
      </c>
      <c r="E407" s="28" t="s">
        <v>31</v>
      </c>
      <c r="F407" s="28" t="s">
        <v>15</v>
      </c>
      <c r="G407" s="28" t="s">
        <v>40</v>
      </c>
      <c r="H407" s="27">
        <v>0</v>
      </c>
      <c r="I407" s="27">
        <v>96</v>
      </c>
      <c r="J407" s="28" t="s">
        <v>17</v>
      </c>
      <c r="K407" s="27">
        <v>25</v>
      </c>
      <c r="L407" s="28" t="s">
        <v>41</v>
      </c>
      <c r="M407" s="27">
        <v>0</v>
      </c>
      <c r="O407" s="23">
        <v>409</v>
      </c>
      <c r="P407" t="str">
        <f>IF(O407&gt;0,VLOOKUP($O407,Dep!$A:$M,3),"")</f>
        <v>06:25</v>
      </c>
      <c r="Q407" t="str">
        <f>IF(O407&gt;0,VLOOKUP($O407,Dep!$A:$M,6),"")</f>
        <v>ORD</v>
      </c>
      <c r="R407" t="str">
        <f>IF(O407&gt;0,VLOOKUP($O407,Dep!$A:$M,7),"")</f>
        <v>319</v>
      </c>
      <c r="S407">
        <f>IF(O407&gt;0,VLOOKUP($O407,Dep!$A:$M,9),"")</f>
        <v>96</v>
      </c>
      <c r="T407" t="str">
        <f>IF(O407&gt;0,VLOOKUP($O407,Dep!$A:$M,10),"")</f>
        <v>NAT</v>
      </c>
      <c r="U407" t="str">
        <f>IF(O407&gt;0,VLOOKUP($O407,Dep!$A:$M,12),"")</f>
        <v>UA</v>
      </c>
      <c r="V407" t="str">
        <f t="shared" si="81"/>
        <v/>
      </c>
      <c r="W407" t="str">
        <f t="shared" si="82"/>
        <v/>
      </c>
      <c r="X407" t="str">
        <f t="shared" si="83"/>
        <v>X</v>
      </c>
      <c r="Y407">
        <f t="shared" si="78"/>
        <v>0</v>
      </c>
      <c r="Z407" t="str">
        <f t="shared" si="84"/>
        <v/>
      </c>
      <c r="AA407" s="20">
        <f t="shared" si="79"/>
        <v>5.1388888888888873E-2</v>
      </c>
      <c r="AB407">
        <f t="shared" si="85"/>
        <v>406</v>
      </c>
      <c r="AC407" s="20" t="str">
        <f t="shared" si="86"/>
        <v>05:11</v>
      </c>
      <c r="AD407" s="20" t="str">
        <f t="shared" si="80"/>
        <v>06:25</v>
      </c>
      <c r="AE407" t="str">
        <f>VLOOKUP(G407,ACtypes!A:C,3,FALSE)</f>
        <v>C</v>
      </c>
      <c r="AF407" t="str">
        <f t="shared" si="87"/>
        <v/>
      </c>
      <c r="AG407" t="str">
        <f t="shared" si="88"/>
        <v/>
      </c>
      <c r="AH407">
        <f t="shared" si="89"/>
        <v>96</v>
      </c>
    </row>
    <row r="408" spans="1:34" x14ac:dyDescent="0.3">
      <c r="A408" s="41">
        <f t="shared" si="90"/>
        <v>407</v>
      </c>
      <c r="B408" s="27">
        <v>163</v>
      </c>
      <c r="C408" s="28" t="s">
        <v>119</v>
      </c>
      <c r="D408" s="28" t="s">
        <v>13</v>
      </c>
      <c r="E408" s="28" t="s">
        <v>226</v>
      </c>
      <c r="F408" s="28" t="s">
        <v>15</v>
      </c>
      <c r="G408" s="28" t="s">
        <v>40</v>
      </c>
      <c r="H408" s="27">
        <v>0</v>
      </c>
      <c r="I408" s="27">
        <v>96</v>
      </c>
      <c r="J408" s="28" t="s">
        <v>17</v>
      </c>
      <c r="K408" s="27">
        <v>25</v>
      </c>
      <c r="L408" s="28" t="s">
        <v>41</v>
      </c>
      <c r="M408" s="27">
        <v>0</v>
      </c>
      <c r="O408" s="23">
        <v>410</v>
      </c>
      <c r="P408" t="str">
        <f>IF(O408&gt;0,VLOOKUP($O408,Dep!$A:$M,3),"")</f>
        <v>12:30</v>
      </c>
      <c r="Q408" t="str">
        <f>IF(O408&gt;0,VLOOKUP($O408,Dep!$A:$M,6),"")</f>
        <v>IAD</v>
      </c>
      <c r="R408" t="str">
        <f>IF(O408&gt;0,VLOOKUP($O408,Dep!$A:$M,7),"")</f>
        <v>319</v>
      </c>
      <c r="S408">
        <f>IF(O408&gt;0,VLOOKUP($O408,Dep!$A:$M,9),"")</f>
        <v>96</v>
      </c>
      <c r="T408" t="str">
        <f>IF(O408&gt;0,VLOOKUP($O408,Dep!$A:$M,10),"")</f>
        <v>NAT</v>
      </c>
      <c r="U408" t="str">
        <f>IF(O408&gt;0,VLOOKUP($O408,Dep!$A:$M,12),"")</f>
        <v>UA</v>
      </c>
      <c r="V408" t="str">
        <f t="shared" si="81"/>
        <v/>
      </c>
      <c r="W408" t="str">
        <f t="shared" si="82"/>
        <v/>
      </c>
      <c r="X408" t="str">
        <f t="shared" si="83"/>
        <v/>
      </c>
      <c r="Y408">
        <f t="shared" si="78"/>
        <v>0</v>
      </c>
      <c r="Z408" t="str">
        <f t="shared" si="84"/>
        <v/>
      </c>
      <c r="AA408" s="20">
        <f t="shared" si="79"/>
        <v>5.4861111111111138E-2</v>
      </c>
      <c r="AB408">
        <f t="shared" si="85"/>
        <v>407</v>
      </c>
      <c r="AC408" s="20" t="str">
        <f t="shared" si="86"/>
        <v>11:11</v>
      </c>
      <c r="AD408" s="20" t="str">
        <f t="shared" si="80"/>
        <v>12:30</v>
      </c>
      <c r="AE408" t="str">
        <f>VLOOKUP(G408,ACtypes!A:C,3,FALSE)</f>
        <v>C</v>
      </c>
      <c r="AF408" t="str">
        <f t="shared" si="87"/>
        <v/>
      </c>
      <c r="AG408" t="str">
        <f t="shared" si="88"/>
        <v/>
      </c>
      <c r="AH408">
        <f t="shared" si="89"/>
        <v>96</v>
      </c>
    </row>
    <row r="409" spans="1:34" x14ac:dyDescent="0.3">
      <c r="A409" s="41">
        <f t="shared" si="90"/>
        <v>408</v>
      </c>
      <c r="B409" s="27">
        <v>275</v>
      </c>
      <c r="C409" s="28" t="s">
        <v>351</v>
      </c>
      <c r="D409" s="28" t="s">
        <v>13</v>
      </c>
      <c r="E409" s="28" t="s">
        <v>352</v>
      </c>
      <c r="F409" s="28" t="s">
        <v>15</v>
      </c>
      <c r="G409" s="28" t="s">
        <v>40</v>
      </c>
      <c r="H409" s="27">
        <v>0</v>
      </c>
      <c r="I409" s="27">
        <v>96</v>
      </c>
      <c r="J409" s="28" t="s">
        <v>17</v>
      </c>
      <c r="K409" s="27">
        <v>25</v>
      </c>
      <c r="L409" s="28" t="s">
        <v>41</v>
      </c>
      <c r="M409" s="27">
        <v>0</v>
      </c>
      <c r="O409" s="23">
        <v>411</v>
      </c>
      <c r="P409" t="str">
        <f>IF(O409&gt;0,VLOOKUP($O409,Dep!$A:$M,3),"")</f>
        <v>15:12</v>
      </c>
      <c r="Q409" t="str">
        <f>IF(O409&gt;0,VLOOKUP($O409,Dep!$A:$M,6),"")</f>
        <v>SFO</v>
      </c>
      <c r="R409" t="str">
        <f>IF(O409&gt;0,VLOOKUP($O409,Dep!$A:$M,7),"")</f>
        <v>319</v>
      </c>
      <c r="S409">
        <f>IF(O409&gt;0,VLOOKUP($O409,Dep!$A:$M,9),"")</f>
        <v>96</v>
      </c>
      <c r="T409" t="str">
        <f>IF(O409&gt;0,VLOOKUP($O409,Dep!$A:$M,10),"")</f>
        <v>NAT</v>
      </c>
      <c r="U409" t="str">
        <f>IF(O409&gt;0,VLOOKUP($O409,Dep!$A:$M,12),"")</f>
        <v>UA</v>
      </c>
      <c r="V409" t="str">
        <f t="shared" si="81"/>
        <v/>
      </c>
      <c r="W409" t="str">
        <f t="shared" si="82"/>
        <v/>
      </c>
      <c r="X409" t="str">
        <f t="shared" si="83"/>
        <v>X</v>
      </c>
      <c r="Y409">
        <f t="shared" si="78"/>
        <v>0</v>
      </c>
      <c r="Z409" t="str">
        <f t="shared" si="84"/>
        <v/>
      </c>
      <c r="AA409" s="20">
        <f t="shared" si="79"/>
        <v>3.819444444444442E-2</v>
      </c>
      <c r="AB409">
        <f t="shared" si="85"/>
        <v>408</v>
      </c>
      <c r="AC409" s="20" t="str">
        <f t="shared" si="86"/>
        <v>14:17</v>
      </c>
      <c r="AD409" s="20" t="str">
        <f t="shared" si="80"/>
        <v>15:12</v>
      </c>
      <c r="AE409" t="str">
        <f>VLOOKUP(G409,ACtypes!A:C,3,FALSE)</f>
        <v>C</v>
      </c>
      <c r="AF409" t="str">
        <f t="shared" si="87"/>
        <v/>
      </c>
      <c r="AG409" t="str">
        <f t="shared" si="88"/>
        <v/>
      </c>
      <c r="AH409">
        <f t="shared" si="89"/>
        <v>96</v>
      </c>
    </row>
    <row r="410" spans="1:34" x14ac:dyDescent="0.3">
      <c r="A410" s="41">
        <f t="shared" si="90"/>
        <v>409</v>
      </c>
      <c r="B410" s="27">
        <v>277</v>
      </c>
      <c r="C410" s="28" t="s">
        <v>354</v>
      </c>
      <c r="D410" s="28" t="s">
        <v>13</v>
      </c>
      <c r="E410" s="28" t="s">
        <v>352</v>
      </c>
      <c r="F410" s="28" t="s">
        <v>15</v>
      </c>
      <c r="G410" s="28" t="s">
        <v>40</v>
      </c>
      <c r="H410" s="27">
        <v>0</v>
      </c>
      <c r="I410" s="27">
        <v>96</v>
      </c>
      <c r="J410" s="28" t="s">
        <v>17</v>
      </c>
      <c r="K410" s="27">
        <v>25</v>
      </c>
      <c r="L410" s="28" t="s">
        <v>41</v>
      </c>
      <c r="M410" s="27">
        <v>0</v>
      </c>
      <c r="O410" s="23">
        <v>412</v>
      </c>
      <c r="P410" t="str">
        <f>IF(O410&gt;0,VLOOKUP($O410,Dep!$A:$M,3),"")</f>
        <v>15:14</v>
      </c>
      <c r="Q410" t="str">
        <f>IF(O410&gt;0,VLOOKUP($O410,Dep!$A:$M,6),"")</f>
        <v>ORD</v>
      </c>
      <c r="R410" t="str">
        <f>IF(O410&gt;0,VLOOKUP($O410,Dep!$A:$M,7),"")</f>
        <v>319</v>
      </c>
      <c r="S410">
        <f>IF(O410&gt;0,VLOOKUP($O410,Dep!$A:$M,9),"")</f>
        <v>96</v>
      </c>
      <c r="T410" t="str">
        <f>IF(O410&gt;0,VLOOKUP($O410,Dep!$A:$M,10),"")</f>
        <v>NAT</v>
      </c>
      <c r="U410" t="str">
        <f>IF(O410&gt;0,VLOOKUP($O410,Dep!$A:$M,12),"")</f>
        <v>UA</v>
      </c>
      <c r="V410" t="str">
        <f t="shared" si="81"/>
        <v/>
      </c>
      <c r="W410" t="str">
        <f t="shared" si="82"/>
        <v/>
      </c>
      <c r="X410" t="str">
        <f t="shared" si="83"/>
        <v/>
      </c>
      <c r="Y410">
        <f t="shared" si="78"/>
        <v>0</v>
      </c>
      <c r="Z410" t="str">
        <f t="shared" si="84"/>
        <v/>
      </c>
      <c r="AA410" s="20">
        <f t="shared" si="79"/>
        <v>3.6111111111111094E-2</v>
      </c>
      <c r="AB410">
        <f t="shared" si="85"/>
        <v>409</v>
      </c>
      <c r="AC410" s="20" t="str">
        <f t="shared" si="86"/>
        <v>14:22</v>
      </c>
      <c r="AD410" s="20" t="str">
        <f t="shared" si="80"/>
        <v>15:14</v>
      </c>
      <c r="AE410" t="str">
        <f>VLOOKUP(G410,ACtypes!A:C,3,FALSE)</f>
        <v>C</v>
      </c>
      <c r="AF410" t="str">
        <f t="shared" si="87"/>
        <v/>
      </c>
      <c r="AG410" t="str">
        <f t="shared" si="88"/>
        <v/>
      </c>
      <c r="AH410">
        <f t="shared" si="89"/>
        <v>96</v>
      </c>
    </row>
    <row r="411" spans="1:34" x14ac:dyDescent="0.3">
      <c r="A411" s="41">
        <f t="shared" si="90"/>
        <v>410</v>
      </c>
      <c r="B411" s="27">
        <v>897</v>
      </c>
      <c r="C411" s="28" t="s">
        <v>450</v>
      </c>
      <c r="D411" s="28" t="s">
        <v>13</v>
      </c>
      <c r="E411" s="28" t="s">
        <v>440</v>
      </c>
      <c r="F411" s="28" t="s">
        <v>15</v>
      </c>
      <c r="G411" s="28" t="s">
        <v>40</v>
      </c>
      <c r="H411" s="27">
        <v>0</v>
      </c>
      <c r="I411" s="27">
        <v>96</v>
      </c>
      <c r="J411" s="28" t="s">
        <v>17</v>
      </c>
      <c r="K411" s="27">
        <v>25</v>
      </c>
      <c r="L411" s="28" t="s">
        <v>41</v>
      </c>
      <c r="M411" s="27">
        <v>0</v>
      </c>
      <c r="O411" s="23">
        <v>413</v>
      </c>
      <c r="P411" t="str">
        <f>IF(O411&gt;0,VLOOKUP($O411,Dep!$A:$M,3),"")</f>
        <v>21:15</v>
      </c>
      <c r="Q411" t="str">
        <f>IF(O411&gt;0,VLOOKUP($O411,Dep!$A:$M,6),"")</f>
        <v>ANC</v>
      </c>
      <c r="R411" t="str">
        <f>IF(O411&gt;0,VLOOKUP($O411,Dep!$A:$M,7),"")</f>
        <v>319</v>
      </c>
      <c r="S411">
        <f>IF(O411&gt;0,VLOOKUP($O411,Dep!$A:$M,9),"")</f>
        <v>96</v>
      </c>
      <c r="T411" t="str">
        <f>IF(O411&gt;0,VLOOKUP($O411,Dep!$A:$M,10),"")</f>
        <v>NAT</v>
      </c>
      <c r="U411" t="str">
        <f>IF(O411&gt;0,VLOOKUP($O411,Dep!$A:$M,12),"")</f>
        <v>UA</v>
      </c>
      <c r="V411" t="str">
        <f t="shared" si="81"/>
        <v/>
      </c>
      <c r="W411" t="str">
        <f t="shared" si="82"/>
        <v/>
      </c>
      <c r="X411" t="str">
        <f t="shared" si="83"/>
        <v>X</v>
      </c>
      <c r="Y411">
        <f t="shared" si="78"/>
        <v>0</v>
      </c>
      <c r="Z411" t="str">
        <f t="shared" si="84"/>
        <v/>
      </c>
      <c r="AA411" s="20">
        <f t="shared" si="79"/>
        <v>3.6111111111111094E-2</v>
      </c>
      <c r="AB411">
        <f t="shared" si="85"/>
        <v>410</v>
      </c>
      <c r="AC411" s="20" t="str">
        <f t="shared" si="86"/>
        <v>20:23</v>
      </c>
      <c r="AD411" s="20" t="str">
        <f t="shared" si="80"/>
        <v>21:15</v>
      </c>
      <c r="AE411" t="str">
        <f>VLOOKUP(G411,ACtypes!A:C,3,FALSE)</f>
        <v>C</v>
      </c>
      <c r="AF411" t="str">
        <f t="shared" si="87"/>
        <v/>
      </c>
      <c r="AG411" t="str">
        <f t="shared" si="88"/>
        <v/>
      </c>
      <c r="AH411">
        <f t="shared" si="89"/>
        <v>96</v>
      </c>
    </row>
    <row r="412" spans="1:34" x14ac:dyDescent="0.3">
      <c r="A412" s="41">
        <f t="shared" si="90"/>
        <v>411</v>
      </c>
      <c r="B412" s="27">
        <v>162</v>
      </c>
      <c r="C412" s="28" t="s">
        <v>230</v>
      </c>
      <c r="D412" s="28" t="s">
        <v>13</v>
      </c>
      <c r="E412" s="28" t="s">
        <v>226</v>
      </c>
      <c r="F412" s="28" t="s">
        <v>15</v>
      </c>
      <c r="G412" s="28" t="s">
        <v>40</v>
      </c>
      <c r="H412" s="27">
        <v>0</v>
      </c>
      <c r="I412" s="27">
        <v>96</v>
      </c>
      <c r="J412" s="28" t="s">
        <v>17</v>
      </c>
      <c r="K412" s="27">
        <v>25</v>
      </c>
      <c r="L412" s="28" t="s">
        <v>41</v>
      </c>
      <c r="M412" s="27">
        <v>0</v>
      </c>
      <c r="O412" s="23">
        <v>414</v>
      </c>
      <c r="P412" t="str">
        <f>IF(O412&gt;0,VLOOKUP($O412,Dep!$A:$M,3),"")</f>
        <v>22:20</v>
      </c>
      <c r="Q412" t="str">
        <f>IF(O412&gt;0,VLOOKUP($O412,Dep!$A:$M,6),"")</f>
        <v>IAD</v>
      </c>
      <c r="R412" t="str">
        <f>IF(O412&gt;0,VLOOKUP($O412,Dep!$A:$M,7),"")</f>
        <v>319</v>
      </c>
      <c r="S412">
        <f>IF(O412&gt;0,VLOOKUP($O412,Dep!$A:$M,9),"")</f>
        <v>96</v>
      </c>
      <c r="T412" t="str">
        <f>IF(O412&gt;0,VLOOKUP($O412,Dep!$A:$M,10),"")</f>
        <v>NAT</v>
      </c>
      <c r="U412" t="str">
        <f>IF(O412&gt;0,VLOOKUP($O412,Dep!$A:$M,12),"")</f>
        <v>UA</v>
      </c>
      <c r="V412" t="str">
        <f t="shared" si="81"/>
        <v/>
      </c>
      <c r="W412" t="str">
        <f t="shared" si="82"/>
        <v/>
      </c>
      <c r="X412" t="str">
        <f t="shared" si="83"/>
        <v/>
      </c>
      <c r="Y412">
        <f t="shared" si="78"/>
        <v>0</v>
      </c>
      <c r="Z412" t="str">
        <f t="shared" si="84"/>
        <v/>
      </c>
      <c r="AA412" s="20">
        <f t="shared" si="79"/>
        <v>3.6805555555555536E-2</v>
      </c>
      <c r="AB412">
        <f t="shared" si="85"/>
        <v>411</v>
      </c>
      <c r="AC412" s="20" t="str">
        <f t="shared" si="86"/>
        <v>21:27</v>
      </c>
      <c r="AD412" s="20" t="str">
        <f t="shared" si="80"/>
        <v>22:20</v>
      </c>
      <c r="AE412" t="str">
        <f>VLOOKUP(G412,ACtypes!A:C,3,FALSE)</f>
        <v>C</v>
      </c>
      <c r="AF412" t="str">
        <f t="shared" si="87"/>
        <v/>
      </c>
      <c r="AG412" t="str">
        <f t="shared" si="88"/>
        <v/>
      </c>
      <c r="AH412">
        <f t="shared" si="89"/>
        <v>96</v>
      </c>
    </row>
    <row r="413" spans="1:34" x14ac:dyDescent="0.3">
      <c r="A413" s="41">
        <f t="shared" si="90"/>
        <v>412</v>
      </c>
      <c r="B413" s="27">
        <v>87</v>
      </c>
      <c r="C413" s="28" t="s">
        <v>144</v>
      </c>
      <c r="D413" s="28" t="s">
        <v>13</v>
      </c>
      <c r="E413" s="28" t="s">
        <v>124</v>
      </c>
      <c r="F413" s="28" t="s">
        <v>15</v>
      </c>
      <c r="G413" s="28" t="s">
        <v>40</v>
      </c>
      <c r="H413" s="27">
        <v>0</v>
      </c>
      <c r="I413" s="27">
        <v>96</v>
      </c>
      <c r="J413" s="28" t="s">
        <v>17</v>
      </c>
      <c r="K413" s="27">
        <v>25</v>
      </c>
      <c r="L413" s="28" t="s">
        <v>41</v>
      </c>
      <c r="M413" s="27">
        <v>0</v>
      </c>
      <c r="O413" s="23">
        <v>406</v>
      </c>
      <c r="P413" t="str">
        <f>IF(O413&gt;0,VLOOKUP($O413,Dep!$A:$M,3),"")</f>
        <v>06:00</v>
      </c>
      <c r="Q413" t="str">
        <f>IF(O413&gt;0,VLOOKUP($O413,Dep!$A:$M,6),"")</f>
        <v>SFO</v>
      </c>
      <c r="R413" t="str">
        <f>IF(O413&gt;0,VLOOKUP($O413,Dep!$A:$M,7),"")</f>
        <v>319</v>
      </c>
      <c r="S413">
        <f>IF(O413&gt;0,VLOOKUP($O413,Dep!$A:$M,9),"")</f>
        <v>96</v>
      </c>
      <c r="T413" t="str">
        <f>IF(O413&gt;0,VLOOKUP($O413,Dep!$A:$M,10),"")</f>
        <v>NAT</v>
      </c>
      <c r="U413" t="str">
        <f>IF(O413&gt;0,VLOOKUP($O413,Dep!$A:$M,12),"")</f>
        <v>UA</v>
      </c>
      <c r="V413" t="str">
        <f t="shared" si="81"/>
        <v/>
      </c>
      <c r="W413" t="str">
        <f t="shared" si="82"/>
        <v/>
      </c>
      <c r="X413" t="str">
        <f t="shared" si="83"/>
        <v>X</v>
      </c>
      <c r="Y413">
        <f t="shared" si="78"/>
        <v>0</v>
      </c>
      <c r="Z413">
        <f t="shared" si="84"/>
        <v>1</v>
      </c>
      <c r="AA413" s="20">
        <f t="shared" si="79"/>
        <v>0.29583333333333339</v>
      </c>
      <c r="AB413">
        <f t="shared" si="85"/>
        <v>412</v>
      </c>
      <c r="AC413" s="20" t="str">
        <f t="shared" si="86"/>
        <v>22:54</v>
      </c>
      <c r="AD413" s="20" t="str">
        <f t="shared" si="80"/>
        <v>06:00</v>
      </c>
      <c r="AE413" t="str">
        <f>VLOOKUP(G413,ACtypes!A:C,3,FALSE)</f>
        <v>C</v>
      </c>
      <c r="AF413" t="str">
        <f t="shared" si="87"/>
        <v/>
      </c>
      <c r="AG413" t="str">
        <f t="shared" si="88"/>
        <v/>
      </c>
      <c r="AH413">
        <f t="shared" si="89"/>
        <v>96</v>
      </c>
    </row>
    <row r="414" spans="1:34" x14ac:dyDescent="0.3">
      <c r="A414" s="41">
        <f t="shared" si="90"/>
        <v>413</v>
      </c>
      <c r="B414" s="27">
        <v>209</v>
      </c>
      <c r="C414" s="28" t="s">
        <v>281</v>
      </c>
      <c r="D414" s="28" t="s">
        <v>13</v>
      </c>
      <c r="E414" s="28" t="s">
        <v>279</v>
      </c>
      <c r="F414" s="28" t="s">
        <v>15</v>
      </c>
      <c r="G414" s="28" t="s">
        <v>245</v>
      </c>
      <c r="H414" s="27">
        <v>0</v>
      </c>
      <c r="I414" s="27">
        <v>118</v>
      </c>
      <c r="J414" s="28" t="s">
        <v>17</v>
      </c>
      <c r="K414" s="27">
        <v>25</v>
      </c>
      <c r="L414" s="28" t="s">
        <v>41</v>
      </c>
      <c r="M414" s="27">
        <v>0</v>
      </c>
      <c r="O414" s="23">
        <v>415</v>
      </c>
      <c r="P414" t="str">
        <f>IF(O414&gt;0,VLOOKUP($O414,Dep!$A:$M,3),"")</f>
        <v>19:30</v>
      </c>
      <c r="Q414" t="str">
        <f>IF(O414&gt;0,VLOOKUP($O414,Dep!$A:$M,6),"")</f>
        <v>LAX</v>
      </c>
      <c r="R414" t="str">
        <f>IF(O414&gt;0,VLOOKUP($O414,Dep!$A:$M,7),"")</f>
        <v>320</v>
      </c>
      <c r="S414">
        <f>IF(O414&gt;0,VLOOKUP($O414,Dep!$A:$M,9),"")</f>
        <v>118</v>
      </c>
      <c r="T414" t="str">
        <f>IF(O414&gt;0,VLOOKUP($O414,Dep!$A:$M,10),"")</f>
        <v>NAT</v>
      </c>
      <c r="U414" t="str">
        <f>IF(O414&gt;0,VLOOKUP($O414,Dep!$A:$M,12),"")</f>
        <v>UA</v>
      </c>
      <c r="V414" t="str">
        <f t="shared" si="81"/>
        <v/>
      </c>
      <c r="W414" t="str">
        <f t="shared" si="82"/>
        <v/>
      </c>
      <c r="X414" t="str">
        <f t="shared" si="83"/>
        <v/>
      </c>
      <c r="Y414">
        <f t="shared" si="78"/>
        <v>0</v>
      </c>
      <c r="Z414" t="str">
        <f t="shared" si="84"/>
        <v/>
      </c>
      <c r="AA414" s="20">
        <f t="shared" si="79"/>
        <v>3.9583333333333304E-2</v>
      </c>
      <c r="AB414">
        <f t="shared" si="85"/>
        <v>413</v>
      </c>
      <c r="AC414" s="20" t="str">
        <f t="shared" si="86"/>
        <v>18:33</v>
      </c>
      <c r="AD414" s="20" t="str">
        <f t="shared" si="80"/>
        <v>19:30</v>
      </c>
      <c r="AE414" t="str">
        <f>VLOOKUP(G414,ACtypes!A:C,3,FALSE)</f>
        <v>C</v>
      </c>
      <c r="AF414" t="str">
        <f t="shared" si="87"/>
        <v/>
      </c>
      <c r="AG414" t="str">
        <f t="shared" si="88"/>
        <v/>
      </c>
      <c r="AH414">
        <f t="shared" si="89"/>
        <v>118</v>
      </c>
    </row>
    <row r="415" spans="1:34" x14ac:dyDescent="0.3">
      <c r="A415" s="41">
        <f t="shared" si="90"/>
        <v>414</v>
      </c>
      <c r="B415" s="27">
        <v>885</v>
      </c>
      <c r="C415" s="28" t="s">
        <v>442</v>
      </c>
      <c r="D415" s="28" t="s">
        <v>13</v>
      </c>
      <c r="E415" s="28" t="s">
        <v>440</v>
      </c>
      <c r="F415" s="28" t="s">
        <v>15</v>
      </c>
      <c r="G415" s="28" t="s">
        <v>16</v>
      </c>
      <c r="H415" s="27">
        <v>0</v>
      </c>
      <c r="I415" s="27">
        <v>98</v>
      </c>
      <c r="J415" s="28" t="s">
        <v>17</v>
      </c>
      <c r="K415" s="27">
        <v>25</v>
      </c>
      <c r="L415" s="28" t="s">
        <v>41</v>
      </c>
      <c r="M415" s="27">
        <v>0</v>
      </c>
      <c r="O415" s="23">
        <v>418</v>
      </c>
      <c r="P415" t="str">
        <f>IF(O415&gt;0,VLOOKUP($O415,Dep!$A:$M,3),"")</f>
        <v>09:55</v>
      </c>
      <c r="Q415" t="str">
        <f>IF(O415&gt;0,VLOOKUP($O415,Dep!$A:$M,6),"")</f>
        <v>SFO</v>
      </c>
      <c r="R415" t="str">
        <f>IF(O415&gt;0,VLOOKUP($O415,Dep!$A:$M,7),"")</f>
        <v>733</v>
      </c>
      <c r="S415">
        <f>IF(O415&gt;0,VLOOKUP($O415,Dep!$A:$M,9),"")</f>
        <v>98</v>
      </c>
      <c r="T415" t="str">
        <f>IF(O415&gt;0,VLOOKUP($O415,Dep!$A:$M,10),"")</f>
        <v>NAT</v>
      </c>
      <c r="U415" t="str">
        <f>IF(O415&gt;0,VLOOKUP($O415,Dep!$A:$M,12),"")</f>
        <v>UA</v>
      </c>
      <c r="V415" t="str">
        <f t="shared" si="81"/>
        <v/>
      </c>
      <c r="W415" t="str">
        <f t="shared" si="82"/>
        <v/>
      </c>
      <c r="X415" t="str">
        <f t="shared" si="83"/>
        <v/>
      </c>
      <c r="Y415">
        <f t="shared" si="78"/>
        <v>0</v>
      </c>
      <c r="Z415" t="str">
        <f t="shared" si="84"/>
        <v/>
      </c>
      <c r="AA415" s="20">
        <f t="shared" si="79"/>
        <v>7.4305555555555569E-2</v>
      </c>
      <c r="AB415">
        <f t="shared" si="85"/>
        <v>414</v>
      </c>
      <c r="AC415" s="20" t="str">
        <f t="shared" si="86"/>
        <v>08:08</v>
      </c>
      <c r="AD415" s="20" t="str">
        <f t="shared" si="80"/>
        <v>09:55</v>
      </c>
      <c r="AE415" t="str">
        <f>VLOOKUP(G415,ACtypes!A:C,3,FALSE)</f>
        <v>C</v>
      </c>
      <c r="AF415" t="str">
        <f t="shared" si="87"/>
        <v/>
      </c>
      <c r="AG415" t="str">
        <f t="shared" si="88"/>
        <v/>
      </c>
      <c r="AH415">
        <f t="shared" si="89"/>
        <v>98</v>
      </c>
    </row>
    <row r="416" spans="1:34" x14ac:dyDescent="0.3">
      <c r="A416" s="41">
        <f t="shared" si="90"/>
        <v>415</v>
      </c>
      <c r="B416" s="27">
        <v>208</v>
      </c>
      <c r="C416" s="28" t="s">
        <v>280</v>
      </c>
      <c r="D416" s="28" t="s">
        <v>13</v>
      </c>
      <c r="E416" s="28" t="s">
        <v>279</v>
      </c>
      <c r="F416" s="28" t="s">
        <v>15</v>
      </c>
      <c r="G416" s="28" t="s">
        <v>16</v>
      </c>
      <c r="H416" s="27">
        <v>0</v>
      </c>
      <c r="I416" s="27">
        <v>98</v>
      </c>
      <c r="J416" s="28" t="s">
        <v>17</v>
      </c>
      <c r="K416" s="27">
        <v>25</v>
      </c>
      <c r="L416" s="28" t="s">
        <v>41</v>
      </c>
      <c r="M416" s="27">
        <v>0</v>
      </c>
      <c r="O416" s="23">
        <v>419</v>
      </c>
      <c r="P416" t="str">
        <f>IF(O416&gt;0,VLOOKUP($O416,Dep!$A:$M,3),"")</f>
        <v>10:05</v>
      </c>
      <c r="Q416" t="str">
        <f>IF(O416&gt;0,VLOOKUP($O416,Dep!$A:$M,6),"")</f>
        <v>DEN</v>
      </c>
      <c r="R416" t="str">
        <f>IF(O416&gt;0,VLOOKUP($O416,Dep!$A:$M,7),"")</f>
        <v>733</v>
      </c>
      <c r="S416">
        <f>IF(O416&gt;0,VLOOKUP($O416,Dep!$A:$M,9),"")</f>
        <v>98</v>
      </c>
      <c r="T416" t="str">
        <f>IF(O416&gt;0,VLOOKUP($O416,Dep!$A:$M,10),"")</f>
        <v>NAT</v>
      </c>
      <c r="U416" t="str">
        <f>IF(O416&gt;0,VLOOKUP($O416,Dep!$A:$M,12),"")</f>
        <v>UA</v>
      </c>
      <c r="V416" t="str">
        <f t="shared" si="81"/>
        <v/>
      </c>
      <c r="W416" t="str">
        <f t="shared" si="82"/>
        <v/>
      </c>
      <c r="X416" t="str">
        <f t="shared" si="83"/>
        <v>X</v>
      </c>
      <c r="Y416">
        <f t="shared" si="78"/>
        <v>0</v>
      </c>
      <c r="Z416" t="str">
        <f t="shared" si="84"/>
        <v/>
      </c>
      <c r="AA416" s="20">
        <f t="shared" si="79"/>
        <v>3.8888888888888862E-2</v>
      </c>
      <c r="AB416">
        <f t="shared" si="85"/>
        <v>415</v>
      </c>
      <c r="AC416" s="20" t="str">
        <f t="shared" si="86"/>
        <v>09:09</v>
      </c>
      <c r="AD416" s="20" t="str">
        <f t="shared" si="80"/>
        <v>10:05</v>
      </c>
      <c r="AE416" t="str">
        <f>VLOOKUP(G416,ACtypes!A:C,3,FALSE)</f>
        <v>C</v>
      </c>
      <c r="AF416" t="str">
        <f t="shared" si="87"/>
        <v/>
      </c>
      <c r="AG416" t="str">
        <f t="shared" si="88"/>
        <v/>
      </c>
      <c r="AH416">
        <f t="shared" si="89"/>
        <v>98</v>
      </c>
    </row>
    <row r="417" spans="1:34" x14ac:dyDescent="0.3">
      <c r="A417" s="41">
        <f t="shared" si="90"/>
        <v>416</v>
      </c>
      <c r="B417" s="27">
        <v>883</v>
      </c>
      <c r="C417" s="28" t="s">
        <v>439</v>
      </c>
      <c r="D417" s="28" t="s">
        <v>13</v>
      </c>
      <c r="E417" s="28" t="s">
        <v>440</v>
      </c>
      <c r="F417" s="28" t="s">
        <v>15</v>
      </c>
      <c r="G417" s="28" t="s">
        <v>16</v>
      </c>
      <c r="H417" s="27">
        <v>0</v>
      </c>
      <c r="I417" s="27">
        <v>98</v>
      </c>
      <c r="J417" s="28" t="s">
        <v>17</v>
      </c>
      <c r="K417" s="27">
        <v>25</v>
      </c>
      <c r="L417" s="28" t="s">
        <v>41</v>
      </c>
      <c r="M417" s="27">
        <v>0</v>
      </c>
      <c r="O417" s="23">
        <v>420</v>
      </c>
      <c r="P417" t="str">
        <f>IF(O417&gt;0,VLOOKUP($O417,Dep!$A:$M,3),"")</f>
        <v>13:30</v>
      </c>
      <c r="Q417" t="str">
        <f>IF(O417&gt;0,VLOOKUP($O417,Dep!$A:$M,6),"")</f>
        <v>SFO</v>
      </c>
      <c r="R417" t="str">
        <f>IF(O417&gt;0,VLOOKUP($O417,Dep!$A:$M,7),"")</f>
        <v>733</v>
      </c>
      <c r="S417">
        <f>IF(O417&gt;0,VLOOKUP($O417,Dep!$A:$M,9),"")</f>
        <v>98</v>
      </c>
      <c r="T417" t="str">
        <f>IF(O417&gt;0,VLOOKUP($O417,Dep!$A:$M,10),"")</f>
        <v>NAT</v>
      </c>
      <c r="U417" t="str">
        <f>IF(O417&gt;0,VLOOKUP($O417,Dep!$A:$M,12),"")</f>
        <v>UA</v>
      </c>
      <c r="V417" t="str">
        <f t="shared" si="81"/>
        <v/>
      </c>
      <c r="W417" t="str">
        <f t="shared" si="82"/>
        <v/>
      </c>
      <c r="X417" t="str">
        <f t="shared" si="83"/>
        <v/>
      </c>
      <c r="Y417">
        <f t="shared" si="78"/>
        <v>0</v>
      </c>
      <c r="Z417" t="str">
        <f t="shared" si="84"/>
        <v/>
      </c>
      <c r="AA417" s="20">
        <f t="shared" si="79"/>
        <v>3.125E-2</v>
      </c>
      <c r="AB417">
        <f t="shared" si="85"/>
        <v>416</v>
      </c>
      <c r="AC417" s="20" t="str">
        <f t="shared" si="86"/>
        <v>12:45</v>
      </c>
      <c r="AD417" s="20" t="str">
        <f t="shared" si="80"/>
        <v>13:30</v>
      </c>
      <c r="AE417" t="str">
        <f>VLOOKUP(G417,ACtypes!A:C,3,FALSE)</f>
        <v>C</v>
      </c>
      <c r="AF417" t="str">
        <f t="shared" si="87"/>
        <v/>
      </c>
      <c r="AG417" t="str">
        <f t="shared" si="88"/>
        <v/>
      </c>
      <c r="AH417">
        <f t="shared" si="89"/>
        <v>98</v>
      </c>
    </row>
    <row r="418" spans="1:34" x14ac:dyDescent="0.3">
      <c r="A418" s="41">
        <f t="shared" si="90"/>
        <v>417</v>
      </c>
      <c r="B418" s="27">
        <v>207</v>
      </c>
      <c r="C418" s="28" t="s">
        <v>278</v>
      </c>
      <c r="D418" s="28" t="s">
        <v>13</v>
      </c>
      <c r="E418" s="28" t="s">
        <v>279</v>
      </c>
      <c r="F418" s="28" t="s">
        <v>15</v>
      </c>
      <c r="G418" s="28" t="s">
        <v>16</v>
      </c>
      <c r="H418" s="27">
        <v>0</v>
      </c>
      <c r="I418" s="27">
        <v>98</v>
      </c>
      <c r="J418" s="28" t="s">
        <v>17</v>
      </c>
      <c r="K418" s="27">
        <v>25</v>
      </c>
      <c r="L418" s="28" t="s">
        <v>41</v>
      </c>
      <c r="M418" s="27">
        <v>0</v>
      </c>
      <c r="O418" s="23">
        <v>421</v>
      </c>
      <c r="P418" t="str">
        <f>IF(O418&gt;0,VLOOKUP($O418,Dep!$A:$M,3),"")</f>
        <v>16:40</v>
      </c>
      <c r="Q418" t="str">
        <f>IF(O418&gt;0,VLOOKUP($O418,Dep!$A:$M,6),"")</f>
        <v>DEN</v>
      </c>
      <c r="R418" t="str">
        <f>IF(O418&gt;0,VLOOKUP($O418,Dep!$A:$M,7),"")</f>
        <v>733</v>
      </c>
      <c r="S418">
        <f>IF(O418&gt;0,VLOOKUP($O418,Dep!$A:$M,9),"")</f>
        <v>98</v>
      </c>
      <c r="T418" t="str">
        <f>IF(O418&gt;0,VLOOKUP($O418,Dep!$A:$M,10),"")</f>
        <v>NAT</v>
      </c>
      <c r="U418" t="str">
        <f>IF(O418&gt;0,VLOOKUP($O418,Dep!$A:$M,12),"")</f>
        <v>UA</v>
      </c>
      <c r="V418" t="str">
        <f t="shared" si="81"/>
        <v/>
      </c>
      <c r="W418" t="str">
        <f t="shared" si="82"/>
        <v/>
      </c>
      <c r="X418" t="str">
        <f t="shared" si="83"/>
        <v>X</v>
      </c>
      <c r="Y418">
        <f t="shared" si="78"/>
        <v>0</v>
      </c>
      <c r="Z418" t="str">
        <f t="shared" si="84"/>
        <v/>
      </c>
      <c r="AA418" s="20">
        <f t="shared" si="79"/>
        <v>4.0972222222222299E-2</v>
      </c>
      <c r="AB418">
        <f t="shared" si="85"/>
        <v>417</v>
      </c>
      <c r="AC418" s="20" t="str">
        <f t="shared" si="86"/>
        <v>15:41</v>
      </c>
      <c r="AD418" s="20" t="str">
        <f t="shared" si="80"/>
        <v>16:40</v>
      </c>
      <c r="AE418" t="str">
        <f>VLOOKUP(G418,ACtypes!A:C,3,FALSE)</f>
        <v>C</v>
      </c>
      <c r="AF418" t="str">
        <f t="shared" si="87"/>
        <v/>
      </c>
      <c r="AG418" t="str">
        <f t="shared" si="88"/>
        <v/>
      </c>
      <c r="AH418">
        <f t="shared" si="89"/>
        <v>98</v>
      </c>
    </row>
    <row r="419" spans="1:34" x14ac:dyDescent="0.3">
      <c r="A419" s="41">
        <f t="shared" si="90"/>
        <v>418</v>
      </c>
      <c r="B419" s="27">
        <v>886</v>
      </c>
      <c r="C419" s="28" t="s">
        <v>443</v>
      </c>
      <c r="D419" s="28" t="s">
        <v>13</v>
      </c>
      <c r="E419" s="28" t="s">
        <v>440</v>
      </c>
      <c r="F419" s="28" t="s">
        <v>15</v>
      </c>
      <c r="G419" s="28" t="s">
        <v>16</v>
      </c>
      <c r="H419" s="27">
        <v>0</v>
      </c>
      <c r="I419" s="27">
        <v>98</v>
      </c>
      <c r="J419" s="28" t="s">
        <v>17</v>
      </c>
      <c r="K419" s="27">
        <v>25</v>
      </c>
      <c r="L419" s="28" t="s">
        <v>41</v>
      </c>
      <c r="M419" s="27">
        <v>0</v>
      </c>
      <c r="O419" s="23">
        <v>422</v>
      </c>
      <c r="P419" t="str">
        <f>IF(O419&gt;0,VLOOKUP($O419,Dep!$A:$M,3),"")</f>
        <v>17:33</v>
      </c>
      <c r="Q419" t="str">
        <f>IF(O419&gt;0,VLOOKUP($O419,Dep!$A:$M,6),"")</f>
        <v>SFO</v>
      </c>
      <c r="R419" t="str">
        <f>IF(O419&gt;0,VLOOKUP($O419,Dep!$A:$M,7),"")</f>
        <v>733</v>
      </c>
      <c r="S419">
        <f>IF(O419&gt;0,VLOOKUP($O419,Dep!$A:$M,9),"")</f>
        <v>98</v>
      </c>
      <c r="T419" t="str">
        <f>IF(O419&gt;0,VLOOKUP($O419,Dep!$A:$M,10),"")</f>
        <v>NAT</v>
      </c>
      <c r="U419" t="str">
        <f>IF(O419&gt;0,VLOOKUP($O419,Dep!$A:$M,12),"")</f>
        <v>UA</v>
      </c>
      <c r="V419" t="str">
        <f t="shared" si="81"/>
        <v/>
      </c>
      <c r="W419" t="str">
        <f t="shared" si="82"/>
        <v/>
      </c>
      <c r="X419" t="str">
        <f t="shared" si="83"/>
        <v/>
      </c>
      <c r="Y419">
        <f t="shared" si="78"/>
        <v>0</v>
      </c>
      <c r="Z419" t="str">
        <f t="shared" si="84"/>
        <v/>
      </c>
      <c r="AA419" s="20">
        <f t="shared" si="79"/>
        <v>3.6111111111111205E-2</v>
      </c>
      <c r="AB419">
        <f t="shared" si="85"/>
        <v>418</v>
      </c>
      <c r="AC419" s="20" t="str">
        <f t="shared" si="86"/>
        <v>16:41</v>
      </c>
      <c r="AD419" s="20" t="str">
        <f t="shared" si="80"/>
        <v>17:33</v>
      </c>
      <c r="AE419" t="str">
        <f>VLOOKUP(G419,ACtypes!A:C,3,FALSE)</f>
        <v>C</v>
      </c>
      <c r="AF419" t="str">
        <f t="shared" si="87"/>
        <v/>
      </c>
      <c r="AG419" t="str">
        <f t="shared" si="88"/>
        <v/>
      </c>
      <c r="AH419">
        <f t="shared" si="89"/>
        <v>98</v>
      </c>
    </row>
    <row r="420" spans="1:34" x14ac:dyDescent="0.3">
      <c r="A420" s="41">
        <f t="shared" si="90"/>
        <v>419</v>
      </c>
      <c r="B420" s="27">
        <v>887</v>
      </c>
      <c r="C420" s="28" t="s">
        <v>444</v>
      </c>
      <c r="D420" s="28" t="s">
        <v>13</v>
      </c>
      <c r="E420" s="28" t="s">
        <v>440</v>
      </c>
      <c r="F420" s="28" t="s">
        <v>15</v>
      </c>
      <c r="G420" s="28" t="s">
        <v>16</v>
      </c>
      <c r="H420" s="27">
        <v>0</v>
      </c>
      <c r="I420" s="27">
        <v>98</v>
      </c>
      <c r="J420" s="28" t="s">
        <v>17</v>
      </c>
      <c r="K420" s="27">
        <v>25</v>
      </c>
      <c r="L420" s="28" t="s">
        <v>41</v>
      </c>
      <c r="M420" s="27">
        <v>0</v>
      </c>
      <c r="O420" s="23">
        <v>423</v>
      </c>
      <c r="P420" t="str">
        <f>IF(O420&gt;0,VLOOKUP($O420,Dep!$A:$M,3),"")</f>
        <v>18:34</v>
      </c>
      <c r="Q420" t="str">
        <f>IF(O420&gt;0,VLOOKUP($O420,Dep!$A:$M,6),"")</f>
        <v>SFO</v>
      </c>
      <c r="R420" t="str">
        <f>IF(O420&gt;0,VLOOKUP($O420,Dep!$A:$M,7),"")</f>
        <v>733</v>
      </c>
      <c r="S420">
        <f>IF(O420&gt;0,VLOOKUP($O420,Dep!$A:$M,9),"")</f>
        <v>98</v>
      </c>
      <c r="T420" t="str">
        <f>IF(O420&gt;0,VLOOKUP($O420,Dep!$A:$M,10),"")</f>
        <v>NAT</v>
      </c>
      <c r="U420" t="str">
        <f>IF(O420&gt;0,VLOOKUP($O420,Dep!$A:$M,12),"")</f>
        <v>UA</v>
      </c>
      <c r="V420" t="str">
        <f t="shared" si="81"/>
        <v/>
      </c>
      <c r="W420" t="str">
        <f t="shared" si="82"/>
        <v/>
      </c>
      <c r="X420" t="str">
        <f t="shared" si="83"/>
        <v/>
      </c>
      <c r="Y420">
        <f t="shared" si="78"/>
        <v>0</v>
      </c>
      <c r="Z420" t="str">
        <f t="shared" si="84"/>
        <v/>
      </c>
      <c r="AA420" s="20">
        <f t="shared" si="79"/>
        <v>3.3333333333333437E-2</v>
      </c>
      <c r="AB420">
        <f t="shared" si="85"/>
        <v>419</v>
      </c>
      <c r="AC420" s="20" t="str">
        <f t="shared" si="86"/>
        <v>17:46</v>
      </c>
      <c r="AD420" s="20" t="str">
        <f t="shared" si="80"/>
        <v>18:34</v>
      </c>
      <c r="AE420" t="str">
        <f>VLOOKUP(G420,ACtypes!A:C,3,FALSE)</f>
        <v>C</v>
      </c>
      <c r="AF420" t="str">
        <f t="shared" si="87"/>
        <v/>
      </c>
      <c r="AG420" t="str">
        <f t="shared" si="88"/>
        <v/>
      </c>
      <c r="AH420">
        <f t="shared" si="89"/>
        <v>98</v>
      </c>
    </row>
    <row r="421" spans="1:34" x14ac:dyDescent="0.3">
      <c r="A421" s="41">
        <f t="shared" si="90"/>
        <v>420</v>
      </c>
      <c r="B421" s="27">
        <v>70</v>
      </c>
      <c r="C421" s="28" t="s">
        <v>123</v>
      </c>
      <c r="D421" s="28" t="s">
        <v>13</v>
      </c>
      <c r="E421" s="28" t="s">
        <v>124</v>
      </c>
      <c r="F421" s="28" t="s">
        <v>15</v>
      </c>
      <c r="G421" s="28" t="s">
        <v>16</v>
      </c>
      <c r="H421" s="27">
        <v>0</v>
      </c>
      <c r="I421" s="27">
        <v>98</v>
      </c>
      <c r="J421" s="28" t="s">
        <v>17</v>
      </c>
      <c r="K421" s="27">
        <v>25</v>
      </c>
      <c r="L421" s="28" t="s">
        <v>41</v>
      </c>
      <c r="M421" s="27">
        <v>0</v>
      </c>
      <c r="O421" s="23">
        <v>416</v>
      </c>
      <c r="P421" t="str">
        <f>IF(O421&gt;0,VLOOKUP($O421,Dep!$A:$M,3),"")</f>
        <v>06:00</v>
      </c>
      <c r="Q421" t="str">
        <f>IF(O421&gt;0,VLOOKUP($O421,Dep!$A:$M,6),"")</f>
        <v>DEN</v>
      </c>
      <c r="R421" t="str">
        <f>IF(O421&gt;0,VLOOKUP($O421,Dep!$A:$M,7),"")</f>
        <v>733</v>
      </c>
      <c r="S421">
        <f>IF(O421&gt;0,VLOOKUP($O421,Dep!$A:$M,9),"")</f>
        <v>98</v>
      </c>
      <c r="T421" t="str">
        <f>IF(O421&gt;0,VLOOKUP($O421,Dep!$A:$M,10),"")</f>
        <v>NAT</v>
      </c>
      <c r="U421" t="str">
        <f>IF(O421&gt;0,VLOOKUP($O421,Dep!$A:$M,12),"")</f>
        <v>UA</v>
      </c>
      <c r="V421" t="str">
        <f t="shared" si="81"/>
        <v/>
      </c>
      <c r="W421" t="str">
        <f t="shared" si="82"/>
        <v/>
      </c>
      <c r="X421" t="str">
        <f t="shared" si="83"/>
        <v/>
      </c>
      <c r="Y421">
        <f t="shared" si="78"/>
        <v>0</v>
      </c>
      <c r="Z421">
        <f t="shared" si="84"/>
        <v>1</v>
      </c>
      <c r="AA421" s="20">
        <f t="shared" si="79"/>
        <v>0.45347222222222217</v>
      </c>
      <c r="AB421">
        <f t="shared" si="85"/>
        <v>420</v>
      </c>
      <c r="AC421" s="20" t="str">
        <f t="shared" si="86"/>
        <v>19:07</v>
      </c>
      <c r="AD421" s="20" t="str">
        <f t="shared" si="80"/>
        <v>06:00</v>
      </c>
      <c r="AE421" t="str">
        <f>VLOOKUP(G421,ACtypes!A:C,3,FALSE)</f>
        <v>C</v>
      </c>
      <c r="AF421" t="str">
        <f t="shared" si="87"/>
        <v/>
      </c>
      <c r="AG421" t="str">
        <f t="shared" si="88"/>
        <v/>
      </c>
      <c r="AH421">
        <f t="shared" si="89"/>
        <v>98</v>
      </c>
    </row>
    <row r="422" spans="1:34" x14ac:dyDescent="0.3">
      <c r="A422" s="41">
        <f t="shared" si="90"/>
        <v>421</v>
      </c>
      <c r="B422" s="27">
        <v>884</v>
      </c>
      <c r="C422" s="28" t="s">
        <v>441</v>
      </c>
      <c r="D422" s="28" t="s">
        <v>13</v>
      </c>
      <c r="E422" s="28" t="s">
        <v>440</v>
      </c>
      <c r="F422" s="28" t="s">
        <v>15</v>
      </c>
      <c r="G422" s="28" t="s">
        <v>16</v>
      </c>
      <c r="H422" s="27">
        <v>0</v>
      </c>
      <c r="I422" s="27">
        <v>98</v>
      </c>
      <c r="J422" s="28" t="s">
        <v>17</v>
      </c>
      <c r="K422" s="27">
        <v>25</v>
      </c>
      <c r="L422" s="28" t="s">
        <v>41</v>
      </c>
      <c r="M422" s="27">
        <v>0</v>
      </c>
      <c r="O422" s="23">
        <v>417</v>
      </c>
      <c r="P422" t="str">
        <f>IF(O422&gt;0,VLOOKUP($O422,Dep!$A:$M,3),"")</f>
        <v>07:20</v>
      </c>
      <c r="Q422" t="str">
        <f>IF(O422&gt;0,VLOOKUP($O422,Dep!$A:$M,6),"")</f>
        <v>SFO</v>
      </c>
      <c r="R422" t="str">
        <f>IF(O422&gt;0,VLOOKUP($O422,Dep!$A:$M,7),"")</f>
        <v>733</v>
      </c>
      <c r="S422">
        <f>IF(O422&gt;0,VLOOKUP($O422,Dep!$A:$M,9),"")</f>
        <v>98</v>
      </c>
      <c r="T422" t="str">
        <f>IF(O422&gt;0,VLOOKUP($O422,Dep!$A:$M,10),"")</f>
        <v>NAT</v>
      </c>
      <c r="U422" t="str">
        <f>IF(O422&gt;0,VLOOKUP($O422,Dep!$A:$M,12),"")</f>
        <v>UA</v>
      </c>
      <c r="V422" t="str">
        <f t="shared" si="81"/>
        <v/>
      </c>
      <c r="W422" t="str">
        <f t="shared" si="82"/>
        <v/>
      </c>
      <c r="X422" t="str">
        <f t="shared" si="83"/>
        <v/>
      </c>
      <c r="Y422">
        <f t="shared" si="78"/>
        <v>0</v>
      </c>
      <c r="Z422">
        <f t="shared" si="84"/>
        <v>1</v>
      </c>
      <c r="AA422" s="20">
        <f t="shared" si="79"/>
        <v>0.375</v>
      </c>
      <c r="AB422">
        <f t="shared" si="85"/>
        <v>421</v>
      </c>
      <c r="AC422" s="20" t="str">
        <f t="shared" si="86"/>
        <v>22:20</v>
      </c>
      <c r="AD422" s="20" t="str">
        <f t="shared" si="80"/>
        <v>07:20</v>
      </c>
      <c r="AE422" t="str">
        <f>VLOOKUP(G422,ACtypes!A:C,3,FALSE)</f>
        <v>C</v>
      </c>
      <c r="AF422" t="str">
        <f t="shared" si="87"/>
        <v/>
      </c>
      <c r="AG422" t="str">
        <f t="shared" si="88"/>
        <v/>
      </c>
      <c r="AH422">
        <f t="shared" si="89"/>
        <v>98</v>
      </c>
    </row>
    <row r="423" spans="1:34" x14ac:dyDescent="0.3">
      <c r="A423" s="41">
        <f t="shared" si="90"/>
        <v>422</v>
      </c>
      <c r="B423" s="27">
        <v>72</v>
      </c>
      <c r="C423" s="28" t="s">
        <v>127</v>
      </c>
      <c r="D423" s="28" t="s">
        <v>13</v>
      </c>
      <c r="E423" s="28" t="s">
        <v>124</v>
      </c>
      <c r="F423" s="28" t="s">
        <v>15</v>
      </c>
      <c r="G423" s="28" t="s">
        <v>126</v>
      </c>
      <c r="H423" s="27">
        <v>0</v>
      </c>
      <c r="I423" s="27">
        <v>86</v>
      </c>
      <c r="J423" s="28" t="s">
        <v>17</v>
      </c>
      <c r="K423" s="27">
        <v>25</v>
      </c>
      <c r="L423" s="28" t="s">
        <v>41</v>
      </c>
      <c r="M423" s="27">
        <v>3.4</v>
      </c>
      <c r="O423" s="23">
        <v>425</v>
      </c>
      <c r="P423" t="str">
        <f>IF(O423&gt;0,VLOOKUP($O423,Dep!$A:$M,3),"")</f>
        <v>11:45</v>
      </c>
      <c r="Q423" t="str">
        <f>IF(O423&gt;0,VLOOKUP($O423,Dep!$A:$M,6),"")</f>
        <v>SFO</v>
      </c>
      <c r="R423" t="str">
        <f>IF(O423&gt;0,VLOOKUP($O423,Dep!$A:$M,7),"")</f>
        <v>735</v>
      </c>
      <c r="S423">
        <f>IF(O423&gt;0,VLOOKUP($O423,Dep!$A:$M,9),"")</f>
        <v>86</v>
      </c>
      <c r="T423" t="str">
        <f>IF(O423&gt;0,VLOOKUP($O423,Dep!$A:$M,10),"")</f>
        <v>NAT</v>
      </c>
      <c r="U423" t="str">
        <f>IF(O423&gt;0,VLOOKUP($O423,Dep!$A:$M,12),"")</f>
        <v>UA</v>
      </c>
      <c r="V423" t="str">
        <f t="shared" si="81"/>
        <v/>
      </c>
      <c r="W423" t="str">
        <f t="shared" si="82"/>
        <v/>
      </c>
      <c r="X423" t="str">
        <f t="shared" si="83"/>
        <v>X</v>
      </c>
      <c r="Y423">
        <f t="shared" si="78"/>
        <v>0</v>
      </c>
      <c r="Z423" t="str">
        <f t="shared" si="84"/>
        <v/>
      </c>
      <c r="AA423" s="20">
        <f t="shared" si="79"/>
        <v>5.7638888888888851E-2</v>
      </c>
      <c r="AB423">
        <f t="shared" si="85"/>
        <v>422</v>
      </c>
      <c r="AC423" s="20" t="str">
        <f t="shared" si="86"/>
        <v>10:22</v>
      </c>
      <c r="AD423" s="20" t="str">
        <f t="shared" si="80"/>
        <v>11:45</v>
      </c>
      <c r="AE423" t="str">
        <f>VLOOKUP(G423,ACtypes!A:C,3,FALSE)</f>
        <v>C</v>
      </c>
      <c r="AF423" t="str">
        <f t="shared" si="87"/>
        <v/>
      </c>
      <c r="AG423" t="str">
        <f t="shared" si="88"/>
        <v/>
      </c>
      <c r="AH423">
        <f t="shared" si="89"/>
        <v>86</v>
      </c>
    </row>
    <row r="424" spans="1:34" x14ac:dyDescent="0.3">
      <c r="A424" s="41">
        <f t="shared" si="90"/>
        <v>423</v>
      </c>
      <c r="B424" s="27">
        <v>71</v>
      </c>
      <c r="C424" s="28" t="s">
        <v>125</v>
      </c>
      <c r="D424" s="28" t="s">
        <v>13</v>
      </c>
      <c r="E424" s="28" t="s">
        <v>124</v>
      </c>
      <c r="F424" s="28" t="s">
        <v>15</v>
      </c>
      <c r="G424" s="28" t="s">
        <v>126</v>
      </c>
      <c r="H424" s="27">
        <v>0</v>
      </c>
      <c r="I424" s="27">
        <v>86</v>
      </c>
      <c r="J424" s="28" t="s">
        <v>17</v>
      </c>
      <c r="K424" s="27">
        <v>25</v>
      </c>
      <c r="L424" s="28" t="s">
        <v>41</v>
      </c>
      <c r="M424" s="27">
        <v>3.4</v>
      </c>
      <c r="O424" s="23">
        <v>426</v>
      </c>
      <c r="P424" t="str">
        <f>IF(O424&gt;0,VLOOKUP($O424,Dep!$A:$M,3),"")</f>
        <v>14:23</v>
      </c>
      <c r="Q424" t="str">
        <f>IF(O424&gt;0,VLOOKUP($O424,Dep!$A:$M,6),"")</f>
        <v>LAX</v>
      </c>
      <c r="R424" t="str">
        <f>IF(O424&gt;0,VLOOKUP($O424,Dep!$A:$M,7),"")</f>
        <v>735</v>
      </c>
      <c r="S424">
        <f>IF(O424&gt;0,VLOOKUP($O424,Dep!$A:$M,9),"")</f>
        <v>86</v>
      </c>
      <c r="T424" t="str">
        <f>IF(O424&gt;0,VLOOKUP($O424,Dep!$A:$M,10),"")</f>
        <v>NAT</v>
      </c>
      <c r="U424" t="str">
        <f>IF(O424&gt;0,VLOOKUP($O424,Dep!$A:$M,12),"")</f>
        <v>UA</v>
      </c>
      <c r="V424" t="str">
        <f t="shared" si="81"/>
        <v/>
      </c>
      <c r="W424" t="str">
        <f t="shared" si="82"/>
        <v/>
      </c>
      <c r="X424" t="str">
        <f t="shared" si="83"/>
        <v>X</v>
      </c>
      <c r="Y424">
        <f t="shared" si="78"/>
        <v>0</v>
      </c>
      <c r="Z424" t="str">
        <f t="shared" si="84"/>
        <v/>
      </c>
      <c r="AA424" s="20">
        <f t="shared" si="79"/>
        <v>3.125E-2</v>
      </c>
      <c r="AB424">
        <f t="shared" si="85"/>
        <v>423</v>
      </c>
      <c r="AC424" s="20" t="str">
        <f t="shared" si="86"/>
        <v>13:38</v>
      </c>
      <c r="AD424" s="20" t="str">
        <f t="shared" si="80"/>
        <v>14:23</v>
      </c>
      <c r="AE424" t="str">
        <f>VLOOKUP(G424,ACtypes!A:C,3,FALSE)</f>
        <v>C</v>
      </c>
      <c r="AF424" t="str">
        <f t="shared" si="87"/>
        <v/>
      </c>
      <c r="AG424" t="str">
        <f t="shared" si="88"/>
        <v/>
      </c>
      <c r="AH424">
        <f t="shared" si="89"/>
        <v>86</v>
      </c>
    </row>
    <row r="425" spans="1:34" x14ac:dyDescent="0.3">
      <c r="A425" s="41">
        <f t="shared" si="90"/>
        <v>424</v>
      </c>
      <c r="B425" s="27">
        <v>889</v>
      </c>
      <c r="C425" s="28" t="s">
        <v>227</v>
      </c>
      <c r="D425" s="28" t="s">
        <v>13</v>
      </c>
      <c r="E425" s="28" t="s">
        <v>440</v>
      </c>
      <c r="F425" s="28" t="s">
        <v>15</v>
      </c>
      <c r="G425" s="28" t="s">
        <v>126</v>
      </c>
      <c r="H425" s="27">
        <v>0</v>
      </c>
      <c r="I425" s="27">
        <v>86</v>
      </c>
      <c r="J425" s="28" t="s">
        <v>17</v>
      </c>
      <c r="K425" s="27">
        <v>25</v>
      </c>
      <c r="L425" s="28" t="s">
        <v>41</v>
      </c>
      <c r="M425" s="27">
        <v>3.4</v>
      </c>
      <c r="O425" s="23">
        <v>427</v>
      </c>
      <c r="P425" t="str">
        <f>IF(O425&gt;0,VLOOKUP($O425,Dep!$A:$M,3),"")</f>
        <v>15:36</v>
      </c>
      <c r="Q425" t="str">
        <f>IF(O425&gt;0,VLOOKUP($O425,Dep!$A:$M,6),"")</f>
        <v>LAX</v>
      </c>
      <c r="R425" t="str">
        <f>IF(O425&gt;0,VLOOKUP($O425,Dep!$A:$M,7),"")</f>
        <v>735</v>
      </c>
      <c r="S425">
        <f>IF(O425&gt;0,VLOOKUP($O425,Dep!$A:$M,9),"")</f>
        <v>86</v>
      </c>
      <c r="T425" t="str">
        <f>IF(O425&gt;0,VLOOKUP($O425,Dep!$A:$M,10),"")</f>
        <v>NAT</v>
      </c>
      <c r="U425" t="str">
        <f>IF(O425&gt;0,VLOOKUP($O425,Dep!$A:$M,12),"")</f>
        <v>UA</v>
      </c>
      <c r="V425" t="str">
        <f t="shared" si="81"/>
        <v/>
      </c>
      <c r="W425" t="str">
        <f t="shared" si="82"/>
        <v/>
      </c>
      <c r="X425" t="str">
        <f t="shared" si="83"/>
        <v>X</v>
      </c>
      <c r="Y425">
        <f t="shared" si="78"/>
        <v>0</v>
      </c>
      <c r="Z425" t="str">
        <f t="shared" si="84"/>
        <v/>
      </c>
      <c r="AA425" s="20">
        <f t="shared" si="79"/>
        <v>3.3333333333333326E-2</v>
      </c>
      <c r="AB425">
        <f t="shared" si="85"/>
        <v>424</v>
      </c>
      <c r="AC425" s="20" t="str">
        <f t="shared" si="86"/>
        <v>14:48</v>
      </c>
      <c r="AD425" s="20" t="str">
        <f t="shared" si="80"/>
        <v>15:36</v>
      </c>
      <c r="AE425" t="str">
        <f>VLOOKUP(G425,ACtypes!A:C,3,FALSE)</f>
        <v>C</v>
      </c>
      <c r="AF425" t="str">
        <f t="shared" si="87"/>
        <v/>
      </c>
      <c r="AG425" t="str">
        <f t="shared" si="88"/>
        <v/>
      </c>
      <c r="AH425">
        <f t="shared" si="89"/>
        <v>86</v>
      </c>
    </row>
    <row r="426" spans="1:34" x14ac:dyDescent="0.3">
      <c r="A426" s="41">
        <f t="shared" si="90"/>
        <v>425</v>
      </c>
      <c r="B426" s="27">
        <v>210</v>
      </c>
      <c r="C426" s="28" t="s">
        <v>282</v>
      </c>
      <c r="D426" s="28" t="s">
        <v>13</v>
      </c>
      <c r="E426" s="28" t="s">
        <v>279</v>
      </c>
      <c r="F426" s="28" t="s">
        <v>15</v>
      </c>
      <c r="G426" s="28" t="s">
        <v>126</v>
      </c>
      <c r="H426" s="27">
        <v>0</v>
      </c>
      <c r="I426" s="27">
        <v>86</v>
      </c>
      <c r="J426" s="28" t="s">
        <v>17</v>
      </c>
      <c r="K426" s="27">
        <v>25</v>
      </c>
      <c r="L426" s="28" t="s">
        <v>41</v>
      </c>
      <c r="M426" s="27">
        <v>3.4</v>
      </c>
      <c r="O426" s="23">
        <v>424</v>
      </c>
      <c r="P426" t="str">
        <f>IF(O426&gt;0,VLOOKUP($O426,Dep!$A:$M,3),"")</f>
        <v>07:30</v>
      </c>
      <c r="Q426" t="str">
        <f>IF(O426&gt;0,VLOOKUP($O426,Dep!$A:$M,6),"")</f>
        <v>DEN</v>
      </c>
      <c r="R426" t="str">
        <f>IF(O426&gt;0,VLOOKUP($O426,Dep!$A:$M,7),"")</f>
        <v>735</v>
      </c>
      <c r="S426">
        <f>IF(O426&gt;0,VLOOKUP($O426,Dep!$A:$M,9),"")</f>
        <v>86</v>
      </c>
      <c r="T426" t="str">
        <f>IF(O426&gt;0,VLOOKUP($O426,Dep!$A:$M,10),"")</f>
        <v>NAT</v>
      </c>
      <c r="U426" t="str">
        <f>IF(O426&gt;0,VLOOKUP($O426,Dep!$A:$M,12),"")</f>
        <v>UA</v>
      </c>
      <c r="V426" t="str">
        <f t="shared" si="81"/>
        <v/>
      </c>
      <c r="W426" t="str">
        <f t="shared" si="82"/>
        <v/>
      </c>
      <c r="X426" t="str">
        <f t="shared" si="83"/>
        <v>X</v>
      </c>
      <c r="Y426">
        <f t="shared" si="78"/>
        <v>0</v>
      </c>
      <c r="Z426">
        <f t="shared" si="84"/>
        <v>1</v>
      </c>
      <c r="AA426" s="20">
        <f t="shared" si="79"/>
        <v>0.41736111111111107</v>
      </c>
      <c r="AB426">
        <f t="shared" si="85"/>
        <v>425</v>
      </c>
      <c r="AC426" s="20" t="str">
        <f t="shared" si="86"/>
        <v>21:29</v>
      </c>
      <c r="AD426" s="20" t="str">
        <f t="shared" si="80"/>
        <v>07:30</v>
      </c>
      <c r="AE426" t="str">
        <f>VLOOKUP(G426,ACtypes!A:C,3,FALSE)</f>
        <v>C</v>
      </c>
      <c r="AF426" t="str">
        <f t="shared" si="87"/>
        <v/>
      </c>
      <c r="AG426" t="str">
        <f t="shared" si="88"/>
        <v/>
      </c>
      <c r="AH426">
        <f t="shared" si="89"/>
        <v>86</v>
      </c>
    </row>
    <row r="427" spans="1:34" x14ac:dyDescent="0.3">
      <c r="A427" s="41">
        <f t="shared" si="90"/>
        <v>426</v>
      </c>
      <c r="B427" s="27">
        <v>77</v>
      </c>
      <c r="C427" s="28" t="s">
        <v>133</v>
      </c>
      <c r="D427" s="28" t="s">
        <v>13</v>
      </c>
      <c r="E427" s="28" t="s">
        <v>124</v>
      </c>
      <c r="F427" s="28" t="s">
        <v>15</v>
      </c>
      <c r="G427" s="28" t="s">
        <v>129</v>
      </c>
      <c r="H427" s="27">
        <v>0</v>
      </c>
      <c r="I427" s="27">
        <v>146</v>
      </c>
      <c r="J427" s="28" t="s">
        <v>17</v>
      </c>
      <c r="K427" s="27">
        <v>25</v>
      </c>
      <c r="L427" s="28" t="s">
        <v>41</v>
      </c>
      <c r="M427" s="27">
        <v>5.5</v>
      </c>
      <c r="O427" s="23">
        <v>431</v>
      </c>
      <c r="P427" t="str">
        <f>IF(O427&gt;0,VLOOKUP($O427,Dep!$A:$M,3),"")</f>
        <v>11:15</v>
      </c>
      <c r="Q427" t="str">
        <f>IF(O427&gt;0,VLOOKUP($O427,Dep!$A:$M,6),"")</f>
        <v>DEN</v>
      </c>
      <c r="R427" t="str">
        <f>IF(O427&gt;0,VLOOKUP($O427,Dep!$A:$M,7),"")</f>
        <v>752</v>
      </c>
      <c r="S427">
        <f>IF(O427&gt;0,VLOOKUP($O427,Dep!$A:$M,9),"")</f>
        <v>146</v>
      </c>
      <c r="T427" t="str">
        <f>IF(O427&gt;0,VLOOKUP($O427,Dep!$A:$M,10),"")</f>
        <v>NAT</v>
      </c>
      <c r="U427" t="str">
        <f>IF(O427&gt;0,VLOOKUP($O427,Dep!$A:$M,12),"")</f>
        <v>UA</v>
      </c>
      <c r="V427" t="str">
        <f t="shared" si="81"/>
        <v/>
      </c>
      <c r="W427" t="str">
        <f t="shared" si="82"/>
        <v/>
      </c>
      <c r="X427" t="str">
        <f t="shared" si="83"/>
        <v/>
      </c>
      <c r="Y427">
        <f t="shared" si="78"/>
        <v>0</v>
      </c>
      <c r="Z427" t="str">
        <f t="shared" si="84"/>
        <v/>
      </c>
      <c r="AA427" s="20">
        <f t="shared" si="79"/>
        <v>4.3055555555555569E-2</v>
      </c>
      <c r="AB427">
        <f t="shared" si="85"/>
        <v>426</v>
      </c>
      <c r="AC427" s="20" t="str">
        <f t="shared" si="86"/>
        <v>10:13</v>
      </c>
      <c r="AD427" s="20" t="str">
        <f t="shared" si="80"/>
        <v>11:15</v>
      </c>
      <c r="AE427" t="str">
        <f>VLOOKUP(G427,ACtypes!A:C,3,FALSE)</f>
        <v>C</v>
      </c>
      <c r="AF427" t="str">
        <f t="shared" si="87"/>
        <v/>
      </c>
      <c r="AG427" t="str">
        <f t="shared" si="88"/>
        <v/>
      </c>
      <c r="AH427">
        <f t="shared" si="89"/>
        <v>146</v>
      </c>
    </row>
    <row r="428" spans="1:34" x14ac:dyDescent="0.3">
      <c r="A428" s="41">
        <f t="shared" si="90"/>
        <v>427</v>
      </c>
      <c r="B428" s="27">
        <v>290</v>
      </c>
      <c r="C428" s="28" t="s">
        <v>363</v>
      </c>
      <c r="D428" s="28" t="s">
        <v>13</v>
      </c>
      <c r="E428" s="28" t="s">
        <v>352</v>
      </c>
      <c r="F428" s="28" t="s">
        <v>15</v>
      </c>
      <c r="G428" s="28" t="s">
        <v>129</v>
      </c>
      <c r="H428" s="27">
        <v>0</v>
      </c>
      <c r="I428" s="27">
        <v>146</v>
      </c>
      <c r="J428" s="28" t="s">
        <v>17</v>
      </c>
      <c r="K428" s="27">
        <v>25</v>
      </c>
      <c r="L428" s="28" t="s">
        <v>41</v>
      </c>
      <c r="M428" s="27">
        <v>5.5</v>
      </c>
      <c r="O428" s="23">
        <v>432</v>
      </c>
      <c r="P428" t="str">
        <f>IF(O428&gt;0,VLOOKUP($O428,Dep!$A:$M,3),"")</f>
        <v>11:28</v>
      </c>
      <c r="Q428" t="str">
        <f>IF(O428&gt;0,VLOOKUP($O428,Dep!$A:$M,6),"")</f>
        <v>ORD</v>
      </c>
      <c r="R428" t="str">
        <f>IF(O428&gt;0,VLOOKUP($O428,Dep!$A:$M,7),"")</f>
        <v>752</v>
      </c>
      <c r="S428">
        <f>IF(O428&gt;0,VLOOKUP($O428,Dep!$A:$M,9),"")</f>
        <v>146</v>
      </c>
      <c r="T428" t="str">
        <f>IF(O428&gt;0,VLOOKUP($O428,Dep!$A:$M,10),"")</f>
        <v>NAT</v>
      </c>
      <c r="U428" t="str">
        <f>IF(O428&gt;0,VLOOKUP($O428,Dep!$A:$M,12),"")</f>
        <v>UA</v>
      </c>
      <c r="V428" t="str">
        <f t="shared" si="81"/>
        <v/>
      </c>
      <c r="W428" t="str">
        <f t="shared" si="82"/>
        <v/>
      </c>
      <c r="X428" t="str">
        <f t="shared" si="83"/>
        <v/>
      </c>
      <c r="Y428">
        <f t="shared" si="78"/>
        <v>0</v>
      </c>
      <c r="Z428" t="str">
        <f t="shared" si="84"/>
        <v/>
      </c>
      <c r="AA428" s="20">
        <f t="shared" si="79"/>
        <v>4.2361111111111183E-2</v>
      </c>
      <c r="AB428">
        <f t="shared" si="85"/>
        <v>427</v>
      </c>
      <c r="AC428" s="20" t="str">
        <f t="shared" si="86"/>
        <v>10:27</v>
      </c>
      <c r="AD428" s="20" t="str">
        <f t="shared" si="80"/>
        <v>11:28</v>
      </c>
      <c r="AE428" t="str">
        <f>VLOOKUP(G428,ACtypes!A:C,3,FALSE)</f>
        <v>C</v>
      </c>
      <c r="AF428" t="str">
        <f t="shared" si="87"/>
        <v/>
      </c>
      <c r="AG428" t="str">
        <f t="shared" si="88"/>
        <v/>
      </c>
      <c r="AH428">
        <f t="shared" si="89"/>
        <v>146</v>
      </c>
    </row>
    <row r="429" spans="1:34" x14ac:dyDescent="0.3">
      <c r="A429" s="41">
        <f t="shared" si="90"/>
        <v>428</v>
      </c>
      <c r="B429" s="27">
        <v>888</v>
      </c>
      <c r="C429" s="28" t="s">
        <v>341</v>
      </c>
      <c r="D429" s="28" t="s">
        <v>13</v>
      </c>
      <c r="E429" s="28" t="s">
        <v>440</v>
      </c>
      <c r="F429" s="28" t="s">
        <v>15</v>
      </c>
      <c r="G429" s="28" t="s">
        <v>129</v>
      </c>
      <c r="H429" s="27">
        <v>0</v>
      </c>
      <c r="I429" s="27">
        <v>146</v>
      </c>
      <c r="J429" s="28" t="s">
        <v>17</v>
      </c>
      <c r="K429" s="27">
        <v>25</v>
      </c>
      <c r="L429" s="28" t="s">
        <v>41</v>
      </c>
      <c r="M429" s="27">
        <v>5.5</v>
      </c>
      <c r="O429" s="23">
        <v>433</v>
      </c>
      <c r="P429" t="str">
        <f>IF(O429&gt;0,VLOOKUP($O429,Dep!$A:$M,3),"")</f>
        <v>12:00</v>
      </c>
      <c r="Q429" t="str">
        <f>IF(O429&gt;0,VLOOKUP($O429,Dep!$A:$M,6),"")</f>
        <v>LAX</v>
      </c>
      <c r="R429" t="str">
        <f>IF(O429&gt;0,VLOOKUP($O429,Dep!$A:$M,7),"")</f>
        <v>752</v>
      </c>
      <c r="S429">
        <f>IF(O429&gt;0,VLOOKUP($O429,Dep!$A:$M,9),"")</f>
        <v>146</v>
      </c>
      <c r="T429" t="str">
        <f>IF(O429&gt;0,VLOOKUP($O429,Dep!$A:$M,10),"")</f>
        <v>NAT</v>
      </c>
      <c r="U429" t="str">
        <f>IF(O429&gt;0,VLOOKUP($O429,Dep!$A:$M,12),"")</f>
        <v>UA</v>
      </c>
      <c r="V429" t="str">
        <f t="shared" si="81"/>
        <v/>
      </c>
      <c r="W429" t="str">
        <f t="shared" si="82"/>
        <v/>
      </c>
      <c r="X429" t="str">
        <f t="shared" si="83"/>
        <v>X</v>
      </c>
      <c r="Y429">
        <f t="shared" si="78"/>
        <v>0</v>
      </c>
      <c r="Z429" t="str">
        <f t="shared" si="84"/>
        <v/>
      </c>
      <c r="AA429" s="20">
        <f t="shared" si="79"/>
        <v>4.3750000000000011E-2</v>
      </c>
      <c r="AB429">
        <f t="shared" si="85"/>
        <v>428</v>
      </c>
      <c r="AC429" s="20" t="str">
        <f t="shared" si="86"/>
        <v>10:57</v>
      </c>
      <c r="AD429" s="20" t="str">
        <f t="shared" si="80"/>
        <v>12:00</v>
      </c>
      <c r="AE429" t="str">
        <f>VLOOKUP(G429,ACtypes!A:C,3,FALSE)</f>
        <v>C</v>
      </c>
      <c r="AF429" t="str">
        <f t="shared" si="87"/>
        <v/>
      </c>
      <c r="AG429" t="str">
        <f t="shared" si="88"/>
        <v/>
      </c>
      <c r="AH429">
        <f t="shared" si="89"/>
        <v>146</v>
      </c>
    </row>
    <row r="430" spans="1:34" x14ac:dyDescent="0.3">
      <c r="A430" s="41">
        <f t="shared" si="90"/>
        <v>429</v>
      </c>
      <c r="B430" s="27">
        <v>287</v>
      </c>
      <c r="C430" s="28" t="s">
        <v>24</v>
      </c>
      <c r="D430" s="28" t="s">
        <v>13</v>
      </c>
      <c r="E430" s="28" t="s">
        <v>352</v>
      </c>
      <c r="F430" s="28" t="s">
        <v>15</v>
      </c>
      <c r="G430" s="28" t="s">
        <v>129</v>
      </c>
      <c r="H430" s="27">
        <v>0</v>
      </c>
      <c r="I430" s="27">
        <v>146</v>
      </c>
      <c r="J430" s="28" t="s">
        <v>17</v>
      </c>
      <c r="K430" s="27">
        <v>25</v>
      </c>
      <c r="L430" s="28" t="s">
        <v>41</v>
      </c>
      <c r="M430" s="27">
        <v>5.5</v>
      </c>
      <c r="O430" s="23">
        <v>434</v>
      </c>
      <c r="P430" t="str">
        <f>IF(O430&gt;0,VLOOKUP($O430,Dep!$A:$M,3),"")</f>
        <v>13:39</v>
      </c>
      <c r="Q430" t="str">
        <f>IF(O430&gt;0,VLOOKUP($O430,Dep!$A:$M,6),"")</f>
        <v>ORD</v>
      </c>
      <c r="R430" t="str">
        <f>IF(O430&gt;0,VLOOKUP($O430,Dep!$A:$M,7),"")</f>
        <v>752</v>
      </c>
      <c r="S430">
        <f>IF(O430&gt;0,VLOOKUP($O430,Dep!$A:$M,9),"")</f>
        <v>146</v>
      </c>
      <c r="T430" t="str">
        <f>IF(O430&gt;0,VLOOKUP($O430,Dep!$A:$M,10),"")</f>
        <v>NAT</v>
      </c>
      <c r="U430" t="str">
        <f>IF(O430&gt;0,VLOOKUP($O430,Dep!$A:$M,12),"")</f>
        <v>UA</v>
      </c>
      <c r="V430" t="str">
        <f t="shared" si="81"/>
        <v/>
      </c>
      <c r="W430" t="str">
        <f t="shared" si="82"/>
        <v/>
      </c>
      <c r="X430" t="str">
        <f t="shared" si="83"/>
        <v/>
      </c>
      <c r="Y430">
        <f t="shared" si="78"/>
        <v>0</v>
      </c>
      <c r="Z430" t="str">
        <f t="shared" si="84"/>
        <v/>
      </c>
      <c r="AA430" s="20">
        <f t="shared" si="79"/>
        <v>4.513888888888884E-2</v>
      </c>
      <c r="AB430">
        <f t="shared" si="85"/>
        <v>429</v>
      </c>
      <c r="AC430" s="20" t="str">
        <f t="shared" si="86"/>
        <v>12:34</v>
      </c>
      <c r="AD430" s="20" t="str">
        <f t="shared" si="80"/>
        <v>13:39</v>
      </c>
      <c r="AE430" t="str">
        <f>VLOOKUP(G430,ACtypes!A:C,3,FALSE)</f>
        <v>C</v>
      </c>
      <c r="AF430" t="str">
        <f t="shared" si="87"/>
        <v/>
      </c>
      <c r="AG430" t="str">
        <f t="shared" si="88"/>
        <v/>
      </c>
      <c r="AH430">
        <f t="shared" si="89"/>
        <v>146</v>
      </c>
    </row>
    <row r="431" spans="1:34" x14ac:dyDescent="0.3">
      <c r="A431" s="41">
        <f t="shared" si="90"/>
        <v>430</v>
      </c>
      <c r="B431" s="27">
        <v>76</v>
      </c>
      <c r="C431" s="28" t="s">
        <v>132</v>
      </c>
      <c r="D431" s="28" t="s">
        <v>13</v>
      </c>
      <c r="E431" s="28" t="s">
        <v>124</v>
      </c>
      <c r="F431" s="28" t="s">
        <v>15</v>
      </c>
      <c r="G431" s="28" t="s">
        <v>129</v>
      </c>
      <c r="H431" s="27">
        <v>0</v>
      </c>
      <c r="I431" s="27">
        <v>146</v>
      </c>
      <c r="J431" s="28" t="s">
        <v>17</v>
      </c>
      <c r="K431" s="27">
        <v>25</v>
      </c>
      <c r="L431" s="28" t="s">
        <v>41</v>
      </c>
      <c r="M431" s="27">
        <v>5.5</v>
      </c>
      <c r="O431" s="23">
        <v>435</v>
      </c>
      <c r="P431" t="str">
        <f>IF(O431&gt;0,VLOOKUP($O431,Dep!$A:$M,3),"")</f>
        <v>14:00</v>
      </c>
      <c r="Q431" t="str">
        <f>IF(O431&gt;0,VLOOKUP($O431,Dep!$A:$M,6),"")</f>
        <v>DEN</v>
      </c>
      <c r="R431" t="str">
        <f>IF(O431&gt;0,VLOOKUP($O431,Dep!$A:$M,7),"")</f>
        <v>752</v>
      </c>
      <c r="S431">
        <f>IF(O431&gt;0,VLOOKUP($O431,Dep!$A:$M,9),"")</f>
        <v>146</v>
      </c>
      <c r="T431" t="str">
        <f>IF(O431&gt;0,VLOOKUP($O431,Dep!$A:$M,10),"")</f>
        <v>NAT</v>
      </c>
      <c r="U431" t="str">
        <f>IF(O431&gt;0,VLOOKUP($O431,Dep!$A:$M,12),"")</f>
        <v>UA</v>
      </c>
      <c r="V431" t="str">
        <f t="shared" si="81"/>
        <v/>
      </c>
      <c r="W431" t="str">
        <f t="shared" si="82"/>
        <v/>
      </c>
      <c r="X431" t="str">
        <f t="shared" si="83"/>
        <v/>
      </c>
      <c r="Y431">
        <f t="shared" si="78"/>
        <v>0</v>
      </c>
      <c r="Z431" t="str">
        <f t="shared" si="84"/>
        <v/>
      </c>
      <c r="AA431" s="20">
        <f t="shared" si="79"/>
        <v>4.1666666666666741E-2</v>
      </c>
      <c r="AB431">
        <f t="shared" si="85"/>
        <v>430</v>
      </c>
      <c r="AC431" s="20" t="str">
        <f t="shared" si="86"/>
        <v>13:00</v>
      </c>
      <c r="AD431" s="20" t="str">
        <f t="shared" si="80"/>
        <v>14:00</v>
      </c>
      <c r="AE431" t="str">
        <f>VLOOKUP(G431,ACtypes!A:C,3,FALSE)</f>
        <v>C</v>
      </c>
      <c r="AF431" t="str">
        <f t="shared" si="87"/>
        <v/>
      </c>
      <c r="AG431" t="str">
        <f t="shared" si="88"/>
        <v/>
      </c>
      <c r="AH431">
        <f t="shared" si="89"/>
        <v>146</v>
      </c>
    </row>
    <row r="432" spans="1:34" x14ac:dyDescent="0.3">
      <c r="A432" s="41">
        <f t="shared" si="90"/>
        <v>431</v>
      </c>
      <c r="B432" s="27">
        <v>159</v>
      </c>
      <c r="C432" s="28" t="s">
        <v>227</v>
      </c>
      <c r="D432" s="28" t="s">
        <v>13</v>
      </c>
      <c r="E432" s="28" t="s">
        <v>226</v>
      </c>
      <c r="F432" s="28" t="s">
        <v>15</v>
      </c>
      <c r="G432" s="28" t="s">
        <v>129</v>
      </c>
      <c r="H432" s="27">
        <v>0</v>
      </c>
      <c r="I432" s="27">
        <v>146</v>
      </c>
      <c r="J432" s="28" t="s">
        <v>17</v>
      </c>
      <c r="K432" s="27">
        <v>25</v>
      </c>
      <c r="L432" s="28" t="s">
        <v>41</v>
      </c>
      <c r="M432" s="27">
        <v>5.5</v>
      </c>
      <c r="O432" s="23">
        <v>436</v>
      </c>
      <c r="P432" t="str">
        <f>IF(O432&gt;0,VLOOKUP($O432,Dep!$A:$M,3),"")</f>
        <v>15:48</v>
      </c>
      <c r="Q432" t="str">
        <f>IF(O432&gt;0,VLOOKUP($O432,Dep!$A:$M,6),"")</f>
        <v>DEN</v>
      </c>
      <c r="R432" t="str">
        <f>IF(O432&gt;0,VLOOKUP($O432,Dep!$A:$M,7),"")</f>
        <v>752</v>
      </c>
      <c r="S432">
        <f>IF(O432&gt;0,VLOOKUP($O432,Dep!$A:$M,9),"")</f>
        <v>146</v>
      </c>
      <c r="T432" t="str">
        <f>IF(O432&gt;0,VLOOKUP($O432,Dep!$A:$M,10),"")</f>
        <v>NAT</v>
      </c>
      <c r="U432" t="str">
        <f>IF(O432&gt;0,VLOOKUP($O432,Dep!$A:$M,12),"")</f>
        <v>UA</v>
      </c>
      <c r="V432" t="str">
        <f t="shared" si="81"/>
        <v/>
      </c>
      <c r="W432" t="str">
        <f t="shared" si="82"/>
        <v/>
      </c>
      <c r="X432" t="str">
        <f t="shared" si="83"/>
        <v>X</v>
      </c>
      <c r="Y432">
        <f t="shared" si="78"/>
        <v>0</v>
      </c>
      <c r="Z432" t="str">
        <f t="shared" si="84"/>
        <v/>
      </c>
      <c r="AA432" s="20">
        <f t="shared" si="79"/>
        <v>4.166666666666663E-2</v>
      </c>
      <c r="AB432">
        <f t="shared" si="85"/>
        <v>431</v>
      </c>
      <c r="AC432" s="20" t="str">
        <f t="shared" si="86"/>
        <v>14:48</v>
      </c>
      <c r="AD432" s="20" t="str">
        <f t="shared" si="80"/>
        <v>15:48</v>
      </c>
      <c r="AE432" t="str">
        <f>VLOOKUP(G432,ACtypes!A:C,3,FALSE)</f>
        <v>C</v>
      </c>
      <c r="AF432" t="str">
        <f t="shared" si="87"/>
        <v/>
      </c>
      <c r="AG432" t="str">
        <f t="shared" si="88"/>
        <v/>
      </c>
      <c r="AH432">
        <f t="shared" si="89"/>
        <v>146</v>
      </c>
    </row>
    <row r="433" spans="1:34" x14ac:dyDescent="0.3">
      <c r="A433" s="41">
        <f t="shared" si="90"/>
        <v>432</v>
      </c>
      <c r="B433" s="27">
        <v>74</v>
      </c>
      <c r="C433" s="28" t="s">
        <v>130</v>
      </c>
      <c r="D433" s="28" t="s">
        <v>13</v>
      </c>
      <c r="E433" s="28" t="s">
        <v>124</v>
      </c>
      <c r="F433" s="28" t="s">
        <v>15</v>
      </c>
      <c r="G433" s="28" t="s">
        <v>129</v>
      </c>
      <c r="H433" s="27">
        <v>0</v>
      </c>
      <c r="I433" s="27">
        <v>146</v>
      </c>
      <c r="J433" s="28" t="s">
        <v>17</v>
      </c>
      <c r="K433" s="27">
        <v>25</v>
      </c>
      <c r="L433" s="28" t="s">
        <v>41</v>
      </c>
      <c r="M433" s="27">
        <v>5.5</v>
      </c>
      <c r="O433" s="23">
        <v>437</v>
      </c>
      <c r="P433" t="str">
        <f>IF(O433&gt;0,VLOOKUP($O433,Dep!$A:$M,3),"")</f>
        <v>18:00</v>
      </c>
      <c r="Q433" t="str">
        <f>IF(O433&gt;0,VLOOKUP($O433,Dep!$A:$M,6),"")</f>
        <v>DEN</v>
      </c>
      <c r="R433" t="str">
        <f>IF(O433&gt;0,VLOOKUP($O433,Dep!$A:$M,7),"")</f>
        <v>752</v>
      </c>
      <c r="S433">
        <f>IF(O433&gt;0,VLOOKUP($O433,Dep!$A:$M,9),"")</f>
        <v>146</v>
      </c>
      <c r="T433" t="str">
        <f>IF(O433&gt;0,VLOOKUP($O433,Dep!$A:$M,10),"")</f>
        <v>NAT</v>
      </c>
      <c r="U433" t="str">
        <f>IF(O433&gt;0,VLOOKUP($O433,Dep!$A:$M,12),"")</f>
        <v>UA</v>
      </c>
      <c r="V433" t="str">
        <f t="shared" si="81"/>
        <v/>
      </c>
      <c r="W433" t="str">
        <f t="shared" si="82"/>
        <v/>
      </c>
      <c r="X433" t="str">
        <f t="shared" si="83"/>
        <v/>
      </c>
      <c r="Y433">
        <f t="shared" si="78"/>
        <v>0</v>
      </c>
      <c r="Z433" t="str">
        <f t="shared" si="84"/>
        <v/>
      </c>
      <c r="AA433" s="20">
        <f t="shared" si="79"/>
        <v>6.1111111111111005E-2</v>
      </c>
      <c r="AB433">
        <f t="shared" si="85"/>
        <v>432</v>
      </c>
      <c r="AC433" s="20" t="str">
        <f t="shared" si="86"/>
        <v>16:32</v>
      </c>
      <c r="AD433" s="20" t="str">
        <f t="shared" si="80"/>
        <v>18:00</v>
      </c>
      <c r="AE433" t="str">
        <f>VLOOKUP(G433,ACtypes!A:C,3,FALSE)</f>
        <v>C</v>
      </c>
      <c r="AF433" t="str">
        <f t="shared" si="87"/>
        <v/>
      </c>
      <c r="AG433" t="str">
        <f t="shared" si="88"/>
        <v/>
      </c>
      <c r="AH433">
        <f t="shared" si="89"/>
        <v>146</v>
      </c>
    </row>
    <row r="434" spans="1:34" x14ac:dyDescent="0.3">
      <c r="A434" s="41">
        <f t="shared" si="90"/>
        <v>433</v>
      </c>
      <c r="B434" s="27">
        <v>291</v>
      </c>
      <c r="C434" s="28" t="s">
        <v>364</v>
      </c>
      <c r="D434" s="28" t="s">
        <v>13</v>
      </c>
      <c r="E434" s="28" t="s">
        <v>352</v>
      </c>
      <c r="F434" s="28" t="s">
        <v>15</v>
      </c>
      <c r="G434" s="28" t="s">
        <v>129</v>
      </c>
      <c r="H434" s="27">
        <v>0</v>
      </c>
      <c r="I434" s="27">
        <v>146</v>
      </c>
      <c r="J434" s="28" t="s">
        <v>17</v>
      </c>
      <c r="K434" s="27">
        <v>25</v>
      </c>
      <c r="L434" s="28" t="s">
        <v>41</v>
      </c>
      <c r="M434" s="27">
        <v>5.5</v>
      </c>
      <c r="O434" s="23">
        <v>438</v>
      </c>
      <c r="P434" t="str">
        <f>IF(O434&gt;0,VLOOKUP($O434,Dep!$A:$M,3),"")</f>
        <v>19:00</v>
      </c>
      <c r="Q434" t="str">
        <f>IF(O434&gt;0,VLOOKUP($O434,Dep!$A:$M,6),"")</f>
        <v>SFO</v>
      </c>
      <c r="R434" t="str">
        <f>IF(O434&gt;0,VLOOKUP($O434,Dep!$A:$M,7),"")</f>
        <v>752</v>
      </c>
      <c r="S434">
        <f>IF(O434&gt;0,VLOOKUP($O434,Dep!$A:$M,9),"")</f>
        <v>146</v>
      </c>
      <c r="T434" t="str">
        <f>IF(O434&gt;0,VLOOKUP($O434,Dep!$A:$M,10),"")</f>
        <v>NAT</v>
      </c>
      <c r="U434" t="str">
        <f>IF(O434&gt;0,VLOOKUP($O434,Dep!$A:$M,12),"")</f>
        <v>UA</v>
      </c>
      <c r="V434" t="str">
        <f t="shared" si="81"/>
        <v/>
      </c>
      <c r="W434" t="str">
        <f t="shared" si="82"/>
        <v/>
      </c>
      <c r="X434" t="str">
        <f t="shared" si="83"/>
        <v>X</v>
      </c>
      <c r="Y434">
        <f t="shared" si="78"/>
        <v>0</v>
      </c>
      <c r="Z434" t="str">
        <f t="shared" si="84"/>
        <v/>
      </c>
      <c r="AA434" s="20">
        <f t="shared" si="79"/>
        <v>5.4861111111111027E-2</v>
      </c>
      <c r="AB434">
        <f t="shared" si="85"/>
        <v>433</v>
      </c>
      <c r="AC434" s="20" t="str">
        <f t="shared" si="86"/>
        <v>17:41</v>
      </c>
      <c r="AD434" s="20" t="str">
        <f t="shared" si="80"/>
        <v>19:00</v>
      </c>
      <c r="AE434" t="str">
        <f>VLOOKUP(G434,ACtypes!A:C,3,FALSE)</f>
        <v>C</v>
      </c>
      <c r="AF434" t="str">
        <f t="shared" si="87"/>
        <v/>
      </c>
      <c r="AG434" t="str">
        <f t="shared" si="88"/>
        <v/>
      </c>
      <c r="AH434">
        <f t="shared" si="89"/>
        <v>146</v>
      </c>
    </row>
    <row r="435" spans="1:34" x14ac:dyDescent="0.3">
      <c r="A435" s="41">
        <f t="shared" si="90"/>
        <v>434</v>
      </c>
      <c r="B435" s="27">
        <v>75</v>
      </c>
      <c r="C435" s="28" t="s">
        <v>131</v>
      </c>
      <c r="D435" s="28" t="s">
        <v>13</v>
      </c>
      <c r="E435" s="28" t="s">
        <v>124</v>
      </c>
      <c r="F435" s="28" t="s">
        <v>15</v>
      </c>
      <c r="G435" s="28" t="s">
        <v>129</v>
      </c>
      <c r="H435" s="27">
        <v>0</v>
      </c>
      <c r="I435" s="27">
        <v>146</v>
      </c>
      <c r="J435" s="28" t="s">
        <v>17</v>
      </c>
      <c r="K435" s="27">
        <v>25</v>
      </c>
      <c r="L435" s="28" t="s">
        <v>41</v>
      </c>
      <c r="M435" s="27">
        <v>5.5</v>
      </c>
      <c r="O435" s="23">
        <v>428</v>
      </c>
      <c r="P435" t="str">
        <f>IF(O435&gt;0,VLOOKUP($O435,Dep!$A:$M,3),"")</f>
        <v>06:10</v>
      </c>
      <c r="Q435" t="str">
        <f>IF(O435&gt;0,VLOOKUP($O435,Dep!$A:$M,6),"")</f>
        <v>ORD</v>
      </c>
      <c r="R435" t="str">
        <f>IF(O435&gt;0,VLOOKUP($O435,Dep!$A:$M,7),"")</f>
        <v>752</v>
      </c>
      <c r="S435">
        <f>IF(O435&gt;0,VLOOKUP($O435,Dep!$A:$M,9),"")</f>
        <v>146</v>
      </c>
      <c r="T435" t="str">
        <f>IF(O435&gt;0,VLOOKUP($O435,Dep!$A:$M,10),"")</f>
        <v>NAT</v>
      </c>
      <c r="U435" t="str">
        <f>IF(O435&gt;0,VLOOKUP($O435,Dep!$A:$M,12),"")</f>
        <v>UA</v>
      </c>
      <c r="V435" t="str">
        <f t="shared" si="81"/>
        <v/>
      </c>
      <c r="W435" t="str">
        <f t="shared" si="82"/>
        <v/>
      </c>
      <c r="X435" t="str">
        <f t="shared" si="83"/>
        <v>X</v>
      </c>
      <c r="Y435">
        <f t="shared" si="78"/>
        <v>0</v>
      </c>
      <c r="Z435">
        <f t="shared" si="84"/>
        <v>1</v>
      </c>
      <c r="AA435" s="20">
        <f t="shared" si="79"/>
        <v>0.46875</v>
      </c>
      <c r="AB435">
        <f t="shared" si="85"/>
        <v>434</v>
      </c>
      <c r="AC435" s="20" t="str">
        <f t="shared" si="86"/>
        <v>18:55</v>
      </c>
      <c r="AD435" s="20" t="str">
        <f t="shared" si="80"/>
        <v>06:10</v>
      </c>
      <c r="AE435" t="str">
        <f>VLOOKUP(G435,ACtypes!A:C,3,FALSE)</f>
        <v>C</v>
      </c>
      <c r="AF435" t="str">
        <f t="shared" si="87"/>
        <v/>
      </c>
      <c r="AG435" t="str">
        <f t="shared" si="88"/>
        <v/>
      </c>
      <c r="AH435">
        <f t="shared" si="89"/>
        <v>146</v>
      </c>
    </row>
    <row r="436" spans="1:34" x14ac:dyDescent="0.3">
      <c r="A436" s="41">
        <f t="shared" si="90"/>
        <v>435</v>
      </c>
      <c r="B436" s="27">
        <v>73</v>
      </c>
      <c r="C436" s="28" t="s">
        <v>128</v>
      </c>
      <c r="D436" s="28" t="s">
        <v>13</v>
      </c>
      <c r="E436" s="28" t="s">
        <v>124</v>
      </c>
      <c r="F436" s="28" t="s">
        <v>15</v>
      </c>
      <c r="G436" s="28" t="s">
        <v>129</v>
      </c>
      <c r="H436" s="27">
        <v>0</v>
      </c>
      <c r="I436" s="27">
        <v>146</v>
      </c>
      <c r="J436" s="28" t="s">
        <v>17</v>
      </c>
      <c r="K436" s="27">
        <v>25</v>
      </c>
      <c r="L436" s="28" t="s">
        <v>41</v>
      </c>
      <c r="M436" s="27">
        <v>5.5</v>
      </c>
      <c r="O436" s="23">
        <v>429</v>
      </c>
      <c r="P436" t="str">
        <f>IF(O436&gt;0,VLOOKUP($O436,Dep!$A:$M,3),"")</f>
        <v>07:45</v>
      </c>
      <c r="Q436" t="str">
        <f>IF(O436&gt;0,VLOOKUP($O436,Dep!$A:$M,6),"")</f>
        <v>DEN</v>
      </c>
      <c r="R436" t="str">
        <f>IF(O436&gt;0,VLOOKUP($O436,Dep!$A:$M,7),"")</f>
        <v>752</v>
      </c>
      <c r="S436">
        <f>IF(O436&gt;0,VLOOKUP($O436,Dep!$A:$M,9),"")</f>
        <v>146</v>
      </c>
      <c r="T436" t="str">
        <f>IF(O436&gt;0,VLOOKUP($O436,Dep!$A:$M,10),"")</f>
        <v>NAT</v>
      </c>
      <c r="U436" t="str">
        <f>IF(O436&gt;0,VLOOKUP($O436,Dep!$A:$M,12),"")</f>
        <v>UA</v>
      </c>
      <c r="V436" t="str">
        <f t="shared" si="81"/>
        <v/>
      </c>
      <c r="W436" t="str">
        <f t="shared" si="82"/>
        <v/>
      </c>
      <c r="X436" t="str">
        <f t="shared" si="83"/>
        <v/>
      </c>
      <c r="Y436">
        <f t="shared" si="78"/>
        <v>0</v>
      </c>
      <c r="Z436">
        <f t="shared" si="84"/>
        <v>1</v>
      </c>
      <c r="AA436" s="20">
        <f t="shared" si="79"/>
        <v>0.41944444444444451</v>
      </c>
      <c r="AB436">
        <f t="shared" si="85"/>
        <v>435</v>
      </c>
      <c r="AC436" s="20" t="str">
        <f t="shared" si="86"/>
        <v>21:41</v>
      </c>
      <c r="AD436" s="20" t="str">
        <f t="shared" si="80"/>
        <v>07:45</v>
      </c>
      <c r="AE436" t="str">
        <f>VLOOKUP(G436,ACtypes!A:C,3,FALSE)</f>
        <v>C</v>
      </c>
      <c r="AF436" t="str">
        <f t="shared" si="87"/>
        <v/>
      </c>
      <c r="AG436" t="str">
        <f t="shared" si="88"/>
        <v/>
      </c>
      <c r="AH436">
        <f t="shared" si="89"/>
        <v>146</v>
      </c>
    </row>
    <row r="437" spans="1:34" x14ac:dyDescent="0.3">
      <c r="A437" s="41">
        <f t="shared" si="90"/>
        <v>436</v>
      </c>
      <c r="B437" s="27">
        <v>288</v>
      </c>
      <c r="C437" s="28" t="s">
        <v>361</v>
      </c>
      <c r="D437" s="28" t="s">
        <v>13</v>
      </c>
      <c r="E437" s="28" t="s">
        <v>352</v>
      </c>
      <c r="F437" s="28" t="s">
        <v>15</v>
      </c>
      <c r="G437" s="28" t="s">
        <v>129</v>
      </c>
      <c r="H437" s="27">
        <v>0</v>
      </c>
      <c r="I437" s="27">
        <v>146</v>
      </c>
      <c r="J437" s="28" t="s">
        <v>17</v>
      </c>
      <c r="K437" s="27">
        <v>25</v>
      </c>
      <c r="L437" s="28" t="s">
        <v>41</v>
      </c>
      <c r="M437" s="27">
        <v>5.5</v>
      </c>
      <c r="O437" s="23">
        <v>430</v>
      </c>
      <c r="P437" t="str">
        <f>IF(O437&gt;0,VLOOKUP($O437,Dep!$A:$M,3),"")</f>
        <v>08:40</v>
      </c>
      <c r="Q437" t="str">
        <f>IF(O437&gt;0,VLOOKUP($O437,Dep!$A:$M,6),"")</f>
        <v>ORD</v>
      </c>
      <c r="R437" t="str">
        <f>IF(O437&gt;0,VLOOKUP($O437,Dep!$A:$M,7),"")</f>
        <v>752</v>
      </c>
      <c r="S437">
        <f>IF(O437&gt;0,VLOOKUP($O437,Dep!$A:$M,9),"")</f>
        <v>146</v>
      </c>
      <c r="T437" t="str">
        <f>IF(O437&gt;0,VLOOKUP($O437,Dep!$A:$M,10),"")</f>
        <v>NAT</v>
      </c>
      <c r="U437" t="str">
        <f>IF(O437&gt;0,VLOOKUP($O437,Dep!$A:$M,12),"")</f>
        <v>UA</v>
      </c>
      <c r="V437" t="str">
        <f t="shared" si="81"/>
        <v/>
      </c>
      <c r="W437" t="str">
        <f t="shared" si="82"/>
        <v/>
      </c>
      <c r="X437" t="str">
        <f t="shared" si="83"/>
        <v/>
      </c>
      <c r="Y437">
        <f t="shared" si="78"/>
        <v>0</v>
      </c>
      <c r="Z437">
        <f t="shared" si="84"/>
        <v>1</v>
      </c>
      <c r="AA437" s="20">
        <f t="shared" si="79"/>
        <v>0.4145833333333333</v>
      </c>
      <c r="AB437">
        <f t="shared" si="85"/>
        <v>436</v>
      </c>
      <c r="AC437" s="20" t="str">
        <f t="shared" si="86"/>
        <v>22:43</v>
      </c>
      <c r="AD437" s="20" t="str">
        <f t="shared" si="80"/>
        <v>08:40</v>
      </c>
      <c r="AE437" t="str">
        <f>VLOOKUP(G437,ACtypes!A:C,3,FALSE)</f>
        <v>C</v>
      </c>
      <c r="AF437" t="str">
        <f t="shared" si="87"/>
        <v/>
      </c>
      <c r="AG437" t="str">
        <f t="shared" si="88"/>
        <v/>
      </c>
      <c r="AH437">
        <f t="shared" si="89"/>
        <v>146</v>
      </c>
    </row>
    <row r="438" spans="1:34" x14ac:dyDescent="0.3">
      <c r="A438" s="41">
        <f t="shared" si="90"/>
        <v>437</v>
      </c>
      <c r="B438" s="27">
        <v>289</v>
      </c>
      <c r="C438" s="28" t="s">
        <v>362</v>
      </c>
      <c r="D438" s="28" t="s">
        <v>13</v>
      </c>
      <c r="E438" s="28" t="s">
        <v>352</v>
      </c>
      <c r="F438" s="28" t="s">
        <v>15</v>
      </c>
      <c r="G438" s="28" t="s">
        <v>223</v>
      </c>
      <c r="H438" s="27">
        <v>0</v>
      </c>
      <c r="I438" s="27">
        <v>170</v>
      </c>
      <c r="J438" s="28" t="s">
        <v>17</v>
      </c>
      <c r="K438" s="27">
        <v>25</v>
      </c>
      <c r="L438" s="28" t="s">
        <v>41</v>
      </c>
      <c r="M438" s="27">
        <v>12.7</v>
      </c>
      <c r="O438" s="23">
        <v>440</v>
      </c>
      <c r="P438" t="str">
        <f>IF(O438&gt;0,VLOOKUP($O438,Dep!$A:$M,3),"")</f>
        <v>23:20</v>
      </c>
      <c r="Q438" t="str">
        <f>IF(O438&gt;0,VLOOKUP($O438,Dep!$A:$M,6),"")</f>
        <v>ORD</v>
      </c>
      <c r="R438" t="str">
        <f>IF(O438&gt;0,VLOOKUP($O438,Dep!$A:$M,7),"")</f>
        <v>763</v>
      </c>
      <c r="S438">
        <f>IF(O438&gt;0,VLOOKUP($O438,Dep!$A:$M,9),"")</f>
        <v>170</v>
      </c>
      <c r="T438" t="str">
        <f>IF(O438&gt;0,VLOOKUP($O438,Dep!$A:$M,10),"")</f>
        <v>NAT</v>
      </c>
      <c r="U438" t="str">
        <f>IF(O438&gt;0,VLOOKUP($O438,Dep!$A:$M,12),"")</f>
        <v>UA</v>
      </c>
      <c r="V438" t="str">
        <f t="shared" si="81"/>
        <v/>
      </c>
      <c r="W438" t="str">
        <f t="shared" si="82"/>
        <v/>
      </c>
      <c r="X438" t="str">
        <f t="shared" si="83"/>
        <v/>
      </c>
      <c r="Y438">
        <f t="shared" si="78"/>
        <v>0</v>
      </c>
      <c r="Z438" t="str">
        <f t="shared" si="84"/>
        <v/>
      </c>
      <c r="AA438" s="20">
        <f t="shared" si="79"/>
        <v>0.17013888888888884</v>
      </c>
      <c r="AB438">
        <f t="shared" si="85"/>
        <v>437</v>
      </c>
      <c r="AC438" s="20" t="str">
        <f t="shared" si="86"/>
        <v>19:15</v>
      </c>
      <c r="AD438" s="20" t="str">
        <f t="shared" si="80"/>
        <v>23:20</v>
      </c>
      <c r="AE438" t="str">
        <f>VLOOKUP(G438,ACtypes!A:C,3,FALSE)</f>
        <v>D</v>
      </c>
      <c r="AF438" t="str">
        <f t="shared" si="87"/>
        <v/>
      </c>
      <c r="AG438" t="str">
        <f t="shared" si="88"/>
        <v/>
      </c>
      <c r="AH438">
        <f t="shared" si="89"/>
        <v>170</v>
      </c>
    </row>
    <row r="439" spans="1:34" x14ac:dyDescent="0.3">
      <c r="A439" s="41">
        <f t="shared" si="90"/>
        <v>438</v>
      </c>
      <c r="B439" s="27">
        <v>158</v>
      </c>
      <c r="C439" s="28" t="s">
        <v>225</v>
      </c>
      <c r="D439" s="28" t="s">
        <v>13</v>
      </c>
      <c r="E439" s="28" t="s">
        <v>226</v>
      </c>
      <c r="F439" s="28" t="s">
        <v>15</v>
      </c>
      <c r="G439" s="28" t="s">
        <v>223</v>
      </c>
      <c r="H439" s="27">
        <v>0</v>
      </c>
      <c r="I439" s="27">
        <v>170</v>
      </c>
      <c r="J439" s="28" t="s">
        <v>17</v>
      </c>
      <c r="K439" s="27">
        <v>25</v>
      </c>
      <c r="L439" s="28" t="s">
        <v>41</v>
      </c>
      <c r="M439" s="27">
        <v>12.7</v>
      </c>
      <c r="O439" s="23">
        <v>439</v>
      </c>
      <c r="P439" t="str">
        <f>IF(O439&gt;0,VLOOKUP($O439,Dep!$A:$M,3),"")</f>
        <v>07:25</v>
      </c>
      <c r="Q439" t="str">
        <f>IF(O439&gt;0,VLOOKUP($O439,Dep!$A:$M,6),"")</f>
        <v>IAD</v>
      </c>
      <c r="R439" t="str">
        <f>IF(O439&gt;0,VLOOKUP($O439,Dep!$A:$M,7),"")</f>
        <v>763</v>
      </c>
      <c r="S439">
        <f>IF(O439&gt;0,VLOOKUP($O439,Dep!$A:$M,9),"")</f>
        <v>170</v>
      </c>
      <c r="T439" t="str">
        <f>IF(O439&gt;0,VLOOKUP($O439,Dep!$A:$M,10),"")</f>
        <v>NAT</v>
      </c>
      <c r="U439" t="str">
        <f>IF(O439&gt;0,VLOOKUP($O439,Dep!$A:$M,12),"")</f>
        <v>UA</v>
      </c>
      <c r="V439" t="str">
        <f t="shared" si="81"/>
        <v/>
      </c>
      <c r="W439" t="str">
        <f t="shared" si="82"/>
        <v/>
      </c>
      <c r="X439" t="str">
        <f t="shared" si="83"/>
        <v/>
      </c>
      <c r="Y439">
        <f t="shared" si="78"/>
        <v>0</v>
      </c>
      <c r="Z439">
        <f t="shared" si="84"/>
        <v>1</v>
      </c>
      <c r="AA439" s="20">
        <f t="shared" si="79"/>
        <v>0.4916666666666667</v>
      </c>
      <c r="AB439">
        <f t="shared" si="85"/>
        <v>438</v>
      </c>
      <c r="AC439" s="20" t="str">
        <f t="shared" si="86"/>
        <v>19:37</v>
      </c>
      <c r="AD439" s="20" t="str">
        <f t="shared" si="80"/>
        <v>07:25</v>
      </c>
      <c r="AE439" t="str">
        <f>VLOOKUP(G439,ACtypes!A:C,3,FALSE)</f>
        <v>D</v>
      </c>
      <c r="AF439" t="str">
        <f t="shared" si="87"/>
        <v/>
      </c>
      <c r="AG439" t="str">
        <f t="shared" si="88"/>
        <v/>
      </c>
      <c r="AH439">
        <f t="shared" si="89"/>
        <v>170</v>
      </c>
    </row>
    <row r="440" spans="1:34" x14ac:dyDescent="0.3">
      <c r="A440" s="41">
        <f t="shared" si="90"/>
        <v>439</v>
      </c>
      <c r="B440" s="27">
        <v>253</v>
      </c>
      <c r="C440" s="28" t="s">
        <v>329</v>
      </c>
      <c r="D440" s="28" t="s">
        <v>13</v>
      </c>
      <c r="E440" s="28" t="s">
        <v>330</v>
      </c>
      <c r="F440" s="28" t="s">
        <v>15</v>
      </c>
      <c r="G440" s="28" t="s">
        <v>331</v>
      </c>
      <c r="H440" s="27">
        <v>0</v>
      </c>
      <c r="I440" s="27">
        <v>214</v>
      </c>
      <c r="J440" s="28" t="s">
        <v>28</v>
      </c>
      <c r="K440" s="27">
        <v>25</v>
      </c>
      <c r="L440" s="28" t="s">
        <v>41</v>
      </c>
      <c r="M440" s="27">
        <v>22</v>
      </c>
      <c r="O440" s="23">
        <v>441</v>
      </c>
      <c r="P440" t="str">
        <f>IF(O440&gt;0,VLOOKUP($O440,Dep!$A:$M,3),"")</f>
        <v>12:50</v>
      </c>
      <c r="Q440" t="str">
        <f>IF(O440&gt;0,VLOOKUP($O440,Dep!$A:$M,6),"")</f>
        <v>NRT</v>
      </c>
      <c r="R440" t="str">
        <f>IF(O440&gt;0,VLOOKUP($O440,Dep!$A:$M,7),"")</f>
        <v>777</v>
      </c>
      <c r="S440">
        <f>IF(O440&gt;0,VLOOKUP($O440,Dep!$A:$M,9),"")</f>
        <v>214</v>
      </c>
      <c r="T440" t="str">
        <f>IF(O440&gt;0,VLOOKUP($O440,Dep!$A:$M,10),"")</f>
        <v>INT</v>
      </c>
      <c r="U440" t="str">
        <f>IF(O440&gt;0,VLOOKUP($O440,Dep!$A:$M,12),"")</f>
        <v>UA</v>
      </c>
      <c r="V440" t="str">
        <f t="shared" si="81"/>
        <v/>
      </c>
      <c r="W440" t="str">
        <f t="shared" si="82"/>
        <v/>
      </c>
      <c r="X440" t="str">
        <f t="shared" si="83"/>
        <v/>
      </c>
      <c r="Y440">
        <f t="shared" si="78"/>
        <v>0</v>
      </c>
      <c r="Z440" t="str">
        <f t="shared" si="84"/>
        <v/>
      </c>
      <c r="AA440" s="20">
        <f t="shared" si="79"/>
        <v>0.11458333333333331</v>
      </c>
      <c r="AB440">
        <f t="shared" si="85"/>
        <v>439</v>
      </c>
      <c r="AC440" s="20" t="str">
        <f t="shared" si="86"/>
        <v>10:05</v>
      </c>
      <c r="AD440" s="20" t="str">
        <f t="shared" si="80"/>
        <v>12:50</v>
      </c>
      <c r="AE440" t="str">
        <f>VLOOKUP(G440,ACtypes!A:C,3,FALSE)</f>
        <v>E</v>
      </c>
      <c r="AF440">
        <f t="shared" si="87"/>
        <v>1</v>
      </c>
      <c r="AG440">
        <f t="shared" si="88"/>
        <v>1</v>
      </c>
      <c r="AH440">
        <f t="shared" si="89"/>
        <v>214</v>
      </c>
    </row>
    <row r="441" spans="1:34" x14ac:dyDescent="0.3">
      <c r="A441" s="41">
        <f t="shared" si="90"/>
        <v>440</v>
      </c>
      <c r="B441" s="27">
        <v>352</v>
      </c>
      <c r="C441" s="28" t="s">
        <v>419</v>
      </c>
      <c r="D441" s="28" t="s">
        <v>13</v>
      </c>
      <c r="E441" s="28" t="s">
        <v>418</v>
      </c>
      <c r="F441" s="28" t="s">
        <v>15</v>
      </c>
      <c r="G441" s="28" t="s">
        <v>197</v>
      </c>
      <c r="H441" s="27">
        <v>0</v>
      </c>
      <c r="I441" s="27">
        <v>24</v>
      </c>
      <c r="J441" s="28" t="s">
        <v>17</v>
      </c>
      <c r="K441" s="27">
        <v>25</v>
      </c>
      <c r="L441" s="28" t="s">
        <v>41</v>
      </c>
      <c r="M441" s="27">
        <v>0</v>
      </c>
      <c r="O441" s="23">
        <v>442</v>
      </c>
      <c r="P441" t="str">
        <f>IF(O441&gt;0,VLOOKUP($O441,Dep!$A:$M,3),"")</f>
        <v>06:45</v>
      </c>
      <c r="Q441" t="str">
        <f>IF(O441&gt;0,VLOOKUP($O441,Dep!$A:$M,6),"")</f>
        <v>PDX</v>
      </c>
      <c r="R441" t="str">
        <f>IF(O441&gt;0,VLOOKUP($O441,Dep!$A:$M,7),"")</f>
        <v>EM2</v>
      </c>
      <c r="S441">
        <f>IF(O441&gt;0,VLOOKUP($O441,Dep!$A:$M,9),"")</f>
        <v>24</v>
      </c>
      <c r="T441" t="str">
        <f>IF(O441&gt;0,VLOOKUP($O441,Dep!$A:$M,10),"")</f>
        <v>NAT</v>
      </c>
      <c r="U441" t="str">
        <f>IF(O441&gt;0,VLOOKUP($O441,Dep!$A:$M,12),"")</f>
        <v>UA</v>
      </c>
      <c r="V441" t="str">
        <f t="shared" si="81"/>
        <v/>
      </c>
      <c r="W441" t="str">
        <f t="shared" si="82"/>
        <v/>
      </c>
      <c r="X441" t="str">
        <f t="shared" si="83"/>
        <v>X</v>
      </c>
      <c r="Y441">
        <f t="shared" si="78"/>
        <v>0</v>
      </c>
      <c r="Z441" t="str">
        <f t="shared" si="84"/>
        <v/>
      </c>
      <c r="AA441" s="20">
        <f t="shared" si="79"/>
        <v>3.0555555555555558E-2</v>
      </c>
      <c r="AB441">
        <f t="shared" si="85"/>
        <v>440</v>
      </c>
      <c r="AC441" s="20" t="str">
        <f t="shared" si="86"/>
        <v>06:01</v>
      </c>
      <c r="AD441" s="20" t="str">
        <f t="shared" si="80"/>
        <v>06:45</v>
      </c>
      <c r="AE441" t="str">
        <f>VLOOKUP(G441,ACtypes!A:C,3,FALSE)</f>
        <v>B</v>
      </c>
      <c r="AF441" t="str">
        <f t="shared" si="87"/>
        <v/>
      </c>
      <c r="AG441" t="str">
        <f t="shared" si="88"/>
        <v/>
      </c>
      <c r="AH441">
        <f t="shared" si="89"/>
        <v>24</v>
      </c>
    </row>
    <row r="442" spans="1:34" x14ac:dyDescent="0.3">
      <c r="A442" s="41">
        <f t="shared" si="90"/>
        <v>441</v>
      </c>
      <c r="B442" s="27">
        <v>130</v>
      </c>
      <c r="C442" s="28" t="s">
        <v>199</v>
      </c>
      <c r="D442" s="28" t="s">
        <v>13</v>
      </c>
      <c r="E442" s="28" t="s">
        <v>196</v>
      </c>
      <c r="F442" s="28" t="s">
        <v>15</v>
      </c>
      <c r="G442" s="28" t="s">
        <v>197</v>
      </c>
      <c r="H442" s="27">
        <v>0</v>
      </c>
      <c r="I442" s="27">
        <v>24</v>
      </c>
      <c r="J442" s="28" t="s">
        <v>17</v>
      </c>
      <c r="K442" s="27">
        <v>25</v>
      </c>
      <c r="L442" s="28" t="s">
        <v>41</v>
      </c>
      <c r="M442" s="27">
        <v>0</v>
      </c>
      <c r="O442" s="23">
        <v>443</v>
      </c>
      <c r="P442" t="str">
        <f>IF(O442&gt;0,VLOOKUP($O442,Dep!$A:$M,3),"")</f>
        <v>08:10</v>
      </c>
      <c r="Q442" t="str">
        <f>IF(O442&gt;0,VLOOKUP($O442,Dep!$A:$M,6),"")</f>
        <v>YVR</v>
      </c>
      <c r="R442" t="str">
        <f>IF(O442&gt;0,VLOOKUP($O442,Dep!$A:$M,7),"")</f>
        <v>EM2</v>
      </c>
      <c r="S442">
        <f>IF(O442&gt;0,VLOOKUP($O442,Dep!$A:$M,9),"")</f>
        <v>24</v>
      </c>
      <c r="T442" t="str">
        <f>IF(O442&gt;0,VLOOKUP($O442,Dep!$A:$M,10),"")</f>
        <v>INT</v>
      </c>
      <c r="U442" t="str">
        <f>IF(O442&gt;0,VLOOKUP($O442,Dep!$A:$M,12),"")</f>
        <v>UA</v>
      </c>
      <c r="V442" t="str">
        <f t="shared" si="81"/>
        <v/>
      </c>
      <c r="W442" t="str">
        <f t="shared" si="82"/>
        <v/>
      </c>
      <c r="X442" t="str">
        <f t="shared" si="83"/>
        <v>X</v>
      </c>
      <c r="Y442">
        <f t="shared" si="78"/>
        <v>0</v>
      </c>
      <c r="Z442" t="str">
        <f t="shared" si="84"/>
        <v/>
      </c>
      <c r="AA442" s="20">
        <f t="shared" si="79"/>
        <v>6.0416666666666619E-2</v>
      </c>
      <c r="AB442">
        <f t="shared" si="85"/>
        <v>441</v>
      </c>
      <c r="AC442" s="20" t="str">
        <f t="shared" si="86"/>
        <v>06:43</v>
      </c>
      <c r="AD442" s="20" t="str">
        <f t="shared" si="80"/>
        <v>08:10</v>
      </c>
      <c r="AE442" t="str">
        <f>VLOOKUP(G442,ACtypes!A:C,3,FALSE)</f>
        <v>B</v>
      </c>
      <c r="AF442" t="str">
        <f t="shared" si="87"/>
        <v/>
      </c>
      <c r="AG442">
        <f t="shared" si="88"/>
        <v>1</v>
      </c>
      <c r="AH442">
        <f t="shared" si="89"/>
        <v>24</v>
      </c>
    </row>
    <row r="443" spans="1:34" x14ac:dyDescent="0.3">
      <c r="A443" s="41">
        <f t="shared" si="90"/>
        <v>442</v>
      </c>
      <c r="B443" s="27">
        <v>292</v>
      </c>
      <c r="C443" s="28" t="s">
        <v>365</v>
      </c>
      <c r="D443" s="28" t="s">
        <v>13</v>
      </c>
      <c r="E443" s="28" t="s">
        <v>366</v>
      </c>
      <c r="F443" s="28" t="s">
        <v>15</v>
      </c>
      <c r="G443" s="28" t="s">
        <v>197</v>
      </c>
      <c r="H443" s="27">
        <v>0</v>
      </c>
      <c r="I443" s="27">
        <v>24</v>
      </c>
      <c r="J443" s="28" t="s">
        <v>17</v>
      </c>
      <c r="K443" s="27">
        <v>25</v>
      </c>
      <c r="L443" s="28" t="s">
        <v>41</v>
      </c>
      <c r="M443" s="27">
        <v>0</v>
      </c>
      <c r="O443" s="23">
        <v>444</v>
      </c>
      <c r="P443" t="str">
        <f>IF(O443&gt;0,VLOOKUP($O443,Dep!$A:$M,3),"")</f>
        <v>09:10</v>
      </c>
      <c r="Q443" t="str">
        <f>IF(O443&gt;0,VLOOKUP($O443,Dep!$A:$M,6),"")</f>
        <v>GEG</v>
      </c>
      <c r="R443" t="str">
        <f>IF(O443&gt;0,VLOOKUP($O443,Dep!$A:$M,7),"")</f>
        <v>EM2</v>
      </c>
      <c r="S443">
        <f>IF(O443&gt;0,VLOOKUP($O443,Dep!$A:$M,9),"")</f>
        <v>24</v>
      </c>
      <c r="T443" t="str">
        <f>IF(O443&gt;0,VLOOKUP($O443,Dep!$A:$M,10),"")</f>
        <v>NAT</v>
      </c>
      <c r="U443" t="str">
        <f>IF(O443&gt;0,VLOOKUP($O443,Dep!$A:$M,12),"")</f>
        <v>UA</v>
      </c>
      <c r="V443" t="str">
        <f t="shared" si="81"/>
        <v/>
      </c>
      <c r="W443" t="str">
        <f t="shared" si="82"/>
        <v/>
      </c>
      <c r="X443" t="str">
        <f t="shared" si="83"/>
        <v>X</v>
      </c>
      <c r="Y443">
        <f t="shared" si="78"/>
        <v>0</v>
      </c>
      <c r="Z443" t="str">
        <f t="shared" si="84"/>
        <v/>
      </c>
      <c r="AA443" s="20">
        <f t="shared" si="79"/>
        <v>7.0138888888888862E-2</v>
      </c>
      <c r="AB443">
        <f t="shared" si="85"/>
        <v>442</v>
      </c>
      <c r="AC443" s="20" t="str">
        <f t="shared" si="86"/>
        <v>07:29</v>
      </c>
      <c r="AD443" s="20" t="str">
        <f t="shared" si="80"/>
        <v>09:10</v>
      </c>
      <c r="AE443" t="str">
        <f>VLOOKUP(G443,ACtypes!A:C,3,FALSE)</f>
        <v>B</v>
      </c>
      <c r="AF443" t="str">
        <f t="shared" si="87"/>
        <v/>
      </c>
      <c r="AG443" t="str">
        <f t="shared" si="88"/>
        <v/>
      </c>
      <c r="AH443">
        <f t="shared" si="89"/>
        <v>24</v>
      </c>
    </row>
    <row r="444" spans="1:34" x14ac:dyDescent="0.3">
      <c r="A444" s="41">
        <f t="shared" si="90"/>
        <v>443</v>
      </c>
      <c r="B444" s="27">
        <v>293</v>
      </c>
      <c r="C444" s="28" t="s">
        <v>367</v>
      </c>
      <c r="D444" s="28" t="s">
        <v>13</v>
      </c>
      <c r="E444" s="28" t="s">
        <v>366</v>
      </c>
      <c r="F444" s="28" t="s">
        <v>15</v>
      </c>
      <c r="G444" s="28" t="s">
        <v>197</v>
      </c>
      <c r="H444" s="27">
        <v>0</v>
      </c>
      <c r="I444" s="27">
        <v>24</v>
      </c>
      <c r="J444" s="28" t="s">
        <v>17</v>
      </c>
      <c r="K444" s="27">
        <v>25</v>
      </c>
      <c r="L444" s="28" t="s">
        <v>41</v>
      </c>
      <c r="M444" s="27">
        <v>0</v>
      </c>
      <c r="O444" s="23">
        <v>445</v>
      </c>
      <c r="P444" t="str">
        <f>IF(O444&gt;0,VLOOKUP($O444,Dep!$A:$M,3),"")</f>
        <v>09:45</v>
      </c>
      <c r="Q444" t="str">
        <f>IF(O444&gt;0,VLOOKUP($O444,Dep!$A:$M,6),"")</f>
        <v>PDX</v>
      </c>
      <c r="R444" t="str">
        <f>IF(O444&gt;0,VLOOKUP($O444,Dep!$A:$M,7),"")</f>
        <v>EM2</v>
      </c>
      <c r="S444">
        <f>IF(O444&gt;0,VLOOKUP($O444,Dep!$A:$M,9),"")</f>
        <v>24</v>
      </c>
      <c r="T444" t="str">
        <f>IF(O444&gt;0,VLOOKUP($O444,Dep!$A:$M,10),"")</f>
        <v>NAT</v>
      </c>
      <c r="U444" t="str">
        <f>IF(O444&gt;0,VLOOKUP($O444,Dep!$A:$M,12),"")</f>
        <v>UA</v>
      </c>
      <c r="V444" t="str">
        <f t="shared" si="81"/>
        <v/>
      </c>
      <c r="W444" t="str">
        <f t="shared" si="82"/>
        <v/>
      </c>
      <c r="X444" t="str">
        <f t="shared" si="83"/>
        <v/>
      </c>
      <c r="Y444">
        <f t="shared" si="78"/>
        <v>0</v>
      </c>
      <c r="Z444" t="str">
        <f t="shared" si="84"/>
        <v/>
      </c>
      <c r="AA444" s="20">
        <f t="shared" si="79"/>
        <v>4.9305555555555547E-2</v>
      </c>
      <c r="AB444">
        <f t="shared" si="85"/>
        <v>443</v>
      </c>
      <c r="AC444" s="20" t="str">
        <f t="shared" si="86"/>
        <v>08:34</v>
      </c>
      <c r="AD444" s="20" t="str">
        <f t="shared" si="80"/>
        <v>09:45</v>
      </c>
      <c r="AE444" t="str">
        <f>VLOOKUP(G444,ACtypes!A:C,3,FALSE)</f>
        <v>B</v>
      </c>
      <c r="AF444" t="str">
        <f t="shared" si="87"/>
        <v/>
      </c>
      <c r="AG444" t="str">
        <f t="shared" si="88"/>
        <v/>
      </c>
      <c r="AH444">
        <f t="shared" si="89"/>
        <v>24</v>
      </c>
    </row>
    <row r="445" spans="1:34" x14ac:dyDescent="0.3">
      <c r="A445" s="41">
        <f t="shared" si="90"/>
        <v>444</v>
      </c>
      <c r="B445" s="27">
        <v>982</v>
      </c>
      <c r="C445" s="28" t="s">
        <v>481</v>
      </c>
      <c r="D445" s="28" t="s">
        <v>13</v>
      </c>
      <c r="E445" s="28" t="s">
        <v>474</v>
      </c>
      <c r="F445" s="28" t="s">
        <v>15</v>
      </c>
      <c r="G445" s="28" t="s">
        <v>197</v>
      </c>
      <c r="H445" s="27">
        <v>0</v>
      </c>
      <c r="I445" s="27">
        <v>24</v>
      </c>
      <c r="J445" s="28" t="s">
        <v>28</v>
      </c>
      <c r="K445" s="27">
        <v>25</v>
      </c>
      <c r="L445" s="28" t="s">
        <v>41</v>
      </c>
      <c r="M445" s="27">
        <v>0</v>
      </c>
      <c r="O445" s="23">
        <v>446</v>
      </c>
      <c r="P445" t="str">
        <f>IF(O445&gt;0,VLOOKUP($O445,Dep!$A:$M,3),"")</f>
        <v>11:15</v>
      </c>
      <c r="Q445" t="str">
        <f>IF(O445&gt;0,VLOOKUP($O445,Dep!$A:$M,6),"")</f>
        <v>PDX</v>
      </c>
      <c r="R445" t="str">
        <f>IF(O445&gt;0,VLOOKUP($O445,Dep!$A:$M,7),"")</f>
        <v>EM2</v>
      </c>
      <c r="S445">
        <f>IF(O445&gt;0,VLOOKUP($O445,Dep!$A:$M,9),"")</f>
        <v>24</v>
      </c>
      <c r="T445" t="str">
        <f>IF(O445&gt;0,VLOOKUP($O445,Dep!$A:$M,10),"")</f>
        <v>NAT</v>
      </c>
      <c r="U445" t="str">
        <f>IF(O445&gt;0,VLOOKUP($O445,Dep!$A:$M,12),"")</f>
        <v>UA</v>
      </c>
      <c r="V445" t="str">
        <f t="shared" si="81"/>
        <v/>
      </c>
      <c r="W445" t="str">
        <f t="shared" si="82"/>
        <v/>
      </c>
      <c r="X445" t="str">
        <f t="shared" si="83"/>
        <v>X</v>
      </c>
      <c r="Y445">
        <f t="shared" si="78"/>
        <v>0</v>
      </c>
      <c r="Z445" t="str">
        <f t="shared" si="84"/>
        <v/>
      </c>
      <c r="AA445" s="20">
        <f t="shared" si="79"/>
        <v>4.4444444444444453E-2</v>
      </c>
      <c r="AB445">
        <f t="shared" si="85"/>
        <v>444</v>
      </c>
      <c r="AC445" s="20" t="str">
        <f t="shared" si="86"/>
        <v>10:11</v>
      </c>
      <c r="AD445" s="20" t="str">
        <f t="shared" si="80"/>
        <v>11:15</v>
      </c>
      <c r="AE445" t="str">
        <f>VLOOKUP(G445,ACtypes!A:C,3,FALSE)</f>
        <v>B</v>
      </c>
      <c r="AF445">
        <f t="shared" si="87"/>
        <v>1</v>
      </c>
      <c r="AG445" t="str">
        <f t="shared" si="88"/>
        <v/>
      </c>
      <c r="AH445">
        <f t="shared" si="89"/>
        <v>24</v>
      </c>
    </row>
    <row r="446" spans="1:34" x14ac:dyDescent="0.3">
      <c r="A446" s="41">
        <f t="shared" si="90"/>
        <v>445</v>
      </c>
      <c r="B446" s="27">
        <v>131</v>
      </c>
      <c r="C446" s="28" t="s">
        <v>200</v>
      </c>
      <c r="D446" s="28" t="s">
        <v>13</v>
      </c>
      <c r="E446" s="28" t="s">
        <v>196</v>
      </c>
      <c r="F446" s="28" t="s">
        <v>15</v>
      </c>
      <c r="G446" s="28" t="s">
        <v>197</v>
      </c>
      <c r="H446" s="27">
        <v>0</v>
      </c>
      <c r="I446" s="27">
        <v>24</v>
      </c>
      <c r="J446" s="28" t="s">
        <v>17</v>
      </c>
      <c r="K446" s="27">
        <v>25</v>
      </c>
      <c r="L446" s="28" t="s">
        <v>41</v>
      </c>
      <c r="M446" s="27">
        <v>0</v>
      </c>
      <c r="O446" s="23">
        <v>447</v>
      </c>
      <c r="P446" t="str">
        <f>IF(O446&gt;0,VLOOKUP($O446,Dep!$A:$M,3),"")</f>
        <v>11:59</v>
      </c>
      <c r="Q446" t="str">
        <f>IF(O446&gt;0,VLOOKUP($O446,Dep!$A:$M,6),"")</f>
        <v>YVR</v>
      </c>
      <c r="R446" t="str">
        <f>IF(O446&gt;0,VLOOKUP($O446,Dep!$A:$M,7),"")</f>
        <v>EM2</v>
      </c>
      <c r="S446">
        <f>IF(O446&gt;0,VLOOKUP($O446,Dep!$A:$M,9),"")</f>
        <v>24</v>
      </c>
      <c r="T446" t="str">
        <f>IF(O446&gt;0,VLOOKUP($O446,Dep!$A:$M,10),"")</f>
        <v>INT</v>
      </c>
      <c r="U446" t="str">
        <f>IF(O446&gt;0,VLOOKUP($O446,Dep!$A:$M,12),"")</f>
        <v>UA</v>
      </c>
      <c r="V446" t="str">
        <f t="shared" si="81"/>
        <v/>
      </c>
      <c r="W446" t="str">
        <f t="shared" si="82"/>
        <v/>
      </c>
      <c r="X446" t="str">
        <f t="shared" si="83"/>
        <v>X</v>
      </c>
      <c r="Y446">
        <f t="shared" si="78"/>
        <v>0</v>
      </c>
      <c r="Z446" t="str">
        <f t="shared" si="84"/>
        <v/>
      </c>
      <c r="AA446" s="20">
        <f t="shared" si="79"/>
        <v>1.5972222222222165E-2</v>
      </c>
      <c r="AB446">
        <f t="shared" si="85"/>
        <v>445</v>
      </c>
      <c r="AC446" s="20" t="str">
        <f t="shared" si="86"/>
        <v>11:36</v>
      </c>
      <c r="AD446" s="20" t="str">
        <f t="shared" si="80"/>
        <v>11:59</v>
      </c>
      <c r="AE446" t="str">
        <f>VLOOKUP(G446,ACtypes!A:C,3,FALSE)</f>
        <v>B</v>
      </c>
      <c r="AF446" t="str">
        <f t="shared" si="87"/>
        <v/>
      </c>
      <c r="AG446">
        <f t="shared" si="88"/>
        <v>1</v>
      </c>
      <c r="AH446">
        <f t="shared" si="89"/>
        <v>24</v>
      </c>
    </row>
    <row r="447" spans="1:34" x14ac:dyDescent="0.3">
      <c r="A447" s="41">
        <f t="shared" si="90"/>
        <v>446</v>
      </c>
      <c r="B447" s="27">
        <v>296</v>
      </c>
      <c r="C447" s="28" t="s">
        <v>369</v>
      </c>
      <c r="D447" s="28" t="s">
        <v>13</v>
      </c>
      <c r="E447" s="28" t="s">
        <v>366</v>
      </c>
      <c r="F447" s="28" t="s">
        <v>15</v>
      </c>
      <c r="G447" s="28" t="s">
        <v>197</v>
      </c>
      <c r="H447" s="27">
        <v>0</v>
      </c>
      <c r="I447" s="27">
        <v>24</v>
      </c>
      <c r="J447" s="28" t="s">
        <v>17</v>
      </c>
      <c r="K447" s="27">
        <v>25</v>
      </c>
      <c r="L447" s="28" t="s">
        <v>41</v>
      </c>
      <c r="M447" s="27">
        <v>0</v>
      </c>
      <c r="O447" s="23">
        <v>448</v>
      </c>
      <c r="P447" t="str">
        <f>IF(O447&gt;0,VLOOKUP($O447,Dep!$A:$M,3),"")</f>
        <v>12:24</v>
      </c>
      <c r="Q447" t="str">
        <f>IF(O447&gt;0,VLOOKUP($O447,Dep!$A:$M,6),"")</f>
        <v>GEG</v>
      </c>
      <c r="R447" t="str">
        <f>IF(O447&gt;0,VLOOKUP($O447,Dep!$A:$M,7),"")</f>
        <v>EM2</v>
      </c>
      <c r="S447">
        <f>IF(O447&gt;0,VLOOKUP($O447,Dep!$A:$M,9),"")</f>
        <v>24</v>
      </c>
      <c r="T447" t="str">
        <f>IF(O447&gt;0,VLOOKUP($O447,Dep!$A:$M,10),"")</f>
        <v>NAT</v>
      </c>
      <c r="U447" t="str">
        <f>IF(O447&gt;0,VLOOKUP($O447,Dep!$A:$M,12),"")</f>
        <v>UA</v>
      </c>
      <c r="V447" t="str">
        <f t="shared" si="81"/>
        <v/>
      </c>
      <c r="W447" t="str">
        <f t="shared" si="82"/>
        <v/>
      </c>
      <c r="X447" t="str">
        <f t="shared" si="83"/>
        <v>X</v>
      </c>
      <c r="Y447">
        <f t="shared" si="78"/>
        <v>0</v>
      </c>
      <c r="Z447" t="str">
        <f t="shared" si="84"/>
        <v/>
      </c>
      <c r="AA447" s="20">
        <f t="shared" si="79"/>
        <v>3.1250000000000056E-2</v>
      </c>
      <c r="AB447">
        <f t="shared" si="85"/>
        <v>446</v>
      </c>
      <c r="AC447" s="20" t="str">
        <f t="shared" si="86"/>
        <v>11:39</v>
      </c>
      <c r="AD447" s="20" t="str">
        <f t="shared" si="80"/>
        <v>12:24</v>
      </c>
      <c r="AE447" t="str">
        <f>VLOOKUP(G447,ACtypes!A:C,3,FALSE)</f>
        <v>B</v>
      </c>
      <c r="AF447" t="str">
        <f t="shared" si="87"/>
        <v/>
      </c>
      <c r="AG447" t="str">
        <f t="shared" si="88"/>
        <v/>
      </c>
      <c r="AH447">
        <f t="shared" si="89"/>
        <v>24</v>
      </c>
    </row>
    <row r="448" spans="1:34" x14ac:dyDescent="0.3">
      <c r="A448" s="41">
        <f t="shared" si="90"/>
        <v>447</v>
      </c>
      <c r="B448" s="27">
        <v>294</v>
      </c>
      <c r="C448" s="28" t="s">
        <v>324</v>
      </c>
      <c r="D448" s="28" t="s">
        <v>13</v>
      </c>
      <c r="E448" s="28" t="s">
        <v>366</v>
      </c>
      <c r="F448" s="28" t="s">
        <v>15</v>
      </c>
      <c r="G448" s="28" t="s">
        <v>197</v>
      </c>
      <c r="H448" s="27">
        <v>0</v>
      </c>
      <c r="I448" s="27">
        <v>24</v>
      </c>
      <c r="J448" s="28" t="s">
        <v>17</v>
      </c>
      <c r="K448" s="27">
        <v>25</v>
      </c>
      <c r="L448" s="28" t="s">
        <v>41</v>
      </c>
      <c r="M448" s="27">
        <v>0</v>
      </c>
      <c r="O448" s="23">
        <v>449</v>
      </c>
      <c r="P448" t="str">
        <f>IF(O448&gt;0,VLOOKUP($O448,Dep!$A:$M,3),"")</f>
        <v>13:50</v>
      </c>
      <c r="Q448" t="str">
        <f>IF(O448&gt;0,VLOOKUP($O448,Dep!$A:$M,6),"")</f>
        <v>PSC</v>
      </c>
      <c r="R448" t="str">
        <f>IF(O448&gt;0,VLOOKUP($O448,Dep!$A:$M,7),"")</f>
        <v>EM2</v>
      </c>
      <c r="S448">
        <f>IF(O448&gt;0,VLOOKUP($O448,Dep!$A:$M,9),"")</f>
        <v>24</v>
      </c>
      <c r="T448" t="str">
        <f>IF(O448&gt;0,VLOOKUP($O448,Dep!$A:$M,10),"")</f>
        <v>NAT</v>
      </c>
      <c r="U448" t="str">
        <f>IF(O448&gt;0,VLOOKUP($O448,Dep!$A:$M,12),"")</f>
        <v>UA</v>
      </c>
      <c r="V448" t="str">
        <f t="shared" si="81"/>
        <v/>
      </c>
      <c r="W448" t="str">
        <f t="shared" si="82"/>
        <v/>
      </c>
      <c r="X448" t="str">
        <f t="shared" si="83"/>
        <v>X</v>
      </c>
      <c r="Y448">
        <f t="shared" si="78"/>
        <v>0</v>
      </c>
      <c r="Z448" t="str">
        <f t="shared" si="84"/>
        <v/>
      </c>
      <c r="AA448" s="20">
        <f t="shared" si="79"/>
        <v>1.8055555555555602E-2</v>
      </c>
      <c r="AB448">
        <f t="shared" si="85"/>
        <v>447</v>
      </c>
      <c r="AC448" s="20" t="str">
        <f t="shared" si="86"/>
        <v>13:24</v>
      </c>
      <c r="AD448" s="20" t="str">
        <f t="shared" si="80"/>
        <v>13:50</v>
      </c>
      <c r="AE448" t="str">
        <f>VLOOKUP(G448,ACtypes!A:C,3,FALSE)</f>
        <v>B</v>
      </c>
      <c r="AF448" t="str">
        <f t="shared" si="87"/>
        <v/>
      </c>
      <c r="AG448" t="str">
        <f t="shared" si="88"/>
        <v/>
      </c>
      <c r="AH448">
        <f t="shared" si="89"/>
        <v>24</v>
      </c>
    </row>
    <row r="449" spans="1:34" x14ac:dyDescent="0.3">
      <c r="A449" s="41">
        <f t="shared" si="90"/>
        <v>448</v>
      </c>
      <c r="B449" s="27">
        <v>981</v>
      </c>
      <c r="C449" s="28" t="s">
        <v>142</v>
      </c>
      <c r="D449" s="28" t="s">
        <v>13</v>
      </c>
      <c r="E449" s="28" t="s">
        <v>474</v>
      </c>
      <c r="F449" s="28" t="s">
        <v>15</v>
      </c>
      <c r="G449" s="28" t="s">
        <v>197</v>
      </c>
      <c r="H449" s="27">
        <v>0</v>
      </c>
      <c r="I449" s="27">
        <v>24</v>
      </c>
      <c r="J449" s="28" t="s">
        <v>28</v>
      </c>
      <c r="K449" s="27">
        <v>25</v>
      </c>
      <c r="L449" s="28" t="s">
        <v>41</v>
      </c>
      <c r="M449" s="27">
        <v>0</v>
      </c>
      <c r="O449" s="23">
        <v>450</v>
      </c>
      <c r="P449" t="str">
        <f>IF(O449&gt;0,VLOOKUP($O449,Dep!$A:$M,3),"")</f>
        <v>14:20</v>
      </c>
      <c r="Q449" t="str">
        <f>IF(O449&gt;0,VLOOKUP($O449,Dep!$A:$M,6),"")</f>
        <v>PDX</v>
      </c>
      <c r="R449" t="str">
        <f>IF(O449&gt;0,VLOOKUP($O449,Dep!$A:$M,7),"")</f>
        <v>EM2</v>
      </c>
      <c r="S449">
        <f>IF(O449&gt;0,VLOOKUP($O449,Dep!$A:$M,9),"")</f>
        <v>24</v>
      </c>
      <c r="T449" t="str">
        <f>IF(O449&gt;0,VLOOKUP($O449,Dep!$A:$M,10),"")</f>
        <v>NAT</v>
      </c>
      <c r="U449" t="str">
        <f>IF(O449&gt;0,VLOOKUP($O449,Dep!$A:$M,12),"")</f>
        <v>UA</v>
      </c>
      <c r="V449" t="str">
        <f t="shared" si="81"/>
        <v/>
      </c>
      <c r="W449" t="str">
        <f t="shared" si="82"/>
        <v/>
      </c>
      <c r="X449" t="str">
        <f t="shared" si="83"/>
        <v>X</v>
      </c>
      <c r="Y449">
        <f t="shared" si="78"/>
        <v>0</v>
      </c>
      <c r="Z449" t="str">
        <f t="shared" si="84"/>
        <v/>
      </c>
      <c r="AA449" s="20">
        <f t="shared" si="79"/>
        <v>1.388888888888884E-2</v>
      </c>
      <c r="AB449">
        <f t="shared" si="85"/>
        <v>448</v>
      </c>
      <c r="AC449" s="20" t="str">
        <f t="shared" si="86"/>
        <v>14:00</v>
      </c>
      <c r="AD449" s="20" t="str">
        <f t="shared" si="80"/>
        <v>14:20</v>
      </c>
      <c r="AE449" t="str">
        <f>VLOOKUP(G449,ACtypes!A:C,3,FALSE)</f>
        <v>B</v>
      </c>
      <c r="AF449">
        <f t="shared" si="87"/>
        <v>1</v>
      </c>
      <c r="AG449" t="str">
        <f t="shared" si="88"/>
        <v/>
      </c>
      <c r="AH449">
        <f t="shared" si="89"/>
        <v>24</v>
      </c>
    </row>
    <row r="450" spans="1:34" x14ac:dyDescent="0.3">
      <c r="A450" s="41">
        <f t="shared" si="90"/>
        <v>449</v>
      </c>
      <c r="B450" s="27">
        <v>129</v>
      </c>
      <c r="C450" s="28" t="s">
        <v>198</v>
      </c>
      <c r="D450" s="28" t="s">
        <v>13</v>
      </c>
      <c r="E450" s="28" t="s">
        <v>196</v>
      </c>
      <c r="F450" s="28" t="s">
        <v>15</v>
      </c>
      <c r="G450" s="28" t="s">
        <v>197</v>
      </c>
      <c r="H450" s="27">
        <v>0</v>
      </c>
      <c r="I450" s="27">
        <v>24</v>
      </c>
      <c r="J450" s="28" t="s">
        <v>17</v>
      </c>
      <c r="K450" s="27">
        <v>25</v>
      </c>
      <c r="L450" s="28" t="s">
        <v>41</v>
      </c>
      <c r="M450" s="27">
        <v>0</v>
      </c>
      <c r="O450" s="23">
        <v>451</v>
      </c>
      <c r="P450" t="str">
        <f>IF(O450&gt;0,VLOOKUP($O450,Dep!$A:$M,3),"")</f>
        <v>15:50</v>
      </c>
      <c r="Q450" t="str">
        <f>IF(O450&gt;0,VLOOKUP($O450,Dep!$A:$M,6),"")</f>
        <v>GEG</v>
      </c>
      <c r="R450" t="str">
        <f>IF(O450&gt;0,VLOOKUP($O450,Dep!$A:$M,7),"")</f>
        <v>EM2</v>
      </c>
      <c r="S450">
        <f>IF(O450&gt;0,VLOOKUP($O450,Dep!$A:$M,9),"")</f>
        <v>24</v>
      </c>
      <c r="T450" t="str">
        <f>IF(O450&gt;0,VLOOKUP($O450,Dep!$A:$M,10),"")</f>
        <v>NAT</v>
      </c>
      <c r="U450" t="str">
        <f>IF(O450&gt;0,VLOOKUP($O450,Dep!$A:$M,12),"")</f>
        <v>UA</v>
      </c>
      <c r="V450" t="str">
        <f t="shared" si="81"/>
        <v/>
      </c>
      <c r="W450" t="str">
        <f t="shared" si="82"/>
        <v/>
      </c>
      <c r="X450" t="str">
        <f t="shared" si="83"/>
        <v/>
      </c>
      <c r="Y450">
        <f t="shared" ref="Y450:Y500" si="91">IF(O450&gt;0,S450-I450,"")</f>
        <v>0</v>
      </c>
      <c r="Z450" t="str">
        <f t="shared" si="84"/>
        <v/>
      </c>
      <c r="AA450" s="20">
        <f t="shared" ref="AA450:AA500" si="92">IF(O450&gt;0,IF(P450-C450&gt;0,P450-C450,P450-C450+1),"")</f>
        <v>3.6111111111111094E-2</v>
      </c>
      <c r="AB450">
        <f t="shared" si="85"/>
        <v>449</v>
      </c>
      <c r="AC450" s="20" t="str">
        <f t="shared" si="86"/>
        <v>14:58</v>
      </c>
      <c r="AD450" s="20" t="str">
        <f t="shared" ref="AD450:AD500" si="93">IF(O450&gt;0,P450,AC450+1/24)</f>
        <v>15:50</v>
      </c>
      <c r="AE450" t="str">
        <f>VLOOKUP(G450,ACtypes!A:C,3,FALSE)</f>
        <v>B</v>
      </c>
      <c r="AF450" t="str">
        <f t="shared" si="87"/>
        <v/>
      </c>
      <c r="AG450" t="str">
        <f t="shared" si="88"/>
        <v/>
      </c>
      <c r="AH450">
        <f t="shared" si="89"/>
        <v>24</v>
      </c>
    </row>
    <row r="451" spans="1:34" x14ac:dyDescent="0.3">
      <c r="A451" s="41">
        <f t="shared" si="90"/>
        <v>450</v>
      </c>
      <c r="B451" s="27">
        <v>351</v>
      </c>
      <c r="C451" s="28" t="s">
        <v>417</v>
      </c>
      <c r="D451" s="28" t="s">
        <v>13</v>
      </c>
      <c r="E451" s="28" t="s">
        <v>418</v>
      </c>
      <c r="F451" s="28" t="s">
        <v>15</v>
      </c>
      <c r="G451" s="28" t="s">
        <v>197</v>
      </c>
      <c r="H451" s="27">
        <v>0</v>
      </c>
      <c r="I451" s="27">
        <v>24</v>
      </c>
      <c r="J451" s="28" t="s">
        <v>17</v>
      </c>
      <c r="K451" s="27">
        <v>25</v>
      </c>
      <c r="L451" s="28" t="s">
        <v>41</v>
      </c>
      <c r="M451" s="27">
        <v>0</v>
      </c>
      <c r="O451" s="23">
        <v>452</v>
      </c>
      <c r="P451" t="str">
        <f>IF(O451&gt;0,VLOOKUP($O451,Dep!$A:$M,3),"")</f>
        <v>16:14</v>
      </c>
      <c r="Q451" t="str">
        <f>IF(O451&gt;0,VLOOKUP($O451,Dep!$A:$M,6),"")</f>
        <v>YVR</v>
      </c>
      <c r="R451" t="str">
        <f>IF(O451&gt;0,VLOOKUP($O451,Dep!$A:$M,7),"")</f>
        <v>EM2</v>
      </c>
      <c r="S451">
        <f>IF(O451&gt;0,VLOOKUP($O451,Dep!$A:$M,9),"")</f>
        <v>24</v>
      </c>
      <c r="T451" t="str">
        <f>IF(O451&gt;0,VLOOKUP($O451,Dep!$A:$M,10),"")</f>
        <v>INT</v>
      </c>
      <c r="U451" t="str">
        <f>IF(O451&gt;0,VLOOKUP($O451,Dep!$A:$M,12),"")</f>
        <v>UA</v>
      </c>
      <c r="V451" t="str">
        <f t="shared" ref="V451:V500" si="94">IF(O451&gt;0,IF(R451=G451,"","X"),"")</f>
        <v/>
      </c>
      <c r="W451" t="str">
        <f t="shared" ref="W451:W500" si="95">IF(O451&gt;0,IF(U451=L451,"","X"),"")</f>
        <v/>
      </c>
      <c r="X451" t="str">
        <f t="shared" ref="X451:X500" si="96">IF(O451&gt;0,IF(Q451=E451,"","X"),"")</f>
        <v>X</v>
      </c>
      <c r="Y451">
        <f t="shared" si="91"/>
        <v>0</v>
      </c>
      <c r="Z451" t="str">
        <f t="shared" ref="Z451:Z500" si="97">IF(O451&gt;0,IF(P451&lt;C451,1,""),"")</f>
        <v/>
      </c>
      <c r="AA451" s="20">
        <f t="shared" si="92"/>
        <v>1.3888888888888951E-2</v>
      </c>
      <c r="AB451">
        <f t="shared" ref="AB451:AB500" si="98">A451</f>
        <v>450</v>
      </c>
      <c r="AC451" s="20" t="str">
        <f t="shared" ref="AC451:AC500" si="99">C451</f>
        <v>15:54</v>
      </c>
      <c r="AD451" s="20" t="str">
        <f t="shared" si="93"/>
        <v>16:14</v>
      </c>
      <c r="AE451" t="str">
        <f>VLOOKUP(G451,ACtypes!A:C,3,FALSE)</f>
        <v>B</v>
      </c>
      <c r="AF451" t="str">
        <f t="shared" ref="AF451:AF500" si="100">IF(J451="INT",1,"")</f>
        <v/>
      </c>
      <c r="AG451">
        <f t="shared" ref="AG451:AG500" si="101">IF(T451="INT",1,"")</f>
        <v>1</v>
      </c>
      <c r="AH451">
        <f t="shared" ref="AH451:AH500" si="102">I451</f>
        <v>24</v>
      </c>
    </row>
    <row r="452" spans="1:34" x14ac:dyDescent="0.3">
      <c r="A452" s="41">
        <f t="shared" ref="A452:A500" si="103">A451+1</f>
        <v>451</v>
      </c>
      <c r="B452" s="27">
        <v>297</v>
      </c>
      <c r="C452" s="28" t="s">
        <v>370</v>
      </c>
      <c r="D452" s="28" t="s">
        <v>13</v>
      </c>
      <c r="E452" s="28" t="s">
        <v>366</v>
      </c>
      <c r="F452" s="28" t="s">
        <v>15</v>
      </c>
      <c r="G452" s="28" t="s">
        <v>197</v>
      </c>
      <c r="H452" s="27">
        <v>0</v>
      </c>
      <c r="I452" s="27">
        <v>24</v>
      </c>
      <c r="J452" s="28" t="s">
        <v>17</v>
      </c>
      <c r="K452" s="27">
        <v>25</v>
      </c>
      <c r="L452" s="28" t="s">
        <v>41</v>
      </c>
      <c r="M452" s="27">
        <v>0</v>
      </c>
      <c r="O452" s="23">
        <v>453</v>
      </c>
      <c r="P452" t="str">
        <f>IF(O452&gt;0,VLOOKUP($O452,Dep!$A:$M,3),"")</f>
        <v>18:05</v>
      </c>
      <c r="Q452" t="str">
        <f>IF(O452&gt;0,VLOOKUP($O452,Dep!$A:$M,6),"")</f>
        <v>PDX</v>
      </c>
      <c r="R452" t="str">
        <f>IF(O452&gt;0,VLOOKUP($O452,Dep!$A:$M,7),"")</f>
        <v>EM2</v>
      </c>
      <c r="S452">
        <f>IF(O452&gt;0,VLOOKUP($O452,Dep!$A:$M,9),"")</f>
        <v>24</v>
      </c>
      <c r="T452" t="str">
        <f>IF(O452&gt;0,VLOOKUP($O452,Dep!$A:$M,10),"")</f>
        <v>NAT</v>
      </c>
      <c r="U452" t="str">
        <f>IF(O452&gt;0,VLOOKUP($O452,Dep!$A:$M,12),"")</f>
        <v>UA</v>
      </c>
      <c r="V452" t="str">
        <f t="shared" si="94"/>
        <v/>
      </c>
      <c r="W452" t="str">
        <f t="shared" si="95"/>
        <v/>
      </c>
      <c r="X452" t="str">
        <f t="shared" si="96"/>
        <v/>
      </c>
      <c r="Y452">
        <f t="shared" si="91"/>
        <v>0</v>
      </c>
      <c r="Z452" t="str">
        <f t="shared" si="97"/>
        <v/>
      </c>
      <c r="AA452" s="20">
        <f t="shared" si="92"/>
        <v>3.3333333333333215E-2</v>
      </c>
      <c r="AB452">
        <f t="shared" si="98"/>
        <v>451</v>
      </c>
      <c r="AC452" s="20" t="str">
        <f t="shared" si="99"/>
        <v>17:17</v>
      </c>
      <c r="AD452" s="20" t="str">
        <f t="shared" si="93"/>
        <v>18:05</v>
      </c>
      <c r="AE452" t="str">
        <f>VLOOKUP(G452,ACtypes!A:C,3,FALSE)</f>
        <v>B</v>
      </c>
      <c r="AF452" t="str">
        <f t="shared" si="100"/>
        <v/>
      </c>
      <c r="AG452" t="str">
        <f t="shared" si="101"/>
        <v/>
      </c>
      <c r="AH452">
        <f t="shared" si="102"/>
        <v>24</v>
      </c>
    </row>
    <row r="453" spans="1:34" x14ac:dyDescent="0.3">
      <c r="A453" s="41">
        <f t="shared" si="103"/>
        <v>452</v>
      </c>
      <c r="B453" s="27">
        <v>980</v>
      </c>
      <c r="C453" s="28" t="s">
        <v>19</v>
      </c>
      <c r="D453" s="28" t="s">
        <v>13</v>
      </c>
      <c r="E453" s="28" t="s">
        <v>474</v>
      </c>
      <c r="F453" s="28" t="s">
        <v>15</v>
      </c>
      <c r="G453" s="28" t="s">
        <v>197</v>
      </c>
      <c r="H453" s="27">
        <v>0</v>
      </c>
      <c r="I453" s="27">
        <v>24</v>
      </c>
      <c r="J453" s="28" t="s">
        <v>28</v>
      </c>
      <c r="K453" s="27">
        <v>25</v>
      </c>
      <c r="L453" s="28" t="s">
        <v>41</v>
      </c>
      <c r="M453" s="27">
        <v>0</v>
      </c>
      <c r="O453" s="23">
        <v>454</v>
      </c>
      <c r="P453" t="str">
        <f>IF(O453&gt;0,VLOOKUP($O453,Dep!$A:$M,3),"")</f>
        <v>18:50</v>
      </c>
      <c r="Q453" t="str">
        <f>IF(O453&gt;0,VLOOKUP($O453,Dep!$A:$M,6),"")</f>
        <v>GEG</v>
      </c>
      <c r="R453" t="str">
        <f>IF(O453&gt;0,VLOOKUP($O453,Dep!$A:$M,7),"")</f>
        <v>EM2</v>
      </c>
      <c r="S453">
        <f>IF(O453&gt;0,VLOOKUP($O453,Dep!$A:$M,9),"")</f>
        <v>24</v>
      </c>
      <c r="T453" t="str">
        <f>IF(O453&gt;0,VLOOKUP($O453,Dep!$A:$M,10),"")</f>
        <v>NAT</v>
      </c>
      <c r="U453" t="str">
        <f>IF(O453&gt;0,VLOOKUP($O453,Dep!$A:$M,12),"")</f>
        <v>UA</v>
      </c>
      <c r="V453" t="str">
        <f t="shared" si="94"/>
        <v/>
      </c>
      <c r="W453" t="str">
        <f t="shared" si="95"/>
        <v/>
      </c>
      <c r="X453" t="str">
        <f t="shared" si="96"/>
        <v>X</v>
      </c>
      <c r="Y453">
        <f t="shared" si="91"/>
        <v>0</v>
      </c>
      <c r="Z453" t="str">
        <f t="shared" si="97"/>
        <v/>
      </c>
      <c r="AA453" s="20">
        <f t="shared" si="92"/>
        <v>2.430555555555558E-2</v>
      </c>
      <c r="AB453">
        <f t="shared" si="98"/>
        <v>452</v>
      </c>
      <c r="AC453" s="20" t="str">
        <f t="shared" si="99"/>
        <v>18:15</v>
      </c>
      <c r="AD453" s="20" t="str">
        <f t="shared" si="93"/>
        <v>18:50</v>
      </c>
      <c r="AE453" t="str">
        <f>VLOOKUP(G453,ACtypes!A:C,3,FALSE)</f>
        <v>B</v>
      </c>
      <c r="AF453">
        <f t="shared" si="100"/>
        <v>1</v>
      </c>
      <c r="AG453" t="str">
        <f t="shared" si="101"/>
        <v/>
      </c>
      <c r="AH453">
        <f t="shared" si="102"/>
        <v>24</v>
      </c>
    </row>
    <row r="454" spans="1:34" x14ac:dyDescent="0.3">
      <c r="A454" s="41">
        <f t="shared" si="103"/>
        <v>453</v>
      </c>
      <c r="B454" s="27">
        <v>132</v>
      </c>
      <c r="C454" s="28" t="s">
        <v>201</v>
      </c>
      <c r="D454" s="28" t="s">
        <v>13</v>
      </c>
      <c r="E454" s="28" t="s">
        <v>196</v>
      </c>
      <c r="F454" s="28" t="s">
        <v>15</v>
      </c>
      <c r="G454" s="28" t="s">
        <v>197</v>
      </c>
      <c r="H454" s="27">
        <v>0</v>
      </c>
      <c r="I454" s="27">
        <v>24</v>
      </c>
      <c r="J454" s="28" t="s">
        <v>17</v>
      </c>
      <c r="K454" s="27">
        <v>25</v>
      </c>
      <c r="L454" s="28" t="s">
        <v>41</v>
      </c>
      <c r="M454" s="27">
        <v>0</v>
      </c>
      <c r="O454" s="23">
        <v>455</v>
      </c>
      <c r="P454" t="str">
        <f>IF(O454&gt;0,VLOOKUP($O454,Dep!$A:$M,3),"")</f>
        <v>20:00</v>
      </c>
      <c r="Q454" t="str">
        <f>IF(O454&gt;0,VLOOKUP($O454,Dep!$A:$M,6),"")</f>
        <v>PDX</v>
      </c>
      <c r="R454" t="str">
        <f>IF(O454&gt;0,VLOOKUP($O454,Dep!$A:$M,7),"")</f>
        <v>EM2</v>
      </c>
      <c r="S454">
        <f>IF(O454&gt;0,VLOOKUP($O454,Dep!$A:$M,9),"")</f>
        <v>24</v>
      </c>
      <c r="T454" t="str">
        <f>IF(O454&gt;0,VLOOKUP($O454,Dep!$A:$M,10),"")</f>
        <v>NAT</v>
      </c>
      <c r="U454" t="str">
        <f>IF(O454&gt;0,VLOOKUP($O454,Dep!$A:$M,12),"")</f>
        <v>UA</v>
      </c>
      <c r="V454" t="str">
        <f t="shared" si="94"/>
        <v/>
      </c>
      <c r="W454" t="str">
        <f t="shared" si="95"/>
        <v/>
      </c>
      <c r="X454" t="str">
        <f t="shared" si="96"/>
        <v>X</v>
      </c>
      <c r="Y454">
        <f t="shared" si="91"/>
        <v>0</v>
      </c>
      <c r="Z454" t="str">
        <f t="shared" si="97"/>
        <v/>
      </c>
      <c r="AA454" s="20">
        <f t="shared" si="92"/>
        <v>6.3888888888888995E-2</v>
      </c>
      <c r="AB454">
        <f t="shared" si="98"/>
        <v>453</v>
      </c>
      <c r="AC454" s="20" t="str">
        <f t="shared" si="99"/>
        <v>18:28</v>
      </c>
      <c r="AD454" s="20" t="str">
        <f t="shared" si="93"/>
        <v>20:00</v>
      </c>
      <c r="AE454" t="str">
        <f>VLOOKUP(G454,ACtypes!A:C,3,FALSE)</f>
        <v>B</v>
      </c>
      <c r="AF454" t="str">
        <f t="shared" si="100"/>
        <v/>
      </c>
      <c r="AG454" t="str">
        <f t="shared" si="101"/>
        <v/>
      </c>
      <c r="AH454">
        <f t="shared" si="102"/>
        <v>24</v>
      </c>
    </row>
    <row r="455" spans="1:34" x14ac:dyDescent="0.3">
      <c r="A455" s="41">
        <f t="shared" si="103"/>
        <v>454</v>
      </c>
      <c r="B455" s="27">
        <v>295</v>
      </c>
      <c r="C455" s="28" t="s">
        <v>368</v>
      </c>
      <c r="D455" s="28" t="s">
        <v>13</v>
      </c>
      <c r="E455" s="28" t="s">
        <v>366</v>
      </c>
      <c r="F455" s="28" t="s">
        <v>15</v>
      </c>
      <c r="G455" s="28" t="s">
        <v>197</v>
      </c>
      <c r="H455" s="27">
        <v>0</v>
      </c>
      <c r="I455" s="27">
        <v>24</v>
      </c>
      <c r="J455" s="28" t="s">
        <v>17</v>
      </c>
      <c r="K455" s="27">
        <v>25</v>
      </c>
      <c r="L455" s="28" t="s">
        <v>41</v>
      </c>
      <c r="M455" s="27">
        <v>0</v>
      </c>
      <c r="O455" s="23">
        <v>456</v>
      </c>
      <c r="P455" t="str">
        <f>IF(O455&gt;0,VLOOKUP($O455,Dep!$A:$M,3),"")</f>
        <v>21:25</v>
      </c>
      <c r="Q455" t="str">
        <f>IF(O455&gt;0,VLOOKUP($O455,Dep!$A:$M,6),"")</f>
        <v>GEG</v>
      </c>
      <c r="R455" t="str">
        <f>IF(O455&gt;0,VLOOKUP($O455,Dep!$A:$M,7),"")</f>
        <v>EM2</v>
      </c>
      <c r="S455">
        <f>IF(O455&gt;0,VLOOKUP($O455,Dep!$A:$M,9),"")</f>
        <v>24</v>
      </c>
      <c r="T455" t="str">
        <f>IF(O455&gt;0,VLOOKUP($O455,Dep!$A:$M,10),"")</f>
        <v>NAT</v>
      </c>
      <c r="U455" t="str">
        <f>IF(O455&gt;0,VLOOKUP($O455,Dep!$A:$M,12),"")</f>
        <v>UA</v>
      </c>
      <c r="V455" t="str">
        <f t="shared" si="94"/>
        <v/>
      </c>
      <c r="W455" t="str">
        <f t="shared" si="95"/>
        <v/>
      </c>
      <c r="X455" t="str">
        <f t="shared" si="96"/>
        <v>X</v>
      </c>
      <c r="Y455">
        <f t="shared" si="91"/>
        <v>0</v>
      </c>
      <c r="Z455" t="str">
        <f t="shared" si="97"/>
        <v/>
      </c>
      <c r="AA455" s="20">
        <f t="shared" si="92"/>
        <v>5.7638888888888906E-2</v>
      </c>
      <c r="AB455">
        <f t="shared" si="98"/>
        <v>454</v>
      </c>
      <c r="AC455" s="20" t="str">
        <f t="shared" si="99"/>
        <v>20:02</v>
      </c>
      <c r="AD455" s="20" t="str">
        <f t="shared" si="93"/>
        <v>21:25</v>
      </c>
      <c r="AE455" t="str">
        <f>VLOOKUP(G455,ACtypes!A:C,3,FALSE)</f>
        <v>B</v>
      </c>
      <c r="AF455" t="str">
        <f t="shared" si="100"/>
        <v/>
      </c>
      <c r="AG455" t="str">
        <f t="shared" si="101"/>
        <v/>
      </c>
      <c r="AH455">
        <f t="shared" si="102"/>
        <v>24</v>
      </c>
    </row>
    <row r="456" spans="1:34" x14ac:dyDescent="0.3">
      <c r="A456" s="41">
        <f t="shared" si="103"/>
        <v>455</v>
      </c>
      <c r="B456" s="27">
        <v>128</v>
      </c>
      <c r="C456" s="28" t="s">
        <v>195</v>
      </c>
      <c r="D456" s="28" t="s">
        <v>13</v>
      </c>
      <c r="E456" s="28" t="s">
        <v>196</v>
      </c>
      <c r="F456" s="28" t="s">
        <v>15</v>
      </c>
      <c r="G456" s="28" t="s">
        <v>197</v>
      </c>
      <c r="H456" s="27">
        <v>0</v>
      </c>
      <c r="I456" s="27">
        <v>24</v>
      </c>
      <c r="J456" s="28" t="s">
        <v>17</v>
      </c>
      <c r="K456" s="27">
        <v>25</v>
      </c>
      <c r="L456" s="28" t="s">
        <v>41</v>
      </c>
      <c r="M456" s="27">
        <v>0</v>
      </c>
      <c r="O456" s="23">
        <v>457</v>
      </c>
      <c r="P456" t="str">
        <f>IF(O456&gt;0,VLOOKUP($O456,Dep!$A:$M,3),"")</f>
        <v>21:40</v>
      </c>
      <c r="Q456" t="str">
        <f>IF(O456&gt;0,VLOOKUP($O456,Dep!$A:$M,6),"")</f>
        <v>PSC</v>
      </c>
      <c r="R456" t="str">
        <f>IF(O456&gt;0,VLOOKUP($O456,Dep!$A:$M,7),"")</f>
        <v>EM2</v>
      </c>
      <c r="S456">
        <f>IF(O456&gt;0,VLOOKUP($O456,Dep!$A:$M,9),"")</f>
        <v>24</v>
      </c>
      <c r="T456" t="str">
        <f>IF(O456&gt;0,VLOOKUP($O456,Dep!$A:$M,10),"")</f>
        <v>NAT</v>
      </c>
      <c r="U456" t="str">
        <f>IF(O456&gt;0,VLOOKUP($O456,Dep!$A:$M,12),"")</f>
        <v>UA</v>
      </c>
      <c r="V456" t="str">
        <f t="shared" si="94"/>
        <v/>
      </c>
      <c r="W456" t="str">
        <f t="shared" si="95"/>
        <v/>
      </c>
      <c r="X456" t="str">
        <f t="shared" si="96"/>
        <v>X</v>
      </c>
      <c r="Y456">
        <f t="shared" si="91"/>
        <v>0</v>
      </c>
      <c r="Z456" t="str">
        <f t="shared" si="97"/>
        <v/>
      </c>
      <c r="AA456" s="20">
        <f t="shared" si="92"/>
        <v>1.5277777777777724E-2</v>
      </c>
      <c r="AB456">
        <f t="shared" si="98"/>
        <v>455</v>
      </c>
      <c r="AC456" s="20" t="str">
        <f t="shared" si="99"/>
        <v>21:18</v>
      </c>
      <c r="AD456" s="20" t="str">
        <f t="shared" si="93"/>
        <v>21:40</v>
      </c>
      <c r="AE456" t="str">
        <f>VLOOKUP(G456,ACtypes!A:C,3,FALSE)</f>
        <v>B</v>
      </c>
      <c r="AF456" t="str">
        <f t="shared" si="100"/>
        <v/>
      </c>
      <c r="AG456" t="str">
        <f t="shared" si="101"/>
        <v/>
      </c>
      <c r="AH456">
        <f t="shared" si="102"/>
        <v>24</v>
      </c>
    </row>
    <row r="457" spans="1:34" x14ac:dyDescent="0.3">
      <c r="A457" s="41">
        <f t="shared" si="103"/>
        <v>456</v>
      </c>
      <c r="B457" s="27">
        <v>63</v>
      </c>
      <c r="C457" s="28" t="s">
        <v>113</v>
      </c>
      <c r="D457" s="28" t="s">
        <v>13</v>
      </c>
      <c r="E457" s="28" t="s">
        <v>110</v>
      </c>
      <c r="F457" s="28" t="s">
        <v>15</v>
      </c>
      <c r="G457" s="28" t="s">
        <v>111</v>
      </c>
      <c r="H457" s="27">
        <v>0</v>
      </c>
      <c r="I457" s="27">
        <v>135</v>
      </c>
      <c r="J457" s="28" t="s">
        <v>17</v>
      </c>
      <c r="K457" s="27">
        <v>25</v>
      </c>
      <c r="L457" s="28" t="s">
        <v>112</v>
      </c>
      <c r="M457" s="27">
        <v>0</v>
      </c>
      <c r="O457" s="23">
        <v>459</v>
      </c>
      <c r="P457" t="str">
        <f>IF(O457&gt;0,VLOOKUP($O457,Dep!$A:$M,3),"")</f>
        <v>11:15</v>
      </c>
      <c r="Q457" t="str">
        <f>IF(O457&gt;0,VLOOKUP($O457,Dep!$A:$M,6),"")</f>
        <v>PHL</v>
      </c>
      <c r="R457" t="str">
        <f>IF(O457&gt;0,VLOOKUP($O457,Dep!$A:$M,7),"")</f>
        <v>321</v>
      </c>
      <c r="S457">
        <f>IF(O457&gt;0,VLOOKUP($O457,Dep!$A:$M,9),"")</f>
        <v>135</v>
      </c>
      <c r="T457" t="str">
        <f>IF(O457&gt;0,VLOOKUP($O457,Dep!$A:$M,10),"")</f>
        <v>NAT</v>
      </c>
      <c r="U457" t="str">
        <f>IF(O457&gt;0,VLOOKUP($O457,Dep!$A:$M,12),"")</f>
        <v>US</v>
      </c>
      <c r="V457" t="str">
        <f t="shared" si="94"/>
        <v/>
      </c>
      <c r="W457" t="str">
        <f t="shared" si="95"/>
        <v/>
      </c>
      <c r="X457" t="str">
        <f t="shared" si="96"/>
        <v>X</v>
      </c>
      <c r="Y457">
        <f t="shared" si="91"/>
        <v>0</v>
      </c>
      <c r="Z457" t="str">
        <f t="shared" si="97"/>
        <v/>
      </c>
      <c r="AA457" s="20">
        <f t="shared" si="92"/>
        <v>5.2083333333333315E-2</v>
      </c>
      <c r="AB457">
        <f t="shared" si="98"/>
        <v>456</v>
      </c>
      <c r="AC457" s="20" t="str">
        <f t="shared" si="99"/>
        <v>10:00</v>
      </c>
      <c r="AD457" s="20" t="str">
        <f t="shared" si="93"/>
        <v>11:15</v>
      </c>
      <c r="AE457" t="str">
        <f>VLOOKUP(G457,ACtypes!A:C,3,FALSE)</f>
        <v>C</v>
      </c>
      <c r="AF457" t="str">
        <f t="shared" si="100"/>
        <v/>
      </c>
      <c r="AG457" t="str">
        <f t="shared" si="101"/>
        <v/>
      </c>
      <c r="AH457">
        <f t="shared" si="102"/>
        <v>135</v>
      </c>
    </row>
    <row r="458" spans="1:34" x14ac:dyDescent="0.3">
      <c r="A458" s="41">
        <f t="shared" si="103"/>
        <v>457</v>
      </c>
      <c r="B458" s="27">
        <v>334</v>
      </c>
      <c r="C458" s="28" t="s">
        <v>402</v>
      </c>
      <c r="D458" s="28" t="s">
        <v>13</v>
      </c>
      <c r="E458" s="28" t="s">
        <v>401</v>
      </c>
      <c r="F458" s="28" t="s">
        <v>15</v>
      </c>
      <c r="G458" s="28" t="s">
        <v>111</v>
      </c>
      <c r="H458" s="27">
        <v>0</v>
      </c>
      <c r="I458" s="27">
        <v>135</v>
      </c>
      <c r="J458" s="28" t="s">
        <v>17</v>
      </c>
      <c r="K458" s="27">
        <v>25</v>
      </c>
      <c r="L458" s="28" t="s">
        <v>112</v>
      </c>
      <c r="M458" s="27">
        <v>0</v>
      </c>
      <c r="O458" s="23">
        <v>460</v>
      </c>
      <c r="P458" t="str">
        <f>IF(O458&gt;0,VLOOKUP($O458,Dep!$A:$M,3),"")</f>
        <v>13:55</v>
      </c>
      <c r="Q458" t="str">
        <f>IF(O458&gt;0,VLOOKUP($O458,Dep!$A:$M,6),"")</f>
        <v>CLT</v>
      </c>
      <c r="R458" t="str">
        <f>IF(O458&gt;0,VLOOKUP($O458,Dep!$A:$M,7),"")</f>
        <v>321</v>
      </c>
      <c r="S458">
        <f>IF(O458&gt;0,VLOOKUP($O458,Dep!$A:$M,9),"")</f>
        <v>135</v>
      </c>
      <c r="T458" t="str">
        <f>IF(O458&gt;0,VLOOKUP($O458,Dep!$A:$M,10),"")</f>
        <v>NAT</v>
      </c>
      <c r="U458" t="str">
        <f>IF(O458&gt;0,VLOOKUP($O458,Dep!$A:$M,12),"")</f>
        <v>US</v>
      </c>
      <c r="V458" t="str">
        <f t="shared" si="94"/>
        <v/>
      </c>
      <c r="W458" t="str">
        <f t="shared" si="95"/>
        <v/>
      </c>
      <c r="X458" t="str">
        <f t="shared" si="96"/>
        <v>X</v>
      </c>
      <c r="Y458">
        <f t="shared" si="91"/>
        <v>0</v>
      </c>
      <c r="Z458" t="str">
        <f t="shared" si="97"/>
        <v/>
      </c>
      <c r="AA458" s="20">
        <f t="shared" si="92"/>
        <v>5.2083333333333259E-2</v>
      </c>
      <c r="AB458">
        <f t="shared" si="98"/>
        <v>457</v>
      </c>
      <c r="AC458" s="20" t="str">
        <f t="shared" si="99"/>
        <v>12:40</v>
      </c>
      <c r="AD458" s="20" t="str">
        <f t="shared" si="93"/>
        <v>13:55</v>
      </c>
      <c r="AE458" t="str">
        <f>VLOOKUP(G458,ACtypes!A:C,3,FALSE)</f>
        <v>C</v>
      </c>
      <c r="AF458" t="str">
        <f t="shared" si="100"/>
        <v/>
      </c>
      <c r="AG458" t="str">
        <f t="shared" si="101"/>
        <v/>
      </c>
      <c r="AH458">
        <f t="shared" si="102"/>
        <v>135</v>
      </c>
    </row>
    <row r="459" spans="1:34" x14ac:dyDescent="0.3">
      <c r="A459" s="41">
        <f t="shared" si="103"/>
        <v>458</v>
      </c>
      <c r="B459" s="27">
        <v>335</v>
      </c>
      <c r="C459" s="28" t="s">
        <v>51</v>
      </c>
      <c r="D459" s="28" t="s">
        <v>13</v>
      </c>
      <c r="E459" s="28" t="s">
        <v>401</v>
      </c>
      <c r="F459" s="28" t="s">
        <v>15</v>
      </c>
      <c r="G459" s="28" t="s">
        <v>111</v>
      </c>
      <c r="H459" s="27">
        <v>0</v>
      </c>
      <c r="I459" s="27">
        <v>135</v>
      </c>
      <c r="J459" s="28" t="s">
        <v>17</v>
      </c>
      <c r="K459" s="27">
        <v>25</v>
      </c>
      <c r="L459" s="28" t="s">
        <v>112</v>
      </c>
      <c r="M459" s="27">
        <v>0</v>
      </c>
      <c r="O459" s="23">
        <v>461</v>
      </c>
      <c r="P459" t="str">
        <f>IF(O459&gt;0,VLOOKUP($O459,Dep!$A:$M,3),"")</f>
        <v>21:40</v>
      </c>
      <c r="Q459" t="str">
        <f>IF(O459&gt;0,VLOOKUP($O459,Dep!$A:$M,6),"")</f>
        <v>PHL</v>
      </c>
      <c r="R459" t="str">
        <f>IF(O459&gt;0,VLOOKUP($O459,Dep!$A:$M,7),"")</f>
        <v>321</v>
      </c>
      <c r="S459">
        <f>IF(O459&gt;0,VLOOKUP($O459,Dep!$A:$M,9),"")</f>
        <v>135</v>
      </c>
      <c r="T459" t="str">
        <f>IF(O459&gt;0,VLOOKUP($O459,Dep!$A:$M,10),"")</f>
        <v>NAT</v>
      </c>
      <c r="U459" t="str">
        <f>IF(O459&gt;0,VLOOKUP($O459,Dep!$A:$M,12),"")</f>
        <v>US</v>
      </c>
      <c r="V459" t="str">
        <f t="shared" si="94"/>
        <v/>
      </c>
      <c r="W459" t="str">
        <f t="shared" si="95"/>
        <v/>
      </c>
      <c r="X459" t="str">
        <f t="shared" si="96"/>
        <v/>
      </c>
      <c r="Y459">
        <f t="shared" si="91"/>
        <v>0</v>
      </c>
      <c r="Z459" t="str">
        <f t="shared" si="97"/>
        <v/>
      </c>
      <c r="AA459" s="20">
        <f t="shared" si="92"/>
        <v>0.10416666666666663</v>
      </c>
      <c r="AB459">
        <f t="shared" si="98"/>
        <v>458</v>
      </c>
      <c r="AC459" s="20" t="str">
        <f t="shared" si="99"/>
        <v>19:10</v>
      </c>
      <c r="AD459" s="20" t="str">
        <f t="shared" si="93"/>
        <v>21:40</v>
      </c>
      <c r="AE459" t="str">
        <f>VLOOKUP(G459,ACtypes!A:C,3,FALSE)</f>
        <v>C</v>
      </c>
      <c r="AF459" t="str">
        <f t="shared" si="100"/>
        <v/>
      </c>
      <c r="AG459" t="str">
        <f t="shared" si="101"/>
        <v/>
      </c>
      <c r="AH459">
        <f t="shared" si="102"/>
        <v>135</v>
      </c>
    </row>
    <row r="460" spans="1:34" x14ac:dyDescent="0.3">
      <c r="A460" s="41">
        <f t="shared" si="103"/>
        <v>459</v>
      </c>
      <c r="B460" s="27">
        <v>350</v>
      </c>
      <c r="C460" s="28" t="s">
        <v>415</v>
      </c>
      <c r="D460" s="28" t="s">
        <v>13</v>
      </c>
      <c r="E460" s="28" t="s">
        <v>416</v>
      </c>
      <c r="F460" s="28" t="s">
        <v>15</v>
      </c>
      <c r="G460" s="28" t="s">
        <v>111</v>
      </c>
      <c r="H460" s="27">
        <v>0</v>
      </c>
      <c r="I460" s="27">
        <v>135</v>
      </c>
      <c r="J460" s="28" t="s">
        <v>17</v>
      </c>
      <c r="K460" s="27">
        <v>25</v>
      </c>
      <c r="L460" s="28" t="s">
        <v>112</v>
      </c>
      <c r="M460" s="27">
        <v>0</v>
      </c>
      <c r="O460" s="23">
        <v>462</v>
      </c>
      <c r="P460" t="str">
        <f>IF(O460&gt;0,VLOOKUP($O460,Dep!$A:$M,3),"")</f>
        <v>22:20</v>
      </c>
      <c r="Q460" t="str">
        <f>IF(O460&gt;0,VLOOKUP($O460,Dep!$A:$M,6),"")</f>
        <v>CLT</v>
      </c>
      <c r="R460" t="str">
        <f>IF(O460&gt;0,VLOOKUP($O460,Dep!$A:$M,7),"")</f>
        <v>321</v>
      </c>
      <c r="S460">
        <f>IF(O460&gt;0,VLOOKUP($O460,Dep!$A:$M,9),"")</f>
        <v>135</v>
      </c>
      <c r="T460" t="str">
        <f>IF(O460&gt;0,VLOOKUP($O460,Dep!$A:$M,10),"")</f>
        <v>NAT</v>
      </c>
      <c r="U460" t="str">
        <f>IF(O460&gt;0,VLOOKUP($O460,Dep!$A:$M,12),"")</f>
        <v>US</v>
      </c>
      <c r="V460" t="str">
        <f t="shared" si="94"/>
        <v/>
      </c>
      <c r="W460" t="str">
        <f t="shared" si="95"/>
        <v/>
      </c>
      <c r="X460" t="str">
        <f t="shared" si="96"/>
        <v>X</v>
      </c>
      <c r="Y460">
        <f t="shared" si="91"/>
        <v>0</v>
      </c>
      <c r="Z460" t="str">
        <f t="shared" si="97"/>
        <v/>
      </c>
      <c r="AA460" s="20">
        <f t="shared" si="92"/>
        <v>8.8194444444444464E-2</v>
      </c>
      <c r="AB460">
        <f t="shared" si="98"/>
        <v>459</v>
      </c>
      <c r="AC460" s="20" t="str">
        <f t="shared" si="99"/>
        <v>20:13</v>
      </c>
      <c r="AD460" s="20" t="str">
        <f t="shared" si="93"/>
        <v>22:20</v>
      </c>
      <c r="AE460" t="str">
        <f>VLOOKUP(G460,ACtypes!A:C,3,FALSE)</f>
        <v>C</v>
      </c>
      <c r="AF460" t="str">
        <f t="shared" si="100"/>
        <v/>
      </c>
      <c r="AG460" t="str">
        <f t="shared" si="101"/>
        <v/>
      </c>
      <c r="AH460">
        <f t="shared" si="102"/>
        <v>135</v>
      </c>
    </row>
    <row r="461" spans="1:34" x14ac:dyDescent="0.3">
      <c r="A461" s="41">
        <f t="shared" si="103"/>
        <v>460</v>
      </c>
      <c r="B461" s="27">
        <v>333</v>
      </c>
      <c r="C461" s="28" t="s">
        <v>400</v>
      </c>
      <c r="D461" s="28" t="s">
        <v>13</v>
      </c>
      <c r="E461" s="28" t="s">
        <v>401</v>
      </c>
      <c r="F461" s="28" t="s">
        <v>15</v>
      </c>
      <c r="G461" s="28" t="s">
        <v>111</v>
      </c>
      <c r="H461" s="27">
        <v>0</v>
      </c>
      <c r="I461" s="27">
        <v>135</v>
      </c>
      <c r="J461" s="28" t="s">
        <v>17</v>
      </c>
      <c r="K461" s="27">
        <v>25</v>
      </c>
      <c r="L461" s="28" t="s">
        <v>112</v>
      </c>
      <c r="M461" s="27">
        <v>0</v>
      </c>
      <c r="O461" s="23">
        <v>463</v>
      </c>
      <c r="P461" t="str">
        <f>IF(O461&gt;0,VLOOKUP($O461,Dep!$A:$M,3),"")</f>
        <v>23:00</v>
      </c>
      <c r="Q461" t="str">
        <f>IF(O461&gt;0,VLOOKUP($O461,Dep!$A:$M,6),"")</f>
        <v>PIT</v>
      </c>
      <c r="R461" t="str">
        <f>IF(O461&gt;0,VLOOKUP($O461,Dep!$A:$M,7),"")</f>
        <v>321</v>
      </c>
      <c r="S461">
        <f>IF(O461&gt;0,VLOOKUP($O461,Dep!$A:$M,9),"")</f>
        <v>135</v>
      </c>
      <c r="T461" t="str">
        <f>IF(O461&gt;0,VLOOKUP($O461,Dep!$A:$M,10),"")</f>
        <v>NAT</v>
      </c>
      <c r="U461" t="str">
        <f>IF(O461&gt;0,VLOOKUP($O461,Dep!$A:$M,12),"")</f>
        <v>US</v>
      </c>
      <c r="V461" t="str">
        <f t="shared" si="94"/>
        <v/>
      </c>
      <c r="W461" t="str">
        <f t="shared" si="95"/>
        <v/>
      </c>
      <c r="X461" t="str">
        <f t="shared" si="96"/>
        <v>X</v>
      </c>
      <c r="Y461">
        <f t="shared" si="91"/>
        <v>0</v>
      </c>
      <c r="Z461" t="str">
        <f t="shared" si="97"/>
        <v/>
      </c>
      <c r="AA461" s="20">
        <f t="shared" si="92"/>
        <v>7.5694444444444509E-2</v>
      </c>
      <c r="AB461">
        <f t="shared" si="98"/>
        <v>460</v>
      </c>
      <c r="AC461" s="20" t="str">
        <f t="shared" si="99"/>
        <v>21:11</v>
      </c>
      <c r="AD461" s="20" t="str">
        <f t="shared" si="93"/>
        <v>23:00</v>
      </c>
      <c r="AE461" t="str">
        <f>VLOOKUP(G461,ACtypes!A:C,3,FALSE)</f>
        <v>C</v>
      </c>
      <c r="AF461" t="str">
        <f t="shared" si="100"/>
        <v/>
      </c>
      <c r="AG461" t="str">
        <f t="shared" si="101"/>
        <v/>
      </c>
      <c r="AH461">
        <f t="shared" si="102"/>
        <v>135</v>
      </c>
    </row>
    <row r="462" spans="1:34" x14ac:dyDescent="0.3">
      <c r="A462" s="41">
        <f t="shared" si="103"/>
        <v>461</v>
      </c>
      <c r="B462" s="27">
        <v>62</v>
      </c>
      <c r="C462" s="28" t="s">
        <v>109</v>
      </c>
      <c r="D462" s="28" t="s">
        <v>13</v>
      </c>
      <c r="E462" s="28" t="s">
        <v>110</v>
      </c>
      <c r="F462" s="28" t="s">
        <v>15</v>
      </c>
      <c r="G462" s="28" t="s">
        <v>111</v>
      </c>
      <c r="H462" s="27">
        <v>0</v>
      </c>
      <c r="I462" s="27">
        <v>135</v>
      </c>
      <c r="J462" s="28" t="s">
        <v>17</v>
      </c>
      <c r="K462" s="27">
        <v>25</v>
      </c>
      <c r="L462" s="28" t="s">
        <v>112</v>
      </c>
      <c r="M462" s="27">
        <v>0</v>
      </c>
      <c r="O462" s="23">
        <v>458</v>
      </c>
      <c r="P462" t="str">
        <f>IF(O462&gt;0,VLOOKUP($O462,Dep!$A:$M,3),"")</f>
        <v>07:05</v>
      </c>
      <c r="Q462" t="str">
        <f>IF(O462&gt;0,VLOOKUP($O462,Dep!$A:$M,6),"")</f>
        <v>PHL</v>
      </c>
      <c r="R462" t="str">
        <f>IF(O462&gt;0,VLOOKUP($O462,Dep!$A:$M,7),"")</f>
        <v>321</v>
      </c>
      <c r="S462">
        <f>IF(O462&gt;0,VLOOKUP($O462,Dep!$A:$M,9),"")</f>
        <v>135</v>
      </c>
      <c r="T462" t="str">
        <f>IF(O462&gt;0,VLOOKUP($O462,Dep!$A:$M,10),"")</f>
        <v>NAT</v>
      </c>
      <c r="U462" t="str">
        <f>IF(O462&gt;0,VLOOKUP($O462,Dep!$A:$M,12),"")</f>
        <v>US</v>
      </c>
      <c r="V462" t="str">
        <f t="shared" si="94"/>
        <v/>
      </c>
      <c r="W462" t="str">
        <f t="shared" si="95"/>
        <v/>
      </c>
      <c r="X462" t="str">
        <f t="shared" si="96"/>
        <v>X</v>
      </c>
      <c r="Y462">
        <f t="shared" si="91"/>
        <v>0</v>
      </c>
      <c r="Z462">
        <f t="shared" si="97"/>
        <v>1</v>
      </c>
      <c r="AA462" s="20">
        <f t="shared" si="92"/>
        <v>0.38125000000000009</v>
      </c>
      <c r="AB462">
        <f t="shared" si="98"/>
        <v>461</v>
      </c>
      <c r="AC462" s="20" t="str">
        <f t="shared" si="99"/>
        <v>21:56</v>
      </c>
      <c r="AD462" s="20" t="str">
        <f t="shared" si="93"/>
        <v>07:05</v>
      </c>
      <c r="AE462" t="str">
        <f>VLOOKUP(G462,ACtypes!A:C,3,FALSE)</f>
        <v>C</v>
      </c>
      <c r="AF462" t="str">
        <f t="shared" si="100"/>
        <v/>
      </c>
      <c r="AG462" t="str">
        <f t="shared" si="101"/>
        <v/>
      </c>
      <c r="AH462">
        <f t="shared" si="102"/>
        <v>135</v>
      </c>
    </row>
    <row r="463" spans="1:34" x14ac:dyDescent="0.3">
      <c r="A463" s="41">
        <f t="shared" si="103"/>
        <v>462</v>
      </c>
      <c r="B463" s="27">
        <v>43</v>
      </c>
      <c r="C463" s="28" t="s">
        <v>85</v>
      </c>
      <c r="D463" s="28" t="s">
        <v>13</v>
      </c>
      <c r="E463" s="28" t="s">
        <v>86</v>
      </c>
      <c r="F463" s="28" t="s">
        <v>15</v>
      </c>
      <c r="G463" s="28" t="s">
        <v>16</v>
      </c>
      <c r="H463" s="27">
        <v>0</v>
      </c>
      <c r="I463" s="27">
        <v>110</v>
      </c>
      <c r="J463" s="28" t="s">
        <v>17</v>
      </c>
      <c r="K463" s="27">
        <v>25</v>
      </c>
      <c r="L463" s="28" t="s">
        <v>18</v>
      </c>
      <c r="M463" s="27">
        <v>0</v>
      </c>
      <c r="O463" s="23">
        <v>469</v>
      </c>
      <c r="P463" t="str">
        <f>IF(O463&gt;0,VLOOKUP($O463,Dep!$A:$M,3),"")</f>
        <v>08:55</v>
      </c>
      <c r="Q463" t="str">
        <f>IF(O463&gt;0,VLOOKUP($O463,Dep!$A:$M,6),"")</f>
        <v>RNO</v>
      </c>
      <c r="R463" t="str">
        <f>IF(O463&gt;0,VLOOKUP($O463,Dep!$A:$M,7),"")</f>
        <v>733</v>
      </c>
      <c r="S463">
        <f>IF(O463&gt;0,VLOOKUP($O463,Dep!$A:$M,9),"")</f>
        <v>110</v>
      </c>
      <c r="T463" t="str">
        <f>IF(O463&gt;0,VLOOKUP($O463,Dep!$A:$M,10),"")</f>
        <v>NAT</v>
      </c>
      <c r="U463" t="str">
        <f>IF(O463&gt;0,VLOOKUP($O463,Dep!$A:$M,12),"")</f>
        <v>WN</v>
      </c>
      <c r="V463" t="str">
        <f t="shared" si="94"/>
        <v/>
      </c>
      <c r="W463" t="str">
        <f t="shared" si="95"/>
        <v/>
      </c>
      <c r="X463" t="str">
        <f t="shared" si="96"/>
        <v>X</v>
      </c>
      <c r="Y463">
        <f t="shared" si="91"/>
        <v>0</v>
      </c>
      <c r="Z463" t="str">
        <f t="shared" si="97"/>
        <v/>
      </c>
      <c r="AA463" s="20">
        <f t="shared" si="92"/>
        <v>3.4722222222222154E-2</v>
      </c>
      <c r="AB463">
        <f t="shared" si="98"/>
        <v>462</v>
      </c>
      <c r="AC463" s="20" t="str">
        <f t="shared" si="99"/>
        <v>08:05</v>
      </c>
      <c r="AD463" s="20" t="str">
        <f t="shared" si="93"/>
        <v>08:55</v>
      </c>
      <c r="AE463" t="str">
        <f>VLOOKUP(G463,ACtypes!A:C,3,FALSE)</f>
        <v>C</v>
      </c>
      <c r="AF463" t="str">
        <f t="shared" si="100"/>
        <v/>
      </c>
      <c r="AG463" t="str">
        <f t="shared" si="101"/>
        <v/>
      </c>
      <c r="AH463">
        <f t="shared" si="102"/>
        <v>110</v>
      </c>
    </row>
    <row r="464" spans="1:34" x14ac:dyDescent="0.3">
      <c r="A464" s="41">
        <f t="shared" si="103"/>
        <v>463</v>
      </c>
      <c r="B464" s="27">
        <v>135</v>
      </c>
      <c r="C464" s="28" t="s">
        <v>204</v>
      </c>
      <c r="D464" s="28" t="s">
        <v>13</v>
      </c>
      <c r="E464" s="28" t="s">
        <v>196</v>
      </c>
      <c r="F464" s="28" t="s">
        <v>15</v>
      </c>
      <c r="G464" s="28" t="s">
        <v>16</v>
      </c>
      <c r="H464" s="27">
        <v>0</v>
      </c>
      <c r="I464" s="27">
        <v>110</v>
      </c>
      <c r="J464" s="28" t="s">
        <v>17</v>
      </c>
      <c r="K464" s="27">
        <v>25</v>
      </c>
      <c r="L464" s="28" t="s">
        <v>18</v>
      </c>
      <c r="M464" s="27">
        <v>0</v>
      </c>
      <c r="O464" s="23">
        <v>470</v>
      </c>
      <c r="P464" t="str">
        <f>IF(O464&gt;0,VLOOKUP($O464,Dep!$A:$M,3),"")</f>
        <v>09:00</v>
      </c>
      <c r="Q464" t="str">
        <f>IF(O464&gt;0,VLOOKUP($O464,Dep!$A:$M,6),"")</f>
        <v>GEG</v>
      </c>
      <c r="R464" t="str">
        <f>IF(O464&gt;0,VLOOKUP($O464,Dep!$A:$M,7),"")</f>
        <v>733</v>
      </c>
      <c r="S464">
        <f>IF(O464&gt;0,VLOOKUP($O464,Dep!$A:$M,9),"")</f>
        <v>110</v>
      </c>
      <c r="T464" t="str">
        <f>IF(O464&gt;0,VLOOKUP($O464,Dep!$A:$M,10),"")</f>
        <v>NAT</v>
      </c>
      <c r="U464" t="str">
        <f>IF(O464&gt;0,VLOOKUP($O464,Dep!$A:$M,12),"")</f>
        <v>WN</v>
      </c>
      <c r="V464" t="str">
        <f t="shared" si="94"/>
        <v/>
      </c>
      <c r="W464" t="str">
        <f t="shared" si="95"/>
        <v/>
      </c>
      <c r="X464" t="str">
        <f t="shared" si="96"/>
        <v/>
      </c>
      <c r="Y464">
        <f t="shared" si="91"/>
        <v>0</v>
      </c>
      <c r="Z464" t="str">
        <f t="shared" si="97"/>
        <v/>
      </c>
      <c r="AA464" s="20">
        <f t="shared" si="92"/>
        <v>2.0833333333333315E-2</v>
      </c>
      <c r="AB464">
        <f t="shared" si="98"/>
        <v>463</v>
      </c>
      <c r="AC464" s="20" t="str">
        <f t="shared" si="99"/>
        <v>08:30</v>
      </c>
      <c r="AD464" s="20" t="str">
        <f t="shared" si="93"/>
        <v>09:00</v>
      </c>
      <c r="AE464" t="str">
        <f>VLOOKUP(G464,ACtypes!A:C,3,FALSE)</f>
        <v>C</v>
      </c>
      <c r="AF464" t="str">
        <f t="shared" si="100"/>
        <v/>
      </c>
      <c r="AG464" t="str">
        <f t="shared" si="101"/>
        <v/>
      </c>
      <c r="AH464">
        <f t="shared" si="102"/>
        <v>110</v>
      </c>
    </row>
    <row r="465" spans="1:34" x14ac:dyDescent="0.3">
      <c r="A465" s="41">
        <f t="shared" si="103"/>
        <v>464</v>
      </c>
      <c r="B465" s="27">
        <v>915</v>
      </c>
      <c r="C465" s="28" t="s">
        <v>332</v>
      </c>
      <c r="D465" s="28" t="s">
        <v>13</v>
      </c>
      <c r="E465" s="28" t="s">
        <v>464</v>
      </c>
      <c r="F465" s="28" t="s">
        <v>15</v>
      </c>
      <c r="G465" s="28" t="s">
        <v>16</v>
      </c>
      <c r="H465" s="27">
        <v>0</v>
      </c>
      <c r="I465" s="27">
        <v>110</v>
      </c>
      <c r="J465" s="28" t="s">
        <v>17</v>
      </c>
      <c r="K465" s="27">
        <v>25</v>
      </c>
      <c r="L465" s="28" t="s">
        <v>18</v>
      </c>
      <c r="M465" s="27">
        <v>0</v>
      </c>
      <c r="O465" s="23">
        <v>471</v>
      </c>
      <c r="P465" t="str">
        <f>IF(O465&gt;0,VLOOKUP($O465,Dep!$A:$M,3),"")</f>
        <v>10:05</v>
      </c>
      <c r="Q465" t="str">
        <f>IF(O465&gt;0,VLOOKUP($O465,Dep!$A:$M,6),"")</f>
        <v>LAS</v>
      </c>
      <c r="R465" t="str">
        <f>IF(O465&gt;0,VLOOKUP($O465,Dep!$A:$M,7),"")</f>
        <v>733</v>
      </c>
      <c r="S465">
        <f>IF(O465&gt;0,VLOOKUP($O465,Dep!$A:$M,9),"")</f>
        <v>110</v>
      </c>
      <c r="T465" t="str">
        <f>IF(O465&gt;0,VLOOKUP($O465,Dep!$A:$M,10),"")</f>
        <v>NAT</v>
      </c>
      <c r="U465" t="str">
        <f>IF(O465&gt;0,VLOOKUP($O465,Dep!$A:$M,12),"")</f>
        <v>WN</v>
      </c>
      <c r="V465" t="str">
        <f t="shared" si="94"/>
        <v/>
      </c>
      <c r="W465" t="str">
        <f t="shared" si="95"/>
        <v/>
      </c>
      <c r="X465" t="str">
        <f t="shared" si="96"/>
        <v>X</v>
      </c>
      <c r="Y465">
        <f t="shared" si="91"/>
        <v>0</v>
      </c>
      <c r="Z465" t="str">
        <f t="shared" si="97"/>
        <v/>
      </c>
      <c r="AA465" s="20">
        <f t="shared" si="92"/>
        <v>6.25E-2</v>
      </c>
      <c r="AB465">
        <f t="shared" si="98"/>
        <v>464</v>
      </c>
      <c r="AC465" s="20" t="str">
        <f t="shared" si="99"/>
        <v>08:35</v>
      </c>
      <c r="AD465" s="20" t="str">
        <f t="shared" si="93"/>
        <v>10:05</v>
      </c>
      <c r="AE465" t="str">
        <f>VLOOKUP(G465,ACtypes!A:C,3,FALSE)</f>
        <v>C</v>
      </c>
      <c r="AF465" t="str">
        <f t="shared" si="100"/>
        <v/>
      </c>
      <c r="AG465" t="str">
        <f t="shared" si="101"/>
        <v/>
      </c>
      <c r="AH465">
        <f t="shared" si="102"/>
        <v>110</v>
      </c>
    </row>
    <row r="466" spans="1:34" x14ac:dyDescent="0.3">
      <c r="A466" s="41">
        <f t="shared" si="103"/>
        <v>465</v>
      </c>
      <c r="B466" s="27">
        <v>257</v>
      </c>
      <c r="C466" s="28" t="s">
        <v>336</v>
      </c>
      <c r="D466" s="28" t="s">
        <v>13</v>
      </c>
      <c r="E466" s="28" t="s">
        <v>335</v>
      </c>
      <c r="F466" s="28" t="s">
        <v>15</v>
      </c>
      <c r="G466" s="28" t="s">
        <v>16</v>
      </c>
      <c r="H466" s="27">
        <v>0</v>
      </c>
      <c r="I466" s="27">
        <v>110</v>
      </c>
      <c r="J466" s="28" t="s">
        <v>17</v>
      </c>
      <c r="K466" s="27">
        <v>25</v>
      </c>
      <c r="L466" s="28" t="s">
        <v>18</v>
      </c>
      <c r="M466" s="27">
        <v>0</v>
      </c>
      <c r="O466" s="23">
        <v>472</v>
      </c>
      <c r="P466" t="str">
        <f>IF(O466&gt;0,VLOOKUP($O466,Dep!$A:$M,3),"")</f>
        <v>10:40</v>
      </c>
      <c r="Q466" t="str">
        <f>IF(O466&gt;0,VLOOKUP($O466,Dep!$A:$M,6),"")</f>
        <v>SJC</v>
      </c>
      <c r="R466" t="str">
        <f>IF(O466&gt;0,VLOOKUP($O466,Dep!$A:$M,7),"")</f>
        <v>733</v>
      </c>
      <c r="S466">
        <f>IF(O466&gt;0,VLOOKUP($O466,Dep!$A:$M,9),"")</f>
        <v>110</v>
      </c>
      <c r="T466" t="str">
        <f>IF(O466&gt;0,VLOOKUP($O466,Dep!$A:$M,10),"")</f>
        <v>NAT</v>
      </c>
      <c r="U466" t="str">
        <f>IF(O466&gt;0,VLOOKUP($O466,Dep!$A:$M,12),"")</f>
        <v>WN</v>
      </c>
      <c r="V466" t="str">
        <f t="shared" si="94"/>
        <v/>
      </c>
      <c r="W466" t="str">
        <f t="shared" si="95"/>
        <v/>
      </c>
      <c r="X466" t="str">
        <f t="shared" si="96"/>
        <v>X</v>
      </c>
      <c r="Y466">
        <f t="shared" si="91"/>
        <v>0</v>
      </c>
      <c r="Z466" t="str">
        <f t="shared" si="97"/>
        <v/>
      </c>
      <c r="AA466" s="20">
        <f t="shared" si="92"/>
        <v>4.513888888888884E-2</v>
      </c>
      <c r="AB466">
        <f t="shared" si="98"/>
        <v>465</v>
      </c>
      <c r="AC466" s="20" t="str">
        <f t="shared" si="99"/>
        <v>09:35</v>
      </c>
      <c r="AD466" s="20" t="str">
        <f t="shared" si="93"/>
        <v>10:40</v>
      </c>
      <c r="AE466" t="str">
        <f>VLOOKUP(G466,ACtypes!A:C,3,FALSE)</f>
        <v>C</v>
      </c>
      <c r="AF466" t="str">
        <f t="shared" si="100"/>
        <v/>
      </c>
      <c r="AG466" t="str">
        <f t="shared" si="101"/>
        <v/>
      </c>
      <c r="AH466">
        <f t="shared" si="102"/>
        <v>110</v>
      </c>
    </row>
    <row r="467" spans="1:34" x14ac:dyDescent="0.3">
      <c r="A467" s="41">
        <f t="shared" si="103"/>
        <v>466</v>
      </c>
      <c r="B467" s="27">
        <v>367</v>
      </c>
      <c r="C467" s="28" t="s">
        <v>134</v>
      </c>
      <c r="D467" s="28" t="s">
        <v>13</v>
      </c>
      <c r="E467" s="28" t="s">
        <v>427</v>
      </c>
      <c r="F467" s="28" t="s">
        <v>15</v>
      </c>
      <c r="G467" s="28" t="s">
        <v>16</v>
      </c>
      <c r="H467" s="27">
        <v>0</v>
      </c>
      <c r="I467" s="27">
        <v>110</v>
      </c>
      <c r="J467" s="28" t="s">
        <v>17</v>
      </c>
      <c r="K467" s="27">
        <v>25</v>
      </c>
      <c r="L467" s="28" t="s">
        <v>18</v>
      </c>
      <c r="M467" s="27">
        <v>0</v>
      </c>
      <c r="O467" s="23">
        <v>473</v>
      </c>
      <c r="P467" t="str">
        <f>IF(O467&gt;0,VLOOKUP($O467,Dep!$A:$M,3),"")</f>
        <v>11:20</v>
      </c>
      <c r="Q467" t="str">
        <f>IF(O467&gt;0,VLOOKUP($O467,Dep!$A:$M,6),"")</f>
        <v>SMF</v>
      </c>
      <c r="R467" t="str">
        <f>IF(O467&gt;0,VLOOKUP($O467,Dep!$A:$M,7),"")</f>
        <v>733</v>
      </c>
      <c r="S467">
        <f>IF(O467&gt;0,VLOOKUP($O467,Dep!$A:$M,9),"")</f>
        <v>110</v>
      </c>
      <c r="T467" t="str">
        <f>IF(O467&gt;0,VLOOKUP($O467,Dep!$A:$M,10),"")</f>
        <v>NAT</v>
      </c>
      <c r="U467" t="str">
        <f>IF(O467&gt;0,VLOOKUP($O467,Dep!$A:$M,12),"")</f>
        <v>WN</v>
      </c>
      <c r="V467" t="str">
        <f t="shared" si="94"/>
        <v/>
      </c>
      <c r="W467" t="str">
        <f t="shared" si="95"/>
        <v/>
      </c>
      <c r="X467" t="str">
        <f t="shared" si="96"/>
        <v>X</v>
      </c>
      <c r="Y467">
        <f t="shared" si="91"/>
        <v>0</v>
      </c>
      <c r="Z467" t="str">
        <f t="shared" si="97"/>
        <v/>
      </c>
      <c r="AA467" s="20">
        <f t="shared" si="92"/>
        <v>4.5138888888888951E-2</v>
      </c>
      <c r="AB467">
        <f t="shared" si="98"/>
        <v>466</v>
      </c>
      <c r="AC467" s="20" t="str">
        <f t="shared" si="99"/>
        <v>10:15</v>
      </c>
      <c r="AD467" s="20" t="str">
        <f t="shared" si="93"/>
        <v>11:20</v>
      </c>
      <c r="AE467" t="str">
        <f>VLOOKUP(G467,ACtypes!A:C,3,FALSE)</f>
        <v>C</v>
      </c>
      <c r="AF467" t="str">
        <f t="shared" si="100"/>
        <v/>
      </c>
      <c r="AG467" t="str">
        <f t="shared" si="101"/>
        <v/>
      </c>
      <c r="AH467">
        <f t="shared" si="102"/>
        <v>110</v>
      </c>
    </row>
    <row r="468" spans="1:34" x14ac:dyDescent="0.3">
      <c r="A468" s="41">
        <f t="shared" si="103"/>
        <v>467</v>
      </c>
      <c r="B468" s="27">
        <v>914</v>
      </c>
      <c r="C468" s="28" t="s">
        <v>467</v>
      </c>
      <c r="D468" s="28" t="s">
        <v>13</v>
      </c>
      <c r="E468" s="28" t="s">
        <v>464</v>
      </c>
      <c r="F468" s="28" t="s">
        <v>15</v>
      </c>
      <c r="G468" s="28" t="s">
        <v>16</v>
      </c>
      <c r="H468" s="27">
        <v>0</v>
      </c>
      <c r="I468" s="27">
        <v>110</v>
      </c>
      <c r="J468" s="28" t="s">
        <v>17</v>
      </c>
      <c r="K468" s="27">
        <v>25</v>
      </c>
      <c r="L468" s="28" t="s">
        <v>18</v>
      </c>
      <c r="M468" s="27">
        <v>0</v>
      </c>
      <c r="O468" s="23">
        <v>474</v>
      </c>
      <c r="P468" t="str">
        <f>IF(O468&gt;0,VLOOKUP($O468,Dep!$A:$M,3),"")</f>
        <v>11:45</v>
      </c>
      <c r="Q468" t="str">
        <f>IF(O468&gt;0,VLOOKUP($O468,Dep!$A:$M,6),"")</f>
        <v>GEG</v>
      </c>
      <c r="R468" t="str">
        <f>IF(O468&gt;0,VLOOKUP($O468,Dep!$A:$M,7),"")</f>
        <v>733</v>
      </c>
      <c r="S468">
        <f>IF(O468&gt;0,VLOOKUP($O468,Dep!$A:$M,9),"")</f>
        <v>110</v>
      </c>
      <c r="T468" t="str">
        <f>IF(O468&gt;0,VLOOKUP($O468,Dep!$A:$M,10),"")</f>
        <v>NAT</v>
      </c>
      <c r="U468" t="str">
        <f>IF(O468&gt;0,VLOOKUP($O468,Dep!$A:$M,12),"")</f>
        <v>WN</v>
      </c>
      <c r="V468" t="str">
        <f t="shared" si="94"/>
        <v/>
      </c>
      <c r="W468" t="str">
        <f t="shared" si="95"/>
        <v/>
      </c>
      <c r="X468" t="str">
        <f t="shared" si="96"/>
        <v>X</v>
      </c>
      <c r="Y468">
        <f t="shared" si="91"/>
        <v>0</v>
      </c>
      <c r="Z468" t="str">
        <f t="shared" si="97"/>
        <v/>
      </c>
      <c r="AA468" s="20">
        <f t="shared" si="92"/>
        <v>3.819444444444442E-2</v>
      </c>
      <c r="AB468">
        <f t="shared" si="98"/>
        <v>467</v>
      </c>
      <c r="AC468" s="20" t="str">
        <f t="shared" si="99"/>
        <v>10:50</v>
      </c>
      <c r="AD468" s="20" t="str">
        <f t="shared" si="93"/>
        <v>11:45</v>
      </c>
      <c r="AE468" t="str">
        <f>VLOOKUP(G468,ACtypes!A:C,3,FALSE)</f>
        <v>C</v>
      </c>
      <c r="AF468" t="str">
        <f t="shared" si="100"/>
        <v/>
      </c>
      <c r="AG468" t="str">
        <f t="shared" si="101"/>
        <v/>
      </c>
      <c r="AH468">
        <f t="shared" si="102"/>
        <v>110</v>
      </c>
    </row>
    <row r="469" spans="1:34" x14ac:dyDescent="0.3">
      <c r="A469" s="41">
        <f t="shared" si="103"/>
        <v>468</v>
      </c>
      <c r="B469" s="27">
        <v>901</v>
      </c>
      <c r="C469" s="28" t="s">
        <v>454</v>
      </c>
      <c r="D469" s="28" t="s">
        <v>13</v>
      </c>
      <c r="E469" s="28" t="s">
        <v>455</v>
      </c>
      <c r="F469" s="28" t="s">
        <v>15</v>
      </c>
      <c r="G469" s="28" t="s">
        <v>16</v>
      </c>
      <c r="H469" s="27">
        <v>0</v>
      </c>
      <c r="I469" s="27">
        <v>110</v>
      </c>
      <c r="J469" s="28" t="s">
        <v>17</v>
      </c>
      <c r="K469" s="27">
        <v>25</v>
      </c>
      <c r="L469" s="28" t="s">
        <v>18</v>
      </c>
      <c r="M469" s="27">
        <v>0</v>
      </c>
      <c r="O469" s="23">
        <v>475</v>
      </c>
      <c r="P469" t="str">
        <f>IF(O469&gt;0,VLOOKUP($O469,Dep!$A:$M,3),"")</f>
        <v>11:50</v>
      </c>
      <c r="Q469" t="str">
        <f>IF(O469&gt;0,VLOOKUP($O469,Dep!$A:$M,6),"")</f>
        <v>OAK</v>
      </c>
      <c r="R469" t="str">
        <f>IF(O469&gt;0,VLOOKUP($O469,Dep!$A:$M,7),"")</f>
        <v>733</v>
      </c>
      <c r="S469">
        <f>IF(O469&gt;0,VLOOKUP($O469,Dep!$A:$M,9),"")</f>
        <v>110</v>
      </c>
      <c r="T469" t="str">
        <f>IF(O469&gt;0,VLOOKUP($O469,Dep!$A:$M,10),"")</f>
        <v>NAT</v>
      </c>
      <c r="U469" t="str">
        <f>IF(O469&gt;0,VLOOKUP($O469,Dep!$A:$M,12),"")</f>
        <v>WN</v>
      </c>
      <c r="V469" t="str">
        <f t="shared" si="94"/>
        <v/>
      </c>
      <c r="W469" t="str">
        <f t="shared" si="95"/>
        <v/>
      </c>
      <c r="X469" t="str">
        <f t="shared" si="96"/>
        <v>X</v>
      </c>
      <c r="Y469">
        <f t="shared" si="91"/>
        <v>0</v>
      </c>
      <c r="Z469" t="str">
        <f t="shared" si="97"/>
        <v/>
      </c>
      <c r="AA469" s="20">
        <f t="shared" si="92"/>
        <v>2.430555555555558E-2</v>
      </c>
      <c r="AB469">
        <f t="shared" si="98"/>
        <v>468</v>
      </c>
      <c r="AC469" s="20" t="str">
        <f t="shared" si="99"/>
        <v>11:15</v>
      </c>
      <c r="AD469" s="20" t="str">
        <f t="shared" si="93"/>
        <v>11:50</v>
      </c>
      <c r="AE469" t="str">
        <f>VLOOKUP(G469,ACtypes!A:C,3,FALSE)</f>
        <v>C</v>
      </c>
      <c r="AF469" t="str">
        <f t="shared" si="100"/>
        <v/>
      </c>
      <c r="AG469" t="str">
        <f t="shared" si="101"/>
        <v/>
      </c>
      <c r="AH469">
        <f t="shared" si="102"/>
        <v>110</v>
      </c>
    </row>
    <row r="470" spans="1:34" x14ac:dyDescent="0.3">
      <c r="A470" s="41">
        <f t="shared" si="103"/>
        <v>469</v>
      </c>
      <c r="B470" s="27">
        <v>1</v>
      </c>
      <c r="C470" s="28" t="s">
        <v>12</v>
      </c>
      <c r="D470" s="28" t="s">
        <v>13</v>
      </c>
      <c r="E470" s="28" t="s">
        <v>14</v>
      </c>
      <c r="F470" s="28" t="s">
        <v>15</v>
      </c>
      <c r="G470" s="28" t="s">
        <v>16</v>
      </c>
      <c r="H470" s="27">
        <v>0</v>
      </c>
      <c r="I470" s="27">
        <v>110</v>
      </c>
      <c r="J470" s="28" t="s">
        <v>17</v>
      </c>
      <c r="K470" s="27">
        <v>25</v>
      </c>
      <c r="L470" s="28" t="s">
        <v>18</v>
      </c>
      <c r="M470" s="27">
        <v>0</v>
      </c>
      <c r="O470" s="23">
        <v>476</v>
      </c>
      <c r="P470" t="str">
        <f>IF(O470&gt;0,VLOOKUP($O470,Dep!$A:$M,3),"")</f>
        <v>11:55</v>
      </c>
      <c r="Q470" t="str">
        <f>IF(O470&gt;0,VLOOKUP($O470,Dep!$A:$M,6),"")</f>
        <v>PHX</v>
      </c>
      <c r="R470" t="str">
        <f>IF(O470&gt;0,VLOOKUP($O470,Dep!$A:$M,7),"")</f>
        <v>733</v>
      </c>
      <c r="S470">
        <f>IF(O470&gt;0,VLOOKUP($O470,Dep!$A:$M,9),"")</f>
        <v>110</v>
      </c>
      <c r="T470" t="str">
        <f>IF(O470&gt;0,VLOOKUP($O470,Dep!$A:$M,10),"")</f>
        <v>NAT</v>
      </c>
      <c r="U470" t="str">
        <f>IF(O470&gt;0,VLOOKUP($O470,Dep!$A:$M,12),"")</f>
        <v>WN</v>
      </c>
      <c r="V470" t="str">
        <f t="shared" si="94"/>
        <v/>
      </c>
      <c r="W470" t="str">
        <f t="shared" si="95"/>
        <v/>
      </c>
      <c r="X470" t="str">
        <f t="shared" si="96"/>
        <v>X</v>
      </c>
      <c r="Y470">
        <f t="shared" si="91"/>
        <v>0</v>
      </c>
      <c r="Z470" t="str">
        <f t="shared" si="97"/>
        <v/>
      </c>
      <c r="AA470" s="20">
        <f t="shared" si="92"/>
        <v>2.0833333333333315E-2</v>
      </c>
      <c r="AB470">
        <f t="shared" si="98"/>
        <v>469</v>
      </c>
      <c r="AC470" s="20" t="str">
        <f t="shared" si="99"/>
        <v>11:25</v>
      </c>
      <c r="AD470" s="20" t="str">
        <f t="shared" si="93"/>
        <v>11:55</v>
      </c>
      <c r="AE470" t="str">
        <f>VLOOKUP(G470,ACtypes!A:C,3,FALSE)</f>
        <v>C</v>
      </c>
      <c r="AF470" t="str">
        <f t="shared" si="100"/>
        <v/>
      </c>
      <c r="AG470" t="str">
        <f t="shared" si="101"/>
        <v/>
      </c>
      <c r="AH470">
        <f t="shared" si="102"/>
        <v>110</v>
      </c>
    </row>
    <row r="471" spans="1:34" x14ac:dyDescent="0.3">
      <c r="A471" s="41">
        <f t="shared" si="103"/>
        <v>470</v>
      </c>
      <c r="B471" s="27">
        <v>256</v>
      </c>
      <c r="C471" s="28" t="s">
        <v>25</v>
      </c>
      <c r="D471" s="28" t="s">
        <v>13</v>
      </c>
      <c r="E471" s="28" t="s">
        <v>335</v>
      </c>
      <c r="F471" s="28" t="s">
        <v>15</v>
      </c>
      <c r="G471" s="28" t="s">
        <v>16</v>
      </c>
      <c r="H471" s="27">
        <v>0</v>
      </c>
      <c r="I471" s="27">
        <v>110</v>
      </c>
      <c r="J471" s="28" t="s">
        <v>17</v>
      </c>
      <c r="K471" s="27">
        <v>25</v>
      </c>
      <c r="L471" s="28" t="s">
        <v>18</v>
      </c>
      <c r="M471" s="27">
        <v>0</v>
      </c>
      <c r="O471" s="23">
        <v>477</v>
      </c>
      <c r="P471" t="str">
        <f>IF(O471&gt;0,VLOOKUP($O471,Dep!$A:$M,3),"")</f>
        <v>12:35</v>
      </c>
      <c r="Q471" t="str">
        <f>IF(O471&gt;0,VLOOKUP($O471,Dep!$A:$M,6),"")</f>
        <v>SLC</v>
      </c>
      <c r="R471" t="str">
        <f>IF(O471&gt;0,VLOOKUP($O471,Dep!$A:$M,7),"")</f>
        <v>733</v>
      </c>
      <c r="S471">
        <f>IF(O471&gt;0,VLOOKUP($O471,Dep!$A:$M,9),"")</f>
        <v>110</v>
      </c>
      <c r="T471" t="str">
        <f>IF(O471&gt;0,VLOOKUP($O471,Dep!$A:$M,10),"")</f>
        <v>NAT</v>
      </c>
      <c r="U471" t="str">
        <f>IF(O471&gt;0,VLOOKUP($O471,Dep!$A:$M,12),"")</f>
        <v>WN</v>
      </c>
      <c r="V471" t="str">
        <f t="shared" si="94"/>
        <v/>
      </c>
      <c r="W471" t="str">
        <f t="shared" si="95"/>
        <v/>
      </c>
      <c r="X471" t="str">
        <f t="shared" si="96"/>
        <v>X</v>
      </c>
      <c r="Y471">
        <f t="shared" si="91"/>
        <v>0</v>
      </c>
      <c r="Z471" t="str">
        <f t="shared" si="97"/>
        <v/>
      </c>
      <c r="AA471" s="20">
        <f t="shared" si="92"/>
        <v>4.5138888888888895E-2</v>
      </c>
      <c r="AB471">
        <f t="shared" si="98"/>
        <v>470</v>
      </c>
      <c r="AC471" s="20" t="str">
        <f t="shared" si="99"/>
        <v>11:30</v>
      </c>
      <c r="AD471" s="20" t="str">
        <f t="shared" si="93"/>
        <v>12:35</v>
      </c>
      <c r="AE471" t="str">
        <f>VLOOKUP(G471,ACtypes!A:C,3,FALSE)</f>
        <v>C</v>
      </c>
      <c r="AF471" t="str">
        <f t="shared" si="100"/>
        <v/>
      </c>
      <c r="AG471" t="str">
        <f t="shared" si="101"/>
        <v/>
      </c>
      <c r="AH471">
        <f t="shared" si="102"/>
        <v>110</v>
      </c>
    </row>
    <row r="472" spans="1:34" x14ac:dyDescent="0.3">
      <c r="A472" s="41">
        <f t="shared" si="103"/>
        <v>471</v>
      </c>
      <c r="B472" s="27">
        <v>199</v>
      </c>
      <c r="C472" s="28" t="s">
        <v>239</v>
      </c>
      <c r="D472" s="28" t="s">
        <v>13</v>
      </c>
      <c r="E472" s="28" t="s">
        <v>265</v>
      </c>
      <c r="F472" s="28" t="s">
        <v>15</v>
      </c>
      <c r="G472" s="28" t="s">
        <v>16</v>
      </c>
      <c r="H472" s="27">
        <v>0</v>
      </c>
      <c r="I472" s="27">
        <v>110</v>
      </c>
      <c r="J472" s="28" t="s">
        <v>17</v>
      </c>
      <c r="K472" s="27">
        <v>25</v>
      </c>
      <c r="L472" s="28" t="s">
        <v>18</v>
      </c>
      <c r="M472" s="27">
        <v>0</v>
      </c>
      <c r="O472" s="23">
        <v>478</v>
      </c>
      <c r="P472" t="str">
        <f>IF(O472&gt;0,VLOOKUP($O472,Dep!$A:$M,3),"")</f>
        <v>12:45</v>
      </c>
      <c r="Q472" t="str">
        <f>IF(O472&gt;0,VLOOKUP($O472,Dep!$A:$M,6),"")</f>
        <v>RNO</v>
      </c>
      <c r="R472" t="str">
        <f>IF(O472&gt;0,VLOOKUP($O472,Dep!$A:$M,7),"")</f>
        <v>733</v>
      </c>
      <c r="S472">
        <f>IF(O472&gt;0,VLOOKUP($O472,Dep!$A:$M,9),"")</f>
        <v>110</v>
      </c>
      <c r="T472" t="str">
        <f>IF(O472&gt;0,VLOOKUP($O472,Dep!$A:$M,10),"")</f>
        <v>NAT</v>
      </c>
      <c r="U472" t="str">
        <f>IF(O472&gt;0,VLOOKUP($O472,Dep!$A:$M,12),"")</f>
        <v>WN</v>
      </c>
      <c r="V472" t="str">
        <f t="shared" si="94"/>
        <v/>
      </c>
      <c r="W472" t="str">
        <f t="shared" si="95"/>
        <v/>
      </c>
      <c r="X472" t="str">
        <f t="shared" si="96"/>
        <v>X</v>
      </c>
      <c r="Y472">
        <f t="shared" si="91"/>
        <v>0</v>
      </c>
      <c r="Z472" t="str">
        <f t="shared" si="97"/>
        <v/>
      </c>
      <c r="AA472" s="20">
        <f t="shared" si="92"/>
        <v>2.777777777777779E-2</v>
      </c>
      <c r="AB472">
        <f t="shared" si="98"/>
        <v>471</v>
      </c>
      <c r="AC472" s="20" t="str">
        <f t="shared" si="99"/>
        <v>12:05</v>
      </c>
      <c r="AD472" s="20" t="str">
        <f t="shared" si="93"/>
        <v>12:45</v>
      </c>
      <c r="AE472" t="str">
        <f>VLOOKUP(G472,ACtypes!A:C,3,FALSE)</f>
        <v>C</v>
      </c>
      <c r="AF472" t="str">
        <f t="shared" si="100"/>
        <v/>
      </c>
      <c r="AG472" t="str">
        <f t="shared" si="101"/>
        <v/>
      </c>
      <c r="AH472">
        <f t="shared" si="102"/>
        <v>110</v>
      </c>
    </row>
    <row r="473" spans="1:34" x14ac:dyDescent="0.3">
      <c r="A473" s="41">
        <f t="shared" si="103"/>
        <v>472</v>
      </c>
      <c r="B473" s="27">
        <v>44</v>
      </c>
      <c r="C473" s="28" t="s">
        <v>87</v>
      </c>
      <c r="D473" s="28" t="s">
        <v>13</v>
      </c>
      <c r="E473" s="28" t="s">
        <v>86</v>
      </c>
      <c r="F473" s="28" t="s">
        <v>15</v>
      </c>
      <c r="G473" s="28" t="s">
        <v>16</v>
      </c>
      <c r="H473" s="27">
        <v>0</v>
      </c>
      <c r="I473" s="27">
        <v>110</v>
      </c>
      <c r="J473" s="28" t="s">
        <v>17</v>
      </c>
      <c r="K473" s="27">
        <v>25</v>
      </c>
      <c r="L473" s="28" t="s">
        <v>18</v>
      </c>
      <c r="M473" s="27">
        <v>0</v>
      </c>
      <c r="O473" s="23">
        <v>479</v>
      </c>
      <c r="P473" t="str">
        <f>IF(O473&gt;0,VLOOKUP($O473,Dep!$A:$M,3),"")</f>
        <v>13:50</v>
      </c>
      <c r="Q473" t="str">
        <f>IF(O473&gt;0,VLOOKUP($O473,Dep!$A:$M,6),"")</f>
        <v>LAS</v>
      </c>
      <c r="R473" t="str">
        <f>IF(O473&gt;0,VLOOKUP($O473,Dep!$A:$M,7),"")</f>
        <v>733</v>
      </c>
      <c r="S473">
        <f>IF(O473&gt;0,VLOOKUP($O473,Dep!$A:$M,9),"")</f>
        <v>110</v>
      </c>
      <c r="T473" t="str">
        <f>IF(O473&gt;0,VLOOKUP($O473,Dep!$A:$M,10),"")</f>
        <v>NAT</v>
      </c>
      <c r="U473" t="str">
        <f>IF(O473&gt;0,VLOOKUP($O473,Dep!$A:$M,12),"")</f>
        <v>WN</v>
      </c>
      <c r="V473" t="str">
        <f t="shared" si="94"/>
        <v/>
      </c>
      <c r="W473" t="str">
        <f t="shared" si="95"/>
        <v/>
      </c>
      <c r="X473" t="str">
        <f t="shared" si="96"/>
        <v>X</v>
      </c>
      <c r="Y473">
        <f t="shared" si="91"/>
        <v>0</v>
      </c>
      <c r="Z473" t="str">
        <f t="shared" si="97"/>
        <v/>
      </c>
      <c r="AA473" s="20">
        <f t="shared" si="92"/>
        <v>6.5972222222222321E-2</v>
      </c>
      <c r="AB473">
        <f t="shared" si="98"/>
        <v>472</v>
      </c>
      <c r="AC473" s="20" t="str">
        <f t="shared" si="99"/>
        <v>12:15</v>
      </c>
      <c r="AD473" s="20" t="str">
        <f t="shared" si="93"/>
        <v>13:50</v>
      </c>
      <c r="AE473" t="str">
        <f>VLOOKUP(G473,ACtypes!A:C,3,FALSE)</f>
        <v>C</v>
      </c>
      <c r="AF473" t="str">
        <f t="shared" si="100"/>
        <v/>
      </c>
      <c r="AG473" t="str">
        <f t="shared" si="101"/>
        <v/>
      </c>
      <c r="AH473">
        <f t="shared" si="102"/>
        <v>110</v>
      </c>
    </row>
    <row r="474" spans="1:34" x14ac:dyDescent="0.3">
      <c r="A474" s="41">
        <f t="shared" si="103"/>
        <v>473</v>
      </c>
      <c r="B474" s="27">
        <v>339</v>
      </c>
      <c r="C474" s="28" t="s">
        <v>396</v>
      </c>
      <c r="D474" s="28" t="s">
        <v>13</v>
      </c>
      <c r="E474" s="28" t="s">
        <v>404</v>
      </c>
      <c r="F474" s="28" t="s">
        <v>15</v>
      </c>
      <c r="G474" s="28" t="s">
        <v>16</v>
      </c>
      <c r="H474" s="27">
        <v>0</v>
      </c>
      <c r="I474" s="27">
        <v>110</v>
      </c>
      <c r="J474" s="28" t="s">
        <v>17</v>
      </c>
      <c r="K474" s="27">
        <v>25</v>
      </c>
      <c r="L474" s="28" t="s">
        <v>18</v>
      </c>
      <c r="M474" s="27">
        <v>0</v>
      </c>
      <c r="O474" s="23">
        <v>480</v>
      </c>
      <c r="P474" t="str">
        <f>IF(O474&gt;0,VLOOKUP($O474,Dep!$A:$M,3),"")</f>
        <v>15:05</v>
      </c>
      <c r="Q474" t="str">
        <f>IF(O474&gt;0,VLOOKUP($O474,Dep!$A:$M,6),"")</f>
        <v>ABQ</v>
      </c>
      <c r="R474" t="str">
        <f>IF(O474&gt;0,VLOOKUP($O474,Dep!$A:$M,7),"")</f>
        <v>733</v>
      </c>
      <c r="S474">
        <f>IF(O474&gt;0,VLOOKUP($O474,Dep!$A:$M,9),"")</f>
        <v>110</v>
      </c>
      <c r="T474" t="str">
        <f>IF(O474&gt;0,VLOOKUP($O474,Dep!$A:$M,10),"")</f>
        <v>NAT</v>
      </c>
      <c r="U474" t="str">
        <f>IF(O474&gt;0,VLOOKUP($O474,Dep!$A:$M,12),"")</f>
        <v>WN</v>
      </c>
      <c r="V474" t="str">
        <f t="shared" si="94"/>
        <v/>
      </c>
      <c r="W474" t="str">
        <f t="shared" si="95"/>
        <v/>
      </c>
      <c r="X474" t="str">
        <f t="shared" si="96"/>
        <v>X</v>
      </c>
      <c r="Y474">
        <f t="shared" si="91"/>
        <v>0</v>
      </c>
      <c r="Z474" t="str">
        <f t="shared" si="97"/>
        <v/>
      </c>
      <c r="AA474" s="20">
        <f t="shared" si="92"/>
        <v>6.944444444444442E-2</v>
      </c>
      <c r="AB474">
        <f t="shared" si="98"/>
        <v>473</v>
      </c>
      <c r="AC474" s="20" t="str">
        <f t="shared" si="99"/>
        <v>13:25</v>
      </c>
      <c r="AD474" s="20" t="str">
        <f t="shared" si="93"/>
        <v>15:05</v>
      </c>
      <c r="AE474" t="str">
        <f>VLOOKUP(G474,ACtypes!A:C,3,FALSE)</f>
        <v>C</v>
      </c>
      <c r="AF474" t="str">
        <f t="shared" si="100"/>
        <v/>
      </c>
      <c r="AG474" t="str">
        <f t="shared" si="101"/>
        <v/>
      </c>
      <c r="AH474">
        <f t="shared" si="102"/>
        <v>110</v>
      </c>
    </row>
    <row r="475" spans="1:34" x14ac:dyDescent="0.3">
      <c r="A475" s="41">
        <f t="shared" si="103"/>
        <v>474</v>
      </c>
      <c r="B475" s="27">
        <v>926</v>
      </c>
      <c r="C475" s="28" t="s">
        <v>502</v>
      </c>
      <c r="D475" s="28" t="s">
        <v>13</v>
      </c>
      <c r="E475" s="28" t="s">
        <v>501</v>
      </c>
      <c r="F475" s="28" t="s">
        <v>15</v>
      </c>
      <c r="G475" s="28" t="s">
        <v>16</v>
      </c>
      <c r="H475" s="27">
        <v>0</v>
      </c>
      <c r="I475" s="27">
        <v>110</v>
      </c>
      <c r="J475" s="28" t="s">
        <v>17</v>
      </c>
      <c r="K475" s="27">
        <v>25</v>
      </c>
      <c r="L475" s="28" t="s">
        <v>18</v>
      </c>
      <c r="M475" s="27">
        <v>0</v>
      </c>
      <c r="O475" s="23">
        <v>481</v>
      </c>
      <c r="P475" t="str">
        <f>IF(O475&gt;0,VLOOKUP($O475,Dep!$A:$M,3),"")</f>
        <v>15:10</v>
      </c>
      <c r="Q475" t="str">
        <f>IF(O475&gt;0,VLOOKUP($O475,Dep!$A:$M,6),"")</f>
        <v>PHX</v>
      </c>
      <c r="R475" t="str">
        <f>IF(O475&gt;0,VLOOKUP($O475,Dep!$A:$M,7),"")</f>
        <v>733</v>
      </c>
      <c r="S475">
        <f>IF(O475&gt;0,VLOOKUP($O475,Dep!$A:$M,9),"")</f>
        <v>110</v>
      </c>
      <c r="T475" t="str">
        <f>IF(O475&gt;0,VLOOKUP($O475,Dep!$A:$M,10),"")</f>
        <v>NAT</v>
      </c>
      <c r="U475" t="str">
        <f>IF(O475&gt;0,VLOOKUP($O475,Dep!$A:$M,12),"")</f>
        <v>WN</v>
      </c>
      <c r="V475" t="str">
        <f t="shared" si="94"/>
        <v/>
      </c>
      <c r="W475" t="str">
        <f t="shared" si="95"/>
        <v/>
      </c>
      <c r="X475" t="str">
        <f t="shared" si="96"/>
        <v>X</v>
      </c>
      <c r="Y475">
        <f t="shared" si="91"/>
        <v>0</v>
      </c>
      <c r="Z475" t="str">
        <f t="shared" si="97"/>
        <v/>
      </c>
      <c r="AA475" s="20">
        <f t="shared" si="92"/>
        <v>2.4305555555555469E-2</v>
      </c>
      <c r="AB475">
        <f t="shared" si="98"/>
        <v>474</v>
      </c>
      <c r="AC475" s="20" t="str">
        <f t="shared" si="99"/>
        <v>14:35</v>
      </c>
      <c r="AD475" s="20" t="str">
        <f t="shared" si="93"/>
        <v>15:10</v>
      </c>
      <c r="AE475" t="str">
        <f>VLOOKUP(G475,ACtypes!A:C,3,FALSE)</f>
        <v>C</v>
      </c>
      <c r="AF475" t="str">
        <f t="shared" si="100"/>
        <v/>
      </c>
      <c r="AG475" t="str">
        <f t="shared" si="101"/>
        <v/>
      </c>
      <c r="AH475">
        <f t="shared" si="102"/>
        <v>110</v>
      </c>
    </row>
    <row r="476" spans="1:34" x14ac:dyDescent="0.3">
      <c r="A476" s="41">
        <f t="shared" si="103"/>
        <v>475</v>
      </c>
      <c r="B476" s="27">
        <v>340</v>
      </c>
      <c r="C476" s="28" t="s">
        <v>408</v>
      </c>
      <c r="D476" s="28" t="s">
        <v>13</v>
      </c>
      <c r="E476" s="28" t="s">
        <v>404</v>
      </c>
      <c r="F476" s="28" t="s">
        <v>15</v>
      </c>
      <c r="G476" s="28" t="s">
        <v>16</v>
      </c>
      <c r="H476" s="27">
        <v>0</v>
      </c>
      <c r="I476" s="27">
        <v>110</v>
      </c>
      <c r="J476" s="28" t="s">
        <v>17</v>
      </c>
      <c r="K476" s="27">
        <v>25</v>
      </c>
      <c r="L476" s="28" t="s">
        <v>18</v>
      </c>
      <c r="M476" s="27">
        <v>0</v>
      </c>
      <c r="O476" s="23">
        <v>482</v>
      </c>
      <c r="P476" t="str">
        <f>IF(O476&gt;0,VLOOKUP($O476,Dep!$A:$M,3),"")</f>
        <v>15:45</v>
      </c>
      <c r="Q476" t="str">
        <f>IF(O476&gt;0,VLOOKUP($O476,Dep!$A:$M,6),"")</f>
        <v>OAK</v>
      </c>
      <c r="R476" t="str">
        <f>IF(O476&gt;0,VLOOKUP($O476,Dep!$A:$M,7),"")</f>
        <v>733</v>
      </c>
      <c r="S476">
        <f>IF(O476&gt;0,VLOOKUP($O476,Dep!$A:$M,9),"")</f>
        <v>110</v>
      </c>
      <c r="T476" t="str">
        <f>IF(O476&gt;0,VLOOKUP($O476,Dep!$A:$M,10),"")</f>
        <v>NAT</v>
      </c>
      <c r="U476" t="str">
        <f>IF(O476&gt;0,VLOOKUP($O476,Dep!$A:$M,12),"")</f>
        <v>WN</v>
      </c>
      <c r="V476" t="str">
        <f t="shared" si="94"/>
        <v/>
      </c>
      <c r="W476" t="str">
        <f t="shared" si="95"/>
        <v/>
      </c>
      <c r="X476" t="str">
        <f t="shared" si="96"/>
        <v>X</v>
      </c>
      <c r="Y476">
        <f t="shared" si="91"/>
        <v>0</v>
      </c>
      <c r="Z476" t="str">
        <f t="shared" si="97"/>
        <v/>
      </c>
      <c r="AA476" s="20">
        <f t="shared" si="92"/>
        <v>4.5138888888888951E-2</v>
      </c>
      <c r="AB476">
        <f t="shared" si="98"/>
        <v>475</v>
      </c>
      <c r="AC476" s="20" t="str">
        <f t="shared" si="99"/>
        <v>14:40</v>
      </c>
      <c r="AD476" s="20" t="str">
        <f t="shared" si="93"/>
        <v>15:45</v>
      </c>
      <c r="AE476" t="str">
        <f>VLOOKUP(G476,ACtypes!A:C,3,FALSE)</f>
        <v>C</v>
      </c>
      <c r="AF476" t="str">
        <f t="shared" si="100"/>
        <v/>
      </c>
      <c r="AG476" t="str">
        <f t="shared" si="101"/>
        <v/>
      </c>
      <c r="AH476">
        <f t="shared" si="102"/>
        <v>110</v>
      </c>
    </row>
    <row r="477" spans="1:34" x14ac:dyDescent="0.3">
      <c r="A477" s="41">
        <f t="shared" si="103"/>
        <v>476</v>
      </c>
      <c r="B477" s="27">
        <v>902</v>
      </c>
      <c r="C477" s="28" t="s">
        <v>274</v>
      </c>
      <c r="D477" s="28" t="s">
        <v>13</v>
      </c>
      <c r="E477" s="28" t="s">
        <v>455</v>
      </c>
      <c r="F477" s="28" t="s">
        <v>15</v>
      </c>
      <c r="G477" s="28" t="s">
        <v>16</v>
      </c>
      <c r="H477" s="27">
        <v>0</v>
      </c>
      <c r="I477" s="27">
        <v>110</v>
      </c>
      <c r="J477" s="28" t="s">
        <v>17</v>
      </c>
      <c r="K477" s="27">
        <v>25</v>
      </c>
      <c r="L477" s="28" t="s">
        <v>18</v>
      </c>
      <c r="M477" s="27">
        <v>0</v>
      </c>
      <c r="O477" s="23">
        <v>483</v>
      </c>
      <c r="P477" t="str">
        <f>IF(O477&gt;0,VLOOKUP($O477,Dep!$A:$M,3),"")</f>
        <v>16:05</v>
      </c>
      <c r="Q477" t="str">
        <f>IF(O477&gt;0,VLOOKUP($O477,Dep!$A:$M,6),"")</f>
        <v>GEG</v>
      </c>
      <c r="R477" t="str">
        <f>IF(O477&gt;0,VLOOKUP($O477,Dep!$A:$M,7),"")</f>
        <v>733</v>
      </c>
      <c r="S477">
        <f>IF(O477&gt;0,VLOOKUP($O477,Dep!$A:$M,9),"")</f>
        <v>110</v>
      </c>
      <c r="T477" t="str">
        <f>IF(O477&gt;0,VLOOKUP($O477,Dep!$A:$M,10),"")</f>
        <v>NAT</v>
      </c>
      <c r="U477" t="str">
        <f>IF(O477&gt;0,VLOOKUP($O477,Dep!$A:$M,12),"")</f>
        <v>WN</v>
      </c>
      <c r="V477" t="str">
        <f t="shared" si="94"/>
        <v/>
      </c>
      <c r="W477" t="str">
        <f t="shared" si="95"/>
        <v/>
      </c>
      <c r="X477" t="str">
        <f t="shared" si="96"/>
        <v>X</v>
      </c>
      <c r="Y477">
        <f t="shared" si="91"/>
        <v>0</v>
      </c>
      <c r="Z477" t="str">
        <f t="shared" si="97"/>
        <v/>
      </c>
      <c r="AA477" s="20">
        <f t="shared" si="92"/>
        <v>3.472222222222221E-2</v>
      </c>
      <c r="AB477">
        <f t="shared" si="98"/>
        <v>476</v>
      </c>
      <c r="AC477" s="20" t="str">
        <f t="shared" si="99"/>
        <v>15:15</v>
      </c>
      <c r="AD477" s="20" t="str">
        <f t="shared" si="93"/>
        <v>16:05</v>
      </c>
      <c r="AE477" t="str">
        <f>VLOOKUP(G477,ACtypes!A:C,3,FALSE)</f>
        <v>C</v>
      </c>
      <c r="AF477" t="str">
        <f t="shared" si="100"/>
        <v/>
      </c>
      <c r="AG477" t="str">
        <f t="shared" si="101"/>
        <v/>
      </c>
      <c r="AH477">
        <f t="shared" si="102"/>
        <v>110</v>
      </c>
    </row>
    <row r="478" spans="1:34" x14ac:dyDescent="0.3">
      <c r="A478" s="41">
        <f t="shared" si="103"/>
        <v>477</v>
      </c>
      <c r="B478" s="27">
        <v>259</v>
      </c>
      <c r="C478" s="28" t="s">
        <v>338</v>
      </c>
      <c r="D478" s="28" t="s">
        <v>13</v>
      </c>
      <c r="E478" s="28" t="s">
        <v>335</v>
      </c>
      <c r="F478" s="28" t="s">
        <v>15</v>
      </c>
      <c r="G478" s="28" t="s">
        <v>16</v>
      </c>
      <c r="H478" s="27">
        <v>0</v>
      </c>
      <c r="I478" s="27">
        <v>110</v>
      </c>
      <c r="J478" s="28" t="s">
        <v>17</v>
      </c>
      <c r="K478" s="27">
        <v>25</v>
      </c>
      <c r="L478" s="28" t="s">
        <v>18</v>
      </c>
      <c r="M478" s="27">
        <v>0</v>
      </c>
      <c r="O478" s="23">
        <v>484</v>
      </c>
      <c r="P478" t="str">
        <f>IF(O478&gt;0,VLOOKUP($O478,Dep!$A:$M,3),"")</f>
        <v>17:15</v>
      </c>
      <c r="Q478" t="str">
        <f>IF(O478&gt;0,VLOOKUP($O478,Dep!$A:$M,6),"")</f>
        <v>RNO</v>
      </c>
      <c r="R478" t="str">
        <f>IF(O478&gt;0,VLOOKUP($O478,Dep!$A:$M,7),"")</f>
        <v>733</v>
      </c>
      <c r="S478">
        <f>IF(O478&gt;0,VLOOKUP($O478,Dep!$A:$M,9),"")</f>
        <v>110</v>
      </c>
      <c r="T478" t="str">
        <f>IF(O478&gt;0,VLOOKUP($O478,Dep!$A:$M,10),"")</f>
        <v>NAT</v>
      </c>
      <c r="U478" t="str">
        <f>IF(O478&gt;0,VLOOKUP($O478,Dep!$A:$M,12),"")</f>
        <v>WN</v>
      </c>
      <c r="V478" t="str">
        <f t="shared" si="94"/>
        <v/>
      </c>
      <c r="W478" t="str">
        <f t="shared" si="95"/>
        <v/>
      </c>
      <c r="X478" t="str">
        <f t="shared" si="96"/>
        <v>X</v>
      </c>
      <c r="Y478">
        <f t="shared" si="91"/>
        <v>0</v>
      </c>
      <c r="Z478" t="str">
        <f t="shared" si="97"/>
        <v/>
      </c>
      <c r="AA478" s="20">
        <f t="shared" si="92"/>
        <v>6.597222222222221E-2</v>
      </c>
      <c r="AB478">
        <f t="shared" si="98"/>
        <v>477</v>
      </c>
      <c r="AC478" s="20" t="str">
        <f t="shared" si="99"/>
        <v>15:40</v>
      </c>
      <c r="AD478" s="20" t="str">
        <f t="shared" si="93"/>
        <v>17:15</v>
      </c>
      <c r="AE478" t="str">
        <f>VLOOKUP(G478,ACtypes!A:C,3,FALSE)</f>
        <v>C</v>
      </c>
      <c r="AF478" t="str">
        <f t="shared" si="100"/>
        <v/>
      </c>
      <c r="AG478" t="str">
        <f t="shared" si="101"/>
        <v/>
      </c>
      <c r="AH478">
        <f t="shared" si="102"/>
        <v>110</v>
      </c>
    </row>
    <row r="479" spans="1:34" x14ac:dyDescent="0.3">
      <c r="A479" s="41">
        <f t="shared" si="103"/>
        <v>478</v>
      </c>
      <c r="B479" s="27">
        <v>136</v>
      </c>
      <c r="C479" s="28" t="s">
        <v>104</v>
      </c>
      <c r="D479" s="28" t="s">
        <v>13</v>
      </c>
      <c r="E479" s="28" t="s">
        <v>196</v>
      </c>
      <c r="F479" s="28" t="s">
        <v>15</v>
      </c>
      <c r="G479" s="28" t="s">
        <v>16</v>
      </c>
      <c r="H479" s="27">
        <v>0</v>
      </c>
      <c r="I479" s="27">
        <v>110</v>
      </c>
      <c r="J479" s="28" t="s">
        <v>17</v>
      </c>
      <c r="K479" s="27">
        <v>25</v>
      </c>
      <c r="L479" s="28" t="s">
        <v>18</v>
      </c>
      <c r="M479" s="27">
        <v>0</v>
      </c>
      <c r="O479" s="23">
        <v>485</v>
      </c>
      <c r="P479" t="str">
        <f>IF(O479&gt;0,VLOOKUP($O479,Dep!$A:$M,3),"")</f>
        <v>17:50</v>
      </c>
      <c r="Q479" t="str">
        <f>IF(O479&gt;0,VLOOKUP($O479,Dep!$A:$M,6),"")</f>
        <v>BOI</v>
      </c>
      <c r="R479" t="str">
        <f>IF(O479&gt;0,VLOOKUP($O479,Dep!$A:$M,7),"")</f>
        <v>733</v>
      </c>
      <c r="S479">
        <f>IF(O479&gt;0,VLOOKUP($O479,Dep!$A:$M,9),"")</f>
        <v>110</v>
      </c>
      <c r="T479" t="str">
        <f>IF(O479&gt;0,VLOOKUP($O479,Dep!$A:$M,10),"")</f>
        <v>NAT</v>
      </c>
      <c r="U479" t="str">
        <f>IF(O479&gt;0,VLOOKUP($O479,Dep!$A:$M,12),"")</f>
        <v>WN</v>
      </c>
      <c r="V479" t="str">
        <f t="shared" si="94"/>
        <v/>
      </c>
      <c r="W479" t="str">
        <f t="shared" si="95"/>
        <v/>
      </c>
      <c r="X479" t="str">
        <f t="shared" si="96"/>
        <v>X</v>
      </c>
      <c r="Y479">
        <f t="shared" si="91"/>
        <v>0</v>
      </c>
      <c r="Z479" t="str">
        <f t="shared" si="97"/>
        <v/>
      </c>
      <c r="AA479" s="20">
        <f t="shared" si="92"/>
        <v>4.166666666666663E-2</v>
      </c>
      <c r="AB479">
        <f t="shared" si="98"/>
        <v>478</v>
      </c>
      <c r="AC479" s="20" t="str">
        <f t="shared" si="99"/>
        <v>16:50</v>
      </c>
      <c r="AD479" s="20" t="str">
        <f t="shared" si="93"/>
        <v>17:50</v>
      </c>
      <c r="AE479" t="str">
        <f>VLOOKUP(G479,ACtypes!A:C,3,FALSE)</f>
        <v>C</v>
      </c>
      <c r="AF479" t="str">
        <f t="shared" si="100"/>
        <v/>
      </c>
      <c r="AG479" t="str">
        <f t="shared" si="101"/>
        <v/>
      </c>
      <c r="AH479">
        <f t="shared" si="102"/>
        <v>110</v>
      </c>
    </row>
    <row r="480" spans="1:34" x14ac:dyDescent="0.3">
      <c r="A480" s="41">
        <f t="shared" si="103"/>
        <v>479</v>
      </c>
      <c r="B480" s="27">
        <v>336</v>
      </c>
      <c r="C480" s="28" t="s">
        <v>403</v>
      </c>
      <c r="D480" s="28" t="s">
        <v>13</v>
      </c>
      <c r="E480" s="28" t="s">
        <v>404</v>
      </c>
      <c r="F480" s="28" t="s">
        <v>15</v>
      </c>
      <c r="G480" s="28" t="s">
        <v>16</v>
      </c>
      <c r="H480" s="27">
        <v>0</v>
      </c>
      <c r="I480" s="27">
        <v>110</v>
      </c>
      <c r="J480" s="28" t="s">
        <v>17</v>
      </c>
      <c r="K480" s="27">
        <v>25</v>
      </c>
      <c r="L480" s="28" t="s">
        <v>18</v>
      </c>
      <c r="M480" s="27">
        <v>0</v>
      </c>
      <c r="O480" s="23">
        <v>486</v>
      </c>
      <c r="P480" t="str">
        <f>IF(O480&gt;0,VLOOKUP($O480,Dep!$A:$M,3),"")</f>
        <v>18:05</v>
      </c>
      <c r="Q480" t="str">
        <f>IF(O480&gt;0,VLOOKUP($O480,Dep!$A:$M,6),"")</f>
        <v>SMF</v>
      </c>
      <c r="R480" t="str">
        <f>IF(O480&gt;0,VLOOKUP($O480,Dep!$A:$M,7),"")</f>
        <v>733</v>
      </c>
      <c r="S480">
        <f>IF(O480&gt;0,VLOOKUP($O480,Dep!$A:$M,9),"")</f>
        <v>110</v>
      </c>
      <c r="T480" t="str">
        <f>IF(O480&gt;0,VLOOKUP($O480,Dep!$A:$M,10),"")</f>
        <v>NAT</v>
      </c>
      <c r="U480" t="str">
        <f>IF(O480&gt;0,VLOOKUP($O480,Dep!$A:$M,12),"")</f>
        <v>WN</v>
      </c>
      <c r="V480" t="str">
        <f t="shared" si="94"/>
        <v/>
      </c>
      <c r="W480" t="str">
        <f t="shared" si="95"/>
        <v/>
      </c>
      <c r="X480" t="str">
        <f t="shared" si="96"/>
        <v>X</v>
      </c>
      <c r="Y480">
        <f t="shared" si="91"/>
        <v>0</v>
      </c>
      <c r="Z480" t="str">
        <f t="shared" si="97"/>
        <v/>
      </c>
      <c r="AA480" s="20">
        <f t="shared" si="92"/>
        <v>3.125E-2</v>
      </c>
      <c r="AB480">
        <f t="shared" si="98"/>
        <v>479</v>
      </c>
      <c r="AC480" s="20" t="str">
        <f t="shared" si="99"/>
        <v>17:20</v>
      </c>
      <c r="AD480" s="20" t="str">
        <f t="shared" si="93"/>
        <v>18:05</v>
      </c>
      <c r="AE480" t="str">
        <f>VLOOKUP(G480,ACtypes!A:C,3,FALSE)</f>
        <v>C</v>
      </c>
      <c r="AF480" t="str">
        <f t="shared" si="100"/>
        <v/>
      </c>
      <c r="AG480" t="str">
        <f t="shared" si="101"/>
        <v/>
      </c>
      <c r="AH480">
        <f t="shared" si="102"/>
        <v>110</v>
      </c>
    </row>
    <row r="481" spans="1:34" x14ac:dyDescent="0.3">
      <c r="A481" s="41">
        <f t="shared" si="103"/>
        <v>480</v>
      </c>
      <c r="B481" s="27">
        <v>369</v>
      </c>
      <c r="C481" s="28" t="s">
        <v>210</v>
      </c>
      <c r="D481" s="28" t="s">
        <v>13</v>
      </c>
      <c r="E481" s="28" t="s">
        <v>427</v>
      </c>
      <c r="F481" s="28" t="s">
        <v>15</v>
      </c>
      <c r="G481" s="28" t="s">
        <v>16</v>
      </c>
      <c r="H481" s="27">
        <v>0</v>
      </c>
      <c r="I481" s="27">
        <v>110</v>
      </c>
      <c r="J481" s="28" t="s">
        <v>17</v>
      </c>
      <c r="K481" s="27">
        <v>25</v>
      </c>
      <c r="L481" s="28" t="s">
        <v>18</v>
      </c>
      <c r="M481" s="27">
        <v>0</v>
      </c>
      <c r="O481" s="23">
        <v>487</v>
      </c>
      <c r="P481" t="str">
        <f>IF(O481&gt;0,VLOOKUP($O481,Dep!$A:$M,3),"")</f>
        <v>18:55</v>
      </c>
      <c r="Q481" t="str">
        <f>IF(O481&gt;0,VLOOKUP($O481,Dep!$A:$M,6),"")</f>
        <v>SLC</v>
      </c>
      <c r="R481" t="str">
        <f>IF(O481&gt;0,VLOOKUP($O481,Dep!$A:$M,7),"")</f>
        <v>733</v>
      </c>
      <c r="S481">
        <f>IF(O481&gt;0,VLOOKUP($O481,Dep!$A:$M,9),"")</f>
        <v>110</v>
      </c>
      <c r="T481" t="str">
        <f>IF(O481&gt;0,VLOOKUP($O481,Dep!$A:$M,10),"")</f>
        <v>NAT</v>
      </c>
      <c r="U481" t="str">
        <f>IF(O481&gt;0,VLOOKUP($O481,Dep!$A:$M,12),"")</f>
        <v>WN</v>
      </c>
      <c r="V481" t="str">
        <f t="shared" si="94"/>
        <v/>
      </c>
      <c r="W481" t="str">
        <f t="shared" si="95"/>
        <v/>
      </c>
      <c r="X481" t="str">
        <f t="shared" si="96"/>
        <v>X</v>
      </c>
      <c r="Y481">
        <f t="shared" si="91"/>
        <v>0</v>
      </c>
      <c r="Z481" t="str">
        <f t="shared" si="97"/>
        <v/>
      </c>
      <c r="AA481" s="20">
        <f t="shared" si="92"/>
        <v>5.5555555555555691E-2</v>
      </c>
      <c r="AB481">
        <f t="shared" si="98"/>
        <v>480</v>
      </c>
      <c r="AC481" s="20" t="str">
        <f t="shared" si="99"/>
        <v>17:35</v>
      </c>
      <c r="AD481" s="20" t="str">
        <f t="shared" si="93"/>
        <v>18:55</v>
      </c>
      <c r="AE481" t="str">
        <f>VLOOKUP(G481,ACtypes!A:C,3,FALSE)</f>
        <v>C</v>
      </c>
      <c r="AF481" t="str">
        <f t="shared" si="100"/>
        <v/>
      </c>
      <c r="AG481" t="str">
        <f t="shared" si="101"/>
        <v/>
      </c>
      <c r="AH481">
        <f t="shared" si="102"/>
        <v>110</v>
      </c>
    </row>
    <row r="482" spans="1:34" x14ac:dyDescent="0.3">
      <c r="A482" s="41">
        <f t="shared" si="103"/>
        <v>481</v>
      </c>
      <c r="B482" s="27">
        <v>260</v>
      </c>
      <c r="C482" s="28" t="s">
        <v>339</v>
      </c>
      <c r="D482" s="28" t="s">
        <v>13</v>
      </c>
      <c r="E482" s="28" t="s">
        <v>335</v>
      </c>
      <c r="F482" s="28" t="s">
        <v>15</v>
      </c>
      <c r="G482" s="28" t="s">
        <v>16</v>
      </c>
      <c r="H482" s="27">
        <v>0</v>
      </c>
      <c r="I482" s="27">
        <v>110</v>
      </c>
      <c r="J482" s="28" t="s">
        <v>17</v>
      </c>
      <c r="K482" s="27">
        <v>25</v>
      </c>
      <c r="L482" s="28" t="s">
        <v>18</v>
      </c>
      <c r="M482" s="27">
        <v>0</v>
      </c>
      <c r="O482" s="23">
        <v>488</v>
      </c>
      <c r="P482" t="str">
        <f>IF(O482&gt;0,VLOOKUP($O482,Dep!$A:$M,3),"")</f>
        <v>19:05</v>
      </c>
      <c r="Q482" t="str">
        <f>IF(O482&gt;0,VLOOKUP($O482,Dep!$A:$M,6),"")</f>
        <v>PHX</v>
      </c>
      <c r="R482" t="str">
        <f>IF(O482&gt;0,VLOOKUP($O482,Dep!$A:$M,7),"")</f>
        <v>733</v>
      </c>
      <c r="S482">
        <f>IF(O482&gt;0,VLOOKUP($O482,Dep!$A:$M,9),"")</f>
        <v>110</v>
      </c>
      <c r="T482" t="str">
        <f>IF(O482&gt;0,VLOOKUP($O482,Dep!$A:$M,10),"")</f>
        <v>NAT</v>
      </c>
      <c r="U482" t="str">
        <f>IF(O482&gt;0,VLOOKUP($O482,Dep!$A:$M,12),"")</f>
        <v>WN</v>
      </c>
      <c r="V482" t="str">
        <f t="shared" si="94"/>
        <v/>
      </c>
      <c r="W482" t="str">
        <f t="shared" si="95"/>
        <v/>
      </c>
      <c r="X482" t="str">
        <f t="shared" si="96"/>
        <v>X</v>
      </c>
      <c r="Y482">
        <f t="shared" si="91"/>
        <v>0</v>
      </c>
      <c r="Z482" t="str">
        <f t="shared" si="97"/>
        <v/>
      </c>
      <c r="AA482" s="20">
        <f t="shared" si="92"/>
        <v>2.7777777777777679E-2</v>
      </c>
      <c r="AB482">
        <f t="shared" si="98"/>
        <v>481</v>
      </c>
      <c r="AC482" s="20" t="str">
        <f t="shared" si="99"/>
        <v>18:25</v>
      </c>
      <c r="AD482" s="20" t="str">
        <f t="shared" si="93"/>
        <v>19:05</v>
      </c>
      <c r="AE482" t="str">
        <f>VLOOKUP(G482,ACtypes!A:C,3,FALSE)</f>
        <v>C</v>
      </c>
      <c r="AF482" t="str">
        <f t="shared" si="100"/>
        <v/>
      </c>
      <c r="AG482" t="str">
        <f t="shared" si="101"/>
        <v/>
      </c>
      <c r="AH482">
        <f t="shared" si="102"/>
        <v>110</v>
      </c>
    </row>
    <row r="483" spans="1:34" x14ac:dyDescent="0.3">
      <c r="A483" s="41">
        <f t="shared" si="103"/>
        <v>482</v>
      </c>
      <c r="B483" s="27">
        <v>913</v>
      </c>
      <c r="C483" s="28" t="s">
        <v>466</v>
      </c>
      <c r="D483" s="28" t="s">
        <v>13</v>
      </c>
      <c r="E483" s="28" t="s">
        <v>464</v>
      </c>
      <c r="F483" s="28" t="s">
        <v>15</v>
      </c>
      <c r="G483" s="28" t="s">
        <v>16</v>
      </c>
      <c r="H483" s="27">
        <v>0</v>
      </c>
      <c r="I483" s="27">
        <v>110</v>
      </c>
      <c r="J483" s="28" t="s">
        <v>17</v>
      </c>
      <c r="K483" s="27">
        <v>25</v>
      </c>
      <c r="L483" s="28" t="s">
        <v>18</v>
      </c>
      <c r="M483" s="27">
        <v>0</v>
      </c>
      <c r="O483" s="23">
        <v>489</v>
      </c>
      <c r="P483" t="str">
        <f>IF(O483&gt;0,VLOOKUP($O483,Dep!$A:$M,3),"")</f>
        <v>19:15</v>
      </c>
      <c r="Q483" t="str">
        <f>IF(O483&gt;0,VLOOKUP($O483,Dep!$A:$M,6),"")</f>
        <v>SMF</v>
      </c>
      <c r="R483" t="str">
        <f>IF(O483&gt;0,VLOOKUP($O483,Dep!$A:$M,7),"")</f>
        <v>733</v>
      </c>
      <c r="S483">
        <f>IF(O483&gt;0,VLOOKUP($O483,Dep!$A:$M,9),"")</f>
        <v>110</v>
      </c>
      <c r="T483" t="str">
        <f>IF(O483&gt;0,VLOOKUP($O483,Dep!$A:$M,10),"")</f>
        <v>NAT</v>
      </c>
      <c r="U483" t="str">
        <f>IF(O483&gt;0,VLOOKUP($O483,Dep!$A:$M,12),"")</f>
        <v>WN</v>
      </c>
      <c r="V483" t="str">
        <f t="shared" si="94"/>
        <v/>
      </c>
      <c r="W483" t="str">
        <f t="shared" si="95"/>
        <v/>
      </c>
      <c r="X483" t="str">
        <f t="shared" si="96"/>
        <v>X</v>
      </c>
      <c r="Y483">
        <f t="shared" si="91"/>
        <v>0</v>
      </c>
      <c r="Z483" t="str">
        <f t="shared" si="97"/>
        <v/>
      </c>
      <c r="AA483" s="20">
        <f t="shared" si="92"/>
        <v>2.7777777777777901E-2</v>
      </c>
      <c r="AB483">
        <f t="shared" si="98"/>
        <v>482</v>
      </c>
      <c r="AC483" s="20" t="str">
        <f t="shared" si="99"/>
        <v>18:35</v>
      </c>
      <c r="AD483" s="20" t="str">
        <f t="shared" si="93"/>
        <v>19:15</v>
      </c>
      <c r="AE483" t="str">
        <f>VLOOKUP(G483,ACtypes!A:C,3,FALSE)</f>
        <v>C</v>
      </c>
      <c r="AF483" t="str">
        <f t="shared" si="100"/>
        <v/>
      </c>
      <c r="AG483" t="str">
        <f t="shared" si="101"/>
        <v/>
      </c>
      <c r="AH483">
        <f t="shared" si="102"/>
        <v>110</v>
      </c>
    </row>
    <row r="484" spans="1:34" x14ac:dyDescent="0.3">
      <c r="A484" s="41">
        <f t="shared" si="103"/>
        <v>483</v>
      </c>
      <c r="B484" s="27">
        <v>928</v>
      </c>
      <c r="C484" s="28" t="s">
        <v>504</v>
      </c>
      <c r="D484" s="28" t="s">
        <v>13</v>
      </c>
      <c r="E484" s="28" t="s">
        <v>501</v>
      </c>
      <c r="F484" s="28" t="s">
        <v>15</v>
      </c>
      <c r="G484" s="28" t="s">
        <v>16</v>
      </c>
      <c r="H484" s="27">
        <v>0</v>
      </c>
      <c r="I484" s="27">
        <v>110</v>
      </c>
      <c r="J484" s="28" t="s">
        <v>17</v>
      </c>
      <c r="K484" s="27">
        <v>25</v>
      </c>
      <c r="L484" s="28" t="s">
        <v>18</v>
      </c>
      <c r="M484" s="27">
        <v>0</v>
      </c>
      <c r="O484" s="23">
        <v>490</v>
      </c>
      <c r="P484" t="str">
        <f>IF(O484&gt;0,VLOOKUP($O484,Dep!$A:$M,3),"")</f>
        <v>20:05</v>
      </c>
      <c r="Q484" t="str">
        <f>IF(O484&gt;0,VLOOKUP($O484,Dep!$A:$M,6),"")</f>
        <v>OAK</v>
      </c>
      <c r="R484" t="str">
        <f>IF(O484&gt;0,VLOOKUP($O484,Dep!$A:$M,7),"")</f>
        <v>733</v>
      </c>
      <c r="S484">
        <f>IF(O484&gt;0,VLOOKUP($O484,Dep!$A:$M,9),"")</f>
        <v>110</v>
      </c>
      <c r="T484" t="str">
        <f>IF(O484&gt;0,VLOOKUP($O484,Dep!$A:$M,10),"")</f>
        <v>NAT</v>
      </c>
      <c r="U484" t="str">
        <f>IF(O484&gt;0,VLOOKUP($O484,Dep!$A:$M,12),"")</f>
        <v>WN</v>
      </c>
      <c r="V484" t="str">
        <f t="shared" si="94"/>
        <v/>
      </c>
      <c r="W484" t="str">
        <f t="shared" si="95"/>
        <v/>
      </c>
      <c r="X484" t="str">
        <f t="shared" si="96"/>
        <v>X</v>
      </c>
      <c r="Y484">
        <f t="shared" si="91"/>
        <v>0</v>
      </c>
      <c r="Z484" t="str">
        <f t="shared" si="97"/>
        <v/>
      </c>
      <c r="AA484" s="20">
        <f t="shared" si="92"/>
        <v>5.2083333333333259E-2</v>
      </c>
      <c r="AB484">
        <f t="shared" si="98"/>
        <v>483</v>
      </c>
      <c r="AC484" s="20" t="str">
        <f t="shared" si="99"/>
        <v>18:50</v>
      </c>
      <c r="AD484" s="20" t="str">
        <f t="shared" si="93"/>
        <v>20:05</v>
      </c>
      <c r="AE484" t="str">
        <f>VLOOKUP(G484,ACtypes!A:C,3,FALSE)</f>
        <v>C</v>
      </c>
      <c r="AF484" t="str">
        <f t="shared" si="100"/>
        <v/>
      </c>
      <c r="AG484" t="str">
        <f t="shared" si="101"/>
        <v/>
      </c>
      <c r="AH484">
        <f t="shared" si="102"/>
        <v>110</v>
      </c>
    </row>
    <row r="485" spans="1:34" x14ac:dyDescent="0.3">
      <c r="A485" s="41">
        <f t="shared" si="103"/>
        <v>484</v>
      </c>
      <c r="B485" s="27">
        <v>137</v>
      </c>
      <c r="C485" s="28" t="s">
        <v>163</v>
      </c>
      <c r="D485" s="28" t="s">
        <v>13</v>
      </c>
      <c r="E485" s="28" t="s">
        <v>196</v>
      </c>
      <c r="F485" s="28" t="s">
        <v>15</v>
      </c>
      <c r="G485" s="28" t="s">
        <v>16</v>
      </c>
      <c r="H485" s="27">
        <v>0</v>
      </c>
      <c r="I485" s="27">
        <v>110</v>
      </c>
      <c r="J485" s="28" t="s">
        <v>17</v>
      </c>
      <c r="K485" s="27">
        <v>25</v>
      </c>
      <c r="L485" s="28" t="s">
        <v>18</v>
      </c>
      <c r="M485" s="27">
        <v>0</v>
      </c>
      <c r="O485" s="23">
        <v>491</v>
      </c>
      <c r="P485" t="str">
        <f>IF(O485&gt;0,VLOOKUP($O485,Dep!$A:$M,3),"")</f>
        <v>20:20</v>
      </c>
      <c r="Q485" t="str">
        <f>IF(O485&gt;0,VLOOKUP($O485,Dep!$A:$M,6),"")</f>
        <v>GEG</v>
      </c>
      <c r="R485" t="str">
        <f>IF(O485&gt;0,VLOOKUP($O485,Dep!$A:$M,7),"")</f>
        <v>733</v>
      </c>
      <c r="S485">
        <f>IF(O485&gt;0,VLOOKUP($O485,Dep!$A:$M,9),"")</f>
        <v>110</v>
      </c>
      <c r="T485" t="str">
        <f>IF(O485&gt;0,VLOOKUP($O485,Dep!$A:$M,10),"")</f>
        <v>NAT</v>
      </c>
      <c r="U485" t="str">
        <f>IF(O485&gt;0,VLOOKUP($O485,Dep!$A:$M,12),"")</f>
        <v>WN</v>
      </c>
      <c r="V485" t="str">
        <f t="shared" si="94"/>
        <v/>
      </c>
      <c r="W485" t="str">
        <f t="shared" si="95"/>
        <v/>
      </c>
      <c r="X485" t="str">
        <f t="shared" si="96"/>
        <v/>
      </c>
      <c r="Y485">
        <f t="shared" si="91"/>
        <v>0</v>
      </c>
      <c r="Z485" t="str">
        <f t="shared" si="97"/>
        <v/>
      </c>
      <c r="AA485" s="20">
        <f t="shared" si="92"/>
        <v>2.7777777777777679E-2</v>
      </c>
      <c r="AB485">
        <f t="shared" si="98"/>
        <v>484</v>
      </c>
      <c r="AC485" s="20" t="str">
        <f t="shared" si="99"/>
        <v>19:40</v>
      </c>
      <c r="AD485" s="20" t="str">
        <f t="shared" si="93"/>
        <v>20:20</v>
      </c>
      <c r="AE485" t="str">
        <f>VLOOKUP(G485,ACtypes!A:C,3,FALSE)</f>
        <v>C</v>
      </c>
      <c r="AF485" t="str">
        <f t="shared" si="100"/>
        <v/>
      </c>
      <c r="AG485" t="str">
        <f t="shared" si="101"/>
        <v/>
      </c>
      <c r="AH485">
        <f t="shared" si="102"/>
        <v>110</v>
      </c>
    </row>
    <row r="486" spans="1:34" x14ac:dyDescent="0.3">
      <c r="A486" s="41">
        <f t="shared" si="103"/>
        <v>485</v>
      </c>
      <c r="B486" s="27">
        <v>255</v>
      </c>
      <c r="C486" s="28" t="s">
        <v>334</v>
      </c>
      <c r="D486" s="28" t="s">
        <v>13</v>
      </c>
      <c r="E486" s="28" t="s">
        <v>335</v>
      </c>
      <c r="F486" s="28" t="s">
        <v>15</v>
      </c>
      <c r="G486" s="28" t="s">
        <v>16</v>
      </c>
      <c r="H486" s="27">
        <v>0</v>
      </c>
      <c r="I486" s="27">
        <v>110</v>
      </c>
      <c r="J486" s="28" t="s">
        <v>17</v>
      </c>
      <c r="K486" s="27">
        <v>25</v>
      </c>
      <c r="L486" s="28" t="s">
        <v>18</v>
      </c>
      <c r="M486" s="27">
        <v>0</v>
      </c>
      <c r="O486" s="23">
        <v>464</v>
      </c>
      <c r="P486" t="str">
        <f>IF(O486&gt;0,VLOOKUP($O486,Dep!$A:$M,3),"")</f>
        <v>06:00</v>
      </c>
      <c r="Q486" t="str">
        <f>IF(O486&gt;0,VLOOKUP($O486,Dep!$A:$M,6),"")</f>
        <v>BOI</v>
      </c>
      <c r="R486" t="str">
        <f>IF(O486&gt;0,VLOOKUP($O486,Dep!$A:$M,7),"")</f>
        <v>733</v>
      </c>
      <c r="S486">
        <f>IF(O486&gt;0,VLOOKUP($O486,Dep!$A:$M,9),"")</f>
        <v>110</v>
      </c>
      <c r="T486" t="str">
        <f>IF(O486&gt;0,VLOOKUP($O486,Dep!$A:$M,10),"")</f>
        <v>NAT</v>
      </c>
      <c r="U486" t="str">
        <f>IF(O486&gt;0,VLOOKUP($O486,Dep!$A:$M,12),"")</f>
        <v>WN</v>
      </c>
      <c r="V486" t="str">
        <f t="shared" si="94"/>
        <v/>
      </c>
      <c r="W486" t="str">
        <f t="shared" si="95"/>
        <v/>
      </c>
      <c r="X486" t="str">
        <f t="shared" si="96"/>
        <v>X</v>
      </c>
      <c r="Y486">
        <f t="shared" si="91"/>
        <v>0</v>
      </c>
      <c r="Z486">
        <f t="shared" si="97"/>
        <v>1</v>
      </c>
      <c r="AA486" s="20">
        <f t="shared" si="92"/>
        <v>0.42013888888888884</v>
      </c>
      <c r="AB486">
        <f t="shared" si="98"/>
        <v>485</v>
      </c>
      <c r="AC486" s="20" t="str">
        <f t="shared" si="99"/>
        <v>19:55</v>
      </c>
      <c r="AD486" s="20" t="str">
        <f t="shared" si="93"/>
        <v>06:00</v>
      </c>
      <c r="AE486" t="str">
        <f>VLOOKUP(G486,ACtypes!A:C,3,FALSE)</f>
        <v>C</v>
      </c>
      <c r="AF486" t="str">
        <f t="shared" si="100"/>
        <v/>
      </c>
      <c r="AG486" t="str">
        <f t="shared" si="101"/>
        <v/>
      </c>
      <c r="AH486">
        <f t="shared" si="102"/>
        <v>110</v>
      </c>
    </row>
    <row r="487" spans="1:34" x14ac:dyDescent="0.3">
      <c r="A487" s="41">
        <f t="shared" si="103"/>
        <v>486</v>
      </c>
      <c r="B487" s="27">
        <v>368</v>
      </c>
      <c r="C487" s="28" t="s">
        <v>159</v>
      </c>
      <c r="D487" s="28" t="s">
        <v>13</v>
      </c>
      <c r="E487" s="28" t="s">
        <v>427</v>
      </c>
      <c r="F487" s="28" t="s">
        <v>15</v>
      </c>
      <c r="G487" s="28" t="s">
        <v>16</v>
      </c>
      <c r="H487" s="27">
        <v>0</v>
      </c>
      <c r="I487" s="27">
        <v>110</v>
      </c>
      <c r="J487" s="28" t="s">
        <v>17</v>
      </c>
      <c r="K487" s="27">
        <v>25</v>
      </c>
      <c r="L487" s="28" t="s">
        <v>18</v>
      </c>
      <c r="M487" s="27">
        <v>0</v>
      </c>
      <c r="O487" s="23">
        <v>465</v>
      </c>
      <c r="P487" t="str">
        <f>IF(O487&gt;0,VLOOKUP($O487,Dep!$A:$M,3),"")</f>
        <v>06:40</v>
      </c>
      <c r="Q487" t="str">
        <f>IF(O487&gt;0,VLOOKUP($O487,Dep!$A:$M,6),"")</f>
        <v>SJC</v>
      </c>
      <c r="R487" t="str">
        <f>IF(O487&gt;0,VLOOKUP($O487,Dep!$A:$M,7),"")</f>
        <v>733</v>
      </c>
      <c r="S487">
        <f>IF(O487&gt;0,VLOOKUP($O487,Dep!$A:$M,9),"")</f>
        <v>110</v>
      </c>
      <c r="T487" t="str">
        <f>IF(O487&gt;0,VLOOKUP($O487,Dep!$A:$M,10),"")</f>
        <v>NAT</v>
      </c>
      <c r="U487" t="str">
        <f>IF(O487&gt;0,VLOOKUP($O487,Dep!$A:$M,12),"")</f>
        <v>WN</v>
      </c>
      <c r="V487" t="str">
        <f t="shared" si="94"/>
        <v/>
      </c>
      <c r="W487" t="str">
        <f t="shared" si="95"/>
        <v/>
      </c>
      <c r="X487" t="str">
        <f t="shared" si="96"/>
        <v>X</v>
      </c>
      <c r="Y487">
        <f t="shared" si="91"/>
        <v>0</v>
      </c>
      <c r="Z487">
        <f t="shared" si="97"/>
        <v>1</v>
      </c>
      <c r="AA487" s="20">
        <f t="shared" si="92"/>
        <v>0.38888888888888895</v>
      </c>
      <c r="AB487">
        <f t="shared" si="98"/>
        <v>486</v>
      </c>
      <c r="AC487" s="20" t="str">
        <f t="shared" si="99"/>
        <v>21:20</v>
      </c>
      <c r="AD487" s="20" t="str">
        <f t="shared" si="93"/>
        <v>06:40</v>
      </c>
      <c r="AE487" t="str">
        <f>VLOOKUP(G487,ACtypes!A:C,3,FALSE)</f>
        <v>C</v>
      </c>
      <c r="AF487" t="str">
        <f t="shared" si="100"/>
        <v/>
      </c>
      <c r="AG487" t="str">
        <f t="shared" si="101"/>
        <v/>
      </c>
      <c r="AH487">
        <f t="shared" si="102"/>
        <v>110</v>
      </c>
    </row>
    <row r="488" spans="1:34" x14ac:dyDescent="0.3">
      <c r="A488" s="41">
        <f t="shared" si="103"/>
        <v>487</v>
      </c>
      <c r="B488" s="27">
        <v>258</v>
      </c>
      <c r="C488" s="28" t="s">
        <v>337</v>
      </c>
      <c r="D488" s="28" t="s">
        <v>13</v>
      </c>
      <c r="E488" s="28" t="s">
        <v>335</v>
      </c>
      <c r="F488" s="28" t="s">
        <v>15</v>
      </c>
      <c r="G488" s="28" t="s">
        <v>16</v>
      </c>
      <c r="H488" s="27">
        <v>0</v>
      </c>
      <c r="I488" s="27">
        <v>110</v>
      </c>
      <c r="J488" s="28" t="s">
        <v>17</v>
      </c>
      <c r="K488" s="27">
        <v>25</v>
      </c>
      <c r="L488" s="28" t="s">
        <v>18</v>
      </c>
      <c r="M488" s="27">
        <v>0</v>
      </c>
      <c r="O488" s="23">
        <v>466</v>
      </c>
      <c r="P488" t="str">
        <f>IF(O488&gt;0,VLOOKUP($O488,Dep!$A:$M,3),"")</f>
        <v>07:00</v>
      </c>
      <c r="Q488" t="str">
        <f>IF(O488&gt;0,VLOOKUP($O488,Dep!$A:$M,6),"")</f>
        <v>SMF</v>
      </c>
      <c r="R488" t="str">
        <f>IF(O488&gt;0,VLOOKUP($O488,Dep!$A:$M,7),"")</f>
        <v>733</v>
      </c>
      <c r="S488">
        <f>IF(O488&gt;0,VLOOKUP($O488,Dep!$A:$M,9),"")</f>
        <v>110</v>
      </c>
      <c r="T488" t="str">
        <f>IF(O488&gt;0,VLOOKUP($O488,Dep!$A:$M,10),"")</f>
        <v>NAT</v>
      </c>
      <c r="U488" t="str">
        <f>IF(O488&gt;0,VLOOKUP($O488,Dep!$A:$M,12),"")</f>
        <v>WN</v>
      </c>
      <c r="V488" t="str">
        <f t="shared" si="94"/>
        <v/>
      </c>
      <c r="W488" t="str">
        <f t="shared" si="95"/>
        <v/>
      </c>
      <c r="X488" t="str">
        <f t="shared" si="96"/>
        <v>X</v>
      </c>
      <c r="Y488">
        <f t="shared" si="91"/>
        <v>0</v>
      </c>
      <c r="Z488">
        <f t="shared" si="97"/>
        <v>1</v>
      </c>
      <c r="AA488" s="20">
        <f t="shared" si="92"/>
        <v>0.38888888888888884</v>
      </c>
      <c r="AB488">
        <f t="shared" si="98"/>
        <v>487</v>
      </c>
      <c r="AC488" s="20" t="str">
        <f t="shared" si="99"/>
        <v>21:40</v>
      </c>
      <c r="AD488" s="20" t="str">
        <f t="shared" si="93"/>
        <v>07:00</v>
      </c>
      <c r="AE488" t="str">
        <f>VLOOKUP(G488,ACtypes!A:C,3,FALSE)</f>
        <v>C</v>
      </c>
      <c r="AF488" t="str">
        <f t="shared" si="100"/>
        <v/>
      </c>
      <c r="AG488" t="str">
        <f t="shared" si="101"/>
        <v/>
      </c>
      <c r="AH488">
        <f t="shared" si="102"/>
        <v>110</v>
      </c>
    </row>
    <row r="489" spans="1:34" x14ac:dyDescent="0.3">
      <c r="A489" s="41">
        <f t="shared" si="103"/>
        <v>488</v>
      </c>
      <c r="B489" s="27">
        <v>198</v>
      </c>
      <c r="C489" s="28" t="s">
        <v>270</v>
      </c>
      <c r="D489" s="28" t="s">
        <v>13</v>
      </c>
      <c r="E489" s="28" t="s">
        <v>265</v>
      </c>
      <c r="F489" s="28" t="s">
        <v>15</v>
      </c>
      <c r="G489" s="28" t="s">
        <v>16</v>
      </c>
      <c r="H489" s="27">
        <v>0</v>
      </c>
      <c r="I489" s="27">
        <v>110</v>
      </c>
      <c r="J489" s="28" t="s">
        <v>17</v>
      </c>
      <c r="K489" s="27">
        <v>25</v>
      </c>
      <c r="L489" s="28" t="s">
        <v>18</v>
      </c>
      <c r="M489" s="27">
        <v>0</v>
      </c>
      <c r="O489" s="23">
        <v>467</v>
      </c>
      <c r="P489" t="str">
        <f>IF(O489&gt;0,VLOOKUP($O489,Dep!$A:$M,3),"")</f>
        <v>07:40</v>
      </c>
      <c r="Q489" t="str">
        <f>IF(O489&gt;0,VLOOKUP($O489,Dep!$A:$M,6),"")</f>
        <v>SLC</v>
      </c>
      <c r="R489" t="str">
        <f>IF(O489&gt;0,VLOOKUP($O489,Dep!$A:$M,7),"")</f>
        <v>733</v>
      </c>
      <c r="S489">
        <f>IF(O489&gt;0,VLOOKUP($O489,Dep!$A:$M,9),"")</f>
        <v>110</v>
      </c>
      <c r="T489" t="str">
        <f>IF(O489&gt;0,VLOOKUP($O489,Dep!$A:$M,10),"")</f>
        <v>NAT</v>
      </c>
      <c r="U489" t="str">
        <f>IF(O489&gt;0,VLOOKUP($O489,Dep!$A:$M,12),"")</f>
        <v>WN</v>
      </c>
      <c r="V489" t="str">
        <f t="shared" si="94"/>
        <v/>
      </c>
      <c r="W489" t="str">
        <f t="shared" si="95"/>
        <v/>
      </c>
      <c r="X489" t="str">
        <f t="shared" si="96"/>
        <v>X</v>
      </c>
      <c r="Y489">
        <f t="shared" si="91"/>
        <v>0</v>
      </c>
      <c r="Z489">
        <f t="shared" si="97"/>
        <v>1</v>
      </c>
      <c r="AA489" s="20">
        <f t="shared" si="92"/>
        <v>0.39583333333333326</v>
      </c>
      <c r="AB489">
        <f t="shared" si="98"/>
        <v>488</v>
      </c>
      <c r="AC489" s="20" t="str">
        <f t="shared" si="99"/>
        <v>22:10</v>
      </c>
      <c r="AD489" s="20" t="str">
        <f t="shared" si="93"/>
        <v>07:40</v>
      </c>
      <c r="AE489" t="str">
        <f>VLOOKUP(G489,ACtypes!A:C,3,FALSE)</f>
        <v>C</v>
      </c>
      <c r="AF489" t="str">
        <f t="shared" si="100"/>
        <v/>
      </c>
      <c r="AG489" t="str">
        <f t="shared" si="101"/>
        <v/>
      </c>
      <c r="AH489">
        <f t="shared" si="102"/>
        <v>110</v>
      </c>
    </row>
    <row r="490" spans="1:34" x14ac:dyDescent="0.3">
      <c r="A490" s="41">
        <f t="shared" si="103"/>
        <v>489</v>
      </c>
      <c r="B490" s="27">
        <v>927</v>
      </c>
      <c r="C490" s="28" t="s">
        <v>503</v>
      </c>
      <c r="D490" s="28" t="s">
        <v>13</v>
      </c>
      <c r="E490" s="28" t="s">
        <v>501</v>
      </c>
      <c r="F490" s="28" t="s">
        <v>15</v>
      </c>
      <c r="G490" s="28" t="s">
        <v>16</v>
      </c>
      <c r="H490" s="27">
        <v>0</v>
      </c>
      <c r="I490" s="27">
        <v>110</v>
      </c>
      <c r="J490" s="28" t="s">
        <v>17</v>
      </c>
      <c r="K490" s="27">
        <v>25</v>
      </c>
      <c r="L490" s="28" t="s">
        <v>18</v>
      </c>
      <c r="M490" s="27">
        <v>0</v>
      </c>
      <c r="O490" s="23">
        <v>468</v>
      </c>
      <c r="P490" t="str">
        <f>IF(O490&gt;0,VLOOKUP($O490,Dep!$A:$M,3),"")</f>
        <v>08:30</v>
      </c>
      <c r="Q490" t="str">
        <f>IF(O490&gt;0,VLOOKUP($O490,Dep!$A:$M,6),"")</f>
        <v>OAK</v>
      </c>
      <c r="R490" t="str">
        <f>IF(O490&gt;0,VLOOKUP($O490,Dep!$A:$M,7),"")</f>
        <v>733</v>
      </c>
      <c r="S490">
        <f>IF(O490&gt;0,VLOOKUP($O490,Dep!$A:$M,9),"")</f>
        <v>110</v>
      </c>
      <c r="T490" t="str">
        <f>IF(O490&gt;0,VLOOKUP($O490,Dep!$A:$M,10),"")</f>
        <v>NAT</v>
      </c>
      <c r="U490" t="str">
        <f>IF(O490&gt;0,VLOOKUP($O490,Dep!$A:$M,12),"")</f>
        <v>WN</v>
      </c>
      <c r="V490" t="str">
        <f t="shared" si="94"/>
        <v/>
      </c>
      <c r="W490" t="str">
        <f t="shared" si="95"/>
        <v/>
      </c>
      <c r="X490" t="str">
        <f t="shared" si="96"/>
        <v>X</v>
      </c>
      <c r="Y490">
        <f t="shared" si="91"/>
        <v>0</v>
      </c>
      <c r="Z490">
        <f t="shared" si="97"/>
        <v>1</v>
      </c>
      <c r="AA490" s="20">
        <f t="shared" si="92"/>
        <v>0.38888888888888884</v>
      </c>
      <c r="AB490">
        <f t="shared" si="98"/>
        <v>489</v>
      </c>
      <c r="AC490" s="20" t="str">
        <f t="shared" si="99"/>
        <v>23:10</v>
      </c>
      <c r="AD490" s="20" t="str">
        <f t="shared" si="93"/>
        <v>08:30</v>
      </c>
      <c r="AE490" t="str">
        <f>VLOOKUP(G490,ACtypes!A:C,3,FALSE)</f>
        <v>C</v>
      </c>
      <c r="AF490" t="str">
        <f t="shared" si="100"/>
        <v/>
      </c>
      <c r="AG490" t="str">
        <f t="shared" si="101"/>
        <v/>
      </c>
      <c r="AH490">
        <f t="shared" si="102"/>
        <v>110</v>
      </c>
    </row>
    <row r="491" spans="1:34" x14ac:dyDescent="0.3">
      <c r="A491" s="41">
        <f t="shared" si="103"/>
        <v>490</v>
      </c>
      <c r="B491" s="27">
        <v>233</v>
      </c>
      <c r="C491" s="28" t="s">
        <v>308</v>
      </c>
      <c r="D491" s="28" t="s">
        <v>13</v>
      </c>
      <c r="E491" s="28" t="s">
        <v>307</v>
      </c>
      <c r="F491" s="28" t="s">
        <v>15</v>
      </c>
      <c r="G491" s="28" t="s">
        <v>53</v>
      </c>
      <c r="H491" s="27">
        <v>0</v>
      </c>
      <c r="I491" s="27">
        <v>110</v>
      </c>
      <c r="J491" s="28" t="s">
        <v>17</v>
      </c>
      <c r="K491" s="27">
        <v>25</v>
      </c>
      <c r="L491" s="28" t="s">
        <v>18</v>
      </c>
      <c r="M491" s="27">
        <v>0</v>
      </c>
      <c r="O491" s="23">
        <v>494</v>
      </c>
      <c r="P491" t="str">
        <f>IF(O491&gt;0,VLOOKUP($O491,Dep!$A:$M,3),"")</f>
        <v>09:55</v>
      </c>
      <c r="Q491" t="str">
        <f>IF(O491&gt;0,VLOOKUP($O491,Dep!$A:$M,6),"")</f>
        <v>MDW</v>
      </c>
      <c r="R491" t="str">
        <f>IF(O491&gt;0,VLOOKUP($O491,Dep!$A:$M,7),"")</f>
        <v>73G</v>
      </c>
      <c r="S491">
        <f>IF(O491&gt;0,VLOOKUP($O491,Dep!$A:$M,9),"")</f>
        <v>110</v>
      </c>
      <c r="T491" t="str">
        <f>IF(O491&gt;0,VLOOKUP($O491,Dep!$A:$M,10),"")</f>
        <v>NAT</v>
      </c>
      <c r="U491" t="str">
        <f>IF(O491&gt;0,VLOOKUP($O491,Dep!$A:$M,12),"")</f>
        <v>WN</v>
      </c>
      <c r="V491" t="str">
        <f t="shared" si="94"/>
        <v/>
      </c>
      <c r="W491" t="str">
        <f t="shared" si="95"/>
        <v/>
      </c>
      <c r="X491" t="str">
        <f t="shared" si="96"/>
        <v/>
      </c>
      <c r="Y491">
        <f t="shared" si="91"/>
        <v>0</v>
      </c>
      <c r="Z491" t="str">
        <f t="shared" si="97"/>
        <v/>
      </c>
      <c r="AA491" s="20">
        <f t="shared" si="92"/>
        <v>2.0833333333333315E-2</v>
      </c>
      <c r="AB491">
        <f t="shared" si="98"/>
        <v>490</v>
      </c>
      <c r="AC491" s="20" t="str">
        <f t="shared" si="99"/>
        <v>09:25</v>
      </c>
      <c r="AD491" s="20" t="str">
        <f t="shared" si="93"/>
        <v>09:55</v>
      </c>
      <c r="AE491" t="str">
        <f>VLOOKUP(G491,ACtypes!A:C,3,FALSE)</f>
        <v>C</v>
      </c>
      <c r="AF491" t="str">
        <f t="shared" si="100"/>
        <v/>
      </c>
      <c r="AG491" t="str">
        <f t="shared" si="101"/>
        <v/>
      </c>
      <c r="AH491">
        <f t="shared" si="102"/>
        <v>110</v>
      </c>
    </row>
    <row r="492" spans="1:34" x14ac:dyDescent="0.3">
      <c r="A492" s="41">
        <f t="shared" si="103"/>
        <v>491</v>
      </c>
      <c r="B492" s="27">
        <v>929</v>
      </c>
      <c r="C492" s="28" t="s">
        <v>505</v>
      </c>
      <c r="D492" s="28" t="s">
        <v>13</v>
      </c>
      <c r="E492" s="28" t="s">
        <v>501</v>
      </c>
      <c r="F492" s="28" t="s">
        <v>15</v>
      </c>
      <c r="G492" s="28" t="s">
        <v>53</v>
      </c>
      <c r="H492" s="27">
        <v>0</v>
      </c>
      <c r="I492" s="27">
        <v>110</v>
      </c>
      <c r="J492" s="28" t="s">
        <v>17</v>
      </c>
      <c r="K492" s="27">
        <v>25</v>
      </c>
      <c r="L492" s="28" t="s">
        <v>18</v>
      </c>
      <c r="M492" s="27">
        <v>0</v>
      </c>
      <c r="O492" s="23">
        <v>495</v>
      </c>
      <c r="P492" t="str">
        <f>IF(O492&gt;0,VLOOKUP($O492,Dep!$A:$M,3),"")</f>
        <v>10:55</v>
      </c>
      <c r="Q492" t="str">
        <f>IF(O492&gt;0,VLOOKUP($O492,Dep!$A:$M,6),"")</f>
        <v>BNA</v>
      </c>
      <c r="R492" t="str">
        <f>IF(O492&gt;0,VLOOKUP($O492,Dep!$A:$M,7),"")</f>
        <v>73G</v>
      </c>
      <c r="S492">
        <f>IF(O492&gt;0,VLOOKUP($O492,Dep!$A:$M,9),"")</f>
        <v>110</v>
      </c>
      <c r="T492" t="str">
        <f>IF(O492&gt;0,VLOOKUP($O492,Dep!$A:$M,10),"")</f>
        <v>NAT</v>
      </c>
      <c r="U492" t="str">
        <f>IF(O492&gt;0,VLOOKUP($O492,Dep!$A:$M,12),"")</f>
        <v>WN</v>
      </c>
      <c r="V492" t="str">
        <f t="shared" si="94"/>
        <v/>
      </c>
      <c r="W492" t="str">
        <f t="shared" si="95"/>
        <v/>
      </c>
      <c r="X492" t="str">
        <f t="shared" si="96"/>
        <v>X</v>
      </c>
      <c r="Y492">
        <f t="shared" si="91"/>
        <v>0</v>
      </c>
      <c r="Z492" t="str">
        <f t="shared" si="97"/>
        <v/>
      </c>
      <c r="AA492" s="20">
        <f t="shared" si="92"/>
        <v>2.083333333333337E-2</v>
      </c>
      <c r="AB492">
        <f t="shared" si="98"/>
        <v>491</v>
      </c>
      <c r="AC492" s="20" t="str">
        <f t="shared" si="99"/>
        <v>10:25</v>
      </c>
      <c r="AD492" s="20" t="str">
        <f t="shared" si="93"/>
        <v>10:55</v>
      </c>
      <c r="AE492" t="str">
        <f>VLOOKUP(G492,ACtypes!A:C,3,FALSE)</f>
        <v>C</v>
      </c>
      <c r="AF492" t="str">
        <f t="shared" si="100"/>
        <v/>
      </c>
      <c r="AG492" t="str">
        <f t="shared" si="101"/>
        <v/>
      </c>
      <c r="AH492">
        <f t="shared" si="102"/>
        <v>110</v>
      </c>
    </row>
    <row r="493" spans="1:34" x14ac:dyDescent="0.3">
      <c r="A493" s="41">
        <f t="shared" si="103"/>
        <v>492</v>
      </c>
      <c r="B493" s="27">
        <v>232</v>
      </c>
      <c r="C493" s="28" t="s">
        <v>93</v>
      </c>
      <c r="D493" s="28" t="s">
        <v>13</v>
      </c>
      <c r="E493" s="28" t="s">
        <v>307</v>
      </c>
      <c r="F493" s="28" t="s">
        <v>15</v>
      </c>
      <c r="G493" s="28" t="s">
        <v>53</v>
      </c>
      <c r="H493" s="27">
        <v>0</v>
      </c>
      <c r="I493" s="27">
        <v>110</v>
      </c>
      <c r="J493" s="28" t="s">
        <v>17</v>
      </c>
      <c r="K493" s="27">
        <v>25</v>
      </c>
      <c r="L493" s="28" t="s">
        <v>18</v>
      </c>
      <c r="M493" s="27">
        <v>0</v>
      </c>
      <c r="O493" s="23">
        <v>496</v>
      </c>
      <c r="P493" t="str">
        <f>IF(O493&gt;0,VLOOKUP($O493,Dep!$A:$M,3),"")</f>
        <v>12:30</v>
      </c>
      <c r="Q493" t="str">
        <f>IF(O493&gt;0,VLOOKUP($O493,Dep!$A:$M,6),"")</f>
        <v>MCI</v>
      </c>
      <c r="R493" t="str">
        <f>IF(O493&gt;0,VLOOKUP($O493,Dep!$A:$M,7),"")</f>
        <v>73G</v>
      </c>
      <c r="S493">
        <f>IF(O493&gt;0,VLOOKUP($O493,Dep!$A:$M,9),"")</f>
        <v>110</v>
      </c>
      <c r="T493" t="str">
        <f>IF(O493&gt;0,VLOOKUP($O493,Dep!$A:$M,10),"")</f>
        <v>NAT</v>
      </c>
      <c r="U493" t="str">
        <f>IF(O493&gt;0,VLOOKUP($O493,Dep!$A:$M,12),"")</f>
        <v>WN</v>
      </c>
      <c r="V493" t="str">
        <f t="shared" si="94"/>
        <v/>
      </c>
      <c r="W493" t="str">
        <f t="shared" si="95"/>
        <v/>
      </c>
      <c r="X493" t="str">
        <f t="shared" si="96"/>
        <v>X</v>
      </c>
      <c r="Y493">
        <f t="shared" si="91"/>
        <v>0</v>
      </c>
      <c r="Z493" t="str">
        <f t="shared" si="97"/>
        <v/>
      </c>
      <c r="AA493" s="20">
        <f t="shared" si="92"/>
        <v>2.083333333333337E-2</v>
      </c>
      <c r="AB493">
        <f t="shared" si="98"/>
        <v>492</v>
      </c>
      <c r="AC493" s="20" t="str">
        <f t="shared" si="99"/>
        <v>12:00</v>
      </c>
      <c r="AD493" s="20" t="str">
        <f t="shared" si="93"/>
        <v>12:30</v>
      </c>
      <c r="AE493" t="str">
        <f>VLOOKUP(G493,ACtypes!A:C,3,FALSE)</f>
        <v>C</v>
      </c>
      <c r="AF493" t="str">
        <f t="shared" si="100"/>
        <v/>
      </c>
      <c r="AG493" t="str">
        <f t="shared" si="101"/>
        <v/>
      </c>
      <c r="AH493">
        <f t="shared" si="102"/>
        <v>110</v>
      </c>
    </row>
    <row r="494" spans="1:34" x14ac:dyDescent="0.3">
      <c r="A494" s="41">
        <f t="shared" si="103"/>
        <v>493</v>
      </c>
      <c r="B494" s="27">
        <v>134</v>
      </c>
      <c r="C494" s="28" t="s">
        <v>203</v>
      </c>
      <c r="D494" s="28" t="s">
        <v>13</v>
      </c>
      <c r="E494" s="28" t="s">
        <v>196</v>
      </c>
      <c r="F494" s="28" t="s">
        <v>15</v>
      </c>
      <c r="G494" s="28" t="s">
        <v>53</v>
      </c>
      <c r="H494" s="27">
        <v>0</v>
      </c>
      <c r="I494" s="27">
        <v>110</v>
      </c>
      <c r="J494" s="28" t="s">
        <v>17</v>
      </c>
      <c r="K494" s="27">
        <v>25</v>
      </c>
      <c r="L494" s="28" t="s">
        <v>18</v>
      </c>
      <c r="M494" s="27">
        <v>0</v>
      </c>
      <c r="O494" s="23">
        <v>497</v>
      </c>
      <c r="P494" t="str">
        <f>IF(O494&gt;0,VLOOKUP($O494,Dep!$A:$M,3),"")</f>
        <v>13:05</v>
      </c>
      <c r="Q494" t="str">
        <f>IF(O494&gt;0,VLOOKUP($O494,Dep!$A:$M,6),"")</f>
        <v>OAK</v>
      </c>
      <c r="R494" t="str">
        <f>IF(O494&gt;0,VLOOKUP($O494,Dep!$A:$M,7),"")</f>
        <v>73G</v>
      </c>
      <c r="S494">
        <f>IF(O494&gt;0,VLOOKUP($O494,Dep!$A:$M,9),"")</f>
        <v>110</v>
      </c>
      <c r="T494" t="str">
        <f>IF(O494&gt;0,VLOOKUP($O494,Dep!$A:$M,10),"")</f>
        <v>NAT</v>
      </c>
      <c r="U494" t="str">
        <f>IF(O494&gt;0,VLOOKUP($O494,Dep!$A:$M,12),"")</f>
        <v>WN</v>
      </c>
      <c r="V494" t="str">
        <f t="shared" si="94"/>
        <v/>
      </c>
      <c r="W494" t="str">
        <f t="shared" si="95"/>
        <v/>
      </c>
      <c r="X494" t="str">
        <f t="shared" si="96"/>
        <v>X</v>
      </c>
      <c r="Y494">
        <f t="shared" si="91"/>
        <v>0</v>
      </c>
      <c r="Z494" t="str">
        <f t="shared" si="97"/>
        <v/>
      </c>
      <c r="AA494" s="20">
        <f t="shared" si="92"/>
        <v>2.083333333333337E-2</v>
      </c>
      <c r="AB494">
        <f t="shared" si="98"/>
        <v>493</v>
      </c>
      <c r="AC494" s="20" t="str">
        <f t="shared" si="99"/>
        <v>12:35</v>
      </c>
      <c r="AD494" s="20" t="str">
        <f t="shared" si="93"/>
        <v>13:05</v>
      </c>
      <c r="AE494" t="str">
        <f>VLOOKUP(G494,ACtypes!A:C,3,FALSE)</f>
        <v>C</v>
      </c>
      <c r="AF494" t="str">
        <f t="shared" si="100"/>
        <v/>
      </c>
      <c r="AG494" t="str">
        <f t="shared" si="101"/>
        <v/>
      </c>
      <c r="AH494">
        <f t="shared" si="102"/>
        <v>110</v>
      </c>
    </row>
    <row r="495" spans="1:34" x14ac:dyDescent="0.3">
      <c r="A495" s="41">
        <f t="shared" si="103"/>
        <v>494</v>
      </c>
      <c r="B495" s="27">
        <v>261</v>
      </c>
      <c r="C495" s="28" t="s">
        <v>132</v>
      </c>
      <c r="D495" s="28" t="s">
        <v>13</v>
      </c>
      <c r="E495" s="28" t="s">
        <v>335</v>
      </c>
      <c r="F495" s="28" t="s">
        <v>15</v>
      </c>
      <c r="G495" s="28" t="s">
        <v>53</v>
      </c>
      <c r="H495" s="27">
        <v>0</v>
      </c>
      <c r="I495" s="27">
        <v>110</v>
      </c>
      <c r="J495" s="28" t="s">
        <v>17</v>
      </c>
      <c r="K495" s="27">
        <v>25</v>
      </c>
      <c r="L495" s="28" t="s">
        <v>18</v>
      </c>
      <c r="M495" s="27">
        <v>0</v>
      </c>
      <c r="O495" s="23">
        <v>498</v>
      </c>
      <c r="P495" t="str">
        <f>IF(O495&gt;0,VLOOKUP($O495,Dep!$A:$M,3),"")</f>
        <v>13:25</v>
      </c>
      <c r="Q495" t="str">
        <f>IF(O495&gt;0,VLOOKUP($O495,Dep!$A:$M,6),"")</f>
        <v>BOI</v>
      </c>
      <c r="R495" t="str">
        <f>IF(O495&gt;0,VLOOKUP($O495,Dep!$A:$M,7),"")</f>
        <v>73G</v>
      </c>
      <c r="S495">
        <f>IF(O495&gt;0,VLOOKUP($O495,Dep!$A:$M,9),"")</f>
        <v>110</v>
      </c>
      <c r="T495" t="str">
        <f>IF(O495&gt;0,VLOOKUP($O495,Dep!$A:$M,10),"")</f>
        <v>NAT</v>
      </c>
      <c r="U495" t="str">
        <f>IF(O495&gt;0,VLOOKUP($O495,Dep!$A:$M,12),"")</f>
        <v>WN</v>
      </c>
      <c r="V495" t="str">
        <f t="shared" si="94"/>
        <v/>
      </c>
      <c r="W495" t="str">
        <f t="shared" si="95"/>
        <v/>
      </c>
      <c r="X495" t="str">
        <f t="shared" si="96"/>
        <v>X</v>
      </c>
      <c r="Y495">
        <f t="shared" si="91"/>
        <v>0</v>
      </c>
      <c r="Z495" t="str">
        <f t="shared" si="97"/>
        <v/>
      </c>
      <c r="AA495" s="20">
        <f t="shared" si="92"/>
        <v>1.736111111111116E-2</v>
      </c>
      <c r="AB495">
        <f t="shared" si="98"/>
        <v>494</v>
      </c>
      <c r="AC495" s="20" t="str">
        <f t="shared" si="99"/>
        <v>13:00</v>
      </c>
      <c r="AD495" s="20" t="str">
        <f t="shared" si="93"/>
        <v>13:25</v>
      </c>
      <c r="AE495" t="str">
        <f>VLOOKUP(G495,ACtypes!A:C,3,FALSE)</f>
        <v>C</v>
      </c>
      <c r="AF495" t="str">
        <f t="shared" si="100"/>
        <v/>
      </c>
      <c r="AG495" t="str">
        <f t="shared" si="101"/>
        <v/>
      </c>
      <c r="AH495">
        <f t="shared" si="102"/>
        <v>110</v>
      </c>
    </row>
    <row r="496" spans="1:34" x14ac:dyDescent="0.3">
      <c r="A496" s="41">
        <f t="shared" si="103"/>
        <v>495</v>
      </c>
      <c r="B496" s="27">
        <v>42</v>
      </c>
      <c r="C496" s="28" t="s">
        <v>83</v>
      </c>
      <c r="D496" s="28" t="s">
        <v>13</v>
      </c>
      <c r="E496" s="28" t="s">
        <v>84</v>
      </c>
      <c r="F496" s="28" t="s">
        <v>15</v>
      </c>
      <c r="G496" s="28" t="s">
        <v>53</v>
      </c>
      <c r="H496" s="27">
        <v>0</v>
      </c>
      <c r="I496" s="27">
        <v>110</v>
      </c>
      <c r="J496" s="28" t="s">
        <v>17</v>
      </c>
      <c r="K496" s="27">
        <v>25</v>
      </c>
      <c r="L496" s="28" t="s">
        <v>18</v>
      </c>
      <c r="M496" s="27">
        <v>0</v>
      </c>
      <c r="O496" s="23">
        <v>499</v>
      </c>
      <c r="P496" t="str">
        <f>IF(O496&gt;0,VLOOKUP($O496,Dep!$A:$M,3),"")</f>
        <v>15:15</v>
      </c>
      <c r="Q496" t="str">
        <f>IF(O496&gt;0,VLOOKUP($O496,Dep!$A:$M,6),"")</f>
        <v>MDW</v>
      </c>
      <c r="R496" t="str">
        <f>IF(O496&gt;0,VLOOKUP($O496,Dep!$A:$M,7),"")</f>
        <v>73G</v>
      </c>
      <c r="S496">
        <f>IF(O496&gt;0,VLOOKUP($O496,Dep!$A:$M,9),"")</f>
        <v>110</v>
      </c>
      <c r="T496" t="str">
        <f>IF(O496&gt;0,VLOOKUP($O496,Dep!$A:$M,10),"")</f>
        <v>NAT</v>
      </c>
      <c r="U496" t="str">
        <f>IF(O496&gt;0,VLOOKUP($O496,Dep!$A:$M,12),"")</f>
        <v>WN</v>
      </c>
      <c r="V496" t="str">
        <f t="shared" si="94"/>
        <v/>
      </c>
      <c r="W496" t="str">
        <f t="shared" si="95"/>
        <v/>
      </c>
      <c r="X496" t="str">
        <f t="shared" si="96"/>
        <v>X</v>
      </c>
      <c r="Y496">
        <f t="shared" si="91"/>
        <v>0</v>
      </c>
      <c r="Z496" t="str">
        <f t="shared" si="97"/>
        <v/>
      </c>
      <c r="AA496" s="20">
        <f t="shared" si="92"/>
        <v>2.0833333333333259E-2</v>
      </c>
      <c r="AB496">
        <f t="shared" si="98"/>
        <v>495</v>
      </c>
      <c r="AC496" s="20" t="str">
        <f t="shared" si="99"/>
        <v>14:45</v>
      </c>
      <c r="AD496" s="20" t="str">
        <f t="shared" si="93"/>
        <v>15:15</v>
      </c>
      <c r="AE496" t="str">
        <f>VLOOKUP(G496,ACtypes!A:C,3,FALSE)</f>
        <v>C</v>
      </c>
      <c r="AF496" t="str">
        <f t="shared" si="100"/>
        <v/>
      </c>
      <c r="AG496" t="str">
        <f t="shared" si="101"/>
        <v/>
      </c>
      <c r="AH496">
        <f t="shared" si="102"/>
        <v>110</v>
      </c>
    </row>
    <row r="497" spans="1:34" x14ac:dyDescent="0.3">
      <c r="A497" s="41">
        <f t="shared" si="103"/>
        <v>496</v>
      </c>
      <c r="B497" s="27">
        <v>229</v>
      </c>
      <c r="C497" s="28" t="s">
        <v>302</v>
      </c>
      <c r="D497" s="28" t="s">
        <v>13</v>
      </c>
      <c r="E497" s="28" t="s">
        <v>303</v>
      </c>
      <c r="F497" s="28" t="s">
        <v>15</v>
      </c>
      <c r="G497" s="28" t="s">
        <v>53</v>
      </c>
      <c r="H497" s="27">
        <v>0</v>
      </c>
      <c r="I497" s="27">
        <v>110</v>
      </c>
      <c r="J497" s="28" t="s">
        <v>17</v>
      </c>
      <c r="K497" s="27">
        <v>25</v>
      </c>
      <c r="L497" s="28" t="s">
        <v>18</v>
      </c>
      <c r="M497" s="27">
        <v>0</v>
      </c>
      <c r="O497" s="23">
        <v>500</v>
      </c>
      <c r="P497" t="str">
        <f>IF(O497&gt;0,VLOOKUP($O497,Dep!$A:$M,3),"")</f>
        <v>17:00</v>
      </c>
      <c r="Q497" t="str">
        <f>IF(O497&gt;0,VLOOKUP($O497,Dep!$A:$M,6),"")</f>
        <v>SJC</v>
      </c>
      <c r="R497" t="str">
        <f>IF(O497&gt;0,VLOOKUP($O497,Dep!$A:$M,7),"")</f>
        <v>73G</v>
      </c>
      <c r="S497">
        <f>IF(O497&gt;0,VLOOKUP($O497,Dep!$A:$M,9),"")</f>
        <v>110</v>
      </c>
      <c r="T497" t="str">
        <f>IF(O497&gt;0,VLOOKUP($O497,Dep!$A:$M,10),"")</f>
        <v>NAT</v>
      </c>
      <c r="U497" t="str">
        <f>IF(O497&gt;0,VLOOKUP($O497,Dep!$A:$M,12),"")</f>
        <v>WN</v>
      </c>
      <c r="V497" t="str">
        <f t="shared" si="94"/>
        <v/>
      </c>
      <c r="W497" t="str">
        <f t="shared" si="95"/>
        <v/>
      </c>
      <c r="X497" t="str">
        <f t="shared" si="96"/>
        <v>X</v>
      </c>
      <c r="Y497">
        <f t="shared" si="91"/>
        <v>0</v>
      </c>
      <c r="Z497" t="str">
        <f t="shared" si="97"/>
        <v/>
      </c>
      <c r="AA497" s="20">
        <f t="shared" si="92"/>
        <v>2.083333333333337E-2</v>
      </c>
      <c r="AB497">
        <f t="shared" si="98"/>
        <v>496</v>
      </c>
      <c r="AC497" s="20" t="str">
        <f t="shared" si="99"/>
        <v>16:30</v>
      </c>
      <c r="AD497" s="20" t="str">
        <f t="shared" si="93"/>
        <v>17:00</v>
      </c>
      <c r="AE497" t="str">
        <f>VLOOKUP(G497,ACtypes!A:C,3,FALSE)</f>
        <v>C</v>
      </c>
      <c r="AF497" t="str">
        <f t="shared" si="100"/>
        <v/>
      </c>
      <c r="AG497" t="str">
        <f t="shared" si="101"/>
        <v/>
      </c>
      <c r="AH497">
        <f t="shared" si="102"/>
        <v>110</v>
      </c>
    </row>
    <row r="498" spans="1:34" x14ac:dyDescent="0.3">
      <c r="A498" s="41">
        <f t="shared" si="103"/>
        <v>497</v>
      </c>
      <c r="B498" s="27">
        <v>45</v>
      </c>
      <c r="C498" s="28" t="s">
        <v>88</v>
      </c>
      <c r="D498" s="28" t="s">
        <v>13</v>
      </c>
      <c r="E498" s="28" t="s">
        <v>86</v>
      </c>
      <c r="F498" s="28" t="s">
        <v>15</v>
      </c>
      <c r="G498" s="28" t="s">
        <v>53</v>
      </c>
      <c r="H498" s="27">
        <v>0</v>
      </c>
      <c r="I498" s="27">
        <v>110</v>
      </c>
      <c r="J498" s="28" t="s">
        <v>17</v>
      </c>
      <c r="K498" s="27">
        <v>25</v>
      </c>
      <c r="L498" s="28" t="s">
        <v>18</v>
      </c>
      <c r="M498" s="27">
        <v>0</v>
      </c>
      <c r="O498" s="23">
        <v>501</v>
      </c>
      <c r="P498" t="str">
        <f>IF(O498&gt;0,VLOOKUP($O498,Dep!$A:$M,3),"")</f>
        <v>17:10</v>
      </c>
      <c r="Q498" t="str">
        <f>IF(O498&gt;0,VLOOKUP($O498,Dep!$A:$M,6),"")</f>
        <v>OAK</v>
      </c>
      <c r="R498" t="str">
        <f>IF(O498&gt;0,VLOOKUP($O498,Dep!$A:$M,7),"")</f>
        <v>73G</v>
      </c>
      <c r="S498">
        <f>IF(O498&gt;0,VLOOKUP($O498,Dep!$A:$M,9),"")</f>
        <v>110</v>
      </c>
      <c r="T498" t="str">
        <f>IF(O498&gt;0,VLOOKUP($O498,Dep!$A:$M,10),"")</f>
        <v>NAT</v>
      </c>
      <c r="U498" t="str">
        <f>IF(O498&gt;0,VLOOKUP($O498,Dep!$A:$M,12),"")</f>
        <v>WN</v>
      </c>
      <c r="V498" t="str">
        <f t="shared" si="94"/>
        <v/>
      </c>
      <c r="W498" t="str">
        <f t="shared" si="95"/>
        <v/>
      </c>
      <c r="X498" t="str">
        <f t="shared" si="96"/>
        <v>X</v>
      </c>
      <c r="Y498">
        <f t="shared" si="91"/>
        <v>0</v>
      </c>
      <c r="Z498" t="str">
        <f t="shared" si="97"/>
        <v/>
      </c>
      <c r="AA498" s="20">
        <f t="shared" si="92"/>
        <v>1.736111111111116E-2</v>
      </c>
      <c r="AB498">
        <f t="shared" si="98"/>
        <v>497</v>
      </c>
      <c r="AC498" s="20" t="str">
        <f t="shared" si="99"/>
        <v>16:45</v>
      </c>
      <c r="AD498" s="20" t="str">
        <f t="shared" si="93"/>
        <v>17:10</v>
      </c>
      <c r="AE498" t="str">
        <f>VLOOKUP(G498,ACtypes!A:C,3,FALSE)</f>
        <v>C</v>
      </c>
      <c r="AF498" t="str">
        <f t="shared" si="100"/>
        <v/>
      </c>
      <c r="AG498" t="str">
        <f t="shared" si="101"/>
        <v/>
      </c>
      <c r="AH498">
        <f t="shared" si="102"/>
        <v>110</v>
      </c>
    </row>
    <row r="499" spans="1:34" x14ac:dyDescent="0.3">
      <c r="A499" s="41">
        <f t="shared" si="103"/>
        <v>498</v>
      </c>
      <c r="B499" s="27">
        <v>903</v>
      </c>
      <c r="C499" s="28" t="s">
        <v>456</v>
      </c>
      <c r="D499" s="28" t="s">
        <v>13</v>
      </c>
      <c r="E499" s="28" t="s">
        <v>455</v>
      </c>
      <c r="F499" s="28" t="s">
        <v>15</v>
      </c>
      <c r="G499" s="28" t="s">
        <v>53</v>
      </c>
      <c r="H499" s="27">
        <v>0</v>
      </c>
      <c r="I499" s="27">
        <v>110</v>
      </c>
      <c r="J499" s="28" t="s">
        <v>17</v>
      </c>
      <c r="K499" s="27">
        <v>25</v>
      </c>
      <c r="L499" s="28" t="s">
        <v>18</v>
      </c>
      <c r="M499" s="27">
        <v>0</v>
      </c>
      <c r="O499" s="23">
        <v>492</v>
      </c>
      <c r="P499" t="str">
        <f>IF(O499&gt;0,VLOOKUP($O499,Dep!$A:$M,3),"")</f>
        <v>06:20</v>
      </c>
      <c r="Q499" t="str">
        <f>IF(O499&gt;0,VLOOKUP($O499,Dep!$A:$M,6),"")</f>
        <v>OAK</v>
      </c>
      <c r="R499" t="str">
        <f>IF(O499&gt;0,VLOOKUP($O499,Dep!$A:$M,7),"")</f>
        <v>73G</v>
      </c>
      <c r="S499">
        <f>IF(O499&gt;0,VLOOKUP($O499,Dep!$A:$M,9),"")</f>
        <v>110</v>
      </c>
      <c r="T499" t="str">
        <f>IF(O499&gt;0,VLOOKUP($O499,Dep!$A:$M,10),"")</f>
        <v>NAT</v>
      </c>
      <c r="U499" t="str">
        <f>IF(O499&gt;0,VLOOKUP($O499,Dep!$A:$M,12),"")</f>
        <v>WN</v>
      </c>
      <c r="V499" t="str">
        <f t="shared" si="94"/>
        <v/>
      </c>
      <c r="W499" t="str">
        <f t="shared" si="95"/>
        <v/>
      </c>
      <c r="X499" t="str">
        <f t="shared" si="96"/>
        <v>X</v>
      </c>
      <c r="Y499">
        <f t="shared" si="91"/>
        <v>0</v>
      </c>
      <c r="Z499">
        <f t="shared" si="97"/>
        <v>1</v>
      </c>
      <c r="AA499" s="20">
        <f t="shared" si="92"/>
        <v>0.40277777777777768</v>
      </c>
      <c r="AB499">
        <f t="shared" si="98"/>
        <v>498</v>
      </c>
      <c r="AC499" s="20" t="str">
        <f t="shared" si="99"/>
        <v>20:40</v>
      </c>
      <c r="AD499" s="20" t="str">
        <f t="shared" si="93"/>
        <v>06:20</v>
      </c>
      <c r="AE499" t="str">
        <f>VLOOKUP(G499,ACtypes!A:C,3,FALSE)</f>
        <v>C</v>
      </c>
      <c r="AF499" t="str">
        <f t="shared" si="100"/>
        <v/>
      </c>
      <c r="AG499" t="str">
        <f t="shared" si="101"/>
        <v/>
      </c>
      <c r="AH499">
        <f t="shared" si="102"/>
        <v>110</v>
      </c>
    </row>
    <row r="500" spans="1:34" x14ac:dyDescent="0.3">
      <c r="A500" s="41">
        <f t="shared" si="103"/>
        <v>499</v>
      </c>
      <c r="B500" s="27">
        <v>231</v>
      </c>
      <c r="C500" s="28" t="s">
        <v>306</v>
      </c>
      <c r="D500" s="28" t="s">
        <v>13</v>
      </c>
      <c r="E500" s="28" t="s">
        <v>307</v>
      </c>
      <c r="F500" s="28" t="s">
        <v>15</v>
      </c>
      <c r="G500" s="28" t="s">
        <v>53</v>
      </c>
      <c r="H500" s="27">
        <v>0</v>
      </c>
      <c r="I500" s="27">
        <v>110</v>
      </c>
      <c r="J500" s="28" t="s">
        <v>17</v>
      </c>
      <c r="K500" s="27">
        <v>25</v>
      </c>
      <c r="L500" s="28" t="s">
        <v>18</v>
      </c>
      <c r="M500" s="27">
        <v>0</v>
      </c>
      <c r="O500" s="23">
        <v>493</v>
      </c>
      <c r="P500" t="str">
        <f>IF(O500&gt;0,VLOOKUP($O500,Dep!$A:$M,3),"")</f>
        <v>07:20</v>
      </c>
      <c r="Q500" t="str">
        <f>IF(O500&gt;0,VLOOKUP($O500,Dep!$A:$M,6),"")</f>
        <v>MDW</v>
      </c>
      <c r="R500" t="str">
        <f>IF(O500&gt;0,VLOOKUP($O500,Dep!$A:$M,7),"")</f>
        <v>73G</v>
      </c>
      <c r="S500">
        <f>IF(O500&gt;0,VLOOKUP($O500,Dep!$A:$M,9),"")</f>
        <v>110</v>
      </c>
      <c r="T500" t="str">
        <f>IF(O500&gt;0,VLOOKUP($O500,Dep!$A:$M,10),"")</f>
        <v>NAT</v>
      </c>
      <c r="U500" t="str">
        <f>IF(O500&gt;0,VLOOKUP($O500,Dep!$A:$M,12),"")</f>
        <v>WN</v>
      </c>
      <c r="V500" t="str">
        <f t="shared" si="94"/>
        <v/>
      </c>
      <c r="W500" t="str">
        <f t="shared" si="95"/>
        <v/>
      </c>
      <c r="X500" t="str">
        <f t="shared" si="96"/>
        <v/>
      </c>
      <c r="Y500">
        <f t="shared" si="91"/>
        <v>0</v>
      </c>
      <c r="Z500">
        <f t="shared" si="97"/>
        <v>1</v>
      </c>
      <c r="AA500" s="20">
        <f t="shared" si="92"/>
        <v>0.43055555555555558</v>
      </c>
      <c r="AB500">
        <f t="shared" si="98"/>
        <v>499</v>
      </c>
      <c r="AC500" s="20" t="str">
        <f t="shared" si="99"/>
        <v>21:00</v>
      </c>
      <c r="AD500" s="20" t="str">
        <f t="shared" si="93"/>
        <v>07:20</v>
      </c>
      <c r="AE500" t="str">
        <f>VLOOKUP(G500,ACtypes!A:C,3,FALSE)</f>
        <v>C</v>
      </c>
      <c r="AF500" t="str">
        <f t="shared" si="100"/>
        <v/>
      </c>
      <c r="AG500" t="str">
        <f t="shared" si="101"/>
        <v/>
      </c>
      <c r="AH500">
        <f t="shared" si="102"/>
        <v>110</v>
      </c>
    </row>
  </sheetData>
  <autoFilter ref="A1:AH500" xr:uid="{00000000-0009-0000-0000-000000000000}"/>
  <conditionalFormatting sqref="AA1:AA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02"/>
  <sheetViews>
    <sheetView workbookViewId="0">
      <selection activeCell="I13" sqref="I13"/>
    </sheetView>
  </sheetViews>
  <sheetFormatPr defaultRowHeight="14.4" x14ac:dyDescent="0.3"/>
  <cols>
    <col min="1" max="1" width="9.109375" style="42"/>
  </cols>
  <sheetData>
    <row r="1" spans="1:15" x14ac:dyDescent="0.3">
      <c r="A1" s="40" t="s">
        <v>0</v>
      </c>
      <c r="B1" s="2" t="s">
        <v>947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O1" s="22" t="s">
        <v>13</v>
      </c>
    </row>
    <row r="2" spans="1:15" x14ac:dyDescent="0.3">
      <c r="A2" s="41">
        <v>1</v>
      </c>
      <c r="B2" s="3">
        <v>689</v>
      </c>
      <c r="C2" s="4" t="s">
        <v>204</v>
      </c>
      <c r="D2" s="4" t="s">
        <v>537</v>
      </c>
      <c r="E2" s="4" t="s">
        <v>15</v>
      </c>
      <c r="F2" s="4" t="s">
        <v>366</v>
      </c>
      <c r="G2" s="4" t="s">
        <v>193</v>
      </c>
      <c r="H2" s="3">
        <v>0</v>
      </c>
      <c r="I2" s="3">
        <v>0</v>
      </c>
      <c r="J2" s="4" t="s">
        <v>17</v>
      </c>
      <c r="K2" s="3">
        <v>25</v>
      </c>
      <c r="L2" s="4" t="s">
        <v>194</v>
      </c>
      <c r="M2" s="3">
        <v>20</v>
      </c>
      <c r="O2">
        <f>MATCH(ROW(A2),Arr!O:O,FALSE)</f>
        <v>3</v>
      </c>
    </row>
    <row r="3" spans="1:15" x14ac:dyDescent="0.3">
      <c r="A3" s="41">
        <f>A2+1</f>
        <v>2</v>
      </c>
      <c r="B3" s="3">
        <v>513</v>
      </c>
      <c r="C3" s="4" t="s">
        <v>306</v>
      </c>
      <c r="D3" s="4" t="s">
        <v>537</v>
      </c>
      <c r="E3" s="4" t="s">
        <v>15</v>
      </c>
      <c r="F3" s="4" t="s">
        <v>192</v>
      </c>
      <c r="G3" s="4" t="s">
        <v>193</v>
      </c>
      <c r="H3" s="3">
        <v>0</v>
      </c>
      <c r="I3" s="3">
        <v>0</v>
      </c>
      <c r="J3" s="4" t="s">
        <v>17</v>
      </c>
      <c r="K3" s="3">
        <v>25</v>
      </c>
      <c r="L3" s="4" t="s">
        <v>194</v>
      </c>
      <c r="M3" s="3">
        <v>20</v>
      </c>
      <c r="O3">
        <f>MATCH(ROW(A3),Arr!O:O,FALSE)</f>
        <v>10</v>
      </c>
    </row>
    <row r="4" spans="1:15" x14ac:dyDescent="0.3">
      <c r="A4" s="41">
        <f t="shared" ref="A4:A67" si="0">A3+1</f>
        <v>3</v>
      </c>
      <c r="B4" s="3">
        <v>479</v>
      </c>
      <c r="C4" s="4" t="s">
        <v>80</v>
      </c>
      <c r="D4" s="4" t="s">
        <v>537</v>
      </c>
      <c r="E4" s="4" t="s">
        <v>15</v>
      </c>
      <c r="F4" s="4" t="s">
        <v>145</v>
      </c>
      <c r="G4" s="4" t="s">
        <v>34</v>
      </c>
      <c r="H4" s="3">
        <v>0</v>
      </c>
      <c r="I4" s="3">
        <v>150</v>
      </c>
      <c r="J4" s="4" t="s">
        <v>17</v>
      </c>
      <c r="K4" s="3">
        <v>25</v>
      </c>
      <c r="L4" s="4" t="s">
        <v>147</v>
      </c>
      <c r="M4" s="3">
        <v>8.6999999999999993</v>
      </c>
      <c r="O4">
        <f>MATCH(ROW(A4),Arr!O:O,FALSE)</f>
        <v>11</v>
      </c>
    </row>
    <row r="5" spans="1:15" x14ac:dyDescent="0.3">
      <c r="A5" s="41">
        <f t="shared" si="0"/>
        <v>4</v>
      </c>
      <c r="B5" s="3">
        <v>477</v>
      </c>
      <c r="C5" s="4" t="s">
        <v>566</v>
      </c>
      <c r="D5" s="4" t="s">
        <v>537</v>
      </c>
      <c r="E5" s="4" t="s">
        <v>15</v>
      </c>
      <c r="F5" s="4" t="s">
        <v>145</v>
      </c>
      <c r="G5" s="4" t="s">
        <v>34</v>
      </c>
      <c r="H5" s="3">
        <v>0</v>
      </c>
      <c r="I5" s="3">
        <v>150</v>
      </c>
      <c r="J5" s="4" t="s">
        <v>17</v>
      </c>
      <c r="K5" s="3">
        <v>25</v>
      </c>
      <c r="L5" s="4" t="s">
        <v>147</v>
      </c>
      <c r="M5" s="3">
        <v>8.6999999999999993</v>
      </c>
      <c r="O5">
        <f>MATCH(ROW(A5),Arr!O:O,FALSE)</f>
        <v>4</v>
      </c>
    </row>
    <row r="6" spans="1:15" x14ac:dyDescent="0.3">
      <c r="A6" s="41">
        <f t="shared" si="0"/>
        <v>5</v>
      </c>
      <c r="B6" s="3">
        <v>561</v>
      </c>
      <c r="C6" s="4" t="s">
        <v>12</v>
      </c>
      <c r="D6" s="4" t="s">
        <v>537</v>
      </c>
      <c r="E6" s="4" t="s">
        <v>15</v>
      </c>
      <c r="F6" s="4" t="s">
        <v>247</v>
      </c>
      <c r="G6" s="4" t="s">
        <v>34</v>
      </c>
      <c r="H6" s="3">
        <v>0</v>
      </c>
      <c r="I6" s="3">
        <v>150</v>
      </c>
      <c r="J6" s="4" t="s">
        <v>17</v>
      </c>
      <c r="K6" s="3">
        <v>25</v>
      </c>
      <c r="L6" s="4" t="s">
        <v>147</v>
      </c>
      <c r="M6" s="3">
        <v>8.6999999999999993</v>
      </c>
      <c r="O6">
        <f>MATCH(ROW(A6),Arr!O:O,FALSE)</f>
        <v>5</v>
      </c>
    </row>
    <row r="7" spans="1:15" x14ac:dyDescent="0.3">
      <c r="A7" s="41">
        <f t="shared" si="0"/>
        <v>6</v>
      </c>
      <c r="B7" s="3">
        <v>476</v>
      </c>
      <c r="C7" s="4" t="s">
        <v>518</v>
      </c>
      <c r="D7" s="4" t="s">
        <v>537</v>
      </c>
      <c r="E7" s="4" t="s">
        <v>15</v>
      </c>
      <c r="F7" s="4" t="s">
        <v>145</v>
      </c>
      <c r="G7" s="4" t="s">
        <v>34</v>
      </c>
      <c r="H7" s="3">
        <v>0</v>
      </c>
      <c r="I7" s="3">
        <v>150</v>
      </c>
      <c r="J7" s="4" t="s">
        <v>17</v>
      </c>
      <c r="K7" s="3">
        <v>25</v>
      </c>
      <c r="L7" s="4" t="s">
        <v>147</v>
      </c>
      <c r="M7" s="3">
        <v>8.6999999999999993</v>
      </c>
      <c r="O7">
        <f>MATCH(ROW(A7),Arr!O:O,FALSE)</f>
        <v>6</v>
      </c>
    </row>
    <row r="8" spans="1:15" x14ac:dyDescent="0.3">
      <c r="A8" s="41">
        <f t="shared" si="0"/>
        <v>7</v>
      </c>
      <c r="B8" s="3">
        <v>478</v>
      </c>
      <c r="C8" s="4" t="s">
        <v>567</v>
      </c>
      <c r="D8" s="4" t="s">
        <v>537</v>
      </c>
      <c r="E8" s="4" t="s">
        <v>15</v>
      </c>
      <c r="F8" s="4" t="s">
        <v>145</v>
      </c>
      <c r="G8" s="4" t="s">
        <v>34</v>
      </c>
      <c r="H8" s="3">
        <v>0</v>
      </c>
      <c r="I8" s="3">
        <v>150</v>
      </c>
      <c r="J8" s="4" t="s">
        <v>17</v>
      </c>
      <c r="K8" s="3">
        <v>25</v>
      </c>
      <c r="L8" s="4" t="s">
        <v>147</v>
      </c>
      <c r="M8" s="3">
        <v>8.6999999999999993</v>
      </c>
      <c r="O8">
        <f>MATCH(ROW(A8),Arr!O:O,FALSE)</f>
        <v>7</v>
      </c>
    </row>
    <row r="9" spans="1:15" x14ac:dyDescent="0.3">
      <c r="A9" s="41">
        <f t="shared" si="0"/>
        <v>8</v>
      </c>
      <c r="B9" s="3">
        <v>475</v>
      </c>
      <c r="C9" s="4" t="s">
        <v>426</v>
      </c>
      <c r="D9" s="4" t="s">
        <v>537</v>
      </c>
      <c r="E9" s="4" t="s">
        <v>15</v>
      </c>
      <c r="F9" s="4" t="s">
        <v>145</v>
      </c>
      <c r="G9" s="4" t="s">
        <v>34</v>
      </c>
      <c r="H9" s="3">
        <v>0</v>
      </c>
      <c r="I9" s="3">
        <v>150</v>
      </c>
      <c r="J9" s="4" t="s">
        <v>17</v>
      </c>
      <c r="K9" s="3">
        <v>25</v>
      </c>
      <c r="L9" s="4" t="s">
        <v>147</v>
      </c>
      <c r="M9" s="3">
        <v>8.6999999999999993</v>
      </c>
      <c r="O9">
        <f>MATCH(ROW(A9),Arr!O:O,FALSE)</f>
        <v>8</v>
      </c>
    </row>
    <row r="10" spans="1:15" x14ac:dyDescent="0.3">
      <c r="A10" s="41">
        <f t="shared" si="0"/>
        <v>9</v>
      </c>
      <c r="B10" s="3">
        <v>562</v>
      </c>
      <c r="C10" s="4" t="s">
        <v>428</v>
      </c>
      <c r="D10" s="4" t="s">
        <v>537</v>
      </c>
      <c r="E10" s="4" t="s">
        <v>15</v>
      </c>
      <c r="F10" s="4" t="s">
        <v>247</v>
      </c>
      <c r="G10" s="4" t="s">
        <v>34</v>
      </c>
      <c r="H10" s="3">
        <v>0</v>
      </c>
      <c r="I10" s="3">
        <v>150</v>
      </c>
      <c r="J10" s="4" t="s">
        <v>17</v>
      </c>
      <c r="K10" s="3">
        <v>25</v>
      </c>
      <c r="L10" s="4" t="s">
        <v>147</v>
      </c>
      <c r="M10" s="3">
        <v>8.6999999999999993</v>
      </c>
      <c r="O10">
        <f>MATCH(ROW(A10),Arr!O:O,FALSE)</f>
        <v>9</v>
      </c>
    </row>
    <row r="11" spans="1:15" x14ac:dyDescent="0.3">
      <c r="A11" s="41">
        <f t="shared" si="0"/>
        <v>10</v>
      </c>
      <c r="B11" s="3">
        <v>474</v>
      </c>
      <c r="C11" s="4" t="s">
        <v>557</v>
      </c>
      <c r="D11" s="4" t="s">
        <v>537</v>
      </c>
      <c r="E11" s="4" t="s">
        <v>15</v>
      </c>
      <c r="F11" s="4" t="s">
        <v>145</v>
      </c>
      <c r="G11" s="4" t="s">
        <v>34</v>
      </c>
      <c r="H11" s="3">
        <v>0</v>
      </c>
      <c r="I11" s="3">
        <v>150</v>
      </c>
      <c r="J11" s="4" t="s">
        <v>17</v>
      </c>
      <c r="K11" s="3">
        <v>25</v>
      </c>
      <c r="L11" s="4" t="s">
        <v>147</v>
      </c>
      <c r="M11" s="3">
        <v>8.6999999999999993</v>
      </c>
      <c r="O11">
        <f>MATCH(ROW(A11),Arr!O:O,FALSE)</f>
        <v>16</v>
      </c>
    </row>
    <row r="12" spans="1:15" x14ac:dyDescent="0.3">
      <c r="A12" s="41">
        <f t="shared" si="0"/>
        <v>11</v>
      </c>
      <c r="B12" s="3">
        <v>482</v>
      </c>
      <c r="C12" s="4" t="s">
        <v>569</v>
      </c>
      <c r="D12" s="4" t="s">
        <v>537</v>
      </c>
      <c r="E12" s="4" t="s">
        <v>15</v>
      </c>
      <c r="F12" s="4" t="s">
        <v>145</v>
      </c>
      <c r="G12" s="4" t="s">
        <v>32</v>
      </c>
      <c r="H12" s="3">
        <v>0</v>
      </c>
      <c r="I12" s="3">
        <v>109</v>
      </c>
      <c r="J12" s="4" t="s">
        <v>17</v>
      </c>
      <c r="K12" s="3">
        <v>25</v>
      </c>
      <c r="L12" s="4" t="s">
        <v>147</v>
      </c>
      <c r="M12" s="3">
        <v>5.7</v>
      </c>
      <c r="O12">
        <f>MATCH(ROW(A12),Arr!O:O,FALSE)</f>
        <v>12</v>
      </c>
    </row>
    <row r="13" spans="1:15" x14ac:dyDescent="0.3">
      <c r="A13" s="41">
        <f t="shared" si="0"/>
        <v>12</v>
      </c>
      <c r="B13" s="3">
        <v>481</v>
      </c>
      <c r="C13" s="4" t="s">
        <v>568</v>
      </c>
      <c r="D13" s="4" t="s">
        <v>537</v>
      </c>
      <c r="E13" s="4" t="s">
        <v>15</v>
      </c>
      <c r="F13" s="4" t="s">
        <v>145</v>
      </c>
      <c r="G13" s="4" t="s">
        <v>32</v>
      </c>
      <c r="H13" s="3">
        <v>0</v>
      </c>
      <c r="I13" s="3">
        <v>109</v>
      </c>
      <c r="J13" s="4" t="s">
        <v>17</v>
      </c>
      <c r="K13" s="3">
        <v>25</v>
      </c>
      <c r="L13" s="4" t="s">
        <v>147</v>
      </c>
      <c r="M13" s="3">
        <v>5.7</v>
      </c>
      <c r="O13">
        <f>MATCH(ROW(A13),Arr!O:O,FALSE)</f>
        <v>13</v>
      </c>
    </row>
    <row r="14" spans="1:15" x14ac:dyDescent="0.3">
      <c r="A14" s="41">
        <f t="shared" si="0"/>
        <v>13</v>
      </c>
      <c r="B14" s="3">
        <v>829</v>
      </c>
      <c r="C14" s="4" t="s">
        <v>617</v>
      </c>
      <c r="D14" s="4" t="s">
        <v>537</v>
      </c>
      <c r="E14" s="4" t="s">
        <v>15</v>
      </c>
      <c r="F14" s="4" t="s">
        <v>517</v>
      </c>
      <c r="G14" s="4" t="s">
        <v>32</v>
      </c>
      <c r="H14" s="3">
        <v>0</v>
      </c>
      <c r="I14" s="3">
        <v>109</v>
      </c>
      <c r="J14" s="4" t="s">
        <v>17</v>
      </c>
      <c r="K14" s="3">
        <v>25</v>
      </c>
      <c r="L14" s="4" t="s">
        <v>147</v>
      </c>
      <c r="M14" s="3">
        <v>5.7</v>
      </c>
      <c r="O14">
        <f>MATCH(ROW(A14),Arr!O:O,FALSE)</f>
        <v>14</v>
      </c>
    </row>
    <row r="15" spans="1:15" x14ac:dyDescent="0.3">
      <c r="A15" s="41">
        <f t="shared" si="0"/>
        <v>14</v>
      </c>
      <c r="B15" s="3">
        <v>480</v>
      </c>
      <c r="C15" s="4" t="s">
        <v>294</v>
      </c>
      <c r="D15" s="4" t="s">
        <v>537</v>
      </c>
      <c r="E15" s="4" t="s">
        <v>15</v>
      </c>
      <c r="F15" s="4" t="s">
        <v>145</v>
      </c>
      <c r="G15" s="4" t="s">
        <v>32</v>
      </c>
      <c r="H15" s="3">
        <v>0</v>
      </c>
      <c r="I15" s="3">
        <v>109</v>
      </c>
      <c r="J15" s="4" t="s">
        <v>17</v>
      </c>
      <c r="K15" s="3">
        <v>25</v>
      </c>
      <c r="L15" s="4" t="s">
        <v>147</v>
      </c>
      <c r="M15" s="3">
        <v>5.7</v>
      </c>
      <c r="O15">
        <f>MATCH(ROW(A15),Arr!O:O,FALSE)</f>
        <v>15</v>
      </c>
    </row>
    <row r="16" spans="1:15" x14ac:dyDescent="0.3">
      <c r="A16" s="41">
        <f t="shared" si="0"/>
        <v>15</v>
      </c>
      <c r="B16" s="3">
        <v>672</v>
      </c>
      <c r="C16" s="4" t="s">
        <v>601</v>
      </c>
      <c r="D16" s="4" t="s">
        <v>537</v>
      </c>
      <c r="E16" s="4" t="s">
        <v>15</v>
      </c>
      <c r="F16" s="4" t="s">
        <v>352</v>
      </c>
      <c r="G16" s="4" t="s">
        <v>32</v>
      </c>
      <c r="H16" s="3">
        <v>0</v>
      </c>
      <c r="I16" s="3">
        <v>109</v>
      </c>
      <c r="J16" s="4" t="s">
        <v>17</v>
      </c>
      <c r="K16" s="3">
        <v>25</v>
      </c>
      <c r="L16" s="4" t="s">
        <v>147</v>
      </c>
      <c r="M16" s="3">
        <v>5.7</v>
      </c>
      <c r="O16">
        <f>MATCH(ROW(A16),Arr!O:O,FALSE)</f>
        <v>21</v>
      </c>
    </row>
    <row r="17" spans="1:15" x14ac:dyDescent="0.3">
      <c r="A17" s="41">
        <f t="shared" si="0"/>
        <v>16</v>
      </c>
      <c r="B17" s="3">
        <v>668</v>
      </c>
      <c r="C17" s="4" t="s">
        <v>547</v>
      </c>
      <c r="D17" s="4" t="s">
        <v>537</v>
      </c>
      <c r="E17" s="4" t="s">
        <v>15</v>
      </c>
      <c r="F17" s="4" t="s">
        <v>352</v>
      </c>
      <c r="G17" s="4" t="s">
        <v>146</v>
      </c>
      <c r="H17" s="3">
        <v>0</v>
      </c>
      <c r="I17" s="3">
        <v>103</v>
      </c>
      <c r="J17" s="4" t="s">
        <v>17</v>
      </c>
      <c r="K17" s="3">
        <v>25</v>
      </c>
      <c r="L17" s="4" t="s">
        <v>147</v>
      </c>
      <c r="M17" s="3">
        <v>4.9000000000000004</v>
      </c>
      <c r="O17">
        <f>MATCH(ROW(A17),Arr!O:O,FALSE)</f>
        <v>22</v>
      </c>
    </row>
    <row r="18" spans="1:15" x14ac:dyDescent="0.3">
      <c r="A18" s="41">
        <f t="shared" si="0"/>
        <v>17</v>
      </c>
      <c r="B18" s="3">
        <v>828</v>
      </c>
      <c r="C18" s="4" t="s">
        <v>616</v>
      </c>
      <c r="D18" s="4" t="s">
        <v>537</v>
      </c>
      <c r="E18" s="4" t="s">
        <v>15</v>
      </c>
      <c r="F18" s="4" t="s">
        <v>517</v>
      </c>
      <c r="G18" s="4" t="s">
        <v>146</v>
      </c>
      <c r="H18" s="3">
        <v>0</v>
      </c>
      <c r="I18" s="3">
        <v>103</v>
      </c>
      <c r="J18" s="4" t="s">
        <v>17</v>
      </c>
      <c r="K18" s="3">
        <v>25</v>
      </c>
      <c r="L18" s="4" t="s">
        <v>147</v>
      </c>
      <c r="M18" s="3">
        <v>4.9000000000000004</v>
      </c>
      <c r="O18">
        <f>MATCH(ROW(A18),Arr!O:O,FALSE)</f>
        <v>23</v>
      </c>
    </row>
    <row r="19" spans="1:15" x14ac:dyDescent="0.3">
      <c r="A19" s="41">
        <f t="shared" si="0"/>
        <v>18</v>
      </c>
      <c r="B19" s="3">
        <v>667</v>
      </c>
      <c r="C19" s="4" t="s">
        <v>343</v>
      </c>
      <c r="D19" s="4" t="s">
        <v>537</v>
      </c>
      <c r="E19" s="4" t="s">
        <v>15</v>
      </c>
      <c r="F19" s="4" t="s">
        <v>352</v>
      </c>
      <c r="G19" s="4" t="s">
        <v>146</v>
      </c>
      <c r="H19" s="3">
        <v>0</v>
      </c>
      <c r="I19" s="3">
        <v>103</v>
      </c>
      <c r="J19" s="4" t="s">
        <v>17</v>
      </c>
      <c r="K19" s="3">
        <v>25</v>
      </c>
      <c r="L19" s="4" t="s">
        <v>147</v>
      </c>
      <c r="M19" s="3">
        <v>4.9000000000000004</v>
      </c>
      <c r="O19">
        <f>MATCH(ROW(A19),Arr!O:O,FALSE)</f>
        <v>24</v>
      </c>
    </row>
    <row r="20" spans="1:15" x14ac:dyDescent="0.3">
      <c r="A20" s="41">
        <f t="shared" si="0"/>
        <v>19</v>
      </c>
      <c r="B20" s="3">
        <v>473</v>
      </c>
      <c r="C20" s="4" t="s">
        <v>280</v>
      </c>
      <c r="D20" s="4" t="s">
        <v>537</v>
      </c>
      <c r="E20" s="4" t="s">
        <v>15</v>
      </c>
      <c r="F20" s="4" t="s">
        <v>145</v>
      </c>
      <c r="G20" s="4" t="s">
        <v>146</v>
      </c>
      <c r="H20" s="3">
        <v>0</v>
      </c>
      <c r="I20" s="3">
        <v>103</v>
      </c>
      <c r="J20" s="4" t="s">
        <v>17</v>
      </c>
      <c r="K20" s="3">
        <v>25</v>
      </c>
      <c r="L20" s="4" t="s">
        <v>147</v>
      </c>
      <c r="M20" s="3">
        <v>4.9000000000000004</v>
      </c>
      <c r="O20">
        <f>MATCH(ROW(A20),Arr!O:O,FALSE)</f>
        <v>17</v>
      </c>
    </row>
    <row r="21" spans="1:15" x14ac:dyDescent="0.3">
      <c r="A21" s="41">
        <f t="shared" si="0"/>
        <v>20</v>
      </c>
      <c r="B21" s="3">
        <v>669</v>
      </c>
      <c r="C21" s="4" t="s">
        <v>649</v>
      </c>
      <c r="D21" s="4" t="s">
        <v>537</v>
      </c>
      <c r="E21" s="4" t="s">
        <v>15</v>
      </c>
      <c r="F21" s="4" t="s">
        <v>352</v>
      </c>
      <c r="G21" s="4" t="s">
        <v>146</v>
      </c>
      <c r="H21" s="3">
        <v>0</v>
      </c>
      <c r="I21" s="3">
        <v>103</v>
      </c>
      <c r="J21" s="4" t="s">
        <v>17</v>
      </c>
      <c r="K21" s="3">
        <v>25</v>
      </c>
      <c r="L21" s="4" t="s">
        <v>147</v>
      </c>
      <c r="M21" s="3">
        <v>4.9000000000000004</v>
      </c>
      <c r="O21">
        <f>MATCH(ROW(A21),Arr!O:O,FALSE)</f>
        <v>18</v>
      </c>
    </row>
    <row r="22" spans="1:15" x14ac:dyDescent="0.3">
      <c r="A22" s="41">
        <f t="shared" si="0"/>
        <v>21</v>
      </c>
      <c r="B22" s="3">
        <v>671</v>
      </c>
      <c r="C22" s="4" t="s">
        <v>650</v>
      </c>
      <c r="D22" s="4" t="s">
        <v>537</v>
      </c>
      <c r="E22" s="4" t="s">
        <v>15</v>
      </c>
      <c r="F22" s="4" t="s">
        <v>352</v>
      </c>
      <c r="G22" s="4" t="s">
        <v>146</v>
      </c>
      <c r="H22" s="3">
        <v>0</v>
      </c>
      <c r="I22" s="3">
        <v>103</v>
      </c>
      <c r="J22" s="4" t="s">
        <v>17</v>
      </c>
      <c r="K22" s="3">
        <v>25</v>
      </c>
      <c r="L22" s="4" t="s">
        <v>147</v>
      </c>
      <c r="M22" s="3">
        <v>4.9000000000000004</v>
      </c>
      <c r="O22">
        <f>MATCH(ROW(A22),Arr!O:O,FALSE)</f>
        <v>19</v>
      </c>
    </row>
    <row r="23" spans="1:15" x14ac:dyDescent="0.3">
      <c r="A23" s="41">
        <f t="shared" si="0"/>
        <v>22</v>
      </c>
      <c r="B23" s="3">
        <v>830</v>
      </c>
      <c r="C23" s="4" t="s">
        <v>541</v>
      </c>
      <c r="D23" s="4" t="s">
        <v>537</v>
      </c>
      <c r="E23" s="4" t="s">
        <v>15</v>
      </c>
      <c r="F23" s="4" t="s">
        <v>517</v>
      </c>
      <c r="G23" s="4" t="s">
        <v>146</v>
      </c>
      <c r="H23" s="3">
        <v>0</v>
      </c>
      <c r="I23" s="3">
        <v>103</v>
      </c>
      <c r="J23" s="4" t="s">
        <v>17</v>
      </c>
      <c r="K23" s="3">
        <v>25</v>
      </c>
      <c r="L23" s="4" t="s">
        <v>147</v>
      </c>
      <c r="M23" s="3">
        <v>4.9000000000000004</v>
      </c>
      <c r="O23">
        <f>MATCH(ROW(A23),Arr!O:O,FALSE)</f>
        <v>20</v>
      </c>
    </row>
    <row r="24" spans="1:15" x14ac:dyDescent="0.3">
      <c r="A24" s="41">
        <f t="shared" si="0"/>
        <v>23</v>
      </c>
      <c r="B24" s="3">
        <v>670</v>
      </c>
      <c r="C24" s="4" t="s">
        <v>578</v>
      </c>
      <c r="D24" s="4" t="s">
        <v>537</v>
      </c>
      <c r="E24" s="4" t="s">
        <v>15</v>
      </c>
      <c r="F24" s="4" t="s">
        <v>352</v>
      </c>
      <c r="G24" s="4" t="s">
        <v>146</v>
      </c>
      <c r="H24" s="3">
        <v>0</v>
      </c>
      <c r="I24" s="3">
        <v>103</v>
      </c>
      <c r="J24" s="4" t="s">
        <v>17</v>
      </c>
      <c r="K24" s="3">
        <v>25</v>
      </c>
      <c r="L24" s="4" t="s">
        <v>147</v>
      </c>
      <c r="M24" s="3">
        <v>4.9000000000000004</v>
      </c>
      <c r="O24">
        <f>MATCH(ROW(A24),Arr!O:O,FALSE)</f>
        <v>25</v>
      </c>
    </row>
    <row r="25" spans="1:15" x14ac:dyDescent="0.3">
      <c r="A25" s="41">
        <f t="shared" si="0"/>
        <v>24</v>
      </c>
      <c r="B25" s="3">
        <v>882</v>
      </c>
      <c r="C25" s="4" t="s">
        <v>622</v>
      </c>
      <c r="D25" s="4" t="s">
        <v>537</v>
      </c>
      <c r="E25" s="4" t="s">
        <v>15</v>
      </c>
      <c r="F25" s="4" t="s">
        <v>499</v>
      </c>
      <c r="G25" s="4" t="s">
        <v>40</v>
      </c>
      <c r="H25" s="3">
        <v>0</v>
      </c>
      <c r="I25" s="3">
        <v>96</v>
      </c>
      <c r="J25" s="4" t="s">
        <v>28</v>
      </c>
      <c r="K25" s="3">
        <v>25</v>
      </c>
      <c r="L25" s="4" t="s">
        <v>484</v>
      </c>
      <c r="M25" s="3">
        <v>2</v>
      </c>
      <c r="O25">
        <f>MATCH(ROW(A25),Arr!O:O,FALSE)</f>
        <v>31</v>
      </c>
    </row>
    <row r="26" spans="1:15" x14ac:dyDescent="0.3">
      <c r="A26" s="41">
        <f t="shared" si="0"/>
        <v>25</v>
      </c>
      <c r="B26" s="3">
        <v>870</v>
      </c>
      <c r="C26" s="4" t="s">
        <v>80</v>
      </c>
      <c r="D26" s="4" t="s">
        <v>537</v>
      </c>
      <c r="E26" s="4" t="s">
        <v>15</v>
      </c>
      <c r="F26" s="4" t="s">
        <v>474</v>
      </c>
      <c r="G26" s="4" t="s">
        <v>483</v>
      </c>
      <c r="H26" s="3">
        <v>0</v>
      </c>
      <c r="I26" s="3">
        <v>38</v>
      </c>
      <c r="J26" s="4" t="s">
        <v>28</v>
      </c>
      <c r="K26" s="3">
        <v>25</v>
      </c>
      <c r="L26" s="4" t="s">
        <v>484</v>
      </c>
      <c r="M26" s="3">
        <v>0.3</v>
      </c>
      <c r="O26">
        <f>MATCH(ROW(A26),Arr!O:O,FALSE)</f>
        <v>26</v>
      </c>
    </row>
    <row r="27" spans="1:15" x14ac:dyDescent="0.3">
      <c r="A27" s="41">
        <f t="shared" si="0"/>
        <v>26</v>
      </c>
      <c r="B27" s="3">
        <v>869</v>
      </c>
      <c r="C27" s="4" t="s">
        <v>336</v>
      </c>
      <c r="D27" s="4" t="s">
        <v>537</v>
      </c>
      <c r="E27" s="4" t="s">
        <v>15</v>
      </c>
      <c r="F27" s="4" t="s">
        <v>474</v>
      </c>
      <c r="G27" s="4" t="s">
        <v>483</v>
      </c>
      <c r="H27" s="3">
        <v>0</v>
      </c>
      <c r="I27" s="3">
        <v>38</v>
      </c>
      <c r="J27" s="4" t="s">
        <v>28</v>
      </c>
      <c r="K27" s="3">
        <v>25</v>
      </c>
      <c r="L27" s="4" t="s">
        <v>484</v>
      </c>
      <c r="M27" s="3">
        <v>0.3</v>
      </c>
      <c r="O27">
        <f>MATCH(ROW(A27),Arr!O:O,FALSE)</f>
        <v>27</v>
      </c>
    </row>
    <row r="28" spans="1:15" x14ac:dyDescent="0.3">
      <c r="A28" s="41">
        <f t="shared" si="0"/>
        <v>27</v>
      </c>
      <c r="B28" s="3">
        <v>866</v>
      </c>
      <c r="C28" s="4" t="s">
        <v>152</v>
      </c>
      <c r="D28" s="4" t="s">
        <v>537</v>
      </c>
      <c r="E28" s="4" t="s">
        <v>15</v>
      </c>
      <c r="F28" s="4" t="s">
        <v>474</v>
      </c>
      <c r="G28" s="4" t="s">
        <v>483</v>
      </c>
      <c r="H28" s="3">
        <v>0</v>
      </c>
      <c r="I28" s="3">
        <v>38</v>
      </c>
      <c r="J28" s="4" t="s">
        <v>28</v>
      </c>
      <c r="K28" s="3">
        <v>25</v>
      </c>
      <c r="L28" s="4" t="s">
        <v>484</v>
      </c>
      <c r="M28" s="3">
        <v>0.3</v>
      </c>
      <c r="O28">
        <f>MATCH(ROW(A28),Arr!O:O,FALSE)</f>
        <v>28</v>
      </c>
    </row>
    <row r="29" spans="1:15" x14ac:dyDescent="0.3">
      <c r="A29" s="41">
        <f t="shared" si="0"/>
        <v>28</v>
      </c>
      <c r="B29" s="3">
        <v>865</v>
      </c>
      <c r="C29" s="4" t="s">
        <v>626</v>
      </c>
      <c r="D29" s="4" t="s">
        <v>537</v>
      </c>
      <c r="E29" s="4" t="s">
        <v>15</v>
      </c>
      <c r="F29" s="4" t="s">
        <v>474</v>
      </c>
      <c r="G29" s="4" t="s">
        <v>483</v>
      </c>
      <c r="H29" s="3">
        <v>0</v>
      </c>
      <c r="I29" s="3">
        <v>38</v>
      </c>
      <c r="J29" s="4" t="s">
        <v>28</v>
      </c>
      <c r="K29" s="3">
        <v>25</v>
      </c>
      <c r="L29" s="4" t="s">
        <v>484</v>
      </c>
      <c r="M29" s="3">
        <v>0.3</v>
      </c>
      <c r="O29">
        <f>MATCH(ROW(A29),Arr!O:O,FALSE)</f>
        <v>29</v>
      </c>
    </row>
    <row r="30" spans="1:15" x14ac:dyDescent="0.3">
      <c r="A30" s="41">
        <f t="shared" si="0"/>
        <v>29</v>
      </c>
      <c r="B30" s="3">
        <v>868</v>
      </c>
      <c r="C30" s="4" t="s">
        <v>668</v>
      </c>
      <c r="D30" s="4" t="s">
        <v>537</v>
      </c>
      <c r="E30" s="4" t="s">
        <v>15</v>
      </c>
      <c r="F30" s="4" t="s">
        <v>474</v>
      </c>
      <c r="G30" s="4" t="s">
        <v>483</v>
      </c>
      <c r="H30" s="3">
        <v>0</v>
      </c>
      <c r="I30" s="3">
        <v>38</v>
      </c>
      <c r="J30" s="4" t="s">
        <v>28</v>
      </c>
      <c r="K30" s="3">
        <v>25</v>
      </c>
      <c r="L30" s="4" t="s">
        <v>484</v>
      </c>
      <c r="M30" s="3">
        <v>0.3</v>
      </c>
      <c r="O30">
        <f>MATCH(ROW(A30),Arr!O:O,FALSE)</f>
        <v>30</v>
      </c>
    </row>
    <row r="31" spans="1:15" x14ac:dyDescent="0.3">
      <c r="A31" s="41">
        <f t="shared" si="0"/>
        <v>30</v>
      </c>
      <c r="B31" s="3">
        <v>867</v>
      </c>
      <c r="C31" s="4" t="s">
        <v>635</v>
      </c>
      <c r="D31" s="4" t="s">
        <v>537</v>
      </c>
      <c r="E31" s="4" t="s">
        <v>15</v>
      </c>
      <c r="F31" s="4" t="s">
        <v>474</v>
      </c>
      <c r="G31" s="4" t="s">
        <v>483</v>
      </c>
      <c r="H31" s="3">
        <v>0</v>
      </c>
      <c r="I31" s="3">
        <v>38</v>
      </c>
      <c r="J31" s="4" t="s">
        <v>28</v>
      </c>
      <c r="K31" s="3">
        <v>25</v>
      </c>
      <c r="L31" s="4" t="s">
        <v>484</v>
      </c>
      <c r="M31" s="3">
        <v>0.3</v>
      </c>
      <c r="O31">
        <f>MATCH(ROW(A31),Arr!O:O,FALSE)</f>
        <v>78</v>
      </c>
    </row>
    <row r="32" spans="1:15" x14ac:dyDescent="0.3">
      <c r="A32" s="41">
        <f t="shared" si="0"/>
        <v>31</v>
      </c>
      <c r="B32" s="3">
        <v>403</v>
      </c>
      <c r="C32" s="4" t="s">
        <v>80</v>
      </c>
      <c r="D32" s="4" t="s">
        <v>537</v>
      </c>
      <c r="E32" s="4" t="s">
        <v>15</v>
      </c>
      <c r="F32" s="4" t="s">
        <v>31</v>
      </c>
      <c r="G32" s="4" t="s">
        <v>45</v>
      </c>
      <c r="H32" s="3">
        <v>0</v>
      </c>
      <c r="I32" s="3">
        <v>115</v>
      </c>
      <c r="J32" s="4" t="s">
        <v>17</v>
      </c>
      <c r="K32" s="3">
        <v>25</v>
      </c>
      <c r="L32" s="4" t="s">
        <v>22</v>
      </c>
      <c r="M32" s="3">
        <v>7.5</v>
      </c>
      <c r="O32">
        <f>MATCH(ROW(A32),Arr!O:O,FALSE)</f>
        <v>79</v>
      </c>
    </row>
    <row r="33" spans="1:15" x14ac:dyDescent="0.3">
      <c r="A33" s="41">
        <f t="shared" si="0"/>
        <v>32</v>
      </c>
      <c r="B33" s="3">
        <v>779</v>
      </c>
      <c r="C33" s="4" t="s">
        <v>547</v>
      </c>
      <c r="D33" s="4" t="s">
        <v>537</v>
      </c>
      <c r="E33" s="4" t="s">
        <v>15</v>
      </c>
      <c r="F33" s="4" t="s">
        <v>440</v>
      </c>
      <c r="G33" s="4" t="s">
        <v>45</v>
      </c>
      <c r="H33" s="3">
        <v>0</v>
      </c>
      <c r="I33" s="3">
        <v>115</v>
      </c>
      <c r="J33" s="4" t="s">
        <v>17</v>
      </c>
      <c r="K33" s="3">
        <v>25</v>
      </c>
      <c r="L33" s="4" t="s">
        <v>22</v>
      </c>
      <c r="M33" s="3">
        <v>7.5</v>
      </c>
      <c r="O33">
        <f>MATCH(ROW(A33),Arr!O:O,FALSE)</f>
        <v>80</v>
      </c>
    </row>
    <row r="34" spans="1:15" x14ac:dyDescent="0.3">
      <c r="A34" s="41">
        <f t="shared" si="0"/>
        <v>33</v>
      </c>
      <c r="B34" s="3">
        <v>467</v>
      </c>
      <c r="C34" s="4" t="s">
        <v>564</v>
      </c>
      <c r="D34" s="4" t="s">
        <v>537</v>
      </c>
      <c r="E34" s="4" t="s">
        <v>15</v>
      </c>
      <c r="F34" s="4" t="s">
        <v>124</v>
      </c>
      <c r="G34" s="4" t="s">
        <v>45</v>
      </c>
      <c r="H34" s="3">
        <v>0</v>
      </c>
      <c r="I34" s="3">
        <v>115</v>
      </c>
      <c r="J34" s="4" t="s">
        <v>17</v>
      </c>
      <c r="K34" s="3">
        <v>25</v>
      </c>
      <c r="L34" s="4" t="s">
        <v>22</v>
      </c>
      <c r="M34" s="3">
        <v>7.5</v>
      </c>
      <c r="O34">
        <f>MATCH(ROW(A34),Arr!O:O,FALSE)</f>
        <v>81</v>
      </c>
    </row>
    <row r="35" spans="1:15" x14ac:dyDescent="0.3">
      <c r="A35" s="41">
        <f t="shared" si="0"/>
        <v>34</v>
      </c>
      <c r="B35" s="3">
        <v>573</v>
      </c>
      <c r="C35" s="4" t="s">
        <v>536</v>
      </c>
      <c r="D35" s="4" t="s">
        <v>537</v>
      </c>
      <c r="E35" s="4" t="s">
        <v>15</v>
      </c>
      <c r="F35" s="4" t="s">
        <v>260</v>
      </c>
      <c r="G35" s="4" t="s">
        <v>45</v>
      </c>
      <c r="H35" s="3">
        <v>0</v>
      </c>
      <c r="I35" s="3">
        <v>115</v>
      </c>
      <c r="J35" s="4" t="s">
        <v>17</v>
      </c>
      <c r="K35" s="3">
        <v>25</v>
      </c>
      <c r="L35" s="4" t="s">
        <v>22</v>
      </c>
      <c r="M35" s="3">
        <v>7.5</v>
      </c>
      <c r="O35">
        <f>MATCH(ROW(A35),Arr!O:O,FALSE)</f>
        <v>82</v>
      </c>
    </row>
    <row r="36" spans="1:15" x14ac:dyDescent="0.3">
      <c r="A36" s="41">
        <f t="shared" si="0"/>
        <v>35</v>
      </c>
      <c r="B36" s="3">
        <v>765</v>
      </c>
      <c r="C36" s="4" t="s">
        <v>572</v>
      </c>
      <c r="D36" s="4" t="s">
        <v>537</v>
      </c>
      <c r="E36" s="4" t="s">
        <v>15</v>
      </c>
      <c r="F36" s="4" t="s">
        <v>432</v>
      </c>
      <c r="G36" s="4" t="s">
        <v>45</v>
      </c>
      <c r="H36" s="3">
        <v>0</v>
      </c>
      <c r="I36" s="3">
        <v>115</v>
      </c>
      <c r="J36" s="4" t="s">
        <v>17</v>
      </c>
      <c r="K36" s="3">
        <v>25</v>
      </c>
      <c r="L36" s="4" t="s">
        <v>22</v>
      </c>
      <c r="M36" s="3">
        <v>7.5</v>
      </c>
      <c r="O36">
        <f>MATCH(ROW(A36),Arr!O:O,FALSE)</f>
        <v>83</v>
      </c>
    </row>
    <row r="37" spans="1:15" x14ac:dyDescent="0.3">
      <c r="A37" s="41">
        <f t="shared" si="0"/>
        <v>36</v>
      </c>
      <c r="B37" s="3">
        <v>571</v>
      </c>
      <c r="C37" s="4" t="s">
        <v>581</v>
      </c>
      <c r="D37" s="4" t="s">
        <v>537</v>
      </c>
      <c r="E37" s="4" t="s">
        <v>15</v>
      </c>
      <c r="F37" s="4" t="s">
        <v>252</v>
      </c>
      <c r="G37" s="4" t="s">
        <v>45</v>
      </c>
      <c r="H37" s="3">
        <v>0</v>
      </c>
      <c r="I37" s="3">
        <v>115</v>
      </c>
      <c r="J37" s="4" t="s">
        <v>17</v>
      </c>
      <c r="K37" s="3">
        <v>25</v>
      </c>
      <c r="L37" s="4" t="s">
        <v>22</v>
      </c>
      <c r="M37" s="3">
        <v>7.5</v>
      </c>
      <c r="O37">
        <f>MATCH(ROW(A37),Arr!O:O,FALSE)</f>
        <v>32</v>
      </c>
    </row>
    <row r="38" spans="1:15" x14ac:dyDescent="0.3">
      <c r="A38" s="41">
        <f t="shared" si="0"/>
        <v>37</v>
      </c>
      <c r="B38" s="3">
        <v>398</v>
      </c>
      <c r="C38" s="4" t="s">
        <v>187</v>
      </c>
      <c r="D38" s="4" t="s">
        <v>537</v>
      </c>
      <c r="E38" s="4" t="s">
        <v>15</v>
      </c>
      <c r="F38" s="4" t="s">
        <v>31</v>
      </c>
      <c r="G38" s="4" t="s">
        <v>45</v>
      </c>
      <c r="H38" s="3">
        <v>0</v>
      </c>
      <c r="I38" s="3">
        <v>115</v>
      </c>
      <c r="J38" s="4" t="s">
        <v>17</v>
      </c>
      <c r="K38" s="3">
        <v>25</v>
      </c>
      <c r="L38" s="4" t="s">
        <v>22</v>
      </c>
      <c r="M38" s="3">
        <v>7.5</v>
      </c>
      <c r="O38">
        <f>MATCH(ROW(A38),Arr!O:O,FALSE)</f>
        <v>33</v>
      </c>
    </row>
    <row r="39" spans="1:15" x14ac:dyDescent="0.3">
      <c r="A39" s="41">
        <f t="shared" si="0"/>
        <v>38</v>
      </c>
      <c r="B39" s="3">
        <v>782</v>
      </c>
      <c r="C39" s="4" t="s">
        <v>661</v>
      </c>
      <c r="D39" s="4" t="s">
        <v>537</v>
      </c>
      <c r="E39" s="4" t="s">
        <v>15</v>
      </c>
      <c r="F39" s="4" t="s">
        <v>440</v>
      </c>
      <c r="G39" s="4" t="s">
        <v>45</v>
      </c>
      <c r="H39" s="3">
        <v>0</v>
      </c>
      <c r="I39" s="3">
        <v>115</v>
      </c>
      <c r="J39" s="4" t="s">
        <v>17</v>
      </c>
      <c r="K39" s="3">
        <v>25</v>
      </c>
      <c r="L39" s="4" t="s">
        <v>22</v>
      </c>
      <c r="M39" s="3">
        <v>7.5</v>
      </c>
      <c r="O39">
        <f>MATCH(ROW(A39),Arr!O:O,FALSE)</f>
        <v>34</v>
      </c>
    </row>
    <row r="40" spans="1:15" x14ac:dyDescent="0.3">
      <c r="A40" s="41">
        <f t="shared" si="0"/>
        <v>39</v>
      </c>
      <c r="B40" s="3">
        <v>677</v>
      </c>
      <c r="C40" s="4" t="s">
        <v>372</v>
      </c>
      <c r="D40" s="4" t="s">
        <v>537</v>
      </c>
      <c r="E40" s="4" t="s">
        <v>15</v>
      </c>
      <c r="F40" s="4" t="s">
        <v>352</v>
      </c>
      <c r="G40" s="4" t="s">
        <v>45</v>
      </c>
      <c r="H40" s="3">
        <v>0</v>
      </c>
      <c r="I40" s="3">
        <v>115</v>
      </c>
      <c r="J40" s="4" t="s">
        <v>17</v>
      </c>
      <c r="K40" s="3">
        <v>25</v>
      </c>
      <c r="L40" s="4" t="s">
        <v>22</v>
      </c>
      <c r="M40" s="3">
        <v>7.5</v>
      </c>
      <c r="O40">
        <f>MATCH(ROW(A40),Arr!O:O,FALSE)</f>
        <v>35</v>
      </c>
    </row>
    <row r="41" spans="1:15" x14ac:dyDescent="0.3">
      <c r="A41" s="41">
        <f t="shared" si="0"/>
        <v>40</v>
      </c>
      <c r="B41" s="3">
        <v>823</v>
      </c>
      <c r="C41" s="4" t="s">
        <v>486</v>
      </c>
      <c r="D41" s="4" t="s">
        <v>537</v>
      </c>
      <c r="E41" s="4" t="s">
        <v>15</v>
      </c>
      <c r="F41" s="4" t="s">
        <v>511</v>
      </c>
      <c r="G41" s="4" t="s">
        <v>45</v>
      </c>
      <c r="H41" s="3">
        <v>0</v>
      </c>
      <c r="I41" s="3">
        <v>115</v>
      </c>
      <c r="J41" s="4" t="s">
        <v>17</v>
      </c>
      <c r="K41" s="3">
        <v>25</v>
      </c>
      <c r="L41" s="4" t="s">
        <v>22</v>
      </c>
      <c r="M41" s="3">
        <v>7.5</v>
      </c>
      <c r="O41">
        <f>MATCH(ROW(A41),Arr!O:O,FALSE)</f>
        <v>36</v>
      </c>
    </row>
    <row r="42" spans="1:15" x14ac:dyDescent="0.3">
      <c r="A42" s="41">
        <f t="shared" si="0"/>
        <v>41</v>
      </c>
      <c r="B42" s="3">
        <v>653</v>
      </c>
      <c r="C42" s="4" t="s">
        <v>336</v>
      </c>
      <c r="D42" s="4" t="s">
        <v>537</v>
      </c>
      <c r="E42" s="4" t="s">
        <v>15</v>
      </c>
      <c r="F42" s="4" t="s">
        <v>335</v>
      </c>
      <c r="G42" s="4" t="s">
        <v>45</v>
      </c>
      <c r="H42" s="3">
        <v>0</v>
      </c>
      <c r="I42" s="3">
        <v>115</v>
      </c>
      <c r="J42" s="4" t="s">
        <v>17</v>
      </c>
      <c r="K42" s="3">
        <v>25</v>
      </c>
      <c r="L42" s="4" t="s">
        <v>22</v>
      </c>
      <c r="M42" s="3">
        <v>7.5</v>
      </c>
      <c r="O42">
        <f>MATCH(ROW(A42),Arr!O:O,FALSE)</f>
        <v>37</v>
      </c>
    </row>
    <row r="43" spans="1:15" x14ac:dyDescent="0.3">
      <c r="A43" s="41">
        <f t="shared" si="0"/>
        <v>42</v>
      </c>
      <c r="B43" s="3">
        <v>873</v>
      </c>
      <c r="C43" s="4" t="s">
        <v>550</v>
      </c>
      <c r="D43" s="4" t="s">
        <v>537</v>
      </c>
      <c r="E43" s="4" t="s">
        <v>15</v>
      </c>
      <c r="F43" s="4" t="s">
        <v>490</v>
      </c>
      <c r="G43" s="4" t="s">
        <v>45</v>
      </c>
      <c r="H43" s="3">
        <v>0</v>
      </c>
      <c r="I43" s="3">
        <v>115</v>
      </c>
      <c r="J43" s="4" t="s">
        <v>28</v>
      </c>
      <c r="K43" s="3">
        <v>25</v>
      </c>
      <c r="L43" s="4" t="s">
        <v>22</v>
      </c>
      <c r="M43" s="3">
        <v>7.5</v>
      </c>
      <c r="O43">
        <f>MATCH(ROW(A43),Arr!O:O,FALSE)</f>
        <v>38</v>
      </c>
    </row>
    <row r="44" spans="1:15" x14ac:dyDescent="0.3">
      <c r="A44" s="41">
        <f t="shared" si="0"/>
        <v>43</v>
      </c>
      <c r="B44" s="3">
        <v>793</v>
      </c>
      <c r="C44" s="4" t="s">
        <v>246</v>
      </c>
      <c r="D44" s="4" t="s">
        <v>537</v>
      </c>
      <c r="E44" s="4" t="s">
        <v>15</v>
      </c>
      <c r="F44" s="4" t="s">
        <v>455</v>
      </c>
      <c r="G44" s="4" t="s">
        <v>45</v>
      </c>
      <c r="H44" s="3">
        <v>0</v>
      </c>
      <c r="I44" s="3">
        <v>115</v>
      </c>
      <c r="J44" s="4" t="s">
        <v>17</v>
      </c>
      <c r="K44" s="3">
        <v>25</v>
      </c>
      <c r="L44" s="4" t="s">
        <v>22</v>
      </c>
      <c r="M44" s="3">
        <v>7.5</v>
      </c>
      <c r="O44">
        <f>MATCH(ROW(A44),Arr!O:O,FALSE)</f>
        <v>39</v>
      </c>
    </row>
    <row r="45" spans="1:15" x14ac:dyDescent="0.3">
      <c r="A45" s="41">
        <f t="shared" si="0"/>
        <v>44</v>
      </c>
      <c r="B45" s="3">
        <v>575</v>
      </c>
      <c r="C45" s="4" t="s">
        <v>134</v>
      </c>
      <c r="D45" s="4" t="s">
        <v>537</v>
      </c>
      <c r="E45" s="4" t="s">
        <v>15</v>
      </c>
      <c r="F45" s="4" t="s">
        <v>260</v>
      </c>
      <c r="G45" s="4" t="s">
        <v>45</v>
      </c>
      <c r="H45" s="3">
        <v>0</v>
      </c>
      <c r="I45" s="3">
        <v>115</v>
      </c>
      <c r="J45" s="4" t="s">
        <v>17</v>
      </c>
      <c r="K45" s="3">
        <v>25</v>
      </c>
      <c r="L45" s="4" t="s">
        <v>22</v>
      </c>
      <c r="M45" s="3">
        <v>7.5</v>
      </c>
      <c r="O45">
        <f>MATCH(ROW(A45),Arr!O:O,FALSE)</f>
        <v>40</v>
      </c>
    </row>
    <row r="46" spans="1:15" x14ac:dyDescent="0.3">
      <c r="A46" s="41">
        <f t="shared" si="0"/>
        <v>45</v>
      </c>
      <c r="B46" s="3">
        <v>676</v>
      </c>
      <c r="C46" s="4" t="s">
        <v>328</v>
      </c>
      <c r="D46" s="4" t="s">
        <v>537</v>
      </c>
      <c r="E46" s="4" t="s">
        <v>15</v>
      </c>
      <c r="F46" s="4" t="s">
        <v>352</v>
      </c>
      <c r="G46" s="4" t="s">
        <v>45</v>
      </c>
      <c r="H46" s="3">
        <v>0</v>
      </c>
      <c r="I46" s="3">
        <v>115</v>
      </c>
      <c r="J46" s="4" t="s">
        <v>17</v>
      </c>
      <c r="K46" s="3">
        <v>25</v>
      </c>
      <c r="L46" s="4" t="s">
        <v>22</v>
      </c>
      <c r="M46" s="3">
        <v>7.5</v>
      </c>
      <c r="O46">
        <f>MATCH(ROW(A46),Arr!O:O,FALSE)</f>
        <v>41</v>
      </c>
    </row>
    <row r="47" spans="1:15" x14ac:dyDescent="0.3">
      <c r="A47" s="41">
        <f t="shared" si="0"/>
        <v>46</v>
      </c>
      <c r="B47" s="3">
        <v>825</v>
      </c>
      <c r="C47" s="4" t="s">
        <v>611</v>
      </c>
      <c r="D47" s="4" t="s">
        <v>537</v>
      </c>
      <c r="E47" s="4" t="s">
        <v>15</v>
      </c>
      <c r="F47" s="4" t="s">
        <v>511</v>
      </c>
      <c r="G47" s="4" t="s">
        <v>45</v>
      </c>
      <c r="H47" s="3">
        <v>0</v>
      </c>
      <c r="I47" s="3">
        <v>115</v>
      </c>
      <c r="J47" s="4" t="s">
        <v>17</v>
      </c>
      <c r="K47" s="3">
        <v>25</v>
      </c>
      <c r="L47" s="4" t="s">
        <v>22</v>
      </c>
      <c r="M47" s="3">
        <v>7.5</v>
      </c>
      <c r="O47">
        <f>MATCH(ROW(A47),Arr!O:O,FALSE)</f>
        <v>42</v>
      </c>
    </row>
    <row r="48" spans="1:15" x14ac:dyDescent="0.3">
      <c r="A48" s="41">
        <f t="shared" si="0"/>
        <v>47</v>
      </c>
      <c r="B48" s="3">
        <v>432</v>
      </c>
      <c r="C48" s="4" t="s">
        <v>551</v>
      </c>
      <c r="D48" s="4" t="s">
        <v>537</v>
      </c>
      <c r="E48" s="4" t="s">
        <v>15</v>
      </c>
      <c r="F48" s="4" t="s">
        <v>86</v>
      </c>
      <c r="G48" s="4" t="s">
        <v>45</v>
      </c>
      <c r="H48" s="3">
        <v>0</v>
      </c>
      <c r="I48" s="3">
        <v>115</v>
      </c>
      <c r="J48" s="4" t="s">
        <v>17</v>
      </c>
      <c r="K48" s="3">
        <v>25</v>
      </c>
      <c r="L48" s="4" t="s">
        <v>22</v>
      </c>
      <c r="M48" s="3">
        <v>7.5</v>
      </c>
      <c r="O48">
        <f>MATCH(ROW(A48),Arr!O:O,FALSE)</f>
        <v>43</v>
      </c>
    </row>
    <row r="49" spans="1:15" x14ac:dyDescent="0.3">
      <c r="A49" s="41">
        <f t="shared" si="0"/>
        <v>48</v>
      </c>
      <c r="B49" s="3">
        <v>569</v>
      </c>
      <c r="C49" s="4" t="s">
        <v>518</v>
      </c>
      <c r="D49" s="4" t="s">
        <v>537</v>
      </c>
      <c r="E49" s="4" t="s">
        <v>15</v>
      </c>
      <c r="F49" s="4" t="s">
        <v>252</v>
      </c>
      <c r="G49" s="4" t="s">
        <v>45</v>
      </c>
      <c r="H49" s="3">
        <v>0</v>
      </c>
      <c r="I49" s="3">
        <v>115</v>
      </c>
      <c r="J49" s="4" t="s">
        <v>17</v>
      </c>
      <c r="K49" s="3">
        <v>25</v>
      </c>
      <c r="L49" s="4" t="s">
        <v>22</v>
      </c>
      <c r="M49" s="3">
        <v>7.5</v>
      </c>
      <c r="O49">
        <f>MATCH(ROW(A49),Arr!O:O,FALSE)</f>
        <v>44</v>
      </c>
    </row>
    <row r="50" spans="1:15" x14ac:dyDescent="0.3">
      <c r="A50" s="41">
        <f t="shared" si="0"/>
        <v>49</v>
      </c>
      <c r="B50" s="3">
        <v>785</v>
      </c>
      <c r="C50" s="4" t="s">
        <v>663</v>
      </c>
      <c r="D50" s="4" t="s">
        <v>537</v>
      </c>
      <c r="E50" s="4" t="s">
        <v>15</v>
      </c>
      <c r="F50" s="4" t="s">
        <v>453</v>
      </c>
      <c r="G50" s="4" t="s">
        <v>45</v>
      </c>
      <c r="H50" s="3">
        <v>0</v>
      </c>
      <c r="I50" s="3">
        <v>115</v>
      </c>
      <c r="J50" s="4" t="s">
        <v>17</v>
      </c>
      <c r="K50" s="3">
        <v>25</v>
      </c>
      <c r="L50" s="4" t="s">
        <v>22</v>
      </c>
      <c r="M50" s="3">
        <v>7.5</v>
      </c>
      <c r="O50">
        <f>MATCH(ROW(A50),Arr!O:O,FALSE)</f>
        <v>45</v>
      </c>
    </row>
    <row r="51" spans="1:15" x14ac:dyDescent="0.3">
      <c r="A51" s="41">
        <f t="shared" si="0"/>
        <v>50</v>
      </c>
      <c r="B51" s="3">
        <v>781</v>
      </c>
      <c r="C51" s="4" t="s">
        <v>660</v>
      </c>
      <c r="D51" s="4" t="s">
        <v>537</v>
      </c>
      <c r="E51" s="4" t="s">
        <v>15</v>
      </c>
      <c r="F51" s="4" t="s">
        <v>440</v>
      </c>
      <c r="G51" s="4" t="s">
        <v>45</v>
      </c>
      <c r="H51" s="3">
        <v>0</v>
      </c>
      <c r="I51" s="3">
        <v>115</v>
      </c>
      <c r="J51" s="4" t="s">
        <v>17</v>
      </c>
      <c r="K51" s="3">
        <v>25</v>
      </c>
      <c r="L51" s="4" t="s">
        <v>22</v>
      </c>
      <c r="M51" s="3">
        <v>7.5</v>
      </c>
      <c r="O51">
        <f>MATCH(ROW(A51),Arr!O:O,FALSE)</f>
        <v>46</v>
      </c>
    </row>
    <row r="52" spans="1:15" x14ac:dyDescent="0.3">
      <c r="A52" s="41">
        <f t="shared" si="0"/>
        <v>51</v>
      </c>
      <c r="B52" s="3">
        <v>652</v>
      </c>
      <c r="C52" s="4" t="s">
        <v>485</v>
      </c>
      <c r="D52" s="4" t="s">
        <v>537</v>
      </c>
      <c r="E52" s="4" t="s">
        <v>15</v>
      </c>
      <c r="F52" s="4" t="s">
        <v>335</v>
      </c>
      <c r="G52" s="4" t="s">
        <v>45</v>
      </c>
      <c r="H52" s="3">
        <v>0</v>
      </c>
      <c r="I52" s="3">
        <v>115</v>
      </c>
      <c r="J52" s="4" t="s">
        <v>17</v>
      </c>
      <c r="K52" s="3">
        <v>25</v>
      </c>
      <c r="L52" s="4" t="s">
        <v>22</v>
      </c>
      <c r="M52" s="3">
        <v>7.5</v>
      </c>
      <c r="O52">
        <f>MATCH(ROW(A52),Arr!O:O,FALSE)</f>
        <v>47</v>
      </c>
    </row>
    <row r="53" spans="1:15" x14ac:dyDescent="0.3">
      <c r="A53" s="41">
        <f t="shared" si="0"/>
        <v>52</v>
      </c>
      <c r="B53" s="3">
        <v>824</v>
      </c>
      <c r="C53" s="4" t="s">
        <v>615</v>
      </c>
      <c r="D53" s="4" t="s">
        <v>537</v>
      </c>
      <c r="E53" s="4" t="s">
        <v>15</v>
      </c>
      <c r="F53" s="4" t="s">
        <v>511</v>
      </c>
      <c r="G53" s="4" t="s">
        <v>45</v>
      </c>
      <c r="H53" s="3">
        <v>0</v>
      </c>
      <c r="I53" s="3">
        <v>115</v>
      </c>
      <c r="J53" s="4" t="s">
        <v>17</v>
      </c>
      <c r="K53" s="3">
        <v>25</v>
      </c>
      <c r="L53" s="4" t="s">
        <v>22</v>
      </c>
      <c r="M53" s="3">
        <v>7.5</v>
      </c>
      <c r="O53">
        <f>MATCH(ROW(A53),Arr!O:O,FALSE)</f>
        <v>48</v>
      </c>
    </row>
    <row r="54" spans="1:15" x14ac:dyDescent="0.3">
      <c r="A54" s="41">
        <f t="shared" si="0"/>
        <v>53</v>
      </c>
      <c r="B54" s="3">
        <v>568</v>
      </c>
      <c r="C54" s="4" t="s">
        <v>300</v>
      </c>
      <c r="D54" s="4" t="s">
        <v>537</v>
      </c>
      <c r="E54" s="4" t="s">
        <v>15</v>
      </c>
      <c r="F54" s="4" t="s">
        <v>252</v>
      </c>
      <c r="G54" s="4" t="s">
        <v>45</v>
      </c>
      <c r="H54" s="3">
        <v>0</v>
      </c>
      <c r="I54" s="3">
        <v>115</v>
      </c>
      <c r="J54" s="4" t="s">
        <v>17</v>
      </c>
      <c r="K54" s="3">
        <v>25</v>
      </c>
      <c r="L54" s="4" t="s">
        <v>22</v>
      </c>
      <c r="M54" s="3">
        <v>7.5</v>
      </c>
      <c r="O54">
        <f>MATCH(ROW(A54),Arr!O:O,FALSE)</f>
        <v>49</v>
      </c>
    </row>
    <row r="55" spans="1:15" x14ac:dyDescent="0.3">
      <c r="A55" s="41">
        <f t="shared" si="0"/>
        <v>54</v>
      </c>
      <c r="B55" s="3">
        <v>576</v>
      </c>
      <c r="C55" s="4" t="s">
        <v>83</v>
      </c>
      <c r="D55" s="4" t="s">
        <v>537</v>
      </c>
      <c r="E55" s="4" t="s">
        <v>15</v>
      </c>
      <c r="F55" s="4" t="s">
        <v>260</v>
      </c>
      <c r="G55" s="4" t="s">
        <v>45</v>
      </c>
      <c r="H55" s="3">
        <v>0</v>
      </c>
      <c r="I55" s="3">
        <v>115</v>
      </c>
      <c r="J55" s="4" t="s">
        <v>17</v>
      </c>
      <c r="K55" s="3">
        <v>25</v>
      </c>
      <c r="L55" s="4" t="s">
        <v>22</v>
      </c>
      <c r="M55" s="3">
        <v>7.5</v>
      </c>
      <c r="O55">
        <f>MATCH(ROW(A55),Arr!O:O,FALSE)</f>
        <v>50</v>
      </c>
    </row>
    <row r="56" spans="1:15" x14ac:dyDescent="0.3">
      <c r="A56" s="41">
        <f t="shared" si="0"/>
        <v>55</v>
      </c>
      <c r="B56" s="3">
        <v>604</v>
      </c>
      <c r="C56" s="4" t="s">
        <v>643</v>
      </c>
      <c r="D56" s="4" t="s">
        <v>537</v>
      </c>
      <c r="E56" s="4" t="s">
        <v>15</v>
      </c>
      <c r="F56" s="4" t="s">
        <v>279</v>
      </c>
      <c r="G56" s="4" t="s">
        <v>45</v>
      </c>
      <c r="H56" s="3">
        <v>0</v>
      </c>
      <c r="I56" s="3">
        <v>115</v>
      </c>
      <c r="J56" s="4" t="s">
        <v>17</v>
      </c>
      <c r="K56" s="3">
        <v>25</v>
      </c>
      <c r="L56" s="4" t="s">
        <v>22</v>
      </c>
      <c r="M56" s="3">
        <v>7.5</v>
      </c>
      <c r="O56">
        <f>MATCH(ROW(A56),Arr!O:O,FALSE)</f>
        <v>51</v>
      </c>
    </row>
    <row r="57" spans="1:15" x14ac:dyDescent="0.3">
      <c r="A57" s="41">
        <f t="shared" si="0"/>
        <v>56</v>
      </c>
      <c r="B57" s="3">
        <v>396</v>
      </c>
      <c r="C57" s="4" t="s">
        <v>89</v>
      </c>
      <c r="D57" s="4" t="s">
        <v>537</v>
      </c>
      <c r="E57" s="4" t="s">
        <v>15</v>
      </c>
      <c r="F57" s="4" t="s">
        <v>31</v>
      </c>
      <c r="G57" s="4" t="s">
        <v>45</v>
      </c>
      <c r="H57" s="3">
        <v>0</v>
      </c>
      <c r="I57" s="3">
        <v>115</v>
      </c>
      <c r="J57" s="4" t="s">
        <v>17</v>
      </c>
      <c r="K57" s="3">
        <v>25</v>
      </c>
      <c r="L57" s="4" t="s">
        <v>22</v>
      </c>
      <c r="M57" s="3">
        <v>7.5</v>
      </c>
      <c r="O57">
        <f>MATCH(ROW(A57),Arr!O:O,FALSE)</f>
        <v>52</v>
      </c>
    </row>
    <row r="58" spans="1:15" x14ac:dyDescent="0.3">
      <c r="A58" s="41">
        <f t="shared" si="0"/>
        <v>57</v>
      </c>
      <c r="B58" s="3">
        <v>778</v>
      </c>
      <c r="C58" s="4" t="s">
        <v>659</v>
      </c>
      <c r="D58" s="4" t="s">
        <v>537</v>
      </c>
      <c r="E58" s="4" t="s">
        <v>15</v>
      </c>
      <c r="F58" s="4" t="s">
        <v>440</v>
      </c>
      <c r="G58" s="4" t="s">
        <v>45</v>
      </c>
      <c r="H58" s="3">
        <v>0</v>
      </c>
      <c r="I58" s="3">
        <v>115</v>
      </c>
      <c r="J58" s="4" t="s">
        <v>17</v>
      </c>
      <c r="K58" s="3">
        <v>25</v>
      </c>
      <c r="L58" s="4" t="s">
        <v>22</v>
      </c>
      <c r="M58" s="3">
        <v>7.5</v>
      </c>
      <c r="O58">
        <f>MATCH(ROW(A58),Arr!O:O,FALSE)</f>
        <v>53</v>
      </c>
    </row>
    <row r="59" spans="1:15" x14ac:dyDescent="0.3">
      <c r="A59" s="41">
        <f t="shared" si="0"/>
        <v>58</v>
      </c>
      <c r="B59" s="3">
        <v>766</v>
      </c>
      <c r="C59" s="4" t="s">
        <v>655</v>
      </c>
      <c r="D59" s="4" t="s">
        <v>537</v>
      </c>
      <c r="E59" s="4" t="s">
        <v>15</v>
      </c>
      <c r="F59" s="4" t="s">
        <v>432</v>
      </c>
      <c r="G59" s="4" t="s">
        <v>45</v>
      </c>
      <c r="H59" s="3">
        <v>0</v>
      </c>
      <c r="I59" s="3">
        <v>115</v>
      </c>
      <c r="J59" s="4" t="s">
        <v>17</v>
      </c>
      <c r="K59" s="3">
        <v>25</v>
      </c>
      <c r="L59" s="4" t="s">
        <v>22</v>
      </c>
      <c r="M59" s="3">
        <v>7.5</v>
      </c>
      <c r="O59">
        <f>MATCH(ROW(A59),Arr!O:O,FALSE)</f>
        <v>54</v>
      </c>
    </row>
    <row r="60" spans="1:15" x14ac:dyDescent="0.3">
      <c r="A60" s="41">
        <f t="shared" si="0"/>
        <v>59</v>
      </c>
      <c r="B60" s="3">
        <v>660</v>
      </c>
      <c r="C60" s="4" t="s">
        <v>594</v>
      </c>
      <c r="D60" s="4" t="s">
        <v>537</v>
      </c>
      <c r="E60" s="4" t="s">
        <v>15</v>
      </c>
      <c r="F60" s="4" t="s">
        <v>349</v>
      </c>
      <c r="G60" s="4" t="s">
        <v>45</v>
      </c>
      <c r="H60" s="3">
        <v>0</v>
      </c>
      <c r="I60" s="3">
        <v>115</v>
      </c>
      <c r="J60" s="4" t="s">
        <v>17</v>
      </c>
      <c r="K60" s="3">
        <v>25</v>
      </c>
      <c r="L60" s="4" t="s">
        <v>22</v>
      </c>
      <c r="M60" s="3">
        <v>7.5</v>
      </c>
      <c r="O60">
        <f>MATCH(ROW(A60),Arr!O:O,FALSE)</f>
        <v>55</v>
      </c>
    </row>
    <row r="61" spans="1:15" x14ac:dyDescent="0.3">
      <c r="A61" s="41">
        <f t="shared" si="0"/>
        <v>60</v>
      </c>
      <c r="B61" s="3">
        <v>651</v>
      </c>
      <c r="C61" s="4" t="s">
        <v>216</v>
      </c>
      <c r="D61" s="4" t="s">
        <v>537</v>
      </c>
      <c r="E61" s="4" t="s">
        <v>15</v>
      </c>
      <c r="F61" s="4" t="s">
        <v>335</v>
      </c>
      <c r="G61" s="4" t="s">
        <v>45</v>
      </c>
      <c r="H61" s="3">
        <v>0</v>
      </c>
      <c r="I61" s="3">
        <v>115</v>
      </c>
      <c r="J61" s="4" t="s">
        <v>17</v>
      </c>
      <c r="K61" s="3">
        <v>25</v>
      </c>
      <c r="L61" s="4" t="s">
        <v>22</v>
      </c>
      <c r="M61" s="3">
        <v>7.5</v>
      </c>
      <c r="O61">
        <f>MATCH(ROW(A61),Arr!O:O,FALSE)</f>
        <v>56</v>
      </c>
    </row>
    <row r="62" spans="1:15" x14ac:dyDescent="0.3">
      <c r="A62" s="41">
        <f t="shared" si="0"/>
        <v>61</v>
      </c>
      <c r="B62" s="3">
        <v>399</v>
      </c>
      <c r="C62" s="4" t="s">
        <v>338</v>
      </c>
      <c r="D62" s="4" t="s">
        <v>537</v>
      </c>
      <c r="E62" s="4" t="s">
        <v>15</v>
      </c>
      <c r="F62" s="4" t="s">
        <v>31</v>
      </c>
      <c r="G62" s="4" t="s">
        <v>45</v>
      </c>
      <c r="H62" s="3">
        <v>0</v>
      </c>
      <c r="I62" s="3">
        <v>115</v>
      </c>
      <c r="J62" s="4" t="s">
        <v>17</v>
      </c>
      <c r="K62" s="3">
        <v>25</v>
      </c>
      <c r="L62" s="4" t="s">
        <v>22</v>
      </c>
      <c r="M62" s="3">
        <v>7.5</v>
      </c>
      <c r="O62">
        <f>MATCH(ROW(A62),Arr!O:O,FALSE)</f>
        <v>57</v>
      </c>
    </row>
    <row r="63" spans="1:15" x14ac:dyDescent="0.3">
      <c r="A63" s="41">
        <f t="shared" si="0"/>
        <v>62</v>
      </c>
      <c r="B63" s="3">
        <v>574</v>
      </c>
      <c r="C63" s="4" t="s">
        <v>598</v>
      </c>
      <c r="D63" s="4" t="s">
        <v>537</v>
      </c>
      <c r="E63" s="4" t="s">
        <v>15</v>
      </c>
      <c r="F63" s="4" t="s">
        <v>260</v>
      </c>
      <c r="G63" s="4" t="s">
        <v>45</v>
      </c>
      <c r="H63" s="3">
        <v>0</v>
      </c>
      <c r="I63" s="3">
        <v>115</v>
      </c>
      <c r="J63" s="4" t="s">
        <v>17</v>
      </c>
      <c r="K63" s="3">
        <v>25</v>
      </c>
      <c r="L63" s="4" t="s">
        <v>22</v>
      </c>
      <c r="M63" s="3">
        <v>7.5</v>
      </c>
      <c r="O63">
        <f>MATCH(ROW(A63),Arr!O:O,FALSE)</f>
        <v>58</v>
      </c>
    </row>
    <row r="64" spans="1:15" x14ac:dyDescent="0.3">
      <c r="A64" s="41">
        <f t="shared" si="0"/>
        <v>63</v>
      </c>
      <c r="B64" s="3">
        <v>431</v>
      </c>
      <c r="C64" s="4" t="s">
        <v>295</v>
      </c>
      <c r="D64" s="4" t="s">
        <v>537</v>
      </c>
      <c r="E64" s="4" t="s">
        <v>15</v>
      </c>
      <c r="F64" s="4" t="s">
        <v>86</v>
      </c>
      <c r="G64" s="4" t="s">
        <v>45</v>
      </c>
      <c r="H64" s="3">
        <v>0</v>
      </c>
      <c r="I64" s="3">
        <v>115</v>
      </c>
      <c r="J64" s="4" t="s">
        <v>17</v>
      </c>
      <c r="K64" s="3">
        <v>25</v>
      </c>
      <c r="L64" s="4" t="s">
        <v>22</v>
      </c>
      <c r="M64" s="3">
        <v>7.5</v>
      </c>
      <c r="O64">
        <f>MATCH(ROW(A64),Arr!O:O,FALSE)</f>
        <v>59</v>
      </c>
    </row>
    <row r="65" spans="1:15" x14ac:dyDescent="0.3">
      <c r="A65" s="41">
        <f t="shared" si="0"/>
        <v>64</v>
      </c>
      <c r="B65" s="3">
        <v>402</v>
      </c>
      <c r="C65" s="4" t="s">
        <v>88</v>
      </c>
      <c r="D65" s="4" t="s">
        <v>537</v>
      </c>
      <c r="E65" s="4" t="s">
        <v>15</v>
      </c>
      <c r="F65" s="4" t="s">
        <v>31</v>
      </c>
      <c r="G65" s="4" t="s">
        <v>45</v>
      </c>
      <c r="H65" s="3">
        <v>0</v>
      </c>
      <c r="I65" s="3">
        <v>115</v>
      </c>
      <c r="J65" s="4" t="s">
        <v>17</v>
      </c>
      <c r="K65" s="3">
        <v>25</v>
      </c>
      <c r="L65" s="4" t="s">
        <v>22</v>
      </c>
      <c r="M65" s="3">
        <v>7.5</v>
      </c>
      <c r="O65">
        <f>MATCH(ROW(A65),Arr!O:O,FALSE)</f>
        <v>60</v>
      </c>
    </row>
    <row r="66" spans="1:15" x14ac:dyDescent="0.3">
      <c r="A66" s="41">
        <f t="shared" si="0"/>
        <v>65</v>
      </c>
      <c r="B66" s="3">
        <v>826</v>
      </c>
      <c r="C66" s="4" t="s">
        <v>426</v>
      </c>
      <c r="D66" s="4" t="s">
        <v>537</v>
      </c>
      <c r="E66" s="4" t="s">
        <v>15</v>
      </c>
      <c r="F66" s="4" t="s">
        <v>511</v>
      </c>
      <c r="G66" s="4" t="s">
        <v>45</v>
      </c>
      <c r="H66" s="3">
        <v>0</v>
      </c>
      <c r="I66" s="3">
        <v>115</v>
      </c>
      <c r="J66" s="4" t="s">
        <v>17</v>
      </c>
      <c r="K66" s="3">
        <v>25</v>
      </c>
      <c r="L66" s="4" t="s">
        <v>22</v>
      </c>
      <c r="M66" s="3">
        <v>7.5</v>
      </c>
      <c r="O66">
        <f>MATCH(ROW(A66),Arr!O:O,FALSE)</f>
        <v>61</v>
      </c>
    </row>
    <row r="67" spans="1:15" x14ac:dyDescent="0.3">
      <c r="A67" s="41">
        <f t="shared" si="0"/>
        <v>66</v>
      </c>
      <c r="B67" s="3">
        <v>603</v>
      </c>
      <c r="C67" s="4" t="s">
        <v>642</v>
      </c>
      <c r="D67" s="4" t="s">
        <v>537</v>
      </c>
      <c r="E67" s="4" t="s">
        <v>15</v>
      </c>
      <c r="F67" s="4" t="s">
        <v>279</v>
      </c>
      <c r="G67" s="4" t="s">
        <v>45</v>
      </c>
      <c r="H67" s="3">
        <v>0</v>
      </c>
      <c r="I67" s="3">
        <v>115</v>
      </c>
      <c r="J67" s="4" t="s">
        <v>17</v>
      </c>
      <c r="K67" s="3">
        <v>25</v>
      </c>
      <c r="L67" s="4" t="s">
        <v>22</v>
      </c>
      <c r="M67" s="3">
        <v>7.5</v>
      </c>
      <c r="O67">
        <f>MATCH(ROW(A67),Arr!O:O,FALSE)</f>
        <v>62</v>
      </c>
    </row>
    <row r="68" spans="1:15" x14ac:dyDescent="0.3">
      <c r="A68" s="41">
        <f t="shared" ref="A68:A131" si="1">A67+1</f>
        <v>67</v>
      </c>
      <c r="B68" s="3">
        <v>780</v>
      </c>
      <c r="C68" s="4" t="s">
        <v>487</v>
      </c>
      <c r="D68" s="4" t="s">
        <v>537</v>
      </c>
      <c r="E68" s="4" t="s">
        <v>15</v>
      </c>
      <c r="F68" s="4" t="s">
        <v>440</v>
      </c>
      <c r="G68" s="4" t="s">
        <v>45</v>
      </c>
      <c r="H68" s="3">
        <v>0</v>
      </c>
      <c r="I68" s="3">
        <v>115</v>
      </c>
      <c r="J68" s="4" t="s">
        <v>17</v>
      </c>
      <c r="K68" s="3">
        <v>25</v>
      </c>
      <c r="L68" s="4" t="s">
        <v>22</v>
      </c>
      <c r="M68" s="3">
        <v>7.5</v>
      </c>
      <c r="O68">
        <f>MATCH(ROW(A68),Arr!O:O,FALSE)</f>
        <v>63</v>
      </c>
    </row>
    <row r="69" spans="1:15" x14ac:dyDescent="0.3">
      <c r="A69" s="41">
        <f t="shared" si="1"/>
        <v>68</v>
      </c>
      <c r="B69" s="3">
        <v>815</v>
      </c>
      <c r="C69" s="4" t="s">
        <v>409</v>
      </c>
      <c r="D69" s="4" t="s">
        <v>537</v>
      </c>
      <c r="E69" s="4" t="s">
        <v>15</v>
      </c>
      <c r="F69" s="4" t="s">
        <v>501</v>
      </c>
      <c r="G69" s="4" t="s">
        <v>45</v>
      </c>
      <c r="H69" s="3">
        <v>0</v>
      </c>
      <c r="I69" s="3">
        <v>115</v>
      </c>
      <c r="J69" s="4" t="s">
        <v>17</v>
      </c>
      <c r="K69" s="3">
        <v>25</v>
      </c>
      <c r="L69" s="4" t="s">
        <v>22</v>
      </c>
      <c r="M69" s="3">
        <v>7.5</v>
      </c>
      <c r="O69">
        <f>MATCH(ROW(A69),Arr!O:O,FALSE)</f>
        <v>64</v>
      </c>
    </row>
    <row r="70" spans="1:15" x14ac:dyDescent="0.3">
      <c r="A70" s="41">
        <f t="shared" si="1"/>
        <v>69</v>
      </c>
      <c r="B70" s="3">
        <v>400</v>
      </c>
      <c r="C70" s="4" t="s">
        <v>362</v>
      </c>
      <c r="D70" s="4" t="s">
        <v>537</v>
      </c>
      <c r="E70" s="4" t="s">
        <v>15</v>
      </c>
      <c r="F70" s="4" t="s">
        <v>31</v>
      </c>
      <c r="G70" s="4" t="s">
        <v>45</v>
      </c>
      <c r="H70" s="3">
        <v>0</v>
      </c>
      <c r="I70" s="3">
        <v>115</v>
      </c>
      <c r="J70" s="4" t="s">
        <v>17</v>
      </c>
      <c r="K70" s="3">
        <v>25</v>
      </c>
      <c r="L70" s="4" t="s">
        <v>22</v>
      </c>
      <c r="M70" s="3">
        <v>7.5</v>
      </c>
      <c r="O70">
        <f>MATCH(ROW(A70),Arr!O:O,FALSE)</f>
        <v>65</v>
      </c>
    </row>
    <row r="71" spans="1:15" x14ac:dyDescent="0.3">
      <c r="A71" s="41">
        <f t="shared" si="1"/>
        <v>70</v>
      </c>
      <c r="B71" s="3">
        <v>577</v>
      </c>
      <c r="C71" s="4" t="s">
        <v>632</v>
      </c>
      <c r="D71" s="4" t="s">
        <v>537</v>
      </c>
      <c r="E71" s="4" t="s">
        <v>15</v>
      </c>
      <c r="F71" s="4" t="s">
        <v>260</v>
      </c>
      <c r="G71" s="4" t="s">
        <v>45</v>
      </c>
      <c r="H71" s="3">
        <v>0</v>
      </c>
      <c r="I71" s="3">
        <v>115</v>
      </c>
      <c r="J71" s="4" t="s">
        <v>17</v>
      </c>
      <c r="K71" s="3">
        <v>25</v>
      </c>
      <c r="L71" s="4" t="s">
        <v>22</v>
      </c>
      <c r="M71" s="3">
        <v>7.5</v>
      </c>
      <c r="O71">
        <f>MATCH(ROW(A71),Arr!O:O,FALSE)</f>
        <v>66</v>
      </c>
    </row>
    <row r="72" spans="1:15" x14ac:dyDescent="0.3">
      <c r="A72" s="41">
        <f t="shared" si="1"/>
        <v>71</v>
      </c>
      <c r="B72" s="3">
        <v>649</v>
      </c>
      <c r="C72" s="4" t="s">
        <v>592</v>
      </c>
      <c r="D72" s="4" t="s">
        <v>537</v>
      </c>
      <c r="E72" s="4" t="s">
        <v>15</v>
      </c>
      <c r="F72" s="4" t="s">
        <v>335</v>
      </c>
      <c r="G72" s="4" t="s">
        <v>45</v>
      </c>
      <c r="H72" s="3">
        <v>0</v>
      </c>
      <c r="I72" s="3">
        <v>115</v>
      </c>
      <c r="J72" s="4" t="s">
        <v>17</v>
      </c>
      <c r="K72" s="3">
        <v>25</v>
      </c>
      <c r="L72" s="4" t="s">
        <v>22</v>
      </c>
      <c r="M72" s="3">
        <v>7.5</v>
      </c>
      <c r="O72">
        <f>MATCH(ROW(A72),Arr!O:O,FALSE)</f>
        <v>67</v>
      </c>
    </row>
    <row r="73" spans="1:15" x14ac:dyDescent="0.3">
      <c r="A73" s="41">
        <f t="shared" si="1"/>
        <v>72</v>
      </c>
      <c r="B73" s="3">
        <v>764</v>
      </c>
      <c r="C73" s="4" t="s">
        <v>433</v>
      </c>
      <c r="D73" s="4" t="s">
        <v>537</v>
      </c>
      <c r="E73" s="4" t="s">
        <v>15</v>
      </c>
      <c r="F73" s="4" t="s">
        <v>432</v>
      </c>
      <c r="G73" s="4" t="s">
        <v>45</v>
      </c>
      <c r="H73" s="3">
        <v>0</v>
      </c>
      <c r="I73" s="3">
        <v>115</v>
      </c>
      <c r="J73" s="4" t="s">
        <v>17</v>
      </c>
      <c r="K73" s="3">
        <v>25</v>
      </c>
      <c r="L73" s="4" t="s">
        <v>22</v>
      </c>
      <c r="M73" s="3">
        <v>7.5</v>
      </c>
      <c r="O73">
        <f>MATCH(ROW(A73),Arr!O:O,FALSE)</f>
        <v>68</v>
      </c>
    </row>
    <row r="74" spans="1:15" x14ac:dyDescent="0.3">
      <c r="A74" s="41">
        <f t="shared" si="1"/>
        <v>73</v>
      </c>
      <c r="B74" s="3">
        <v>827</v>
      </c>
      <c r="C74" s="4" t="s">
        <v>286</v>
      </c>
      <c r="D74" s="4" t="s">
        <v>537</v>
      </c>
      <c r="E74" s="4" t="s">
        <v>15</v>
      </c>
      <c r="F74" s="4" t="s">
        <v>511</v>
      </c>
      <c r="G74" s="4" t="s">
        <v>45</v>
      </c>
      <c r="H74" s="3">
        <v>0</v>
      </c>
      <c r="I74" s="3">
        <v>115</v>
      </c>
      <c r="J74" s="4" t="s">
        <v>17</v>
      </c>
      <c r="K74" s="3">
        <v>25</v>
      </c>
      <c r="L74" s="4" t="s">
        <v>22</v>
      </c>
      <c r="M74" s="3">
        <v>7.5</v>
      </c>
      <c r="O74">
        <f>MATCH(ROW(A74),Arr!O:O,FALSE)</f>
        <v>69</v>
      </c>
    </row>
    <row r="75" spans="1:15" x14ac:dyDescent="0.3">
      <c r="A75" s="41">
        <f t="shared" si="1"/>
        <v>74</v>
      </c>
      <c r="B75" s="3">
        <v>506</v>
      </c>
      <c r="C75" s="4" t="s">
        <v>71</v>
      </c>
      <c r="D75" s="4" t="s">
        <v>537</v>
      </c>
      <c r="E75" s="4" t="s">
        <v>15</v>
      </c>
      <c r="F75" s="4" t="s">
        <v>180</v>
      </c>
      <c r="G75" s="4" t="s">
        <v>45</v>
      </c>
      <c r="H75" s="3">
        <v>0</v>
      </c>
      <c r="I75" s="3">
        <v>115</v>
      </c>
      <c r="J75" s="4" t="s">
        <v>17</v>
      </c>
      <c r="K75" s="3">
        <v>25</v>
      </c>
      <c r="L75" s="4" t="s">
        <v>22</v>
      </c>
      <c r="M75" s="3">
        <v>7.5</v>
      </c>
      <c r="O75">
        <f>MATCH(ROW(A75),Arr!O:O,FALSE)</f>
        <v>70</v>
      </c>
    </row>
    <row r="76" spans="1:15" x14ac:dyDescent="0.3">
      <c r="A76" s="41">
        <f t="shared" si="1"/>
        <v>75</v>
      </c>
      <c r="B76" s="3">
        <v>570</v>
      </c>
      <c r="C76" s="4" t="s">
        <v>580</v>
      </c>
      <c r="D76" s="4" t="s">
        <v>537</v>
      </c>
      <c r="E76" s="4" t="s">
        <v>15</v>
      </c>
      <c r="F76" s="4" t="s">
        <v>252</v>
      </c>
      <c r="G76" s="4" t="s">
        <v>45</v>
      </c>
      <c r="H76" s="3">
        <v>0</v>
      </c>
      <c r="I76" s="3">
        <v>115</v>
      </c>
      <c r="J76" s="4" t="s">
        <v>17</v>
      </c>
      <c r="K76" s="3">
        <v>25</v>
      </c>
      <c r="L76" s="4" t="s">
        <v>22</v>
      </c>
      <c r="M76" s="3">
        <v>7.5</v>
      </c>
      <c r="O76">
        <f>MATCH(ROW(A76),Arr!O:O,FALSE)</f>
        <v>71</v>
      </c>
    </row>
    <row r="77" spans="1:15" x14ac:dyDescent="0.3">
      <c r="A77" s="41">
        <f t="shared" si="1"/>
        <v>76</v>
      </c>
      <c r="B77" s="3">
        <v>777</v>
      </c>
      <c r="C77" s="4" t="s">
        <v>456</v>
      </c>
      <c r="D77" s="4" t="s">
        <v>537</v>
      </c>
      <c r="E77" s="4" t="s">
        <v>15</v>
      </c>
      <c r="F77" s="4" t="s">
        <v>440</v>
      </c>
      <c r="G77" s="4" t="s">
        <v>45</v>
      </c>
      <c r="H77" s="3">
        <v>0</v>
      </c>
      <c r="I77" s="3">
        <v>115</v>
      </c>
      <c r="J77" s="4" t="s">
        <v>17</v>
      </c>
      <c r="K77" s="3">
        <v>25</v>
      </c>
      <c r="L77" s="4" t="s">
        <v>22</v>
      </c>
      <c r="M77" s="3">
        <v>7.5</v>
      </c>
      <c r="O77">
        <f>MATCH(ROW(A77),Arr!O:O,FALSE)</f>
        <v>72</v>
      </c>
    </row>
    <row r="78" spans="1:15" x14ac:dyDescent="0.3">
      <c r="A78" s="41">
        <f t="shared" si="1"/>
        <v>77</v>
      </c>
      <c r="B78" s="3">
        <v>602</v>
      </c>
      <c r="C78" s="4" t="s">
        <v>641</v>
      </c>
      <c r="D78" s="4" t="s">
        <v>537</v>
      </c>
      <c r="E78" s="4" t="s">
        <v>15</v>
      </c>
      <c r="F78" s="4" t="s">
        <v>279</v>
      </c>
      <c r="G78" s="4" t="s">
        <v>45</v>
      </c>
      <c r="H78" s="3">
        <v>0</v>
      </c>
      <c r="I78" s="3">
        <v>115</v>
      </c>
      <c r="J78" s="4" t="s">
        <v>17</v>
      </c>
      <c r="K78" s="3">
        <v>25</v>
      </c>
      <c r="L78" s="4" t="s">
        <v>22</v>
      </c>
      <c r="M78" s="3">
        <v>7.5</v>
      </c>
      <c r="O78">
        <f>MATCH(ROW(A78),Arr!O:O,FALSE)</f>
        <v>73</v>
      </c>
    </row>
    <row r="79" spans="1:15" x14ac:dyDescent="0.3">
      <c r="A79" s="41">
        <f t="shared" si="1"/>
        <v>78</v>
      </c>
      <c r="B79" s="3">
        <v>430</v>
      </c>
      <c r="C79" s="4" t="s">
        <v>488</v>
      </c>
      <c r="D79" s="4" t="s">
        <v>537</v>
      </c>
      <c r="E79" s="4" t="s">
        <v>15</v>
      </c>
      <c r="F79" s="4" t="s">
        <v>86</v>
      </c>
      <c r="G79" s="4" t="s">
        <v>45</v>
      </c>
      <c r="H79" s="3">
        <v>0</v>
      </c>
      <c r="I79" s="3">
        <v>115</v>
      </c>
      <c r="J79" s="4" t="s">
        <v>17</v>
      </c>
      <c r="K79" s="3">
        <v>25</v>
      </c>
      <c r="L79" s="4" t="s">
        <v>22</v>
      </c>
      <c r="M79" s="3">
        <v>7.5</v>
      </c>
      <c r="O79">
        <f>MATCH(ROW(A79),Arr!O:O,FALSE)</f>
        <v>74</v>
      </c>
    </row>
    <row r="80" spans="1:15" x14ac:dyDescent="0.3">
      <c r="A80" s="41">
        <f t="shared" si="1"/>
        <v>79</v>
      </c>
      <c r="B80" s="3">
        <v>650</v>
      </c>
      <c r="C80" s="4" t="s">
        <v>128</v>
      </c>
      <c r="D80" s="4" t="s">
        <v>537</v>
      </c>
      <c r="E80" s="4" t="s">
        <v>15</v>
      </c>
      <c r="F80" s="4" t="s">
        <v>335</v>
      </c>
      <c r="G80" s="4" t="s">
        <v>45</v>
      </c>
      <c r="H80" s="3">
        <v>0</v>
      </c>
      <c r="I80" s="3">
        <v>115</v>
      </c>
      <c r="J80" s="4" t="s">
        <v>17</v>
      </c>
      <c r="K80" s="3">
        <v>25</v>
      </c>
      <c r="L80" s="4" t="s">
        <v>22</v>
      </c>
      <c r="M80" s="3">
        <v>7.5</v>
      </c>
      <c r="O80">
        <f>MATCH(ROW(A80),Arr!O:O,FALSE)</f>
        <v>75</v>
      </c>
    </row>
    <row r="81" spans="1:15" x14ac:dyDescent="0.3">
      <c r="A81" s="41">
        <f t="shared" si="1"/>
        <v>80</v>
      </c>
      <c r="B81" s="3">
        <v>397</v>
      </c>
      <c r="C81" s="4" t="s">
        <v>542</v>
      </c>
      <c r="D81" s="4" t="s">
        <v>537</v>
      </c>
      <c r="E81" s="4" t="s">
        <v>15</v>
      </c>
      <c r="F81" s="4" t="s">
        <v>31</v>
      </c>
      <c r="G81" s="4" t="s">
        <v>45</v>
      </c>
      <c r="H81" s="3">
        <v>0</v>
      </c>
      <c r="I81" s="3">
        <v>115</v>
      </c>
      <c r="J81" s="4" t="s">
        <v>17</v>
      </c>
      <c r="K81" s="3">
        <v>25</v>
      </c>
      <c r="L81" s="4" t="s">
        <v>22</v>
      </c>
      <c r="M81" s="3">
        <v>7.5</v>
      </c>
      <c r="O81">
        <f>MATCH(ROW(A81),Arr!O:O,FALSE)</f>
        <v>76</v>
      </c>
    </row>
    <row r="82" spans="1:15" x14ac:dyDescent="0.3">
      <c r="A82" s="41">
        <f t="shared" si="1"/>
        <v>81</v>
      </c>
      <c r="B82" s="3">
        <v>505</v>
      </c>
      <c r="C82" s="4" t="s">
        <v>630</v>
      </c>
      <c r="D82" s="4" t="s">
        <v>537</v>
      </c>
      <c r="E82" s="4" t="s">
        <v>15</v>
      </c>
      <c r="F82" s="4" t="s">
        <v>180</v>
      </c>
      <c r="G82" s="4" t="s">
        <v>45</v>
      </c>
      <c r="H82" s="3">
        <v>0</v>
      </c>
      <c r="I82" s="3">
        <v>115</v>
      </c>
      <c r="J82" s="4" t="s">
        <v>17</v>
      </c>
      <c r="K82" s="3">
        <v>25</v>
      </c>
      <c r="L82" s="4" t="s">
        <v>22</v>
      </c>
      <c r="M82" s="3">
        <v>7.5</v>
      </c>
      <c r="O82">
        <f>MATCH(ROW(A82),Arr!O:O,FALSE)</f>
        <v>77</v>
      </c>
    </row>
    <row r="83" spans="1:15" x14ac:dyDescent="0.3">
      <c r="A83" s="41">
        <f t="shared" si="1"/>
        <v>82</v>
      </c>
      <c r="B83" s="3">
        <v>401</v>
      </c>
      <c r="C83" s="4" t="s">
        <v>57</v>
      </c>
      <c r="D83" s="4" t="s">
        <v>537</v>
      </c>
      <c r="E83" s="4" t="s">
        <v>15</v>
      </c>
      <c r="F83" s="4" t="s">
        <v>31</v>
      </c>
      <c r="G83" s="4" t="s">
        <v>45</v>
      </c>
      <c r="H83" s="3">
        <v>0</v>
      </c>
      <c r="I83" s="3">
        <v>115</v>
      </c>
      <c r="J83" s="4" t="s">
        <v>17</v>
      </c>
      <c r="K83" s="3">
        <v>25</v>
      </c>
      <c r="L83" s="4" t="s">
        <v>22</v>
      </c>
      <c r="M83" s="3">
        <v>7.5</v>
      </c>
      <c r="O83">
        <f>MATCH(ROW(A83),Arr!O:O,FALSE)</f>
        <v>88</v>
      </c>
    </row>
    <row r="84" spans="1:15" x14ac:dyDescent="0.3">
      <c r="A84" s="41">
        <f t="shared" si="1"/>
        <v>83</v>
      </c>
      <c r="B84" s="3">
        <v>586</v>
      </c>
      <c r="C84" s="4" t="s">
        <v>187</v>
      </c>
      <c r="D84" s="4" t="s">
        <v>537</v>
      </c>
      <c r="E84" s="4" t="s">
        <v>15</v>
      </c>
      <c r="F84" s="4" t="s">
        <v>265</v>
      </c>
      <c r="G84" s="4" t="s">
        <v>70</v>
      </c>
      <c r="H84" s="3">
        <v>0</v>
      </c>
      <c r="I84" s="3">
        <v>128</v>
      </c>
      <c r="J84" s="4" t="s">
        <v>17</v>
      </c>
      <c r="K84" s="3">
        <v>25</v>
      </c>
      <c r="L84" s="4" t="s">
        <v>22</v>
      </c>
      <c r="M84" s="3">
        <v>0</v>
      </c>
      <c r="O84">
        <f>MATCH(ROW(A84),Arr!O:O,FALSE)</f>
        <v>89</v>
      </c>
    </row>
    <row r="85" spans="1:15" x14ac:dyDescent="0.3">
      <c r="A85" s="41">
        <f t="shared" si="1"/>
        <v>84</v>
      </c>
      <c r="B85" s="3">
        <v>500</v>
      </c>
      <c r="C85" s="4" t="s">
        <v>627</v>
      </c>
      <c r="D85" s="4" t="s">
        <v>537</v>
      </c>
      <c r="E85" s="4" t="s">
        <v>15</v>
      </c>
      <c r="F85" s="4" t="s">
        <v>172</v>
      </c>
      <c r="G85" s="4" t="s">
        <v>70</v>
      </c>
      <c r="H85" s="3">
        <v>0</v>
      </c>
      <c r="I85" s="3">
        <v>128</v>
      </c>
      <c r="J85" s="4" t="s">
        <v>17</v>
      </c>
      <c r="K85" s="3">
        <v>25</v>
      </c>
      <c r="L85" s="4" t="s">
        <v>22</v>
      </c>
      <c r="M85" s="3">
        <v>0</v>
      </c>
      <c r="O85">
        <f>MATCH(ROW(A85),Arr!O:O,FALSE)</f>
        <v>84</v>
      </c>
    </row>
    <row r="86" spans="1:15" x14ac:dyDescent="0.3">
      <c r="A86" s="41">
        <f t="shared" si="1"/>
        <v>85</v>
      </c>
      <c r="B86" s="3">
        <v>600</v>
      </c>
      <c r="C86" s="4" t="s">
        <v>546</v>
      </c>
      <c r="D86" s="4" t="s">
        <v>537</v>
      </c>
      <c r="E86" s="4" t="s">
        <v>15</v>
      </c>
      <c r="F86" s="4" t="s">
        <v>279</v>
      </c>
      <c r="G86" s="4" t="s">
        <v>70</v>
      </c>
      <c r="H86" s="3">
        <v>0</v>
      </c>
      <c r="I86" s="3">
        <v>128</v>
      </c>
      <c r="J86" s="4" t="s">
        <v>17</v>
      </c>
      <c r="K86" s="3">
        <v>25</v>
      </c>
      <c r="L86" s="4" t="s">
        <v>22</v>
      </c>
      <c r="M86" s="3">
        <v>0</v>
      </c>
      <c r="O86">
        <f>MATCH(ROW(A86),Arr!O:O,FALSE)</f>
        <v>85</v>
      </c>
    </row>
    <row r="87" spans="1:15" x14ac:dyDescent="0.3">
      <c r="A87" s="41">
        <f t="shared" si="1"/>
        <v>86</v>
      </c>
      <c r="B87" s="3">
        <v>820</v>
      </c>
      <c r="C87" s="4" t="s">
        <v>613</v>
      </c>
      <c r="D87" s="4" t="s">
        <v>537</v>
      </c>
      <c r="E87" s="4" t="s">
        <v>15</v>
      </c>
      <c r="F87" s="4" t="s">
        <v>511</v>
      </c>
      <c r="G87" s="4" t="s">
        <v>70</v>
      </c>
      <c r="H87" s="3">
        <v>0</v>
      </c>
      <c r="I87" s="3">
        <v>128</v>
      </c>
      <c r="J87" s="4" t="s">
        <v>17</v>
      </c>
      <c r="K87" s="3">
        <v>25</v>
      </c>
      <c r="L87" s="4" t="s">
        <v>22</v>
      </c>
      <c r="M87" s="3">
        <v>0</v>
      </c>
      <c r="O87">
        <f>MATCH(ROW(A87),Arr!O:O,FALSE)</f>
        <v>86</v>
      </c>
    </row>
    <row r="88" spans="1:15" x14ac:dyDescent="0.3">
      <c r="A88" s="41">
        <f t="shared" si="1"/>
        <v>87</v>
      </c>
      <c r="B88" s="3">
        <v>790</v>
      </c>
      <c r="C88" s="4" t="s">
        <v>665</v>
      </c>
      <c r="D88" s="4" t="s">
        <v>537</v>
      </c>
      <c r="E88" s="4" t="s">
        <v>15</v>
      </c>
      <c r="F88" s="4" t="s">
        <v>455</v>
      </c>
      <c r="G88" s="4" t="s">
        <v>70</v>
      </c>
      <c r="H88" s="3">
        <v>0</v>
      </c>
      <c r="I88" s="3">
        <v>128</v>
      </c>
      <c r="J88" s="4" t="s">
        <v>17</v>
      </c>
      <c r="K88" s="3">
        <v>25</v>
      </c>
      <c r="L88" s="4" t="s">
        <v>22</v>
      </c>
      <c r="M88" s="3">
        <v>0</v>
      </c>
      <c r="O88">
        <f>MATCH(ROW(A88),Arr!O:O,FALSE)</f>
        <v>87</v>
      </c>
    </row>
    <row r="89" spans="1:15" x14ac:dyDescent="0.3">
      <c r="A89" s="41">
        <f t="shared" si="1"/>
        <v>88</v>
      </c>
      <c r="B89" s="3">
        <v>503</v>
      </c>
      <c r="C89" s="4" t="s">
        <v>628</v>
      </c>
      <c r="D89" s="4" t="s">
        <v>537</v>
      </c>
      <c r="E89" s="4" t="s">
        <v>15</v>
      </c>
      <c r="F89" s="4" t="s">
        <v>180</v>
      </c>
      <c r="G89" s="4" t="s">
        <v>70</v>
      </c>
      <c r="H89" s="3">
        <v>0</v>
      </c>
      <c r="I89" s="3">
        <v>128</v>
      </c>
      <c r="J89" s="4" t="s">
        <v>17</v>
      </c>
      <c r="K89" s="3">
        <v>25</v>
      </c>
      <c r="L89" s="4" t="s">
        <v>22</v>
      </c>
      <c r="M89" s="3">
        <v>0</v>
      </c>
      <c r="O89">
        <f>MATCH(ROW(A89),Arr!O:O,FALSE)</f>
        <v>106</v>
      </c>
    </row>
    <row r="90" spans="1:15" x14ac:dyDescent="0.3">
      <c r="A90" s="41">
        <f t="shared" si="1"/>
        <v>89</v>
      </c>
      <c r="B90" s="3">
        <v>597</v>
      </c>
      <c r="C90" s="4" t="s">
        <v>80</v>
      </c>
      <c r="D90" s="4" t="s">
        <v>537</v>
      </c>
      <c r="E90" s="4" t="s">
        <v>15</v>
      </c>
      <c r="F90" s="4" t="s">
        <v>279</v>
      </c>
      <c r="G90" s="4" t="s">
        <v>43</v>
      </c>
      <c r="H90" s="3">
        <v>0</v>
      </c>
      <c r="I90" s="3">
        <v>138</v>
      </c>
      <c r="J90" s="4" t="s">
        <v>17</v>
      </c>
      <c r="K90" s="3">
        <v>25</v>
      </c>
      <c r="L90" s="4" t="s">
        <v>22</v>
      </c>
      <c r="M90" s="3">
        <v>9</v>
      </c>
      <c r="O90">
        <f>MATCH(ROW(A90),Arr!O:O,FALSE)</f>
        <v>107</v>
      </c>
    </row>
    <row r="91" spans="1:15" x14ac:dyDescent="0.3">
      <c r="A91" s="41">
        <f t="shared" si="1"/>
        <v>90</v>
      </c>
      <c r="B91" s="3">
        <v>789</v>
      </c>
      <c r="C91" s="4" t="s">
        <v>80</v>
      </c>
      <c r="D91" s="4" t="s">
        <v>537</v>
      </c>
      <c r="E91" s="4" t="s">
        <v>15</v>
      </c>
      <c r="F91" s="4" t="s">
        <v>455</v>
      </c>
      <c r="G91" s="4" t="s">
        <v>43</v>
      </c>
      <c r="H91" s="3">
        <v>0</v>
      </c>
      <c r="I91" s="3">
        <v>138</v>
      </c>
      <c r="J91" s="4" t="s">
        <v>17</v>
      </c>
      <c r="K91" s="3">
        <v>25</v>
      </c>
      <c r="L91" s="4" t="s">
        <v>22</v>
      </c>
      <c r="M91" s="3">
        <v>9</v>
      </c>
      <c r="O91">
        <f>MATCH(ROW(A91),Arr!O:O,FALSE)</f>
        <v>108</v>
      </c>
    </row>
    <row r="92" spans="1:15" x14ac:dyDescent="0.3">
      <c r="A92" s="41">
        <f t="shared" si="1"/>
        <v>91</v>
      </c>
      <c r="B92" s="3">
        <v>596</v>
      </c>
      <c r="C92" s="4" t="s">
        <v>569</v>
      </c>
      <c r="D92" s="4" t="s">
        <v>537</v>
      </c>
      <c r="E92" s="4" t="s">
        <v>15</v>
      </c>
      <c r="F92" s="4" t="s">
        <v>279</v>
      </c>
      <c r="G92" s="4" t="s">
        <v>43</v>
      </c>
      <c r="H92" s="3">
        <v>0</v>
      </c>
      <c r="I92" s="3">
        <v>138</v>
      </c>
      <c r="J92" s="4" t="s">
        <v>17</v>
      </c>
      <c r="K92" s="3">
        <v>25</v>
      </c>
      <c r="L92" s="4" t="s">
        <v>22</v>
      </c>
      <c r="M92" s="3">
        <v>9</v>
      </c>
      <c r="O92">
        <f>MATCH(ROW(A92),Arr!O:O,FALSE)</f>
        <v>109</v>
      </c>
    </row>
    <row r="93" spans="1:15" x14ac:dyDescent="0.3">
      <c r="A93" s="41">
        <f t="shared" si="1"/>
        <v>92</v>
      </c>
      <c r="B93" s="3">
        <v>731</v>
      </c>
      <c r="C93" s="4" t="s">
        <v>600</v>
      </c>
      <c r="D93" s="4" t="s">
        <v>537</v>
      </c>
      <c r="E93" s="4" t="s">
        <v>15</v>
      </c>
      <c r="F93" s="4" t="s">
        <v>404</v>
      </c>
      <c r="G93" s="4" t="s">
        <v>43</v>
      </c>
      <c r="H93" s="3">
        <v>0</v>
      </c>
      <c r="I93" s="3">
        <v>138</v>
      </c>
      <c r="J93" s="4" t="s">
        <v>17</v>
      </c>
      <c r="K93" s="3">
        <v>25</v>
      </c>
      <c r="L93" s="4" t="s">
        <v>22</v>
      </c>
      <c r="M93" s="3">
        <v>9</v>
      </c>
      <c r="O93">
        <f>MATCH(ROW(A93),Arr!O:O,FALSE)</f>
        <v>110</v>
      </c>
    </row>
    <row r="94" spans="1:15" x14ac:dyDescent="0.3">
      <c r="A94" s="41">
        <f t="shared" si="1"/>
        <v>93</v>
      </c>
      <c r="B94" s="3">
        <v>601</v>
      </c>
      <c r="C94" s="4" t="s">
        <v>187</v>
      </c>
      <c r="D94" s="4" t="s">
        <v>537</v>
      </c>
      <c r="E94" s="4" t="s">
        <v>15</v>
      </c>
      <c r="F94" s="4" t="s">
        <v>279</v>
      </c>
      <c r="G94" s="4" t="s">
        <v>43</v>
      </c>
      <c r="H94" s="3">
        <v>0</v>
      </c>
      <c r="I94" s="3">
        <v>138</v>
      </c>
      <c r="J94" s="4" t="s">
        <v>17</v>
      </c>
      <c r="K94" s="3">
        <v>25</v>
      </c>
      <c r="L94" s="4" t="s">
        <v>22</v>
      </c>
      <c r="M94" s="3">
        <v>9</v>
      </c>
      <c r="O94">
        <f>MATCH(ROW(A94),Arr!O:O,FALSE)</f>
        <v>111</v>
      </c>
    </row>
    <row r="95" spans="1:15" x14ac:dyDescent="0.3">
      <c r="A95" s="41">
        <f t="shared" si="1"/>
        <v>94</v>
      </c>
      <c r="B95" s="3">
        <v>436</v>
      </c>
      <c r="C95" s="4" t="s">
        <v>141</v>
      </c>
      <c r="D95" s="4" t="s">
        <v>537</v>
      </c>
      <c r="E95" s="4" t="s">
        <v>15</v>
      </c>
      <c r="F95" s="4" t="s">
        <v>96</v>
      </c>
      <c r="G95" s="4" t="s">
        <v>43</v>
      </c>
      <c r="H95" s="3">
        <v>0</v>
      </c>
      <c r="I95" s="3">
        <v>138</v>
      </c>
      <c r="J95" s="4" t="s">
        <v>17</v>
      </c>
      <c r="K95" s="3">
        <v>25</v>
      </c>
      <c r="L95" s="4" t="s">
        <v>22</v>
      </c>
      <c r="M95" s="3">
        <v>9</v>
      </c>
      <c r="O95">
        <f>MATCH(ROW(A95),Arr!O:O,FALSE)</f>
        <v>90</v>
      </c>
    </row>
    <row r="96" spans="1:15" x14ac:dyDescent="0.3">
      <c r="A96" s="41">
        <f t="shared" si="1"/>
        <v>95</v>
      </c>
      <c r="B96" s="3">
        <v>615</v>
      </c>
      <c r="C96" s="4" t="s">
        <v>141</v>
      </c>
      <c r="D96" s="4" t="s">
        <v>537</v>
      </c>
      <c r="E96" s="4" t="s">
        <v>15</v>
      </c>
      <c r="F96" s="4" t="s">
        <v>305</v>
      </c>
      <c r="G96" s="4" t="s">
        <v>43</v>
      </c>
      <c r="H96" s="3">
        <v>0</v>
      </c>
      <c r="I96" s="3">
        <v>138</v>
      </c>
      <c r="J96" s="4" t="s">
        <v>17</v>
      </c>
      <c r="K96" s="3">
        <v>25</v>
      </c>
      <c r="L96" s="4" t="s">
        <v>22</v>
      </c>
      <c r="M96" s="3">
        <v>9</v>
      </c>
      <c r="O96">
        <f>MATCH(ROW(A96),Arr!O:O,FALSE)</f>
        <v>91</v>
      </c>
    </row>
    <row r="97" spans="1:15" x14ac:dyDescent="0.3">
      <c r="A97" s="41">
        <f t="shared" si="1"/>
        <v>96</v>
      </c>
      <c r="B97" s="3">
        <v>599</v>
      </c>
      <c r="C97" s="4" t="s">
        <v>640</v>
      </c>
      <c r="D97" s="4" t="s">
        <v>537</v>
      </c>
      <c r="E97" s="4" t="s">
        <v>15</v>
      </c>
      <c r="F97" s="4" t="s">
        <v>279</v>
      </c>
      <c r="G97" s="4" t="s">
        <v>43</v>
      </c>
      <c r="H97" s="3">
        <v>0</v>
      </c>
      <c r="I97" s="3">
        <v>138</v>
      </c>
      <c r="J97" s="4" t="s">
        <v>17</v>
      </c>
      <c r="K97" s="3">
        <v>25</v>
      </c>
      <c r="L97" s="4" t="s">
        <v>22</v>
      </c>
      <c r="M97" s="3">
        <v>9</v>
      </c>
      <c r="O97">
        <f>MATCH(ROW(A97),Arr!O:O,FALSE)</f>
        <v>92</v>
      </c>
    </row>
    <row r="98" spans="1:15" x14ac:dyDescent="0.3">
      <c r="A98" s="41">
        <f t="shared" si="1"/>
        <v>97</v>
      </c>
      <c r="B98" s="3">
        <v>585</v>
      </c>
      <c r="C98" s="4" t="s">
        <v>636</v>
      </c>
      <c r="D98" s="4" t="s">
        <v>537</v>
      </c>
      <c r="E98" s="4" t="s">
        <v>15</v>
      </c>
      <c r="F98" s="4" t="s">
        <v>265</v>
      </c>
      <c r="G98" s="4" t="s">
        <v>43</v>
      </c>
      <c r="H98" s="3">
        <v>0</v>
      </c>
      <c r="I98" s="3">
        <v>138</v>
      </c>
      <c r="J98" s="4" t="s">
        <v>17</v>
      </c>
      <c r="K98" s="3">
        <v>25</v>
      </c>
      <c r="L98" s="4" t="s">
        <v>22</v>
      </c>
      <c r="M98" s="3">
        <v>9</v>
      </c>
      <c r="O98">
        <f>MATCH(ROW(A98),Arr!O:O,FALSE)</f>
        <v>93</v>
      </c>
    </row>
    <row r="99" spans="1:15" x14ac:dyDescent="0.3">
      <c r="A99" s="41">
        <f t="shared" si="1"/>
        <v>98</v>
      </c>
      <c r="B99" s="3">
        <v>469</v>
      </c>
      <c r="C99" s="4" t="s">
        <v>565</v>
      </c>
      <c r="D99" s="4" t="s">
        <v>537</v>
      </c>
      <c r="E99" s="4" t="s">
        <v>15</v>
      </c>
      <c r="F99" s="4" t="s">
        <v>124</v>
      </c>
      <c r="G99" s="4" t="s">
        <v>43</v>
      </c>
      <c r="H99" s="3">
        <v>0</v>
      </c>
      <c r="I99" s="3">
        <v>138</v>
      </c>
      <c r="J99" s="4" t="s">
        <v>17</v>
      </c>
      <c r="K99" s="3">
        <v>25</v>
      </c>
      <c r="L99" s="4" t="s">
        <v>22</v>
      </c>
      <c r="M99" s="3">
        <v>9</v>
      </c>
      <c r="O99">
        <f>MATCH(ROW(A99),Arr!O:O,FALSE)</f>
        <v>94</v>
      </c>
    </row>
    <row r="100" spans="1:15" x14ac:dyDescent="0.3">
      <c r="A100" s="41">
        <f t="shared" si="1"/>
        <v>99</v>
      </c>
      <c r="B100" s="3">
        <v>531</v>
      </c>
      <c r="C100" s="4" t="s">
        <v>93</v>
      </c>
      <c r="D100" s="4" t="s">
        <v>537</v>
      </c>
      <c r="E100" s="4" t="s">
        <v>15</v>
      </c>
      <c r="F100" s="4" t="s">
        <v>196</v>
      </c>
      <c r="G100" s="4" t="s">
        <v>43</v>
      </c>
      <c r="H100" s="3">
        <v>0</v>
      </c>
      <c r="I100" s="3">
        <v>138</v>
      </c>
      <c r="J100" s="4" t="s">
        <v>17</v>
      </c>
      <c r="K100" s="3">
        <v>25</v>
      </c>
      <c r="L100" s="4" t="s">
        <v>22</v>
      </c>
      <c r="M100" s="3">
        <v>9</v>
      </c>
      <c r="O100">
        <f>MATCH(ROW(A100),Arr!O:O,FALSE)</f>
        <v>95</v>
      </c>
    </row>
    <row r="101" spans="1:15" x14ac:dyDescent="0.3">
      <c r="A101" s="41">
        <f t="shared" si="1"/>
        <v>100</v>
      </c>
      <c r="B101" s="3">
        <v>792</v>
      </c>
      <c r="C101" s="4" t="s">
        <v>667</v>
      </c>
      <c r="D101" s="4" t="s">
        <v>537</v>
      </c>
      <c r="E101" s="4" t="s">
        <v>15</v>
      </c>
      <c r="F101" s="4" t="s">
        <v>455</v>
      </c>
      <c r="G101" s="4" t="s">
        <v>43</v>
      </c>
      <c r="H101" s="3">
        <v>0</v>
      </c>
      <c r="I101" s="3">
        <v>138</v>
      </c>
      <c r="J101" s="4" t="s">
        <v>17</v>
      </c>
      <c r="K101" s="3">
        <v>25</v>
      </c>
      <c r="L101" s="4" t="s">
        <v>22</v>
      </c>
      <c r="M101" s="3">
        <v>9</v>
      </c>
      <c r="O101">
        <f>MATCH(ROW(A101),Arr!O:O,FALSE)</f>
        <v>96</v>
      </c>
    </row>
    <row r="102" spans="1:15" x14ac:dyDescent="0.3">
      <c r="A102" s="41">
        <f t="shared" si="1"/>
        <v>101</v>
      </c>
      <c r="B102" s="3">
        <v>499</v>
      </c>
      <c r="C102" s="4" t="s">
        <v>203</v>
      </c>
      <c r="D102" s="4" t="s">
        <v>537</v>
      </c>
      <c r="E102" s="4" t="s">
        <v>15</v>
      </c>
      <c r="F102" s="4" t="s">
        <v>172</v>
      </c>
      <c r="G102" s="4" t="s">
        <v>43</v>
      </c>
      <c r="H102" s="3">
        <v>0</v>
      </c>
      <c r="I102" s="3">
        <v>138</v>
      </c>
      <c r="J102" s="4" t="s">
        <v>17</v>
      </c>
      <c r="K102" s="3">
        <v>25</v>
      </c>
      <c r="L102" s="4" t="s">
        <v>22</v>
      </c>
      <c r="M102" s="3">
        <v>9</v>
      </c>
      <c r="O102">
        <f>MATCH(ROW(A102),Arr!O:O,FALSE)</f>
        <v>97</v>
      </c>
    </row>
    <row r="103" spans="1:15" x14ac:dyDescent="0.3">
      <c r="A103" s="41">
        <f t="shared" si="1"/>
        <v>102</v>
      </c>
      <c r="B103" s="3">
        <v>468</v>
      </c>
      <c r="C103" s="4" t="s">
        <v>502</v>
      </c>
      <c r="D103" s="4" t="s">
        <v>537</v>
      </c>
      <c r="E103" s="4" t="s">
        <v>15</v>
      </c>
      <c r="F103" s="4" t="s">
        <v>124</v>
      </c>
      <c r="G103" s="4" t="s">
        <v>43</v>
      </c>
      <c r="H103" s="3">
        <v>0</v>
      </c>
      <c r="I103" s="3">
        <v>138</v>
      </c>
      <c r="J103" s="4" t="s">
        <v>17</v>
      </c>
      <c r="K103" s="3">
        <v>25</v>
      </c>
      <c r="L103" s="4" t="s">
        <v>22</v>
      </c>
      <c r="M103" s="3">
        <v>9</v>
      </c>
      <c r="O103">
        <f>MATCH(ROW(A103),Arr!O:O,FALSE)</f>
        <v>98</v>
      </c>
    </row>
    <row r="104" spans="1:15" x14ac:dyDescent="0.3">
      <c r="A104" s="41">
        <f t="shared" si="1"/>
        <v>103</v>
      </c>
      <c r="B104" s="3">
        <v>598</v>
      </c>
      <c r="C104" s="4" t="s">
        <v>639</v>
      </c>
      <c r="D104" s="4" t="s">
        <v>537</v>
      </c>
      <c r="E104" s="4" t="s">
        <v>15</v>
      </c>
      <c r="F104" s="4" t="s">
        <v>279</v>
      </c>
      <c r="G104" s="4" t="s">
        <v>43</v>
      </c>
      <c r="H104" s="3">
        <v>0</v>
      </c>
      <c r="I104" s="3">
        <v>138</v>
      </c>
      <c r="J104" s="4" t="s">
        <v>17</v>
      </c>
      <c r="K104" s="3">
        <v>25</v>
      </c>
      <c r="L104" s="4" t="s">
        <v>22</v>
      </c>
      <c r="M104" s="3">
        <v>9</v>
      </c>
      <c r="O104">
        <f>MATCH(ROW(A104),Arr!O:O,FALSE)</f>
        <v>99</v>
      </c>
    </row>
    <row r="105" spans="1:15" x14ac:dyDescent="0.3">
      <c r="A105" s="41">
        <f t="shared" si="1"/>
        <v>104</v>
      </c>
      <c r="B105" s="3">
        <v>647</v>
      </c>
      <c r="C105" s="4" t="s">
        <v>591</v>
      </c>
      <c r="D105" s="4" t="s">
        <v>537</v>
      </c>
      <c r="E105" s="4" t="s">
        <v>15</v>
      </c>
      <c r="F105" s="4" t="s">
        <v>335</v>
      </c>
      <c r="G105" s="4" t="s">
        <v>43</v>
      </c>
      <c r="H105" s="3">
        <v>0</v>
      </c>
      <c r="I105" s="3">
        <v>138</v>
      </c>
      <c r="J105" s="4" t="s">
        <v>17</v>
      </c>
      <c r="K105" s="3">
        <v>25</v>
      </c>
      <c r="L105" s="4" t="s">
        <v>22</v>
      </c>
      <c r="M105" s="3">
        <v>9</v>
      </c>
      <c r="O105">
        <f>MATCH(ROW(A105),Arr!O:O,FALSE)</f>
        <v>100</v>
      </c>
    </row>
    <row r="106" spans="1:15" x14ac:dyDescent="0.3">
      <c r="A106" s="41">
        <f t="shared" si="1"/>
        <v>105</v>
      </c>
      <c r="B106" s="3">
        <v>767</v>
      </c>
      <c r="C106" s="4" t="s">
        <v>475</v>
      </c>
      <c r="D106" s="4" t="s">
        <v>537</v>
      </c>
      <c r="E106" s="4" t="s">
        <v>15</v>
      </c>
      <c r="F106" s="4" t="s">
        <v>432</v>
      </c>
      <c r="G106" s="4" t="s">
        <v>43</v>
      </c>
      <c r="H106" s="3">
        <v>0</v>
      </c>
      <c r="I106" s="3">
        <v>138</v>
      </c>
      <c r="J106" s="4" t="s">
        <v>17</v>
      </c>
      <c r="K106" s="3">
        <v>25</v>
      </c>
      <c r="L106" s="4" t="s">
        <v>22</v>
      </c>
      <c r="M106" s="3">
        <v>9</v>
      </c>
      <c r="O106">
        <f>MATCH(ROW(A106),Arr!O:O,FALSE)</f>
        <v>101</v>
      </c>
    </row>
    <row r="107" spans="1:15" x14ac:dyDescent="0.3">
      <c r="A107" s="41">
        <f t="shared" si="1"/>
        <v>106</v>
      </c>
      <c r="B107" s="3">
        <v>408</v>
      </c>
      <c r="C107" s="4" t="s">
        <v>544</v>
      </c>
      <c r="D107" s="4" t="s">
        <v>537</v>
      </c>
      <c r="E107" s="4" t="s">
        <v>15</v>
      </c>
      <c r="F107" s="4" t="s">
        <v>31</v>
      </c>
      <c r="G107" s="4" t="s">
        <v>43</v>
      </c>
      <c r="H107" s="3">
        <v>0</v>
      </c>
      <c r="I107" s="3">
        <v>138</v>
      </c>
      <c r="J107" s="4" t="s">
        <v>17</v>
      </c>
      <c r="K107" s="3">
        <v>25</v>
      </c>
      <c r="L107" s="4" t="s">
        <v>22</v>
      </c>
      <c r="M107" s="3">
        <v>9</v>
      </c>
      <c r="O107">
        <f>MATCH(ROW(A107),Arr!O:O,FALSE)</f>
        <v>102</v>
      </c>
    </row>
    <row r="108" spans="1:15" x14ac:dyDescent="0.3">
      <c r="A108" s="41">
        <f t="shared" si="1"/>
        <v>107</v>
      </c>
      <c r="B108" s="3">
        <v>791</v>
      </c>
      <c r="C108" s="4" t="s">
        <v>666</v>
      </c>
      <c r="D108" s="4" t="s">
        <v>537</v>
      </c>
      <c r="E108" s="4" t="s">
        <v>15</v>
      </c>
      <c r="F108" s="4" t="s">
        <v>455</v>
      </c>
      <c r="G108" s="4" t="s">
        <v>43</v>
      </c>
      <c r="H108" s="3">
        <v>0</v>
      </c>
      <c r="I108" s="3">
        <v>138</v>
      </c>
      <c r="J108" s="4" t="s">
        <v>17</v>
      </c>
      <c r="K108" s="3">
        <v>25</v>
      </c>
      <c r="L108" s="4" t="s">
        <v>22</v>
      </c>
      <c r="M108" s="3">
        <v>9</v>
      </c>
      <c r="O108">
        <f>MATCH(ROW(A108),Arr!O:O,FALSE)</f>
        <v>103</v>
      </c>
    </row>
    <row r="109" spans="1:15" x14ac:dyDescent="0.3">
      <c r="A109" s="41">
        <f t="shared" si="1"/>
        <v>108</v>
      </c>
      <c r="B109" s="3">
        <v>872</v>
      </c>
      <c r="C109" s="4" t="s">
        <v>669</v>
      </c>
      <c r="D109" s="4" t="s">
        <v>537</v>
      </c>
      <c r="E109" s="4" t="s">
        <v>15</v>
      </c>
      <c r="F109" s="4" t="s">
        <v>490</v>
      </c>
      <c r="G109" s="4" t="s">
        <v>43</v>
      </c>
      <c r="H109" s="3">
        <v>0</v>
      </c>
      <c r="I109" s="3">
        <v>138</v>
      </c>
      <c r="J109" s="4" t="s">
        <v>28</v>
      </c>
      <c r="K109" s="3">
        <v>25</v>
      </c>
      <c r="L109" s="4" t="s">
        <v>22</v>
      </c>
      <c r="M109" s="3">
        <v>9</v>
      </c>
      <c r="O109">
        <f>MATCH(ROW(A109),Arr!O:O,FALSE)</f>
        <v>104</v>
      </c>
    </row>
    <row r="110" spans="1:15" x14ac:dyDescent="0.3">
      <c r="A110" s="41">
        <f t="shared" si="1"/>
        <v>109</v>
      </c>
      <c r="B110" s="3">
        <v>545</v>
      </c>
      <c r="C110" s="4" t="s">
        <v>264</v>
      </c>
      <c r="D110" s="4" t="s">
        <v>537</v>
      </c>
      <c r="E110" s="4" t="s">
        <v>15</v>
      </c>
      <c r="F110" s="4" t="s">
        <v>226</v>
      </c>
      <c r="G110" s="4" t="s">
        <v>43</v>
      </c>
      <c r="H110" s="3">
        <v>0</v>
      </c>
      <c r="I110" s="3">
        <v>138</v>
      </c>
      <c r="J110" s="4" t="s">
        <v>17</v>
      </c>
      <c r="K110" s="3">
        <v>25</v>
      </c>
      <c r="L110" s="4" t="s">
        <v>22</v>
      </c>
      <c r="M110" s="3">
        <v>9</v>
      </c>
      <c r="O110">
        <f>MATCH(ROW(A110),Arr!O:O,FALSE)</f>
        <v>105</v>
      </c>
    </row>
    <row r="111" spans="1:15" x14ac:dyDescent="0.3">
      <c r="A111" s="41">
        <f t="shared" si="1"/>
        <v>110</v>
      </c>
      <c r="B111" s="3">
        <v>437</v>
      </c>
      <c r="C111" s="4" t="s">
        <v>554</v>
      </c>
      <c r="D111" s="4" t="s">
        <v>537</v>
      </c>
      <c r="E111" s="4" t="s">
        <v>15</v>
      </c>
      <c r="F111" s="4" t="s">
        <v>96</v>
      </c>
      <c r="G111" s="4" t="s">
        <v>43</v>
      </c>
      <c r="H111" s="3">
        <v>0</v>
      </c>
      <c r="I111" s="3">
        <v>138</v>
      </c>
      <c r="J111" s="4" t="s">
        <v>17</v>
      </c>
      <c r="K111" s="3">
        <v>25</v>
      </c>
      <c r="L111" s="4" t="s">
        <v>22</v>
      </c>
      <c r="M111" s="3">
        <v>9</v>
      </c>
      <c r="O111">
        <f>MATCH(ROW(A111),Arr!O:O,FALSE)</f>
        <v>113</v>
      </c>
    </row>
    <row r="112" spans="1:15" x14ac:dyDescent="0.3">
      <c r="A112" s="41">
        <f t="shared" si="1"/>
        <v>111</v>
      </c>
      <c r="B112" s="3">
        <v>409</v>
      </c>
      <c r="C112" s="4" t="s">
        <v>545</v>
      </c>
      <c r="D112" s="4" t="s">
        <v>537</v>
      </c>
      <c r="E112" s="4" t="s">
        <v>15</v>
      </c>
      <c r="F112" s="4" t="s">
        <v>31</v>
      </c>
      <c r="G112" s="4" t="s">
        <v>193</v>
      </c>
      <c r="H112" s="3">
        <v>0</v>
      </c>
      <c r="I112" s="3">
        <v>0</v>
      </c>
      <c r="J112" s="4" t="s">
        <v>17</v>
      </c>
      <c r="K112" s="3">
        <v>25</v>
      </c>
      <c r="L112" s="4" t="s">
        <v>22</v>
      </c>
      <c r="M112" s="3">
        <v>17.899999999999999</v>
      </c>
      <c r="O112">
        <f>MATCH(ROW(A112),Arr!O:O,FALSE)</f>
        <v>112</v>
      </c>
    </row>
    <row r="113" spans="1:15" x14ac:dyDescent="0.3">
      <c r="A113" s="41">
        <f t="shared" si="1"/>
        <v>112</v>
      </c>
      <c r="B113" s="3">
        <v>572</v>
      </c>
      <c r="C113" s="4" t="s">
        <v>189</v>
      </c>
      <c r="D113" s="4" t="s">
        <v>537</v>
      </c>
      <c r="E113" s="4" t="s">
        <v>15</v>
      </c>
      <c r="F113" s="4" t="s">
        <v>260</v>
      </c>
      <c r="G113" s="4" t="s">
        <v>193</v>
      </c>
      <c r="H113" s="3">
        <v>0</v>
      </c>
      <c r="I113" s="3">
        <v>0</v>
      </c>
      <c r="J113" s="4" t="s">
        <v>17</v>
      </c>
      <c r="K113" s="3">
        <v>25</v>
      </c>
      <c r="L113" s="4" t="s">
        <v>22</v>
      </c>
      <c r="M113" s="3">
        <v>17.899999999999999</v>
      </c>
      <c r="O113">
        <f>MATCH(ROW(A113),Arr!O:O,FALSE)</f>
        <v>133</v>
      </c>
    </row>
    <row r="114" spans="1:15" x14ac:dyDescent="0.3">
      <c r="A114" s="41">
        <f t="shared" si="1"/>
        <v>113</v>
      </c>
      <c r="B114" s="3">
        <v>760</v>
      </c>
      <c r="C114" s="4" t="s">
        <v>564</v>
      </c>
      <c r="D114" s="4" t="s">
        <v>537</v>
      </c>
      <c r="E114" s="4" t="s">
        <v>15</v>
      </c>
      <c r="F114" s="4" t="s">
        <v>432</v>
      </c>
      <c r="G114" s="4" t="s">
        <v>53</v>
      </c>
      <c r="H114" s="3">
        <v>0</v>
      </c>
      <c r="I114" s="3">
        <v>99</v>
      </c>
      <c r="J114" s="4" t="s">
        <v>17</v>
      </c>
      <c r="K114" s="3">
        <v>25</v>
      </c>
      <c r="L114" s="4" t="s">
        <v>22</v>
      </c>
      <c r="M114" s="3">
        <v>5.2</v>
      </c>
      <c r="O114">
        <f>MATCH(ROW(A114),Arr!O:O,FALSE)</f>
        <v>134</v>
      </c>
    </row>
    <row r="115" spans="1:15" x14ac:dyDescent="0.3">
      <c r="A115" s="41">
        <f t="shared" si="1"/>
        <v>114</v>
      </c>
      <c r="B115" s="3">
        <v>821</v>
      </c>
      <c r="C115" s="4" t="s">
        <v>614</v>
      </c>
      <c r="D115" s="4" t="s">
        <v>537</v>
      </c>
      <c r="E115" s="4" t="s">
        <v>15</v>
      </c>
      <c r="F115" s="4" t="s">
        <v>511</v>
      </c>
      <c r="G115" s="4" t="s">
        <v>53</v>
      </c>
      <c r="H115" s="3">
        <v>0</v>
      </c>
      <c r="I115" s="3">
        <v>99</v>
      </c>
      <c r="J115" s="4" t="s">
        <v>17</v>
      </c>
      <c r="K115" s="3">
        <v>25</v>
      </c>
      <c r="L115" s="4" t="s">
        <v>22</v>
      </c>
      <c r="M115" s="3">
        <v>5.2</v>
      </c>
      <c r="O115">
        <f>MATCH(ROW(A115),Arr!O:O,FALSE)</f>
        <v>135</v>
      </c>
    </row>
    <row r="116" spans="1:15" x14ac:dyDescent="0.3">
      <c r="A116" s="41">
        <f t="shared" si="1"/>
        <v>115</v>
      </c>
      <c r="B116" s="3">
        <v>566</v>
      </c>
      <c r="C116" s="4" t="s">
        <v>569</v>
      </c>
      <c r="D116" s="4" t="s">
        <v>537</v>
      </c>
      <c r="E116" s="4" t="s">
        <v>15</v>
      </c>
      <c r="F116" s="4" t="s">
        <v>252</v>
      </c>
      <c r="G116" s="4" t="s">
        <v>53</v>
      </c>
      <c r="H116" s="3">
        <v>0</v>
      </c>
      <c r="I116" s="3">
        <v>99</v>
      </c>
      <c r="J116" s="4" t="s">
        <v>17</v>
      </c>
      <c r="K116" s="3">
        <v>25</v>
      </c>
      <c r="L116" s="4" t="s">
        <v>22</v>
      </c>
      <c r="M116" s="3">
        <v>5.2</v>
      </c>
      <c r="O116">
        <f>MATCH(ROW(A116),Arr!O:O,FALSE)</f>
        <v>136</v>
      </c>
    </row>
    <row r="117" spans="1:15" x14ac:dyDescent="0.3">
      <c r="A117" s="41">
        <f t="shared" si="1"/>
        <v>116</v>
      </c>
      <c r="B117" s="3">
        <v>661</v>
      </c>
      <c r="C117" s="4" t="s">
        <v>600</v>
      </c>
      <c r="D117" s="4" t="s">
        <v>537</v>
      </c>
      <c r="E117" s="4" t="s">
        <v>15</v>
      </c>
      <c r="F117" s="4" t="s">
        <v>349</v>
      </c>
      <c r="G117" s="4" t="s">
        <v>53</v>
      </c>
      <c r="H117" s="3">
        <v>0</v>
      </c>
      <c r="I117" s="3">
        <v>99</v>
      </c>
      <c r="J117" s="4" t="s">
        <v>17</v>
      </c>
      <c r="K117" s="3">
        <v>25</v>
      </c>
      <c r="L117" s="4" t="s">
        <v>22</v>
      </c>
      <c r="M117" s="3">
        <v>5.2</v>
      </c>
      <c r="O117">
        <f>MATCH(ROW(A117),Arr!O:O,FALSE)</f>
        <v>114</v>
      </c>
    </row>
    <row r="118" spans="1:15" x14ac:dyDescent="0.3">
      <c r="A118" s="41">
        <f t="shared" si="1"/>
        <v>117</v>
      </c>
      <c r="B118" s="3">
        <v>822</v>
      </c>
      <c r="C118" s="4" t="s">
        <v>74</v>
      </c>
      <c r="D118" s="4" t="s">
        <v>537</v>
      </c>
      <c r="E118" s="4" t="s">
        <v>15</v>
      </c>
      <c r="F118" s="4" t="s">
        <v>511</v>
      </c>
      <c r="G118" s="4" t="s">
        <v>53</v>
      </c>
      <c r="H118" s="3">
        <v>0</v>
      </c>
      <c r="I118" s="3">
        <v>99</v>
      </c>
      <c r="J118" s="4" t="s">
        <v>17</v>
      </c>
      <c r="K118" s="3">
        <v>25</v>
      </c>
      <c r="L118" s="4" t="s">
        <v>22</v>
      </c>
      <c r="M118" s="3">
        <v>5.2</v>
      </c>
      <c r="O118">
        <f>MATCH(ROW(A118),Arr!O:O,FALSE)</f>
        <v>115</v>
      </c>
    </row>
    <row r="119" spans="1:15" x14ac:dyDescent="0.3">
      <c r="A119" s="41">
        <f t="shared" si="1"/>
        <v>118</v>
      </c>
      <c r="B119" s="3">
        <v>453</v>
      </c>
      <c r="C119" s="4" t="s">
        <v>141</v>
      </c>
      <c r="D119" s="4" t="s">
        <v>537</v>
      </c>
      <c r="E119" s="4" t="s">
        <v>15</v>
      </c>
      <c r="F119" s="4" t="s">
        <v>121</v>
      </c>
      <c r="G119" s="4" t="s">
        <v>53</v>
      </c>
      <c r="H119" s="3">
        <v>0</v>
      </c>
      <c r="I119" s="3">
        <v>99</v>
      </c>
      <c r="J119" s="4" t="s">
        <v>17</v>
      </c>
      <c r="K119" s="3">
        <v>25</v>
      </c>
      <c r="L119" s="4" t="s">
        <v>22</v>
      </c>
      <c r="M119" s="3">
        <v>5.2</v>
      </c>
      <c r="O119">
        <f>MATCH(ROW(A119),Arr!O:O,FALSE)</f>
        <v>116</v>
      </c>
    </row>
    <row r="120" spans="1:15" x14ac:dyDescent="0.3">
      <c r="A120" s="41">
        <f t="shared" si="1"/>
        <v>119</v>
      </c>
      <c r="B120" s="3">
        <v>404</v>
      </c>
      <c r="C120" s="4" t="s">
        <v>328</v>
      </c>
      <c r="D120" s="4" t="s">
        <v>537</v>
      </c>
      <c r="E120" s="4" t="s">
        <v>15</v>
      </c>
      <c r="F120" s="4" t="s">
        <v>31</v>
      </c>
      <c r="G120" s="4" t="s">
        <v>53</v>
      </c>
      <c r="H120" s="3">
        <v>0</v>
      </c>
      <c r="I120" s="3">
        <v>99</v>
      </c>
      <c r="J120" s="4" t="s">
        <v>17</v>
      </c>
      <c r="K120" s="3">
        <v>25</v>
      </c>
      <c r="L120" s="4" t="s">
        <v>22</v>
      </c>
      <c r="M120" s="3">
        <v>5.2</v>
      </c>
      <c r="O120">
        <f>MATCH(ROW(A120),Arr!O:O,FALSE)</f>
        <v>117</v>
      </c>
    </row>
    <row r="121" spans="1:15" x14ac:dyDescent="0.3">
      <c r="A121" s="41">
        <f t="shared" si="1"/>
        <v>120</v>
      </c>
      <c r="B121" s="3">
        <v>441</v>
      </c>
      <c r="C121" s="4" t="s">
        <v>25</v>
      </c>
      <c r="D121" s="4" t="s">
        <v>537</v>
      </c>
      <c r="E121" s="4" t="s">
        <v>15</v>
      </c>
      <c r="F121" s="4" t="s">
        <v>101</v>
      </c>
      <c r="G121" s="4" t="s">
        <v>53</v>
      </c>
      <c r="H121" s="3">
        <v>0</v>
      </c>
      <c r="I121" s="3">
        <v>99</v>
      </c>
      <c r="J121" s="4" t="s">
        <v>17</v>
      </c>
      <c r="K121" s="3">
        <v>25</v>
      </c>
      <c r="L121" s="4" t="s">
        <v>22</v>
      </c>
      <c r="M121" s="3">
        <v>5.2</v>
      </c>
      <c r="O121">
        <f>MATCH(ROW(A121),Arr!O:O,FALSE)</f>
        <v>118</v>
      </c>
    </row>
    <row r="122" spans="1:15" x14ac:dyDescent="0.3">
      <c r="A122" s="41">
        <f t="shared" si="1"/>
        <v>121</v>
      </c>
      <c r="B122" s="3">
        <v>406</v>
      </c>
      <c r="C122" s="4" t="s">
        <v>543</v>
      </c>
      <c r="D122" s="4" t="s">
        <v>537</v>
      </c>
      <c r="E122" s="4" t="s">
        <v>15</v>
      </c>
      <c r="F122" s="4" t="s">
        <v>31</v>
      </c>
      <c r="G122" s="4" t="s">
        <v>53</v>
      </c>
      <c r="H122" s="3">
        <v>0</v>
      </c>
      <c r="I122" s="3">
        <v>99</v>
      </c>
      <c r="J122" s="4" t="s">
        <v>17</v>
      </c>
      <c r="K122" s="3">
        <v>25</v>
      </c>
      <c r="L122" s="4" t="s">
        <v>22</v>
      </c>
      <c r="M122" s="3">
        <v>5.2</v>
      </c>
      <c r="O122">
        <f>MATCH(ROW(A122),Arr!O:O,FALSE)</f>
        <v>119</v>
      </c>
    </row>
    <row r="123" spans="1:15" x14ac:dyDescent="0.3">
      <c r="A123" s="41">
        <f t="shared" si="1"/>
        <v>122</v>
      </c>
      <c r="B123" s="3">
        <v>675</v>
      </c>
      <c r="C123" s="4" t="s">
        <v>629</v>
      </c>
      <c r="D123" s="4" t="s">
        <v>537</v>
      </c>
      <c r="E123" s="4" t="s">
        <v>15</v>
      </c>
      <c r="F123" s="4" t="s">
        <v>352</v>
      </c>
      <c r="G123" s="4" t="s">
        <v>53</v>
      </c>
      <c r="H123" s="3">
        <v>0</v>
      </c>
      <c r="I123" s="3">
        <v>99</v>
      </c>
      <c r="J123" s="4" t="s">
        <v>17</v>
      </c>
      <c r="K123" s="3">
        <v>25</v>
      </c>
      <c r="L123" s="4" t="s">
        <v>22</v>
      </c>
      <c r="M123" s="3">
        <v>5.2</v>
      </c>
      <c r="O123">
        <f>MATCH(ROW(A123),Arr!O:O,FALSE)</f>
        <v>120</v>
      </c>
    </row>
    <row r="124" spans="1:15" x14ac:dyDescent="0.3">
      <c r="A124" s="41">
        <f t="shared" si="1"/>
        <v>123</v>
      </c>
      <c r="B124" s="3">
        <v>814</v>
      </c>
      <c r="C124" s="4" t="s">
        <v>132</v>
      </c>
      <c r="D124" s="4" t="s">
        <v>537</v>
      </c>
      <c r="E124" s="4" t="s">
        <v>15</v>
      </c>
      <c r="F124" s="4" t="s">
        <v>501</v>
      </c>
      <c r="G124" s="4" t="s">
        <v>53</v>
      </c>
      <c r="H124" s="3">
        <v>0</v>
      </c>
      <c r="I124" s="3">
        <v>99</v>
      </c>
      <c r="J124" s="4" t="s">
        <v>17</v>
      </c>
      <c r="K124" s="3">
        <v>25</v>
      </c>
      <c r="L124" s="4" t="s">
        <v>22</v>
      </c>
      <c r="M124" s="3">
        <v>5.2</v>
      </c>
      <c r="O124">
        <f>MATCH(ROW(A124),Arr!O:O,FALSE)</f>
        <v>121</v>
      </c>
    </row>
    <row r="125" spans="1:15" x14ac:dyDescent="0.3">
      <c r="A125" s="41">
        <f t="shared" si="1"/>
        <v>124</v>
      </c>
      <c r="B125" s="3">
        <v>452</v>
      </c>
      <c r="C125" s="4" t="s">
        <v>560</v>
      </c>
      <c r="D125" s="4" t="s">
        <v>537</v>
      </c>
      <c r="E125" s="4" t="s">
        <v>15</v>
      </c>
      <c r="F125" s="4" t="s">
        <v>121</v>
      </c>
      <c r="G125" s="4" t="s">
        <v>53</v>
      </c>
      <c r="H125" s="3">
        <v>0</v>
      </c>
      <c r="I125" s="3">
        <v>99</v>
      </c>
      <c r="J125" s="4" t="s">
        <v>17</v>
      </c>
      <c r="K125" s="3">
        <v>25</v>
      </c>
      <c r="L125" s="4" t="s">
        <v>22</v>
      </c>
      <c r="M125" s="3">
        <v>5.2</v>
      </c>
      <c r="O125">
        <f>MATCH(ROW(A125),Arr!O:O,FALSE)</f>
        <v>122</v>
      </c>
    </row>
    <row r="126" spans="1:15" x14ac:dyDescent="0.3">
      <c r="A126" s="41">
        <f t="shared" si="1"/>
        <v>125</v>
      </c>
      <c r="B126" s="3">
        <v>440</v>
      </c>
      <c r="C126" s="4" t="s">
        <v>460</v>
      </c>
      <c r="D126" s="4" t="s">
        <v>537</v>
      </c>
      <c r="E126" s="4" t="s">
        <v>15</v>
      </c>
      <c r="F126" s="4" t="s">
        <v>101</v>
      </c>
      <c r="G126" s="4" t="s">
        <v>53</v>
      </c>
      <c r="H126" s="3">
        <v>0</v>
      </c>
      <c r="I126" s="3">
        <v>99</v>
      </c>
      <c r="J126" s="4" t="s">
        <v>17</v>
      </c>
      <c r="K126" s="3">
        <v>25</v>
      </c>
      <c r="L126" s="4" t="s">
        <v>22</v>
      </c>
      <c r="M126" s="3">
        <v>5.2</v>
      </c>
      <c r="O126">
        <f>MATCH(ROW(A126),Arr!O:O,FALSE)</f>
        <v>123</v>
      </c>
    </row>
    <row r="127" spans="1:15" x14ac:dyDescent="0.3">
      <c r="A127" s="41">
        <f t="shared" si="1"/>
        <v>126</v>
      </c>
      <c r="B127" s="3">
        <v>567</v>
      </c>
      <c r="C127" s="4" t="s">
        <v>548</v>
      </c>
      <c r="D127" s="4" t="s">
        <v>537</v>
      </c>
      <c r="E127" s="4" t="s">
        <v>15</v>
      </c>
      <c r="F127" s="4" t="s">
        <v>252</v>
      </c>
      <c r="G127" s="4" t="s">
        <v>53</v>
      </c>
      <c r="H127" s="3">
        <v>0</v>
      </c>
      <c r="I127" s="3">
        <v>99</v>
      </c>
      <c r="J127" s="4" t="s">
        <v>17</v>
      </c>
      <c r="K127" s="3">
        <v>25</v>
      </c>
      <c r="L127" s="4" t="s">
        <v>22</v>
      </c>
      <c r="M127" s="3">
        <v>5.2</v>
      </c>
      <c r="O127">
        <f>MATCH(ROW(A127),Arr!O:O,FALSE)</f>
        <v>124</v>
      </c>
    </row>
    <row r="128" spans="1:15" x14ac:dyDescent="0.3">
      <c r="A128" s="41">
        <f t="shared" si="1"/>
        <v>127</v>
      </c>
      <c r="B128" s="3">
        <v>591</v>
      </c>
      <c r="C128" s="4" t="s">
        <v>637</v>
      </c>
      <c r="D128" s="4" t="s">
        <v>537</v>
      </c>
      <c r="E128" s="4" t="s">
        <v>15</v>
      </c>
      <c r="F128" s="4" t="s">
        <v>265</v>
      </c>
      <c r="G128" s="4" t="s">
        <v>53</v>
      </c>
      <c r="H128" s="3">
        <v>0</v>
      </c>
      <c r="I128" s="3">
        <v>99</v>
      </c>
      <c r="J128" s="4" t="s">
        <v>17</v>
      </c>
      <c r="K128" s="3">
        <v>25</v>
      </c>
      <c r="L128" s="4" t="s">
        <v>22</v>
      </c>
      <c r="M128" s="3">
        <v>5.2</v>
      </c>
      <c r="O128">
        <f>MATCH(ROW(A128),Arr!O:O,FALSE)</f>
        <v>125</v>
      </c>
    </row>
    <row r="129" spans="1:15" x14ac:dyDescent="0.3">
      <c r="A129" s="41">
        <f t="shared" si="1"/>
        <v>128</v>
      </c>
      <c r="B129" s="3">
        <v>730</v>
      </c>
      <c r="C129" s="4" t="s">
        <v>599</v>
      </c>
      <c r="D129" s="4" t="s">
        <v>537</v>
      </c>
      <c r="E129" s="4" t="s">
        <v>15</v>
      </c>
      <c r="F129" s="4" t="s">
        <v>404</v>
      </c>
      <c r="G129" s="4" t="s">
        <v>53</v>
      </c>
      <c r="H129" s="3">
        <v>0</v>
      </c>
      <c r="I129" s="3">
        <v>99</v>
      </c>
      <c r="J129" s="4" t="s">
        <v>17</v>
      </c>
      <c r="K129" s="3">
        <v>25</v>
      </c>
      <c r="L129" s="4" t="s">
        <v>22</v>
      </c>
      <c r="M129" s="3">
        <v>5.2</v>
      </c>
      <c r="O129">
        <f>MATCH(ROW(A129),Arr!O:O,FALSE)</f>
        <v>126</v>
      </c>
    </row>
    <row r="130" spans="1:15" x14ac:dyDescent="0.3">
      <c r="A130" s="41">
        <f t="shared" si="1"/>
        <v>129</v>
      </c>
      <c r="B130" s="3">
        <v>471</v>
      </c>
      <c r="C130" s="4" t="s">
        <v>525</v>
      </c>
      <c r="D130" s="4" t="s">
        <v>537</v>
      </c>
      <c r="E130" s="4" t="s">
        <v>15</v>
      </c>
      <c r="F130" s="4" t="s">
        <v>124</v>
      </c>
      <c r="G130" s="4" t="s">
        <v>53</v>
      </c>
      <c r="H130" s="3">
        <v>0</v>
      </c>
      <c r="I130" s="3">
        <v>99</v>
      </c>
      <c r="J130" s="4" t="s">
        <v>17</v>
      </c>
      <c r="K130" s="3">
        <v>25</v>
      </c>
      <c r="L130" s="4" t="s">
        <v>22</v>
      </c>
      <c r="M130" s="3">
        <v>5.2</v>
      </c>
      <c r="O130">
        <f>MATCH(ROW(A130),Arr!O:O,FALSE)</f>
        <v>127</v>
      </c>
    </row>
    <row r="131" spans="1:15" x14ac:dyDescent="0.3">
      <c r="A131" s="41">
        <f t="shared" si="1"/>
        <v>130</v>
      </c>
      <c r="B131" s="3">
        <v>813</v>
      </c>
      <c r="C131" s="4" t="s">
        <v>591</v>
      </c>
      <c r="D131" s="4" t="s">
        <v>537</v>
      </c>
      <c r="E131" s="4" t="s">
        <v>15</v>
      </c>
      <c r="F131" s="4" t="s">
        <v>501</v>
      </c>
      <c r="G131" s="4" t="s">
        <v>53</v>
      </c>
      <c r="H131" s="3">
        <v>0</v>
      </c>
      <c r="I131" s="3">
        <v>99</v>
      </c>
      <c r="J131" s="4" t="s">
        <v>17</v>
      </c>
      <c r="K131" s="3">
        <v>25</v>
      </c>
      <c r="L131" s="4" t="s">
        <v>22</v>
      </c>
      <c r="M131" s="3">
        <v>5.2</v>
      </c>
      <c r="O131">
        <f>MATCH(ROW(A131),Arr!O:O,FALSE)</f>
        <v>128</v>
      </c>
    </row>
    <row r="132" spans="1:15" x14ac:dyDescent="0.3">
      <c r="A132" s="41">
        <f t="shared" ref="A132:A195" si="2">A131+1</f>
        <v>131</v>
      </c>
      <c r="B132" s="3">
        <v>407</v>
      </c>
      <c r="C132" s="4" t="s">
        <v>487</v>
      </c>
      <c r="D132" s="4" t="s">
        <v>537</v>
      </c>
      <c r="E132" s="4" t="s">
        <v>15</v>
      </c>
      <c r="F132" s="4" t="s">
        <v>31</v>
      </c>
      <c r="G132" s="4" t="s">
        <v>53</v>
      </c>
      <c r="H132" s="3">
        <v>0</v>
      </c>
      <c r="I132" s="3">
        <v>99</v>
      </c>
      <c r="J132" s="4" t="s">
        <v>17</v>
      </c>
      <c r="K132" s="3">
        <v>25</v>
      </c>
      <c r="L132" s="4" t="s">
        <v>22</v>
      </c>
      <c r="M132" s="3">
        <v>5.2</v>
      </c>
      <c r="O132">
        <f>MATCH(ROW(A132),Arr!O:O,FALSE)</f>
        <v>129</v>
      </c>
    </row>
    <row r="133" spans="1:15" x14ac:dyDescent="0.3">
      <c r="A133" s="41">
        <f t="shared" si="2"/>
        <v>132</v>
      </c>
      <c r="B133" s="3">
        <v>648</v>
      </c>
      <c r="C133" s="4" t="s">
        <v>179</v>
      </c>
      <c r="D133" s="4" t="s">
        <v>537</v>
      </c>
      <c r="E133" s="4" t="s">
        <v>15</v>
      </c>
      <c r="F133" s="4" t="s">
        <v>335</v>
      </c>
      <c r="G133" s="4" t="s">
        <v>53</v>
      </c>
      <c r="H133" s="3">
        <v>0</v>
      </c>
      <c r="I133" s="3">
        <v>99</v>
      </c>
      <c r="J133" s="4" t="s">
        <v>17</v>
      </c>
      <c r="K133" s="3">
        <v>25</v>
      </c>
      <c r="L133" s="4" t="s">
        <v>22</v>
      </c>
      <c r="M133" s="3">
        <v>5.2</v>
      </c>
      <c r="O133">
        <f>MATCH(ROW(A133),Arr!O:O,FALSE)</f>
        <v>130</v>
      </c>
    </row>
    <row r="134" spans="1:15" x14ac:dyDescent="0.3">
      <c r="A134" s="41">
        <f t="shared" si="2"/>
        <v>133</v>
      </c>
      <c r="B134" s="3">
        <v>405</v>
      </c>
      <c r="C134" s="4" t="s">
        <v>195</v>
      </c>
      <c r="D134" s="4" t="s">
        <v>537</v>
      </c>
      <c r="E134" s="4" t="s">
        <v>15</v>
      </c>
      <c r="F134" s="4" t="s">
        <v>31</v>
      </c>
      <c r="G134" s="4" t="s">
        <v>53</v>
      </c>
      <c r="H134" s="3">
        <v>0</v>
      </c>
      <c r="I134" s="3">
        <v>99</v>
      </c>
      <c r="J134" s="4" t="s">
        <v>17</v>
      </c>
      <c r="K134" s="3">
        <v>25</v>
      </c>
      <c r="L134" s="4" t="s">
        <v>22</v>
      </c>
      <c r="M134" s="3">
        <v>5.2</v>
      </c>
      <c r="O134">
        <f>MATCH(ROW(A134),Arr!O:O,FALSE)</f>
        <v>131</v>
      </c>
    </row>
    <row r="135" spans="1:15" x14ac:dyDescent="0.3">
      <c r="A135" s="41">
        <f t="shared" si="2"/>
        <v>134</v>
      </c>
      <c r="B135" s="3">
        <v>590</v>
      </c>
      <c r="C135" s="4" t="s">
        <v>412</v>
      </c>
      <c r="D135" s="4" t="s">
        <v>537</v>
      </c>
      <c r="E135" s="4" t="s">
        <v>15</v>
      </c>
      <c r="F135" s="4" t="s">
        <v>265</v>
      </c>
      <c r="G135" s="4" t="s">
        <v>53</v>
      </c>
      <c r="H135" s="3">
        <v>0</v>
      </c>
      <c r="I135" s="3">
        <v>99</v>
      </c>
      <c r="J135" s="4" t="s">
        <v>17</v>
      </c>
      <c r="K135" s="3">
        <v>25</v>
      </c>
      <c r="L135" s="4" t="s">
        <v>22</v>
      </c>
      <c r="M135" s="3">
        <v>5.2</v>
      </c>
      <c r="O135">
        <f>MATCH(ROW(A135),Arr!O:O,FALSE)</f>
        <v>132</v>
      </c>
    </row>
    <row r="136" spans="1:15" x14ac:dyDescent="0.3">
      <c r="A136" s="41">
        <f t="shared" si="2"/>
        <v>135</v>
      </c>
      <c r="B136" s="3">
        <v>565</v>
      </c>
      <c r="C136" s="4" t="s">
        <v>579</v>
      </c>
      <c r="D136" s="4" t="s">
        <v>537</v>
      </c>
      <c r="E136" s="4" t="s">
        <v>15</v>
      </c>
      <c r="F136" s="4" t="s">
        <v>252</v>
      </c>
      <c r="G136" s="4" t="s">
        <v>53</v>
      </c>
      <c r="H136" s="3">
        <v>0</v>
      </c>
      <c r="I136" s="3">
        <v>99</v>
      </c>
      <c r="J136" s="4" t="s">
        <v>17</v>
      </c>
      <c r="K136" s="3">
        <v>25</v>
      </c>
      <c r="L136" s="4" t="s">
        <v>22</v>
      </c>
      <c r="M136" s="3">
        <v>5.2</v>
      </c>
      <c r="O136">
        <f>MATCH(ROW(A136),Arr!O:O,FALSE)</f>
        <v>137</v>
      </c>
    </row>
    <row r="137" spans="1:15" x14ac:dyDescent="0.3">
      <c r="A137" s="41">
        <f t="shared" si="2"/>
        <v>136</v>
      </c>
      <c r="B137" s="3">
        <v>768</v>
      </c>
      <c r="C137" s="4" t="s">
        <v>187</v>
      </c>
      <c r="D137" s="4" t="s">
        <v>537</v>
      </c>
      <c r="E137" s="4" t="s">
        <v>15</v>
      </c>
      <c r="F137" s="4" t="s">
        <v>438</v>
      </c>
      <c r="G137" s="4" t="s">
        <v>186</v>
      </c>
      <c r="H137" s="3">
        <v>0</v>
      </c>
      <c r="I137" s="3">
        <v>56</v>
      </c>
      <c r="J137" s="4" t="s">
        <v>17</v>
      </c>
      <c r="K137" s="3">
        <v>25</v>
      </c>
      <c r="L137" s="4" t="s">
        <v>22</v>
      </c>
      <c r="M137" s="3">
        <v>0</v>
      </c>
      <c r="O137">
        <f>MATCH(ROW(A137),Arr!O:O,FALSE)</f>
        <v>138</v>
      </c>
    </row>
    <row r="138" spans="1:15" x14ac:dyDescent="0.3">
      <c r="A138" s="41">
        <f t="shared" si="2"/>
        <v>137</v>
      </c>
      <c r="B138" s="3">
        <v>508</v>
      </c>
      <c r="C138" s="4" t="s">
        <v>204</v>
      </c>
      <c r="D138" s="4" t="s">
        <v>537</v>
      </c>
      <c r="E138" s="4" t="s">
        <v>15</v>
      </c>
      <c r="F138" s="4" t="s">
        <v>185</v>
      </c>
      <c r="G138" s="4" t="s">
        <v>186</v>
      </c>
      <c r="H138" s="3">
        <v>0</v>
      </c>
      <c r="I138" s="3">
        <v>56</v>
      </c>
      <c r="J138" s="4" t="s">
        <v>17</v>
      </c>
      <c r="K138" s="3">
        <v>25</v>
      </c>
      <c r="L138" s="4" t="s">
        <v>22</v>
      </c>
      <c r="M138" s="3">
        <v>0</v>
      </c>
      <c r="O138">
        <f>MATCH(ROW(A138),Arr!O:O,FALSE)</f>
        <v>139</v>
      </c>
    </row>
    <row r="139" spans="1:15" x14ac:dyDescent="0.3">
      <c r="A139" s="41">
        <f t="shared" si="2"/>
        <v>138</v>
      </c>
      <c r="B139" s="3">
        <v>688</v>
      </c>
      <c r="C139" s="4" t="s">
        <v>71</v>
      </c>
      <c r="D139" s="4" t="s">
        <v>537</v>
      </c>
      <c r="E139" s="4" t="s">
        <v>15</v>
      </c>
      <c r="F139" s="4" t="s">
        <v>366</v>
      </c>
      <c r="G139" s="4" t="s">
        <v>186</v>
      </c>
      <c r="H139" s="3">
        <v>0</v>
      </c>
      <c r="I139" s="3">
        <v>56</v>
      </c>
      <c r="J139" s="4" t="s">
        <v>17</v>
      </c>
      <c r="K139" s="3">
        <v>25</v>
      </c>
      <c r="L139" s="4" t="s">
        <v>22</v>
      </c>
      <c r="M139" s="3">
        <v>0</v>
      </c>
      <c r="O139">
        <f>MATCH(ROW(A139),Arr!O:O,FALSE)</f>
        <v>140</v>
      </c>
    </row>
    <row r="140" spans="1:15" x14ac:dyDescent="0.3">
      <c r="A140" s="41">
        <f t="shared" si="2"/>
        <v>139</v>
      </c>
      <c r="B140" s="3">
        <v>507</v>
      </c>
      <c r="C140" s="4" t="s">
        <v>631</v>
      </c>
      <c r="D140" s="4" t="s">
        <v>537</v>
      </c>
      <c r="E140" s="4" t="s">
        <v>15</v>
      </c>
      <c r="F140" s="4" t="s">
        <v>185</v>
      </c>
      <c r="G140" s="4" t="s">
        <v>186</v>
      </c>
      <c r="H140" s="3">
        <v>0</v>
      </c>
      <c r="I140" s="3">
        <v>56</v>
      </c>
      <c r="J140" s="4" t="s">
        <v>17</v>
      </c>
      <c r="K140" s="3">
        <v>25</v>
      </c>
      <c r="L140" s="4" t="s">
        <v>22</v>
      </c>
      <c r="M140" s="3">
        <v>0</v>
      </c>
      <c r="O140">
        <f>MATCH(ROW(A140),Arr!O:O,FALSE)</f>
        <v>141</v>
      </c>
    </row>
    <row r="141" spans="1:15" x14ac:dyDescent="0.3">
      <c r="A141" s="41">
        <f t="shared" si="2"/>
        <v>140</v>
      </c>
      <c r="B141" s="3">
        <v>435</v>
      </c>
      <c r="C141" s="4" t="s">
        <v>553</v>
      </c>
      <c r="D141" s="4" t="s">
        <v>537</v>
      </c>
      <c r="E141" s="4" t="s">
        <v>15</v>
      </c>
      <c r="F141" s="4" t="s">
        <v>86</v>
      </c>
      <c r="G141" s="4" t="s">
        <v>73</v>
      </c>
      <c r="H141" s="3">
        <v>0</v>
      </c>
      <c r="I141" s="3">
        <v>59</v>
      </c>
      <c r="J141" s="4" t="s">
        <v>17</v>
      </c>
      <c r="K141" s="3">
        <v>25</v>
      </c>
      <c r="L141" s="4" t="s">
        <v>22</v>
      </c>
      <c r="M141" s="3">
        <v>0</v>
      </c>
      <c r="O141">
        <f>MATCH(ROW(A141),Arr!O:O,FALSE)</f>
        <v>142</v>
      </c>
    </row>
    <row r="142" spans="1:15" x14ac:dyDescent="0.3">
      <c r="A142" s="41">
        <f t="shared" si="2"/>
        <v>141</v>
      </c>
      <c r="B142" s="3">
        <v>530</v>
      </c>
      <c r="C142" s="4" t="s">
        <v>559</v>
      </c>
      <c r="D142" s="4" t="s">
        <v>537</v>
      </c>
      <c r="E142" s="4" t="s">
        <v>15</v>
      </c>
      <c r="F142" s="4" t="s">
        <v>196</v>
      </c>
      <c r="G142" s="4" t="s">
        <v>73</v>
      </c>
      <c r="H142" s="3">
        <v>0</v>
      </c>
      <c r="I142" s="3">
        <v>59</v>
      </c>
      <c r="J142" s="4" t="s">
        <v>17</v>
      </c>
      <c r="K142" s="3">
        <v>25</v>
      </c>
      <c r="L142" s="4" t="s">
        <v>22</v>
      </c>
      <c r="M142" s="3">
        <v>0</v>
      </c>
      <c r="O142">
        <f>MATCH(ROW(A142),Arr!O:O,FALSE)</f>
        <v>143</v>
      </c>
    </row>
    <row r="143" spans="1:15" x14ac:dyDescent="0.3">
      <c r="A143" s="41">
        <f t="shared" si="2"/>
        <v>142</v>
      </c>
      <c r="B143" s="3">
        <v>523</v>
      </c>
      <c r="C143" s="4" t="s">
        <v>187</v>
      </c>
      <c r="D143" s="4" t="s">
        <v>537</v>
      </c>
      <c r="E143" s="4" t="s">
        <v>15</v>
      </c>
      <c r="F143" s="4" t="s">
        <v>196</v>
      </c>
      <c r="G143" s="4" t="s">
        <v>73</v>
      </c>
      <c r="H143" s="3">
        <v>0</v>
      </c>
      <c r="I143" s="3">
        <v>59</v>
      </c>
      <c r="J143" s="4" t="s">
        <v>17</v>
      </c>
      <c r="K143" s="3">
        <v>25</v>
      </c>
      <c r="L143" s="4" t="s">
        <v>22</v>
      </c>
      <c r="M143" s="3">
        <v>0</v>
      </c>
      <c r="O143">
        <f>MATCH(ROW(A143),Arr!O:O,FALSE)</f>
        <v>144</v>
      </c>
    </row>
    <row r="144" spans="1:15" x14ac:dyDescent="0.3">
      <c r="A144" s="41">
        <f t="shared" si="2"/>
        <v>143</v>
      </c>
      <c r="B144" s="3">
        <v>433</v>
      </c>
      <c r="C144" s="4" t="s">
        <v>495</v>
      </c>
      <c r="D144" s="4" t="s">
        <v>537</v>
      </c>
      <c r="E144" s="4" t="s">
        <v>15</v>
      </c>
      <c r="F144" s="4" t="s">
        <v>86</v>
      </c>
      <c r="G144" s="4" t="s">
        <v>73</v>
      </c>
      <c r="H144" s="3">
        <v>0</v>
      </c>
      <c r="I144" s="3">
        <v>59</v>
      </c>
      <c r="J144" s="4" t="s">
        <v>17</v>
      </c>
      <c r="K144" s="3">
        <v>25</v>
      </c>
      <c r="L144" s="4" t="s">
        <v>22</v>
      </c>
      <c r="M144" s="3">
        <v>0</v>
      </c>
      <c r="O144">
        <f>MATCH(ROW(A144),Arr!O:O,FALSE)</f>
        <v>145</v>
      </c>
    </row>
    <row r="145" spans="1:15" x14ac:dyDescent="0.3">
      <c r="A145" s="41">
        <f t="shared" si="2"/>
        <v>144</v>
      </c>
      <c r="B145" s="3">
        <v>529</v>
      </c>
      <c r="C145" s="4" t="s">
        <v>106</v>
      </c>
      <c r="D145" s="4" t="s">
        <v>537</v>
      </c>
      <c r="E145" s="4" t="s">
        <v>15</v>
      </c>
      <c r="F145" s="4" t="s">
        <v>196</v>
      </c>
      <c r="G145" s="4" t="s">
        <v>73</v>
      </c>
      <c r="H145" s="3">
        <v>0</v>
      </c>
      <c r="I145" s="3">
        <v>59</v>
      </c>
      <c r="J145" s="4" t="s">
        <v>17</v>
      </c>
      <c r="K145" s="3">
        <v>25</v>
      </c>
      <c r="L145" s="4" t="s">
        <v>22</v>
      </c>
      <c r="M145" s="3">
        <v>0</v>
      </c>
      <c r="O145">
        <f>MATCH(ROW(A145),Arr!O:O,FALSE)</f>
        <v>146</v>
      </c>
    </row>
    <row r="146" spans="1:15" x14ac:dyDescent="0.3">
      <c r="A146" s="41">
        <f t="shared" si="2"/>
        <v>145</v>
      </c>
      <c r="B146" s="3">
        <v>625</v>
      </c>
      <c r="C146" s="4" t="s">
        <v>480</v>
      </c>
      <c r="D146" s="4" t="s">
        <v>537</v>
      </c>
      <c r="E146" s="4" t="s">
        <v>15</v>
      </c>
      <c r="F146" s="4" t="s">
        <v>313</v>
      </c>
      <c r="G146" s="4" t="s">
        <v>73</v>
      </c>
      <c r="H146" s="3">
        <v>0</v>
      </c>
      <c r="I146" s="3">
        <v>59</v>
      </c>
      <c r="J146" s="4" t="s">
        <v>17</v>
      </c>
      <c r="K146" s="3">
        <v>25</v>
      </c>
      <c r="L146" s="4" t="s">
        <v>22</v>
      </c>
      <c r="M146" s="3">
        <v>0</v>
      </c>
      <c r="O146">
        <f>MATCH(ROW(A146),Arr!O:O,FALSE)</f>
        <v>147</v>
      </c>
    </row>
    <row r="147" spans="1:15" x14ac:dyDescent="0.3">
      <c r="A147" s="41">
        <f t="shared" si="2"/>
        <v>146</v>
      </c>
      <c r="B147" s="3">
        <v>837</v>
      </c>
      <c r="C147" s="4" t="s">
        <v>480</v>
      </c>
      <c r="D147" s="4" t="s">
        <v>537</v>
      </c>
      <c r="E147" s="4" t="s">
        <v>15</v>
      </c>
      <c r="F147" s="4" t="s">
        <v>530</v>
      </c>
      <c r="G147" s="4" t="s">
        <v>73</v>
      </c>
      <c r="H147" s="3">
        <v>0</v>
      </c>
      <c r="I147" s="3">
        <v>59</v>
      </c>
      <c r="J147" s="4" t="s">
        <v>28</v>
      </c>
      <c r="K147" s="3">
        <v>25</v>
      </c>
      <c r="L147" s="4" t="s">
        <v>22</v>
      </c>
      <c r="M147" s="3">
        <v>0</v>
      </c>
      <c r="O147">
        <f>MATCH(ROW(A147),Arr!O:O,FALSE)</f>
        <v>148</v>
      </c>
    </row>
    <row r="148" spans="1:15" x14ac:dyDescent="0.3">
      <c r="A148" s="41">
        <f t="shared" si="2"/>
        <v>147</v>
      </c>
      <c r="B148" s="3">
        <v>418</v>
      </c>
      <c r="C148" s="4" t="s">
        <v>550</v>
      </c>
      <c r="D148" s="4" t="s">
        <v>537</v>
      </c>
      <c r="E148" s="4" t="s">
        <v>15</v>
      </c>
      <c r="F148" s="4" t="s">
        <v>72</v>
      </c>
      <c r="G148" s="4" t="s">
        <v>73</v>
      </c>
      <c r="H148" s="3">
        <v>0</v>
      </c>
      <c r="I148" s="3">
        <v>59</v>
      </c>
      <c r="J148" s="4" t="s">
        <v>17</v>
      </c>
      <c r="K148" s="3">
        <v>25</v>
      </c>
      <c r="L148" s="4" t="s">
        <v>22</v>
      </c>
      <c r="M148" s="3">
        <v>0</v>
      </c>
      <c r="O148">
        <f>MATCH(ROW(A148),Arr!O:O,FALSE)</f>
        <v>149</v>
      </c>
    </row>
    <row r="149" spans="1:15" x14ac:dyDescent="0.3">
      <c r="A149" s="41">
        <f t="shared" si="2"/>
        <v>148</v>
      </c>
      <c r="B149" s="3">
        <v>526</v>
      </c>
      <c r="C149" s="4" t="s">
        <v>113</v>
      </c>
      <c r="D149" s="4" t="s">
        <v>537</v>
      </c>
      <c r="E149" s="4" t="s">
        <v>15</v>
      </c>
      <c r="F149" s="4" t="s">
        <v>196</v>
      </c>
      <c r="G149" s="4" t="s">
        <v>73</v>
      </c>
      <c r="H149" s="3">
        <v>0</v>
      </c>
      <c r="I149" s="3">
        <v>59</v>
      </c>
      <c r="J149" s="4" t="s">
        <v>17</v>
      </c>
      <c r="K149" s="3">
        <v>25</v>
      </c>
      <c r="L149" s="4" t="s">
        <v>22</v>
      </c>
      <c r="M149" s="3">
        <v>0</v>
      </c>
      <c r="O149">
        <f>MATCH(ROW(A149),Arr!O:O,FALSE)</f>
        <v>150</v>
      </c>
    </row>
    <row r="150" spans="1:15" x14ac:dyDescent="0.3">
      <c r="A150" s="41">
        <f t="shared" si="2"/>
        <v>149</v>
      </c>
      <c r="B150" s="3">
        <v>444</v>
      </c>
      <c r="C150" s="4" t="s">
        <v>473</v>
      </c>
      <c r="D150" s="4" t="s">
        <v>537</v>
      </c>
      <c r="E150" s="4" t="s">
        <v>15</v>
      </c>
      <c r="F150" s="4" t="s">
        <v>105</v>
      </c>
      <c r="G150" s="4" t="s">
        <v>73</v>
      </c>
      <c r="H150" s="3">
        <v>0</v>
      </c>
      <c r="I150" s="3">
        <v>59</v>
      </c>
      <c r="J150" s="4" t="s">
        <v>17</v>
      </c>
      <c r="K150" s="3">
        <v>25</v>
      </c>
      <c r="L150" s="4" t="s">
        <v>22</v>
      </c>
      <c r="M150" s="3">
        <v>0</v>
      </c>
      <c r="O150">
        <f>MATCH(ROW(A150),Arr!O:O,FALSE)</f>
        <v>151</v>
      </c>
    </row>
    <row r="151" spans="1:15" x14ac:dyDescent="0.3">
      <c r="A151" s="41">
        <f t="shared" si="2"/>
        <v>150</v>
      </c>
      <c r="B151" s="3">
        <v>511</v>
      </c>
      <c r="C151" s="4" t="s">
        <v>473</v>
      </c>
      <c r="D151" s="4" t="s">
        <v>537</v>
      </c>
      <c r="E151" s="4" t="s">
        <v>15</v>
      </c>
      <c r="F151" s="4" t="s">
        <v>188</v>
      </c>
      <c r="G151" s="4" t="s">
        <v>73</v>
      </c>
      <c r="H151" s="3">
        <v>0</v>
      </c>
      <c r="I151" s="3">
        <v>59</v>
      </c>
      <c r="J151" s="4" t="s">
        <v>17</v>
      </c>
      <c r="K151" s="3">
        <v>25</v>
      </c>
      <c r="L151" s="4" t="s">
        <v>22</v>
      </c>
      <c r="M151" s="3">
        <v>0</v>
      </c>
      <c r="O151">
        <f>MATCH(ROW(A151),Arr!O:O,FALSE)</f>
        <v>152</v>
      </c>
    </row>
    <row r="152" spans="1:15" x14ac:dyDescent="0.3">
      <c r="A152" s="41">
        <f t="shared" si="2"/>
        <v>151</v>
      </c>
      <c r="B152" s="3">
        <v>831</v>
      </c>
      <c r="C152" s="4" t="s">
        <v>37</v>
      </c>
      <c r="D152" s="4" t="s">
        <v>537</v>
      </c>
      <c r="E152" s="4" t="s">
        <v>15</v>
      </c>
      <c r="F152" s="4" t="s">
        <v>520</v>
      </c>
      <c r="G152" s="4" t="s">
        <v>73</v>
      </c>
      <c r="H152" s="3">
        <v>0</v>
      </c>
      <c r="I152" s="3">
        <v>59</v>
      </c>
      <c r="J152" s="4" t="s">
        <v>17</v>
      </c>
      <c r="K152" s="3">
        <v>25</v>
      </c>
      <c r="L152" s="4" t="s">
        <v>22</v>
      </c>
      <c r="M152" s="3">
        <v>0</v>
      </c>
      <c r="O152">
        <f>MATCH(ROW(A152),Arr!O:O,FALSE)</f>
        <v>153</v>
      </c>
    </row>
    <row r="153" spans="1:15" x14ac:dyDescent="0.3">
      <c r="A153" s="41">
        <f t="shared" si="2"/>
        <v>152</v>
      </c>
      <c r="B153" s="3">
        <v>527</v>
      </c>
      <c r="C153" s="4" t="s">
        <v>328</v>
      </c>
      <c r="D153" s="4" t="s">
        <v>537</v>
      </c>
      <c r="E153" s="4" t="s">
        <v>15</v>
      </c>
      <c r="F153" s="4" t="s">
        <v>196</v>
      </c>
      <c r="G153" s="4" t="s">
        <v>73</v>
      </c>
      <c r="H153" s="3">
        <v>0</v>
      </c>
      <c r="I153" s="3">
        <v>59</v>
      </c>
      <c r="J153" s="4" t="s">
        <v>17</v>
      </c>
      <c r="K153" s="3">
        <v>25</v>
      </c>
      <c r="L153" s="4" t="s">
        <v>22</v>
      </c>
      <c r="M153" s="3">
        <v>0</v>
      </c>
      <c r="O153">
        <f>MATCH(ROW(A153),Arr!O:O,FALSE)</f>
        <v>154</v>
      </c>
    </row>
    <row r="154" spans="1:15" x14ac:dyDescent="0.3">
      <c r="A154" s="41">
        <f t="shared" si="2"/>
        <v>153</v>
      </c>
      <c r="B154" s="3">
        <v>539</v>
      </c>
      <c r="C154" s="4" t="s">
        <v>239</v>
      </c>
      <c r="D154" s="4" t="s">
        <v>537</v>
      </c>
      <c r="E154" s="4" t="s">
        <v>15</v>
      </c>
      <c r="F154" s="4" t="s">
        <v>218</v>
      </c>
      <c r="G154" s="4" t="s">
        <v>73</v>
      </c>
      <c r="H154" s="3">
        <v>0</v>
      </c>
      <c r="I154" s="3">
        <v>59</v>
      </c>
      <c r="J154" s="4" t="s">
        <v>17</v>
      </c>
      <c r="K154" s="3">
        <v>25</v>
      </c>
      <c r="L154" s="4" t="s">
        <v>22</v>
      </c>
      <c r="M154" s="3">
        <v>0</v>
      </c>
      <c r="O154">
        <f>MATCH(ROW(A154),Arr!O:O,FALSE)</f>
        <v>155</v>
      </c>
    </row>
    <row r="155" spans="1:15" x14ac:dyDescent="0.3">
      <c r="A155" s="41">
        <f t="shared" si="2"/>
        <v>154</v>
      </c>
      <c r="B155" s="3">
        <v>537</v>
      </c>
      <c r="C155" s="4" t="s">
        <v>132</v>
      </c>
      <c r="D155" s="4" t="s">
        <v>537</v>
      </c>
      <c r="E155" s="4" t="s">
        <v>15</v>
      </c>
      <c r="F155" s="4" t="s">
        <v>196</v>
      </c>
      <c r="G155" s="4" t="s">
        <v>73</v>
      </c>
      <c r="H155" s="3">
        <v>0</v>
      </c>
      <c r="I155" s="3">
        <v>59</v>
      </c>
      <c r="J155" s="4" t="s">
        <v>17</v>
      </c>
      <c r="K155" s="3">
        <v>25</v>
      </c>
      <c r="L155" s="4" t="s">
        <v>22</v>
      </c>
      <c r="M155" s="3">
        <v>0</v>
      </c>
      <c r="O155">
        <f>MATCH(ROW(A155),Arr!O:O,FALSE)</f>
        <v>156</v>
      </c>
    </row>
    <row r="156" spans="1:15" x14ac:dyDescent="0.3">
      <c r="A156" s="41">
        <f t="shared" si="2"/>
        <v>155</v>
      </c>
      <c r="B156" s="3">
        <v>512</v>
      </c>
      <c r="C156" s="4" t="s">
        <v>477</v>
      </c>
      <c r="D156" s="4" t="s">
        <v>537</v>
      </c>
      <c r="E156" s="4" t="s">
        <v>15</v>
      </c>
      <c r="F156" s="4" t="s">
        <v>188</v>
      </c>
      <c r="G156" s="4" t="s">
        <v>73</v>
      </c>
      <c r="H156" s="3">
        <v>0</v>
      </c>
      <c r="I156" s="3">
        <v>59</v>
      </c>
      <c r="J156" s="4" t="s">
        <v>17</v>
      </c>
      <c r="K156" s="3">
        <v>25</v>
      </c>
      <c r="L156" s="4" t="s">
        <v>22</v>
      </c>
      <c r="M156" s="3">
        <v>0</v>
      </c>
      <c r="O156">
        <f>MATCH(ROW(A156),Arr!O:O,FALSE)</f>
        <v>157</v>
      </c>
    </row>
    <row r="157" spans="1:15" x14ac:dyDescent="0.3">
      <c r="A157" s="41">
        <f t="shared" si="2"/>
        <v>156</v>
      </c>
      <c r="B157" s="3">
        <v>538</v>
      </c>
      <c r="C157" s="4" t="s">
        <v>142</v>
      </c>
      <c r="D157" s="4" t="s">
        <v>537</v>
      </c>
      <c r="E157" s="4" t="s">
        <v>15</v>
      </c>
      <c r="F157" s="4" t="s">
        <v>196</v>
      </c>
      <c r="G157" s="4" t="s">
        <v>73</v>
      </c>
      <c r="H157" s="3">
        <v>0</v>
      </c>
      <c r="I157" s="3">
        <v>59</v>
      </c>
      <c r="J157" s="4" t="s">
        <v>17</v>
      </c>
      <c r="K157" s="3">
        <v>25</v>
      </c>
      <c r="L157" s="4" t="s">
        <v>22</v>
      </c>
      <c r="M157" s="3">
        <v>0</v>
      </c>
      <c r="O157">
        <f>MATCH(ROW(A157),Arr!O:O,FALSE)</f>
        <v>158</v>
      </c>
    </row>
    <row r="158" spans="1:15" x14ac:dyDescent="0.3">
      <c r="A158" s="41">
        <f t="shared" si="2"/>
        <v>157</v>
      </c>
      <c r="B158" s="3">
        <v>836</v>
      </c>
      <c r="C158" s="4" t="s">
        <v>238</v>
      </c>
      <c r="D158" s="4" t="s">
        <v>537</v>
      </c>
      <c r="E158" s="4" t="s">
        <v>15</v>
      </c>
      <c r="F158" s="4" t="s">
        <v>530</v>
      </c>
      <c r="G158" s="4" t="s">
        <v>73</v>
      </c>
      <c r="H158" s="3">
        <v>0</v>
      </c>
      <c r="I158" s="3">
        <v>59</v>
      </c>
      <c r="J158" s="4" t="s">
        <v>28</v>
      </c>
      <c r="K158" s="3">
        <v>25</v>
      </c>
      <c r="L158" s="4" t="s">
        <v>22</v>
      </c>
      <c r="M158" s="3">
        <v>0</v>
      </c>
      <c r="O158">
        <f>MATCH(ROW(A158),Arr!O:O,FALSE)</f>
        <v>159</v>
      </c>
    </row>
    <row r="159" spans="1:15" x14ac:dyDescent="0.3">
      <c r="A159" s="41">
        <f t="shared" si="2"/>
        <v>158</v>
      </c>
      <c r="B159" s="3">
        <v>690</v>
      </c>
      <c r="C159" s="4" t="s">
        <v>238</v>
      </c>
      <c r="D159" s="4" t="s">
        <v>537</v>
      </c>
      <c r="E159" s="4" t="s">
        <v>15</v>
      </c>
      <c r="F159" s="4" t="s">
        <v>366</v>
      </c>
      <c r="G159" s="4" t="s">
        <v>73</v>
      </c>
      <c r="H159" s="3">
        <v>0</v>
      </c>
      <c r="I159" s="3">
        <v>59</v>
      </c>
      <c r="J159" s="4" t="s">
        <v>17</v>
      </c>
      <c r="K159" s="3">
        <v>25</v>
      </c>
      <c r="L159" s="4" t="s">
        <v>22</v>
      </c>
      <c r="M159" s="3">
        <v>0</v>
      </c>
      <c r="O159">
        <f>MATCH(ROW(A159),Arr!O:O,FALSE)</f>
        <v>160</v>
      </c>
    </row>
    <row r="160" spans="1:15" x14ac:dyDescent="0.3">
      <c r="A160" s="41">
        <f t="shared" si="2"/>
        <v>159</v>
      </c>
      <c r="B160" s="3">
        <v>871</v>
      </c>
      <c r="C160" s="4" t="s">
        <v>634</v>
      </c>
      <c r="D160" s="4" t="s">
        <v>537</v>
      </c>
      <c r="E160" s="4" t="s">
        <v>15</v>
      </c>
      <c r="F160" s="4" t="s">
        <v>490</v>
      </c>
      <c r="G160" s="4" t="s">
        <v>73</v>
      </c>
      <c r="H160" s="3">
        <v>0</v>
      </c>
      <c r="I160" s="3">
        <v>59</v>
      </c>
      <c r="J160" s="4" t="s">
        <v>28</v>
      </c>
      <c r="K160" s="3">
        <v>25</v>
      </c>
      <c r="L160" s="4" t="s">
        <v>22</v>
      </c>
      <c r="M160" s="3">
        <v>0</v>
      </c>
      <c r="O160">
        <f>MATCH(ROW(A160),Arr!O:O,FALSE)</f>
        <v>161</v>
      </c>
    </row>
    <row r="161" spans="1:15" x14ac:dyDescent="0.3">
      <c r="A161" s="41">
        <f t="shared" si="2"/>
        <v>160</v>
      </c>
      <c r="B161" s="3">
        <v>528</v>
      </c>
      <c r="C161" s="4" t="s">
        <v>548</v>
      </c>
      <c r="D161" s="4" t="s">
        <v>537</v>
      </c>
      <c r="E161" s="4" t="s">
        <v>15</v>
      </c>
      <c r="F161" s="4" t="s">
        <v>196</v>
      </c>
      <c r="G161" s="4" t="s">
        <v>73</v>
      </c>
      <c r="H161" s="3">
        <v>0</v>
      </c>
      <c r="I161" s="3">
        <v>59</v>
      </c>
      <c r="J161" s="4" t="s">
        <v>17</v>
      </c>
      <c r="K161" s="3">
        <v>25</v>
      </c>
      <c r="L161" s="4" t="s">
        <v>22</v>
      </c>
      <c r="M161" s="3">
        <v>0</v>
      </c>
      <c r="O161">
        <f>MATCH(ROW(A161),Arr!O:O,FALSE)</f>
        <v>162</v>
      </c>
    </row>
    <row r="162" spans="1:15" x14ac:dyDescent="0.3">
      <c r="A162" s="41">
        <f t="shared" si="2"/>
        <v>161</v>
      </c>
      <c r="B162" s="3">
        <v>495</v>
      </c>
      <c r="C162" s="4" t="s">
        <v>625</v>
      </c>
      <c r="D162" s="4" t="s">
        <v>537</v>
      </c>
      <c r="E162" s="4" t="s">
        <v>15</v>
      </c>
      <c r="F162" s="4" t="s">
        <v>167</v>
      </c>
      <c r="G162" s="4" t="s">
        <v>73</v>
      </c>
      <c r="H162" s="3">
        <v>0</v>
      </c>
      <c r="I162" s="3">
        <v>59</v>
      </c>
      <c r="J162" s="4" t="s">
        <v>17</v>
      </c>
      <c r="K162" s="3">
        <v>25</v>
      </c>
      <c r="L162" s="4" t="s">
        <v>22</v>
      </c>
      <c r="M162" s="3">
        <v>0</v>
      </c>
      <c r="O162">
        <f>MATCH(ROW(A162),Arr!O:O,FALSE)</f>
        <v>163</v>
      </c>
    </row>
    <row r="163" spans="1:15" x14ac:dyDescent="0.3">
      <c r="A163" s="41">
        <f t="shared" si="2"/>
        <v>162</v>
      </c>
      <c r="B163" s="3">
        <v>443</v>
      </c>
      <c r="C163" s="4" t="s">
        <v>556</v>
      </c>
      <c r="D163" s="4" t="s">
        <v>537</v>
      </c>
      <c r="E163" s="4" t="s">
        <v>15</v>
      </c>
      <c r="F163" s="4" t="s">
        <v>105</v>
      </c>
      <c r="G163" s="4" t="s">
        <v>73</v>
      </c>
      <c r="H163" s="3">
        <v>0</v>
      </c>
      <c r="I163" s="3">
        <v>59</v>
      </c>
      <c r="J163" s="4" t="s">
        <v>17</v>
      </c>
      <c r="K163" s="3">
        <v>25</v>
      </c>
      <c r="L163" s="4" t="s">
        <v>22</v>
      </c>
      <c r="M163" s="3">
        <v>0</v>
      </c>
      <c r="O163">
        <f>MATCH(ROW(A163),Arr!O:O,FALSE)</f>
        <v>164</v>
      </c>
    </row>
    <row r="164" spans="1:15" x14ac:dyDescent="0.3">
      <c r="A164" s="41">
        <f t="shared" si="2"/>
        <v>163</v>
      </c>
      <c r="B164" s="3">
        <v>510</v>
      </c>
      <c r="C164" s="4" t="s">
        <v>104</v>
      </c>
      <c r="D164" s="4" t="s">
        <v>537</v>
      </c>
      <c r="E164" s="4" t="s">
        <v>15</v>
      </c>
      <c r="F164" s="4" t="s">
        <v>188</v>
      </c>
      <c r="G164" s="4" t="s">
        <v>73</v>
      </c>
      <c r="H164" s="3">
        <v>0</v>
      </c>
      <c r="I164" s="3">
        <v>59</v>
      </c>
      <c r="J164" s="4" t="s">
        <v>17</v>
      </c>
      <c r="K164" s="3">
        <v>25</v>
      </c>
      <c r="L164" s="4" t="s">
        <v>22</v>
      </c>
      <c r="M164" s="3">
        <v>0</v>
      </c>
      <c r="O164">
        <f>MATCH(ROW(A164),Arr!O:O,FALSE)</f>
        <v>165</v>
      </c>
    </row>
    <row r="165" spans="1:15" x14ac:dyDescent="0.3">
      <c r="A165" s="41">
        <f t="shared" si="2"/>
        <v>164</v>
      </c>
      <c r="B165" s="3">
        <v>524</v>
      </c>
      <c r="C165" s="4" t="s">
        <v>272</v>
      </c>
      <c r="D165" s="4" t="s">
        <v>537</v>
      </c>
      <c r="E165" s="4" t="s">
        <v>15</v>
      </c>
      <c r="F165" s="4" t="s">
        <v>196</v>
      </c>
      <c r="G165" s="4" t="s">
        <v>73</v>
      </c>
      <c r="H165" s="3">
        <v>0</v>
      </c>
      <c r="I165" s="3">
        <v>59</v>
      </c>
      <c r="J165" s="4" t="s">
        <v>17</v>
      </c>
      <c r="K165" s="3">
        <v>25</v>
      </c>
      <c r="L165" s="4" t="s">
        <v>22</v>
      </c>
      <c r="M165" s="3">
        <v>0</v>
      </c>
      <c r="O165">
        <f>MATCH(ROW(A165),Arr!O:O,FALSE)</f>
        <v>166</v>
      </c>
    </row>
    <row r="166" spans="1:15" x14ac:dyDescent="0.3">
      <c r="A166" s="41">
        <f t="shared" si="2"/>
        <v>165</v>
      </c>
      <c r="B166" s="3">
        <v>624</v>
      </c>
      <c r="C166" s="4" t="s">
        <v>584</v>
      </c>
      <c r="D166" s="4" t="s">
        <v>537</v>
      </c>
      <c r="E166" s="4" t="s">
        <v>15</v>
      </c>
      <c r="F166" s="4" t="s">
        <v>313</v>
      </c>
      <c r="G166" s="4" t="s">
        <v>73</v>
      </c>
      <c r="H166" s="3">
        <v>0</v>
      </c>
      <c r="I166" s="3">
        <v>59</v>
      </c>
      <c r="J166" s="4" t="s">
        <v>17</v>
      </c>
      <c r="K166" s="3">
        <v>25</v>
      </c>
      <c r="L166" s="4" t="s">
        <v>22</v>
      </c>
      <c r="M166" s="3">
        <v>0</v>
      </c>
      <c r="O166">
        <f>MATCH(ROW(A166),Arr!O:O,FALSE)</f>
        <v>167</v>
      </c>
    </row>
    <row r="167" spans="1:15" x14ac:dyDescent="0.3">
      <c r="A167" s="41">
        <f t="shared" si="2"/>
        <v>166</v>
      </c>
      <c r="B167" s="3">
        <v>434</v>
      </c>
      <c r="C167" s="4" t="s">
        <v>552</v>
      </c>
      <c r="D167" s="4" t="s">
        <v>537</v>
      </c>
      <c r="E167" s="4" t="s">
        <v>15</v>
      </c>
      <c r="F167" s="4" t="s">
        <v>86</v>
      </c>
      <c r="G167" s="4" t="s">
        <v>73</v>
      </c>
      <c r="H167" s="3">
        <v>0</v>
      </c>
      <c r="I167" s="3">
        <v>59</v>
      </c>
      <c r="J167" s="4" t="s">
        <v>17</v>
      </c>
      <c r="K167" s="3">
        <v>25</v>
      </c>
      <c r="L167" s="4" t="s">
        <v>22</v>
      </c>
      <c r="M167" s="3">
        <v>0</v>
      </c>
      <c r="O167">
        <f>MATCH(ROW(A167),Arr!O:O,FALSE)</f>
        <v>168</v>
      </c>
    </row>
    <row r="168" spans="1:15" x14ac:dyDescent="0.3">
      <c r="A168" s="41">
        <f t="shared" si="2"/>
        <v>167</v>
      </c>
      <c r="B168" s="3">
        <v>684</v>
      </c>
      <c r="C168" s="4" t="s">
        <v>529</v>
      </c>
      <c r="D168" s="4" t="s">
        <v>537</v>
      </c>
      <c r="E168" s="4" t="s">
        <v>15</v>
      </c>
      <c r="F168" s="4" t="s">
        <v>366</v>
      </c>
      <c r="G168" s="4" t="s">
        <v>73</v>
      </c>
      <c r="H168" s="3">
        <v>0</v>
      </c>
      <c r="I168" s="3">
        <v>59</v>
      </c>
      <c r="J168" s="4" t="s">
        <v>17</v>
      </c>
      <c r="K168" s="3">
        <v>25</v>
      </c>
      <c r="L168" s="4" t="s">
        <v>22</v>
      </c>
      <c r="M168" s="3">
        <v>0</v>
      </c>
      <c r="O168">
        <f>MATCH(ROW(A168),Arr!O:O,FALSE)</f>
        <v>169</v>
      </c>
    </row>
    <row r="169" spans="1:15" x14ac:dyDescent="0.3">
      <c r="A169" s="41">
        <f t="shared" si="2"/>
        <v>168</v>
      </c>
      <c r="B169" s="3">
        <v>525</v>
      </c>
      <c r="C169" s="4" t="s">
        <v>476</v>
      </c>
      <c r="D169" s="4" t="s">
        <v>537</v>
      </c>
      <c r="E169" s="4" t="s">
        <v>15</v>
      </c>
      <c r="F169" s="4" t="s">
        <v>196</v>
      </c>
      <c r="G169" s="4" t="s">
        <v>73</v>
      </c>
      <c r="H169" s="3">
        <v>0</v>
      </c>
      <c r="I169" s="3">
        <v>59</v>
      </c>
      <c r="J169" s="4" t="s">
        <v>17</v>
      </c>
      <c r="K169" s="3">
        <v>25</v>
      </c>
      <c r="L169" s="4" t="s">
        <v>22</v>
      </c>
      <c r="M169" s="3">
        <v>0</v>
      </c>
      <c r="O169">
        <f>MATCH(ROW(A169),Arr!O:O,FALSE)</f>
        <v>170</v>
      </c>
    </row>
    <row r="170" spans="1:15" x14ac:dyDescent="0.3">
      <c r="A170" s="41">
        <f t="shared" si="2"/>
        <v>169</v>
      </c>
      <c r="B170" s="3">
        <v>442</v>
      </c>
      <c r="C170" s="4" t="s">
        <v>71</v>
      </c>
      <c r="D170" s="4" t="s">
        <v>537</v>
      </c>
      <c r="E170" s="4" t="s">
        <v>15</v>
      </c>
      <c r="F170" s="4" t="s">
        <v>105</v>
      </c>
      <c r="G170" s="4" t="s">
        <v>73</v>
      </c>
      <c r="H170" s="3">
        <v>0</v>
      </c>
      <c r="I170" s="3">
        <v>59</v>
      </c>
      <c r="J170" s="4" t="s">
        <v>17</v>
      </c>
      <c r="K170" s="3">
        <v>25</v>
      </c>
      <c r="L170" s="4" t="s">
        <v>22</v>
      </c>
      <c r="M170" s="3">
        <v>0</v>
      </c>
      <c r="O170">
        <f>MATCH(ROW(A170),Arr!O:O,FALSE)</f>
        <v>171</v>
      </c>
    </row>
    <row r="171" spans="1:15" x14ac:dyDescent="0.3">
      <c r="A171" s="41">
        <f t="shared" si="2"/>
        <v>170</v>
      </c>
      <c r="B171" s="3">
        <v>685</v>
      </c>
      <c r="C171" s="4" t="s">
        <v>519</v>
      </c>
      <c r="D171" s="4" t="s">
        <v>537</v>
      </c>
      <c r="E171" s="4" t="s">
        <v>15</v>
      </c>
      <c r="F171" s="4" t="s">
        <v>366</v>
      </c>
      <c r="G171" s="4" t="s">
        <v>73</v>
      </c>
      <c r="H171" s="3">
        <v>0</v>
      </c>
      <c r="I171" s="3">
        <v>59</v>
      </c>
      <c r="J171" s="4" t="s">
        <v>17</v>
      </c>
      <c r="K171" s="3">
        <v>25</v>
      </c>
      <c r="L171" s="4" t="s">
        <v>22</v>
      </c>
      <c r="M171" s="3">
        <v>0</v>
      </c>
      <c r="O171">
        <f>MATCH(ROW(A171),Arr!O:O,FALSE)</f>
        <v>172</v>
      </c>
    </row>
    <row r="172" spans="1:15" x14ac:dyDescent="0.3">
      <c r="A172" s="41">
        <f t="shared" si="2"/>
        <v>171</v>
      </c>
      <c r="B172" s="3">
        <v>540</v>
      </c>
      <c r="C172" s="4" t="s">
        <v>456</v>
      </c>
      <c r="D172" s="4" t="s">
        <v>537</v>
      </c>
      <c r="E172" s="4" t="s">
        <v>15</v>
      </c>
      <c r="F172" s="4" t="s">
        <v>218</v>
      </c>
      <c r="G172" s="4" t="s">
        <v>73</v>
      </c>
      <c r="H172" s="3">
        <v>0</v>
      </c>
      <c r="I172" s="3">
        <v>59</v>
      </c>
      <c r="J172" s="4" t="s">
        <v>17</v>
      </c>
      <c r="K172" s="3">
        <v>25</v>
      </c>
      <c r="L172" s="4" t="s">
        <v>22</v>
      </c>
      <c r="M172" s="3">
        <v>0</v>
      </c>
      <c r="O172">
        <f>MATCH(ROW(A172),Arr!O:O,FALSE)</f>
        <v>173</v>
      </c>
    </row>
    <row r="173" spans="1:15" x14ac:dyDescent="0.3">
      <c r="A173" s="41">
        <f t="shared" si="2"/>
        <v>172</v>
      </c>
      <c r="B173" s="3">
        <v>626</v>
      </c>
      <c r="C173" s="4" t="s">
        <v>456</v>
      </c>
      <c r="D173" s="4" t="s">
        <v>537</v>
      </c>
      <c r="E173" s="4" t="s">
        <v>15</v>
      </c>
      <c r="F173" s="4" t="s">
        <v>313</v>
      </c>
      <c r="G173" s="4" t="s">
        <v>73</v>
      </c>
      <c r="H173" s="3">
        <v>0</v>
      </c>
      <c r="I173" s="3">
        <v>59</v>
      </c>
      <c r="J173" s="4" t="s">
        <v>17</v>
      </c>
      <c r="K173" s="3">
        <v>25</v>
      </c>
      <c r="L173" s="4" t="s">
        <v>22</v>
      </c>
      <c r="M173" s="3">
        <v>0</v>
      </c>
      <c r="O173">
        <f>MATCH(ROW(A173),Arr!O:O,FALSE)</f>
        <v>174</v>
      </c>
    </row>
    <row r="174" spans="1:15" x14ac:dyDescent="0.3">
      <c r="A174" s="41">
        <f t="shared" si="2"/>
        <v>173</v>
      </c>
      <c r="B174" s="3">
        <v>835</v>
      </c>
      <c r="C174" s="4" t="s">
        <v>620</v>
      </c>
      <c r="D174" s="4" t="s">
        <v>537</v>
      </c>
      <c r="E174" s="4" t="s">
        <v>15</v>
      </c>
      <c r="F174" s="4" t="s">
        <v>530</v>
      </c>
      <c r="G174" s="4" t="s">
        <v>73</v>
      </c>
      <c r="H174" s="3">
        <v>0</v>
      </c>
      <c r="I174" s="3">
        <v>59</v>
      </c>
      <c r="J174" s="4" t="s">
        <v>28</v>
      </c>
      <c r="K174" s="3">
        <v>25</v>
      </c>
      <c r="L174" s="4" t="s">
        <v>22</v>
      </c>
      <c r="M174" s="3">
        <v>0</v>
      </c>
      <c r="O174">
        <f>MATCH(ROW(A174),Arr!O:O,FALSE)</f>
        <v>175</v>
      </c>
    </row>
    <row r="175" spans="1:15" x14ac:dyDescent="0.3">
      <c r="A175" s="41">
        <f t="shared" si="2"/>
        <v>174</v>
      </c>
      <c r="B175" s="3">
        <v>417</v>
      </c>
      <c r="C175" s="4" t="s">
        <v>549</v>
      </c>
      <c r="D175" s="4" t="s">
        <v>537</v>
      </c>
      <c r="E175" s="4" t="s">
        <v>15</v>
      </c>
      <c r="F175" s="4" t="s">
        <v>72</v>
      </c>
      <c r="G175" s="4" t="s">
        <v>73</v>
      </c>
      <c r="H175" s="3">
        <v>0</v>
      </c>
      <c r="I175" s="3">
        <v>59</v>
      </c>
      <c r="J175" s="4" t="s">
        <v>17</v>
      </c>
      <c r="K175" s="3">
        <v>25</v>
      </c>
      <c r="L175" s="4" t="s">
        <v>22</v>
      </c>
      <c r="M175" s="3">
        <v>0</v>
      </c>
      <c r="O175">
        <f>MATCH(ROW(A175),Arr!O:O,FALSE)</f>
        <v>176</v>
      </c>
    </row>
    <row r="176" spans="1:15" x14ac:dyDescent="0.3">
      <c r="A176" s="41">
        <f t="shared" si="2"/>
        <v>175</v>
      </c>
      <c r="B176" s="3">
        <v>509</v>
      </c>
      <c r="C176" s="4" t="s">
        <v>95</v>
      </c>
      <c r="D176" s="4" t="s">
        <v>537</v>
      </c>
      <c r="E176" s="4" t="s">
        <v>15</v>
      </c>
      <c r="F176" s="4" t="s">
        <v>188</v>
      </c>
      <c r="G176" s="4" t="s">
        <v>73</v>
      </c>
      <c r="H176" s="3">
        <v>0</v>
      </c>
      <c r="I176" s="3">
        <v>59</v>
      </c>
      <c r="J176" s="4" t="s">
        <v>17</v>
      </c>
      <c r="K176" s="3">
        <v>25</v>
      </c>
      <c r="L176" s="4" t="s">
        <v>22</v>
      </c>
      <c r="M176" s="3">
        <v>0</v>
      </c>
      <c r="O176">
        <f>MATCH(ROW(A176),Arr!O:O,FALSE)</f>
        <v>177</v>
      </c>
    </row>
    <row r="177" spans="1:15" x14ac:dyDescent="0.3">
      <c r="A177" s="41">
        <f t="shared" si="2"/>
        <v>176</v>
      </c>
      <c r="B177" s="3">
        <v>687</v>
      </c>
      <c r="C177" s="4" t="s">
        <v>542</v>
      </c>
      <c r="D177" s="4" t="s">
        <v>537</v>
      </c>
      <c r="E177" s="4" t="s">
        <v>15</v>
      </c>
      <c r="F177" s="4" t="s">
        <v>366</v>
      </c>
      <c r="G177" s="4" t="s">
        <v>73</v>
      </c>
      <c r="H177" s="3">
        <v>0</v>
      </c>
      <c r="I177" s="3">
        <v>59</v>
      </c>
      <c r="J177" s="4" t="s">
        <v>17</v>
      </c>
      <c r="K177" s="3">
        <v>25</v>
      </c>
      <c r="L177" s="4" t="s">
        <v>22</v>
      </c>
      <c r="M177" s="3">
        <v>0</v>
      </c>
      <c r="O177">
        <f>MATCH(ROW(A177),Arr!O:O,FALSE)</f>
        <v>178</v>
      </c>
    </row>
    <row r="178" spans="1:15" x14ac:dyDescent="0.3">
      <c r="A178" s="41">
        <f t="shared" si="2"/>
        <v>177</v>
      </c>
      <c r="B178" s="3">
        <v>686</v>
      </c>
      <c r="C178" s="4" t="s">
        <v>652</v>
      </c>
      <c r="D178" s="4" t="s">
        <v>537</v>
      </c>
      <c r="E178" s="4" t="s">
        <v>15</v>
      </c>
      <c r="F178" s="4" t="s">
        <v>366</v>
      </c>
      <c r="G178" s="4" t="s">
        <v>73</v>
      </c>
      <c r="H178" s="3">
        <v>0</v>
      </c>
      <c r="I178" s="3">
        <v>59</v>
      </c>
      <c r="J178" s="4" t="s">
        <v>17</v>
      </c>
      <c r="K178" s="3">
        <v>25</v>
      </c>
      <c r="L178" s="4" t="s">
        <v>22</v>
      </c>
      <c r="M178" s="3">
        <v>0</v>
      </c>
      <c r="O178">
        <f>MATCH(ROW(A178),Arr!O:O,FALSE)</f>
        <v>179</v>
      </c>
    </row>
    <row r="179" spans="1:15" x14ac:dyDescent="0.3">
      <c r="A179" s="41">
        <f t="shared" si="2"/>
        <v>178</v>
      </c>
      <c r="B179" s="3">
        <v>536</v>
      </c>
      <c r="C179" s="4" t="s">
        <v>57</v>
      </c>
      <c r="D179" s="4" t="s">
        <v>537</v>
      </c>
      <c r="E179" s="4" t="s">
        <v>15</v>
      </c>
      <c r="F179" s="4" t="s">
        <v>196</v>
      </c>
      <c r="G179" s="4" t="s">
        <v>73</v>
      </c>
      <c r="H179" s="3">
        <v>0</v>
      </c>
      <c r="I179" s="3">
        <v>59</v>
      </c>
      <c r="J179" s="4" t="s">
        <v>17</v>
      </c>
      <c r="K179" s="3">
        <v>25</v>
      </c>
      <c r="L179" s="4" t="s">
        <v>22</v>
      </c>
      <c r="M179" s="3">
        <v>0</v>
      </c>
      <c r="O179">
        <f>MATCH(ROW(A179),Arr!O:O,FALSE)</f>
        <v>276</v>
      </c>
    </row>
    <row r="180" spans="1:15" x14ac:dyDescent="0.3">
      <c r="A180" s="41">
        <f t="shared" si="2"/>
        <v>179</v>
      </c>
      <c r="B180" s="3">
        <v>712</v>
      </c>
      <c r="C180" s="4" t="s">
        <v>80</v>
      </c>
      <c r="D180" s="4" t="s">
        <v>537</v>
      </c>
      <c r="E180" s="4" t="s">
        <v>15</v>
      </c>
      <c r="F180" s="4" t="s">
        <v>366</v>
      </c>
      <c r="G180" s="4" t="s">
        <v>21</v>
      </c>
      <c r="H180" s="3">
        <v>0</v>
      </c>
      <c r="I180" s="3">
        <v>30</v>
      </c>
      <c r="J180" s="4" t="s">
        <v>17</v>
      </c>
      <c r="K180" s="3">
        <v>25</v>
      </c>
      <c r="L180" s="4" t="s">
        <v>22</v>
      </c>
      <c r="M180" s="3">
        <v>0</v>
      </c>
      <c r="O180">
        <f>MATCH(ROW(A180),Arr!O:O,FALSE)</f>
        <v>180</v>
      </c>
    </row>
    <row r="181" spans="1:15" x14ac:dyDescent="0.3">
      <c r="A181" s="41">
        <f t="shared" si="2"/>
        <v>180</v>
      </c>
      <c r="B181" s="3">
        <v>705</v>
      </c>
      <c r="C181" s="4" t="s">
        <v>595</v>
      </c>
      <c r="D181" s="4" t="s">
        <v>537</v>
      </c>
      <c r="E181" s="4" t="s">
        <v>15</v>
      </c>
      <c r="F181" s="4" t="s">
        <v>366</v>
      </c>
      <c r="G181" s="4" t="s">
        <v>21</v>
      </c>
      <c r="H181" s="3">
        <v>0</v>
      </c>
      <c r="I181" s="3">
        <v>30</v>
      </c>
      <c r="J181" s="4" t="s">
        <v>17</v>
      </c>
      <c r="K181" s="3">
        <v>25</v>
      </c>
      <c r="L181" s="4" t="s">
        <v>22</v>
      </c>
      <c r="M181" s="3">
        <v>0</v>
      </c>
      <c r="O181">
        <f>MATCH(ROW(A181),Arr!O:O,FALSE)</f>
        <v>181</v>
      </c>
    </row>
    <row r="182" spans="1:15" x14ac:dyDescent="0.3">
      <c r="A182" s="41">
        <f t="shared" si="2"/>
        <v>181</v>
      </c>
      <c r="B182" s="3">
        <v>751</v>
      </c>
      <c r="C182" s="4" t="s">
        <v>616</v>
      </c>
      <c r="D182" s="4" t="s">
        <v>537</v>
      </c>
      <c r="E182" s="4" t="s">
        <v>15</v>
      </c>
      <c r="F182" s="4" t="s">
        <v>424</v>
      </c>
      <c r="G182" s="4" t="s">
        <v>21</v>
      </c>
      <c r="H182" s="3">
        <v>0</v>
      </c>
      <c r="I182" s="3">
        <v>30</v>
      </c>
      <c r="J182" s="4" t="s">
        <v>17</v>
      </c>
      <c r="K182" s="3">
        <v>25</v>
      </c>
      <c r="L182" s="4" t="s">
        <v>22</v>
      </c>
      <c r="M182" s="3">
        <v>0</v>
      </c>
      <c r="O182">
        <f>MATCH(ROW(A182),Arr!O:O,FALSE)</f>
        <v>182</v>
      </c>
    </row>
    <row r="183" spans="1:15" x14ac:dyDescent="0.3">
      <c r="A183" s="41">
        <f t="shared" si="2"/>
        <v>182</v>
      </c>
      <c r="B183" s="3">
        <v>707</v>
      </c>
      <c r="C183" s="4" t="s">
        <v>569</v>
      </c>
      <c r="D183" s="4" t="s">
        <v>537</v>
      </c>
      <c r="E183" s="4" t="s">
        <v>15</v>
      </c>
      <c r="F183" s="4" t="s">
        <v>366</v>
      </c>
      <c r="G183" s="4" t="s">
        <v>21</v>
      </c>
      <c r="H183" s="3">
        <v>0</v>
      </c>
      <c r="I183" s="3">
        <v>30</v>
      </c>
      <c r="J183" s="4" t="s">
        <v>17</v>
      </c>
      <c r="K183" s="3">
        <v>25</v>
      </c>
      <c r="L183" s="4" t="s">
        <v>22</v>
      </c>
      <c r="M183" s="3">
        <v>0</v>
      </c>
      <c r="O183">
        <f>MATCH(ROW(A183),Arr!O:O,FALSE)</f>
        <v>183</v>
      </c>
    </row>
    <row r="184" spans="1:15" x14ac:dyDescent="0.3">
      <c r="A184" s="41">
        <f t="shared" si="2"/>
        <v>183</v>
      </c>
      <c r="B184" s="3">
        <v>494</v>
      </c>
      <c r="C184" s="4" t="s">
        <v>74</v>
      </c>
      <c r="D184" s="4" t="s">
        <v>537</v>
      </c>
      <c r="E184" s="4" t="s">
        <v>15</v>
      </c>
      <c r="F184" s="4" t="s">
        <v>167</v>
      </c>
      <c r="G184" s="4" t="s">
        <v>21</v>
      </c>
      <c r="H184" s="3">
        <v>0</v>
      </c>
      <c r="I184" s="3">
        <v>30</v>
      </c>
      <c r="J184" s="4" t="s">
        <v>17</v>
      </c>
      <c r="K184" s="3">
        <v>25</v>
      </c>
      <c r="L184" s="4" t="s">
        <v>22</v>
      </c>
      <c r="M184" s="3">
        <v>0</v>
      </c>
      <c r="O184">
        <f>MATCH(ROW(A184),Arr!O:O,FALSE)</f>
        <v>184</v>
      </c>
    </row>
    <row r="185" spans="1:15" x14ac:dyDescent="0.3">
      <c r="A185" s="41">
        <f t="shared" si="2"/>
        <v>184</v>
      </c>
      <c r="B185" s="3">
        <v>743</v>
      </c>
      <c r="C185" s="4" t="s">
        <v>190</v>
      </c>
      <c r="D185" s="4" t="s">
        <v>537</v>
      </c>
      <c r="E185" s="4" t="s">
        <v>15</v>
      </c>
      <c r="F185" s="4" t="s">
        <v>418</v>
      </c>
      <c r="G185" s="4" t="s">
        <v>21</v>
      </c>
      <c r="H185" s="3">
        <v>0</v>
      </c>
      <c r="I185" s="3">
        <v>30</v>
      </c>
      <c r="J185" s="4" t="s">
        <v>17</v>
      </c>
      <c r="K185" s="3">
        <v>25</v>
      </c>
      <c r="L185" s="4" t="s">
        <v>22</v>
      </c>
      <c r="M185" s="3">
        <v>0</v>
      </c>
      <c r="O185">
        <f>MATCH(ROW(A185),Arr!O:O,FALSE)</f>
        <v>185</v>
      </c>
    </row>
    <row r="186" spans="1:15" x14ac:dyDescent="0.3">
      <c r="A186" s="41">
        <f t="shared" si="2"/>
        <v>185</v>
      </c>
      <c r="B186" s="3">
        <v>699</v>
      </c>
      <c r="C186" s="4" t="s">
        <v>190</v>
      </c>
      <c r="D186" s="4" t="s">
        <v>537</v>
      </c>
      <c r="E186" s="4" t="s">
        <v>15</v>
      </c>
      <c r="F186" s="4" t="s">
        <v>366</v>
      </c>
      <c r="G186" s="4" t="s">
        <v>21</v>
      </c>
      <c r="H186" s="3">
        <v>0</v>
      </c>
      <c r="I186" s="3">
        <v>30</v>
      </c>
      <c r="J186" s="4" t="s">
        <v>17</v>
      </c>
      <c r="K186" s="3">
        <v>25</v>
      </c>
      <c r="L186" s="4" t="s">
        <v>22</v>
      </c>
      <c r="M186" s="3">
        <v>0</v>
      </c>
      <c r="O186">
        <f>MATCH(ROW(A186),Arr!O:O,FALSE)</f>
        <v>186</v>
      </c>
    </row>
    <row r="187" spans="1:15" x14ac:dyDescent="0.3">
      <c r="A187" s="41">
        <f t="shared" si="2"/>
        <v>186</v>
      </c>
      <c r="B187" s="3">
        <v>854</v>
      </c>
      <c r="C187" s="4" t="s">
        <v>190</v>
      </c>
      <c r="D187" s="4" t="s">
        <v>537</v>
      </c>
      <c r="E187" s="4" t="s">
        <v>15</v>
      </c>
      <c r="F187" s="4" t="s">
        <v>474</v>
      </c>
      <c r="G187" s="4" t="s">
        <v>21</v>
      </c>
      <c r="H187" s="3">
        <v>0</v>
      </c>
      <c r="I187" s="3">
        <v>30</v>
      </c>
      <c r="J187" s="4" t="s">
        <v>28</v>
      </c>
      <c r="K187" s="3">
        <v>25</v>
      </c>
      <c r="L187" s="4" t="s">
        <v>22</v>
      </c>
      <c r="M187" s="3">
        <v>0</v>
      </c>
      <c r="O187">
        <f>MATCH(ROW(A187),Arr!O:O,FALSE)</f>
        <v>187</v>
      </c>
    </row>
    <row r="188" spans="1:15" x14ac:dyDescent="0.3">
      <c r="A188" s="41">
        <f t="shared" si="2"/>
        <v>187</v>
      </c>
      <c r="B188" s="3">
        <v>877</v>
      </c>
      <c r="C188" s="4" t="s">
        <v>190</v>
      </c>
      <c r="D188" s="4" t="s">
        <v>537</v>
      </c>
      <c r="E188" s="4" t="s">
        <v>15</v>
      </c>
      <c r="F188" s="4" t="s">
        <v>493</v>
      </c>
      <c r="G188" s="4" t="s">
        <v>21</v>
      </c>
      <c r="H188" s="3">
        <v>0</v>
      </c>
      <c r="I188" s="3">
        <v>30</v>
      </c>
      <c r="J188" s="4" t="s">
        <v>28</v>
      </c>
      <c r="K188" s="3">
        <v>25</v>
      </c>
      <c r="L188" s="4" t="s">
        <v>22</v>
      </c>
      <c r="M188" s="3">
        <v>0</v>
      </c>
      <c r="O188">
        <f>MATCH(ROW(A188),Arr!O:O,FALSE)</f>
        <v>188</v>
      </c>
    </row>
    <row r="189" spans="1:15" x14ac:dyDescent="0.3">
      <c r="A189" s="41">
        <f t="shared" si="2"/>
        <v>188</v>
      </c>
      <c r="B189" s="3">
        <v>696</v>
      </c>
      <c r="C189" s="4" t="s">
        <v>187</v>
      </c>
      <c r="D189" s="4" t="s">
        <v>537</v>
      </c>
      <c r="E189" s="4" t="s">
        <v>15</v>
      </c>
      <c r="F189" s="4" t="s">
        <v>366</v>
      </c>
      <c r="G189" s="4" t="s">
        <v>21</v>
      </c>
      <c r="H189" s="3">
        <v>0</v>
      </c>
      <c r="I189" s="3">
        <v>30</v>
      </c>
      <c r="J189" s="4" t="s">
        <v>17</v>
      </c>
      <c r="K189" s="3">
        <v>25</v>
      </c>
      <c r="L189" s="4" t="s">
        <v>22</v>
      </c>
      <c r="M189" s="3">
        <v>0</v>
      </c>
      <c r="O189">
        <f>MATCH(ROW(A189),Arr!O:O,FALSE)</f>
        <v>189</v>
      </c>
    </row>
    <row r="190" spans="1:15" x14ac:dyDescent="0.3">
      <c r="A190" s="41">
        <f t="shared" si="2"/>
        <v>189</v>
      </c>
      <c r="B190" s="3">
        <v>425</v>
      </c>
      <c r="C190" s="4" t="s">
        <v>85</v>
      </c>
      <c r="D190" s="4" t="s">
        <v>537</v>
      </c>
      <c r="E190" s="4" t="s">
        <v>15</v>
      </c>
      <c r="F190" s="4" t="s">
        <v>76</v>
      </c>
      <c r="G190" s="4" t="s">
        <v>21</v>
      </c>
      <c r="H190" s="3">
        <v>0</v>
      </c>
      <c r="I190" s="3">
        <v>30</v>
      </c>
      <c r="J190" s="4" t="s">
        <v>17</v>
      </c>
      <c r="K190" s="3">
        <v>25</v>
      </c>
      <c r="L190" s="4" t="s">
        <v>22</v>
      </c>
      <c r="M190" s="3">
        <v>0</v>
      </c>
      <c r="O190">
        <f>MATCH(ROW(A190),Arr!O:O,FALSE)</f>
        <v>190</v>
      </c>
    </row>
    <row r="191" spans="1:15" x14ac:dyDescent="0.3">
      <c r="A191" s="41">
        <f t="shared" si="2"/>
        <v>190</v>
      </c>
      <c r="B191" s="3">
        <v>842</v>
      </c>
      <c r="C191" s="4" t="s">
        <v>495</v>
      </c>
      <c r="D191" s="4" t="s">
        <v>537</v>
      </c>
      <c r="E191" s="4" t="s">
        <v>15</v>
      </c>
      <c r="F191" s="4" t="s">
        <v>532</v>
      </c>
      <c r="G191" s="4" t="s">
        <v>21</v>
      </c>
      <c r="H191" s="3">
        <v>0</v>
      </c>
      <c r="I191" s="3">
        <v>30</v>
      </c>
      <c r="J191" s="4" t="s">
        <v>17</v>
      </c>
      <c r="K191" s="3">
        <v>25</v>
      </c>
      <c r="L191" s="4" t="s">
        <v>22</v>
      </c>
      <c r="M191" s="3">
        <v>0</v>
      </c>
      <c r="O191">
        <f>MATCH(ROW(A191),Arr!O:O,FALSE)</f>
        <v>191</v>
      </c>
    </row>
    <row r="192" spans="1:15" x14ac:dyDescent="0.3">
      <c r="A192" s="41">
        <f t="shared" si="2"/>
        <v>191</v>
      </c>
      <c r="B192" s="3">
        <v>691</v>
      </c>
      <c r="C192" s="4" t="s">
        <v>204</v>
      </c>
      <c r="D192" s="4" t="s">
        <v>537</v>
      </c>
      <c r="E192" s="4" t="s">
        <v>15</v>
      </c>
      <c r="F192" s="4" t="s">
        <v>366</v>
      </c>
      <c r="G192" s="4" t="s">
        <v>21</v>
      </c>
      <c r="H192" s="3">
        <v>0</v>
      </c>
      <c r="I192" s="3">
        <v>30</v>
      </c>
      <c r="J192" s="4" t="s">
        <v>17</v>
      </c>
      <c r="K192" s="3">
        <v>25</v>
      </c>
      <c r="L192" s="4" t="s">
        <v>22</v>
      </c>
      <c r="M192" s="3">
        <v>0</v>
      </c>
      <c r="O192">
        <f>MATCH(ROW(A192),Arr!O:O,FALSE)</f>
        <v>192</v>
      </c>
    </row>
    <row r="193" spans="1:15" x14ac:dyDescent="0.3">
      <c r="A193" s="41">
        <f t="shared" si="2"/>
        <v>192</v>
      </c>
      <c r="B193" s="3">
        <v>850</v>
      </c>
      <c r="C193" s="4" t="s">
        <v>204</v>
      </c>
      <c r="D193" s="4" t="s">
        <v>537</v>
      </c>
      <c r="E193" s="4" t="s">
        <v>15</v>
      </c>
      <c r="F193" s="4" t="s">
        <v>474</v>
      </c>
      <c r="G193" s="4" t="s">
        <v>21</v>
      </c>
      <c r="H193" s="3">
        <v>0</v>
      </c>
      <c r="I193" s="3">
        <v>30</v>
      </c>
      <c r="J193" s="4" t="s">
        <v>28</v>
      </c>
      <c r="K193" s="3">
        <v>25</v>
      </c>
      <c r="L193" s="4" t="s">
        <v>22</v>
      </c>
      <c r="M193" s="3">
        <v>0</v>
      </c>
      <c r="O193">
        <f>MATCH(ROW(A193),Arr!O:O,FALSE)</f>
        <v>193</v>
      </c>
    </row>
    <row r="194" spans="1:15" x14ac:dyDescent="0.3">
      <c r="A194" s="41">
        <f t="shared" si="2"/>
        <v>193</v>
      </c>
      <c r="B194" s="3">
        <v>718</v>
      </c>
      <c r="C194" s="4" t="s">
        <v>106</v>
      </c>
      <c r="D194" s="4" t="s">
        <v>537</v>
      </c>
      <c r="E194" s="4" t="s">
        <v>15</v>
      </c>
      <c r="F194" s="4" t="s">
        <v>366</v>
      </c>
      <c r="G194" s="4" t="s">
        <v>21</v>
      </c>
      <c r="H194" s="3">
        <v>0</v>
      </c>
      <c r="I194" s="3">
        <v>30</v>
      </c>
      <c r="J194" s="4" t="s">
        <v>17</v>
      </c>
      <c r="K194" s="3">
        <v>25</v>
      </c>
      <c r="L194" s="4" t="s">
        <v>22</v>
      </c>
      <c r="M194" s="3">
        <v>0</v>
      </c>
      <c r="O194">
        <f>MATCH(ROW(A194),Arr!O:O,FALSE)</f>
        <v>194</v>
      </c>
    </row>
    <row r="195" spans="1:15" x14ac:dyDescent="0.3">
      <c r="A195" s="41">
        <f t="shared" si="2"/>
        <v>194</v>
      </c>
      <c r="B195" s="3">
        <v>701</v>
      </c>
      <c r="C195" s="4" t="s">
        <v>301</v>
      </c>
      <c r="D195" s="4" t="s">
        <v>537</v>
      </c>
      <c r="E195" s="4" t="s">
        <v>15</v>
      </c>
      <c r="F195" s="4" t="s">
        <v>366</v>
      </c>
      <c r="G195" s="4" t="s">
        <v>21</v>
      </c>
      <c r="H195" s="3">
        <v>0</v>
      </c>
      <c r="I195" s="3">
        <v>30</v>
      </c>
      <c r="J195" s="4" t="s">
        <v>17</v>
      </c>
      <c r="K195" s="3">
        <v>25</v>
      </c>
      <c r="L195" s="4" t="s">
        <v>22</v>
      </c>
      <c r="M195" s="3">
        <v>0</v>
      </c>
      <c r="O195">
        <f>MATCH(ROW(A195),Arr!O:O,FALSE)</f>
        <v>195</v>
      </c>
    </row>
    <row r="196" spans="1:15" x14ac:dyDescent="0.3">
      <c r="A196" s="41">
        <f t="shared" ref="A196:A259" si="3">A195+1</f>
        <v>195</v>
      </c>
      <c r="B196" s="3">
        <v>851</v>
      </c>
      <c r="C196" s="4" t="s">
        <v>301</v>
      </c>
      <c r="D196" s="4" t="s">
        <v>537</v>
      </c>
      <c r="E196" s="4" t="s">
        <v>15</v>
      </c>
      <c r="F196" s="4" t="s">
        <v>474</v>
      </c>
      <c r="G196" s="4" t="s">
        <v>21</v>
      </c>
      <c r="H196" s="3">
        <v>0</v>
      </c>
      <c r="I196" s="3">
        <v>30</v>
      </c>
      <c r="J196" s="4" t="s">
        <v>28</v>
      </c>
      <c r="K196" s="3">
        <v>25</v>
      </c>
      <c r="L196" s="4" t="s">
        <v>22</v>
      </c>
      <c r="M196" s="3">
        <v>0</v>
      </c>
      <c r="O196">
        <f>MATCH(ROW(A196),Arr!O:O,FALSE)</f>
        <v>196</v>
      </c>
    </row>
    <row r="197" spans="1:15" x14ac:dyDescent="0.3">
      <c r="A197" s="41">
        <f t="shared" si="3"/>
        <v>196</v>
      </c>
      <c r="B197" s="3">
        <v>846</v>
      </c>
      <c r="C197" s="4" t="s">
        <v>480</v>
      </c>
      <c r="D197" s="4" t="s">
        <v>537</v>
      </c>
      <c r="E197" s="4" t="s">
        <v>15</v>
      </c>
      <c r="F197" s="4" t="s">
        <v>534</v>
      </c>
      <c r="G197" s="4" t="s">
        <v>21</v>
      </c>
      <c r="H197" s="3">
        <v>0</v>
      </c>
      <c r="I197" s="3">
        <v>30</v>
      </c>
      <c r="J197" s="4" t="s">
        <v>28</v>
      </c>
      <c r="K197" s="3">
        <v>25</v>
      </c>
      <c r="L197" s="4" t="s">
        <v>22</v>
      </c>
      <c r="M197" s="3">
        <v>0</v>
      </c>
      <c r="O197">
        <f>MATCH(ROW(A197),Arr!O:O,FALSE)</f>
        <v>197</v>
      </c>
    </row>
    <row r="198" spans="1:15" x14ac:dyDescent="0.3">
      <c r="A198" s="41">
        <f t="shared" si="3"/>
        <v>197</v>
      </c>
      <c r="B198" s="3">
        <v>710</v>
      </c>
      <c r="C198" s="4" t="s">
        <v>113</v>
      </c>
      <c r="D198" s="4" t="s">
        <v>537</v>
      </c>
      <c r="E198" s="4" t="s">
        <v>15</v>
      </c>
      <c r="F198" s="4" t="s">
        <v>366</v>
      </c>
      <c r="G198" s="4" t="s">
        <v>21</v>
      </c>
      <c r="H198" s="3">
        <v>0</v>
      </c>
      <c r="I198" s="3">
        <v>30</v>
      </c>
      <c r="J198" s="4" t="s">
        <v>17</v>
      </c>
      <c r="K198" s="3">
        <v>25</v>
      </c>
      <c r="L198" s="4" t="s">
        <v>22</v>
      </c>
      <c r="M198" s="3">
        <v>0</v>
      </c>
      <c r="O198">
        <f>MATCH(ROW(A198),Arr!O:O,FALSE)</f>
        <v>198</v>
      </c>
    </row>
    <row r="199" spans="1:15" x14ac:dyDescent="0.3">
      <c r="A199" s="41">
        <f t="shared" si="3"/>
        <v>198</v>
      </c>
      <c r="B199" s="3">
        <v>744</v>
      </c>
      <c r="C199" s="4" t="s">
        <v>246</v>
      </c>
      <c r="D199" s="4" t="s">
        <v>537</v>
      </c>
      <c r="E199" s="4" t="s">
        <v>15</v>
      </c>
      <c r="F199" s="4" t="s">
        <v>418</v>
      </c>
      <c r="G199" s="4" t="s">
        <v>21</v>
      </c>
      <c r="H199" s="3">
        <v>0</v>
      </c>
      <c r="I199" s="3">
        <v>30</v>
      </c>
      <c r="J199" s="4" t="s">
        <v>17</v>
      </c>
      <c r="K199" s="3">
        <v>25</v>
      </c>
      <c r="L199" s="4" t="s">
        <v>22</v>
      </c>
      <c r="M199" s="3">
        <v>0</v>
      </c>
      <c r="O199">
        <f>MATCH(ROW(A199),Arr!O:O,FALSE)</f>
        <v>199</v>
      </c>
    </row>
    <row r="200" spans="1:15" x14ac:dyDescent="0.3">
      <c r="A200" s="41">
        <f t="shared" si="3"/>
        <v>199</v>
      </c>
      <c r="B200" s="3">
        <v>748</v>
      </c>
      <c r="C200" s="4" t="s">
        <v>246</v>
      </c>
      <c r="D200" s="4" t="s">
        <v>537</v>
      </c>
      <c r="E200" s="4" t="s">
        <v>15</v>
      </c>
      <c r="F200" s="4" t="s">
        <v>423</v>
      </c>
      <c r="G200" s="4" t="s">
        <v>21</v>
      </c>
      <c r="H200" s="3">
        <v>0</v>
      </c>
      <c r="I200" s="3">
        <v>30</v>
      </c>
      <c r="J200" s="4" t="s">
        <v>17</v>
      </c>
      <c r="K200" s="3">
        <v>25</v>
      </c>
      <c r="L200" s="4" t="s">
        <v>22</v>
      </c>
      <c r="M200" s="3">
        <v>0</v>
      </c>
      <c r="O200">
        <f>MATCH(ROW(A200),Arr!O:O,FALSE)</f>
        <v>200</v>
      </c>
    </row>
    <row r="201" spans="1:15" x14ac:dyDescent="0.3">
      <c r="A201" s="41">
        <f t="shared" si="3"/>
        <v>200</v>
      </c>
      <c r="B201" s="3">
        <v>385</v>
      </c>
      <c r="C201" s="4" t="s">
        <v>473</v>
      </c>
      <c r="D201" s="4" t="s">
        <v>537</v>
      </c>
      <c r="E201" s="4" t="s">
        <v>15</v>
      </c>
      <c r="F201" s="4" t="s">
        <v>20</v>
      </c>
      <c r="G201" s="4" t="s">
        <v>21</v>
      </c>
      <c r="H201" s="3">
        <v>0</v>
      </c>
      <c r="I201" s="3">
        <v>30</v>
      </c>
      <c r="J201" s="4" t="s">
        <v>17</v>
      </c>
      <c r="K201" s="3">
        <v>25</v>
      </c>
      <c r="L201" s="4" t="s">
        <v>22</v>
      </c>
      <c r="M201" s="3">
        <v>0</v>
      </c>
      <c r="O201">
        <f>MATCH(ROW(A201),Arr!O:O,FALSE)</f>
        <v>201</v>
      </c>
    </row>
    <row r="202" spans="1:15" x14ac:dyDescent="0.3">
      <c r="A202" s="41">
        <f t="shared" si="3"/>
        <v>201</v>
      </c>
      <c r="B202" s="3">
        <v>490</v>
      </c>
      <c r="C202" s="4" t="s">
        <v>237</v>
      </c>
      <c r="D202" s="4" t="s">
        <v>537</v>
      </c>
      <c r="E202" s="4" t="s">
        <v>15</v>
      </c>
      <c r="F202" s="4" t="s">
        <v>162</v>
      </c>
      <c r="G202" s="4" t="s">
        <v>21</v>
      </c>
      <c r="H202" s="3">
        <v>0</v>
      </c>
      <c r="I202" s="3">
        <v>30</v>
      </c>
      <c r="J202" s="4" t="s">
        <v>17</v>
      </c>
      <c r="K202" s="3">
        <v>25</v>
      </c>
      <c r="L202" s="4" t="s">
        <v>22</v>
      </c>
      <c r="M202" s="3">
        <v>0</v>
      </c>
      <c r="O202">
        <f>MATCH(ROW(A202),Arr!O:O,FALSE)</f>
        <v>202</v>
      </c>
    </row>
    <row r="203" spans="1:15" x14ac:dyDescent="0.3">
      <c r="A203" s="41">
        <f t="shared" si="3"/>
        <v>202</v>
      </c>
      <c r="B203" s="3">
        <v>841</v>
      </c>
      <c r="C203" s="4" t="s">
        <v>134</v>
      </c>
      <c r="D203" s="4" t="s">
        <v>537</v>
      </c>
      <c r="E203" s="4" t="s">
        <v>15</v>
      </c>
      <c r="F203" s="4" t="s">
        <v>532</v>
      </c>
      <c r="G203" s="4" t="s">
        <v>21</v>
      </c>
      <c r="H203" s="3">
        <v>0</v>
      </c>
      <c r="I203" s="3">
        <v>30</v>
      </c>
      <c r="J203" s="4" t="s">
        <v>17</v>
      </c>
      <c r="K203" s="3">
        <v>25</v>
      </c>
      <c r="L203" s="4" t="s">
        <v>22</v>
      </c>
      <c r="M203" s="3">
        <v>0</v>
      </c>
      <c r="O203">
        <f>MATCH(ROW(A203),Arr!O:O,FALSE)</f>
        <v>203</v>
      </c>
    </row>
    <row r="204" spans="1:15" x14ac:dyDescent="0.3">
      <c r="A204" s="41">
        <f t="shared" si="3"/>
        <v>203</v>
      </c>
      <c r="B204" s="3">
        <v>880</v>
      </c>
      <c r="C204" s="4" t="s">
        <v>228</v>
      </c>
      <c r="D204" s="4" t="s">
        <v>537</v>
      </c>
      <c r="E204" s="4" t="s">
        <v>15</v>
      </c>
      <c r="F204" s="4" t="s">
        <v>493</v>
      </c>
      <c r="G204" s="4" t="s">
        <v>21</v>
      </c>
      <c r="H204" s="3">
        <v>0</v>
      </c>
      <c r="I204" s="3">
        <v>30</v>
      </c>
      <c r="J204" s="4" t="s">
        <v>28</v>
      </c>
      <c r="K204" s="3">
        <v>25</v>
      </c>
      <c r="L204" s="4" t="s">
        <v>22</v>
      </c>
      <c r="M204" s="3">
        <v>0</v>
      </c>
      <c r="O204">
        <f>MATCH(ROW(A204),Arr!O:O,FALSE)</f>
        <v>204</v>
      </c>
    </row>
    <row r="205" spans="1:15" x14ac:dyDescent="0.3">
      <c r="A205" s="41">
        <f t="shared" si="3"/>
        <v>204</v>
      </c>
      <c r="B205" s="3">
        <v>421</v>
      </c>
      <c r="C205" s="4" t="s">
        <v>505</v>
      </c>
      <c r="D205" s="4" t="s">
        <v>537</v>
      </c>
      <c r="E205" s="4" t="s">
        <v>15</v>
      </c>
      <c r="F205" s="4" t="s">
        <v>76</v>
      </c>
      <c r="G205" s="4" t="s">
        <v>21</v>
      </c>
      <c r="H205" s="3">
        <v>0</v>
      </c>
      <c r="I205" s="3">
        <v>30</v>
      </c>
      <c r="J205" s="4" t="s">
        <v>17</v>
      </c>
      <c r="K205" s="3">
        <v>25</v>
      </c>
      <c r="L205" s="4" t="s">
        <v>22</v>
      </c>
      <c r="M205" s="3">
        <v>0</v>
      </c>
      <c r="O205">
        <f>MATCH(ROW(A205),Arr!O:O,FALSE)</f>
        <v>205</v>
      </c>
    </row>
    <row r="206" spans="1:15" x14ac:dyDescent="0.3">
      <c r="A206" s="41">
        <f t="shared" si="3"/>
        <v>205</v>
      </c>
      <c r="B206" s="3">
        <v>493</v>
      </c>
      <c r="C206" s="4" t="s">
        <v>505</v>
      </c>
      <c r="D206" s="4" t="s">
        <v>537</v>
      </c>
      <c r="E206" s="4" t="s">
        <v>15</v>
      </c>
      <c r="F206" s="4" t="s">
        <v>167</v>
      </c>
      <c r="G206" s="4" t="s">
        <v>21</v>
      </c>
      <c r="H206" s="3">
        <v>0</v>
      </c>
      <c r="I206" s="3">
        <v>30</v>
      </c>
      <c r="J206" s="4" t="s">
        <v>17</v>
      </c>
      <c r="K206" s="3">
        <v>25</v>
      </c>
      <c r="L206" s="4" t="s">
        <v>22</v>
      </c>
      <c r="M206" s="3">
        <v>0</v>
      </c>
      <c r="O206">
        <f>MATCH(ROW(A206),Arr!O:O,FALSE)</f>
        <v>206</v>
      </c>
    </row>
    <row r="207" spans="1:15" x14ac:dyDescent="0.3">
      <c r="A207" s="41">
        <f t="shared" si="3"/>
        <v>206</v>
      </c>
      <c r="B207" s="3">
        <v>695</v>
      </c>
      <c r="C207" s="4" t="s">
        <v>37</v>
      </c>
      <c r="D207" s="4" t="s">
        <v>537</v>
      </c>
      <c r="E207" s="4" t="s">
        <v>15</v>
      </c>
      <c r="F207" s="4" t="s">
        <v>366</v>
      </c>
      <c r="G207" s="4" t="s">
        <v>21</v>
      </c>
      <c r="H207" s="3">
        <v>0</v>
      </c>
      <c r="I207" s="3">
        <v>30</v>
      </c>
      <c r="J207" s="4" t="s">
        <v>17</v>
      </c>
      <c r="K207" s="3">
        <v>25</v>
      </c>
      <c r="L207" s="4" t="s">
        <v>22</v>
      </c>
      <c r="M207" s="3">
        <v>0</v>
      </c>
      <c r="O207">
        <f>MATCH(ROW(A207),Arr!O:O,FALSE)</f>
        <v>207</v>
      </c>
    </row>
    <row r="208" spans="1:15" x14ac:dyDescent="0.3">
      <c r="A208" s="41">
        <f t="shared" si="3"/>
        <v>207</v>
      </c>
      <c r="B208" s="3">
        <v>857</v>
      </c>
      <c r="C208" s="4" t="s">
        <v>37</v>
      </c>
      <c r="D208" s="4" t="s">
        <v>537</v>
      </c>
      <c r="E208" s="4" t="s">
        <v>15</v>
      </c>
      <c r="F208" s="4" t="s">
        <v>474</v>
      </c>
      <c r="G208" s="4" t="s">
        <v>21</v>
      </c>
      <c r="H208" s="3">
        <v>0</v>
      </c>
      <c r="I208" s="3">
        <v>30</v>
      </c>
      <c r="J208" s="4" t="s">
        <v>28</v>
      </c>
      <c r="K208" s="3">
        <v>25</v>
      </c>
      <c r="L208" s="4" t="s">
        <v>22</v>
      </c>
      <c r="M208" s="3">
        <v>0</v>
      </c>
      <c r="O208">
        <f>MATCH(ROW(A208),Arr!O:O,FALSE)</f>
        <v>208</v>
      </c>
    </row>
    <row r="209" spans="1:15" x14ac:dyDescent="0.3">
      <c r="A209" s="41">
        <f t="shared" si="3"/>
        <v>208</v>
      </c>
      <c r="B209" s="3">
        <v>708</v>
      </c>
      <c r="C209" s="4" t="s">
        <v>328</v>
      </c>
      <c r="D209" s="4" t="s">
        <v>537</v>
      </c>
      <c r="E209" s="4" t="s">
        <v>15</v>
      </c>
      <c r="F209" s="4" t="s">
        <v>366</v>
      </c>
      <c r="G209" s="4" t="s">
        <v>21</v>
      </c>
      <c r="H209" s="3">
        <v>0</v>
      </c>
      <c r="I209" s="3">
        <v>30</v>
      </c>
      <c r="J209" s="4" t="s">
        <v>17</v>
      </c>
      <c r="K209" s="3">
        <v>25</v>
      </c>
      <c r="L209" s="4" t="s">
        <v>22</v>
      </c>
      <c r="M209" s="3">
        <v>0</v>
      </c>
      <c r="O209">
        <f>MATCH(ROW(A209),Arr!O:O,FALSE)</f>
        <v>209</v>
      </c>
    </row>
    <row r="210" spans="1:15" x14ac:dyDescent="0.3">
      <c r="A210" s="41">
        <f t="shared" si="3"/>
        <v>209</v>
      </c>
      <c r="B210" s="3">
        <v>694</v>
      </c>
      <c r="C210" s="4" t="s">
        <v>25</v>
      </c>
      <c r="D210" s="4" t="s">
        <v>537</v>
      </c>
      <c r="E210" s="4" t="s">
        <v>15</v>
      </c>
      <c r="F210" s="4" t="s">
        <v>366</v>
      </c>
      <c r="G210" s="4" t="s">
        <v>21</v>
      </c>
      <c r="H210" s="3">
        <v>0</v>
      </c>
      <c r="I210" s="3">
        <v>30</v>
      </c>
      <c r="J210" s="4" t="s">
        <v>17</v>
      </c>
      <c r="K210" s="3">
        <v>25</v>
      </c>
      <c r="L210" s="4" t="s">
        <v>22</v>
      </c>
      <c r="M210" s="3">
        <v>0</v>
      </c>
      <c r="O210">
        <f>MATCH(ROW(A210),Arr!O:O,FALSE)</f>
        <v>210</v>
      </c>
    </row>
    <row r="211" spans="1:15" x14ac:dyDescent="0.3">
      <c r="A211" s="41">
        <f t="shared" si="3"/>
        <v>210</v>
      </c>
      <c r="B211" s="3">
        <v>858</v>
      </c>
      <c r="C211" s="4" t="s">
        <v>25</v>
      </c>
      <c r="D211" s="4" t="s">
        <v>537</v>
      </c>
      <c r="E211" s="4" t="s">
        <v>15</v>
      </c>
      <c r="F211" s="4" t="s">
        <v>474</v>
      </c>
      <c r="G211" s="4" t="s">
        <v>21</v>
      </c>
      <c r="H211" s="3">
        <v>0</v>
      </c>
      <c r="I211" s="3">
        <v>30</v>
      </c>
      <c r="J211" s="4" t="s">
        <v>28</v>
      </c>
      <c r="K211" s="3">
        <v>25</v>
      </c>
      <c r="L211" s="4" t="s">
        <v>22</v>
      </c>
      <c r="M211" s="3">
        <v>0</v>
      </c>
      <c r="O211">
        <f>MATCH(ROW(A211),Arr!O:O,FALSE)</f>
        <v>211</v>
      </c>
    </row>
    <row r="212" spans="1:15" x14ac:dyDescent="0.3">
      <c r="A212" s="41">
        <f t="shared" si="3"/>
        <v>211</v>
      </c>
      <c r="B212" s="3">
        <v>855</v>
      </c>
      <c r="C212" s="4" t="s">
        <v>589</v>
      </c>
      <c r="D212" s="4" t="s">
        <v>537</v>
      </c>
      <c r="E212" s="4" t="s">
        <v>15</v>
      </c>
      <c r="F212" s="4" t="s">
        <v>474</v>
      </c>
      <c r="G212" s="4" t="s">
        <v>21</v>
      </c>
      <c r="H212" s="3">
        <v>0</v>
      </c>
      <c r="I212" s="3">
        <v>30</v>
      </c>
      <c r="J212" s="4" t="s">
        <v>28</v>
      </c>
      <c r="K212" s="3">
        <v>25</v>
      </c>
      <c r="L212" s="4" t="s">
        <v>22</v>
      </c>
      <c r="M212" s="3">
        <v>0</v>
      </c>
      <c r="O212">
        <f>MATCH(ROW(A212),Arr!O:O,FALSE)</f>
        <v>212</v>
      </c>
    </row>
    <row r="213" spans="1:15" x14ac:dyDescent="0.3">
      <c r="A213" s="41">
        <f t="shared" si="3"/>
        <v>212</v>
      </c>
      <c r="B213" s="3">
        <v>714</v>
      </c>
      <c r="C213" s="4" t="s">
        <v>93</v>
      </c>
      <c r="D213" s="4" t="s">
        <v>537</v>
      </c>
      <c r="E213" s="4" t="s">
        <v>15</v>
      </c>
      <c r="F213" s="4" t="s">
        <v>366</v>
      </c>
      <c r="G213" s="4" t="s">
        <v>21</v>
      </c>
      <c r="H213" s="3">
        <v>0</v>
      </c>
      <c r="I213" s="3">
        <v>30</v>
      </c>
      <c r="J213" s="4" t="s">
        <v>17</v>
      </c>
      <c r="K213" s="3">
        <v>25</v>
      </c>
      <c r="L213" s="4" t="s">
        <v>22</v>
      </c>
      <c r="M213" s="3">
        <v>0</v>
      </c>
      <c r="O213">
        <f>MATCH(ROW(A213),Arr!O:O,FALSE)</f>
        <v>213</v>
      </c>
    </row>
    <row r="214" spans="1:15" x14ac:dyDescent="0.3">
      <c r="A214" s="41">
        <f t="shared" si="3"/>
        <v>213</v>
      </c>
      <c r="B214" s="3">
        <v>717</v>
      </c>
      <c r="C214" s="4" t="s">
        <v>462</v>
      </c>
      <c r="D214" s="4" t="s">
        <v>537</v>
      </c>
      <c r="E214" s="4" t="s">
        <v>15</v>
      </c>
      <c r="F214" s="4" t="s">
        <v>366</v>
      </c>
      <c r="G214" s="4" t="s">
        <v>21</v>
      </c>
      <c r="H214" s="3">
        <v>0</v>
      </c>
      <c r="I214" s="3">
        <v>30</v>
      </c>
      <c r="J214" s="4" t="s">
        <v>17</v>
      </c>
      <c r="K214" s="3">
        <v>25</v>
      </c>
      <c r="L214" s="4" t="s">
        <v>22</v>
      </c>
      <c r="M214" s="3">
        <v>0</v>
      </c>
      <c r="O214">
        <f>MATCH(ROW(A214),Arr!O:O,FALSE)</f>
        <v>214</v>
      </c>
    </row>
    <row r="215" spans="1:15" x14ac:dyDescent="0.3">
      <c r="A215" s="41">
        <f t="shared" si="3"/>
        <v>214</v>
      </c>
      <c r="B215" s="3">
        <v>420</v>
      </c>
      <c r="C215" s="4" t="s">
        <v>203</v>
      </c>
      <c r="D215" s="4" t="s">
        <v>537</v>
      </c>
      <c r="E215" s="4" t="s">
        <v>15</v>
      </c>
      <c r="F215" s="4" t="s">
        <v>76</v>
      </c>
      <c r="G215" s="4" t="s">
        <v>21</v>
      </c>
      <c r="H215" s="3">
        <v>0</v>
      </c>
      <c r="I215" s="3">
        <v>30</v>
      </c>
      <c r="J215" s="4" t="s">
        <v>17</v>
      </c>
      <c r="K215" s="3">
        <v>25</v>
      </c>
      <c r="L215" s="4" t="s">
        <v>22</v>
      </c>
      <c r="M215" s="3">
        <v>0</v>
      </c>
      <c r="O215">
        <f>MATCH(ROW(A215),Arr!O:O,FALSE)</f>
        <v>215</v>
      </c>
    </row>
    <row r="216" spans="1:15" x14ac:dyDescent="0.3">
      <c r="A216" s="41">
        <f t="shared" si="3"/>
        <v>215</v>
      </c>
      <c r="B216" s="3">
        <v>840</v>
      </c>
      <c r="C216" s="4" t="s">
        <v>203</v>
      </c>
      <c r="D216" s="4" t="s">
        <v>537</v>
      </c>
      <c r="E216" s="4" t="s">
        <v>15</v>
      </c>
      <c r="F216" s="4" t="s">
        <v>532</v>
      </c>
      <c r="G216" s="4" t="s">
        <v>21</v>
      </c>
      <c r="H216" s="3">
        <v>0</v>
      </c>
      <c r="I216" s="3">
        <v>30</v>
      </c>
      <c r="J216" s="4" t="s">
        <v>17</v>
      </c>
      <c r="K216" s="3">
        <v>25</v>
      </c>
      <c r="L216" s="4" t="s">
        <v>22</v>
      </c>
      <c r="M216" s="3">
        <v>0</v>
      </c>
      <c r="O216">
        <f>MATCH(ROW(A216),Arr!O:O,FALSE)</f>
        <v>216</v>
      </c>
    </row>
    <row r="217" spans="1:15" x14ac:dyDescent="0.3">
      <c r="A217" s="41">
        <f t="shared" si="3"/>
        <v>216</v>
      </c>
      <c r="B217" s="3">
        <v>750</v>
      </c>
      <c r="C217" s="4" t="s">
        <v>402</v>
      </c>
      <c r="D217" s="4" t="s">
        <v>537</v>
      </c>
      <c r="E217" s="4" t="s">
        <v>15</v>
      </c>
      <c r="F217" s="4" t="s">
        <v>424</v>
      </c>
      <c r="G217" s="4" t="s">
        <v>21</v>
      </c>
      <c r="H217" s="3">
        <v>0</v>
      </c>
      <c r="I217" s="3">
        <v>30</v>
      </c>
      <c r="J217" s="4" t="s">
        <v>17</v>
      </c>
      <c r="K217" s="3">
        <v>25</v>
      </c>
      <c r="L217" s="4" t="s">
        <v>22</v>
      </c>
      <c r="M217" s="3">
        <v>0</v>
      </c>
      <c r="O217">
        <f>MATCH(ROW(A217),Arr!O:O,FALSE)</f>
        <v>217</v>
      </c>
    </row>
    <row r="218" spans="1:15" x14ac:dyDescent="0.3">
      <c r="A218" s="41">
        <f t="shared" si="3"/>
        <v>217</v>
      </c>
      <c r="B218" s="3">
        <v>848</v>
      </c>
      <c r="C218" s="4" t="s">
        <v>402</v>
      </c>
      <c r="D218" s="4" t="s">
        <v>537</v>
      </c>
      <c r="E218" s="4" t="s">
        <v>15</v>
      </c>
      <c r="F218" s="4" t="s">
        <v>474</v>
      </c>
      <c r="G218" s="4" t="s">
        <v>21</v>
      </c>
      <c r="H218" s="3">
        <v>0</v>
      </c>
      <c r="I218" s="3">
        <v>30</v>
      </c>
      <c r="J218" s="4" t="s">
        <v>28</v>
      </c>
      <c r="K218" s="3">
        <v>25</v>
      </c>
      <c r="L218" s="4" t="s">
        <v>22</v>
      </c>
      <c r="M218" s="3">
        <v>0</v>
      </c>
      <c r="O218">
        <f>MATCH(ROW(A218),Arr!O:O,FALSE)</f>
        <v>218</v>
      </c>
    </row>
    <row r="219" spans="1:15" x14ac:dyDescent="0.3">
      <c r="A219" s="41">
        <f t="shared" si="3"/>
        <v>218</v>
      </c>
      <c r="B219" s="3">
        <v>745</v>
      </c>
      <c r="C219" s="4" t="s">
        <v>535</v>
      </c>
      <c r="D219" s="4" t="s">
        <v>537</v>
      </c>
      <c r="E219" s="4" t="s">
        <v>15</v>
      </c>
      <c r="F219" s="4" t="s">
        <v>418</v>
      </c>
      <c r="G219" s="4" t="s">
        <v>21</v>
      </c>
      <c r="H219" s="3">
        <v>0</v>
      </c>
      <c r="I219" s="3">
        <v>30</v>
      </c>
      <c r="J219" s="4" t="s">
        <v>17</v>
      </c>
      <c r="K219" s="3">
        <v>25</v>
      </c>
      <c r="L219" s="4" t="s">
        <v>22</v>
      </c>
      <c r="M219" s="3">
        <v>0</v>
      </c>
      <c r="O219">
        <f>MATCH(ROW(A219),Arr!O:O,FALSE)</f>
        <v>219</v>
      </c>
    </row>
    <row r="220" spans="1:15" x14ac:dyDescent="0.3">
      <c r="A220" s="41">
        <f t="shared" si="3"/>
        <v>219</v>
      </c>
      <c r="B220" s="3">
        <v>715</v>
      </c>
      <c r="C220" s="4" t="s">
        <v>132</v>
      </c>
      <c r="D220" s="4" t="s">
        <v>537</v>
      </c>
      <c r="E220" s="4" t="s">
        <v>15</v>
      </c>
      <c r="F220" s="4" t="s">
        <v>366</v>
      </c>
      <c r="G220" s="4" t="s">
        <v>21</v>
      </c>
      <c r="H220" s="3">
        <v>0</v>
      </c>
      <c r="I220" s="3">
        <v>30</v>
      </c>
      <c r="J220" s="4" t="s">
        <v>17</v>
      </c>
      <c r="K220" s="3">
        <v>25</v>
      </c>
      <c r="L220" s="4" t="s">
        <v>22</v>
      </c>
      <c r="M220" s="3">
        <v>0</v>
      </c>
      <c r="O220">
        <f>MATCH(ROW(A220),Arr!O:O,FALSE)</f>
        <v>220</v>
      </c>
    </row>
    <row r="221" spans="1:15" x14ac:dyDescent="0.3">
      <c r="A221" s="41">
        <f t="shared" si="3"/>
        <v>220</v>
      </c>
      <c r="B221" s="3">
        <v>881</v>
      </c>
      <c r="C221" s="4" t="s">
        <v>621</v>
      </c>
      <c r="D221" s="4" t="s">
        <v>537</v>
      </c>
      <c r="E221" s="4" t="s">
        <v>15</v>
      </c>
      <c r="F221" s="4" t="s">
        <v>493</v>
      </c>
      <c r="G221" s="4" t="s">
        <v>21</v>
      </c>
      <c r="H221" s="3">
        <v>0</v>
      </c>
      <c r="I221" s="3">
        <v>30</v>
      </c>
      <c r="J221" s="4" t="s">
        <v>28</v>
      </c>
      <c r="K221" s="3">
        <v>25</v>
      </c>
      <c r="L221" s="4" t="s">
        <v>22</v>
      </c>
      <c r="M221" s="3">
        <v>0</v>
      </c>
      <c r="O221">
        <f>MATCH(ROW(A221),Arr!O:O,FALSE)</f>
        <v>221</v>
      </c>
    </row>
    <row r="222" spans="1:15" x14ac:dyDescent="0.3">
      <c r="A222" s="41">
        <f t="shared" si="3"/>
        <v>221</v>
      </c>
      <c r="B222" s="3">
        <v>844</v>
      </c>
      <c r="C222" s="4" t="s">
        <v>396</v>
      </c>
      <c r="D222" s="4" t="s">
        <v>537</v>
      </c>
      <c r="E222" s="4" t="s">
        <v>15</v>
      </c>
      <c r="F222" s="4" t="s">
        <v>534</v>
      </c>
      <c r="G222" s="4" t="s">
        <v>21</v>
      </c>
      <c r="H222" s="3">
        <v>0</v>
      </c>
      <c r="I222" s="3">
        <v>30</v>
      </c>
      <c r="J222" s="4" t="s">
        <v>28</v>
      </c>
      <c r="K222" s="3">
        <v>25</v>
      </c>
      <c r="L222" s="4" t="s">
        <v>22</v>
      </c>
      <c r="M222" s="3">
        <v>0</v>
      </c>
      <c r="O222">
        <f>MATCH(ROW(A222),Arr!O:O,FALSE)</f>
        <v>222</v>
      </c>
    </row>
    <row r="223" spans="1:15" x14ac:dyDescent="0.3">
      <c r="A223" s="41">
        <f t="shared" si="3"/>
        <v>222</v>
      </c>
      <c r="B223" s="3">
        <v>692</v>
      </c>
      <c r="C223" s="4" t="s">
        <v>189</v>
      </c>
      <c r="D223" s="4" t="s">
        <v>537</v>
      </c>
      <c r="E223" s="4" t="s">
        <v>15</v>
      </c>
      <c r="F223" s="4" t="s">
        <v>366</v>
      </c>
      <c r="G223" s="4" t="s">
        <v>21</v>
      </c>
      <c r="H223" s="3">
        <v>0</v>
      </c>
      <c r="I223" s="3">
        <v>30</v>
      </c>
      <c r="J223" s="4" t="s">
        <v>17</v>
      </c>
      <c r="K223" s="3">
        <v>25</v>
      </c>
      <c r="L223" s="4" t="s">
        <v>22</v>
      </c>
      <c r="M223" s="3">
        <v>0</v>
      </c>
      <c r="O223">
        <f>MATCH(ROW(A223),Arr!O:O,FALSE)</f>
        <v>223</v>
      </c>
    </row>
    <row r="224" spans="1:15" x14ac:dyDescent="0.3">
      <c r="A224" s="41">
        <f t="shared" si="3"/>
        <v>223</v>
      </c>
      <c r="B224" s="3">
        <v>861</v>
      </c>
      <c r="C224" s="4" t="s">
        <v>189</v>
      </c>
      <c r="D224" s="4" t="s">
        <v>537</v>
      </c>
      <c r="E224" s="4" t="s">
        <v>15</v>
      </c>
      <c r="F224" s="4" t="s">
        <v>474</v>
      </c>
      <c r="G224" s="4" t="s">
        <v>21</v>
      </c>
      <c r="H224" s="3">
        <v>0</v>
      </c>
      <c r="I224" s="3">
        <v>30</v>
      </c>
      <c r="J224" s="4" t="s">
        <v>28</v>
      </c>
      <c r="K224" s="3">
        <v>25</v>
      </c>
      <c r="L224" s="4" t="s">
        <v>22</v>
      </c>
      <c r="M224" s="3">
        <v>0</v>
      </c>
      <c r="O224">
        <f>MATCH(ROW(A224),Arr!O:O,FALSE)</f>
        <v>224</v>
      </c>
    </row>
    <row r="225" spans="1:15" x14ac:dyDescent="0.3">
      <c r="A225" s="41">
        <f t="shared" si="3"/>
        <v>224</v>
      </c>
      <c r="B225" s="3">
        <v>612</v>
      </c>
      <c r="C225" s="4" t="s">
        <v>294</v>
      </c>
      <c r="D225" s="4" t="s">
        <v>537</v>
      </c>
      <c r="E225" s="4" t="s">
        <v>15</v>
      </c>
      <c r="F225" s="4" t="s">
        <v>299</v>
      </c>
      <c r="G225" s="4" t="s">
        <v>21</v>
      </c>
      <c r="H225" s="3">
        <v>0</v>
      </c>
      <c r="I225" s="3">
        <v>30</v>
      </c>
      <c r="J225" s="4" t="s">
        <v>17</v>
      </c>
      <c r="K225" s="3">
        <v>25</v>
      </c>
      <c r="L225" s="4" t="s">
        <v>22</v>
      </c>
      <c r="M225" s="3">
        <v>0</v>
      </c>
      <c r="O225">
        <f>MATCH(ROW(A225),Arr!O:O,FALSE)</f>
        <v>225</v>
      </c>
    </row>
    <row r="226" spans="1:15" x14ac:dyDescent="0.3">
      <c r="A226" s="41">
        <f t="shared" si="3"/>
        <v>225</v>
      </c>
      <c r="B226" s="3">
        <v>489</v>
      </c>
      <c r="C226" s="4" t="s">
        <v>624</v>
      </c>
      <c r="D226" s="4" t="s">
        <v>537</v>
      </c>
      <c r="E226" s="4" t="s">
        <v>15</v>
      </c>
      <c r="F226" s="4" t="s">
        <v>162</v>
      </c>
      <c r="G226" s="4" t="s">
        <v>21</v>
      </c>
      <c r="H226" s="3">
        <v>0</v>
      </c>
      <c r="I226" s="3">
        <v>30</v>
      </c>
      <c r="J226" s="4" t="s">
        <v>17</v>
      </c>
      <c r="K226" s="3">
        <v>25</v>
      </c>
      <c r="L226" s="4" t="s">
        <v>22</v>
      </c>
      <c r="M226" s="3">
        <v>0</v>
      </c>
      <c r="O226">
        <f>MATCH(ROW(A226),Arr!O:O,FALSE)</f>
        <v>226</v>
      </c>
    </row>
    <row r="227" spans="1:15" x14ac:dyDescent="0.3">
      <c r="A227" s="41">
        <f t="shared" si="3"/>
        <v>226</v>
      </c>
      <c r="B227" s="3">
        <v>693</v>
      </c>
      <c r="C227" s="4" t="s">
        <v>142</v>
      </c>
      <c r="D227" s="4" t="s">
        <v>537</v>
      </c>
      <c r="E227" s="4" t="s">
        <v>15</v>
      </c>
      <c r="F227" s="4" t="s">
        <v>366</v>
      </c>
      <c r="G227" s="4" t="s">
        <v>21</v>
      </c>
      <c r="H227" s="3">
        <v>0</v>
      </c>
      <c r="I227" s="3">
        <v>30</v>
      </c>
      <c r="J227" s="4" t="s">
        <v>17</v>
      </c>
      <c r="K227" s="3">
        <v>25</v>
      </c>
      <c r="L227" s="4" t="s">
        <v>22</v>
      </c>
      <c r="M227" s="3">
        <v>0</v>
      </c>
      <c r="O227">
        <f>MATCH(ROW(A227),Arr!O:O,FALSE)</f>
        <v>227</v>
      </c>
    </row>
    <row r="228" spans="1:15" x14ac:dyDescent="0.3">
      <c r="A228" s="41">
        <f t="shared" si="3"/>
        <v>227</v>
      </c>
      <c r="B228" s="3">
        <v>879</v>
      </c>
      <c r="C228" s="4" t="s">
        <v>533</v>
      </c>
      <c r="D228" s="4" t="s">
        <v>537</v>
      </c>
      <c r="E228" s="4" t="s">
        <v>15</v>
      </c>
      <c r="F228" s="4" t="s">
        <v>493</v>
      </c>
      <c r="G228" s="4" t="s">
        <v>21</v>
      </c>
      <c r="H228" s="3">
        <v>0</v>
      </c>
      <c r="I228" s="3">
        <v>30</v>
      </c>
      <c r="J228" s="4" t="s">
        <v>28</v>
      </c>
      <c r="K228" s="3">
        <v>25</v>
      </c>
      <c r="L228" s="4" t="s">
        <v>22</v>
      </c>
      <c r="M228" s="3">
        <v>0</v>
      </c>
      <c r="O228">
        <f>MATCH(ROW(A228),Arr!O:O,FALSE)</f>
        <v>228</v>
      </c>
    </row>
    <row r="229" spans="1:15" x14ac:dyDescent="0.3">
      <c r="A229" s="41">
        <f t="shared" si="3"/>
        <v>228</v>
      </c>
      <c r="B229" s="3">
        <v>423</v>
      </c>
      <c r="C229" s="4" t="s">
        <v>354</v>
      </c>
      <c r="D229" s="4" t="s">
        <v>537</v>
      </c>
      <c r="E229" s="4" t="s">
        <v>15</v>
      </c>
      <c r="F229" s="4" t="s">
        <v>76</v>
      </c>
      <c r="G229" s="4" t="s">
        <v>21</v>
      </c>
      <c r="H229" s="3">
        <v>0</v>
      </c>
      <c r="I229" s="3">
        <v>30</v>
      </c>
      <c r="J229" s="4" t="s">
        <v>17</v>
      </c>
      <c r="K229" s="3">
        <v>25</v>
      </c>
      <c r="L229" s="4" t="s">
        <v>22</v>
      </c>
      <c r="M229" s="3">
        <v>0</v>
      </c>
      <c r="O229">
        <f>MATCH(ROW(A229),Arr!O:O,FALSE)</f>
        <v>229</v>
      </c>
    </row>
    <row r="230" spans="1:15" x14ac:dyDescent="0.3">
      <c r="A230" s="41">
        <f t="shared" si="3"/>
        <v>229</v>
      </c>
      <c r="B230" s="3">
        <v>860</v>
      </c>
      <c r="C230" s="4" t="s">
        <v>238</v>
      </c>
      <c r="D230" s="4" t="s">
        <v>537</v>
      </c>
      <c r="E230" s="4" t="s">
        <v>15</v>
      </c>
      <c r="F230" s="4" t="s">
        <v>474</v>
      </c>
      <c r="G230" s="4" t="s">
        <v>21</v>
      </c>
      <c r="H230" s="3">
        <v>0</v>
      </c>
      <c r="I230" s="3">
        <v>30</v>
      </c>
      <c r="J230" s="4" t="s">
        <v>28</v>
      </c>
      <c r="K230" s="3">
        <v>25</v>
      </c>
      <c r="L230" s="4" t="s">
        <v>22</v>
      </c>
      <c r="M230" s="3">
        <v>0</v>
      </c>
      <c r="O230">
        <f>MATCH(ROW(A230),Arr!O:O,FALSE)</f>
        <v>230</v>
      </c>
    </row>
    <row r="231" spans="1:15" x14ac:dyDescent="0.3">
      <c r="A231" s="41">
        <f t="shared" si="3"/>
        <v>230</v>
      </c>
      <c r="B231" s="3">
        <v>752</v>
      </c>
      <c r="C231" s="4" t="s">
        <v>478</v>
      </c>
      <c r="D231" s="4" t="s">
        <v>537</v>
      </c>
      <c r="E231" s="4" t="s">
        <v>15</v>
      </c>
      <c r="F231" s="4" t="s">
        <v>424</v>
      </c>
      <c r="G231" s="4" t="s">
        <v>21</v>
      </c>
      <c r="H231" s="3">
        <v>0</v>
      </c>
      <c r="I231" s="3">
        <v>30</v>
      </c>
      <c r="J231" s="4" t="s">
        <v>17</v>
      </c>
      <c r="K231" s="3">
        <v>25</v>
      </c>
      <c r="L231" s="4" t="s">
        <v>22</v>
      </c>
      <c r="M231" s="3">
        <v>0</v>
      </c>
      <c r="O231">
        <f>MATCH(ROW(A231),Arr!O:O,FALSE)</f>
        <v>231</v>
      </c>
    </row>
    <row r="232" spans="1:15" x14ac:dyDescent="0.3">
      <c r="A232" s="41">
        <f t="shared" si="3"/>
        <v>231</v>
      </c>
      <c r="B232" s="3">
        <v>711</v>
      </c>
      <c r="C232" s="4" t="s">
        <v>548</v>
      </c>
      <c r="D232" s="4" t="s">
        <v>537</v>
      </c>
      <c r="E232" s="4" t="s">
        <v>15</v>
      </c>
      <c r="F232" s="4" t="s">
        <v>366</v>
      </c>
      <c r="G232" s="4" t="s">
        <v>21</v>
      </c>
      <c r="H232" s="3">
        <v>0</v>
      </c>
      <c r="I232" s="3">
        <v>30</v>
      </c>
      <c r="J232" s="4" t="s">
        <v>17</v>
      </c>
      <c r="K232" s="3">
        <v>25</v>
      </c>
      <c r="L232" s="4" t="s">
        <v>22</v>
      </c>
      <c r="M232" s="3">
        <v>0</v>
      </c>
      <c r="O232">
        <f>MATCH(ROW(A232),Arr!O:O,FALSE)</f>
        <v>232</v>
      </c>
    </row>
    <row r="233" spans="1:15" x14ac:dyDescent="0.3">
      <c r="A233" s="41">
        <f t="shared" si="3"/>
        <v>232</v>
      </c>
      <c r="B233" s="3">
        <v>713</v>
      </c>
      <c r="C233" s="4" t="s">
        <v>567</v>
      </c>
      <c r="D233" s="4" t="s">
        <v>537</v>
      </c>
      <c r="E233" s="4" t="s">
        <v>15</v>
      </c>
      <c r="F233" s="4" t="s">
        <v>366</v>
      </c>
      <c r="G233" s="4" t="s">
        <v>21</v>
      </c>
      <c r="H233" s="3">
        <v>0</v>
      </c>
      <c r="I233" s="3">
        <v>30</v>
      </c>
      <c r="J233" s="4" t="s">
        <v>17</v>
      </c>
      <c r="K233" s="3">
        <v>25</v>
      </c>
      <c r="L233" s="4" t="s">
        <v>22</v>
      </c>
      <c r="M233" s="3">
        <v>0</v>
      </c>
      <c r="O233">
        <f>MATCH(ROW(A233),Arr!O:O,FALSE)</f>
        <v>233</v>
      </c>
    </row>
    <row r="234" spans="1:15" x14ac:dyDescent="0.3">
      <c r="A234" s="41">
        <f t="shared" si="3"/>
        <v>233</v>
      </c>
      <c r="B234" s="3">
        <v>852</v>
      </c>
      <c r="C234" s="4" t="s">
        <v>567</v>
      </c>
      <c r="D234" s="4" t="s">
        <v>537</v>
      </c>
      <c r="E234" s="4" t="s">
        <v>15</v>
      </c>
      <c r="F234" s="4" t="s">
        <v>474</v>
      </c>
      <c r="G234" s="4" t="s">
        <v>21</v>
      </c>
      <c r="H234" s="3">
        <v>0</v>
      </c>
      <c r="I234" s="3">
        <v>30</v>
      </c>
      <c r="J234" s="4" t="s">
        <v>28</v>
      </c>
      <c r="K234" s="3">
        <v>25</v>
      </c>
      <c r="L234" s="4" t="s">
        <v>22</v>
      </c>
      <c r="M234" s="3">
        <v>0</v>
      </c>
      <c r="O234">
        <f>MATCH(ROW(A234),Arr!O:O,FALSE)</f>
        <v>234</v>
      </c>
    </row>
    <row r="235" spans="1:15" x14ac:dyDescent="0.3">
      <c r="A235" s="41">
        <f t="shared" si="3"/>
        <v>234</v>
      </c>
      <c r="B235" s="3">
        <v>876</v>
      </c>
      <c r="C235" s="4" t="s">
        <v>161</v>
      </c>
      <c r="D235" s="4" t="s">
        <v>537</v>
      </c>
      <c r="E235" s="4" t="s">
        <v>15</v>
      </c>
      <c r="F235" s="4" t="s">
        <v>493</v>
      </c>
      <c r="G235" s="4" t="s">
        <v>21</v>
      </c>
      <c r="H235" s="3">
        <v>0</v>
      </c>
      <c r="I235" s="3">
        <v>30</v>
      </c>
      <c r="J235" s="4" t="s">
        <v>28</v>
      </c>
      <c r="K235" s="3">
        <v>25</v>
      </c>
      <c r="L235" s="4" t="s">
        <v>22</v>
      </c>
      <c r="M235" s="3">
        <v>0</v>
      </c>
      <c r="O235">
        <f>MATCH(ROW(A235),Arr!O:O,FALSE)</f>
        <v>235</v>
      </c>
    </row>
    <row r="236" spans="1:15" x14ac:dyDescent="0.3">
      <c r="A236" s="41">
        <f t="shared" si="3"/>
        <v>235</v>
      </c>
      <c r="B236" s="3">
        <v>739</v>
      </c>
      <c r="C236" s="4" t="s">
        <v>603</v>
      </c>
      <c r="D236" s="4" t="s">
        <v>537</v>
      </c>
      <c r="E236" s="4" t="s">
        <v>15</v>
      </c>
      <c r="F236" s="4" t="s">
        <v>418</v>
      </c>
      <c r="G236" s="4" t="s">
        <v>21</v>
      </c>
      <c r="H236" s="3">
        <v>0</v>
      </c>
      <c r="I236" s="3">
        <v>30</v>
      </c>
      <c r="J236" s="4" t="s">
        <v>17</v>
      </c>
      <c r="K236" s="3">
        <v>25</v>
      </c>
      <c r="L236" s="4" t="s">
        <v>22</v>
      </c>
      <c r="M236" s="3">
        <v>0</v>
      </c>
      <c r="O236">
        <f>MATCH(ROW(A236),Arr!O:O,FALSE)</f>
        <v>236</v>
      </c>
    </row>
    <row r="237" spans="1:15" x14ac:dyDescent="0.3">
      <c r="A237" s="41">
        <f t="shared" si="3"/>
        <v>236</v>
      </c>
      <c r="B237" s="3">
        <v>384</v>
      </c>
      <c r="C237" s="4" t="s">
        <v>321</v>
      </c>
      <c r="D237" s="4" t="s">
        <v>537</v>
      </c>
      <c r="E237" s="4" t="s">
        <v>15</v>
      </c>
      <c r="F237" s="4" t="s">
        <v>20</v>
      </c>
      <c r="G237" s="4" t="s">
        <v>21</v>
      </c>
      <c r="H237" s="3">
        <v>0</v>
      </c>
      <c r="I237" s="3">
        <v>30</v>
      </c>
      <c r="J237" s="4" t="s">
        <v>17</v>
      </c>
      <c r="K237" s="3">
        <v>25</v>
      </c>
      <c r="L237" s="4" t="s">
        <v>22</v>
      </c>
      <c r="M237" s="3">
        <v>0</v>
      </c>
      <c r="O237">
        <f>MATCH(ROW(A237),Arr!O:O,FALSE)</f>
        <v>237</v>
      </c>
    </row>
    <row r="238" spans="1:15" x14ac:dyDescent="0.3">
      <c r="A238" s="41">
        <f t="shared" si="3"/>
        <v>237</v>
      </c>
      <c r="B238" s="3">
        <v>843</v>
      </c>
      <c r="C238" s="4" t="s">
        <v>321</v>
      </c>
      <c r="D238" s="4" t="s">
        <v>537</v>
      </c>
      <c r="E238" s="4" t="s">
        <v>15</v>
      </c>
      <c r="F238" s="4" t="s">
        <v>532</v>
      </c>
      <c r="G238" s="4" t="s">
        <v>21</v>
      </c>
      <c r="H238" s="3">
        <v>0</v>
      </c>
      <c r="I238" s="3">
        <v>30</v>
      </c>
      <c r="J238" s="4" t="s">
        <v>17</v>
      </c>
      <c r="K238" s="3">
        <v>25</v>
      </c>
      <c r="L238" s="4" t="s">
        <v>22</v>
      </c>
      <c r="M238" s="3">
        <v>0</v>
      </c>
      <c r="O238">
        <f>MATCH(ROW(A238),Arr!O:O,FALSE)</f>
        <v>238</v>
      </c>
    </row>
    <row r="239" spans="1:15" x14ac:dyDescent="0.3">
      <c r="A239" s="41">
        <f t="shared" si="3"/>
        <v>238</v>
      </c>
      <c r="B239" s="3">
        <v>698</v>
      </c>
      <c r="C239" s="4" t="s">
        <v>449</v>
      </c>
      <c r="D239" s="4" t="s">
        <v>537</v>
      </c>
      <c r="E239" s="4" t="s">
        <v>15</v>
      </c>
      <c r="F239" s="4" t="s">
        <v>366</v>
      </c>
      <c r="G239" s="4" t="s">
        <v>21</v>
      </c>
      <c r="H239" s="3">
        <v>0</v>
      </c>
      <c r="I239" s="3">
        <v>30</v>
      </c>
      <c r="J239" s="4" t="s">
        <v>17</v>
      </c>
      <c r="K239" s="3">
        <v>25</v>
      </c>
      <c r="L239" s="4" t="s">
        <v>22</v>
      </c>
      <c r="M239" s="3">
        <v>0</v>
      </c>
      <c r="O239">
        <f>MATCH(ROW(A239),Arr!O:O,FALSE)</f>
        <v>239</v>
      </c>
    </row>
    <row r="240" spans="1:15" x14ac:dyDescent="0.3">
      <c r="A240" s="41">
        <f t="shared" si="3"/>
        <v>239</v>
      </c>
      <c r="B240" s="3">
        <v>422</v>
      </c>
      <c r="C240" s="4" t="s">
        <v>380</v>
      </c>
      <c r="D240" s="4" t="s">
        <v>537</v>
      </c>
      <c r="E240" s="4" t="s">
        <v>15</v>
      </c>
      <c r="F240" s="4" t="s">
        <v>76</v>
      </c>
      <c r="G240" s="4" t="s">
        <v>21</v>
      </c>
      <c r="H240" s="3">
        <v>0</v>
      </c>
      <c r="I240" s="3">
        <v>30</v>
      </c>
      <c r="J240" s="4" t="s">
        <v>17</v>
      </c>
      <c r="K240" s="3">
        <v>25</v>
      </c>
      <c r="L240" s="4" t="s">
        <v>22</v>
      </c>
      <c r="M240" s="3">
        <v>0</v>
      </c>
      <c r="O240">
        <f>MATCH(ROW(A240),Arr!O:O,FALSE)</f>
        <v>240</v>
      </c>
    </row>
    <row r="241" spans="1:15" x14ac:dyDescent="0.3">
      <c r="A241" s="41">
        <f t="shared" si="3"/>
        <v>240</v>
      </c>
      <c r="B241" s="3">
        <v>700</v>
      </c>
      <c r="C241" s="4" t="s">
        <v>302</v>
      </c>
      <c r="D241" s="4" t="s">
        <v>537</v>
      </c>
      <c r="E241" s="4" t="s">
        <v>15</v>
      </c>
      <c r="F241" s="4" t="s">
        <v>366</v>
      </c>
      <c r="G241" s="4" t="s">
        <v>21</v>
      </c>
      <c r="H241" s="3">
        <v>0</v>
      </c>
      <c r="I241" s="3">
        <v>30</v>
      </c>
      <c r="J241" s="4" t="s">
        <v>17</v>
      </c>
      <c r="K241" s="3">
        <v>25</v>
      </c>
      <c r="L241" s="4" t="s">
        <v>22</v>
      </c>
      <c r="M241" s="3">
        <v>0</v>
      </c>
      <c r="O241">
        <f>MATCH(ROW(A241),Arr!O:O,FALSE)</f>
        <v>241</v>
      </c>
    </row>
    <row r="242" spans="1:15" x14ac:dyDescent="0.3">
      <c r="A242" s="41">
        <f t="shared" si="3"/>
        <v>241</v>
      </c>
      <c r="B242" s="3">
        <v>853</v>
      </c>
      <c r="C242" s="4" t="s">
        <v>302</v>
      </c>
      <c r="D242" s="4" t="s">
        <v>537</v>
      </c>
      <c r="E242" s="4" t="s">
        <v>15</v>
      </c>
      <c r="F242" s="4" t="s">
        <v>474</v>
      </c>
      <c r="G242" s="4" t="s">
        <v>21</v>
      </c>
      <c r="H242" s="3">
        <v>0</v>
      </c>
      <c r="I242" s="3">
        <v>30</v>
      </c>
      <c r="J242" s="4" t="s">
        <v>28</v>
      </c>
      <c r="K242" s="3">
        <v>25</v>
      </c>
      <c r="L242" s="4" t="s">
        <v>22</v>
      </c>
      <c r="M242" s="3">
        <v>0</v>
      </c>
      <c r="O242">
        <f>MATCH(ROW(A242),Arr!O:O,FALSE)</f>
        <v>242</v>
      </c>
    </row>
    <row r="243" spans="1:15" x14ac:dyDescent="0.3">
      <c r="A243" s="41">
        <f t="shared" si="3"/>
        <v>242</v>
      </c>
      <c r="B243" s="3">
        <v>709</v>
      </c>
      <c r="C243" s="4" t="s">
        <v>272</v>
      </c>
      <c r="D243" s="4" t="s">
        <v>537</v>
      </c>
      <c r="E243" s="4" t="s">
        <v>15</v>
      </c>
      <c r="F243" s="4" t="s">
        <v>366</v>
      </c>
      <c r="G243" s="4" t="s">
        <v>21</v>
      </c>
      <c r="H243" s="3">
        <v>0</v>
      </c>
      <c r="I243" s="3">
        <v>30</v>
      </c>
      <c r="J243" s="4" t="s">
        <v>17</v>
      </c>
      <c r="K243" s="3">
        <v>25</v>
      </c>
      <c r="L243" s="4" t="s">
        <v>22</v>
      </c>
      <c r="M243" s="3">
        <v>0</v>
      </c>
      <c r="O243">
        <f>MATCH(ROW(A243),Arr!O:O,FALSE)</f>
        <v>243</v>
      </c>
    </row>
    <row r="244" spans="1:15" x14ac:dyDescent="0.3">
      <c r="A244" s="41">
        <f t="shared" si="3"/>
        <v>243</v>
      </c>
      <c r="B244" s="3">
        <v>847</v>
      </c>
      <c r="C244" s="4" t="s">
        <v>272</v>
      </c>
      <c r="D244" s="4" t="s">
        <v>537</v>
      </c>
      <c r="E244" s="4" t="s">
        <v>15</v>
      </c>
      <c r="F244" s="4" t="s">
        <v>534</v>
      </c>
      <c r="G244" s="4" t="s">
        <v>21</v>
      </c>
      <c r="H244" s="3">
        <v>0</v>
      </c>
      <c r="I244" s="3">
        <v>30</v>
      </c>
      <c r="J244" s="4" t="s">
        <v>28</v>
      </c>
      <c r="K244" s="3">
        <v>25</v>
      </c>
      <c r="L244" s="4" t="s">
        <v>22</v>
      </c>
      <c r="M244" s="3">
        <v>0</v>
      </c>
      <c r="O244">
        <f>MATCH(ROW(A244),Arr!O:O,FALSE)</f>
        <v>244</v>
      </c>
    </row>
    <row r="245" spans="1:15" x14ac:dyDescent="0.3">
      <c r="A245" s="41">
        <f t="shared" si="3"/>
        <v>244</v>
      </c>
      <c r="B245" s="3">
        <v>622</v>
      </c>
      <c r="C245" s="4" t="s">
        <v>583</v>
      </c>
      <c r="D245" s="4" t="s">
        <v>537</v>
      </c>
      <c r="E245" s="4" t="s">
        <v>15</v>
      </c>
      <c r="F245" s="4" t="s">
        <v>312</v>
      </c>
      <c r="G245" s="4" t="s">
        <v>21</v>
      </c>
      <c r="H245" s="3">
        <v>0</v>
      </c>
      <c r="I245" s="3">
        <v>30</v>
      </c>
      <c r="J245" s="4" t="s">
        <v>17</v>
      </c>
      <c r="K245" s="3">
        <v>25</v>
      </c>
      <c r="L245" s="4" t="s">
        <v>22</v>
      </c>
      <c r="M245" s="3">
        <v>0</v>
      </c>
      <c r="O245">
        <f>MATCH(ROW(A245),Arr!O:O,FALSE)</f>
        <v>245</v>
      </c>
    </row>
    <row r="246" spans="1:15" x14ac:dyDescent="0.3">
      <c r="A246" s="41">
        <f t="shared" si="3"/>
        <v>245</v>
      </c>
      <c r="B246" s="3">
        <v>492</v>
      </c>
      <c r="C246" s="4" t="s">
        <v>583</v>
      </c>
      <c r="D246" s="4" t="s">
        <v>537</v>
      </c>
      <c r="E246" s="4" t="s">
        <v>15</v>
      </c>
      <c r="F246" s="4" t="s">
        <v>167</v>
      </c>
      <c r="G246" s="4" t="s">
        <v>21</v>
      </c>
      <c r="H246" s="3">
        <v>0</v>
      </c>
      <c r="I246" s="3">
        <v>30</v>
      </c>
      <c r="J246" s="4" t="s">
        <v>17</v>
      </c>
      <c r="K246" s="3">
        <v>25</v>
      </c>
      <c r="L246" s="4" t="s">
        <v>22</v>
      </c>
      <c r="M246" s="3">
        <v>0</v>
      </c>
      <c r="O246">
        <f>MATCH(ROW(A246),Arr!O:O,FALSE)</f>
        <v>246</v>
      </c>
    </row>
    <row r="247" spans="1:15" x14ac:dyDescent="0.3">
      <c r="A247" s="41">
        <f t="shared" si="3"/>
        <v>246</v>
      </c>
      <c r="B247" s="3">
        <v>747</v>
      </c>
      <c r="C247" s="4" t="s">
        <v>403</v>
      </c>
      <c r="D247" s="4" t="s">
        <v>537</v>
      </c>
      <c r="E247" s="4" t="s">
        <v>15</v>
      </c>
      <c r="F247" s="4" t="s">
        <v>423</v>
      </c>
      <c r="G247" s="4" t="s">
        <v>21</v>
      </c>
      <c r="H247" s="3">
        <v>0</v>
      </c>
      <c r="I247" s="3">
        <v>30</v>
      </c>
      <c r="J247" s="4" t="s">
        <v>17</v>
      </c>
      <c r="K247" s="3">
        <v>25</v>
      </c>
      <c r="L247" s="4" t="s">
        <v>22</v>
      </c>
      <c r="M247" s="3">
        <v>0</v>
      </c>
      <c r="O247">
        <f>MATCH(ROW(A247),Arr!O:O,FALSE)</f>
        <v>247</v>
      </c>
    </row>
    <row r="248" spans="1:15" x14ac:dyDescent="0.3">
      <c r="A248" s="41">
        <f t="shared" si="3"/>
        <v>247</v>
      </c>
      <c r="B248" s="3">
        <v>706</v>
      </c>
      <c r="C248" s="4" t="s">
        <v>426</v>
      </c>
      <c r="D248" s="4" t="s">
        <v>537</v>
      </c>
      <c r="E248" s="4" t="s">
        <v>15</v>
      </c>
      <c r="F248" s="4" t="s">
        <v>366</v>
      </c>
      <c r="G248" s="4" t="s">
        <v>21</v>
      </c>
      <c r="H248" s="3">
        <v>0</v>
      </c>
      <c r="I248" s="3">
        <v>30</v>
      </c>
      <c r="J248" s="4" t="s">
        <v>17</v>
      </c>
      <c r="K248" s="3">
        <v>25</v>
      </c>
      <c r="L248" s="4" t="s">
        <v>22</v>
      </c>
      <c r="M248" s="3">
        <v>0</v>
      </c>
      <c r="O248">
        <f>MATCH(ROW(A248),Arr!O:O,FALSE)</f>
        <v>248</v>
      </c>
    </row>
    <row r="249" spans="1:15" x14ac:dyDescent="0.3">
      <c r="A249" s="41">
        <f t="shared" si="3"/>
        <v>248</v>
      </c>
      <c r="B249" s="3">
        <v>488</v>
      </c>
      <c r="C249" s="4" t="s">
        <v>487</v>
      </c>
      <c r="D249" s="4" t="s">
        <v>537</v>
      </c>
      <c r="E249" s="4" t="s">
        <v>15</v>
      </c>
      <c r="F249" s="4" t="s">
        <v>162</v>
      </c>
      <c r="G249" s="4" t="s">
        <v>21</v>
      </c>
      <c r="H249" s="3">
        <v>0</v>
      </c>
      <c r="I249" s="3">
        <v>30</v>
      </c>
      <c r="J249" s="4" t="s">
        <v>17</v>
      </c>
      <c r="K249" s="3">
        <v>25</v>
      </c>
      <c r="L249" s="4" t="s">
        <v>22</v>
      </c>
      <c r="M249" s="3">
        <v>0</v>
      </c>
      <c r="O249">
        <f>MATCH(ROW(A249),Arr!O:O,FALSE)</f>
        <v>249</v>
      </c>
    </row>
    <row r="250" spans="1:15" x14ac:dyDescent="0.3">
      <c r="A250" s="41">
        <f t="shared" si="3"/>
        <v>249</v>
      </c>
      <c r="B250" s="3">
        <v>716</v>
      </c>
      <c r="C250" s="4" t="s">
        <v>563</v>
      </c>
      <c r="D250" s="4" t="s">
        <v>537</v>
      </c>
      <c r="E250" s="4" t="s">
        <v>15</v>
      </c>
      <c r="F250" s="4" t="s">
        <v>366</v>
      </c>
      <c r="G250" s="4" t="s">
        <v>21</v>
      </c>
      <c r="H250" s="3">
        <v>0</v>
      </c>
      <c r="I250" s="3">
        <v>30</v>
      </c>
      <c r="J250" s="4" t="s">
        <v>17</v>
      </c>
      <c r="K250" s="3">
        <v>25</v>
      </c>
      <c r="L250" s="4" t="s">
        <v>22</v>
      </c>
      <c r="M250" s="3">
        <v>0</v>
      </c>
      <c r="O250">
        <f>MATCH(ROW(A250),Arr!O:O,FALSE)</f>
        <v>250</v>
      </c>
    </row>
    <row r="251" spans="1:15" x14ac:dyDescent="0.3">
      <c r="A251" s="41">
        <f t="shared" si="3"/>
        <v>250</v>
      </c>
      <c r="B251" s="3">
        <v>741</v>
      </c>
      <c r="C251" s="4" t="s">
        <v>563</v>
      </c>
      <c r="D251" s="4" t="s">
        <v>537</v>
      </c>
      <c r="E251" s="4" t="s">
        <v>15</v>
      </c>
      <c r="F251" s="4" t="s">
        <v>418</v>
      </c>
      <c r="G251" s="4" t="s">
        <v>21</v>
      </c>
      <c r="H251" s="3">
        <v>0</v>
      </c>
      <c r="I251" s="3">
        <v>30</v>
      </c>
      <c r="J251" s="4" t="s">
        <v>17</v>
      </c>
      <c r="K251" s="3">
        <v>25</v>
      </c>
      <c r="L251" s="4" t="s">
        <v>22</v>
      </c>
      <c r="M251" s="3">
        <v>0</v>
      </c>
      <c r="O251">
        <f>MATCH(ROW(A251),Arr!O:O,FALSE)</f>
        <v>251</v>
      </c>
    </row>
    <row r="252" spans="1:15" x14ac:dyDescent="0.3">
      <c r="A252" s="41">
        <f t="shared" si="3"/>
        <v>251</v>
      </c>
      <c r="B252" s="3">
        <v>859</v>
      </c>
      <c r="C252" s="4" t="s">
        <v>563</v>
      </c>
      <c r="D252" s="4" t="s">
        <v>537</v>
      </c>
      <c r="E252" s="4" t="s">
        <v>15</v>
      </c>
      <c r="F252" s="4" t="s">
        <v>474</v>
      </c>
      <c r="G252" s="4" t="s">
        <v>21</v>
      </c>
      <c r="H252" s="3">
        <v>0</v>
      </c>
      <c r="I252" s="3">
        <v>30</v>
      </c>
      <c r="J252" s="4" t="s">
        <v>28</v>
      </c>
      <c r="K252" s="3">
        <v>25</v>
      </c>
      <c r="L252" s="4" t="s">
        <v>22</v>
      </c>
      <c r="M252" s="3">
        <v>0</v>
      </c>
      <c r="O252">
        <f>MATCH(ROW(A252),Arr!O:O,FALSE)</f>
        <v>252</v>
      </c>
    </row>
    <row r="253" spans="1:15" x14ac:dyDescent="0.3">
      <c r="A253" s="41">
        <f t="shared" si="3"/>
        <v>252</v>
      </c>
      <c r="B253" s="3">
        <v>878</v>
      </c>
      <c r="C253" s="4" t="s">
        <v>670</v>
      </c>
      <c r="D253" s="4" t="s">
        <v>537</v>
      </c>
      <c r="E253" s="4" t="s">
        <v>15</v>
      </c>
      <c r="F253" s="4" t="s">
        <v>493</v>
      </c>
      <c r="G253" s="4" t="s">
        <v>21</v>
      </c>
      <c r="H253" s="3">
        <v>0</v>
      </c>
      <c r="I253" s="3">
        <v>30</v>
      </c>
      <c r="J253" s="4" t="s">
        <v>28</v>
      </c>
      <c r="K253" s="3">
        <v>25</v>
      </c>
      <c r="L253" s="4" t="s">
        <v>22</v>
      </c>
      <c r="M253" s="3">
        <v>0</v>
      </c>
      <c r="O253">
        <f>MATCH(ROW(A253),Arr!O:O,FALSE)</f>
        <v>253</v>
      </c>
    </row>
    <row r="254" spans="1:15" x14ac:dyDescent="0.3">
      <c r="A254" s="41">
        <f t="shared" si="3"/>
        <v>253</v>
      </c>
      <c r="B254" s="3">
        <v>753</v>
      </c>
      <c r="C254" s="4" t="s">
        <v>339</v>
      </c>
      <c r="D254" s="4" t="s">
        <v>537</v>
      </c>
      <c r="E254" s="4" t="s">
        <v>15</v>
      </c>
      <c r="F254" s="4" t="s">
        <v>424</v>
      </c>
      <c r="G254" s="4" t="s">
        <v>21</v>
      </c>
      <c r="H254" s="3">
        <v>0</v>
      </c>
      <c r="I254" s="3">
        <v>30</v>
      </c>
      <c r="J254" s="4" t="s">
        <v>17</v>
      </c>
      <c r="K254" s="3">
        <v>25</v>
      </c>
      <c r="L254" s="4" t="s">
        <v>22</v>
      </c>
      <c r="M254" s="3">
        <v>0</v>
      </c>
      <c r="O254">
        <f>MATCH(ROW(A254),Arr!O:O,FALSE)</f>
        <v>254</v>
      </c>
    </row>
    <row r="255" spans="1:15" x14ac:dyDescent="0.3">
      <c r="A255" s="41">
        <f t="shared" si="3"/>
        <v>254</v>
      </c>
      <c r="B255" s="3">
        <v>424</v>
      </c>
      <c r="C255" s="4" t="s">
        <v>489</v>
      </c>
      <c r="D255" s="4" t="s">
        <v>537</v>
      </c>
      <c r="E255" s="4" t="s">
        <v>15</v>
      </c>
      <c r="F255" s="4" t="s">
        <v>76</v>
      </c>
      <c r="G255" s="4" t="s">
        <v>21</v>
      </c>
      <c r="H255" s="3">
        <v>0</v>
      </c>
      <c r="I255" s="3">
        <v>30</v>
      </c>
      <c r="J255" s="4" t="s">
        <v>17</v>
      </c>
      <c r="K255" s="3">
        <v>25</v>
      </c>
      <c r="L255" s="4" t="s">
        <v>22</v>
      </c>
      <c r="M255" s="3">
        <v>0</v>
      </c>
      <c r="O255">
        <f>MATCH(ROW(A255),Arr!O:O,FALSE)</f>
        <v>255</v>
      </c>
    </row>
    <row r="256" spans="1:15" x14ac:dyDescent="0.3">
      <c r="A256" s="41">
        <f t="shared" si="3"/>
        <v>255</v>
      </c>
      <c r="B256" s="3">
        <v>704</v>
      </c>
      <c r="C256" s="4" t="s">
        <v>489</v>
      </c>
      <c r="D256" s="4" t="s">
        <v>537</v>
      </c>
      <c r="E256" s="4" t="s">
        <v>15</v>
      </c>
      <c r="F256" s="4" t="s">
        <v>366</v>
      </c>
      <c r="G256" s="4" t="s">
        <v>21</v>
      </c>
      <c r="H256" s="3">
        <v>0</v>
      </c>
      <c r="I256" s="3">
        <v>30</v>
      </c>
      <c r="J256" s="4" t="s">
        <v>17</v>
      </c>
      <c r="K256" s="3">
        <v>25</v>
      </c>
      <c r="L256" s="4" t="s">
        <v>22</v>
      </c>
      <c r="M256" s="3">
        <v>0</v>
      </c>
      <c r="O256">
        <f>MATCH(ROW(A256),Arr!O:O,FALSE)</f>
        <v>256</v>
      </c>
    </row>
    <row r="257" spans="1:15" x14ac:dyDescent="0.3">
      <c r="A257" s="41">
        <f t="shared" si="3"/>
        <v>256</v>
      </c>
      <c r="B257" s="3">
        <v>838</v>
      </c>
      <c r="C257" s="4" t="s">
        <v>256</v>
      </c>
      <c r="D257" s="4" t="s">
        <v>537</v>
      </c>
      <c r="E257" s="4" t="s">
        <v>15</v>
      </c>
      <c r="F257" s="4" t="s">
        <v>532</v>
      </c>
      <c r="G257" s="4" t="s">
        <v>21</v>
      </c>
      <c r="H257" s="3">
        <v>0</v>
      </c>
      <c r="I257" s="3">
        <v>30</v>
      </c>
      <c r="J257" s="4" t="s">
        <v>17</v>
      </c>
      <c r="K257" s="3">
        <v>25</v>
      </c>
      <c r="L257" s="4" t="s">
        <v>22</v>
      </c>
      <c r="M257" s="3">
        <v>0</v>
      </c>
      <c r="O257">
        <f>MATCH(ROW(A257),Arr!O:O,FALSE)</f>
        <v>257</v>
      </c>
    </row>
    <row r="258" spans="1:15" x14ac:dyDescent="0.3">
      <c r="A258" s="41">
        <f t="shared" si="3"/>
        <v>257</v>
      </c>
      <c r="B258" s="3">
        <v>856</v>
      </c>
      <c r="C258" s="4" t="s">
        <v>529</v>
      </c>
      <c r="D258" s="4" t="s">
        <v>537</v>
      </c>
      <c r="E258" s="4" t="s">
        <v>15</v>
      </c>
      <c r="F258" s="4" t="s">
        <v>474</v>
      </c>
      <c r="G258" s="4" t="s">
        <v>21</v>
      </c>
      <c r="H258" s="3">
        <v>0</v>
      </c>
      <c r="I258" s="3">
        <v>30</v>
      </c>
      <c r="J258" s="4" t="s">
        <v>28</v>
      </c>
      <c r="K258" s="3">
        <v>25</v>
      </c>
      <c r="L258" s="4" t="s">
        <v>22</v>
      </c>
      <c r="M258" s="3">
        <v>0</v>
      </c>
      <c r="O258">
        <f>MATCH(ROW(A258),Arr!O:O,FALSE)</f>
        <v>258</v>
      </c>
    </row>
    <row r="259" spans="1:15" x14ac:dyDescent="0.3">
      <c r="A259" s="41">
        <f t="shared" si="3"/>
        <v>258</v>
      </c>
      <c r="B259" s="3">
        <v>613</v>
      </c>
      <c r="C259" s="4" t="s">
        <v>476</v>
      </c>
      <c r="D259" s="4" t="s">
        <v>537</v>
      </c>
      <c r="E259" s="4" t="s">
        <v>15</v>
      </c>
      <c r="F259" s="4" t="s">
        <v>299</v>
      </c>
      <c r="G259" s="4" t="s">
        <v>21</v>
      </c>
      <c r="H259" s="3">
        <v>0</v>
      </c>
      <c r="I259" s="3">
        <v>30</v>
      </c>
      <c r="J259" s="4" t="s">
        <v>17</v>
      </c>
      <c r="K259" s="3">
        <v>25</v>
      </c>
      <c r="L259" s="4" t="s">
        <v>22</v>
      </c>
      <c r="M259" s="3">
        <v>0</v>
      </c>
      <c r="O259">
        <f>MATCH(ROW(A259),Arr!O:O,FALSE)</f>
        <v>259</v>
      </c>
    </row>
    <row r="260" spans="1:15" x14ac:dyDescent="0.3">
      <c r="A260" s="41">
        <f t="shared" ref="A260:A323" si="4">A259+1</f>
        <v>259</v>
      </c>
      <c r="B260" s="3">
        <v>697</v>
      </c>
      <c r="C260" s="4" t="s">
        <v>476</v>
      </c>
      <c r="D260" s="4" t="s">
        <v>537</v>
      </c>
      <c r="E260" s="4" t="s">
        <v>15</v>
      </c>
      <c r="F260" s="4" t="s">
        <v>366</v>
      </c>
      <c r="G260" s="4" t="s">
        <v>21</v>
      </c>
      <c r="H260" s="3">
        <v>0</v>
      </c>
      <c r="I260" s="3">
        <v>30</v>
      </c>
      <c r="J260" s="4" t="s">
        <v>17</v>
      </c>
      <c r="K260" s="3">
        <v>25</v>
      </c>
      <c r="L260" s="4" t="s">
        <v>22</v>
      </c>
      <c r="M260" s="3">
        <v>0</v>
      </c>
      <c r="O260">
        <f>MATCH(ROW(A260),Arr!O:O,FALSE)</f>
        <v>260</v>
      </c>
    </row>
    <row r="261" spans="1:15" x14ac:dyDescent="0.3">
      <c r="A261" s="41">
        <f t="shared" si="4"/>
        <v>260</v>
      </c>
      <c r="B261" s="3">
        <v>383</v>
      </c>
      <c r="C261" s="4" t="s">
        <v>334</v>
      </c>
      <c r="D261" s="4" t="s">
        <v>537</v>
      </c>
      <c r="E261" s="4" t="s">
        <v>15</v>
      </c>
      <c r="F261" s="4" t="s">
        <v>20</v>
      </c>
      <c r="G261" s="4" t="s">
        <v>21</v>
      </c>
      <c r="H261" s="3">
        <v>0</v>
      </c>
      <c r="I261" s="3">
        <v>30</v>
      </c>
      <c r="J261" s="4" t="s">
        <v>17</v>
      </c>
      <c r="K261" s="3">
        <v>25</v>
      </c>
      <c r="L261" s="4" t="s">
        <v>22</v>
      </c>
      <c r="M261" s="3">
        <v>0</v>
      </c>
      <c r="O261">
        <f>MATCH(ROW(A261),Arr!O:O,FALSE)</f>
        <v>261</v>
      </c>
    </row>
    <row r="262" spans="1:15" x14ac:dyDescent="0.3">
      <c r="A262" s="41">
        <f t="shared" si="4"/>
        <v>261</v>
      </c>
      <c r="B262" s="3">
        <v>742</v>
      </c>
      <c r="C262" s="4" t="s">
        <v>588</v>
      </c>
      <c r="D262" s="4" t="s">
        <v>537</v>
      </c>
      <c r="E262" s="4" t="s">
        <v>15</v>
      </c>
      <c r="F262" s="4" t="s">
        <v>418</v>
      </c>
      <c r="G262" s="4" t="s">
        <v>21</v>
      </c>
      <c r="H262" s="3">
        <v>0</v>
      </c>
      <c r="I262" s="3">
        <v>30</v>
      </c>
      <c r="J262" s="4" t="s">
        <v>17</v>
      </c>
      <c r="K262" s="3">
        <v>25</v>
      </c>
      <c r="L262" s="4" t="s">
        <v>22</v>
      </c>
      <c r="M262" s="3">
        <v>0</v>
      </c>
      <c r="O262">
        <f>MATCH(ROW(A262),Arr!O:O,FALSE)</f>
        <v>262</v>
      </c>
    </row>
    <row r="263" spans="1:15" x14ac:dyDescent="0.3">
      <c r="A263" s="41">
        <f t="shared" si="4"/>
        <v>262</v>
      </c>
      <c r="B263" s="3">
        <v>874</v>
      </c>
      <c r="C263" s="4" t="s">
        <v>456</v>
      </c>
      <c r="D263" s="4" t="s">
        <v>537</v>
      </c>
      <c r="E263" s="4" t="s">
        <v>15</v>
      </c>
      <c r="F263" s="4" t="s">
        <v>493</v>
      </c>
      <c r="G263" s="4" t="s">
        <v>21</v>
      </c>
      <c r="H263" s="3">
        <v>0</v>
      </c>
      <c r="I263" s="3">
        <v>30</v>
      </c>
      <c r="J263" s="4" t="s">
        <v>28</v>
      </c>
      <c r="K263" s="3">
        <v>25</v>
      </c>
      <c r="L263" s="4" t="s">
        <v>22</v>
      </c>
      <c r="M263" s="3">
        <v>0</v>
      </c>
      <c r="O263">
        <f>MATCH(ROW(A263),Arr!O:O,FALSE)</f>
        <v>263</v>
      </c>
    </row>
    <row r="264" spans="1:15" x14ac:dyDescent="0.3">
      <c r="A264" s="41">
        <f t="shared" si="4"/>
        <v>263</v>
      </c>
      <c r="B264" s="3">
        <v>702</v>
      </c>
      <c r="C264" s="4" t="s">
        <v>306</v>
      </c>
      <c r="D264" s="4" t="s">
        <v>537</v>
      </c>
      <c r="E264" s="4" t="s">
        <v>15</v>
      </c>
      <c r="F264" s="4" t="s">
        <v>366</v>
      </c>
      <c r="G264" s="4" t="s">
        <v>21</v>
      </c>
      <c r="H264" s="3">
        <v>0</v>
      </c>
      <c r="I264" s="3">
        <v>30</v>
      </c>
      <c r="J264" s="4" t="s">
        <v>17</v>
      </c>
      <c r="K264" s="3">
        <v>25</v>
      </c>
      <c r="L264" s="4" t="s">
        <v>22</v>
      </c>
      <c r="M264" s="3">
        <v>0</v>
      </c>
      <c r="O264">
        <f>MATCH(ROW(A264),Arr!O:O,FALSE)</f>
        <v>264</v>
      </c>
    </row>
    <row r="265" spans="1:15" x14ac:dyDescent="0.3">
      <c r="A265" s="41">
        <f t="shared" si="4"/>
        <v>264</v>
      </c>
      <c r="B265" s="3">
        <v>703</v>
      </c>
      <c r="C265" s="4" t="s">
        <v>94</v>
      </c>
      <c r="D265" s="4" t="s">
        <v>537</v>
      </c>
      <c r="E265" s="4" t="s">
        <v>15</v>
      </c>
      <c r="F265" s="4" t="s">
        <v>366</v>
      </c>
      <c r="G265" s="4" t="s">
        <v>21</v>
      </c>
      <c r="H265" s="3">
        <v>0</v>
      </c>
      <c r="I265" s="3">
        <v>30</v>
      </c>
      <c r="J265" s="4" t="s">
        <v>17</v>
      </c>
      <c r="K265" s="3">
        <v>25</v>
      </c>
      <c r="L265" s="4" t="s">
        <v>22</v>
      </c>
      <c r="M265" s="3">
        <v>0</v>
      </c>
      <c r="O265">
        <f>MATCH(ROW(A265),Arr!O:O,FALSE)</f>
        <v>265</v>
      </c>
    </row>
    <row r="266" spans="1:15" x14ac:dyDescent="0.3">
      <c r="A266" s="41">
        <f t="shared" si="4"/>
        <v>265</v>
      </c>
      <c r="B266" s="3">
        <v>845</v>
      </c>
      <c r="C266" s="4" t="s">
        <v>235</v>
      </c>
      <c r="D266" s="4" t="s">
        <v>537</v>
      </c>
      <c r="E266" s="4" t="s">
        <v>15</v>
      </c>
      <c r="F266" s="4" t="s">
        <v>534</v>
      </c>
      <c r="G266" s="4" t="s">
        <v>21</v>
      </c>
      <c r="H266" s="3">
        <v>0</v>
      </c>
      <c r="I266" s="3">
        <v>30</v>
      </c>
      <c r="J266" s="4" t="s">
        <v>28</v>
      </c>
      <c r="K266" s="3">
        <v>25</v>
      </c>
      <c r="L266" s="4" t="s">
        <v>22</v>
      </c>
      <c r="M266" s="3">
        <v>0</v>
      </c>
      <c r="O266">
        <f>MATCH(ROW(A266),Arr!O:O,FALSE)</f>
        <v>266</v>
      </c>
    </row>
    <row r="267" spans="1:15" x14ac:dyDescent="0.3">
      <c r="A267" s="41">
        <f t="shared" si="4"/>
        <v>266</v>
      </c>
      <c r="B267" s="3">
        <v>623</v>
      </c>
      <c r="C267" s="4" t="s">
        <v>428</v>
      </c>
      <c r="D267" s="4" t="s">
        <v>537</v>
      </c>
      <c r="E267" s="4" t="s">
        <v>15</v>
      </c>
      <c r="F267" s="4" t="s">
        <v>312</v>
      </c>
      <c r="G267" s="4" t="s">
        <v>21</v>
      </c>
      <c r="H267" s="3">
        <v>0</v>
      </c>
      <c r="I267" s="3">
        <v>30</v>
      </c>
      <c r="J267" s="4" t="s">
        <v>17</v>
      </c>
      <c r="K267" s="3">
        <v>25</v>
      </c>
      <c r="L267" s="4" t="s">
        <v>22</v>
      </c>
      <c r="M267" s="3">
        <v>0</v>
      </c>
      <c r="O267">
        <f>MATCH(ROW(A267),Arr!O:O,FALSE)</f>
        <v>267</v>
      </c>
    </row>
    <row r="268" spans="1:15" x14ac:dyDescent="0.3">
      <c r="A268" s="41">
        <f t="shared" si="4"/>
        <v>267</v>
      </c>
      <c r="B268" s="3">
        <v>746</v>
      </c>
      <c r="C268" s="4" t="s">
        <v>428</v>
      </c>
      <c r="D268" s="4" t="s">
        <v>537</v>
      </c>
      <c r="E268" s="4" t="s">
        <v>15</v>
      </c>
      <c r="F268" s="4" t="s">
        <v>423</v>
      </c>
      <c r="G268" s="4" t="s">
        <v>21</v>
      </c>
      <c r="H268" s="3">
        <v>0</v>
      </c>
      <c r="I268" s="3">
        <v>30</v>
      </c>
      <c r="J268" s="4" t="s">
        <v>17</v>
      </c>
      <c r="K268" s="3">
        <v>25</v>
      </c>
      <c r="L268" s="4" t="s">
        <v>22</v>
      </c>
      <c r="M268" s="3">
        <v>0</v>
      </c>
      <c r="O268">
        <f>MATCH(ROW(A268),Arr!O:O,FALSE)</f>
        <v>268</v>
      </c>
    </row>
    <row r="269" spans="1:15" x14ac:dyDescent="0.3">
      <c r="A269" s="41">
        <f t="shared" si="4"/>
        <v>268</v>
      </c>
      <c r="B269" s="3">
        <v>487</v>
      </c>
      <c r="C269" s="4" t="s">
        <v>428</v>
      </c>
      <c r="D269" s="4" t="s">
        <v>537</v>
      </c>
      <c r="E269" s="4" t="s">
        <v>15</v>
      </c>
      <c r="F269" s="4" t="s">
        <v>162</v>
      </c>
      <c r="G269" s="4" t="s">
        <v>21</v>
      </c>
      <c r="H269" s="3">
        <v>0</v>
      </c>
      <c r="I269" s="3">
        <v>30</v>
      </c>
      <c r="J269" s="4" t="s">
        <v>17</v>
      </c>
      <c r="K269" s="3">
        <v>25</v>
      </c>
      <c r="L269" s="4" t="s">
        <v>22</v>
      </c>
      <c r="M269" s="3">
        <v>0</v>
      </c>
      <c r="O269">
        <f>MATCH(ROW(A269),Arr!O:O,FALSE)</f>
        <v>269</v>
      </c>
    </row>
    <row r="270" spans="1:15" x14ac:dyDescent="0.3">
      <c r="A270" s="41">
        <f t="shared" si="4"/>
        <v>269</v>
      </c>
      <c r="B270" s="3">
        <v>749</v>
      </c>
      <c r="C270" s="4" t="s">
        <v>652</v>
      </c>
      <c r="D270" s="4" t="s">
        <v>537</v>
      </c>
      <c r="E270" s="4" t="s">
        <v>15</v>
      </c>
      <c r="F270" s="4" t="s">
        <v>424</v>
      </c>
      <c r="G270" s="4" t="s">
        <v>21</v>
      </c>
      <c r="H270" s="3">
        <v>0</v>
      </c>
      <c r="I270" s="3">
        <v>30</v>
      </c>
      <c r="J270" s="4" t="s">
        <v>17</v>
      </c>
      <c r="K270" s="3">
        <v>25</v>
      </c>
      <c r="L270" s="4" t="s">
        <v>22</v>
      </c>
      <c r="M270" s="3">
        <v>0</v>
      </c>
      <c r="O270">
        <f>MATCH(ROW(A270),Arr!O:O,FALSE)</f>
        <v>270</v>
      </c>
    </row>
    <row r="271" spans="1:15" x14ac:dyDescent="0.3">
      <c r="A271" s="41">
        <f t="shared" si="4"/>
        <v>270</v>
      </c>
      <c r="B271" s="3">
        <v>849</v>
      </c>
      <c r="C271" s="4" t="s">
        <v>652</v>
      </c>
      <c r="D271" s="4" t="s">
        <v>537</v>
      </c>
      <c r="E271" s="4" t="s">
        <v>15</v>
      </c>
      <c r="F271" s="4" t="s">
        <v>474</v>
      </c>
      <c r="G271" s="4" t="s">
        <v>21</v>
      </c>
      <c r="H271" s="3">
        <v>0</v>
      </c>
      <c r="I271" s="3">
        <v>30</v>
      </c>
      <c r="J271" s="4" t="s">
        <v>28</v>
      </c>
      <c r="K271" s="3">
        <v>25</v>
      </c>
      <c r="L271" s="4" t="s">
        <v>22</v>
      </c>
      <c r="M271" s="3">
        <v>0</v>
      </c>
      <c r="O271">
        <f>MATCH(ROW(A271),Arr!O:O,FALSE)</f>
        <v>271</v>
      </c>
    </row>
    <row r="272" spans="1:15" x14ac:dyDescent="0.3">
      <c r="A272" s="41">
        <f t="shared" si="4"/>
        <v>271</v>
      </c>
      <c r="B272" s="3">
        <v>491</v>
      </c>
      <c r="C272" s="4" t="s">
        <v>67</v>
      </c>
      <c r="D272" s="4" t="s">
        <v>537</v>
      </c>
      <c r="E272" s="4" t="s">
        <v>15</v>
      </c>
      <c r="F272" s="4" t="s">
        <v>167</v>
      </c>
      <c r="G272" s="4" t="s">
        <v>21</v>
      </c>
      <c r="H272" s="3">
        <v>0</v>
      </c>
      <c r="I272" s="3">
        <v>30</v>
      </c>
      <c r="J272" s="4" t="s">
        <v>17</v>
      </c>
      <c r="K272" s="3">
        <v>25</v>
      </c>
      <c r="L272" s="4" t="s">
        <v>22</v>
      </c>
      <c r="M272" s="3">
        <v>0</v>
      </c>
      <c r="O272">
        <f>MATCH(ROW(A272),Arr!O:O,FALSE)</f>
        <v>272</v>
      </c>
    </row>
    <row r="273" spans="1:15" x14ac:dyDescent="0.3">
      <c r="A273" s="41">
        <f t="shared" si="4"/>
        <v>272</v>
      </c>
      <c r="B273" s="3">
        <v>875</v>
      </c>
      <c r="C273" s="4" t="s">
        <v>264</v>
      </c>
      <c r="D273" s="4" t="s">
        <v>537</v>
      </c>
      <c r="E273" s="4" t="s">
        <v>15</v>
      </c>
      <c r="F273" s="4" t="s">
        <v>493</v>
      </c>
      <c r="G273" s="4" t="s">
        <v>21</v>
      </c>
      <c r="H273" s="3">
        <v>0</v>
      </c>
      <c r="I273" s="3">
        <v>30</v>
      </c>
      <c r="J273" s="4" t="s">
        <v>28</v>
      </c>
      <c r="K273" s="3">
        <v>25</v>
      </c>
      <c r="L273" s="4" t="s">
        <v>22</v>
      </c>
      <c r="M273" s="3">
        <v>0</v>
      </c>
      <c r="O273">
        <f>MATCH(ROW(A273),Arr!O:O,FALSE)</f>
        <v>273</v>
      </c>
    </row>
    <row r="274" spans="1:15" x14ac:dyDescent="0.3">
      <c r="A274" s="41">
        <f t="shared" si="4"/>
        <v>273</v>
      </c>
      <c r="B274" s="3">
        <v>740</v>
      </c>
      <c r="C274" s="4" t="s">
        <v>604</v>
      </c>
      <c r="D274" s="4" t="s">
        <v>537</v>
      </c>
      <c r="E274" s="4" t="s">
        <v>15</v>
      </c>
      <c r="F274" s="4" t="s">
        <v>418</v>
      </c>
      <c r="G274" s="4" t="s">
        <v>21</v>
      </c>
      <c r="H274" s="3">
        <v>0</v>
      </c>
      <c r="I274" s="3">
        <v>30</v>
      </c>
      <c r="J274" s="4" t="s">
        <v>17</v>
      </c>
      <c r="K274" s="3">
        <v>25</v>
      </c>
      <c r="L274" s="4" t="s">
        <v>22</v>
      </c>
      <c r="M274" s="3">
        <v>0</v>
      </c>
      <c r="O274">
        <f>MATCH(ROW(A274),Arr!O:O,FALSE)</f>
        <v>274</v>
      </c>
    </row>
    <row r="275" spans="1:15" x14ac:dyDescent="0.3">
      <c r="A275" s="41">
        <f t="shared" si="4"/>
        <v>274</v>
      </c>
      <c r="B275" s="3">
        <v>419</v>
      </c>
      <c r="C275" s="4" t="s">
        <v>503</v>
      </c>
      <c r="D275" s="4" t="s">
        <v>537</v>
      </c>
      <c r="E275" s="4" t="s">
        <v>15</v>
      </c>
      <c r="F275" s="4" t="s">
        <v>76</v>
      </c>
      <c r="G275" s="4" t="s">
        <v>21</v>
      </c>
      <c r="H275" s="3">
        <v>0</v>
      </c>
      <c r="I275" s="3">
        <v>30</v>
      </c>
      <c r="J275" s="4" t="s">
        <v>17</v>
      </c>
      <c r="K275" s="3">
        <v>25</v>
      </c>
      <c r="L275" s="4" t="s">
        <v>22</v>
      </c>
      <c r="M275" s="3">
        <v>0</v>
      </c>
      <c r="O275">
        <f>MATCH(ROW(A275),Arr!O:O,FALSE)</f>
        <v>275</v>
      </c>
    </row>
    <row r="276" spans="1:15" x14ac:dyDescent="0.3">
      <c r="A276" s="41">
        <f t="shared" si="4"/>
        <v>275</v>
      </c>
      <c r="B276" s="3">
        <v>839</v>
      </c>
      <c r="C276" s="4" t="s">
        <v>503</v>
      </c>
      <c r="D276" s="4" t="s">
        <v>537</v>
      </c>
      <c r="E276" s="4" t="s">
        <v>15</v>
      </c>
      <c r="F276" s="4" t="s">
        <v>532</v>
      </c>
      <c r="G276" s="4" t="s">
        <v>21</v>
      </c>
      <c r="H276" s="3">
        <v>0</v>
      </c>
      <c r="I276" s="3">
        <v>30</v>
      </c>
      <c r="J276" s="4" t="s">
        <v>17</v>
      </c>
      <c r="K276" s="3">
        <v>25</v>
      </c>
      <c r="L276" s="4" t="s">
        <v>22</v>
      </c>
      <c r="M276" s="3">
        <v>0</v>
      </c>
      <c r="O276">
        <f>MATCH(ROW(A276),Arr!O:O,FALSE)</f>
        <v>314</v>
      </c>
    </row>
    <row r="277" spans="1:15" x14ac:dyDescent="0.3">
      <c r="A277" s="41">
        <f t="shared" si="4"/>
        <v>276</v>
      </c>
      <c r="B277" s="3">
        <v>439</v>
      </c>
      <c r="C277" s="4" t="s">
        <v>555</v>
      </c>
      <c r="D277" s="4" t="s">
        <v>537</v>
      </c>
      <c r="E277" s="4" t="s">
        <v>15</v>
      </c>
      <c r="F277" s="4" t="s">
        <v>101</v>
      </c>
      <c r="G277" s="4" t="s">
        <v>32</v>
      </c>
      <c r="H277" s="3">
        <v>0</v>
      </c>
      <c r="I277" s="3">
        <v>112</v>
      </c>
      <c r="J277" s="4" t="s">
        <v>17</v>
      </c>
      <c r="K277" s="3">
        <v>25</v>
      </c>
      <c r="L277" s="4" t="s">
        <v>22</v>
      </c>
      <c r="M277" s="3">
        <v>9.9</v>
      </c>
      <c r="O277">
        <f>MATCH(ROW(A277),Arr!O:O,FALSE)</f>
        <v>315</v>
      </c>
    </row>
    <row r="278" spans="1:15" x14ac:dyDescent="0.3">
      <c r="A278" s="41">
        <f t="shared" si="4"/>
        <v>277</v>
      </c>
      <c r="B278" s="3">
        <v>817</v>
      </c>
      <c r="C278" s="4" t="s">
        <v>47</v>
      </c>
      <c r="D278" s="4" t="s">
        <v>537</v>
      </c>
      <c r="E278" s="4" t="s">
        <v>15</v>
      </c>
      <c r="F278" s="4" t="s">
        <v>501</v>
      </c>
      <c r="G278" s="4" t="s">
        <v>32</v>
      </c>
      <c r="H278" s="3">
        <v>0</v>
      </c>
      <c r="I278" s="3">
        <v>112</v>
      </c>
      <c r="J278" s="4" t="s">
        <v>17</v>
      </c>
      <c r="K278" s="3">
        <v>25</v>
      </c>
      <c r="L278" s="4" t="s">
        <v>22</v>
      </c>
      <c r="M278" s="3">
        <v>9.9</v>
      </c>
      <c r="O278">
        <f>MATCH(ROW(A278),Arr!O:O,FALSE)</f>
        <v>316</v>
      </c>
    </row>
    <row r="279" spans="1:15" x14ac:dyDescent="0.3">
      <c r="A279" s="41">
        <f t="shared" si="4"/>
        <v>278</v>
      </c>
      <c r="B279" s="3">
        <v>654</v>
      </c>
      <c r="C279" s="4" t="s">
        <v>536</v>
      </c>
      <c r="D279" s="4" t="s">
        <v>537</v>
      </c>
      <c r="E279" s="4" t="s">
        <v>15</v>
      </c>
      <c r="F279" s="4" t="s">
        <v>335</v>
      </c>
      <c r="G279" s="4" t="s">
        <v>32</v>
      </c>
      <c r="H279" s="3">
        <v>0</v>
      </c>
      <c r="I279" s="3">
        <v>112</v>
      </c>
      <c r="J279" s="4" t="s">
        <v>17</v>
      </c>
      <c r="K279" s="3">
        <v>25</v>
      </c>
      <c r="L279" s="4" t="s">
        <v>22</v>
      </c>
      <c r="M279" s="3">
        <v>9.9</v>
      </c>
      <c r="O279">
        <f>MATCH(ROW(A279),Arr!O:O,FALSE)</f>
        <v>317</v>
      </c>
    </row>
    <row r="280" spans="1:15" x14ac:dyDescent="0.3">
      <c r="A280" s="41">
        <f t="shared" si="4"/>
        <v>279</v>
      </c>
      <c r="B280" s="3">
        <v>796</v>
      </c>
      <c r="C280" s="4" t="s">
        <v>217</v>
      </c>
      <c r="D280" s="4" t="s">
        <v>537</v>
      </c>
      <c r="E280" s="4" t="s">
        <v>15</v>
      </c>
      <c r="F280" s="4" t="s">
        <v>455</v>
      </c>
      <c r="G280" s="4" t="s">
        <v>32</v>
      </c>
      <c r="H280" s="3">
        <v>0</v>
      </c>
      <c r="I280" s="3">
        <v>112</v>
      </c>
      <c r="J280" s="4" t="s">
        <v>17</v>
      </c>
      <c r="K280" s="3">
        <v>25</v>
      </c>
      <c r="L280" s="4" t="s">
        <v>22</v>
      </c>
      <c r="M280" s="3">
        <v>9.9</v>
      </c>
      <c r="O280">
        <f>MATCH(ROW(A280),Arr!O:O,FALSE)</f>
        <v>277</v>
      </c>
    </row>
    <row r="281" spans="1:15" x14ac:dyDescent="0.3">
      <c r="A281" s="41">
        <f t="shared" si="4"/>
        <v>280</v>
      </c>
      <c r="B281" s="3">
        <v>610</v>
      </c>
      <c r="C281" s="4" t="s">
        <v>217</v>
      </c>
      <c r="D281" s="4" t="s">
        <v>537</v>
      </c>
      <c r="E281" s="4" t="s">
        <v>15</v>
      </c>
      <c r="F281" s="4" t="s">
        <v>292</v>
      </c>
      <c r="G281" s="4" t="s">
        <v>32</v>
      </c>
      <c r="H281" s="3">
        <v>0</v>
      </c>
      <c r="I281" s="3">
        <v>112</v>
      </c>
      <c r="J281" s="4" t="s">
        <v>17</v>
      </c>
      <c r="K281" s="3">
        <v>25</v>
      </c>
      <c r="L281" s="4" t="s">
        <v>22</v>
      </c>
      <c r="M281" s="3">
        <v>9.9</v>
      </c>
      <c r="O281">
        <f>MATCH(ROW(A281),Arr!O:O,FALSE)</f>
        <v>278</v>
      </c>
    </row>
    <row r="282" spans="1:15" x14ac:dyDescent="0.3">
      <c r="A282" s="41">
        <f t="shared" si="4"/>
        <v>281</v>
      </c>
      <c r="B282" s="3">
        <v>763</v>
      </c>
      <c r="C282" s="4" t="s">
        <v>654</v>
      </c>
      <c r="D282" s="4" t="s">
        <v>537</v>
      </c>
      <c r="E282" s="4" t="s">
        <v>15</v>
      </c>
      <c r="F282" s="4" t="s">
        <v>432</v>
      </c>
      <c r="G282" s="4" t="s">
        <v>32</v>
      </c>
      <c r="H282" s="3">
        <v>0</v>
      </c>
      <c r="I282" s="3">
        <v>112</v>
      </c>
      <c r="J282" s="4" t="s">
        <v>17</v>
      </c>
      <c r="K282" s="3">
        <v>25</v>
      </c>
      <c r="L282" s="4" t="s">
        <v>22</v>
      </c>
      <c r="M282" s="3">
        <v>9.9</v>
      </c>
      <c r="O282">
        <f>MATCH(ROW(A282),Arr!O:O,FALSE)</f>
        <v>279</v>
      </c>
    </row>
    <row r="283" spans="1:15" x14ac:dyDescent="0.3">
      <c r="A283" s="41">
        <f t="shared" si="4"/>
        <v>282</v>
      </c>
      <c r="B283" s="3">
        <v>389</v>
      </c>
      <c r="C283" s="4" t="s">
        <v>434</v>
      </c>
      <c r="D283" s="4" t="s">
        <v>537</v>
      </c>
      <c r="E283" s="4" t="s">
        <v>15</v>
      </c>
      <c r="F283" s="4" t="s">
        <v>31</v>
      </c>
      <c r="G283" s="4" t="s">
        <v>32</v>
      </c>
      <c r="H283" s="3">
        <v>0</v>
      </c>
      <c r="I283" s="3">
        <v>112</v>
      </c>
      <c r="J283" s="4" t="s">
        <v>17</v>
      </c>
      <c r="K283" s="3">
        <v>25</v>
      </c>
      <c r="L283" s="4" t="s">
        <v>22</v>
      </c>
      <c r="M283" s="3">
        <v>9.9</v>
      </c>
      <c r="O283">
        <f>MATCH(ROW(A283),Arr!O:O,FALSE)</f>
        <v>280</v>
      </c>
    </row>
    <row r="284" spans="1:15" x14ac:dyDescent="0.3">
      <c r="A284" s="41">
        <f t="shared" si="4"/>
        <v>283</v>
      </c>
      <c r="B284" s="3">
        <v>589</v>
      </c>
      <c r="C284" s="4" t="s">
        <v>385</v>
      </c>
      <c r="D284" s="4" t="s">
        <v>537</v>
      </c>
      <c r="E284" s="4" t="s">
        <v>15</v>
      </c>
      <c r="F284" s="4" t="s">
        <v>265</v>
      </c>
      <c r="G284" s="4" t="s">
        <v>32</v>
      </c>
      <c r="H284" s="3">
        <v>0</v>
      </c>
      <c r="I284" s="3">
        <v>112</v>
      </c>
      <c r="J284" s="4" t="s">
        <v>17</v>
      </c>
      <c r="K284" s="3">
        <v>25</v>
      </c>
      <c r="L284" s="4" t="s">
        <v>22</v>
      </c>
      <c r="M284" s="3">
        <v>9.9</v>
      </c>
      <c r="O284">
        <f>MATCH(ROW(A284),Arr!O:O,FALSE)</f>
        <v>281</v>
      </c>
    </row>
    <row r="285" spans="1:15" x14ac:dyDescent="0.3">
      <c r="A285" s="41">
        <f t="shared" si="4"/>
        <v>284</v>
      </c>
      <c r="B285" s="3">
        <v>759</v>
      </c>
      <c r="C285" s="4" t="s">
        <v>378</v>
      </c>
      <c r="D285" s="4" t="s">
        <v>537</v>
      </c>
      <c r="E285" s="4" t="s">
        <v>15</v>
      </c>
      <c r="F285" s="4" t="s">
        <v>427</v>
      </c>
      <c r="G285" s="4" t="s">
        <v>32</v>
      </c>
      <c r="H285" s="3">
        <v>0</v>
      </c>
      <c r="I285" s="3">
        <v>112</v>
      </c>
      <c r="J285" s="4" t="s">
        <v>17</v>
      </c>
      <c r="K285" s="3">
        <v>25</v>
      </c>
      <c r="L285" s="4" t="s">
        <v>22</v>
      </c>
      <c r="M285" s="3">
        <v>9.9</v>
      </c>
      <c r="O285">
        <f>MATCH(ROW(A285),Arr!O:O,FALSE)</f>
        <v>282</v>
      </c>
    </row>
    <row r="286" spans="1:15" x14ac:dyDescent="0.3">
      <c r="A286" s="41">
        <f t="shared" si="4"/>
        <v>285</v>
      </c>
      <c r="B286" s="3">
        <v>816</v>
      </c>
      <c r="C286" s="4" t="s">
        <v>113</v>
      </c>
      <c r="D286" s="4" t="s">
        <v>537</v>
      </c>
      <c r="E286" s="4" t="s">
        <v>15</v>
      </c>
      <c r="F286" s="4" t="s">
        <v>501</v>
      </c>
      <c r="G286" s="4" t="s">
        <v>32</v>
      </c>
      <c r="H286" s="3">
        <v>0</v>
      </c>
      <c r="I286" s="3">
        <v>112</v>
      </c>
      <c r="J286" s="4" t="s">
        <v>17</v>
      </c>
      <c r="K286" s="3">
        <v>25</v>
      </c>
      <c r="L286" s="4" t="s">
        <v>22</v>
      </c>
      <c r="M286" s="3">
        <v>9.9</v>
      </c>
      <c r="O286">
        <f>MATCH(ROW(A286),Arr!O:O,FALSE)</f>
        <v>283</v>
      </c>
    </row>
    <row r="287" spans="1:15" x14ac:dyDescent="0.3">
      <c r="A287" s="41">
        <f t="shared" si="4"/>
        <v>286</v>
      </c>
      <c r="B287" s="3">
        <v>606</v>
      </c>
      <c r="C287" s="4" t="s">
        <v>134</v>
      </c>
      <c r="D287" s="4" t="s">
        <v>537</v>
      </c>
      <c r="E287" s="4" t="s">
        <v>15</v>
      </c>
      <c r="F287" s="4" t="s">
        <v>279</v>
      </c>
      <c r="G287" s="4" t="s">
        <v>32</v>
      </c>
      <c r="H287" s="3">
        <v>0</v>
      </c>
      <c r="I287" s="3">
        <v>112</v>
      </c>
      <c r="J287" s="4" t="s">
        <v>17</v>
      </c>
      <c r="K287" s="3">
        <v>25</v>
      </c>
      <c r="L287" s="4" t="s">
        <v>22</v>
      </c>
      <c r="M287" s="3">
        <v>9.9</v>
      </c>
      <c r="O287">
        <f>MATCH(ROW(A287),Arr!O:O,FALSE)</f>
        <v>284</v>
      </c>
    </row>
    <row r="288" spans="1:15" x14ac:dyDescent="0.3">
      <c r="A288" s="41">
        <f t="shared" si="4"/>
        <v>287</v>
      </c>
      <c r="B288" s="3">
        <v>388</v>
      </c>
      <c r="C288" s="4" t="s">
        <v>411</v>
      </c>
      <c r="D288" s="4" t="s">
        <v>537</v>
      </c>
      <c r="E288" s="4" t="s">
        <v>15</v>
      </c>
      <c r="F288" s="4" t="s">
        <v>31</v>
      </c>
      <c r="G288" s="4" t="s">
        <v>32</v>
      </c>
      <c r="H288" s="3">
        <v>0</v>
      </c>
      <c r="I288" s="3">
        <v>112</v>
      </c>
      <c r="J288" s="4" t="s">
        <v>17</v>
      </c>
      <c r="K288" s="3">
        <v>25</v>
      </c>
      <c r="L288" s="4" t="s">
        <v>22</v>
      </c>
      <c r="M288" s="3">
        <v>9.9</v>
      </c>
      <c r="O288">
        <f>MATCH(ROW(A288),Arr!O:O,FALSE)</f>
        <v>285</v>
      </c>
    </row>
    <row r="289" spans="1:15" x14ac:dyDescent="0.3">
      <c r="A289" s="41">
        <f t="shared" si="4"/>
        <v>288</v>
      </c>
      <c r="B289" s="3">
        <v>834</v>
      </c>
      <c r="C289" s="4" t="s">
        <v>619</v>
      </c>
      <c r="D289" s="4" t="s">
        <v>537</v>
      </c>
      <c r="E289" s="4" t="s">
        <v>15</v>
      </c>
      <c r="F289" s="4" t="s">
        <v>526</v>
      </c>
      <c r="G289" s="4" t="s">
        <v>32</v>
      </c>
      <c r="H289" s="3">
        <v>0</v>
      </c>
      <c r="I289" s="3">
        <v>112</v>
      </c>
      <c r="J289" s="4" t="s">
        <v>17</v>
      </c>
      <c r="K289" s="3">
        <v>25</v>
      </c>
      <c r="L289" s="4" t="s">
        <v>22</v>
      </c>
      <c r="M289" s="3">
        <v>9.9</v>
      </c>
      <c r="O289">
        <f>MATCH(ROW(A289),Arr!O:O,FALSE)</f>
        <v>286</v>
      </c>
    </row>
    <row r="290" spans="1:15" x14ac:dyDescent="0.3">
      <c r="A290" s="41">
        <f t="shared" si="4"/>
        <v>289</v>
      </c>
      <c r="B290" s="3">
        <v>762</v>
      </c>
      <c r="C290" s="4" t="s">
        <v>97</v>
      </c>
      <c r="D290" s="4" t="s">
        <v>537</v>
      </c>
      <c r="E290" s="4" t="s">
        <v>15</v>
      </c>
      <c r="F290" s="4" t="s">
        <v>432</v>
      </c>
      <c r="G290" s="4" t="s">
        <v>32</v>
      </c>
      <c r="H290" s="3">
        <v>0</v>
      </c>
      <c r="I290" s="3">
        <v>112</v>
      </c>
      <c r="J290" s="4" t="s">
        <v>17</v>
      </c>
      <c r="K290" s="3">
        <v>25</v>
      </c>
      <c r="L290" s="4" t="s">
        <v>22</v>
      </c>
      <c r="M290" s="3">
        <v>9.9</v>
      </c>
      <c r="O290">
        <f>MATCH(ROW(A290),Arr!O:O,FALSE)</f>
        <v>287</v>
      </c>
    </row>
    <row r="291" spans="1:15" x14ac:dyDescent="0.3">
      <c r="A291" s="41">
        <f t="shared" si="4"/>
        <v>290</v>
      </c>
      <c r="B291" s="3">
        <v>728</v>
      </c>
      <c r="C291" s="4" t="s">
        <v>164</v>
      </c>
      <c r="D291" s="4" t="s">
        <v>537</v>
      </c>
      <c r="E291" s="4" t="s">
        <v>15</v>
      </c>
      <c r="F291" s="4" t="s">
        <v>404</v>
      </c>
      <c r="G291" s="4" t="s">
        <v>32</v>
      </c>
      <c r="H291" s="3">
        <v>0</v>
      </c>
      <c r="I291" s="3">
        <v>112</v>
      </c>
      <c r="J291" s="4" t="s">
        <v>17</v>
      </c>
      <c r="K291" s="3">
        <v>25</v>
      </c>
      <c r="L291" s="4" t="s">
        <v>22</v>
      </c>
      <c r="M291" s="3">
        <v>9.9</v>
      </c>
      <c r="O291">
        <f>MATCH(ROW(A291),Arr!O:O,FALSE)</f>
        <v>288</v>
      </c>
    </row>
    <row r="292" spans="1:15" x14ac:dyDescent="0.3">
      <c r="A292" s="41">
        <f t="shared" si="4"/>
        <v>291</v>
      </c>
      <c r="B292" s="3">
        <v>391</v>
      </c>
      <c r="C292" s="4" t="s">
        <v>269</v>
      </c>
      <c r="D292" s="4" t="s">
        <v>537</v>
      </c>
      <c r="E292" s="4" t="s">
        <v>15</v>
      </c>
      <c r="F292" s="4" t="s">
        <v>31</v>
      </c>
      <c r="G292" s="4" t="s">
        <v>32</v>
      </c>
      <c r="H292" s="3">
        <v>0</v>
      </c>
      <c r="I292" s="3">
        <v>112</v>
      </c>
      <c r="J292" s="4" t="s">
        <v>17</v>
      </c>
      <c r="K292" s="3">
        <v>25</v>
      </c>
      <c r="L292" s="4" t="s">
        <v>22</v>
      </c>
      <c r="M292" s="3">
        <v>9.9</v>
      </c>
      <c r="O292">
        <f>MATCH(ROW(A292),Arr!O:O,FALSE)</f>
        <v>289</v>
      </c>
    </row>
    <row r="293" spans="1:15" x14ac:dyDescent="0.3">
      <c r="A293" s="41">
        <f t="shared" si="4"/>
        <v>292</v>
      </c>
      <c r="B293" s="3">
        <v>658</v>
      </c>
      <c r="C293" s="4" t="s">
        <v>399</v>
      </c>
      <c r="D293" s="4" t="s">
        <v>537</v>
      </c>
      <c r="E293" s="4" t="s">
        <v>15</v>
      </c>
      <c r="F293" s="4" t="s">
        <v>349</v>
      </c>
      <c r="G293" s="4" t="s">
        <v>32</v>
      </c>
      <c r="H293" s="3">
        <v>0</v>
      </c>
      <c r="I293" s="3">
        <v>112</v>
      </c>
      <c r="J293" s="4" t="s">
        <v>17</v>
      </c>
      <c r="K293" s="3">
        <v>25</v>
      </c>
      <c r="L293" s="4" t="s">
        <v>22</v>
      </c>
      <c r="M293" s="3">
        <v>9.9</v>
      </c>
      <c r="O293">
        <f>MATCH(ROW(A293),Arr!O:O,FALSE)</f>
        <v>290</v>
      </c>
    </row>
    <row r="294" spans="1:15" x14ac:dyDescent="0.3">
      <c r="A294" s="41">
        <f t="shared" si="4"/>
        <v>293</v>
      </c>
      <c r="B294" s="3">
        <v>504</v>
      </c>
      <c r="C294" s="4" t="s">
        <v>629</v>
      </c>
      <c r="D294" s="4" t="s">
        <v>537</v>
      </c>
      <c r="E294" s="4" t="s">
        <v>15</v>
      </c>
      <c r="F294" s="4" t="s">
        <v>180</v>
      </c>
      <c r="G294" s="4" t="s">
        <v>32</v>
      </c>
      <c r="H294" s="3">
        <v>0</v>
      </c>
      <c r="I294" s="3">
        <v>112</v>
      </c>
      <c r="J294" s="4" t="s">
        <v>17</v>
      </c>
      <c r="K294" s="3">
        <v>25</v>
      </c>
      <c r="L294" s="4" t="s">
        <v>22</v>
      </c>
      <c r="M294" s="3">
        <v>9.9</v>
      </c>
      <c r="O294">
        <f>MATCH(ROW(A294),Arr!O:O,FALSE)</f>
        <v>291</v>
      </c>
    </row>
    <row r="295" spans="1:15" x14ac:dyDescent="0.3">
      <c r="A295" s="41">
        <f t="shared" si="4"/>
        <v>294</v>
      </c>
      <c r="B295" s="3">
        <v>776</v>
      </c>
      <c r="C295" s="4" t="s">
        <v>658</v>
      </c>
      <c r="D295" s="4" t="s">
        <v>537</v>
      </c>
      <c r="E295" s="4" t="s">
        <v>15</v>
      </c>
      <c r="F295" s="4" t="s">
        <v>440</v>
      </c>
      <c r="G295" s="4" t="s">
        <v>32</v>
      </c>
      <c r="H295" s="3">
        <v>0</v>
      </c>
      <c r="I295" s="3">
        <v>112</v>
      </c>
      <c r="J295" s="4" t="s">
        <v>17</v>
      </c>
      <c r="K295" s="3">
        <v>25</v>
      </c>
      <c r="L295" s="4" t="s">
        <v>22</v>
      </c>
      <c r="M295" s="3">
        <v>9.9</v>
      </c>
      <c r="O295">
        <f>MATCH(ROW(A295),Arr!O:O,FALSE)</f>
        <v>292</v>
      </c>
    </row>
    <row r="296" spans="1:15" x14ac:dyDescent="0.3">
      <c r="A296" s="41">
        <f t="shared" si="4"/>
        <v>295</v>
      </c>
      <c r="B296" s="3">
        <v>605</v>
      </c>
      <c r="C296" s="4" t="s">
        <v>644</v>
      </c>
      <c r="D296" s="4" t="s">
        <v>537</v>
      </c>
      <c r="E296" s="4" t="s">
        <v>15</v>
      </c>
      <c r="F296" s="4" t="s">
        <v>279</v>
      </c>
      <c r="G296" s="4" t="s">
        <v>32</v>
      </c>
      <c r="H296" s="3">
        <v>0</v>
      </c>
      <c r="I296" s="3">
        <v>112</v>
      </c>
      <c r="J296" s="4" t="s">
        <v>17</v>
      </c>
      <c r="K296" s="3">
        <v>25</v>
      </c>
      <c r="L296" s="4" t="s">
        <v>22</v>
      </c>
      <c r="M296" s="3">
        <v>9.9</v>
      </c>
      <c r="O296">
        <f>MATCH(ROW(A296),Arr!O:O,FALSE)</f>
        <v>293</v>
      </c>
    </row>
    <row r="297" spans="1:15" x14ac:dyDescent="0.3">
      <c r="A297" s="41">
        <f t="shared" si="4"/>
        <v>296</v>
      </c>
      <c r="B297" s="3">
        <v>609</v>
      </c>
      <c r="C297" s="4" t="s">
        <v>646</v>
      </c>
      <c r="D297" s="4" t="s">
        <v>537</v>
      </c>
      <c r="E297" s="4" t="s">
        <v>15</v>
      </c>
      <c r="F297" s="4" t="s">
        <v>292</v>
      </c>
      <c r="G297" s="4" t="s">
        <v>32</v>
      </c>
      <c r="H297" s="3">
        <v>0</v>
      </c>
      <c r="I297" s="3">
        <v>112</v>
      </c>
      <c r="J297" s="4" t="s">
        <v>17</v>
      </c>
      <c r="K297" s="3">
        <v>25</v>
      </c>
      <c r="L297" s="4" t="s">
        <v>22</v>
      </c>
      <c r="M297" s="3">
        <v>9.9</v>
      </c>
      <c r="O297">
        <f>MATCH(ROW(A297),Arr!O:O,FALSE)</f>
        <v>294</v>
      </c>
    </row>
    <row r="298" spans="1:15" x14ac:dyDescent="0.3">
      <c r="A298" s="41">
        <f t="shared" si="4"/>
        <v>297</v>
      </c>
      <c r="B298" s="3">
        <v>818</v>
      </c>
      <c r="C298" s="4" t="s">
        <v>612</v>
      </c>
      <c r="D298" s="4" t="s">
        <v>537</v>
      </c>
      <c r="E298" s="4" t="s">
        <v>15</v>
      </c>
      <c r="F298" s="4" t="s">
        <v>501</v>
      </c>
      <c r="G298" s="4" t="s">
        <v>32</v>
      </c>
      <c r="H298" s="3">
        <v>0</v>
      </c>
      <c r="I298" s="3">
        <v>112</v>
      </c>
      <c r="J298" s="4" t="s">
        <v>17</v>
      </c>
      <c r="K298" s="3">
        <v>25</v>
      </c>
      <c r="L298" s="4" t="s">
        <v>22</v>
      </c>
      <c r="M298" s="3">
        <v>9.9</v>
      </c>
      <c r="O298">
        <f>MATCH(ROW(A298),Arr!O:O,FALSE)</f>
        <v>295</v>
      </c>
    </row>
    <row r="299" spans="1:15" x14ac:dyDescent="0.3">
      <c r="A299" s="41">
        <f t="shared" si="4"/>
        <v>298</v>
      </c>
      <c r="B299" s="3">
        <v>795</v>
      </c>
      <c r="C299" s="4" t="s">
        <v>606</v>
      </c>
      <c r="D299" s="4" t="s">
        <v>537</v>
      </c>
      <c r="E299" s="4" t="s">
        <v>15</v>
      </c>
      <c r="F299" s="4" t="s">
        <v>455</v>
      </c>
      <c r="G299" s="4" t="s">
        <v>32</v>
      </c>
      <c r="H299" s="3">
        <v>0</v>
      </c>
      <c r="I299" s="3">
        <v>112</v>
      </c>
      <c r="J299" s="4" t="s">
        <v>17</v>
      </c>
      <c r="K299" s="3">
        <v>25</v>
      </c>
      <c r="L299" s="4" t="s">
        <v>22</v>
      </c>
      <c r="M299" s="3">
        <v>9.9</v>
      </c>
      <c r="O299">
        <f>MATCH(ROW(A299),Arr!O:O,FALSE)</f>
        <v>296</v>
      </c>
    </row>
    <row r="300" spans="1:15" x14ac:dyDescent="0.3">
      <c r="A300" s="41">
        <f t="shared" si="4"/>
        <v>299</v>
      </c>
      <c r="B300" s="3">
        <v>727</v>
      </c>
      <c r="C300" s="4" t="s">
        <v>598</v>
      </c>
      <c r="D300" s="4" t="s">
        <v>537</v>
      </c>
      <c r="E300" s="4" t="s">
        <v>15</v>
      </c>
      <c r="F300" s="4" t="s">
        <v>404</v>
      </c>
      <c r="G300" s="4" t="s">
        <v>32</v>
      </c>
      <c r="H300" s="3">
        <v>0</v>
      </c>
      <c r="I300" s="3">
        <v>112</v>
      </c>
      <c r="J300" s="4" t="s">
        <v>17</v>
      </c>
      <c r="K300" s="3">
        <v>25</v>
      </c>
      <c r="L300" s="4" t="s">
        <v>22</v>
      </c>
      <c r="M300" s="3">
        <v>9.9</v>
      </c>
      <c r="O300">
        <f>MATCH(ROW(A300),Arr!O:O,FALSE)</f>
        <v>297</v>
      </c>
    </row>
    <row r="301" spans="1:15" x14ac:dyDescent="0.3">
      <c r="A301" s="41">
        <f t="shared" si="4"/>
        <v>300</v>
      </c>
      <c r="B301" s="3">
        <v>533</v>
      </c>
      <c r="C301" s="4" t="s">
        <v>449</v>
      </c>
      <c r="D301" s="4" t="s">
        <v>537</v>
      </c>
      <c r="E301" s="4" t="s">
        <v>15</v>
      </c>
      <c r="F301" s="4" t="s">
        <v>196</v>
      </c>
      <c r="G301" s="4" t="s">
        <v>32</v>
      </c>
      <c r="H301" s="3">
        <v>0</v>
      </c>
      <c r="I301" s="3">
        <v>112</v>
      </c>
      <c r="J301" s="4" t="s">
        <v>17</v>
      </c>
      <c r="K301" s="3">
        <v>25</v>
      </c>
      <c r="L301" s="4" t="s">
        <v>22</v>
      </c>
      <c r="M301" s="3">
        <v>9.9</v>
      </c>
      <c r="O301">
        <f>MATCH(ROW(A301),Arr!O:O,FALSE)</f>
        <v>298</v>
      </c>
    </row>
    <row r="302" spans="1:15" x14ac:dyDescent="0.3">
      <c r="A302" s="41">
        <f t="shared" si="4"/>
        <v>301</v>
      </c>
      <c r="B302" s="3">
        <v>794</v>
      </c>
      <c r="C302" s="4" t="s">
        <v>605</v>
      </c>
      <c r="D302" s="4" t="s">
        <v>537</v>
      </c>
      <c r="E302" s="4" t="s">
        <v>15</v>
      </c>
      <c r="F302" s="4" t="s">
        <v>455</v>
      </c>
      <c r="G302" s="4" t="s">
        <v>32</v>
      </c>
      <c r="H302" s="3">
        <v>0</v>
      </c>
      <c r="I302" s="3">
        <v>112</v>
      </c>
      <c r="J302" s="4" t="s">
        <v>17</v>
      </c>
      <c r="K302" s="3">
        <v>25</v>
      </c>
      <c r="L302" s="4" t="s">
        <v>22</v>
      </c>
      <c r="M302" s="3">
        <v>9.9</v>
      </c>
      <c r="O302">
        <f>MATCH(ROW(A302),Arr!O:O,FALSE)</f>
        <v>299</v>
      </c>
    </row>
    <row r="303" spans="1:15" x14ac:dyDescent="0.3">
      <c r="A303" s="41">
        <f t="shared" si="4"/>
        <v>302</v>
      </c>
      <c r="B303" s="3">
        <v>587</v>
      </c>
      <c r="C303" s="4" t="s">
        <v>471</v>
      </c>
      <c r="D303" s="4" t="s">
        <v>537</v>
      </c>
      <c r="E303" s="4" t="s">
        <v>15</v>
      </c>
      <c r="F303" s="4" t="s">
        <v>265</v>
      </c>
      <c r="G303" s="4" t="s">
        <v>32</v>
      </c>
      <c r="H303" s="3">
        <v>0</v>
      </c>
      <c r="I303" s="3">
        <v>112</v>
      </c>
      <c r="J303" s="4" t="s">
        <v>17</v>
      </c>
      <c r="K303" s="3">
        <v>25</v>
      </c>
      <c r="L303" s="4" t="s">
        <v>22</v>
      </c>
      <c r="M303" s="3">
        <v>9.9</v>
      </c>
      <c r="O303">
        <f>MATCH(ROW(A303),Arr!O:O,FALSE)</f>
        <v>300</v>
      </c>
    </row>
    <row r="304" spans="1:15" x14ac:dyDescent="0.3">
      <c r="A304" s="41">
        <f t="shared" si="4"/>
        <v>303</v>
      </c>
      <c r="B304" s="3">
        <v>532</v>
      </c>
      <c r="C304" s="4" t="s">
        <v>563</v>
      </c>
      <c r="D304" s="4" t="s">
        <v>537</v>
      </c>
      <c r="E304" s="4" t="s">
        <v>15</v>
      </c>
      <c r="F304" s="4" t="s">
        <v>196</v>
      </c>
      <c r="G304" s="4" t="s">
        <v>32</v>
      </c>
      <c r="H304" s="3">
        <v>0</v>
      </c>
      <c r="I304" s="3">
        <v>112</v>
      </c>
      <c r="J304" s="4" t="s">
        <v>17</v>
      </c>
      <c r="K304" s="3">
        <v>25</v>
      </c>
      <c r="L304" s="4" t="s">
        <v>22</v>
      </c>
      <c r="M304" s="3">
        <v>9.9</v>
      </c>
      <c r="O304">
        <f>MATCH(ROW(A304),Arr!O:O,FALSE)</f>
        <v>301</v>
      </c>
    </row>
    <row r="305" spans="1:15" x14ac:dyDescent="0.3">
      <c r="A305" s="41">
        <f t="shared" si="4"/>
        <v>304</v>
      </c>
      <c r="B305" s="3">
        <v>758</v>
      </c>
      <c r="C305" s="4" t="s">
        <v>19</v>
      </c>
      <c r="D305" s="4" t="s">
        <v>537</v>
      </c>
      <c r="E305" s="4" t="s">
        <v>15</v>
      </c>
      <c r="F305" s="4" t="s">
        <v>427</v>
      </c>
      <c r="G305" s="4" t="s">
        <v>32</v>
      </c>
      <c r="H305" s="3">
        <v>0</v>
      </c>
      <c r="I305" s="3">
        <v>112</v>
      </c>
      <c r="J305" s="4" t="s">
        <v>17</v>
      </c>
      <c r="K305" s="3">
        <v>25</v>
      </c>
      <c r="L305" s="4" t="s">
        <v>22</v>
      </c>
      <c r="M305" s="3">
        <v>9.9</v>
      </c>
      <c r="O305">
        <f>MATCH(ROW(A305),Arr!O:O,FALSE)</f>
        <v>302</v>
      </c>
    </row>
    <row r="306" spans="1:15" x14ac:dyDescent="0.3">
      <c r="A306" s="41">
        <f t="shared" si="4"/>
        <v>305</v>
      </c>
      <c r="B306" s="3">
        <v>588</v>
      </c>
      <c r="C306" s="4" t="s">
        <v>66</v>
      </c>
      <c r="D306" s="4" t="s">
        <v>537</v>
      </c>
      <c r="E306" s="4" t="s">
        <v>15</v>
      </c>
      <c r="F306" s="4" t="s">
        <v>265</v>
      </c>
      <c r="G306" s="4" t="s">
        <v>32</v>
      </c>
      <c r="H306" s="3">
        <v>0</v>
      </c>
      <c r="I306" s="3">
        <v>112</v>
      </c>
      <c r="J306" s="4" t="s">
        <v>17</v>
      </c>
      <c r="K306" s="3">
        <v>25</v>
      </c>
      <c r="L306" s="4" t="s">
        <v>22</v>
      </c>
      <c r="M306" s="3">
        <v>9.9</v>
      </c>
      <c r="O306">
        <f>MATCH(ROW(A306),Arr!O:O,FALSE)</f>
        <v>303</v>
      </c>
    </row>
    <row r="307" spans="1:15" x14ac:dyDescent="0.3">
      <c r="A307" s="41">
        <f t="shared" si="4"/>
        <v>306</v>
      </c>
      <c r="B307" s="3">
        <v>390</v>
      </c>
      <c r="C307" s="4" t="s">
        <v>538</v>
      </c>
      <c r="D307" s="4" t="s">
        <v>537</v>
      </c>
      <c r="E307" s="4" t="s">
        <v>15</v>
      </c>
      <c r="F307" s="4" t="s">
        <v>31</v>
      </c>
      <c r="G307" s="4" t="s">
        <v>32</v>
      </c>
      <c r="H307" s="3">
        <v>0</v>
      </c>
      <c r="I307" s="3">
        <v>112</v>
      </c>
      <c r="J307" s="4" t="s">
        <v>17</v>
      </c>
      <c r="K307" s="3">
        <v>25</v>
      </c>
      <c r="L307" s="4" t="s">
        <v>22</v>
      </c>
      <c r="M307" s="3">
        <v>9.9</v>
      </c>
      <c r="O307">
        <f>MATCH(ROW(A307),Arr!O:O,FALSE)</f>
        <v>304</v>
      </c>
    </row>
    <row r="308" spans="1:15" x14ac:dyDescent="0.3">
      <c r="A308" s="41">
        <f t="shared" si="4"/>
        <v>307</v>
      </c>
      <c r="B308" s="3">
        <v>438</v>
      </c>
      <c r="C308" s="4" t="s">
        <v>131</v>
      </c>
      <c r="D308" s="4" t="s">
        <v>537</v>
      </c>
      <c r="E308" s="4" t="s">
        <v>15</v>
      </c>
      <c r="F308" s="4" t="s">
        <v>101</v>
      </c>
      <c r="G308" s="4" t="s">
        <v>32</v>
      </c>
      <c r="H308" s="3">
        <v>0</v>
      </c>
      <c r="I308" s="3">
        <v>112</v>
      </c>
      <c r="J308" s="4" t="s">
        <v>17</v>
      </c>
      <c r="K308" s="3">
        <v>25</v>
      </c>
      <c r="L308" s="4" t="s">
        <v>22</v>
      </c>
      <c r="M308" s="3">
        <v>9.9</v>
      </c>
      <c r="O308">
        <f>MATCH(ROW(A308),Arr!O:O,FALSE)</f>
        <v>305</v>
      </c>
    </row>
    <row r="309" spans="1:15" x14ac:dyDescent="0.3">
      <c r="A309" s="41">
        <f t="shared" si="4"/>
        <v>308</v>
      </c>
      <c r="B309" s="3">
        <v>608</v>
      </c>
      <c r="C309" s="4" t="s">
        <v>645</v>
      </c>
      <c r="D309" s="4" t="s">
        <v>537</v>
      </c>
      <c r="E309" s="4" t="s">
        <v>15</v>
      </c>
      <c r="F309" s="4" t="s">
        <v>292</v>
      </c>
      <c r="G309" s="4" t="s">
        <v>32</v>
      </c>
      <c r="H309" s="3">
        <v>0</v>
      </c>
      <c r="I309" s="3">
        <v>112</v>
      </c>
      <c r="J309" s="4" t="s">
        <v>17</v>
      </c>
      <c r="K309" s="3">
        <v>25</v>
      </c>
      <c r="L309" s="4" t="s">
        <v>22</v>
      </c>
      <c r="M309" s="3">
        <v>9.9</v>
      </c>
      <c r="O309">
        <f>MATCH(ROW(A309),Arr!O:O,FALSE)</f>
        <v>306</v>
      </c>
    </row>
    <row r="310" spans="1:15" x14ac:dyDescent="0.3">
      <c r="A310" s="41">
        <f t="shared" si="4"/>
        <v>309</v>
      </c>
      <c r="B310" s="3">
        <v>729</v>
      </c>
      <c r="C310" s="4" t="s">
        <v>261</v>
      </c>
      <c r="D310" s="4" t="s">
        <v>537</v>
      </c>
      <c r="E310" s="4" t="s">
        <v>15</v>
      </c>
      <c r="F310" s="4" t="s">
        <v>404</v>
      </c>
      <c r="G310" s="4" t="s">
        <v>32</v>
      </c>
      <c r="H310" s="3">
        <v>0</v>
      </c>
      <c r="I310" s="3">
        <v>112</v>
      </c>
      <c r="J310" s="4" t="s">
        <v>17</v>
      </c>
      <c r="K310" s="3">
        <v>25</v>
      </c>
      <c r="L310" s="4" t="s">
        <v>22</v>
      </c>
      <c r="M310" s="3">
        <v>9.9</v>
      </c>
      <c r="O310">
        <f>MATCH(ROW(A310),Arr!O:O,FALSE)</f>
        <v>307</v>
      </c>
    </row>
    <row r="311" spans="1:15" x14ac:dyDescent="0.3">
      <c r="A311" s="41">
        <f t="shared" si="4"/>
        <v>310</v>
      </c>
      <c r="B311" s="3">
        <v>659</v>
      </c>
      <c r="C311" s="4" t="s">
        <v>519</v>
      </c>
      <c r="D311" s="4" t="s">
        <v>537</v>
      </c>
      <c r="E311" s="4" t="s">
        <v>15</v>
      </c>
      <c r="F311" s="4" t="s">
        <v>349</v>
      </c>
      <c r="G311" s="4" t="s">
        <v>32</v>
      </c>
      <c r="H311" s="3">
        <v>0</v>
      </c>
      <c r="I311" s="3">
        <v>112</v>
      </c>
      <c r="J311" s="4" t="s">
        <v>17</v>
      </c>
      <c r="K311" s="3">
        <v>25</v>
      </c>
      <c r="L311" s="4" t="s">
        <v>22</v>
      </c>
      <c r="M311" s="3">
        <v>9.9</v>
      </c>
      <c r="O311">
        <f>MATCH(ROW(A311),Arr!O:O,FALSE)</f>
        <v>308</v>
      </c>
    </row>
    <row r="312" spans="1:15" x14ac:dyDescent="0.3">
      <c r="A312" s="41">
        <f t="shared" si="4"/>
        <v>311</v>
      </c>
      <c r="B312" s="3">
        <v>819</v>
      </c>
      <c r="C312" s="4" t="s">
        <v>179</v>
      </c>
      <c r="D312" s="4" t="s">
        <v>537</v>
      </c>
      <c r="E312" s="4" t="s">
        <v>15</v>
      </c>
      <c r="F312" s="4" t="s">
        <v>501</v>
      </c>
      <c r="G312" s="4" t="s">
        <v>32</v>
      </c>
      <c r="H312" s="3">
        <v>0</v>
      </c>
      <c r="I312" s="3">
        <v>112</v>
      </c>
      <c r="J312" s="4" t="s">
        <v>17</v>
      </c>
      <c r="K312" s="3">
        <v>25</v>
      </c>
      <c r="L312" s="4" t="s">
        <v>22</v>
      </c>
      <c r="M312" s="3">
        <v>9.9</v>
      </c>
      <c r="O312">
        <f>MATCH(ROW(A312),Arr!O:O,FALSE)</f>
        <v>309</v>
      </c>
    </row>
    <row r="313" spans="1:15" x14ac:dyDescent="0.3">
      <c r="A313" s="41">
        <f t="shared" si="4"/>
        <v>312</v>
      </c>
      <c r="B313" s="3">
        <v>387</v>
      </c>
      <c r="C313" s="4" t="s">
        <v>306</v>
      </c>
      <c r="D313" s="4" t="s">
        <v>537</v>
      </c>
      <c r="E313" s="4" t="s">
        <v>15</v>
      </c>
      <c r="F313" s="4" t="s">
        <v>31</v>
      </c>
      <c r="G313" s="4" t="s">
        <v>32</v>
      </c>
      <c r="H313" s="3">
        <v>0</v>
      </c>
      <c r="I313" s="3">
        <v>112</v>
      </c>
      <c r="J313" s="4" t="s">
        <v>17</v>
      </c>
      <c r="K313" s="3">
        <v>25</v>
      </c>
      <c r="L313" s="4" t="s">
        <v>22</v>
      </c>
      <c r="M313" s="3">
        <v>9.9</v>
      </c>
      <c r="O313">
        <f>MATCH(ROW(A313),Arr!O:O,FALSE)</f>
        <v>310</v>
      </c>
    </row>
    <row r="314" spans="1:15" x14ac:dyDescent="0.3">
      <c r="A314" s="41">
        <f t="shared" si="4"/>
        <v>313</v>
      </c>
      <c r="B314" s="3">
        <v>535</v>
      </c>
      <c r="C314" s="4" t="s">
        <v>306</v>
      </c>
      <c r="D314" s="4" t="s">
        <v>537</v>
      </c>
      <c r="E314" s="4" t="s">
        <v>15</v>
      </c>
      <c r="F314" s="4" t="s">
        <v>196</v>
      </c>
      <c r="G314" s="4" t="s">
        <v>32</v>
      </c>
      <c r="H314" s="3">
        <v>0</v>
      </c>
      <c r="I314" s="3">
        <v>112</v>
      </c>
      <c r="J314" s="4" t="s">
        <v>17</v>
      </c>
      <c r="K314" s="3">
        <v>25</v>
      </c>
      <c r="L314" s="4" t="s">
        <v>22</v>
      </c>
      <c r="M314" s="3">
        <v>9.9</v>
      </c>
      <c r="O314">
        <f>MATCH(ROW(A314),Arr!O:O,FALSE)</f>
        <v>311</v>
      </c>
    </row>
    <row r="315" spans="1:15" x14ac:dyDescent="0.3">
      <c r="A315" s="41">
        <f t="shared" si="4"/>
        <v>314</v>
      </c>
      <c r="B315" s="3">
        <v>757</v>
      </c>
      <c r="C315" s="4" t="s">
        <v>653</v>
      </c>
      <c r="D315" s="4" t="s">
        <v>537</v>
      </c>
      <c r="E315" s="4" t="s">
        <v>15</v>
      </c>
      <c r="F315" s="4" t="s">
        <v>427</v>
      </c>
      <c r="G315" s="4" t="s">
        <v>32</v>
      </c>
      <c r="H315" s="3">
        <v>0</v>
      </c>
      <c r="I315" s="3">
        <v>112</v>
      </c>
      <c r="J315" s="4" t="s">
        <v>17</v>
      </c>
      <c r="K315" s="3">
        <v>25</v>
      </c>
      <c r="L315" s="4" t="s">
        <v>22</v>
      </c>
      <c r="M315" s="3">
        <v>9.9</v>
      </c>
      <c r="O315">
        <f>MATCH(ROW(A315),Arr!O:O,FALSE)</f>
        <v>312</v>
      </c>
    </row>
    <row r="316" spans="1:15" x14ac:dyDescent="0.3">
      <c r="A316" s="41">
        <f t="shared" si="4"/>
        <v>315</v>
      </c>
      <c r="B316" s="3">
        <v>761</v>
      </c>
      <c r="C316" s="4" t="s">
        <v>539</v>
      </c>
      <c r="D316" s="4" t="s">
        <v>537</v>
      </c>
      <c r="E316" s="4" t="s">
        <v>15</v>
      </c>
      <c r="F316" s="4" t="s">
        <v>432</v>
      </c>
      <c r="G316" s="4" t="s">
        <v>32</v>
      </c>
      <c r="H316" s="3">
        <v>0</v>
      </c>
      <c r="I316" s="3">
        <v>112</v>
      </c>
      <c r="J316" s="4" t="s">
        <v>17</v>
      </c>
      <c r="K316" s="3">
        <v>25</v>
      </c>
      <c r="L316" s="4" t="s">
        <v>22</v>
      </c>
      <c r="M316" s="3">
        <v>9.9</v>
      </c>
      <c r="O316">
        <f>MATCH(ROW(A316),Arr!O:O,FALSE)</f>
        <v>313</v>
      </c>
    </row>
    <row r="317" spans="1:15" x14ac:dyDescent="0.3">
      <c r="A317" s="41">
        <f t="shared" si="4"/>
        <v>316</v>
      </c>
      <c r="B317" s="3">
        <v>534</v>
      </c>
      <c r="C317" s="4" t="s">
        <v>270</v>
      </c>
      <c r="D317" s="4" t="s">
        <v>537</v>
      </c>
      <c r="E317" s="4" t="s">
        <v>15</v>
      </c>
      <c r="F317" s="4" t="s">
        <v>196</v>
      </c>
      <c r="G317" s="4" t="s">
        <v>32</v>
      </c>
      <c r="H317" s="3">
        <v>0</v>
      </c>
      <c r="I317" s="3">
        <v>112</v>
      </c>
      <c r="J317" s="4" t="s">
        <v>17</v>
      </c>
      <c r="K317" s="3">
        <v>25</v>
      </c>
      <c r="L317" s="4" t="s">
        <v>22</v>
      </c>
      <c r="M317" s="3">
        <v>9.9</v>
      </c>
      <c r="O317">
        <f>MATCH(ROW(A317),Arr!O:O,FALSE)</f>
        <v>318</v>
      </c>
    </row>
    <row r="318" spans="1:15" x14ac:dyDescent="0.3">
      <c r="A318" s="41">
        <f t="shared" si="4"/>
        <v>317</v>
      </c>
      <c r="B318" s="3">
        <v>564</v>
      </c>
      <c r="C318" s="4" t="s">
        <v>477</v>
      </c>
      <c r="D318" s="4" t="s">
        <v>537</v>
      </c>
      <c r="E318" s="4" t="s">
        <v>15</v>
      </c>
      <c r="F318" s="4" t="s">
        <v>247</v>
      </c>
      <c r="G318" s="4" t="s">
        <v>245</v>
      </c>
      <c r="H318" s="3">
        <v>0</v>
      </c>
      <c r="I318" s="3">
        <v>125</v>
      </c>
      <c r="J318" s="4" t="s">
        <v>17</v>
      </c>
      <c r="K318" s="3">
        <v>25</v>
      </c>
      <c r="L318" s="4" t="s">
        <v>250</v>
      </c>
      <c r="M318" s="3">
        <v>0</v>
      </c>
      <c r="O318">
        <f>MATCH(ROW(A318),Arr!O:O,FALSE)</f>
        <v>319</v>
      </c>
    </row>
    <row r="319" spans="1:15" x14ac:dyDescent="0.3">
      <c r="A319" s="41">
        <f t="shared" si="4"/>
        <v>318</v>
      </c>
      <c r="B319" s="3">
        <v>563</v>
      </c>
      <c r="C319" s="4" t="s">
        <v>578</v>
      </c>
      <c r="D319" s="4" t="s">
        <v>537</v>
      </c>
      <c r="E319" s="4" t="s">
        <v>15</v>
      </c>
      <c r="F319" s="4" t="s">
        <v>247</v>
      </c>
      <c r="G319" s="4" t="s">
        <v>245</v>
      </c>
      <c r="H319" s="3">
        <v>0</v>
      </c>
      <c r="I319" s="3">
        <v>125</v>
      </c>
      <c r="J319" s="4" t="s">
        <v>17</v>
      </c>
      <c r="K319" s="3">
        <v>25</v>
      </c>
      <c r="L319" s="4" t="s">
        <v>250</v>
      </c>
      <c r="M319" s="3">
        <v>0</v>
      </c>
      <c r="O319">
        <f>MATCH(ROW(A319),Arr!O:O,FALSE)</f>
        <v>320</v>
      </c>
    </row>
    <row r="320" spans="1:15" x14ac:dyDescent="0.3">
      <c r="A320" s="41">
        <f t="shared" si="4"/>
        <v>319</v>
      </c>
      <c r="B320" s="3">
        <v>611</v>
      </c>
      <c r="C320" s="4" t="s">
        <v>647</v>
      </c>
      <c r="D320" s="4" t="s">
        <v>537</v>
      </c>
      <c r="E320" s="4" t="s">
        <v>15</v>
      </c>
      <c r="F320" s="4" t="s">
        <v>296</v>
      </c>
      <c r="G320" s="4" t="s">
        <v>297</v>
      </c>
      <c r="H320" s="3">
        <v>0</v>
      </c>
      <c r="I320" s="3">
        <v>321</v>
      </c>
      <c r="J320" s="4" t="s">
        <v>28</v>
      </c>
      <c r="K320" s="3">
        <v>25</v>
      </c>
      <c r="L320" s="4" t="s">
        <v>298</v>
      </c>
      <c r="M320" s="3">
        <v>17.100000000000001</v>
      </c>
      <c r="O320">
        <f>MATCH(ROW(A320),Arr!O:O,FALSE)</f>
        <v>321</v>
      </c>
    </row>
    <row r="321" spans="1:15" x14ac:dyDescent="0.3">
      <c r="A321" s="41">
        <f t="shared" si="4"/>
        <v>320</v>
      </c>
      <c r="B321" s="3">
        <v>833</v>
      </c>
      <c r="C321" s="4" t="s">
        <v>618</v>
      </c>
      <c r="D321" s="4" t="s">
        <v>537</v>
      </c>
      <c r="E321" s="4" t="s">
        <v>15</v>
      </c>
      <c r="F321" s="4" t="s">
        <v>523</v>
      </c>
      <c r="G321" s="4" t="s">
        <v>175</v>
      </c>
      <c r="H321" s="3">
        <v>0</v>
      </c>
      <c r="I321" s="3">
        <v>218</v>
      </c>
      <c r="J321" s="4" t="s">
        <v>28</v>
      </c>
      <c r="K321" s="3">
        <v>25</v>
      </c>
      <c r="L321" s="4" t="s">
        <v>176</v>
      </c>
      <c r="M321" s="3">
        <v>54.5</v>
      </c>
      <c r="O321">
        <f>MATCH(ROW(A321),Arr!O:O,FALSE)</f>
        <v>322</v>
      </c>
    </row>
    <row r="322" spans="1:15" x14ac:dyDescent="0.3">
      <c r="A322" s="41">
        <f t="shared" si="4"/>
        <v>321</v>
      </c>
      <c r="B322" s="3">
        <v>498</v>
      </c>
      <c r="C322" s="4" t="s">
        <v>626</v>
      </c>
      <c r="D322" s="4" t="s">
        <v>537</v>
      </c>
      <c r="E322" s="4" t="s">
        <v>15</v>
      </c>
      <c r="F322" s="4" t="s">
        <v>172</v>
      </c>
      <c r="G322" s="4" t="s">
        <v>175</v>
      </c>
      <c r="H322" s="3">
        <v>0</v>
      </c>
      <c r="I322" s="3">
        <v>218</v>
      </c>
      <c r="J322" s="4" t="s">
        <v>17</v>
      </c>
      <c r="K322" s="3">
        <v>25</v>
      </c>
      <c r="L322" s="4" t="s">
        <v>176</v>
      </c>
      <c r="M322" s="3">
        <v>54.5</v>
      </c>
      <c r="O322">
        <f>MATCH(ROW(A322),Arr!O:O,FALSE)</f>
        <v>323</v>
      </c>
    </row>
    <row r="323" spans="1:15" x14ac:dyDescent="0.3">
      <c r="A323" s="41">
        <f t="shared" si="4"/>
        <v>322</v>
      </c>
      <c r="B323" s="3">
        <v>551</v>
      </c>
      <c r="C323" s="4" t="s">
        <v>548</v>
      </c>
      <c r="D323" s="4" t="s">
        <v>537</v>
      </c>
      <c r="E323" s="4" t="s">
        <v>15</v>
      </c>
      <c r="F323" s="4" t="s">
        <v>232</v>
      </c>
      <c r="G323" s="4" t="s">
        <v>115</v>
      </c>
      <c r="H323" s="3">
        <v>0</v>
      </c>
      <c r="I323" s="3">
        <v>212</v>
      </c>
      <c r="J323" s="4" t="s">
        <v>17</v>
      </c>
      <c r="K323" s="3">
        <v>25</v>
      </c>
      <c r="L323" s="4" t="s">
        <v>524</v>
      </c>
      <c r="M323" s="3">
        <v>12</v>
      </c>
      <c r="O323">
        <f>MATCH(ROW(A323),Arr!O:O,FALSE)</f>
        <v>324</v>
      </c>
    </row>
    <row r="324" spans="1:15" x14ac:dyDescent="0.3">
      <c r="A324" s="41">
        <f t="shared" ref="A324:A387" si="5">A323+1</f>
        <v>323</v>
      </c>
      <c r="B324" s="3">
        <v>552</v>
      </c>
      <c r="C324" s="4" t="s">
        <v>74</v>
      </c>
      <c r="D324" s="4" t="s">
        <v>537</v>
      </c>
      <c r="E324" s="4" t="s">
        <v>15</v>
      </c>
      <c r="F324" s="4" t="s">
        <v>232</v>
      </c>
      <c r="G324" s="4" t="s">
        <v>16</v>
      </c>
      <c r="H324" s="3">
        <v>0</v>
      </c>
      <c r="I324" s="3">
        <v>99</v>
      </c>
      <c r="J324" s="4" t="s">
        <v>17</v>
      </c>
      <c r="K324" s="3">
        <v>25</v>
      </c>
      <c r="L324" s="4" t="s">
        <v>35</v>
      </c>
      <c r="M324" s="3">
        <v>13.5</v>
      </c>
      <c r="O324">
        <f>MATCH(ROW(A324),Arr!O:O,FALSE)</f>
        <v>329</v>
      </c>
    </row>
    <row r="325" spans="1:15" x14ac:dyDescent="0.3">
      <c r="A325" s="41">
        <f t="shared" si="5"/>
        <v>324</v>
      </c>
      <c r="B325" s="3">
        <v>554</v>
      </c>
      <c r="C325" s="4" t="s">
        <v>204</v>
      </c>
      <c r="D325" s="4" t="s">
        <v>537</v>
      </c>
      <c r="E325" s="4" t="s">
        <v>15</v>
      </c>
      <c r="F325" s="4" t="s">
        <v>232</v>
      </c>
      <c r="G325" s="4" t="s">
        <v>70</v>
      </c>
      <c r="H325" s="3">
        <v>0</v>
      </c>
      <c r="I325" s="3">
        <v>124</v>
      </c>
      <c r="J325" s="4" t="s">
        <v>17</v>
      </c>
      <c r="K325" s="3">
        <v>25</v>
      </c>
      <c r="L325" s="4" t="s">
        <v>35</v>
      </c>
      <c r="M325" s="3">
        <v>17.3</v>
      </c>
      <c r="O325">
        <f>MATCH(ROW(A325),Arr!O:O,FALSE)</f>
        <v>325</v>
      </c>
    </row>
    <row r="326" spans="1:15" x14ac:dyDescent="0.3">
      <c r="A326" s="41">
        <f t="shared" si="5"/>
        <v>325</v>
      </c>
      <c r="B326" s="3">
        <v>501</v>
      </c>
      <c r="C326" s="4" t="s">
        <v>328</v>
      </c>
      <c r="D326" s="4" t="s">
        <v>537</v>
      </c>
      <c r="E326" s="4" t="s">
        <v>15</v>
      </c>
      <c r="F326" s="4" t="s">
        <v>172</v>
      </c>
      <c r="G326" s="4" t="s">
        <v>70</v>
      </c>
      <c r="H326" s="3">
        <v>0</v>
      </c>
      <c r="I326" s="3">
        <v>124</v>
      </c>
      <c r="J326" s="4" t="s">
        <v>17</v>
      </c>
      <c r="K326" s="3">
        <v>25</v>
      </c>
      <c r="L326" s="4" t="s">
        <v>35</v>
      </c>
      <c r="M326" s="3">
        <v>17.3</v>
      </c>
      <c r="O326">
        <f>MATCH(ROW(A326),Arr!O:O,FALSE)</f>
        <v>326</v>
      </c>
    </row>
    <row r="327" spans="1:15" x14ac:dyDescent="0.3">
      <c r="A327" s="41">
        <f t="shared" si="5"/>
        <v>326</v>
      </c>
      <c r="B327" s="3">
        <v>555</v>
      </c>
      <c r="C327" s="4" t="s">
        <v>575</v>
      </c>
      <c r="D327" s="4" t="s">
        <v>537</v>
      </c>
      <c r="E327" s="4" t="s">
        <v>15</v>
      </c>
      <c r="F327" s="4" t="s">
        <v>232</v>
      </c>
      <c r="G327" s="4" t="s">
        <v>70</v>
      </c>
      <c r="H327" s="3">
        <v>0</v>
      </c>
      <c r="I327" s="3">
        <v>124</v>
      </c>
      <c r="J327" s="4" t="s">
        <v>17</v>
      </c>
      <c r="K327" s="3">
        <v>25</v>
      </c>
      <c r="L327" s="4" t="s">
        <v>35</v>
      </c>
      <c r="M327" s="3">
        <v>17.3</v>
      </c>
      <c r="O327">
        <f>MATCH(ROW(A327),Arr!O:O,FALSE)</f>
        <v>327</v>
      </c>
    </row>
    <row r="328" spans="1:15" x14ac:dyDescent="0.3">
      <c r="A328" s="41">
        <f t="shared" si="5"/>
        <v>327</v>
      </c>
      <c r="B328" s="3">
        <v>502</v>
      </c>
      <c r="C328" s="4" t="s">
        <v>567</v>
      </c>
      <c r="D328" s="4" t="s">
        <v>537</v>
      </c>
      <c r="E328" s="4" t="s">
        <v>15</v>
      </c>
      <c r="F328" s="4" t="s">
        <v>172</v>
      </c>
      <c r="G328" s="4" t="s">
        <v>70</v>
      </c>
      <c r="H328" s="3">
        <v>0</v>
      </c>
      <c r="I328" s="3">
        <v>124</v>
      </c>
      <c r="J328" s="4" t="s">
        <v>17</v>
      </c>
      <c r="K328" s="3">
        <v>25</v>
      </c>
      <c r="L328" s="4" t="s">
        <v>35</v>
      </c>
      <c r="M328" s="3">
        <v>17.3</v>
      </c>
      <c r="O328">
        <f>MATCH(ROW(A328),Arr!O:O,FALSE)</f>
        <v>328</v>
      </c>
    </row>
    <row r="329" spans="1:15" x14ac:dyDescent="0.3">
      <c r="A329" s="41">
        <f t="shared" si="5"/>
        <v>328</v>
      </c>
      <c r="B329" s="3">
        <v>553</v>
      </c>
      <c r="C329" s="4" t="s">
        <v>487</v>
      </c>
      <c r="D329" s="4" t="s">
        <v>537</v>
      </c>
      <c r="E329" s="4" t="s">
        <v>15</v>
      </c>
      <c r="F329" s="4" t="s">
        <v>232</v>
      </c>
      <c r="G329" s="4" t="s">
        <v>70</v>
      </c>
      <c r="H329" s="3">
        <v>0</v>
      </c>
      <c r="I329" s="3">
        <v>124</v>
      </c>
      <c r="J329" s="4" t="s">
        <v>17</v>
      </c>
      <c r="K329" s="3">
        <v>25</v>
      </c>
      <c r="L329" s="4" t="s">
        <v>35</v>
      </c>
      <c r="M329" s="3">
        <v>17.3</v>
      </c>
      <c r="O329">
        <f>MATCH(ROW(A329),Arr!O:O,FALSE)</f>
        <v>330</v>
      </c>
    </row>
    <row r="330" spans="1:15" x14ac:dyDescent="0.3">
      <c r="A330" s="41">
        <f t="shared" si="5"/>
        <v>329</v>
      </c>
      <c r="B330" s="3">
        <v>548</v>
      </c>
      <c r="C330" s="4" t="s">
        <v>207</v>
      </c>
      <c r="D330" s="4" t="s">
        <v>537</v>
      </c>
      <c r="E330" s="4" t="s">
        <v>15</v>
      </c>
      <c r="F330" s="4" t="s">
        <v>232</v>
      </c>
      <c r="G330" s="4" t="s">
        <v>43</v>
      </c>
      <c r="H330" s="3">
        <v>0</v>
      </c>
      <c r="I330" s="3">
        <v>134</v>
      </c>
      <c r="J330" s="4" t="s">
        <v>17</v>
      </c>
      <c r="K330" s="3">
        <v>25</v>
      </c>
      <c r="L330" s="4" t="s">
        <v>35</v>
      </c>
      <c r="M330" s="3">
        <v>0</v>
      </c>
      <c r="O330">
        <f>MATCH(ROW(A330),Arr!O:O,FALSE)</f>
        <v>331</v>
      </c>
    </row>
    <row r="331" spans="1:15" x14ac:dyDescent="0.3">
      <c r="A331" s="41">
        <f t="shared" si="5"/>
        <v>330</v>
      </c>
      <c r="B331" s="3">
        <v>549</v>
      </c>
      <c r="C331" s="4" t="s">
        <v>396</v>
      </c>
      <c r="D331" s="4" t="s">
        <v>537</v>
      </c>
      <c r="E331" s="4" t="s">
        <v>15</v>
      </c>
      <c r="F331" s="4" t="s">
        <v>232</v>
      </c>
      <c r="G331" s="4" t="s">
        <v>43</v>
      </c>
      <c r="H331" s="3">
        <v>0</v>
      </c>
      <c r="I331" s="3">
        <v>134</v>
      </c>
      <c r="J331" s="4" t="s">
        <v>17</v>
      </c>
      <c r="K331" s="3">
        <v>25</v>
      </c>
      <c r="L331" s="4" t="s">
        <v>35</v>
      </c>
      <c r="M331" s="3">
        <v>0</v>
      </c>
      <c r="O331">
        <f>MATCH(ROW(A331),Arr!O:O,FALSE)</f>
        <v>332</v>
      </c>
    </row>
    <row r="332" spans="1:15" x14ac:dyDescent="0.3">
      <c r="A332" s="41">
        <f t="shared" si="5"/>
        <v>331</v>
      </c>
      <c r="B332" s="3">
        <v>395</v>
      </c>
      <c r="C332" s="4" t="s">
        <v>488</v>
      </c>
      <c r="D332" s="4" t="s">
        <v>537</v>
      </c>
      <c r="E332" s="4" t="s">
        <v>15</v>
      </c>
      <c r="F332" s="4" t="s">
        <v>31</v>
      </c>
      <c r="G332" s="4" t="s">
        <v>43</v>
      </c>
      <c r="H332" s="3">
        <v>0</v>
      </c>
      <c r="I332" s="3">
        <v>134</v>
      </c>
      <c r="J332" s="4" t="s">
        <v>17</v>
      </c>
      <c r="K332" s="3">
        <v>25</v>
      </c>
      <c r="L332" s="4" t="s">
        <v>35</v>
      </c>
      <c r="M332" s="3">
        <v>0</v>
      </c>
      <c r="O332">
        <f>MATCH(ROW(A332),Arr!O:O,FALSE)</f>
        <v>333</v>
      </c>
    </row>
    <row r="333" spans="1:15" x14ac:dyDescent="0.3">
      <c r="A333" s="41">
        <f t="shared" si="5"/>
        <v>332</v>
      </c>
      <c r="B333" s="3">
        <v>445</v>
      </c>
      <c r="C333" s="4" t="s">
        <v>557</v>
      </c>
      <c r="D333" s="4" t="s">
        <v>537</v>
      </c>
      <c r="E333" s="4" t="s">
        <v>15</v>
      </c>
      <c r="F333" s="4" t="s">
        <v>108</v>
      </c>
      <c r="G333" s="4" t="s">
        <v>53</v>
      </c>
      <c r="H333" s="3">
        <v>0</v>
      </c>
      <c r="I333" s="3">
        <v>99</v>
      </c>
      <c r="J333" s="4" t="s">
        <v>17</v>
      </c>
      <c r="K333" s="3">
        <v>25</v>
      </c>
      <c r="L333" s="4" t="s">
        <v>35</v>
      </c>
      <c r="M333" s="3">
        <v>15.3</v>
      </c>
      <c r="O333">
        <f>MATCH(ROW(A333),Arr!O:O,FALSE)</f>
        <v>334</v>
      </c>
    </row>
    <row r="334" spans="1:15" x14ac:dyDescent="0.3">
      <c r="A334" s="41">
        <f t="shared" si="5"/>
        <v>333</v>
      </c>
      <c r="B334" s="3">
        <v>550</v>
      </c>
      <c r="C334" s="4" t="s">
        <v>574</v>
      </c>
      <c r="D334" s="4" t="s">
        <v>537</v>
      </c>
      <c r="E334" s="4" t="s">
        <v>15</v>
      </c>
      <c r="F334" s="4" t="s">
        <v>232</v>
      </c>
      <c r="G334" s="4" t="s">
        <v>160</v>
      </c>
      <c r="H334" s="3">
        <v>0</v>
      </c>
      <c r="I334" s="3">
        <v>168</v>
      </c>
      <c r="J334" s="4" t="s">
        <v>17</v>
      </c>
      <c r="K334" s="3">
        <v>25</v>
      </c>
      <c r="L334" s="4" t="s">
        <v>35</v>
      </c>
      <c r="M334" s="3">
        <v>3</v>
      </c>
      <c r="O334">
        <f>MATCH(ROW(A334),Arr!O:O,FALSE)</f>
        <v>337</v>
      </c>
    </row>
    <row r="335" spans="1:15" x14ac:dyDescent="0.3">
      <c r="A335" s="41">
        <f t="shared" si="5"/>
        <v>334</v>
      </c>
      <c r="B335" s="3">
        <v>496</v>
      </c>
      <c r="C335" s="4" t="s">
        <v>187</v>
      </c>
      <c r="D335" s="4" t="s">
        <v>537</v>
      </c>
      <c r="E335" s="4" t="s">
        <v>15</v>
      </c>
      <c r="F335" s="4" t="s">
        <v>172</v>
      </c>
      <c r="G335" s="4" t="s">
        <v>34</v>
      </c>
      <c r="H335" s="3">
        <v>0</v>
      </c>
      <c r="I335" s="3">
        <v>138</v>
      </c>
      <c r="J335" s="4" t="s">
        <v>17</v>
      </c>
      <c r="K335" s="3">
        <v>25</v>
      </c>
      <c r="L335" s="4" t="s">
        <v>35</v>
      </c>
      <c r="M335" s="3">
        <v>8.6999999999999993</v>
      </c>
      <c r="O335">
        <f>MATCH(ROW(A335),Arr!O:O,FALSE)</f>
        <v>335</v>
      </c>
    </row>
    <row r="336" spans="1:15" x14ac:dyDescent="0.3">
      <c r="A336" s="41">
        <f t="shared" si="5"/>
        <v>335</v>
      </c>
      <c r="B336" s="3">
        <v>394</v>
      </c>
      <c r="C336" s="4" t="s">
        <v>541</v>
      </c>
      <c r="D336" s="4" t="s">
        <v>537</v>
      </c>
      <c r="E336" s="4" t="s">
        <v>15</v>
      </c>
      <c r="F336" s="4" t="s">
        <v>31</v>
      </c>
      <c r="G336" s="4" t="s">
        <v>34</v>
      </c>
      <c r="H336" s="3">
        <v>0</v>
      </c>
      <c r="I336" s="3">
        <v>138</v>
      </c>
      <c r="J336" s="4" t="s">
        <v>17</v>
      </c>
      <c r="K336" s="3">
        <v>25</v>
      </c>
      <c r="L336" s="4" t="s">
        <v>35</v>
      </c>
      <c r="M336" s="3">
        <v>8.6999999999999993</v>
      </c>
      <c r="O336">
        <f>MATCH(ROW(A336),Arr!O:O,FALSE)</f>
        <v>336</v>
      </c>
    </row>
    <row r="337" spans="1:15" x14ac:dyDescent="0.3">
      <c r="A337" s="41">
        <f t="shared" si="5"/>
        <v>336</v>
      </c>
      <c r="B337" s="3">
        <v>497</v>
      </c>
      <c r="C337" s="4" t="s">
        <v>623</v>
      </c>
      <c r="D337" s="4" t="s">
        <v>537</v>
      </c>
      <c r="E337" s="4" t="s">
        <v>15</v>
      </c>
      <c r="F337" s="4" t="s">
        <v>172</v>
      </c>
      <c r="G337" s="4" t="s">
        <v>34</v>
      </c>
      <c r="H337" s="3">
        <v>0</v>
      </c>
      <c r="I337" s="3">
        <v>138</v>
      </c>
      <c r="J337" s="4" t="s">
        <v>17</v>
      </c>
      <c r="K337" s="3">
        <v>25</v>
      </c>
      <c r="L337" s="4" t="s">
        <v>35</v>
      </c>
      <c r="M337" s="3">
        <v>8.6999999999999993</v>
      </c>
      <c r="O337">
        <f>MATCH(ROW(A337),Arr!O:O,FALSE)</f>
        <v>338</v>
      </c>
    </row>
    <row r="338" spans="1:15" x14ac:dyDescent="0.3">
      <c r="A338" s="41">
        <f t="shared" si="5"/>
        <v>337</v>
      </c>
      <c r="B338" s="3">
        <v>546</v>
      </c>
      <c r="C338" s="4" t="s">
        <v>573</v>
      </c>
      <c r="D338" s="4" t="s">
        <v>537</v>
      </c>
      <c r="E338" s="4" t="s">
        <v>15</v>
      </c>
      <c r="F338" s="4" t="s">
        <v>226</v>
      </c>
      <c r="G338" s="4" t="s">
        <v>40</v>
      </c>
      <c r="H338" s="3">
        <v>0</v>
      </c>
      <c r="I338" s="3">
        <v>106</v>
      </c>
      <c r="J338" s="4" t="s">
        <v>17</v>
      </c>
      <c r="K338" s="3">
        <v>25</v>
      </c>
      <c r="L338" s="4" t="s">
        <v>229</v>
      </c>
      <c r="M338" s="3">
        <v>0</v>
      </c>
      <c r="O338">
        <f>MATCH(ROW(A338),Arr!O:O,FALSE)</f>
        <v>339</v>
      </c>
    </row>
    <row r="339" spans="1:15" x14ac:dyDescent="0.3">
      <c r="A339" s="41">
        <f t="shared" si="5"/>
        <v>338</v>
      </c>
      <c r="B339" s="3">
        <v>803</v>
      </c>
      <c r="C339" s="4" t="s">
        <v>607</v>
      </c>
      <c r="D339" s="4" t="s">
        <v>537</v>
      </c>
      <c r="E339" s="4" t="s">
        <v>15</v>
      </c>
      <c r="F339" s="4" t="s">
        <v>464</v>
      </c>
      <c r="G339" s="4" t="s">
        <v>16</v>
      </c>
      <c r="H339" s="3">
        <v>0</v>
      </c>
      <c r="I339" s="3">
        <v>102</v>
      </c>
      <c r="J339" s="4" t="s">
        <v>17</v>
      </c>
      <c r="K339" s="3">
        <v>25</v>
      </c>
      <c r="L339" s="4" t="s">
        <v>63</v>
      </c>
      <c r="M339" s="3">
        <v>0</v>
      </c>
      <c r="O339">
        <f>MATCH(ROW(A339),Arr!O:O,FALSE)</f>
        <v>340</v>
      </c>
    </row>
    <row r="340" spans="1:15" x14ac:dyDescent="0.3">
      <c r="A340" s="41">
        <f t="shared" si="5"/>
        <v>339</v>
      </c>
      <c r="B340" s="3">
        <v>802</v>
      </c>
      <c r="C340" s="4" t="s">
        <v>272</v>
      </c>
      <c r="D340" s="4" t="s">
        <v>537</v>
      </c>
      <c r="E340" s="4" t="s">
        <v>15</v>
      </c>
      <c r="F340" s="4" t="s">
        <v>464</v>
      </c>
      <c r="G340" s="4" t="s">
        <v>16</v>
      </c>
      <c r="H340" s="3">
        <v>0</v>
      </c>
      <c r="I340" s="3">
        <v>102</v>
      </c>
      <c r="J340" s="4" t="s">
        <v>17</v>
      </c>
      <c r="K340" s="3">
        <v>25</v>
      </c>
      <c r="L340" s="4" t="s">
        <v>63</v>
      </c>
      <c r="M340" s="3">
        <v>0</v>
      </c>
      <c r="O340">
        <f>MATCH(ROW(A340),Arr!O:O,FALSE)</f>
        <v>342</v>
      </c>
    </row>
    <row r="341" spans="1:15" x14ac:dyDescent="0.3">
      <c r="A341" s="41">
        <f t="shared" si="5"/>
        <v>340</v>
      </c>
      <c r="B341" s="3">
        <v>801</v>
      </c>
      <c r="C341" s="4" t="s">
        <v>80</v>
      </c>
      <c r="D341" s="4" t="s">
        <v>537</v>
      </c>
      <c r="E341" s="4" t="s">
        <v>15</v>
      </c>
      <c r="F341" s="4" t="s">
        <v>464</v>
      </c>
      <c r="G341" s="4" t="s">
        <v>70</v>
      </c>
      <c r="H341" s="3">
        <v>0</v>
      </c>
      <c r="I341" s="3">
        <v>123</v>
      </c>
      <c r="J341" s="4" t="s">
        <v>17</v>
      </c>
      <c r="K341" s="3">
        <v>25</v>
      </c>
      <c r="L341" s="4" t="s">
        <v>63</v>
      </c>
      <c r="M341" s="3">
        <v>0</v>
      </c>
      <c r="O341">
        <f>MATCH(ROW(A341),Arr!O:O,FALSE)</f>
        <v>341</v>
      </c>
    </row>
    <row r="342" spans="1:15" x14ac:dyDescent="0.3">
      <c r="A342" s="41">
        <f t="shared" si="5"/>
        <v>341</v>
      </c>
      <c r="B342" s="3">
        <v>416</v>
      </c>
      <c r="C342" s="4" t="s">
        <v>548</v>
      </c>
      <c r="D342" s="4" t="s">
        <v>537</v>
      </c>
      <c r="E342" s="4" t="s">
        <v>15</v>
      </c>
      <c r="F342" s="4" t="s">
        <v>61</v>
      </c>
      <c r="G342" s="4" t="s">
        <v>70</v>
      </c>
      <c r="H342" s="3">
        <v>0</v>
      </c>
      <c r="I342" s="3">
        <v>123</v>
      </c>
      <c r="J342" s="4" t="s">
        <v>17</v>
      </c>
      <c r="K342" s="3">
        <v>25</v>
      </c>
      <c r="L342" s="4" t="s">
        <v>63</v>
      </c>
      <c r="M342" s="3">
        <v>0</v>
      </c>
      <c r="O342">
        <f>MATCH(ROW(A342),Arr!O:O,FALSE)</f>
        <v>349</v>
      </c>
    </row>
    <row r="343" spans="1:15" x14ac:dyDescent="0.3">
      <c r="A343" s="41">
        <f t="shared" si="5"/>
        <v>342</v>
      </c>
      <c r="B343" s="3">
        <v>415</v>
      </c>
      <c r="C343" s="4" t="s">
        <v>547</v>
      </c>
      <c r="D343" s="4" t="s">
        <v>537</v>
      </c>
      <c r="E343" s="4" t="s">
        <v>15</v>
      </c>
      <c r="F343" s="4" t="s">
        <v>61</v>
      </c>
      <c r="G343" s="4" t="s">
        <v>34</v>
      </c>
      <c r="H343" s="3">
        <v>0</v>
      </c>
      <c r="I343" s="3">
        <v>148</v>
      </c>
      <c r="J343" s="4" t="s">
        <v>17</v>
      </c>
      <c r="K343" s="3">
        <v>25</v>
      </c>
      <c r="L343" s="4" t="s">
        <v>63</v>
      </c>
      <c r="M343" s="3">
        <v>8.6999999999999993</v>
      </c>
      <c r="O343">
        <f>MATCH(ROW(A343),Arr!O:O,FALSE)</f>
        <v>350</v>
      </c>
    </row>
    <row r="344" spans="1:15" x14ac:dyDescent="0.3">
      <c r="A344" s="41">
        <f t="shared" si="5"/>
        <v>343</v>
      </c>
      <c r="B344" s="3">
        <v>450</v>
      </c>
      <c r="C344" s="4" t="s">
        <v>559</v>
      </c>
      <c r="D344" s="4" t="s">
        <v>537</v>
      </c>
      <c r="E344" s="4" t="s">
        <v>15</v>
      </c>
      <c r="F344" s="4" t="s">
        <v>118</v>
      </c>
      <c r="G344" s="4" t="s">
        <v>34</v>
      </c>
      <c r="H344" s="3">
        <v>0</v>
      </c>
      <c r="I344" s="3">
        <v>148</v>
      </c>
      <c r="J344" s="4" t="s">
        <v>17</v>
      </c>
      <c r="K344" s="3">
        <v>25</v>
      </c>
      <c r="L344" s="4" t="s">
        <v>63</v>
      </c>
      <c r="M344" s="3">
        <v>8.6999999999999993</v>
      </c>
      <c r="O344">
        <f>MATCH(ROW(A344),Arr!O:O,FALSE)</f>
        <v>351</v>
      </c>
    </row>
    <row r="345" spans="1:15" x14ac:dyDescent="0.3">
      <c r="A345" s="41">
        <f t="shared" si="5"/>
        <v>344</v>
      </c>
      <c r="B345" s="3">
        <v>558</v>
      </c>
      <c r="C345" s="4" t="s">
        <v>576</v>
      </c>
      <c r="D345" s="4" t="s">
        <v>537</v>
      </c>
      <c r="E345" s="4" t="s">
        <v>15</v>
      </c>
      <c r="F345" s="4" t="s">
        <v>247</v>
      </c>
      <c r="G345" s="4" t="s">
        <v>34</v>
      </c>
      <c r="H345" s="3">
        <v>0</v>
      </c>
      <c r="I345" s="3">
        <v>148</v>
      </c>
      <c r="J345" s="4" t="s">
        <v>17</v>
      </c>
      <c r="K345" s="3">
        <v>25</v>
      </c>
      <c r="L345" s="4" t="s">
        <v>63</v>
      </c>
      <c r="M345" s="3">
        <v>8.6999999999999993</v>
      </c>
      <c r="O345">
        <f>MATCH(ROW(A345),Arr!O:O,FALSE)</f>
        <v>343</v>
      </c>
    </row>
    <row r="346" spans="1:15" x14ac:dyDescent="0.3">
      <c r="A346" s="41">
        <f t="shared" si="5"/>
        <v>345</v>
      </c>
      <c r="B346" s="3">
        <v>559</v>
      </c>
      <c r="C346" s="4" t="s">
        <v>577</v>
      </c>
      <c r="D346" s="4" t="s">
        <v>537</v>
      </c>
      <c r="E346" s="4" t="s">
        <v>15</v>
      </c>
      <c r="F346" s="4" t="s">
        <v>247</v>
      </c>
      <c r="G346" s="4" t="s">
        <v>34</v>
      </c>
      <c r="H346" s="3">
        <v>0</v>
      </c>
      <c r="I346" s="3">
        <v>148</v>
      </c>
      <c r="J346" s="4" t="s">
        <v>17</v>
      </c>
      <c r="K346" s="3">
        <v>25</v>
      </c>
      <c r="L346" s="4" t="s">
        <v>63</v>
      </c>
      <c r="M346" s="3">
        <v>8.6999999999999993</v>
      </c>
      <c r="O346">
        <f>MATCH(ROW(A346),Arr!O:O,FALSE)</f>
        <v>344</v>
      </c>
    </row>
    <row r="347" spans="1:15" x14ac:dyDescent="0.3">
      <c r="A347" s="41">
        <f t="shared" si="5"/>
        <v>346</v>
      </c>
      <c r="B347" s="3">
        <v>451</v>
      </c>
      <c r="C347" s="4" t="s">
        <v>328</v>
      </c>
      <c r="D347" s="4" t="s">
        <v>537</v>
      </c>
      <c r="E347" s="4" t="s">
        <v>15</v>
      </c>
      <c r="F347" s="4" t="s">
        <v>118</v>
      </c>
      <c r="G347" s="4" t="s">
        <v>34</v>
      </c>
      <c r="H347" s="3">
        <v>0</v>
      </c>
      <c r="I347" s="3">
        <v>148</v>
      </c>
      <c r="J347" s="4" t="s">
        <v>17</v>
      </c>
      <c r="K347" s="3">
        <v>25</v>
      </c>
      <c r="L347" s="4" t="s">
        <v>63</v>
      </c>
      <c r="M347" s="3">
        <v>8.6999999999999993</v>
      </c>
      <c r="O347">
        <f>MATCH(ROW(A347),Arr!O:O,FALSE)</f>
        <v>345</v>
      </c>
    </row>
    <row r="348" spans="1:15" x14ac:dyDescent="0.3">
      <c r="A348" s="41">
        <f t="shared" si="5"/>
        <v>347</v>
      </c>
      <c r="B348" s="3">
        <v>449</v>
      </c>
      <c r="C348" s="4" t="s">
        <v>462</v>
      </c>
      <c r="D348" s="4" t="s">
        <v>537</v>
      </c>
      <c r="E348" s="4" t="s">
        <v>15</v>
      </c>
      <c r="F348" s="4" t="s">
        <v>118</v>
      </c>
      <c r="G348" s="4" t="s">
        <v>34</v>
      </c>
      <c r="H348" s="3">
        <v>0</v>
      </c>
      <c r="I348" s="3">
        <v>148</v>
      </c>
      <c r="J348" s="4" t="s">
        <v>17</v>
      </c>
      <c r="K348" s="3">
        <v>25</v>
      </c>
      <c r="L348" s="4" t="s">
        <v>63</v>
      </c>
      <c r="M348" s="3">
        <v>8.6999999999999993</v>
      </c>
      <c r="O348">
        <f>MATCH(ROW(A348),Arr!O:O,FALSE)</f>
        <v>346</v>
      </c>
    </row>
    <row r="349" spans="1:15" x14ac:dyDescent="0.3">
      <c r="A349" s="41">
        <f t="shared" si="5"/>
        <v>348</v>
      </c>
      <c r="B349" s="3">
        <v>806</v>
      </c>
      <c r="C349" s="4" t="s">
        <v>560</v>
      </c>
      <c r="D349" s="4" t="s">
        <v>537</v>
      </c>
      <c r="E349" s="4" t="s">
        <v>15</v>
      </c>
      <c r="F349" s="4" t="s">
        <v>464</v>
      </c>
      <c r="G349" s="4" t="s">
        <v>34</v>
      </c>
      <c r="H349" s="3">
        <v>0</v>
      </c>
      <c r="I349" s="3">
        <v>148</v>
      </c>
      <c r="J349" s="4" t="s">
        <v>17</v>
      </c>
      <c r="K349" s="3">
        <v>25</v>
      </c>
      <c r="L349" s="4" t="s">
        <v>63</v>
      </c>
      <c r="M349" s="3">
        <v>8.6999999999999993</v>
      </c>
      <c r="O349">
        <f>MATCH(ROW(A349),Arr!O:O,FALSE)</f>
        <v>347</v>
      </c>
    </row>
    <row r="350" spans="1:15" x14ac:dyDescent="0.3">
      <c r="A350" s="41">
        <f t="shared" si="5"/>
        <v>349</v>
      </c>
      <c r="B350" s="3">
        <v>414</v>
      </c>
      <c r="C350" s="4" t="s">
        <v>189</v>
      </c>
      <c r="D350" s="4" t="s">
        <v>537</v>
      </c>
      <c r="E350" s="4" t="s">
        <v>15</v>
      </c>
      <c r="F350" s="4" t="s">
        <v>61</v>
      </c>
      <c r="G350" s="4" t="s">
        <v>34</v>
      </c>
      <c r="H350" s="3">
        <v>0</v>
      </c>
      <c r="I350" s="3">
        <v>148</v>
      </c>
      <c r="J350" s="4" t="s">
        <v>17</v>
      </c>
      <c r="K350" s="3">
        <v>25</v>
      </c>
      <c r="L350" s="4" t="s">
        <v>63</v>
      </c>
      <c r="M350" s="3">
        <v>8.6999999999999993</v>
      </c>
      <c r="O350">
        <f>MATCH(ROW(A350),Arr!O:O,FALSE)</f>
        <v>348</v>
      </c>
    </row>
    <row r="351" spans="1:15" x14ac:dyDescent="0.3">
      <c r="A351" s="41">
        <f t="shared" si="5"/>
        <v>350</v>
      </c>
      <c r="B351" s="3">
        <v>560</v>
      </c>
      <c r="C351" s="4" t="s">
        <v>503</v>
      </c>
      <c r="D351" s="4" t="s">
        <v>537</v>
      </c>
      <c r="E351" s="4" t="s">
        <v>15</v>
      </c>
      <c r="F351" s="4" t="s">
        <v>247</v>
      </c>
      <c r="G351" s="4" t="s">
        <v>34</v>
      </c>
      <c r="H351" s="3">
        <v>0</v>
      </c>
      <c r="I351" s="3">
        <v>148</v>
      </c>
      <c r="J351" s="4" t="s">
        <v>17</v>
      </c>
      <c r="K351" s="3">
        <v>25</v>
      </c>
      <c r="L351" s="4" t="s">
        <v>63</v>
      </c>
      <c r="M351" s="3">
        <v>8.6999999999999993</v>
      </c>
      <c r="O351">
        <f>MATCH(ROW(A351),Arr!O:O,FALSE)</f>
        <v>352</v>
      </c>
    </row>
    <row r="352" spans="1:15" x14ac:dyDescent="0.3">
      <c r="A352" s="41">
        <f t="shared" si="5"/>
        <v>351</v>
      </c>
      <c r="B352" s="3">
        <v>410</v>
      </c>
      <c r="C352" s="4" t="s">
        <v>190</v>
      </c>
      <c r="D352" s="4" t="s">
        <v>537</v>
      </c>
      <c r="E352" s="4" t="s">
        <v>15</v>
      </c>
      <c r="F352" s="4" t="s">
        <v>61</v>
      </c>
      <c r="G352" s="4" t="s">
        <v>223</v>
      </c>
      <c r="H352" s="3">
        <v>0</v>
      </c>
      <c r="I352" s="3">
        <v>156</v>
      </c>
      <c r="J352" s="4" t="s">
        <v>17</v>
      </c>
      <c r="K352" s="3">
        <v>25</v>
      </c>
      <c r="L352" s="4" t="s">
        <v>63</v>
      </c>
      <c r="M352" s="3">
        <v>12.7</v>
      </c>
      <c r="O352">
        <f>MATCH(ROW(A352),Arr!O:O,FALSE)</f>
        <v>354</v>
      </c>
    </row>
    <row r="353" spans="1:15" x14ac:dyDescent="0.3">
      <c r="A353" s="41">
        <f t="shared" si="5"/>
        <v>352</v>
      </c>
      <c r="B353" s="3">
        <v>412</v>
      </c>
      <c r="C353" s="4" t="s">
        <v>372</v>
      </c>
      <c r="D353" s="4" t="s">
        <v>537</v>
      </c>
      <c r="E353" s="4" t="s">
        <v>15</v>
      </c>
      <c r="F353" s="4" t="s">
        <v>61</v>
      </c>
      <c r="G353" s="4" t="s">
        <v>65</v>
      </c>
      <c r="H353" s="3">
        <v>0</v>
      </c>
      <c r="I353" s="3">
        <v>230</v>
      </c>
      <c r="J353" s="4" t="s">
        <v>17</v>
      </c>
      <c r="K353" s="3">
        <v>25</v>
      </c>
      <c r="L353" s="4" t="s">
        <v>63</v>
      </c>
      <c r="M353" s="3">
        <v>0</v>
      </c>
      <c r="O353">
        <f>MATCH(ROW(A353),Arr!O:O,FALSE)</f>
        <v>353</v>
      </c>
    </row>
    <row r="354" spans="1:15" x14ac:dyDescent="0.3">
      <c r="A354" s="41">
        <f t="shared" si="5"/>
        <v>353</v>
      </c>
      <c r="B354" s="3">
        <v>413</v>
      </c>
      <c r="C354" s="4" t="s">
        <v>546</v>
      </c>
      <c r="D354" s="4" t="s">
        <v>537</v>
      </c>
      <c r="E354" s="4" t="s">
        <v>15</v>
      </c>
      <c r="F354" s="4" t="s">
        <v>61</v>
      </c>
      <c r="G354" s="4" t="s">
        <v>65</v>
      </c>
      <c r="H354" s="3">
        <v>0</v>
      </c>
      <c r="I354" s="3">
        <v>230</v>
      </c>
      <c r="J354" s="4" t="s">
        <v>17</v>
      </c>
      <c r="K354" s="3">
        <v>25</v>
      </c>
      <c r="L354" s="4" t="s">
        <v>63</v>
      </c>
      <c r="M354" s="3">
        <v>0</v>
      </c>
      <c r="O354">
        <f>MATCH(ROW(A354),Arr!O:O,FALSE)</f>
        <v>355</v>
      </c>
    </row>
    <row r="355" spans="1:15" x14ac:dyDescent="0.3">
      <c r="A355" s="41">
        <f t="shared" si="5"/>
        <v>354</v>
      </c>
      <c r="B355" s="3">
        <v>411</v>
      </c>
      <c r="C355" s="4" t="s">
        <v>412</v>
      </c>
      <c r="D355" s="4" t="s">
        <v>537</v>
      </c>
      <c r="E355" s="4" t="s">
        <v>15</v>
      </c>
      <c r="F355" s="4" t="s">
        <v>61</v>
      </c>
      <c r="G355" s="4" t="s">
        <v>62</v>
      </c>
      <c r="H355" s="3">
        <v>0</v>
      </c>
      <c r="I355" s="3">
        <v>168</v>
      </c>
      <c r="J355" s="4" t="s">
        <v>17</v>
      </c>
      <c r="K355" s="3">
        <v>25</v>
      </c>
      <c r="L355" s="4" t="s">
        <v>63</v>
      </c>
      <c r="M355" s="3">
        <v>10.8</v>
      </c>
      <c r="O355">
        <f>MATCH(ROW(A355),Arr!O:O,FALSE)</f>
        <v>356</v>
      </c>
    </row>
    <row r="356" spans="1:15" x14ac:dyDescent="0.3">
      <c r="A356" s="41">
        <f t="shared" si="5"/>
        <v>355</v>
      </c>
      <c r="B356" s="3">
        <v>808</v>
      </c>
      <c r="C356" s="4" t="s">
        <v>610</v>
      </c>
      <c r="D356" s="4" t="s">
        <v>537</v>
      </c>
      <c r="E356" s="4" t="s">
        <v>15</v>
      </c>
      <c r="F356" s="4" t="s">
        <v>464</v>
      </c>
      <c r="G356" s="4" t="s">
        <v>186</v>
      </c>
      <c r="H356" s="3">
        <v>0</v>
      </c>
      <c r="I356" s="3">
        <v>56</v>
      </c>
      <c r="J356" s="4" t="s">
        <v>17</v>
      </c>
      <c r="K356" s="3">
        <v>25</v>
      </c>
      <c r="L356" s="4" t="s">
        <v>63</v>
      </c>
      <c r="M356" s="3">
        <v>0</v>
      </c>
      <c r="O356">
        <f>MATCH(ROW(A356),Arr!O:O,FALSE)</f>
        <v>357</v>
      </c>
    </row>
    <row r="357" spans="1:15" x14ac:dyDescent="0.3">
      <c r="A357" s="41">
        <f t="shared" si="5"/>
        <v>356</v>
      </c>
      <c r="B357" s="3">
        <v>807</v>
      </c>
      <c r="C357" s="4" t="s">
        <v>123</v>
      </c>
      <c r="D357" s="4" t="s">
        <v>537</v>
      </c>
      <c r="E357" s="4" t="s">
        <v>15</v>
      </c>
      <c r="F357" s="4" t="s">
        <v>464</v>
      </c>
      <c r="G357" s="4" t="s">
        <v>186</v>
      </c>
      <c r="H357" s="3">
        <v>0</v>
      </c>
      <c r="I357" s="3">
        <v>56</v>
      </c>
      <c r="J357" s="4" t="s">
        <v>17</v>
      </c>
      <c r="K357" s="3">
        <v>25</v>
      </c>
      <c r="L357" s="4" t="s">
        <v>63</v>
      </c>
      <c r="M357" s="3">
        <v>0</v>
      </c>
      <c r="O357">
        <f>MATCH(ROW(A357),Arr!O:O,FALSE)</f>
        <v>358</v>
      </c>
    </row>
    <row r="358" spans="1:15" x14ac:dyDescent="0.3">
      <c r="A358" s="41">
        <f t="shared" si="5"/>
        <v>357</v>
      </c>
      <c r="B358" s="3">
        <v>804</v>
      </c>
      <c r="C358" s="4" t="s">
        <v>608</v>
      </c>
      <c r="D358" s="4" t="s">
        <v>537</v>
      </c>
      <c r="E358" s="4" t="s">
        <v>15</v>
      </c>
      <c r="F358" s="4" t="s">
        <v>464</v>
      </c>
      <c r="G358" s="4" t="s">
        <v>472</v>
      </c>
      <c r="H358" s="3">
        <v>0</v>
      </c>
      <c r="I358" s="3">
        <v>40</v>
      </c>
      <c r="J358" s="4" t="s">
        <v>17</v>
      </c>
      <c r="K358" s="3">
        <v>25</v>
      </c>
      <c r="L358" s="4" t="s">
        <v>63</v>
      </c>
      <c r="M358" s="3">
        <v>0</v>
      </c>
      <c r="O358">
        <f>MATCH(ROW(A358),Arr!O:O,FALSE)</f>
        <v>359</v>
      </c>
    </row>
    <row r="359" spans="1:15" x14ac:dyDescent="0.3">
      <c r="A359" s="41">
        <f t="shared" si="5"/>
        <v>358</v>
      </c>
      <c r="B359" s="3">
        <v>805</v>
      </c>
      <c r="C359" s="4" t="s">
        <v>609</v>
      </c>
      <c r="D359" s="4" t="s">
        <v>537</v>
      </c>
      <c r="E359" s="4" t="s">
        <v>15</v>
      </c>
      <c r="F359" s="4" t="s">
        <v>464</v>
      </c>
      <c r="G359" s="4" t="s">
        <v>472</v>
      </c>
      <c r="H359" s="3">
        <v>0</v>
      </c>
      <c r="I359" s="3">
        <v>40</v>
      </c>
      <c r="J359" s="4" t="s">
        <v>17</v>
      </c>
      <c r="K359" s="3">
        <v>25</v>
      </c>
      <c r="L359" s="4" t="s">
        <v>63</v>
      </c>
      <c r="M359" s="3">
        <v>0</v>
      </c>
      <c r="O359">
        <f>MATCH(ROW(A359),Arr!O:O,FALSE)</f>
        <v>360</v>
      </c>
    </row>
    <row r="360" spans="1:15" x14ac:dyDescent="0.3">
      <c r="A360" s="41">
        <f t="shared" si="5"/>
        <v>359</v>
      </c>
      <c r="B360" s="3">
        <v>797</v>
      </c>
      <c r="C360" s="4" t="s">
        <v>536</v>
      </c>
      <c r="D360" s="4" t="s">
        <v>537</v>
      </c>
      <c r="E360" s="4" t="s">
        <v>15</v>
      </c>
      <c r="F360" s="4" t="s">
        <v>464</v>
      </c>
      <c r="G360" s="4" t="s">
        <v>465</v>
      </c>
      <c r="H360" s="3">
        <v>0</v>
      </c>
      <c r="I360" s="3">
        <v>120</v>
      </c>
      <c r="J360" s="4" t="s">
        <v>17</v>
      </c>
      <c r="K360" s="3">
        <v>25</v>
      </c>
      <c r="L360" s="4" t="s">
        <v>63</v>
      </c>
      <c r="M360" s="3">
        <v>0</v>
      </c>
      <c r="O360">
        <f>MATCH(ROW(A360),Arr!O:O,FALSE)</f>
        <v>361</v>
      </c>
    </row>
    <row r="361" spans="1:15" x14ac:dyDescent="0.3">
      <c r="A361" s="41">
        <f t="shared" si="5"/>
        <v>360</v>
      </c>
      <c r="B361" s="3">
        <v>470</v>
      </c>
      <c r="C361" s="4" t="s">
        <v>178</v>
      </c>
      <c r="D361" s="4" t="s">
        <v>537</v>
      </c>
      <c r="E361" s="4" t="s">
        <v>15</v>
      </c>
      <c r="F361" s="4" t="s">
        <v>124</v>
      </c>
      <c r="G361" s="4" t="s">
        <v>135</v>
      </c>
      <c r="H361" s="3">
        <v>0</v>
      </c>
      <c r="I361" s="3">
        <v>91</v>
      </c>
      <c r="J361" s="4" t="s">
        <v>17</v>
      </c>
      <c r="K361" s="3">
        <v>25</v>
      </c>
      <c r="L361" s="4" t="s">
        <v>136</v>
      </c>
      <c r="M361" s="3">
        <v>0</v>
      </c>
      <c r="O361">
        <f>MATCH(ROW(A361),Arr!O:O,FALSE)</f>
        <v>365</v>
      </c>
    </row>
    <row r="362" spans="1:15" x14ac:dyDescent="0.3">
      <c r="A362" s="41">
        <f t="shared" si="5"/>
        <v>361</v>
      </c>
      <c r="B362" s="3">
        <v>464</v>
      </c>
      <c r="C362" s="4" t="s">
        <v>553</v>
      </c>
      <c r="D362" s="4" t="s">
        <v>537</v>
      </c>
      <c r="E362" s="4" t="s">
        <v>15</v>
      </c>
      <c r="F362" s="4" t="s">
        <v>124</v>
      </c>
      <c r="G362" s="4" t="s">
        <v>40</v>
      </c>
      <c r="H362" s="3">
        <v>0</v>
      </c>
      <c r="I362" s="3">
        <v>106</v>
      </c>
      <c r="J362" s="4" t="s">
        <v>17</v>
      </c>
      <c r="K362" s="3">
        <v>25</v>
      </c>
      <c r="L362" s="4" t="s">
        <v>136</v>
      </c>
      <c r="M362" s="3">
        <v>0</v>
      </c>
      <c r="O362">
        <f>MATCH(ROW(A362),Arr!O:O,FALSE)</f>
        <v>362</v>
      </c>
    </row>
    <row r="363" spans="1:15" x14ac:dyDescent="0.3">
      <c r="A363" s="41">
        <f t="shared" si="5"/>
        <v>362</v>
      </c>
      <c r="B363" s="3">
        <v>463</v>
      </c>
      <c r="C363" s="4" t="s">
        <v>308</v>
      </c>
      <c r="D363" s="4" t="s">
        <v>537</v>
      </c>
      <c r="E363" s="4" t="s">
        <v>15</v>
      </c>
      <c r="F363" s="4" t="s">
        <v>124</v>
      </c>
      <c r="G363" s="4" t="s">
        <v>40</v>
      </c>
      <c r="H363" s="3">
        <v>0</v>
      </c>
      <c r="I363" s="3">
        <v>106</v>
      </c>
      <c r="J363" s="4" t="s">
        <v>17</v>
      </c>
      <c r="K363" s="3">
        <v>25</v>
      </c>
      <c r="L363" s="4" t="s">
        <v>136</v>
      </c>
      <c r="M363" s="3">
        <v>0</v>
      </c>
      <c r="O363">
        <f>MATCH(ROW(A363),Arr!O:O,FALSE)</f>
        <v>363</v>
      </c>
    </row>
    <row r="364" spans="1:15" x14ac:dyDescent="0.3">
      <c r="A364" s="41">
        <f t="shared" si="5"/>
        <v>363</v>
      </c>
      <c r="B364" s="3">
        <v>466</v>
      </c>
      <c r="C364" s="4" t="s">
        <v>408</v>
      </c>
      <c r="D364" s="4" t="s">
        <v>537</v>
      </c>
      <c r="E364" s="4" t="s">
        <v>15</v>
      </c>
      <c r="F364" s="4" t="s">
        <v>124</v>
      </c>
      <c r="G364" s="4" t="s">
        <v>40</v>
      </c>
      <c r="H364" s="3">
        <v>0</v>
      </c>
      <c r="I364" s="3">
        <v>106</v>
      </c>
      <c r="J364" s="4" t="s">
        <v>17</v>
      </c>
      <c r="K364" s="3">
        <v>25</v>
      </c>
      <c r="L364" s="4" t="s">
        <v>136</v>
      </c>
      <c r="M364" s="3">
        <v>0</v>
      </c>
      <c r="O364">
        <f>MATCH(ROW(A364),Arr!O:O,FALSE)</f>
        <v>364</v>
      </c>
    </row>
    <row r="365" spans="1:15" x14ac:dyDescent="0.3">
      <c r="A365" s="41">
        <f t="shared" si="5"/>
        <v>364</v>
      </c>
      <c r="B365" s="3">
        <v>465</v>
      </c>
      <c r="C365" s="4" t="s">
        <v>376</v>
      </c>
      <c r="D365" s="4" t="s">
        <v>537</v>
      </c>
      <c r="E365" s="4" t="s">
        <v>15</v>
      </c>
      <c r="F365" s="4" t="s">
        <v>124</v>
      </c>
      <c r="G365" s="4" t="s">
        <v>40</v>
      </c>
      <c r="H365" s="3">
        <v>0</v>
      </c>
      <c r="I365" s="3">
        <v>106</v>
      </c>
      <c r="J365" s="4" t="s">
        <v>17</v>
      </c>
      <c r="K365" s="3">
        <v>25</v>
      </c>
      <c r="L365" s="4" t="s">
        <v>136</v>
      </c>
      <c r="M365" s="3">
        <v>0</v>
      </c>
      <c r="O365">
        <f>MATCH(ROW(A365),Arr!O:O,FALSE)</f>
        <v>366</v>
      </c>
    </row>
    <row r="366" spans="1:15" x14ac:dyDescent="0.3">
      <c r="A366" s="41">
        <f t="shared" si="5"/>
        <v>365</v>
      </c>
      <c r="B366" s="3">
        <v>393</v>
      </c>
      <c r="C366" s="4" t="s">
        <v>540</v>
      </c>
      <c r="D366" s="4" t="s">
        <v>537</v>
      </c>
      <c r="E366" s="4" t="s">
        <v>15</v>
      </c>
      <c r="F366" s="4" t="s">
        <v>31</v>
      </c>
      <c r="G366" s="4" t="s">
        <v>346</v>
      </c>
      <c r="H366" s="3">
        <v>0</v>
      </c>
      <c r="I366" s="3">
        <v>0</v>
      </c>
      <c r="J366" s="4" t="s">
        <v>17</v>
      </c>
      <c r="K366" s="3">
        <v>25</v>
      </c>
      <c r="L366" s="4" t="s">
        <v>347</v>
      </c>
      <c r="M366" s="3">
        <v>65.599999999999994</v>
      </c>
      <c r="O366" t="e">
        <f>MATCH(ROW(A366),Arr!O:O,FALSE)</f>
        <v>#N/A</v>
      </c>
    </row>
    <row r="367" spans="1:15" x14ac:dyDescent="0.3">
      <c r="A367" s="41">
        <f t="shared" si="5"/>
        <v>366</v>
      </c>
      <c r="B367" s="3">
        <v>655</v>
      </c>
      <c r="C367" s="4" t="s">
        <v>306</v>
      </c>
      <c r="D367" s="4" t="s">
        <v>537</v>
      </c>
      <c r="E367" s="4" t="s">
        <v>15</v>
      </c>
      <c r="F367" s="4" t="s">
        <v>335</v>
      </c>
      <c r="G367" s="4" t="s">
        <v>346</v>
      </c>
      <c r="H367" s="3">
        <v>0</v>
      </c>
      <c r="I367" s="3">
        <v>0</v>
      </c>
      <c r="J367" s="4" t="s">
        <v>17</v>
      </c>
      <c r="K367" s="3">
        <v>25</v>
      </c>
      <c r="L367" s="4" t="s">
        <v>347</v>
      </c>
      <c r="M367" s="3">
        <v>65.599999999999994</v>
      </c>
      <c r="O367" t="e">
        <f>MATCH(ROW(A367),Arr!O:O,FALSE)</f>
        <v>#N/A</v>
      </c>
    </row>
    <row r="368" spans="1:15" x14ac:dyDescent="0.3">
      <c r="A368" s="41">
        <f t="shared" si="5"/>
        <v>367</v>
      </c>
      <c r="B368" s="3">
        <v>621</v>
      </c>
      <c r="C368" s="4" t="s">
        <v>413</v>
      </c>
      <c r="D368" s="4" t="s">
        <v>537</v>
      </c>
      <c r="E368" s="4" t="s">
        <v>15</v>
      </c>
      <c r="F368" s="4" t="s">
        <v>310</v>
      </c>
      <c r="G368" s="4" t="s">
        <v>582</v>
      </c>
      <c r="H368" s="3">
        <v>0</v>
      </c>
      <c r="I368" s="3">
        <v>0</v>
      </c>
      <c r="J368" s="4" t="s">
        <v>17</v>
      </c>
      <c r="K368" s="3">
        <v>25</v>
      </c>
      <c r="L368" s="4" t="s">
        <v>347</v>
      </c>
      <c r="M368" s="3">
        <v>78.900000000000006</v>
      </c>
      <c r="O368">
        <f>MATCH(ROW(A368),Arr!O:O,FALSE)</f>
        <v>367</v>
      </c>
    </row>
    <row r="369" spans="1:15" x14ac:dyDescent="0.3">
      <c r="A369" s="41">
        <f t="shared" si="5"/>
        <v>368</v>
      </c>
      <c r="B369" s="3">
        <v>542</v>
      </c>
      <c r="C369" s="4" t="s">
        <v>141</v>
      </c>
      <c r="D369" s="4" t="s">
        <v>537</v>
      </c>
      <c r="E369" s="4" t="s">
        <v>15</v>
      </c>
      <c r="F369" s="4" t="s">
        <v>221</v>
      </c>
      <c r="G369" s="4" t="s">
        <v>223</v>
      </c>
      <c r="H369" s="3">
        <v>0</v>
      </c>
      <c r="I369" s="3">
        <v>184</v>
      </c>
      <c r="J369" s="4" t="s">
        <v>17</v>
      </c>
      <c r="K369" s="3">
        <v>25</v>
      </c>
      <c r="L369" s="4" t="s">
        <v>224</v>
      </c>
      <c r="M369" s="3">
        <v>12.7</v>
      </c>
      <c r="O369">
        <f>MATCH(ROW(A369),Arr!O:O,FALSE)</f>
        <v>368</v>
      </c>
    </row>
    <row r="370" spans="1:15" x14ac:dyDescent="0.3">
      <c r="A370" s="41">
        <f t="shared" si="5"/>
        <v>369</v>
      </c>
      <c r="B370" s="3">
        <v>657</v>
      </c>
      <c r="C370" s="4" t="s">
        <v>113</v>
      </c>
      <c r="D370" s="4" t="s">
        <v>537</v>
      </c>
      <c r="E370" s="4" t="s">
        <v>15</v>
      </c>
      <c r="F370" s="4" t="s">
        <v>593</v>
      </c>
      <c r="G370" s="4" t="s">
        <v>223</v>
      </c>
      <c r="H370" s="3">
        <v>0</v>
      </c>
      <c r="I370" s="3">
        <v>184</v>
      </c>
      <c r="J370" s="4" t="s">
        <v>17</v>
      </c>
      <c r="K370" s="3">
        <v>25</v>
      </c>
      <c r="L370" s="4" t="s">
        <v>224</v>
      </c>
      <c r="M370" s="3">
        <v>12.7</v>
      </c>
      <c r="O370">
        <f>MATCH(ROW(A370),Arr!O:O,FALSE)</f>
        <v>369</v>
      </c>
    </row>
    <row r="371" spans="1:15" x14ac:dyDescent="0.3">
      <c r="A371" s="41">
        <f t="shared" si="5"/>
        <v>370</v>
      </c>
      <c r="B371" s="3">
        <v>579</v>
      </c>
      <c r="C371" s="4" t="s">
        <v>152</v>
      </c>
      <c r="D371" s="4" t="s">
        <v>537</v>
      </c>
      <c r="E371" s="4" t="s">
        <v>15</v>
      </c>
      <c r="F371" s="4" t="s">
        <v>265</v>
      </c>
      <c r="G371" s="4" t="s">
        <v>40</v>
      </c>
      <c r="H371" s="3">
        <v>0</v>
      </c>
      <c r="I371" s="3">
        <v>99</v>
      </c>
      <c r="J371" s="4" t="s">
        <v>17</v>
      </c>
      <c r="K371" s="3">
        <v>25</v>
      </c>
      <c r="L371" s="4" t="s">
        <v>266</v>
      </c>
      <c r="M371" s="3">
        <v>0</v>
      </c>
      <c r="O371">
        <f>MATCH(ROW(A371),Arr!O:O,FALSE)</f>
        <v>376</v>
      </c>
    </row>
    <row r="372" spans="1:15" x14ac:dyDescent="0.3">
      <c r="A372" s="41">
        <f t="shared" si="5"/>
        <v>371</v>
      </c>
      <c r="B372" s="3">
        <v>735</v>
      </c>
      <c r="C372" s="4" t="s">
        <v>602</v>
      </c>
      <c r="D372" s="4" t="s">
        <v>537</v>
      </c>
      <c r="E372" s="4" t="s">
        <v>15</v>
      </c>
      <c r="F372" s="4" t="s">
        <v>404</v>
      </c>
      <c r="G372" s="4" t="s">
        <v>245</v>
      </c>
      <c r="H372" s="3">
        <v>0</v>
      </c>
      <c r="I372" s="3">
        <v>120</v>
      </c>
      <c r="J372" s="4" t="s">
        <v>17</v>
      </c>
      <c r="K372" s="3">
        <v>25</v>
      </c>
      <c r="L372" s="4" t="s">
        <v>266</v>
      </c>
      <c r="M372" s="3">
        <v>0</v>
      </c>
      <c r="O372">
        <f>MATCH(ROW(A372),Arr!O:O,FALSE)</f>
        <v>370</v>
      </c>
    </row>
    <row r="373" spans="1:15" x14ac:dyDescent="0.3">
      <c r="A373" s="41">
        <f t="shared" si="5"/>
        <v>372</v>
      </c>
      <c r="B373" s="3">
        <v>734</v>
      </c>
      <c r="C373" s="4" t="s">
        <v>187</v>
      </c>
      <c r="D373" s="4" t="s">
        <v>537</v>
      </c>
      <c r="E373" s="4" t="s">
        <v>15</v>
      </c>
      <c r="F373" s="4" t="s">
        <v>404</v>
      </c>
      <c r="G373" s="4" t="s">
        <v>245</v>
      </c>
      <c r="H373" s="3">
        <v>0</v>
      </c>
      <c r="I373" s="3">
        <v>120</v>
      </c>
      <c r="J373" s="4" t="s">
        <v>17</v>
      </c>
      <c r="K373" s="3">
        <v>25</v>
      </c>
      <c r="L373" s="4" t="s">
        <v>266</v>
      </c>
      <c r="M373" s="3">
        <v>0</v>
      </c>
      <c r="O373">
        <f>MATCH(ROW(A373),Arr!O:O,FALSE)</f>
        <v>371</v>
      </c>
    </row>
    <row r="374" spans="1:15" x14ac:dyDescent="0.3">
      <c r="A374" s="41">
        <f t="shared" si="5"/>
        <v>373</v>
      </c>
      <c r="B374" s="3">
        <v>733</v>
      </c>
      <c r="C374" s="4" t="s">
        <v>454</v>
      </c>
      <c r="D374" s="4" t="s">
        <v>537</v>
      </c>
      <c r="E374" s="4" t="s">
        <v>15</v>
      </c>
      <c r="F374" s="4" t="s">
        <v>404</v>
      </c>
      <c r="G374" s="4" t="s">
        <v>245</v>
      </c>
      <c r="H374" s="3">
        <v>0</v>
      </c>
      <c r="I374" s="3">
        <v>120</v>
      </c>
      <c r="J374" s="4" t="s">
        <v>17</v>
      </c>
      <c r="K374" s="3">
        <v>25</v>
      </c>
      <c r="L374" s="4" t="s">
        <v>266</v>
      </c>
      <c r="M374" s="3">
        <v>0</v>
      </c>
      <c r="O374">
        <f>MATCH(ROW(A374),Arr!O:O,FALSE)</f>
        <v>372</v>
      </c>
    </row>
    <row r="375" spans="1:15" x14ac:dyDescent="0.3">
      <c r="A375" s="41">
        <f t="shared" si="5"/>
        <v>374</v>
      </c>
      <c r="B375" s="3">
        <v>732</v>
      </c>
      <c r="C375" s="4" t="s">
        <v>601</v>
      </c>
      <c r="D375" s="4" t="s">
        <v>537</v>
      </c>
      <c r="E375" s="4" t="s">
        <v>15</v>
      </c>
      <c r="F375" s="4" t="s">
        <v>404</v>
      </c>
      <c r="G375" s="4" t="s">
        <v>245</v>
      </c>
      <c r="H375" s="3">
        <v>0</v>
      </c>
      <c r="I375" s="3">
        <v>120</v>
      </c>
      <c r="J375" s="4" t="s">
        <v>17</v>
      </c>
      <c r="K375" s="3">
        <v>25</v>
      </c>
      <c r="L375" s="4" t="s">
        <v>266</v>
      </c>
      <c r="M375" s="3">
        <v>0</v>
      </c>
      <c r="O375">
        <f>MATCH(ROW(A375),Arr!O:O,FALSE)</f>
        <v>373</v>
      </c>
    </row>
    <row r="376" spans="1:15" x14ac:dyDescent="0.3">
      <c r="A376" s="41">
        <f t="shared" si="5"/>
        <v>375</v>
      </c>
      <c r="B376" s="3">
        <v>581</v>
      </c>
      <c r="C376" s="4" t="s">
        <v>634</v>
      </c>
      <c r="D376" s="4" t="s">
        <v>537</v>
      </c>
      <c r="E376" s="4" t="s">
        <v>15</v>
      </c>
      <c r="F376" s="4" t="s">
        <v>265</v>
      </c>
      <c r="G376" s="4" t="s">
        <v>245</v>
      </c>
      <c r="H376" s="3">
        <v>0</v>
      </c>
      <c r="I376" s="3">
        <v>120</v>
      </c>
      <c r="J376" s="4" t="s">
        <v>17</v>
      </c>
      <c r="K376" s="3">
        <v>25</v>
      </c>
      <c r="L376" s="4" t="s">
        <v>266</v>
      </c>
      <c r="M376" s="3">
        <v>0</v>
      </c>
      <c r="O376">
        <f>MATCH(ROW(A376),Arr!O:O,FALSE)</f>
        <v>374</v>
      </c>
    </row>
    <row r="377" spans="1:15" x14ac:dyDescent="0.3">
      <c r="A377" s="41">
        <f t="shared" si="5"/>
        <v>376</v>
      </c>
      <c r="B377" s="3">
        <v>580</v>
      </c>
      <c r="C377" s="4" t="s">
        <v>633</v>
      </c>
      <c r="D377" s="4" t="s">
        <v>537</v>
      </c>
      <c r="E377" s="4" t="s">
        <v>15</v>
      </c>
      <c r="F377" s="4" t="s">
        <v>265</v>
      </c>
      <c r="G377" s="4" t="s">
        <v>245</v>
      </c>
      <c r="H377" s="3">
        <v>0</v>
      </c>
      <c r="I377" s="3">
        <v>120</v>
      </c>
      <c r="J377" s="4" t="s">
        <v>17</v>
      </c>
      <c r="K377" s="3">
        <v>25</v>
      </c>
      <c r="L377" s="4" t="s">
        <v>266</v>
      </c>
      <c r="M377" s="3">
        <v>0</v>
      </c>
      <c r="O377">
        <f>MATCH(ROW(A377),Arr!O:O,FALSE)</f>
        <v>375</v>
      </c>
    </row>
    <row r="378" spans="1:15" x14ac:dyDescent="0.3">
      <c r="A378" s="41">
        <f t="shared" si="5"/>
        <v>377</v>
      </c>
      <c r="B378" s="3">
        <v>582</v>
      </c>
      <c r="C378" s="4" t="s">
        <v>635</v>
      </c>
      <c r="D378" s="4" t="s">
        <v>537</v>
      </c>
      <c r="E378" s="4" t="s">
        <v>15</v>
      </c>
      <c r="F378" s="4" t="s">
        <v>265</v>
      </c>
      <c r="G378" s="4" t="s">
        <v>245</v>
      </c>
      <c r="H378" s="3">
        <v>0</v>
      </c>
      <c r="I378" s="3">
        <v>120</v>
      </c>
      <c r="J378" s="4" t="s">
        <v>17</v>
      </c>
      <c r="K378" s="3">
        <v>25</v>
      </c>
      <c r="L378" s="4" t="s">
        <v>266</v>
      </c>
      <c r="M378" s="3">
        <v>0</v>
      </c>
      <c r="O378">
        <f>MATCH(ROW(A378),Arr!O:O,FALSE)</f>
        <v>378</v>
      </c>
    </row>
    <row r="379" spans="1:15" x14ac:dyDescent="0.3">
      <c r="A379" s="41">
        <f t="shared" si="5"/>
        <v>378</v>
      </c>
      <c r="B379" s="3">
        <v>578</v>
      </c>
      <c r="C379" s="4" t="s">
        <v>622</v>
      </c>
      <c r="D379" s="4" t="s">
        <v>537</v>
      </c>
      <c r="E379" s="4" t="s">
        <v>15</v>
      </c>
      <c r="F379" s="4" t="s">
        <v>265</v>
      </c>
      <c r="G379" s="4" t="s">
        <v>16</v>
      </c>
      <c r="H379" s="3">
        <v>0</v>
      </c>
      <c r="I379" s="3">
        <v>107</v>
      </c>
      <c r="J379" s="4" t="s">
        <v>17</v>
      </c>
      <c r="K379" s="3">
        <v>25</v>
      </c>
      <c r="L379" s="4" t="s">
        <v>266</v>
      </c>
      <c r="M379" s="3">
        <v>0</v>
      </c>
      <c r="O379">
        <f>MATCH(ROW(A379),Arr!O:O,FALSE)</f>
        <v>377</v>
      </c>
    </row>
    <row r="380" spans="1:15" x14ac:dyDescent="0.3">
      <c r="A380" s="41">
        <f t="shared" si="5"/>
        <v>379</v>
      </c>
      <c r="B380" s="3">
        <v>723</v>
      </c>
      <c r="C380" s="4" t="s">
        <v>596</v>
      </c>
      <c r="D380" s="4" t="s">
        <v>537</v>
      </c>
      <c r="E380" s="4" t="s">
        <v>15</v>
      </c>
      <c r="F380" s="4" t="s">
        <v>404</v>
      </c>
      <c r="G380" s="4" t="s">
        <v>16</v>
      </c>
      <c r="H380" s="3">
        <v>0</v>
      </c>
      <c r="I380" s="3">
        <v>107</v>
      </c>
      <c r="J380" s="4" t="s">
        <v>17</v>
      </c>
      <c r="K380" s="3">
        <v>25</v>
      </c>
      <c r="L380" s="4" t="s">
        <v>266</v>
      </c>
      <c r="M380" s="3">
        <v>0</v>
      </c>
      <c r="O380">
        <f>MATCH(ROW(A380),Arr!O:O,FALSE)</f>
        <v>379</v>
      </c>
    </row>
    <row r="381" spans="1:15" x14ac:dyDescent="0.3">
      <c r="A381" s="41">
        <f t="shared" si="5"/>
        <v>380</v>
      </c>
      <c r="B381" s="3">
        <v>722</v>
      </c>
      <c r="C381" s="4" t="s">
        <v>569</v>
      </c>
      <c r="D381" s="4" t="s">
        <v>537</v>
      </c>
      <c r="E381" s="4" t="s">
        <v>15</v>
      </c>
      <c r="F381" s="4" t="s">
        <v>404</v>
      </c>
      <c r="G381" s="4" t="s">
        <v>407</v>
      </c>
      <c r="H381" s="3">
        <v>0</v>
      </c>
      <c r="I381" s="3">
        <v>69</v>
      </c>
      <c r="J381" s="4" t="s">
        <v>17</v>
      </c>
      <c r="K381" s="3">
        <v>25</v>
      </c>
      <c r="L381" s="4" t="s">
        <v>266</v>
      </c>
      <c r="M381" s="3">
        <v>0</v>
      </c>
      <c r="O381">
        <f>MATCH(ROW(A381),Arr!O:O,FALSE)</f>
        <v>380</v>
      </c>
    </row>
    <row r="382" spans="1:15" x14ac:dyDescent="0.3">
      <c r="A382" s="41">
        <f t="shared" si="5"/>
        <v>381</v>
      </c>
      <c r="B382" s="3">
        <v>556</v>
      </c>
      <c r="C382" s="4" t="s">
        <v>170</v>
      </c>
      <c r="D382" s="4" t="s">
        <v>537</v>
      </c>
      <c r="E382" s="4" t="s">
        <v>15</v>
      </c>
      <c r="F382" s="4" t="s">
        <v>240</v>
      </c>
      <c r="G382" s="4" t="s">
        <v>241</v>
      </c>
      <c r="H382" s="3">
        <v>0</v>
      </c>
      <c r="I382" s="3">
        <v>241</v>
      </c>
      <c r="J382" s="4" t="s">
        <v>28</v>
      </c>
      <c r="K382" s="3">
        <v>25</v>
      </c>
      <c r="L382" s="4" t="s">
        <v>242</v>
      </c>
      <c r="M382" s="3">
        <v>50</v>
      </c>
      <c r="O382">
        <f>MATCH(ROW(A382),Arr!O:O,FALSE)</f>
        <v>381</v>
      </c>
    </row>
    <row r="383" spans="1:15" x14ac:dyDescent="0.3">
      <c r="A383" s="41">
        <f t="shared" si="5"/>
        <v>382</v>
      </c>
      <c r="B383" s="3">
        <v>557</v>
      </c>
      <c r="C383" s="4" t="s">
        <v>204</v>
      </c>
      <c r="D383" s="4" t="s">
        <v>537</v>
      </c>
      <c r="E383" s="4" t="s">
        <v>15</v>
      </c>
      <c r="F383" s="4" t="s">
        <v>244</v>
      </c>
      <c r="G383" s="4" t="s">
        <v>40</v>
      </c>
      <c r="H383" s="3">
        <v>0</v>
      </c>
      <c r="I383" s="3">
        <v>99</v>
      </c>
      <c r="J383" s="4" t="s">
        <v>17</v>
      </c>
      <c r="K383" s="3">
        <v>25</v>
      </c>
      <c r="L383" s="4" t="s">
        <v>29</v>
      </c>
      <c r="M383" s="3">
        <v>4</v>
      </c>
      <c r="O383">
        <f>MATCH(ROW(A383),Arr!O:O,FALSE)</f>
        <v>382</v>
      </c>
    </row>
    <row r="384" spans="1:15" x14ac:dyDescent="0.3">
      <c r="A384" s="41">
        <f t="shared" si="5"/>
        <v>383</v>
      </c>
      <c r="B384" s="3">
        <v>620</v>
      </c>
      <c r="C384" s="4" t="s">
        <v>462</v>
      </c>
      <c r="D384" s="4" t="s">
        <v>537</v>
      </c>
      <c r="E384" s="4" t="s">
        <v>15</v>
      </c>
      <c r="F384" s="4" t="s">
        <v>310</v>
      </c>
      <c r="G384" s="4" t="s">
        <v>245</v>
      </c>
      <c r="H384" s="3">
        <v>0</v>
      </c>
      <c r="I384" s="3">
        <v>118</v>
      </c>
      <c r="J384" s="4" t="s">
        <v>17</v>
      </c>
      <c r="K384" s="3">
        <v>25</v>
      </c>
      <c r="L384" s="4" t="s">
        <v>29</v>
      </c>
      <c r="M384" s="3">
        <v>3.7</v>
      </c>
      <c r="O384">
        <f>MATCH(ROW(A384),Arr!O:O,FALSE)</f>
        <v>383</v>
      </c>
    </row>
    <row r="385" spans="1:15" x14ac:dyDescent="0.3">
      <c r="A385" s="41">
        <f t="shared" si="5"/>
        <v>384</v>
      </c>
      <c r="B385" s="3">
        <v>484</v>
      </c>
      <c r="C385" s="4" t="s">
        <v>570</v>
      </c>
      <c r="D385" s="4" t="s">
        <v>537</v>
      </c>
      <c r="E385" s="4" t="s">
        <v>15</v>
      </c>
      <c r="F385" s="4" t="s">
        <v>156</v>
      </c>
      <c r="G385" s="4" t="s">
        <v>245</v>
      </c>
      <c r="H385" s="3">
        <v>0</v>
      </c>
      <c r="I385" s="3">
        <v>118</v>
      </c>
      <c r="J385" s="4" t="s">
        <v>17</v>
      </c>
      <c r="K385" s="3">
        <v>25</v>
      </c>
      <c r="L385" s="4" t="s">
        <v>29</v>
      </c>
      <c r="M385" s="3">
        <v>3.7</v>
      </c>
      <c r="O385">
        <f>MATCH(ROW(A385),Arr!O:O,FALSE)</f>
        <v>384</v>
      </c>
    </row>
    <row r="386" spans="1:15" x14ac:dyDescent="0.3">
      <c r="A386" s="41">
        <f t="shared" si="5"/>
        <v>385</v>
      </c>
      <c r="B386" s="3">
        <v>632</v>
      </c>
      <c r="C386" s="4" t="s">
        <v>525</v>
      </c>
      <c r="D386" s="4" t="s">
        <v>537</v>
      </c>
      <c r="E386" s="4" t="s">
        <v>15</v>
      </c>
      <c r="F386" s="4" t="s">
        <v>317</v>
      </c>
      <c r="G386" s="4" t="s">
        <v>245</v>
      </c>
      <c r="H386" s="3">
        <v>0</v>
      </c>
      <c r="I386" s="3">
        <v>118</v>
      </c>
      <c r="J386" s="4" t="s">
        <v>17</v>
      </c>
      <c r="K386" s="3">
        <v>25</v>
      </c>
      <c r="L386" s="4" t="s">
        <v>29</v>
      </c>
      <c r="M386" s="3">
        <v>3.7</v>
      </c>
      <c r="O386">
        <f>MATCH(ROW(A386),Arr!O:O,FALSE)</f>
        <v>385</v>
      </c>
    </row>
    <row r="387" spans="1:15" x14ac:dyDescent="0.3">
      <c r="A387" s="41">
        <f t="shared" si="5"/>
        <v>386</v>
      </c>
      <c r="B387" s="3">
        <v>633</v>
      </c>
      <c r="C387" s="4" t="s">
        <v>487</v>
      </c>
      <c r="D387" s="4" t="s">
        <v>537</v>
      </c>
      <c r="E387" s="4" t="s">
        <v>15</v>
      </c>
      <c r="F387" s="4" t="s">
        <v>317</v>
      </c>
      <c r="G387" s="4" t="s">
        <v>245</v>
      </c>
      <c r="H387" s="3">
        <v>0</v>
      </c>
      <c r="I387" s="3">
        <v>118</v>
      </c>
      <c r="J387" s="4" t="s">
        <v>17</v>
      </c>
      <c r="K387" s="3">
        <v>25</v>
      </c>
      <c r="L387" s="4" t="s">
        <v>29</v>
      </c>
      <c r="M387" s="3">
        <v>3.7</v>
      </c>
      <c r="O387">
        <f>MATCH(ROW(A387),Arr!O:O,FALSE)</f>
        <v>386</v>
      </c>
    </row>
    <row r="388" spans="1:15" x14ac:dyDescent="0.3">
      <c r="A388" s="41">
        <f t="shared" ref="A388:A451" si="6">A387+1</f>
        <v>387</v>
      </c>
      <c r="B388" s="3">
        <v>639</v>
      </c>
      <c r="C388" s="4" t="s">
        <v>83</v>
      </c>
      <c r="D388" s="4" t="s">
        <v>537</v>
      </c>
      <c r="E388" s="4" t="s">
        <v>15</v>
      </c>
      <c r="F388" s="4" t="s">
        <v>330</v>
      </c>
      <c r="G388" s="4" t="s">
        <v>333</v>
      </c>
      <c r="H388" s="3">
        <v>0</v>
      </c>
      <c r="I388" s="3">
        <v>214</v>
      </c>
      <c r="J388" s="4" t="s">
        <v>28</v>
      </c>
      <c r="K388" s="3">
        <v>25</v>
      </c>
      <c r="L388" s="4" t="s">
        <v>29</v>
      </c>
      <c r="M388" s="3">
        <v>23.6</v>
      </c>
      <c r="O388">
        <f>MATCH(ROW(A388),Arr!O:O,FALSE)</f>
        <v>387</v>
      </c>
    </row>
    <row r="389" spans="1:15" x14ac:dyDescent="0.3">
      <c r="A389" s="41">
        <f t="shared" si="6"/>
        <v>388</v>
      </c>
      <c r="B389" s="3">
        <v>386</v>
      </c>
      <c r="C389" s="4" t="s">
        <v>396</v>
      </c>
      <c r="D389" s="4" t="s">
        <v>537</v>
      </c>
      <c r="E389" s="4" t="s">
        <v>15</v>
      </c>
      <c r="F389" s="4" t="s">
        <v>26</v>
      </c>
      <c r="G389" s="4" t="s">
        <v>27</v>
      </c>
      <c r="H389" s="3">
        <v>0</v>
      </c>
      <c r="I389" s="3">
        <v>214</v>
      </c>
      <c r="J389" s="4" t="s">
        <v>28</v>
      </c>
      <c r="K389" s="3">
        <v>25</v>
      </c>
      <c r="L389" s="4" t="s">
        <v>29</v>
      </c>
      <c r="M389" s="3">
        <v>0</v>
      </c>
      <c r="O389">
        <f>MATCH(ROW(A389),Arr!O:O,FALSE)</f>
        <v>393</v>
      </c>
    </row>
    <row r="390" spans="1:15" x14ac:dyDescent="0.3">
      <c r="A390" s="41">
        <f t="shared" si="6"/>
        <v>389</v>
      </c>
      <c r="B390" s="3">
        <v>634</v>
      </c>
      <c r="C390" s="4" t="s">
        <v>585</v>
      </c>
      <c r="D390" s="4" t="s">
        <v>537</v>
      </c>
      <c r="E390" s="4" t="s">
        <v>15</v>
      </c>
      <c r="F390" s="4" t="s">
        <v>317</v>
      </c>
      <c r="G390" s="4" t="s">
        <v>160</v>
      </c>
      <c r="H390" s="3">
        <v>0</v>
      </c>
      <c r="I390" s="3">
        <v>179</v>
      </c>
      <c r="J390" s="4" t="s">
        <v>17</v>
      </c>
      <c r="K390" s="3">
        <v>25</v>
      </c>
      <c r="L390" s="4" t="s">
        <v>29</v>
      </c>
      <c r="M390" s="3">
        <v>3</v>
      </c>
      <c r="O390">
        <f>MATCH(ROW(A390),Arr!O:O,FALSE)</f>
        <v>394</v>
      </c>
    </row>
    <row r="391" spans="1:15" x14ac:dyDescent="0.3">
      <c r="A391" s="41">
        <f t="shared" si="6"/>
        <v>390</v>
      </c>
      <c r="B391" s="3">
        <v>635</v>
      </c>
      <c r="C391" s="4" t="s">
        <v>106</v>
      </c>
      <c r="D391" s="4" t="s">
        <v>537</v>
      </c>
      <c r="E391" s="4" t="s">
        <v>15</v>
      </c>
      <c r="F391" s="4" t="s">
        <v>317</v>
      </c>
      <c r="G391" s="4" t="s">
        <v>160</v>
      </c>
      <c r="H391" s="3">
        <v>0</v>
      </c>
      <c r="I391" s="3">
        <v>179</v>
      </c>
      <c r="J391" s="4" t="s">
        <v>17</v>
      </c>
      <c r="K391" s="3">
        <v>25</v>
      </c>
      <c r="L391" s="4" t="s">
        <v>29</v>
      </c>
      <c r="M391" s="3">
        <v>3</v>
      </c>
      <c r="O391">
        <f>MATCH(ROW(A391),Arr!O:O,FALSE)</f>
        <v>388</v>
      </c>
    </row>
    <row r="392" spans="1:15" x14ac:dyDescent="0.3">
      <c r="A392" s="41">
        <f t="shared" si="6"/>
        <v>391</v>
      </c>
      <c r="B392" s="3">
        <v>486</v>
      </c>
      <c r="C392" s="4" t="s">
        <v>106</v>
      </c>
      <c r="D392" s="4" t="s">
        <v>537</v>
      </c>
      <c r="E392" s="4" t="s">
        <v>15</v>
      </c>
      <c r="F392" s="4" t="s">
        <v>156</v>
      </c>
      <c r="G392" s="4" t="s">
        <v>160</v>
      </c>
      <c r="H392" s="3">
        <v>0</v>
      </c>
      <c r="I392" s="3">
        <v>179</v>
      </c>
      <c r="J392" s="4" t="s">
        <v>17</v>
      </c>
      <c r="K392" s="3">
        <v>25</v>
      </c>
      <c r="L392" s="4" t="s">
        <v>29</v>
      </c>
      <c r="M392" s="3">
        <v>3</v>
      </c>
      <c r="O392">
        <f>MATCH(ROW(A392),Arr!O:O,FALSE)</f>
        <v>389</v>
      </c>
    </row>
    <row r="393" spans="1:15" x14ac:dyDescent="0.3">
      <c r="A393" s="41">
        <f t="shared" si="6"/>
        <v>392</v>
      </c>
      <c r="B393" s="3">
        <v>637</v>
      </c>
      <c r="C393" s="4" t="s">
        <v>228</v>
      </c>
      <c r="D393" s="4" t="s">
        <v>537</v>
      </c>
      <c r="E393" s="4" t="s">
        <v>15</v>
      </c>
      <c r="F393" s="4" t="s">
        <v>317</v>
      </c>
      <c r="G393" s="4" t="s">
        <v>160</v>
      </c>
      <c r="H393" s="3">
        <v>0</v>
      </c>
      <c r="I393" s="3">
        <v>179</v>
      </c>
      <c r="J393" s="4" t="s">
        <v>17</v>
      </c>
      <c r="K393" s="3">
        <v>25</v>
      </c>
      <c r="L393" s="4" t="s">
        <v>29</v>
      </c>
      <c r="M393" s="3">
        <v>3</v>
      </c>
      <c r="O393">
        <f>MATCH(ROW(A393),Arr!O:O,FALSE)</f>
        <v>390</v>
      </c>
    </row>
    <row r="394" spans="1:15" x14ac:dyDescent="0.3">
      <c r="A394" s="41">
        <f t="shared" si="6"/>
        <v>393</v>
      </c>
      <c r="B394" s="3">
        <v>636</v>
      </c>
      <c r="C394" s="4" t="s">
        <v>586</v>
      </c>
      <c r="D394" s="4" t="s">
        <v>537</v>
      </c>
      <c r="E394" s="4" t="s">
        <v>15</v>
      </c>
      <c r="F394" s="4" t="s">
        <v>317</v>
      </c>
      <c r="G394" s="4" t="s">
        <v>160</v>
      </c>
      <c r="H394" s="3">
        <v>0</v>
      </c>
      <c r="I394" s="3">
        <v>179</v>
      </c>
      <c r="J394" s="4" t="s">
        <v>17</v>
      </c>
      <c r="K394" s="3">
        <v>25</v>
      </c>
      <c r="L394" s="4" t="s">
        <v>29</v>
      </c>
      <c r="M394" s="3">
        <v>3</v>
      </c>
      <c r="O394">
        <f>MATCH(ROW(A394),Arr!O:O,FALSE)</f>
        <v>391</v>
      </c>
    </row>
    <row r="395" spans="1:15" x14ac:dyDescent="0.3">
      <c r="A395" s="41">
        <f t="shared" si="6"/>
        <v>394</v>
      </c>
      <c r="B395" s="3">
        <v>656</v>
      </c>
      <c r="C395" s="4" t="s">
        <v>98</v>
      </c>
      <c r="D395" s="4" t="s">
        <v>537</v>
      </c>
      <c r="E395" s="4" t="s">
        <v>15</v>
      </c>
      <c r="F395" s="4" t="s">
        <v>593</v>
      </c>
      <c r="G395" s="4" t="s">
        <v>160</v>
      </c>
      <c r="H395" s="3">
        <v>0</v>
      </c>
      <c r="I395" s="3">
        <v>179</v>
      </c>
      <c r="J395" s="4" t="s">
        <v>17</v>
      </c>
      <c r="K395" s="3">
        <v>25</v>
      </c>
      <c r="L395" s="4" t="s">
        <v>29</v>
      </c>
      <c r="M395" s="3">
        <v>3</v>
      </c>
      <c r="O395">
        <f>MATCH(ROW(A395),Arr!O:O,FALSE)</f>
        <v>392</v>
      </c>
    </row>
    <row r="396" spans="1:15" x14ac:dyDescent="0.3">
      <c r="A396" s="41">
        <f t="shared" si="6"/>
        <v>395</v>
      </c>
      <c r="B396" s="3">
        <v>485</v>
      </c>
      <c r="C396" s="4" t="s">
        <v>623</v>
      </c>
      <c r="D396" s="4" t="s">
        <v>537</v>
      </c>
      <c r="E396" s="4" t="s">
        <v>15</v>
      </c>
      <c r="F396" s="4" t="s">
        <v>156</v>
      </c>
      <c r="G396" s="4" t="s">
        <v>160</v>
      </c>
      <c r="H396" s="3">
        <v>0</v>
      </c>
      <c r="I396" s="3">
        <v>179</v>
      </c>
      <c r="J396" s="4" t="s">
        <v>17</v>
      </c>
      <c r="K396" s="3">
        <v>25</v>
      </c>
      <c r="L396" s="4" t="s">
        <v>29</v>
      </c>
      <c r="M396" s="3">
        <v>3</v>
      </c>
      <c r="O396">
        <f>MATCH(ROW(A396),Arr!O:O,FALSE)</f>
        <v>398</v>
      </c>
    </row>
    <row r="397" spans="1:15" x14ac:dyDescent="0.3">
      <c r="A397" s="41">
        <f t="shared" si="6"/>
        <v>396</v>
      </c>
      <c r="B397" s="3">
        <v>619</v>
      </c>
      <c r="C397" s="4" t="s">
        <v>54</v>
      </c>
      <c r="D397" s="4" t="s">
        <v>537</v>
      </c>
      <c r="E397" s="4" t="s">
        <v>15</v>
      </c>
      <c r="F397" s="4" t="s">
        <v>310</v>
      </c>
      <c r="G397" s="4" t="s">
        <v>34</v>
      </c>
      <c r="H397" s="3">
        <v>0</v>
      </c>
      <c r="I397" s="3">
        <v>148</v>
      </c>
      <c r="J397" s="4" t="s">
        <v>17</v>
      </c>
      <c r="K397" s="3">
        <v>25</v>
      </c>
      <c r="L397" s="4" t="s">
        <v>29</v>
      </c>
      <c r="M397" s="3">
        <v>8.6999999999999993</v>
      </c>
      <c r="O397">
        <f>MATCH(ROW(A397),Arr!O:O,FALSE)</f>
        <v>399</v>
      </c>
    </row>
    <row r="398" spans="1:15" x14ac:dyDescent="0.3">
      <c r="A398" s="41">
        <f t="shared" si="6"/>
        <v>397</v>
      </c>
      <c r="B398" s="3">
        <v>627</v>
      </c>
      <c r="C398" s="4" t="s">
        <v>47</v>
      </c>
      <c r="D398" s="4" t="s">
        <v>537</v>
      </c>
      <c r="E398" s="4" t="s">
        <v>15</v>
      </c>
      <c r="F398" s="4" t="s">
        <v>317</v>
      </c>
      <c r="G398" s="4" t="s">
        <v>34</v>
      </c>
      <c r="H398" s="3">
        <v>0</v>
      </c>
      <c r="I398" s="3">
        <v>148</v>
      </c>
      <c r="J398" s="4" t="s">
        <v>17</v>
      </c>
      <c r="K398" s="3">
        <v>25</v>
      </c>
      <c r="L398" s="4" t="s">
        <v>29</v>
      </c>
      <c r="M398" s="3">
        <v>8.6999999999999993</v>
      </c>
      <c r="O398">
        <f>MATCH(ROW(A398),Arr!O:O,FALSE)</f>
        <v>395</v>
      </c>
    </row>
    <row r="399" spans="1:15" x14ac:dyDescent="0.3">
      <c r="A399" s="41">
        <f t="shared" si="6"/>
        <v>398</v>
      </c>
      <c r="B399" s="3">
        <v>483</v>
      </c>
      <c r="C399" s="4" t="s">
        <v>203</v>
      </c>
      <c r="D399" s="4" t="s">
        <v>537</v>
      </c>
      <c r="E399" s="4" t="s">
        <v>15</v>
      </c>
      <c r="F399" s="4" t="s">
        <v>156</v>
      </c>
      <c r="G399" s="4" t="s">
        <v>34</v>
      </c>
      <c r="H399" s="3">
        <v>0</v>
      </c>
      <c r="I399" s="3">
        <v>148</v>
      </c>
      <c r="J399" s="4" t="s">
        <v>17</v>
      </c>
      <c r="K399" s="3">
        <v>25</v>
      </c>
      <c r="L399" s="4" t="s">
        <v>29</v>
      </c>
      <c r="M399" s="3">
        <v>8.6999999999999993</v>
      </c>
      <c r="O399">
        <f>MATCH(ROW(A399),Arr!O:O,FALSE)</f>
        <v>396</v>
      </c>
    </row>
    <row r="400" spans="1:15" x14ac:dyDescent="0.3">
      <c r="A400" s="41">
        <f t="shared" si="6"/>
        <v>399</v>
      </c>
      <c r="B400" s="3">
        <v>628</v>
      </c>
      <c r="C400" s="4" t="s">
        <v>482</v>
      </c>
      <c r="D400" s="4" t="s">
        <v>537</v>
      </c>
      <c r="E400" s="4" t="s">
        <v>15</v>
      </c>
      <c r="F400" s="4" t="s">
        <v>317</v>
      </c>
      <c r="G400" s="4" t="s">
        <v>34</v>
      </c>
      <c r="H400" s="3">
        <v>0</v>
      </c>
      <c r="I400" s="3">
        <v>148</v>
      </c>
      <c r="J400" s="4" t="s">
        <v>17</v>
      </c>
      <c r="K400" s="3">
        <v>25</v>
      </c>
      <c r="L400" s="4" t="s">
        <v>29</v>
      </c>
      <c r="M400" s="3">
        <v>8.6999999999999993</v>
      </c>
      <c r="O400">
        <f>MATCH(ROW(A400),Arr!O:O,FALSE)</f>
        <v>397</v>
      </c>
    </row>
    <row r="401" spans="1:15" x14ac:dyDescent="0.3">
      <c r="A401" s="41">
        <f t="shared" si="6"/>
        <v>400</v>
      </c>
      <c r="B401" s="3">
        <v>629</v>
      </c>
      <c r="C401" s="4" t="s">
        <v>295</v>
      </c>
      <c r="D401" s="4" t="s">
        <v>537</v>
      </c>
      <c r="E401" s="4" t="s">
        <v>15</v>
      </c>
      <c r="F401" s="4" t="s">
        <v>317</v>
      </c>
      <c r="G401" s="4" t="s">
        <v>34</v>
      </c>
      <c r="H401" s="3">
        <v>0</v>
      </c>
      <c r="I401" s="3">
        <v>148</v>
      </c>
      <c r="J401" s="4" t="s">
        <v>17</v>
      </c>
      <c r="K401" s="3">
        <v>25</v>
      </c>
      <c r="L401" s="4" t="s">
        <v>29</v>
      </c>
      <c r="M401" s="3">
        <v>8.6999999999999993</v>
      </c>
      <c r="O401">
        <f>MATCH(ROW(A401),Arr!O:O,FALSE)</f>
        <v>400</v>
      </c>
    </row>
    <row r="402" spans="1:15" x14ac:dyDescent="0.3">
      <c r="A402" s="41">
        <f t="shared" si="6"/>
        <v>401</v>
      </c>
      <c r="B402" s="3">
        <v>541</v>
      </c>
      <c r="C402" s="4" t="s">
        <v>571</v>
      </c>
      <c r="D402" s="4" t="s">
        <v>537</v>
      </c>
      <c r="E402" s="4" t="s">
        <v>15</v>
      </c>
      <c r="F402" s="4" t="s">
        <v>221</v>
      </c>
      <c r="G402" s="4" t="s">
        <v>222</v>
      </c>
      <c r="H402" s="3">
        <v>0</v>
      </c>
      <c r="I402" s="3">
        <v>216</v>
      </c>
      <c r="J402" s="4" t="s">
        <v>17</v>
      </c>
      <c r="K402" s="3">
        <v>25</v>
      </c>
      <c r="L402" s="4" t="s">
        <v>29</v>
      </c>
      <c r="M402" s="3">
        <v>13.5</v>
      </c>
      <c r="O402">
        <f>MATCH(ROW(A402),Arr!O:O,FALSE)</f>
        <v>401</v>
      </c>
    </row>
    <row r="403" spans="1:15" x14ac:dyDescent="0.3">
      <c r="A403" s="41">
        <f t="shared" si="6"/>
        <v>402</v>
      </c>
      <c r="B403" s="3">
        <v>448</v>
      </c>
      <c r="C403" s="4" t="s">
        <v>131</v>
      </c>
      <c r="D403" s="4" t="s">
        <v>537</v>
      </c>
      <c r="E403" s="4" t="s">
        <v>15</v>
      </c>
      <c r="F403" s="4" t="s">
        <v>114</v>
      </c>
      <c r="G403" s="4" t="s">
        <v>115</v>
      </c>
      <c r="H403" s="3">
        <v>0</v>
      </c>
      <c r="I403" s="3">
        <v>209</v>
      </c>
      <c r="J403" s="4" t="s">
        <v>28</v>
      </c>
      <c r="K403" s="3">
        <v>25</v>
      </c>
      <c r="L403" s="4" t="s">
        <v>116</v>
      </c>
      <c r="M403" s="3">
        <v>0</v>
      </c>
      <c r="O403">
        <f>MATCH(ROW(A403),Arr!O:O,FALSE)</f>
        <v>402</v>
      </c>
    </row>
    <row r="404" spans="1:15" x14ac:dyDescent="0.3">
      <c r="A404" s="41">
        <f t="shared" si="6"/>
        <v>403</v>
      </c>
      <c r="B404" s="3">
        <v>832</v>
      </c>
      <c r="C404" s="4" t="s">
        <v>295</v>
      </c>
      <c r="D404" s="4" t="s">
        <v>537</v>
      </c>
      <c r="E404" s="4" t="s">
        <v>15</v>
      </c>
      <c r="F404" s="4" t="s">
        <v>521</v>
      </c>
      <c r="G404" s="4" t="s">
        <v>223</v>
      </c>
      <c r="H404" s="3">
        <v>0</v>
      </c>
      <c r="I404" s="3">
        <v>184</v>
      </c>
      <c r="J404" s="4" t="s">
        <v>28</v>
      </c>
      <c r="K404" s="3">
        <v>25</v>
      </c>
      <c r="L404" s="4" t="s">
        <v>522</v>
      </c>
      <c r="M404" s="3">
        <v>12.7</v>
      </c>
      <c r="O404">
        <f>MATCH(ROW(A404),Arr!O:O,FALSE)</f>
        <v>403</v>
      </c>
    </row>
    <row r="405" spans="1:15" x14ac:dyDescent="0.3">
      <c r="A405" s="41">
        <f t="shared" si="6"/>
        <v>404</v>
      </c>
      <c r="B405" s="3">
        <v>630</v>
      </c>
      <c r="C405" s="4" t="s">
        <v>561</v>
      </c>
      <c r="D405" s="4" t="s">
        <v>537</v>
      </c>
      <c r="E405" s="4" t="s">
        <v>15</v>
      </c>
      <c r="F405" s="4" t="s">
        <v>317</v>
      </c>
      <c r="G405" s="4" t="s">
        <v>70</v>
      </c>
      <c r="H405" s="3">
        <v>0</v>
      </c>
      <c r="I405" s="3">
        <v>130</v>
      </c>
      <c r="J405" s="4" t="s">
        <v>17</v>
      </c>
      <c r="K405" s="3">
        <v>25</v>
      </c>
      <c r="L405" s="4" t="s">
        <v>320</v>
      </c>
      <c r="M405" s="3">
        <v>19.899999999999999</v>
      </c>
      <c r="O405">
        <f>MATCH(ROW(A405),Arr!O:O,FALSE)</f>
        <v>404</v>
      </c>
    </row>
    <row r="406" spans="1:15" x14ac:dyDescent="0.3">
      <c r="A406" s="41">
        <f t="shared" si="6"/>
        <v>405</v>
      </c>
      <c r="B406" s="3">
        <v>631</v>
      </c>
      <c r="C406" s="4" t="s">
        <v>578</v>
      </c>
      <c r="D406" s="4" t="s">
        <v>537</v>
      </c>
      <c r="E406" s="4" t="s">
        <v>15</v>
      </c>
      <c r="F406" s="4" t="s">
        <v>317</v>
      </c>
      <c r="G406" s="4" t="s">
        <v>70</v>
      </c>
      <c r="H406" s="3">
        <v>0</v>
      </c>
      <c r="I406" s="3">
        <v>130</v>
      </c>
      <c r="J406" s="4" t="s">
        <v>17</v>
      </c>
      <c r="K406" s="3">
        <v>25</v>
      </c>
      <c r="L406" s="4" t="s">
        <v>320</v>
      </c>
      <c r="M406" s="3">
        <v>19.899999999999999</v>
      </c>
      <c r="O406">
        <f>MATCH(ROW(A406),Arr!O:O,FALSE)</f>
        <v>413</v>
      </c>
    </row>
    <row r="407" spans="1:15" x14ac:dyDescent="0.3">
      <c r="A407" s="41">
        <f t="shared" si="6"/>
        <v>406</v>
      </c>
      <c r="B407" s="3">
        <v>783</v>
      </c>
      <c r="C407" s="4" t="s">
        <v>80</v>
      </c>
      <c r="D407" s="4" t="s">
        <v>537</v>
      </c>
      <c r="E407" s="4" t="s">
        <v>15</v>
      </c>
      <c r="F407" s="4" t="s">
        <v>440</v>
      </c>
      <c r="G407" s="4" t="s">
        <v>40</v>
      </c>
      <c r="H407" s="3">
        <v>0</v>
      </c>
      <c r="I407" s="3">
        <v>96</v>
      </c>
      <c r="J407" s="4" t="s">
        <v>17</v>
      </c>
      <c r="K407" s="3">
        <v>25</v>
      </c>
      <c r="L407" s="4" t="s">
        <v>41</v>
      </c>
      <c r="M407" s="3">
        <v>0</v>
      </c>
      <c r="O407">
        <f>MATCH(ROW(A407),Arr!O:O,FALSE)</f>
        <v>405</v>
      </c>
    </row>
    <row r="408" spans="1:15" x14ac:dyDescent="0.3">
      <c r="A408" s="41">
        <f t="shared" si="6"/>
        <v>407</v>
      </c>
      <c r="B408" s="3">
        <v>472</v>
      </c>
      <c r="C408" s="4" t="s">
        <v>207</v>
      </c>
      <c r="D408" s="4" t="s">
        <v>537</v>
      </c>
      <c r="E408" s="4" t="s">
        <v>15</v>
      </c>
      <c r="F408" s="4" t="s">
        <v>124</v>
      </c>
      <c r="G408" s="4" t="s">
        <v>40</v>
      </c>
      <c r="H408" s="3">
        <v>0</v>
      </c>
      <c r="I408" s="3">
        <v>96</v>
      </c>
      <c r="J408" s="4" t="s">
        <v>17</v>
      </c>
      <c r="K408" s="3">
        <v>25</v>
      </c>
      <c r="L408" s="4" t="s">
        <v>41</v>
      </c>
      <c r="M408" s="3">
        <v>0</v>
      </c>
      <c r="O408">
        <f>MATCH(ROW(A408),Arr!O:O,FALSE)</f>
        <v>406</v>
      </c>
    </row>
    <row r="409" spans="1:15" x14ac:dyDescent="0.3">
      <c r="A409" s="41">
        <f t="shared" si="6"/>
        <v>408</v>
      </c>
      <c r="B409" s="3">
        <v>607</v>
      </c>
      <c r="C409" s="4" t="s">
        <v>207</v>
      </c>
      <c r="D409" s="4" t="s">
        <v>537</v>
      </c>
      <c r="E409" s="4" t="s">
        <v>15</v>
      </c>
      <c r="F409" s="4" t="s">
        <v>279</v>
      </c>
      <c r="G409" s="4" t="s">
        <v>40</v>
      </c>
      <c r="H409" s="3">
        <v>0</v>
      </c>
      <c r="I409" s="3">
        <v>96</v>
      </c>
      <c r="J409" s="4" t="s">
        <v>17</v>
      </c>
      <c r="K409" s="3">
        <v>25</v>
      </c>
      <c r="L409" s="4" t="s">
        <v>41</v>
      </c>
      <c r="M409" s="3">
        <v>0</v>
      </c>
      <c r="O409">
        <f>MATCH(ROW(A409),Arr!O:O,FALSE)</f>
        <v>407</v>
      </c>
    </row>
    <row r="410" spans="1:15" x14ac:dyDescent="0.3">
      <c r="A410" s="41">
        <f t="shared" si="6"/>
        <v>409</v>
      </c>
      <c r="B410" s="3">
        <v>674</v>
      </c>
      <c r="C410" s="4" t="s">
        <v>614</v>
      </c>
      <c r="D410" s="4" t="s">
        <v>537</v>
      </c>
      <c r="E410" s="4" t="s">
        <v>15</v>
      </c>
      <c r="F410" s="4" t="s">
        <v>352</v>
      </c>
      <c r="G410" s="4" t="s">
        <v>40</v>
      </c>
      <c r="H410" s="3">
        <v>0</v>
      </c>
      <c r="I410" s="3">
        <v>96</v>
      </c>
      <c r="J410" s="4" t="s">
        <v>17</v>
      </c>
      <c r="K410" s="3">
        <v>25</v>
      </c>
      <c r="L410" s="4" t="s">
        <v>41</v>
      </c>
      <c r="M410" s="3">
        <v>0</v>
      </c>
      <c r="O410">
        <f>MATCH(ROW(A410),Arr!O:O,FALSE)</f>
        <v>408</v>
      </c>
    </row>
    <row r="411" spans="1:15" x14ac:dyDescent="0.3">
      <c r="A411" s="41">
        <f t="shared" si="6"/>
        <v>410</v>
      </c>
      <c r="B411" s="3">
        <v>544</v>
      </c>
      <c r="C411" s="4" t="s">
        <v>462</v>
      </c>
      <c r="D411" s="4" t="s">
        <v>537</v>
      </c>
      <c r="E411" s="4" t="s">
        <v>15</v>
      </c>
      <c r="F411" s="4" t="s">
        <v>226</v>
      </c>
      <c r="G411" s="4" t="s">
        <v>40</v>
      </c>
      <c r="H411" s="3">
        <v>0</v>
      </c>
      <c r="I411" s="3">
        <v>96</v>
      </c>
      <c r="J411" s="4" t="s">
        <v>17</v>
      </c>
      <c r="K411" s="3">
        <v>25</v>
      </c>
      <c r="L411" s="4" t="s">
        <v>41</v>
      </c>
      <c r="M411" s="3">
        <v>0</v>
      </c>
      <c r="O411">
        <f>MATCH(ROW(A411),Arr!O:O,FALSE)</f>
        <v>409</v>
      </c>
    </row>
    <row r="412" spans="1:15" x14ac:dyDescent="0.3">
      <c r="A412" s="41">
        <f t="shared" si="6"/>
        <v>411</v>
      </c>
      <c r="B412" s="3">
        <v>784</v>
      </c>
      <c r="C412" s="4" t="s">
        <v>662</v>
      </c>
      <c r="D412" s="4" t="s">
        <v>537</v>
      </c>
      <c r="E412" s="4" t="s">
        <v>15</v>
      </c>
      <c r="F412" s="4" t="s">
        <v>440</v>
      </c>
      <c r="G412" s="4" t="s">
        <v>40</v>
      </c>
      <c r="H412" s="3">
        <v>0</v>
      </c>
      <c r="I412" s="3">
        <v>96</v>
      </c>
      <c r="J412" s="4" t="s">
        <v>17</v>
      </c>
      <c r="K412" s="3">
        <v>25</v>
      </c>
      <c r="L412" s="4" t="s">
        <v>41</v>
      </c>
      <c r="M412" s="3">
        <v>0</v>
      </c>
      <c r="O412">
        <f>MATCH(ROW(A412),Arr!O:O,FALSE)</f>
        <v>410</v>
      </c>
    </row>
    <row r="413" spans="1:15" x14ac:dyDescent="0.3">
      <c r="A413" s="41">
        <f t="shared" si="6"/>
        <v>412</v>
      </c>
      <c r="B413" s="3">
        <v>673</v>
      </c>
      <c r="C413" s="4" t="s">
        <v>651</v>
      </c>
      <c r="D413" s="4" t="s">
        <v>537</v>
      </c>
      <c r="E413" s="4" t="s">
        <v>15</v>
      </c>
      <c r="F413" s="4" t="s">
        <v>352</v>
      </c>
      <c r="G413" s="4" t="s">
        <v>40</v>
      </c>
      <c r="H413" s="3">
        <v>0</v>
      </c>
      <c r="I413" s="3">
        <v>96</v>
      </c>
      <c r="J413" s="4" t="s">
        <v>17</v>
      </c>
      <c r="K413" s="3">
        <v>25</v>
      </c>
      <c r="L413" s="4" t="s">
        <v>41</v>
      </c>
      <c r="M413" s="3">
        <v>0</v>
      </c>
      <c r="O413">
        <f>MATCH(ROW(A413),Arr!O:O,FALSE)</f>
        <v>411</v>
      </c>
    </row>
    <row r="414" spans="1:15" x14ac:dyDescent="0.3">
      <c r="A414" s="41">
        <f t="shared" si="6"/>
        <v>413</v>
      </c>
      <c r="B414" s="3">
        <v>392</v>
      </c>
      <c r="C414" s="4" t="s">
        <v>539</v>
      </c>
      <c r="D414" s="4" t="s">
        <v>537</v>
      </c>
      <c r="E414" s="4" t="s">
        <v>15</v>
      </c>
      <c r="F414" s="4" t="s">
        <v>31</v>
      </c>
      <c r="G414" s="4" t="s">
        <v>40</v>
      </c>
      <c r="H414" s="3">
        <v>0</v>
      </c>
      <c r="I414" s="3">
        <v>96</v>
      </c>
      <c r="J414" s="4" t="s">
        <v>17</v>
      </c>
      <c r="K414" s="3">
        <v>25</v>
      </c>
      <c r="L414" s="4" t="s">
        <v>41</v>
      </c>
      <c r="M414" s="3">
        <v>0</v>
      </c>
      <c r="O414">
        <f>MATCH(ROW(A414),Arr!O:O,FALSE)</f>
        <v>412</v>
      </c>
    </row>
    <row r="415" spans="1:15" x14ac:dyDescent="0.3">
      <c r="A415" s="41">
        <f t="shared" si="6"/>
        <v>414</v>
      </c>
      <c r="B415" s="3">
        <v>547</v>
      </c>
      <c r="C415" s="4" t="s">
        <v>441</v>
      </c>
      <c r="D415" s="4" t="s">
        <v>537</v>
      </c>
      <c r="E415" s="4" t="s">
        <v>15</v>
      </c>
      <c r="F415" s="4" t="s">
        <v>226</v>
      </c>
      <c r="G415" s="4" t="s">
        <v>40</v>
      </c>
      <c r="H415" s="3">
        <v>0</v>
      </c>
      <c r="I415" s="3">
        <v>96</v>
      </c>
      <c r="J415" s="4" t="s">
        <v>17</v>
      </c>
      <c r="K415" s="3">
        <v>25</v>
      </c>
      <c r="L415" s="4" t="s">
        <v>41</v>
      </c>
      <c r="M415" s="3">
        <v>0</v>
      </c>
      <c r="O415">
        <f>MATCH(ROW(A415),Arr!O:O,FALSE)</f>
        <v>414</v>
      </c>
    </row>
    <row r="416" spans="1:15" x14ac:dyDescent="0.3">
      <c r="A416" s="41">
        <f t="shared" si="6"/>
        <v>415</v>
      </c>
      <c r="B416" s="3">
        <v>592</v>
      </c>
      <c r="C416" s="4" t="s">
        <v>476</v>
      </c>
      <c r="D416" s="4" t="s">
        <v>537</v>
      </c>
      <c r="E416" s="4" t="s">
        <v>15</v>
      </c>
      <c r="F416" s="4" t="s">
        <v>279</v>
      </c>
      <c r="G416" s="4" t="s">
        <v>245</v>
      </c>
      <c r="H416" s="3">
        <v>0</v>
      </c>
      <c r="I416" s="3">
        <v>118</v>
      </c>
      <c r="J416" s="4" t="s">
        <v>17</v>
      </c>
      <c r="K416" s="3">
        <v>25</v>
      </c>
      <c r="L416" s="4" t="s">
        <v>41</v>
      </c>
      <c r="M416" s="3">
        <v>0</v>
      </c>
      <c r="O416">
        <f>MATCH(ROW(A416),Arr!O:O,FALSE)</f>
        <v>421</v>
      </c>
    </row>
    <row r="417" spans="1:15" x14ac:dyDescent="0.3">
      <c r="A417" s="41">
        <f t="shared" si="6"/>
        <v>416</v>
      </c>
      <c r="B417" s="3">
        <v>455</v>
      </c>
      <c r="C417" s="4" t="s">
        <v>80</v>
      </c>
      <c r="D417" s="4" t="s">
        <v>537</v>
      </c>
      <c r="E417" s="4" t="s">
        <v>15</v>
      </c>
      <c r="F417" s="4" t="s">
        <v>124</v>
      </c>
      <c r="G417" s="4" t="s">
        <v>16</v>
      </c>
      <c r="H417" s="3">
        <v>0</v>
      </c>
      <c r="I417" s="3">
        <v>98</v>
      </c>
      <c r="J417" s="4" t="s">
        <v>17</v>
      </c>
      <c r="K417" s="3">
        <v>25</v>
      </c>
      <c r="L417" s="4" t="s">
        <v>41</v>
      </c>
      <c r="M417" s="3">
        <v>0</v>
      </c>
      <c r="O417">
        <f>MATCH(ROW(A417),Arr!O:O,FALSE)</f>
        <v>422</v>
      </c>
    </row>
    <row r="418" spans="1:15" x14ac:dyDescent="0.3">
      <c r="A418" s="41">
        <f t="shared" si="6"/>
        <v>417</v>
      </c>
      <c r="B418" s="3">
        <v>770</v>
      </c>
      <c r="C418" s="4" t="s">
        <v>536</v>
      </c>
      <c r="D418" s="4" t="s">
        <v>537</v>
      </c>
      <c r="E418" s="4" t="s">
        <v>15</v>
      </c>
      <c r="F418" s="4" t="s">
        <v>440</v>
      </c>
      <c r="G418" s="4" t="s">
        <v>16</v>
      </c>
      <c r="H418" s="3">
        <v>0</v>
      </c>
      <c r="I418" s="3">
        <v>98</v>
      </c>
      <c r="J418" s="4" t="s">
        <v>17</v>
      </c>
      <c r="K418" s="3">
        <v>25</v>
      </c>
      <c r="L418" s="4" t="s">
        <v>41</v>
      </c>
      <c r="M418" s="3">
        <v>0</v>
      </c>
      <c r="O418">
        <f>MATCH(ROW(A418),Arr!O:O,FALSE)</f>
        <v>415</v>
      </c>
    </row>
    <row r="419" spans="1:15" x14ac:dyDescent="0.3">
      <c r="A419" s="41">
        <f t="shared" si="6"/>
        <v>418</v>
      </c>
      <c r="B419" s="3">
        <v>773</v>
      </c>
      <c r="C419" s="4" t="s">
        <v>378</v>
      </c>
      <c r="D419" s="4" t="s">
        <v>537</v>
      </c>
      <c r="E419" s="4" t="s">
        <v>15</v>
      </c>
      <c r="F419" s="4" t="s">
        <v>440</v>
      </c>
      <c r="G419" s="4" t="s">
        <v>16</v>
      </c>
      <c r="H419" s="3">
        <v>0</v>
      </c>
      <c r="I419" s="3">
        <v>98</v>
      </c>
      <c r="J419" s="4" t="s">
        <v>17</v>
      </c>
      <c r="K419" s="3">
        <v>25</v>
      </c>
      <c r="L419" s="4" t="s">
        <v>41</v>
      </c>
      <c r="M419" s="3">
        <v>0</v>
      </c>
      <c r="O419">
        <f>MATCH(ROW(A419),Arr!O:O,FALSE)</f>
        <v>416</v>
      </c>
    </row>
    <row r="420" spans="1:15" x14ac:dyDescent="0.3">
      <c r="A420" s="41">
        <f t="shared" si="6"/>
        <v>419</v>
      </c>
      <c r="B420" s="3">
        <v>457</v>
      </c>
      <c r="C420" s="4" t="s">
        <v>329</v>
      </c>
      <c r="D420" s="4" t="s">
        <v>537</v>
      </c>
      <c r="E420" s="4" t="s">
        <v>15</v>
      </c>
      <c r="F420" s="4" t="s">
        <v>124</v>
      </c>
      <c r="G420" s="4" t="s">
        <v>16</v>
      </c>
      <c r="H420" s="3">
        <v>0</v>
      </c>
      <c r="I420" s="3">
        <v>98</v>
      </c>
      <c r="J420" s="4" t="s">
        <v>17</v>
      </c>
      <c r="K420" s="3">
        <v>25</v>
      </c>
      <c r="L420" s="4" t="s">
        <v>41</v>
      </c>
      <c r="M420" s="3">
        <v>0</v>
      </c>
      <c r="O420">
        <f>MATCH(ROW(A420),Arr!O:O,FALSE)</f>
        <v>417</v>
      </c>
    </row>
    <row r="421" spans="1:15" x14ac:dyDescent="0.3">
      <c r="A421" s="41">
        <f t="shared" si="6"/>
        <v>420</v>
      </c>
      <c r="B421" s="3">
        <v>772</v>
      </c>
      <c r="C421" s="4" t="s">
        <v>189</v>
      </c>
      <c r="D421" s="4" t="s">
        <v>537</v>
      </c>
      <c r="E421" s="4" t="s">
        <v>15</v>
      </c>
      <c r="F421" s="4" t="s">
        <v>440</v>
      </c>
      <c r="G421" s="4" t="s">
        <v>16</v>
      </c>
      <c r="H421" s="3">
        <v>0</v>
      </c>
      <c r="I421" s="3">
        <v>98</v>
      </c>
      <c r="J421" s="4" t="s">
        <v>17</v>
      </c>
      <c r="K421" s="3">
        <v>25</v>
      </c>
      <c r="L421" s="4" t="s">
        <v>41</v>
      </c>
      <c r="M421" s="3">
        <v>0</v>
      </c>
      <c r="O421">
        <f>MATCH(ROW(A421),Arr!O:O,FALSE)</f>
        <v>418</v>
      </c>
    </row>
    <row r="422" spans="1:15" x14ac:dyDescent="0.3">
      <c r="A422" s="41">
        <f t="shared" si="6"/>
        <v>421</v>
      </c>
      <c r="B422" s="3">
        <v>456</v>
      </c>
      <c r="C422" s="4" t="s">
        <v>561</v>
      </c>
      <c r="D422" s="4" t="s">
        <v>537</v>
      </c>
      <c r="E422" s="4" t="s">
        <v>15</v>
      </c>
      <c r="F422" s="4" t="s">
        <v>124</v>
      </c>
      <c r="G422" s="4" t="s">
        <v>16</v>
      </c>
      <c r="H422" s="3">
        <v>0</v>
      </c>
      <c r="I422" s="3">
        <v>98</v>
      </c>
      <c r="J422" s="4" t="s">
        <v>17</v>
      </c>
      <c r="K422" s="3">
        <v>25</v>
      </c>
      <c r="L422" s="4" t="s">
        <v>41</v>
      </c>
      <c r="M422" s="3">
        <v>0</v>
      </c>
      <c r="O422">
        <f>MATCH(ROW(A422),Arr!O:O,FALSE)</f>
        <v>419</v>
      </c>
    </row>
    <row r="423" spans="1:15" x14ac:dyDescent="0.3">
      <c r="A423" s="41">
        <f t="shared" si="6"/>
        <v>422</v>
      </c>
      <c r="B423" s="3">
        <v>771</v>
      </c>
      <c r="C423" s="4" t="s">
        <v>657</v>
      </c>
      <c r="D423" s="4" t="s">
        <v>537</v>
      </c>
      <c r="E423" s="4" t="s">
        <v>15</v>
      </c>
      <c r="F423" s="4" t="s">
        <v>440</v>
      </c>
      <c r="G423" s="4" t="s">
        <v>16</v>
      </c>
      <c r="H423" s="3">
        <v>0</v>
      </c>
      <c r="I423" s="3">
        <v>98</v>
      </c>
      <c r="J423" s="4" t="s">
        <v>17</v>
      </c>
      <c r="K423" s="3">
        <v>25</v>
      </c>
      <c r="L423" s="4" t="s">
        <v>41</v>
      </c>
      <c r="M423" s="3">
        <v>0</v>
      </c>
      <c r="O423">
        <f>MATCH(ROW(A423),Arr!O:O,FALSE)</f>
        <v>420</v>
      </c>
    </row>
    <row r="424" spans="1:15" x14ac:dyDescent="0.3">
      <c r="A424" s="41">
        <f t="shared" si="6"/>
        <v>423</v>
      </c>
      <c r="B424" s="3">
        <v>769</v>
      </c>
      <c r="C424" s="4" t="s">
        <v>656</v>
      </c>
      <c r="D424" s="4" t="s">
        <v>537</v>
      </c>
      <c r="E424" s="4" t="s">
        <v>15</v>
      </c>
      <c r="F424" s="4" t="s">
        <v>440</v>
      </c>
      <c r="G424" s="4" t="s">
        <v>16</v>
      </c>
      <c r="H424" s="3">
        <v>0</v>
      </c>
      <c r="I424" s="3">
        <v>98</v>
      </c>
      <c r="J424" s="4" t="s">
        <v>17</v>
      </c>
      <c r="K424" s="3">
        <v>25</v>
      </c>
      <c r="L424" s="4" t="s">
        <v>41</v>
      </c>
      <c r="M424" s="3">
        <v>0</v>
      </c>
      <c r="O424">
        <f>MATCH(ROW(A424),Arr!O:O,FALSE)</f>
        <v>426</v>
      </c>
    </row>
    <row r="425" spans="1:15" x14ac:dyDescent="0.3">
      <c r="A425" s="41">
        <f t="shared" si="6"/>
        <v>424</v>
      </c>
      <c r="B425" s="3">
        <v>454</v>
      </c>
      <c r="C425" s="4" t="s">
        <v>190</v>
      </c>
      <c r="D425" s="4" t="s">
        <v>537</v>
      </c>
      <c r="E425" s="4" t="s">
        <v>15</v>
      </c>
      <c r="F425" s="4" t="s">
        <v>124</v>
      </c>
      <c r="G425" s="4" t="s">
        <v>126</v>
      </c>
      <c r="H425" s="3">
        <v>0</v>
      </c>
      <c r="I425" s="3">
        <v>86</v>
      </c>
      <c r="J425" s="4" t="s">
        <v>17</v>
      </c>
      <c r="K425" s="3">
        <v>25</v>
      </c>
      <c r="L425" s="4" t="s">
        <v>41</v>
      </c>
      <c r="M425" s="3">
        <v>3.4</v>
      </c>
      <c r="O425">
        <f>MATCH(ROW(A425),Arr!O:O,FALSE)</f>
        <v>423</v>
      </c>
    </row>
    <row r="426" spans="1:15" x14ac:dyDescent="0.3">
      <c r="A426" s="41">
        <f t="shared" si="6"/>
        <v>425</v>
      </c>
      <c r="B426" s="3">
        <v>775</v>
      </c>
      <c r="C426" s="4" t="s">
        <v>575</v>
      </c>
      <c r="D426" s="4" t="s">
        <v>537</v>
      </c>
      <c r="E426" s="4" t="s">
        <v>15</v>
      </c>
      <c r="F426" s="4" t="s">
        <v>440</v>
      </c>
      <c r="G426" s="4" t="s">
        <v>126</v>
      </c>
      <c r="H426" s="3">
        <v>0</v>
      </c>
      <c r="I426" s="3">
        <v>86</v>
      </c>
      <c r="J426" s="4" t="s">
        <v>17</v>
      </c>
      <c r="K426" s="3">
        <v>25</v>
      </c>
      <c r="L426" s="4" t="s">
        <v>41</v>
      </c>
      <c r="M426" s="3">
        <v>3.4</v>
      </c>
      <c r="O426">
        <f>MATCH(ROW(A426),Arr!O:O,FALSE)</f>
        <v>424</v>
      </c>
    </row>
    <row r="427" spans="1:15" x14ac:dyDescent="0.3">
      <c r="A427" s="41">
        <f t="shared" si="6"/>
        <v>426</v>
      </c>
      <c r="B427" s="3">
        <v>595</v>
      </c>
      <c r="C427" s="4" t="s">
        <v>570</v>
      </c>
      <c r="D427" s="4" t="s">
        <v>537</v>
      </c>
      <c r="E427" s="4" t="s">
        <v>15</v>
      </c>
      <c r="F427" s="4" t="s">
        <v>279</v>
      </c>
      <c r="G427" s="4" t="s">
        <v>126</v>
      </c>
      <c r="H427" s="3">
        <v>0</v>
      </c>
      <c r="I427" s="3">
        <v>86</v>
      </c>
      <c r="J427" s="4" t="s">
        <v>17</v>
      </c>
      <c r="K427" s="3">
        <v>25</v>
      </c>
      <c r="L427" s="4" t="s">
        <v>41</v>
      </c>
      <c r="M427" s="3">
        <v>3.4</v>
      </c>
      <c r="O427">
        <f>MATCH(ROW(A427),Arr!O:O,FALSE)</f>
        <v>425</v>
      </c>
    </row>
    <row r="428" spans="1:15" x14ac:dyDescent="0.3">
      <c r="A428" s="41">
        <f t="shared" si="6"/>
        <v>427</v>
      </c>
      <c r="B428" s="3">
        <v>594</v>
      </c>
      <c r="C428" s="4" t="s">
        <v>638</v>
      </c>
      <c r="D428" s="4" t="s">
        <v>537</v>
      </c>
      <c r="E428" s="4" t="s">
        <v>15</v>
      </c>
      <c r="F428" s="4" t="s">
        <v>279</v>
      </c>
      <c r="G428" s="4" t="s">
        <v>126</v>
      </c>
      <c r="H428" s="3">
        <v>0</v>
      </c>
      <c r="I428" s="3">
        <v>86</v>
      </c>
      <c r="J428" s="4" t="s">
        <v>17</v>
      </c>
      <c r="K428" s="3">
        <v>25</v>
      </c>
      <c r="L428" s="4" t="s">
        <v>41</v>
      </c>
      <c r="M428" s="3">
        <v>3.4</v>
      </c>
      <c r="O428">
        <f>MATCH(ROW(A428),Arr!O:O,FALSE)</f>
        <v>435</v>
      </c>
    </row>
    <row r="429" spans="1:15" x14ac:dyDescent="0.3">
      <c r="A429" s="41">
        <f t="shared" si="6"/>
        <v>428</v>
      </c>
      <c r="B429" s="3">
        <v>664</v>
      </c>
      <c r="C429" s="4" t="s">
        <v>547</v>
      </c>
      <c r="D429" s="4" t="s">
        <v>537</v>
      </c>
      <c r="E429" s="4" t="s">
        <v>15</v>
      </c>
      <c r="F429" s="4" t="s">
        <v>352</v>
      </c>
      <c r="G429" s="4" t="s">
        <v>129</v>
      </c>
      <c r="H429" s="3">
        <v>0</v>
      </c>
      <c r="I429" s="3">
        <v>146</v>
      </c>
      <c r="J429" s="4" t="s">
        <v>17</v>
      </c>
      <c r="K429" s="3">
        <v>25</v>
      </c>
      <c r="L429" s="4" t="s">
        <v>41</v>
      </c>
      <c r="M429" s="3">
        <v>5.5</v>
      </c>
      <c r="O429">
        <f>MATCH(ROW(A429),Arr!O:O,FALSE)</f>
        <v>436</v>
      </c>
    </row>
    <row r="430" spans="1:15" x14ac:dyDescent="0.3">
      <c r="A430" s="41">
        <f t="shared" si="6"/>
        <v>429</v>
      </c>
      <c r="B430" s="3">
        <v>461</v>
      </c>
      <c r="C430" s="4" t="s">
        <v>191</v>
      </c>
      <c r="D430" s="4" t="s">
        <v>537</v>
      </c>
      <c r="E430" s="4" t="s">
        <v>15</v>
      </c>
      <c r="F430" s="4" t="s">
        <v>124</v>
      </c>
      <c r="G430" s="4" t="s">
        <v>129</v>
      </c>
      <c r="H430" s="3">
        <v>0</v>
      </c>
      <c r="I430" s="3">
        <v>146</v>
      </c>
      <c r="J430" s="4" t="s">
        <v>17</v>
      </c>
      <c r="K430" s="3">
        <v>25</v>
      </c>
      <c r="L430" s="4" t="s">
        <v>41</v>
      </c>
      <c r="M430" s="3">
        <v>5.5</v>
      </c>
      <c r="O430">
        <f>MATCH(ROW(A430),Arr!O:O,FALSE)</f>
        <v>437</v>
      </c>
    </row>
    <row r="431" spans="1:15" x14ac:dyDescent="0.3">
      <c r="A431" s="41">
        <f t="shared" si="6"/>
        <v>430</v>
      </c>
      <c r="B431" s="3">
        <v>666</v>
      </c>
      <c r="C431" s="4" t="s">
        <v>571</v>
      </c>
      <c r="D431" s="4" t="s">
        <v>537</v>
      </c>
      <c r="E431" s="4" t="s">
        <v>15</v>
      </c>
      <c r="F431" s="4" t="s">
        <v>352</v>
      </c>
      <c r="G431" s="4" t="s">
        <v>129</v>
      </c>
      <c r="H431" s="3">
        <v>0</v>
      </c>
      <c r="I431" s="3">
        <v>146</v>
      </c>
      <c r="J431" s="4" t="s">
        <v>17</v>
      </c>
      <c r="K431" s="3">
        <v>25</v>
      </c>
      <c r="L431" s="4" t="s">
        <v>41</v>
      </c>
      <c r="M431" s="3">
        <v>5.5</v>
      </c>
      <c r="O431">
        <f>MATCH(ROW(A431),Arr!O:O,FALSE)</f>
        <v>427</v>
      </c>
    </row>
    <row r="432" spans="1:15" x14ac:dyDescent="0.3">
      <c r="A432" s="41">
        <f t="shared" si="6"/>
        <v>431</v>
      </c>
      <c r="B432" s="3">
        <v>459</v>
      </c>
      <c r="C432" s="4" t="s">
        <v>454</v>
      </c>
      <c r="D432" s="4" t="s">
        <v>537</v>
      </c>
      <c r="E432" s="4" t="s">
        <v>15</v>
      </c>
      <c r="F432" s="4" t="s">
        <v>124</v>
      </c>
      <c r="G432" s="4" t="s">
        <v>129</v>
      </c>
      <c r="H432" s="3">
        <v>0</v>
      </c>
      <c r="I432" s="3">
        <v>146</v>
      </c>
      <c r="J432" s="4" t="s">
        <v>17</v>
      </c>
      <c r="K432" s="3">
        <v>25</v>
      </c>
      <c r="L432" s="4" t="s">
        <v>41</v>
      </c>
      <c r="M432" s="3">
        <v>5.5</v>
      </c>
      <c r="O432">
        <f>MATCH(ROW(A432),Arr!O:O,FALSE)</f>
        <v>428</v>
      </c>
    </row>
    <row r="433" spans="1:15" x14ac:dyDescent="0.3">
      <c r="A433" s="41">
        <f t="shared" si="6"/>
        <v>432</v>
      </c>
      <c r="B433" s="3">
        <v>663</v>
      </c>
      <c r="C433" s="4" t="s">
        <v>97</v>
      </c>
      <c r="D433" s="4" t="s">
        <v>537</v>
      </c>
      <c r="E433" s="4" t="s">
        <v>15</v>
      </c>
      <c r="F433" s="4" t="s">
        <v>352</v>
      </c>
      <c r="G433" s="4" t="s">
        <v>129</v>
      </c>
      <c r="H433" s="3">
        <v>0</v>
      </c>
      <c r="I433" s="3">
        <v>146</v>
      </c>
      <c r="J433" s="4" t="s">
        <v>17</v>
      </c>
      <c r="K433" s="3">
        <v>25</v>
      </c>
      <c r="L433" s="4" t="s">
        <v>41</v>
      </c>
      <c r="M433" s="3">
        <v>5.5</v>
      </c>
      <c r="O433">
        <f>MATCH(ROW(A433),Arr!O:O,FALSE)</f>
        <v>429</v>
      </c>
    </row>
    <row r="434" spans="1:15" x14ac:dyDescent="0.3">
      <c r="A434" s="41">
        <f t="shared" si="6"/>
        <v>433</v>
      </c>
      <c r="B434" s="3">
        <v>593</v>
      </c>
      <c r="C434" s="4" t="s">
        <v>93</v>
      </c>
      <c r="D434" s="4" t="s">
        <v>537</v>
      </c>
      <c r="E434" s="4" t="s">
        <v>15</v>
      </c>
      <c r="F434" s="4" t="s">
        <v>279</v>
      </c>
      <c r="G434" s="4" t="s">
        <v>129</v>
      </c>
      <c r="H434" s="3">
        <v>0</v>
      </c>
      <c r="I434" s="3">
        <v>146</v>
      </c>
      <c r="J434" s="4" t="s">
        <v>17</v>
      </c>
      <c r="K434" s="3">
        <v>25</v>
      </c>
      <c r="L434" s="4" t="s">
        <v>41</v>
      </c>
      <c r="M434" s="3">
        <v>5.5</v>
      </c>
      <c r="O434">
        <f>MATCH(ROW(A434),Arr!O:O,FALSE)</f>
        <v>430</v>
      </c>
    </row>
    <row r="435" spans="1:15" x14ac:dyDescent="0.3">
      <c r="A435" s="41">
        <f t="shared" si="6"/>
        <v>434</v>
      </c>
      <c r="B435" s="3">
        <v>665</v>
      </c>
      <c r="C435" s="4" t="s">
        <v>644</v>
      </c>
      <c r="D435" s="4" t="s">
        <v>537</v>
      </c>
      <c r="E435" s="4" t="s">
        <v>15</v>
      </c>
      <c r="F435" s="4" t="s">
        <v>352</v>
      </c>
      <c r="G435" s="4" t="s">
        <v>129</v>
      </c>
      <c r="H435" s="3">
        <v>0</v>
      </c>
      <c r="I435" s="3">
        <v>146</v>
      </c>
      <c r="J435" s="4" t="s">
        <v>17</v>
      </c>
      <c r="K435" s="3">
        <v>25</v>
      </c>
      <c r="L435" s="4" t="s">
        <v>41</v>
      </c>
      <c r="M435" s="3">
        <v>5.5</v>
      </c>
      <c r="O435">
        <f>MATCH(ROW(A435),Arr!O:O,FALSE)</f>
        <v>431</v>
      </c>
    </row>
    <row r="436" spans="1:15" x14ac:dyDescent="0.3">
      <c r="A436" s="41">
        <f t="shared" si="6"/>
        <v>435</v>
      </c>
      <c r="B436" s="3">
        <v>462</v>
      </c>
      <c r="C436" s="4" t="s">
        <v>142</v>
      </c>
      <c r="D436" s="4" t="s">
        <v>537</v>
      </c>
      <c r="E436" s="4" t="s">
        <v>15</v>
      </c>
      <c r="F436" s="4" t="s">
        <v>124</v>
      </c>
      <c r="G436" s="4" t="s">
        <v>129</v>
      </c>
      <c r="H436" s="3">
        <v>0</v>
      </c>
      <c r="I436" s="3">
        <v>146</v>
      </c>
      <c r="J436" s="4" t="s">
        <v>17</v>
      </c>
      <c r="K436" s="3">
        <v>25</v>
      </c>
      <c r="L436" s="4" t="s">
        <v>41</v>
      </c>
      <c r="M436" s="3">
        <v>5.5</v>
      </c>
      <c r="O436">
        <f>MATCH(ROW(A436),Arr!O:O,FALSE)</f>
        <v>432</v>
      </c>
    </row>
    <row r="437" spans="1:15" x14ac:dyDescent="0.3">
      <c r="A437" s="41">
        <f t="shared" si="6"/>
        <v>436</v>
      </c>
      <c r="B437" s="3">
        <v>458</v>
      </c>
      <c r="C437" s="4" t="s">
        <v>562</v>
      </c>
      <c r="D437" s="4" t="s">
        <v>537</v>
      </c>
      <c r="E437" s="4" t="s">
        <v>15</v>
      </c>
      <c r="F437" s="4" t="s">
        <v>124</v>
      </c>
      <c r="G437" s="4" t="s">
        <v>129</v>
      </c>
      <c r="H437" s="3">
        <v>0</v>
      </c>
      <c r="I437" s="3">
        <v>146</v>
      </c>
      <c r="J437" s="4" t="s">
        <v>17</v>
      </c>
      <c r="K437" s="3">
        <v>25</v>
      </c>
      <c r="L437" s="4" t="s">
        <v>41</v>
      </c>
      <c r="M437" s="3">
        <v>5.5</v>
      </c>
      <c r="O437">
        <f>MATCH(ROW(A437),Arr!O:O,FALSE)</f>
        <v>433</v>
      </c>
    </row>
    <row r="438" spans="1:15" x14ac:dyDescent="0.3">
      <c r="A438" s="41">
        <f t="shared" si="6"/>
        <v>437</v>
      </c>
      <c r="B438" s="3">
        <v>460</v>
      </c>
      <c r="C438" s="4" t="s">
        <v>563</v>
      </c>
      <c r="D438" s="4" t="s">
        <v>537</v>
      </c>
      <c r="E438" s="4" t="s">
        <v>15</v>
      </c>
      <c r="F438" s="4" t="s">
        <v>124</v>
      </c>
      <c r="G438" s="4" t="s">
        <v>129</v>
      </c>
      <c r="H438" s="3">
        <v>0</v>
      </c>
      <c r="I438" s="3">
        <v>146</v>
      </c>
      <c r="J438" s="4" t="s">
        <v>17</v>
      </c>
      <c r="K438" s="3">
        <v>25</v>
      </c>
      <c r="L438" s="4" t="s">
        <v>41</v>
      </c>
      <c r="M438" s="3">
        <v>5.5</v>
      </c>
      <c r="O438">
        <f>MATCH(ROW(A438),Arr!O:O,FALSE)</f>
        <v>434</v>
      </c>
    </row>
    <row r="439" spans="1:15" x14ac:dyDescent="0.3">
      <c r="A439" s="41">
        <f t="shared" si="6"/>
        <v>438</v>
      </c>
      <c r="B439" s="3">
        <v>774</v>
      </c>
      <c r="C439" s="4" t="s">
        <v>529</v>
      </c>
      <c r="D439" s="4" t="s">
        <v>537</v>
      </c>
      <c r="E439" s="4" t="s">
        <v>15</v>
      </c>
      <c r="F439" s="4" t="s">
        <v>440</v>
      </c>
      <c r="G439" s="4" t="s">
        <v>129</v>
      </c>
      <c r="H439" s="3">
        <v>0</v>
      </c>
      <c r="I439" s="3">
        <v>146</v>
      </c>
      <c r="J439" s="4" t="s">
        <v>17</v>
      </c>
      <c r="K439" s="3">
        <v>25</v>
      </c>
      <c r="L439" s="4" t="s">
        <v>41</v>
      </c>
      <c r="M439" s="3">
        <v>5.5</v>
      </c>
      <c r="O439">
        <f>MATCH(ROW(A439),Arr!O:O,FALSE)</f>
        <v>439</v>
      </c>
    </row>
    <row r="440" spans="1:15" x14ac:dyDescent="0.3">
      <c r="A440" s="41">
        <f t="shared" si="6"/>
        <v>439</v>
      </c>
      <c r="B440" s="3">
        <v>543</v>
      </c>
      <c r="C440" s="4" t="s">
        <v>572</v>
      </c>
      <c r="D440" s="4" t="s">
        <v>537</v>
      </c>
      <c r="E440" s="4" t="s">
        <v>15</v>
      </c>
      <c r="F440" s="4" t="s">
        <v>226</v>
      </c>
      <c r="G440" s="4" t="s">
        <v>223</v>
      </c>
      <c r="H440" s="3">
        <v>0</v>
      </c>
      <c r="I440" s="3">
        <v>170</v>
      </c>
      <c r="J440" s="4" t="s">
        <v>17</v>
      </c>
      <c r="K440" s="3">
        <v>25</v>
      </c>
      <c r="L440" s="4" t="s">
        <v>41</v>
      </c>
      <c r="M440" s="3">
        <v>12.7</v>
      </c>
      <c r="O440">
        <f>MATCH(ROW(A440),Arr!O:O,FALSE)</f>
        <v>438</v>
      </c>
    </row>
    <row r="441" spans="1:15" x14ac:dyDescent="0.3">
      <c r="A441" s="41">
        <f t="shared" si="6"/>
        <v>440</v>
      </c>
      <c r="B441" s="3">
        <v>662</v>
      </c>
      <c r="C441" s="4" t="s">
        <v>648</v>
      </c>
      <c r="D441" s="4" t="s">
        <v>537</v>
      </c>
      <c r="E441" s="4" t="s">
        <v>15</v>
      </c>
      <c r="F441" s="4" t="s">
        <v>352</v>
      </c>
      <c r="G441" s="4" t="s">
        <v>223</v>
      </c>
      <c r="H441" s="3">
        <v>0</v>
      </c>
      <c r="I441" s="3">
        <v>170</v>
      </c>
      <c r="J441" s="4" t="s">
        <v>17</v>
      </c>
      <c r="K441" s="3">
        <v>25</v>
      </c>
      <c r="L441" s="4" t="s">
        <v>41</v>
      </c>
      <c r="M441" s="3">
        <v>12.7</v>
      </c>
      <c r="O441">
        <f>MATCH(ROW(A441),Arr!O:O,FALSE)</f>
        <v>440</v>
      </c>
    </row>
    <row r="442" spans="1:15" x14ac:dyDescent="0.3">
      <c r="A442" s="41">
        <f t="shared" si="6"/>
        <v>441</v>
      </c>
      <c r="B442" s="3">
        <v>638</v>
      </c>
      <c r="C442" s="4" t="s">
        <v>152</v>
      </c>
      <c r="D442" s="4" t="s">
        <v>537</v>
      </c>
      <c r="E442" s="4" t="s">
        <v>15</v>
      </c>
      <c r="F442" s="4" t="s">
        <v>330</v>
      </c>
      <c r="G442" s="4" t="s">
        <v>331</v>
      </c>
      <c r="H442" s="3">
        <v>0</v>
      </c>
      <c r="I442" s="3">
        <v>214</v>
      </c>
      <c r="J442" s="4" t="s">
        <v>28</v>
      </c>
      <c r="K442" s="3">
        <v>25</v>
      </c>
      <c r="L442" s="4" t="s">
        <v>41</v>
      </c>
      <c r="M442" s="3">
        <v>22</v>
      </c>
      <c r="O442">
        <f>MATCH(ROW(A442),Arr!O:O,FALSE)</f>
        <v>441</v>
      </c>
    </row>
    <row r="443" spans="1:15" x14ac:dyDescent="0.3">
      <c r="A443" s="41">
        <f t="shared" si="6"/>
        <v>442</v>
      </c>
      <c r="B443" s="3">
        <v>679</v>
      </c>
      <c r="C443" s="4" t="s">
        <v>165</v>
      </c>
      <c r="D443" s="4" t="s">
        <v>537</v>
      </c>
      <c r="E443" s="4" t="s">
        <v>15</v>
      </c>
      <c r="F443" s="4" t="s">
        <v>366</v>
      </c>
      <c r="G443" s="4" t="s">
        <v>197</v>
      </c>
      <c r="H443" s="3">
        <v>0</v>
      </c>
      <c r="I443" s="3">
        <v>24</v>
      </c>
      <c r="J443" s="4" t="s">
        <v>17</v>
      </c>
      <c r="K443" s="3">
        <v>25</v>
      </c>
      <c r="L443" s="4" t="s">
        <v>41</v>
      </c>
      <c r="M443" s="3">
        <v>0</v>
      </c>
      <c r="O443">
        <f>MATCH(ROW(A443),Arr!O:O,FALSE)</f>
        <v>442</v>
      </c>
    </row>
    <row r="444" spans="1:15" x14ac:dyDescent="0.3">
      <c r="A444" s="41">
        <f t="shared" si="6"/>
        <v>443</v>
      </c>
      <c r="B444" s="3">
        <v>864</v>
      </c>
      <c r="C444" s="4" t="s">
        <v>495</v>
      </c>
      <c r="D444" s="4" t="s">
        <v>537</v>
      </c>
      <c r="E444" s="4" t="s">
        <v>15</v>
      </c>
      <c r="F444" s="4" t="s">
        <v>474</v>
      </c>
      <c r="G444" s="4" t="s">
        <v>197</v>
      </c>
      <c r="H444" s="3">
        <v>0</v>
      </c>
      <c r="I444" s="3">
        <v>24</v>
      </c>
      <c r="J444" s="4" t="s">
        <v>28</v>
      </c>
      <c r="K444" s="3">
        <v>25</v>
      </c>
      <c r="L444" s="4" t="s">
        <v>41</v>
      </c>
      <c r="M444" s="3">
        <v>0</v>
      </c>
      <c r="O444">
        <f>MATCH(ROW(A444),Arr!O:O,FALSE)</f>
        <v>443</v>
      </c>
    </row>
    <row r="445" spans="1:15" x14ac:dyDescent="0.3">
      <c r="A445" s="41">
        <f t="shared" si="6"/>
        <v>444</v>
      </c>
      <c r="B445" s="3">
        <v>517</v>
      </c>
      <c r="C445" s="4" t="s">
        <v>486</v>
      </c>
      <c r="D445" s="4" t="s">
        <v>537</v>
      </c>
      <c r="E445" s="4" t="s">
        <v>15</v>
      </c>
      <c r="F445" s="4" t="s">
        <v>196</v>
      </c>
      <c r="G445" s="4" t="s">
        <v>197</v>
      </c>
      <c r="H445" s="3">
        <v>0</v>
      </c>
      <c r="I445" s="3">
        <v>24</v>
      </c>
      <c r="J445" s="4" t="s">
        <v>17</v>
      </c>
      <c r="K445" s="3">
        <v>25</v>
      </c>
      <c r="L445" s="4" t="s">
        <v>41</v>
      </c>
      <c r="M445" s="3">
        <v>0</v>
      </c>
      <c r="O445">
        <f>MATCH(ROW(A445),Arr!O:O,FALSE)</f>
        <v>444</v>
      </c>
    </row>
    <row r="446" spans="1:15" x14ac:dyDescent="0.3">
      <c r="A446" s="41">
        <f t="shared" si="6"/>
        <v>445</v>
      </c>
      <c r="B446" s="3">
        <v>681</v>
      </c>
      <c r="C446" s="4" t="s">
        <v>81</v>
      </c>
      <c r="D446" s="4" t="s">
        <v>537</v>
      </c>
      <c r="E446" s="4" t="s">
        <v>15</v>
      </c>
      <c r="F446" s="4" t="s">
        <v>366</v>
      </c>
      <c r="G446" s="4" t="s">
        <v>197</v>
      </c>
      <c r="H446" s="3">
        <v>0</v>
      </c>
      <c r="I446" s="3">
        <v>24</v>
      </c>
      <c r="J446" s="4" t="s">
        <v>17</v>
      </c>
      <c r="K446" s="3">
        <v>25</v>
      </c>
      <c r="L446" s="4" t="s">
        <v>41</v>
      </c>
      <c r="M446" s="3">
        <v>0</v>
      </c>
      <c r="O446">
        <f>MATCH(ROW(A446),Arr!O:O,FALSE)</f>
        <v>445</v>
      </c>
    </row>
    <row r="447" spans="1:15" x14ac:dyDescent="0.3">
      <c r="A447" s="41">
        <f t="shared" si="6"/>
        <v>446</v>
      </c>
      <c r="B447" s="3">
        <v>682</v>
      </c>
      <c r="C447" s="4" t="s">
        <v>454</v>
      </c>
      <c r="D447" s="4" t="s">
        <v>537</v>
      </c>
      <c r="E447" s="4" t="s">
        <v>15</v>
      </c>
      <c r="F447" s="4" t="s">
        <v>366</v>
      </c>
      <c r="G447" s="4" t="s">
        <v>197</v>
      </c>
      <c r="H447" s="3">
        <v>0</v>
      </c>
      <c r="I447" s="3">
        <v>24</v>
      </c>
      <c r="J447" s="4" t="s">
        <v>17</v>
      </c>
      <c r="K447" s="3">
        <v>25</v>
      </c>
      <c r="L447" s="4" t="s">
        <v>41</v>
      </c>
      <c r="M447" s="3">
        <v>0</v>
      </c>
      <c r="O447">
        <f>MATCH(ROW(A447),Arr!O:O,FALSE)</f>
        <v>446</v>
      </c>
    </row>
    <row r="448" spans="1:15" x14ac:dyDescent="0.3">
      <c r="A448" s="41">
        <f t="shared" si="6"/>
        <v>447</v>
      </c>
      <c r="B448" s="3">
        <v>863</v>
      </c>
      <c r="C448" s="4" t="s">
        <v>379</v>
      </c>
      <c r="D448" s="4" t="s">
        <v>537</v>
      </c>
      <c r="E448" s="4" t="s">
        <v>15</v>
      </c>
      <c r="F448" s="4" t="s">
        <v>474</v>
      </c>
      <c r="G448" s="4" t="s">
        <v>197</v>
      </c>
      <c r="H448" s="3">
        <v>0</v>
      </c>
      <c r="I448" s="3">
        <v>24</v>
      </c>
      <c r="J448" s="4" t="s">
        <v>28</v>
      </c>
      <c r="K448" s="3">
        <v>25</v>
      </c>
      <c r="L448" s="4" t="s">
        <v>41</v>
      </c>
      <c r="M448" s="3">
        <v>0</v>
      </c>
      <c r="O448">
        <f>MATCH(ROW(A448),Arr!O:O,FALSE)</f>
        <v>447</v>
      </c>
    </row>
    <row r="449" spans="1:15" x14ac:dyDescent="0.3">
      <c r="A449" s="41">
        <f t="shared" si="6"/>
        <v>448</v>
      </c>
      <c r="B449" s="3">
        <v>518</v>
      </c>
      <c r="C449" s="4" t="s">
        <v>56</v>
      </c>
      <c r="D449" s="4" t="s">
        <v>537</v>
      </c>
      <c r="E449" s="4" t="s">
        <v>15</v>
      </c>
      <c r="F449" s="4" t="s">
        <v>196</v>
      </c>
      <c r="G449" s="4" t="s">
        <v>197</v>
      </c>
      <c r="H449" s="3">
        <v>0</v>
      </c>
      <c r="I449" s="3">
        <v>24</v>
      </c>
      <c r="J449" s="4" t="s">
        <v>17</v>
      </c>
      <c r="K449" s="3">
        <v>25</v>
      </c>
      <c r="L449" s="4" t="s">
        <v>41</v>
      </c>
      <c r="M449" s="3">
        <v>0</v>
      </c>
      <c r="O449">
        <f>MATCH(ROW(A449),Arr!O:O,FALSE)</f>
        <v>448</v>
      </c>
    </row>
    <row r="450" spans="1:15" x14ac:dyDescent="0.3">
      <c r="A450" s="41">
        <f t="shared" si="6"/>
        <v>449</v>
      </c>
      <c r="B450" s="3">
        <v>738</v>
      </c>
      <c r="C450" s="4" t="s">
        <v>477</v>
      </c>
      <c r="D450" s="4" t="s">
        <v>537</v>
      </c>
      <c r="E450" s="4" t="s">
        <v>15</v>
      </c>
      <c r="F450" s="4" t="s">
        <v>418</v>
      </c>
      <c r="G450" s="4" t="s">
        <v>197</v>
      </c>
      <c r="H450" s="3">
        <v>0</v>
      </c>
      <c r="I450" s="3">
        <v>24</v>
      </c>
      <c r="J450" s="4" t="s">
        <v>17</v>
      </c>
      <c r="K450" s="3">
        <v>25</v>
      </c>
      <c r="L450" s="4" t="s">
        <v>41</v>
      </c>
      <c r="M450" s="3">
        <v>0</v>
      </c>
      <c r="O450">
        <f>MATCH(ROW(A450),Arr!O:O,FALSE)</f>
        <v>449</v>
      </c>
    </row>
    <row r="451" spans="1:15" x14ac:dyDescent="0.3">
      <c r="A451" s="41">
        <f t="shared" si="6"/>
        <v>450</v>
      </c>
      <c r="B451" s="3">
        <v>680</v>
      </c>
      <c r="C451" s="4" t="s">
        <v>533</v>
      </c>
      <c r="D451" s="4" t="s">
        <v>537</v>
      </c>
      <c r="E451" s="4" t="s">
        <v>15</v>
      </c>
      <c r="F451" s="4" t="s">
        <v>366</v>
      </c>
      <c r="G451" s="4" t="s">
        <v>197</v>
      </c>
      <c r="H451" s="3">
        <v>0</v>
      </c>
      <c r="I451" s="3">
        <v>24</v>
      </c>
      <c r="J451" s="4" t="s">
        <v>17</v>
      </c>
      <c r="K451" s="3">
        <v>25</v>
      </c>
      <c r="L451" s="4" t="s">
        <v>41</v>
      </c>
      <c r="M451" s="3">
        <v>0</v>
      </c>
      <c r="O451">
        <f>MATCH(ROW(A451),Arr!O:O,FALSE)</f>
        <v>450</v>
      </c>
    </row>
    <row r="452" spans="1:15" x14ac:dyDescent="0.3">
      <c r="A452" s="41">
        <f t="shared" ref="A452:A502" si="7">A451+1</f>
        <v>451</v>
      </c>
      <c r="B452" s="3">
        <v>514</v>
      </c>
      <c r="C452" s="4" t="s">
        <v>321</v>
      </c>
      <c r="D452" s="4" t="s">
        <v>537</v>
      </c>
      <c r="E452" s="4" t="s">
        <v>15</v>
      </c>
      <c r="F452" s="4" t="s">
        <v>196</v>
      </c>
      <c r="G452" s="4" t="s">
        <v>197</v>
      </c>
      <c r="H452" s="3">
        <v>0</v>
      </c>
      <c r="I452" s="3">
        <v>24</v>
      </c>
      <c r="J452" s="4" t="s">
        <v>17</v>
      </c>
      <c r="K452" s="3">
        <v>25</v>
      </c>
      <c r="L452" s="4" t="s">
        <v>41</v>
      </c>
      <c r="M452" s="3">
        <v>0</v>
      </c>
      <c r="O452">
        <f>MATCH(ROW(A452),Arr!O:O,FALSE)</f>
        <v>451</v>
      </c>
    </row>
    <row r="453" spans="1:15" x14ac:dyDescent="0.3">
      <c r="A453" s="41">
        <f t="shared" si="7"/>
        <v>452</v>
      </c>
      <c r="B453" s="3">
        <v>862</v>
      </c>
      <c r="C453" s="4" t="s">
        <v>171</v>
      </c>
      <c r="D453" s="4" t="s">
        <v>537</v>
      </c>
      <c r="E453" s="4" t="s">
        <v>15</v>
      </c>
      <c r="F453" s="4" t="s">
        <v>474</v>
      </c>
      <c r="G453" s="4" t="s">
        <v>197</v>
      </c>
      <c r="H453" s="3">
        <v>0</v>
      </c>
      <c r="I453" s="3">
        <v>24</v>
      </c>
      <c r="J453" s="4" t="s">
        <v>28</v>
      </c>
      <c r="K453" s="3">
        <v>25</v>
      </c>
      <c r="L453" s="4" t="s">
        <v>41</v>
      </c>
      <c r="M453" s="3">
        <v>0</v>
      </c>
      <c r="O453">
        <f>MATCH(ROW(A453),Arr!O:O,FALSE)</f>
        <v>452</v>
      </c>
    </row>
    <row r="454" spans="1:15" x14ac:dyDescent="0.3">
      <c r="A454" s="41">
        <f t="shared" si="7"/>
        <v>453</v>
      </c>
      <c r="B454" s="3">
        <v>683</v>
      </c>
      <c r="C454" s="4" t="s">
        <v>552</v>
      </c>
      <c r="D454" s="4" t="s">
        <v>537</v>
      </c>
      <c r="E454" s="4" t="s">
        <v>15</v>
      </c>
      <c r="F454" s="4" t="s">
        <v>366</v>
      </c>
      <c r="G454" s="4" t="s">
        <v>197</v>
      </c>
      <c r="H454" s="3">
        <v>0</v>
      </c>
      <c r="I454" s="3">
        <v>24</v>
      </c>
      <c r="J454" s="4" t="s">
        <v>17</v>
      </c>
      <c r="K454" s="3">
        <v>25</v>
      </c>
      <c r="L454" s="4" t="s">
        <v>41</v>
      </c>
      <c r="M454" s="3">
        <v>0</v>
      </c>
      <c r="O454">
        <f>MATCH(ROW(A454),Arr!O:O,FALSE)</f>
        <v>453</v>
      </c>
    </row>
    <row r="455" spans="1:15" x14ac:dyDescent="0.3">
      <c r="A455" s="41">
        <f t="shared" si="7"/>
        <v>454</v>
      </c>
      <c r="B455" s="3">
        <v>515</v>
      </c>
      <c r="C455" s="4" t="s">
        <v>504</v>
      </c>
      <c r="D455" s="4" t="s">
        <v>537</v>
      </c>
      <c r="E455" s="4" t="s">
        <v>15</v>
      </c>
      <c r="F455" s="4" t="s">
        <v>196</v>
      </c>
      <c r="G455" s="4" t="s">
        <v>197</v>
      </c>
      <c r="H455" s="3">
        <v>0</v>
      </c>
      <c r="I455" s="3">
        <v>24</v>
      </c>
      <c r="J455" s="4" t="s">
        <v>17</v>
      </c>
      <c r="K455" s="3">
        <v>25</v>
      </c>
      <c r="L455" s="4" t="s">
        <v>41</v>
      </c>
      <c r="M455" s="3">
        <v>0</v>
      </c>
      <c r="O455">
        <f>MATCH(ROW(A455),Arr!O:O,FALSE)</f>
        <v>454</v>
      </c>
    </row>
    <row r="456" spans="1:15" x14ac:dyDescent="0.3">
      <c r="A456" s="41">
        <f t="shared" si="7"/>
        <v>455</v>
      </c>
      <c r="B456" s="3">
        <v>678</v>
      </c>
      <c r="C456" s="4" t="s">
        <v>71</v>
      </c>
      <c r="D456" s="4" t="s">
        <v>537</v>
      </c>
      <c r="E456" s="4" t="s">
        <v>15</v>
      </c>
      <c r="F456" s="4" t="s">
        <v>366</v>
      </c>
      <c r="G456" s="4" t="s">
        <v>197</v>
      </c>
      <c r="H456" s="3">
        <v>0</v>
      </c>
      <c r="I456" s="3">
        <v>24</v>
      </c>
      <c r="J456" s="4" t="s">
        <v>17</v>
      </c>
      <c r="K456" s="3">
        <v>25</v>
      </c>
      <c r="L456" s="4" t="s">
        <v>41</v>
      </c>
      <c r="M456" s="3">
        <v>0</v>
      </c>
      <c r="O456">
        <f>MATCH(ROW(A456),Arr!O:O,FALSE)</f>
        <v>455</v>
      </c>
    </row>
    <row r="457" spans="1:15" x14ac:dyDescent="0.3">
      <c r="A457" s="41">
        <f t="shared" si="7"/>
        <v>456</v>
      </c>
      <c r="B457" s="3">
        <v>516</v>
      </c>
      <c r="C457" s="4" t="s">
        <v>488</v>
      </c>
      <c r="D457" s="4" t="s">
        <v>537</v>
      </c>
      <c r="E457" s="4" t="s">
        <v>15</v>
      </c>
      <c r="F457" s="4" t="s">
        <v>196</v>
      </c>
      <c r="G457" s="4" t="s">
        <v>197</v>
      </c>
      <c r="H457" s="3">
        <v>0</v>
      </c>
      <c r="I457" s="3">
        <v>24</v>
      </c>
      <c r="J457" s="4" t="s">
        <v>17</v>
      </c>
      <c r="K457" s="3">
        <v>25</v>
      </c>
      <c r="L457" s="4" t="s">
        <v>41</v>
      </c>
      <c r="M457" s="3">
        <v>0</v>
      </c>
      <c r="O457">
        <f>MATCH(ROW(A457),Arr!O:O,FALSE)</f>
        <v>456</v>
      </c>
    </row>
    <row r="458" spans="1:15" x14ac:dyDescent="0.3">
      <c r="A458" s="41">
        <f t="shared" si="7"/>
        <v>457</v>
      </c>
      <c r="B458" s="3">
        <v>737</v>
      </c>
      <c r="C458" s="4" t="s">
        <v>337</v>
      </c>
      <c r="D458" s="4" t="s">
        <v>537</v>
      </c>
      <c r="E458" s="4" t="s">
        <v>15</v>
      </c>
      <c r="F458" s="4" t="s">
        <v>418</v>
      </c>
      <c r="G458" s="4" t="s">
        <v>197</v>
      </c>
      <c r="H458" s="3">
        <v>0</v>
      </c>
      <c r="I458" s="3">
        <v>24</v>
      </c>
      <c r="J458" s="4" t="s">
        <v>17</v>
      </c>
      <c r="K458" s="3">
        <v>25</v>
      </c>
      <c r="L458" s="4" t="s">
        <v>41</v>
      </c>
      <c r="M458" s="3">
        <v>0</v>
      </c>
      <c r="O458">
        <f>MATCH(ROW(A458),Arr!O:O,FALSE)</f>
        <v>462</v>
      </c>
    </row>
    <row r="459" spans="1:15" x14ac:dyDescent="0.3">
      <c r="A459" s="41">
        <f t="shared" si="7"/>
        <v>458</v>
      </c>
      <c r="B459" s="3">
        <v>720</v>
      </c>
      <c r="C459" s="4" t="s">
        <v>47</v>
      </c>
      <c r="D459" s="4" t="s">
        <v>537</v>
      </c>
      <c r="E459" s="4" t="s">
        <v>15</v>
      </c>
      <c r="F459" s="4" t="s">
        <v>401</v>
      </c>
      <c r="G459" s="4" t="s">
        <v>111</v>
      </c>
      <c r="H459" s="3">
        <v>0</v>
      </c>
      <c r="I459" s="3">
        <v>135</v>
      </c>
      <c r="J459" s="4" t="s">
        <v>17</v>
      </c>
      <c r="K459" s="3">
        <v>25</v>
      </c>
      <c r="L459" s="4" t="s">
        <v>112</v>
      </c>
      <c r="M459" s="3">
        <v>0</v>
      </c>
      <c r="O459">
        <f>MATCH(ROW(A459),Arr!O:O,FALSE)</f>
        <v>457</v>
      </c>
    </row>
    <row r="460" spans="1:15" x14ac:dyDescent="0.3">
      <c r="A460" s="41">
        <f t="shared" si="7"/>
        <v>459</v>
      </c>
      <c r="B460" s="3">
        <v>721</v>
      </c>
      <c r="C460" s="4" t="s">
        <v>454</v>
      </c>
      <c r="D460" s="4" t="s">
        <v>537</v>
      </c>
      <c r="E460" s="4" t="s">
        <v>15</v>
      </c>
      <c r="F460" s="4" t="s">
        <v>401</v>
      </c>
      <c r="G460" s="4" t="s">
        <v>111</v>
      </c>
      <c r="H460" s="3">
        <v>0</v>
      </c>
      <c r="I460" s="3">
        <v>135</v>
      </c>
      <c r="J460" s="4" t="s">
        <v>17</v>
      </c>
      <c r="K460" s="3">
        <v>25</v>
      </c>
      <c r="L460" s="4" t="s">
        <v>112</v>
      </c>
      <c r="M460" s="3">
        <v>0</v>
      </c>
      <c r="O460">
        <f>MATCH(ROW(A460),Arr!O:O,FALSE)</f>
        <v>458</v>
      </c>
    </row>
    <row r="461" spans="1:15" x14ac:dyDescent="0.3">
      <c r="A461" s="41">
        <f t="shared" si="7"/>
        <v>460</v>
      </c>
      <c r="B461" s="3">
        <v>447</v>
      </c>
      <c r="C461" s="4" t="s">
        <v>558</v>
      </c>
      <c r="D461" s="4" t="s">
        <v>537</v>
      </c>
      <c r="E461" s="4" t="s">
        <v>15</v>
      </c>
      <c r="F461" s="4" t="s">
        <v>110</v>
      </c>
      <c r="G461" s="4" t="s">
        <v>111</v>
      </c>
      <c r="H461" s="3">
        <v>0</v>
      </c>
      <c r="I461" s="3">
        <v>135</v>
      </c>
      <c r="J461" s="4" t="s">
        <v>17</v>
      </c>
      <c r="K461" s="3">
        <v>25</v>
      </c>
      <c r="L461" s="4" t="s">
        <v>112</v>
      </c>
      <c r="M461" s="3">
        <v>0</v>
      </c>
      <c r="O461">
        <f>MATCH(ROW(A461),Arr!O:O,FALSE)</f>
        <v>459</v>
      </c>
    </row>
    <row r="462" spans="1:15" x14ac:dyDescent="0.3">
      <c r="A462" s="41">
        <f t="shared" si="7"/>
        <v>461</v>
      </c>
      <c r="B462" s="3">
        <v>719</v>
      </c>
      <c r="C462" s="4" t="s">
        <v>337</v>
      </c>
      <c r="D462" s="4" t="s">
        <v>537</v>
      </c>
      <c r="E462" s="4" t="s">
        <v>15</v>
      </c>
      <c r="F462" s="4" t="s">
        <v>401</v>
      </c>
      <c r="G462" s="4" t="s">
        <v>111</v>
      </c>
      <c r="H462" s="3">
        <v>0</v>
      </c>
      <c r="I462" s="3">
        <v>135</v>
      </c>
      <c r="J462" s="4" t="s">
        <v>17</v>
      </c>
      <c r="K462" s="3">
        <v>25</v>
      </c>
      <c r="L462" s="4" t="s">
        <v>112</v>
      </c>
      <c r="M462" s="3">
        <v>0</v>
      </c>
      <c r="O462">
        <f>MATCH(ROW(A462),Arr!O:O,FALSE)</f>
        <v>460</v>
      </c>
    </row>
    <row r="463" spans="1:15" x14ac:dyDescent="0.3">
      <c r="A463" s="41">
        <f t="shared" si="7"/>
        <v>462</v>
      </c>
      <c r="B463" s="3">
        <v>446</v>
      </c>
      <c r="C463" s="4" t="s">
        <v>441</v>
      </c>
      <c r="D463" s="4" t="s">
        <v>537</v>
      </c>
      <c r="E463" s="4" t="s">
        <v>15</v>
      </c>
      <c r="F463" s="4" t="s">
        <v>110</v>
      </c>
      <c r="G463" s="4" t="s">
        <v>111</v>
      </c>
      <c r="H463" s="3">
        <v>0</v>
      </c>
      <c r="I463" s="3">
        <v>135</v>
      </c>
      <c r="J463" s="4" t="s">
        <v>17</v>
      </c>
      <c r="K463" s="3">
        <v>25</v>
      </c>
      <c r="L463" s="4" t="s">
        <v>112</v>
      </c>
      <c r="M463" s="3">
        <v>0</v>
      </c>
      <c r="O463">
        <f>MATCH(ROW(A463),Arr!O:O,FALSE)</f>
        <v>461</v>
      </c>
    </row>
    <row r="464" spans="1:15" x14ac:dyDescent="0.3">
      <c r="A464" s="41">
        <f t="shared" si="7"/>
        <v>463</v>
      </c>
      <c r="B464" s="3">
        <v>736</v>
      </c>
      <c r="C464" s="4" t="s">
        <v>57</v>
      </c>
      <c r="D464" s="4" t="s">
        <v>537</v>
      </c>
      <c r="E464" s="4" t="s">
        <v>15</v>
      </c>
      <c r="F464" s="4" t="s">
        <v>416</v>
      </c>
      <c r="G464" s="4" t="s">
        <v>111</v>
      </c>
      <c r="H464" s="3">
        <v>0</v>
      </c>
      <c r="I464" s="3">
        <v>135</v>
      </c>
      <c r="J464" s="4" t="s">
        <v>17</v>
      </c>
      <c r="K464" s="3">
        <v>25</v>
      </c>
      <c r="L464" s="4" t="s">
        <v>112</v>
      </c>
      <c r="M464" s="3">
        <v>0</v>
      </c>
      <c r="O464">
        <f>MATCH(ROW(A464),Arr!O:O,FALSE)</f>
        <v>486</v>
      </c>
    </row>
    <row r="465" spans="1:15" x14ac:dyDescent="0.3">
      <c r="A465" s="41">
        <f t="shared" si="7"/>
        <v>464</v>
      </c>
      <c r="B465" s="3">
        <v>428</v>
      </c>
      <c r="C465" s="4" t="s">
        <v>80</v>
      </c>
      <c r="D465" s="4" t="s">
        <v>537</v>
      </c>
      <c r="E465" s="4" t="s">
        <v>15</v>
      </c>
      <c r="F465" s="4" t="s">
        <v>86</v>
      </c>
      <c r="G465" s="4" t="s">
        <v>16</v>
      </c>
      <c r="H465" s="3">
        <v>0</v>
      </c>
      <c r="I465" s="3">
        <v>110</v>
      </c>
      <c r="J465" s="4" t="s">
        <v>17</v>
      </c>
      <c r="K465" s="3">
        <v>25</v>
      </c>
      <c r="L465" s="4" t="s">
        <v>18</v>
      </c>
      <c r="M465" s="3">
        <v>0</v>
      </c>
      <c r="O465">
        <f>MATCH(ROW(A465),Arr!O:O,FALSE)</f>
        <v>487</v>
      </c>
    </row>
    <row r="466" spans="1:15" x14ac:dyDescent="0.3">
      <c r="A466" s="41">
        <f t="shared" si="7"/>
        <v>465</v>
      </c>
      <c r="B466" s="3">
        <v>786</v>
      </c>
      <c r="C466" s="4" t="s">
        <v>616</v>
      </c>
      <c r="D466" s="4" t="s">
        <v>537</v>
      </c>
      <c r="E466" s="4" t="s">
        <v>15</v>
      </c>
      <c r="F466" s="4" t="s">
        <v>455</v>
      </c>
      <c r="G466" s="4" t="s">
        <v>16</v>
      </c>
      <c r="H466" s="3">
        <v>0</v>
      </c>
      <c r="I466" s="3">
        <v>110</v>
      </c>
      <c r="J466" s="4" t="s">
        <v>17</v>
      </c>
      <c r="K466" s="3">
        <v>25</v>
      </c>
      <c r="L466" s="4" t="s">
        <v>18</v>
      </c>
      <c r="M466" s="3">
        <v>0</v>
      </c>
      <c r="O466">
        <f>MATCH(ROW(A466),Arr!O:O,FALSE)</f>
        <v>488</v>
      </c>
    </row>
    <row r="467" spans="1:15" x14ac:dyDescent="0.3">
      <c r="A467" s="41">
        <f t="shared" si="7"/>
        <v>466</v>
      </c>
      <c r="B467" s="3">
        <v>809</v>
      </c>
      <c r="C467" s="4" t="s">
        <v>569</v>
      </c>
      <c r="D467" s="4" t="s">
        <v>537</v>
      </c>
      <c r="E467" s="4" t="s">
        <v>15</v>
      </c>
      <c r="F467" s="4" t="s">
        <v>501</v>
      </c>
      <c r="G467" s="4" t="s">
        <v>16</v>
      </c>
      <c r="H467" s="3">
        <v>0</v>
      </c>
      <c r="I467" s="3">
        <v>110</v>
      </c>
      <c r="J467" s="4" t="s">
        <v>17</v>
      </c>
      <c r="K467" s="3">
        <v>25</v>
      </c>
      <c r="L467" s="4" t="s">
        <v>18</v>
      </c>
      <c r="M467" s="3">
        <v>0</v>
      </c>
      <c r="O467">
        <f>MATCH(ROW(A467),Arr!O:O,FALSE)</f>
        <v>489</v>
      </c>
    </row>
    <row r="468" spans="1:15" x14ac:dyDescent="0.3">
      <c r="A468" s="41">
        <f t="shared" si="7"/>
        <v>467</v>
      </c>
      <c r="B468" s="3">
        <v>799</v>
      </c>
      <c r="C468" s="4" t="s">
        <v>384</v>
      </c>
      <c r="D468" s="4" t="s">
        <v>537</v>
      </c>
      <c r="E468" s="4" t="s">
        <v>15</v>
      </c>
      <c r="F468" s="4" t="s">
        <v>464</v>
      </c>
      <c r="G468" s="4" t="s">
        <v>16</v>
      </c>
      <c r="H468" s="3">
        <v>0</v>
      </c>
      <c r="I468" s="3">
        <v>110</v>
      </c>
      <c r="J468" s="4" t="s">
        <v>17</v>
      </c>
      <c r="K468" s="3">
        <v>25</v>
      </c>
      <c r="L468" s="4" t="s">
        <v>18</v>
      </c>
      <c r="M468" s="3">
        <v>0</v>
      </c>
      <c r="O468">
        <f>MATCH(ROW(A468),Arr!O:O,FALSE)</f>
        <v>490</v>
      </c>
    </row>
    <row r="469" spans="1:15" x14ac:dyDescent="0.3">
      <c r="A469" s="41">
        <f t="shared" si="7"/>
        <v>468</v>
      </c>
      <c r="B469" s="3">
        <v>643</v>
      </c>
      <c r="C469" s="4" t="s">
        <v>204</v>
      </c>
      <c r="D469" s="4" t="s">
        <v>537</v>
      </c>
      <c r="E469" s="4" t="s">
        <v>15</v>
      </c>
      <c r="F469" s="4" t="s">
        <v>335</v>
      </c>
      <c r="G469" s="4" t="s">
        <v>16</v>
      </c>
      <c r="H469" s="3">
        <v>0</v>
      </c>
      <c r="I469" s="3">
        <v>110</v>
      </c>
      <c r="J469" s="4" t="s">
        <v>17</v>
      </c>
      <c r="K469" s="3">
        <v>25</v>
      </c>
      <c r="L469" s="4" t="s">
        <v>18</v>
      </c>
      <c r="M469" s="3">
        <v>0</v>
      </c>
      <c r="O469">
        <f>MATCH(ROW(A469),Arr!O:O,FALSE)</f>
        <v>463</v>
      </c>
    </row>
    <row r="470" spans="1:15" x14ac:dyDescent="0.3">
      <c r="A470" s="41">
        <f t="shared" si="7"/>
        <v>469</v>
      </c>
      <c r="B470" s="3">
        <v>756</v>
      </c>
      <c r="C470" s="4" t="s">
        <v>627</v>
      </c>
      <c r="D470" s="4" t="s">
        <v>537</v>
      </c>
      <c r="E470" s="4" t="s">
        <v>15</v>
      </c>
      <c r="F470" s="4" t="s">
        <v>427</v>
      </c>
      <c r="G470" s="4" t="s">
        <v>16</v>
      </c>
      <c r="H470" s="3">
        <v>0</v>
      </c>
      <c r="I470" s="3">
        <v>110</v>
      </c>
      <c r="J470" s="4" t="s">
        <v>17</v>
      </c>
      <c r="K470" s="3">
        <v>25</v>
      </c>
      <c r="L470" s="4" t="s">
        <v>18</v>
      </c>
      <c r="M470" s="3">
        <v>0</v>
      </c>
      <c r="O470">
        <f>MATCH(ROW(A470),Arr!O:O,FALSE)</f>
        <v>464</v>
      </c>
    </row>
    <row r="471" spans="1:15" x14ac:dyDescent="0.3">
      <c r="A471" s="41">
        <f t="shared" si="7"/>
        <v>470</v>
      </c>
      <c r="B471" s="3">
        <v>520</v>
      </c>
      <c r="C471" s="4" t="s">
        <v>106</v>
      </c>
      <c r="D471" s="4" t="s">
        <v>537</v>
      </c>
      <c r="E471" s="4" t="s">
        <v>15</v>
      </c>
      <c r="F471" s="4" t="s">
        <v>196</v>
      </c>
      <c r="G471" s="4" t="s">
        <v>16</v>
      </c>
      <c r="H471" s="3">
        <v>0</v>
      </c>
      <c r="I471" s="3">
        <v>110</v>
      </c>
      <c r="J471" s="4" t="s">
        <v>17</v>
      </c>
      <c r="K471" s="3">
        <v>25</v>
      </c>
      <c r="L471" s="4" t="s">
        <v>18</v>
      </c>
      <c r="M471" s="3">
        <v>0</v>
      </c>
      <c r="O471">
        <f>MATCH(ROW(A471),Arr!O:O,FALSE)</f>
        <v>465</v>
      </c>
    </row>
    <row r="472" spans="1:15" x14ac:dyDescent="0.3">
      <c r="A472" s="41">
        <f t="shared" si="7"/>
        <v>471</v>
      </c>
      <c r="B472" s="3">
        <v>583</v>
      </c>
      <c r="C472" s="4" t="s">
        <v>329</v>
      </c>
      <c r="D472" s="4" t="s">
        <v>537</v>
      </c>
      <c r="E472" s="4" t="s">
        <v>15</v>
      </c>
      <c r="F472" s="4" t="s">
        <v>265</v>
      </c>
      <c r="G472" s="4" t="s">
        <v>16</v>
      </c>
      <c r="H472" s="3">
        <v>0</v>
      </c>
      <c r="I472" s="3">
        <v>110</v>
      </c>
      <c r="J472" s="4" t="s">
        <v>17</v>
      </c>
      <c r="K472" s="3">
        <v>25</v>
      </c>
      <c r="L472" s="4" t="s">
        <v>18</v>
      </c>
      <c r="M472" s="3">
        <v>0</v>
      </c>
      <c r="O472">
        <f>MATCH(ROW(A472),Arr!O:O,FALSE)</f>
        <v>466</v>
      </c>
    </row>
    <row r="473" spans="1:15" x14ac:dyDescent="0.3">
      <c r="A473" s="41">
        <f t="shared" si="7"/>
        <v>472</v>
      </c>
      <c r="B473" s="3">
        <v>787</v>
      </c>
      <c r="C473" s="4" t="s">
        <v>664</v>
      </c>
      <c r="D473" s="4" t="s">
        <v>537</v>
      </c>
      <c r="E473" s="4" t="s">
        <v>15</v>
      </c>
      <c r="F473" s="4" t="s">
        <v>455</v>
      </c>
      <c r="G473" s="4" t="s">
        <v>16</v>
      </c>
      <c r="H473" s="3">
        <v>0</v>
      </c>
      <c r="I473" s="3">
        <v>110</v>
      </c>
      <c r="J473" s="4" t="s">
        <v>17</v>
      </c>
      <c r="K473" s="3">
        <v>25</v>
      </c>
      <c r="L473" s="4" t="s">
        <v>18</v>
      </c>
      <c r="M473" s="3">
        <v>0</v>
      </c>
      <c r="O473">
        <f>MATCH(ROW(A473),Arr!O:O,FALSE)</f>
        <v>467</v>
      </c>
    </row>
    <row r="474" spans="1:15" x14ac:dyDescent="0.3">
      <c r="A474" s="41">
        <f t="shared" si="7"/>
        <v>473</v>
      </c>
      <c r="B474" s="3">
        <v>810</v>
      </c>
      <c r="C474" s="4" t="s">
        <v>611</v>
      </c>
      <c r="D474" s="4" t="s">
        <v>537</v>
      </c>
      <c r="E474" s="4" t="s">
        <v>15</v>
      </c>
      <c r="F474" s="4" t="s">
        <v>501</v>
      </c>
      <c r="G474" s="4" t="s">
        <v>16</v>
      </c>
      <c r="H474" s="3">
        <v>0</v>
      </c>
      <c r="I474" s="3">
        <v>110</v>
      </c>
      <c r="J474" s="4" t="s">
        <v>17</v>
      </c>
      <c r="K474" s="3">
        <v>25</v>
      </c>
      <c r="L474" s="4" t="s">
        <v>18</v>
      </c>
      <c r="M474" s="3">
        <v>0</v>
      </c>
      <c r="O474">
        <f>MATCH(ROW(A474),Arr!O:O,FALSE)</f>
        <v>468</v>
      </c>
    </row>
    <row r="475" spans="1:15" x14ac:dyDescent="0.3">
      <c r="A475" s="41">
        <f t="shared" si="7"/>
        <v>474</v>
      </c>
      <c r="B475" s="3">
        <v>521</v>
      </c>
      <c r="C475" s="4" t="s">
        <v>575</v>
      </c>
      <c r="D475" s="4" t="s">
        <v>537</v>
      </c>
      <c r="E475" s="4" t="s">
        <v>15</v>
      </c>
      <c r="F475" s="4" t="s">
        <v>196</v>
      </c>
      <c r="G475" s="4" t="s">
        <v>16</v>
      </c>
      <c r="H475" s="3">
        <v>0</v>
      </c>
      <c r="I475" s="3">
        <v>110</v>
      </c>
      <c r="J475" s="4" t="s">
        <v>17</v>
      </c>
      <c r="K475" s="3">
        <v>25</v>
      </c>
      <c r="L475" s="4" t="s">
        <v>18</v>
      </c>
      <c r="M475" s="3">
        <v>0</v>
      </c>
      <c r="O475">
        <f>MATCH(ROW(A475),Arr!O:O,FALSE)</f>
        <v>469</v>
      </c>
    </row>
    <row r="476" spans="1:15" x14ac:dyDescent="0.3">
      <c r="A476" s="41">
        <f t="shared" si="7"/>
        <v>475</v>
      </c>
      <c r="B476" s="3">
        <v>642</v>
      </c>
      <c r="C476" s="4" t="s">
        <v>589</v>
      </c>
      <c r="D476" s="4" t="s">
        <v>537</v>
      </c>
      <c r="E476" s="4" t="s">
        <v>15</v>
      </c>
      <c r="F476" s="4" t="s">
        <v>335</v>
      </c>
      <c r="G476" s="4" t="s">
        <v>16</v>
      </c>
      <c r="H476" s="3">
        <v>0</v>
      </c>
      <c r="I476" s="3">
        <v>110</v>
      </c>
      <c r="J476" s="4" t="s">
        <v>17</v>
      </c>
      <c r="K476" s="3">
        <v>25</v>
      </c>
      <c r="L476" s="4" t="s">
        <v>18</v>
      </c>
      <c r="M476" s="3">
        <v>0</v>
      </c>
      <c r="O476">
        <f>MATCH(ROW(A476),Arr!O:O,FALSE)</f>
        <v>470</v>
      </c>
    </row>
    <row r="477" spans="1:15" x14ac:dyDescent="0.3">
      <c r="A477" s="41">
        <f t="shared" si="7"/>
        <v>476</v>
      </c>
      <c r="B477" s="3">
        <v>725</v>
      </c>
      <c r="C477" s="4" t="s">
        <v>164</v>
      </c>
      <c r="D477" s="4" t="s">
        <v>537</v>
      </c>
      <c r="E477" s="4" t="s">
        <v>15</v>
      </c>
      <c r="F477" s="4" t="s">
        <v>404</v>
      </c>
      <c r="G477" s="4" t="s">
        <v>16</v>
      </c>
      <c r="H477" s="3">
        <v>0</v>
      </c>
      <c r="I477" s="3">
        <v>110</v>
      </c>
      <c r="J477" s="4" t="s">
        <v>17</v>
      </c>
      <c r="K477" s="3">
        <v>25</v>
      </c>
      <c r="L477" s="4" t="s">
        <v>18</v>
      </c>
      <c r="M477" s="3">
        <v>0</v>
      </c>
      <c r="O477">
        <f>MATCH(ROW(A477),Arr!O:O,FALSE)</f>
        <v>471</v>
      </c>
    </row>
    <row r="478" spans="1:15" x14ac:dyDescent="0.3">
      <c r="A478" s="41">
        <f t="shared" si="7"/>
        <v>477</v>
      </c>
      <c r="B478" s="3">
        <v>800</v>
      </c>
      <c r="C478" s="4" t="s">
        <v>203</v>
      </c>
      <c r="D478" s="4" t="s">
        <v>537</v>
      </c>
      <c r="E478" s="4" t="s">
        <v>15</v>
      </c>
      <c r="F478" s="4" t="s">
        <v>464</v>
      </c>
      <c r="G478" s="4" t="s">
        <v>16</v>
      </c>
      <c r="H478" s="3">
        <v>0</v>
      </c>
      <c r="I478" s="3">
        <v>110</v>
      </c>
      <c r="J478" s="4" t="s">
        <v>17</v>
      </c>
      <c r="K478" s="3">
        <v>25</v>
      </c>
      <c r="L478" s="4" t="s">
        <v>18</v>
      </c>
      <c r="M478" s="3">
        <v>0</v>
      </c>
      <c r="O478">
        <f>MATCH(ROW(A478),Arr!O:O,FALSE)</f>
        <v>472</v>
      </c>
    </row>
    <row r="479" spans="1:15" x14ac:dyDescent="0.3">
      <c r="A479" s="41">
        <f t="shared" si="7"/>
        <v>478</v>
      </c>
      <c r="B479" s="3">
        <v>755</v>
      </c>
      <c r="C479" s="4" t="s">
        <v>439</v>
      </c>
      <c r="D479" s="4" t="s">
        <v>537</v>
      </c>
      <c r="E479" s="4" t="s">
        <v>15</v>
      </c>
      <c r="F479" s="4" t="s">
        <v>427</v>
      </c>
      <c r="G479" s="4" t="s">
        <v>16</v>
      </c>
      <c r="H479" s="3">
        <v>0</v>
      </c>
      <c r="I479" s="3">
        <v>110</v>
      </c>
      <c r="J479" s="4" t="s">
        <v>17</v>
      </c>
      <c r="K479" s="3">
        <v>25</v>
      </c>
      <c r="L479" s="4" t="s">
        <v>18</v>
      </c>
      <c r="M479" s="3">
        <v>0</v>
      </c>
      <c r="O479">
        <f>MATCH(ROW(A479),Arr!O:O,FALSE)</f>
        <v>473</v>
      </c>
    </row>
    <row r="480" spans="1:15" x14ac:dyDescent="0.3">
      <c r="A480" s="41">
        <f t="shared" si="7"/>
        <v>479</v>
      </c>
      <c r="B480" s="3">
        <v>584</v>
      </c>
      <c r="C480" s="4" t="s">
        <v>477</v>
      </c>
      <c r="D480" s="4" t="s">
        <v>537</v>
      </c>
      <c r="E480" s="4" t="s">
        <v>15</v>
      </c>
      <c r="F480" s="4" t="s">
        <v>265</v>
      </c>
      <c r="G480" s="4" t="s">
        <v>16</v>
      </c>
      <c r="H480" s="3">
        <v>0</v>
      </c>
      <c r="I480" s="3">
        <v>110</v>
      </c>
      <c r="J480" s="4" t="s">
        <v>17</v>
      </c>
      <c r="K480" s="3">
        <v>25</v>
      </c>
      <c r="L480" s="4" t="s">
        <v>18</v>
      </c>
      <c r="M480" s="3">
        <v>0</v>
      </c>
      <c r="O480">
        <f>MATCH(ROW(A480),Arr!O:O,FALSE)</f>
        <v>474</v>
      </c>
    </row>
    <row r="481" spans="1:15" x14ac:dyDescent="0.3">
      <c r="A481" s="41">
        <f t="shared" si="7"/>
        <v>480</v>
      </c>
      <c r="B481" s="3">
        <v>382</v>
      </c>
      <c r="C481" s="4" t="s">
        <v>482</v>
      </c>
      <c r="D481" s="4" t="s">
        <v>537</v>
      </c>
      <c r="E481" s="4" t="s">
        <v>15</v>
      </c>
      <c r="F481" s="4" t="s">
        <v>14</v>
      </c>
      <c r="G481" s="4" t="s">
        <v>16</v>
      </c>
      <c r="H481" s="3">
        <v>0</v>
      </c>
      <c r="I481" s="3">
        <v>110</v>
      </c>
      <c r="J481" s="4" t="s">
        <v>17</v>
      </c>
      <c r="K481" s="3">
        <v>25</v>
      </c>
      <c r="L481" s="4" t="s">
        <v>18</v>
      </c>
      <c r="M481" s="3">
        <v>0</v>
      </c>
      <c r="O481">
        <f>MATCH(ROW(A481),Arr!O:O,FALSE)</f>
        <v>475</v>
      </c>
    </row>
    <row r="482" spans="1:15" x14ac:dyDescent="0.3">
      <c r="A482" s="41">
        <f t="shared" si="7"/>
        <v>481</v>
      </c>
      <c r="B482" s="3">
        <v>724</v>
      </c>
      <c r="C482" s="4" t="s">
        <v>597</v>
      </c>
      <c r="D482" s="4" t="s">
        <v>537</v>
      </c>
      <c r="E482" s="4" t="s">
        <v>15</v>
      </c>
      <c r="F482" s="4" t="s">
        <v>404</v>
      </c>
      <c r="G482" s="4" t="s">
        <v>16</v>
      </c>
      <c r="H482" s="3">
        <v>0</v>
      </c>
      <c r="I482" s="3">
        <v>110</v>
      </c>
      <c r="J482" s="4" t="s">
        <v>17</v>
      </c>
      <c r="K482" s="3">
        <v>25</v>
      </c>
      <c r="L482" s="4" t="s">
        <v>18</v>
      </c>
      <c r="M482" s="3">
        <v>0</v>
      </c>
      <c r="O482">
        <f>MATCH(ROW(A482),Arr!O:O,FALSE)</f>
        <v>476</v>
      </c>
    </row>
    <row r="483" spans="1:15" x14ac:dyDescent="0.3">
      <c r="A483" s="41">
        <f t="shared" si="7"/>
        <v>482</v>
      </c>
      <c r="B483" s="3">
        <v>640</v>
      </c>
      <c r="C483" s="4" t="s">
        <v>587</v>
      </c>
      <c r="D483" s="4" t="s">
        <v>537</v>
      </c>
      <c r="E483" s="4" t="s">
        <v>15</v>
      </c>
      <c r="F483" s="4" t="s">
        <v>335</v>
      </c>
      <c r="G483" s="4" t="s">
        <v>16</v>
      </c>
      <c r="H483" s="3">
        <v>0</v>
      </c>
      <c r="I483" s="3">
        <v>110</v>
      </c>
      <c r="J483" s="4" t="s">
        <v>17</v>
      </c>
      <c r="K483" s="3">
        <v>25</v>
      </c>
      <c r="L483" s="4" t="s">
        <v>18</v>
      </c>
      <c r="M483" s="3">
        <v>0</v>
      </c>
      <c r="O483">
        <f>MATCH(ROW(A483),Arr!O:O,FALSE)</f>
        <v>477</v>
      </c>
    </row>
    <row r="484" spans="1:15" x14ac:dyDescent="0.3">
      <c r="A484" s="41">
        <f t="shared" si="7"/>
        <v>483</v>
      </c>
      <c r="B484" s="3">
        <v>519</v>
      </c>
      <c r="C484" s="4" t="s">
        <v>556</v>
      </c>
      <c r="D484" s="4" t="s">
        <v>537</v>
      </c>
      <c r="E484" s="4" t="s">
        <v>15</v>
      </c>
      <c r="F484" s="4" t="s">
        <v>196</v>
      </c>
      <c r="G484" s="4" t="s">
        <v>16</v>
      </c>
      <c r="H484" s="3">
        <v>0</v>
      </c>
      <c r="I484" s="3">
        <v>110</v>
      </c>
      <c r="J484" s="4" t="s">
        <v>17</v>
      </c>
      <c r="K484" s="3">
        <v>25</v>
      </c>
      <c r="L484" s="4" t="s">
        <v>18</v>
      </c>
      <c r="M484" s="3">
        <v>0</v>
      </c>
      <c r="O484">
        <f>MATCH(ROW(A484),Arr!O:O,FALSE)</f>
        <v>478</v>
      </c>
    </row>
    <row r="485" spans="1:15" x14ac:dyDescent="0.3">
      <c r="A485" s="41">
        <f t="shared" si="7"/>
        <v>484</v>
      </c>
      <c r="B485" s="3">
        <v>754</v>
      </c>
      <c r="C485" s="4" t="s">
        <v>541</v>
      </c>
      <c r="D485" s="4" t="s">
        <v>537</v>
      </c>
      <c r="E485" s="4" t="s">
        <v>15</v>
      </c>
      <c r="F485" s="4" t="s">
        <v>427</v>
      </c>
      <c r="G485" s="4" t="s">
        <v>16</v>
      </c>
      <c r="H485" s="3">
        <v>0</v>
      </c>
      <c r="I485" s="3">
        <v>110</v>
      </c>
      <c r="J485" s="4" t="s">
        <v>17</v>
      </c>
      <c r="K485" s="3">
        <v>25</v>
      </c>
      <c r="L485" s="4" t="s">
        <v>18</v>
      </c>
      <c r="M485" s="3">
        <v>0</v>
      </c>
      <c r="O485">
        <f>MATCH(ROW(A485),Arr!O:O,FALSE)</f>
        <v>479</v>
      </c>
    </row>
    <row r="486" spans="1:15" x14ac:dyDescent="0.3">
      <c r="A486" s="41">
        <f t="shared" si="7"/>
        <v>485</v>
      </c>
      <c r="B486" s="3">
        <v>427</v>
      </c>
      <c r="C486" s="4" t="s">
        <v>475</v>
      </c>
      <c r="D486" s="4" t="s">
        <v>537</v>
      </c>
      <c r="E486" s="4" t="s">
        <v>15</v>
      </c>
      <c r="F486" s="4" t="s">
        <v>86</v>
      </c>
      <c r="G486" s="4" t="s">
        <v>16</v>
      </c>
      <c r="H486" s="3">
        <v>0</v>
      </c>
      <c r="I486" s="3">
        <v>110</v>
      </c>
      <c r="J486" s="4" t="s">
        <v>17</v>
      </c>
      <c r="K486" s="3">
        <v>25</v>
      </c>
      <c r="L486" s="4" t="s">
        <v>18</v>
      </c>
      <c r="M486" s="3">
        <v>0</v>
      </c>
      <c r="O486">
        <f>MATCH(ROW(A486),Arr!O:O,FALSE)</f>
        <v>480</v>
      </c>
    </row>
    <row r="487" spans="1:15" x14ac:dyDescent="0.3">
      <c r="A487" s="41">
        <f t="shared" si="7"/>
        <v>486</v>
      </c>
      <c r="B487" s="3">
        <v>811</v>
      </c>
      <c r="C487" s="4" t="s">
        <v>552</v>
      </c>
      <c r="D487" s="4" t="s">
        <v>537</v>
      </c>
      <c r="E487" s="4" t="s">
        <v>15</v>
      </c>
      <c r="F487" s="4" t="s">
        <v>501</v>
      </c>
      <c r="G487" s="4" t="s">
        <v>16</v>
      </c>
      <c r="H487" s="3">
        <v>0</v>
      </c>
      <c r="I487" s="3">
        <v>110</v>
      </c>
      <c r="J487" s="4" t="s">
        <v>17</v>
      </c>
      <c r="K487" s="3">
        <v>25</v>
      </c>
      <c r="L487" s="4" t="s">
        <v>18</v>
      </c>
      <c r="M487" s="3">
        <v>0</v>
      </c>
      <c r="O487">
        <f>MATCH(ROW(A487),Arr!O:O,FALSE)</f>
        <v>481</v>
      </c>
    </row>
    <row r="488" spans="1:15" x14ac:dyDescent="0.3">
      <c r="A488" s="41">
        <f t="shared" si="7"/>
        <v>487</v>
      </c>
      <c r="B488" s="3">
        <v>798</v>
      </c>
      <c r="C488" s="4" t="s">
        <v>131</v>
      </c>
      <c r="D488" s="4" t="s">
        <v>537</v>
      </c>
      <c r="E488" s="4" t="s">
        <v>15</v>
      </c>
      <c r="F488" s="4" t="s">
        <v>464</v>
      </c>
      <c r="G488" s="4" t="s">
        <v>16</v>
      </c>
      <c r="H488" s="3">
        <v>0</v>
      </c>
      <c r="I488" s="3">
        <v>110</v>
      </c>
      <c r="J488" s="4" t="s">
        <v>17</v>
      </c>
      <c r="K488" s="3">
        <v>25</v>
      </c>
      <c r="L488" s="4" t="s">
        <v>18</v>
      </c>
      <c r="M488" s="3">
        <v>0</v>
      </c>
      <c r="O488">
        <f>MATCH(ROW(A488),Arr!O:O,FALSE)</f>
        <v>482</v>
      </c>
    </row>
    <row r="489" spans="1:15" x14ac:dyDescent="0.3">
      <c r="A489" s="41">
        <f t="shared" si="7"/>
        <v>488</v>
      </c>
      <c r="B489" s="3">
        <v>726</v>
      </c>
      <c r="C489" s="4" t="s">
        <v>413</v>
      </c>
      <c r="D489" s="4" t="s">
        <v>537</v>
      </c>
      <c r="E489" s="4" t="s">
        <v>15</v>
      </c>
      <c r="F489" s="4" t="s">
        <v>404</v>
      </c>
      <c r="G489" s="4" t="s">
        <v>16</v>
      </c>
      <c r="H489" s="3">
        <v>0</v>
      </c>
      <c r="I489" s="3">
        <v>110</v>
      </c>
      <c r="J489" s="4" t="s">
        <v>17</v>
      </c>
      <c r="K489" s="3">
        <v>25</v>
      </c>
      <c r="L489" s="4" t="s">
        <v>18</v>
      </c>
      <c r="M489" s="3">
        <v>0</v>
      </c>
      <c r="O489">
        <f>MATCH(ROW(A489),Arr!O:O,FALSE)</f>
        <v>483</v>
      </c>
    </row>
    <row r="490" spans="1:15" x14ac:dyDescent="0.3">
      <c r="A490" s="41">
        <f t="shared" si="7"/>
        <v>489</v>
      </c>
      <c r="B490" s="3">
        <v>812</v>
      </c>
      <c r="C490" s="4" t="s">
        <v>362</v>
      </c>
      <c r="D490" s="4" t="s">
        <v>537</v>
      </c>
      <c r="E490" s="4" t="s">
        <v>15</v>
      </c>
      <c r="F490" s="4" t="s">
        <v>501</v>
      </c>
      <c r="G490" s="4" t="s">
        <v>16</v>
      </c>
      <c r="H490" s="3">
        <v>0</v>
      </c>
      <c r="I490" s="3">
        <v>110</v>
      </c>
      <c r="J490" s="4" t="s">
        <v>17</v>
      </c>
      <c r="K490" s="3">
        <v>25</v>
      </c>
      <c r="L490" s="4" t="s">
        <v>18</v>
      </c>
      <c r="M490" s="3">
        <v>0</v>
      </c>
      <c r="O490">
        <f>MATCH(ROW(A490),Arr!O:O,FALSE)</f>
        <v>484</v>
      </c>
    </row>
    <row r="491" spans="1:15" x14ac:dyDescent="0.3">
      <c r="A491" s="41">
        <f t="shared" si="7"/>
        <v>490</v>
      </c>
      <c r="B491" s="3">
        <v>641</v>
      </c>
      <c r="C491" s="4" t="s">
        <v>588</v>
      </c>
      <c r="D491" s="4" t="s">
        <v>537</v>
      </c>
      <c r="E491" s="4" t="s">
        <v>15</v>
      </c>
      <c r="F491" s="4" t="s">
        <v>335</v>
      </c>
      <c r="G491" s="4" t="s">
        <v>16</v>
      </c>
      <c r="H491" s="3">
        <v>0</v>
      </c>
      <c r="I491" s="3">
        <v>110</v>
      </c>
      <c r="J491" s="4" t="s">
        <v>17</v>
      </c>
      <c r="K491" s="3">
        <v>25</v>
      </c>
      <c r="L491" s="4" t="s">
        <v>18</v>
      </c>
      <c r="M491" s="3">
        <v>0</v>
      </c>
      <c r="O491">
        <f>MATCH(ROW(A491),Arr!O:O,FALSE)</f>
        <v>485</v>
      </c>
    </row>
    <row r="492" spans="1:15" x14ac:dyDescent="0.3">
      <c r="A492" s="41">
        <f t="shared" si="7"/>
        <v>491</v>
      </c>
      <c r="B492" s="3">
        <v>522</v>
      </c>
      <c r="C492" s="4" t="s">
        <v>120</v>
      </c>
      <c r="D492" s="4" t="s">
        <v>537</v>
      </c>
      <c r="E492" s="4" t="s">
        <v>15</v>
      </c>
      <c r="F492" s="4" t="s">
        <v>196</v>
      </c>
      <c r="G492" s="4" t="s">
        <v>16</v>
      </c>
      <c r="H492" s="3">
        <v>0</v>
      </c>
      <c r="I492" s="3">
        <v>110</v>
      </c>
      <c r="J492" s="4" t="s">
        <v>17</v>
      </c>
      <c r="K492" s="3">
        <v>25</v>
      </c>
      <c r="L492" s="4" t="s">
        <v>18</v>
      </c>
      <c r="M492" s="3">
        <v>0</v>
      </c>
      <c r="O492">
        <f>MATCH(ROW(A492),Arr!O:O,FALSE)</f>
        <v>499</v>
      </c>
    </row>
    <row r="493" spans="1:15" x14ac:dyDescent="0.3">
      <c r="A493" s="41">
        <f t="shared" si="7"/>
        <v>492</v>
      </c>
      <c r="B493" s="3">
        <v>644</v>
      </c>
      <c r="C493" s="4" t="s">
        <v>553</v>
      </c>
      <c r="D493" s="4" t="s">
        <v>537</v>
      </c>
      <c r="E493" s="4" t="s">
        <v>15</v>
      </c>
      <c r="F493" s="4" t="s">
        <v>335</v>
      </c>
      <c r="G493" s="4" t="s">
        <v>53</v>
      </c>
      <c r="H493" s="3">
        <v>0</v>
      </c>
      <c r="I493" s="3">
        <v>110</v>
      </c>
      <c r="J493" s="4" t="s">
        <v>17</v>
      </c>
      <c r="K493" s="3">
        <v>25</v>
      </c>
      <c r="L493" s="4" t="s">
        <v>18</v>
      </c>
      <c r="M493" s="3">
        <v>0</v>
      </c>
      <c r="O493">
        <f>MATCH(ROW(A493),Arr!O:O,FALSE)</f>
        <v>500</v>
      </c>
    </row>
    <row r="494" spans="1:15" x14ac:dyDescent="0.3">
      <c r="A494" s="41">
        <f t="shared" si="7"/>
        <v>493</v>
      </c>
      <c r="B494" s="3">
        <v>616</v>
      </c>
      <c r="C494" s="4" t="s">
        <v>536</v>
      </c>
      <c r="D494" s="4" t="s">
        <v>537</v>
      </c>
      <c r="E494" s="4" t="s">
        <v>15</v>
      </c>
      <c r="F494" s="4" t="s">
        <v>307</v>
      </c>
      <c r="G494" s="4" t="s">
        <v>53</v>
      </c>
      <c r="H494" s="3">
        <v>0</v>
      </c>
      <c r="I494" s="3">
        <v>110</v>
      </c>
      <c r="J494" s="4" t="s">
        <v>17</v>
      </c>
      <c r="K494" s="3">
        <v>25</v>
      </c>
      <c r="L494" s="4" t="s">
        <v>18</v>
      </c>
      <c r="M494" s="3">
        <v>0</v>
      </c>
      <c r="O494">
        <f>MATCH(ROW(A494),Arr!O:O,FALSE)</f>
        <v>491</v>
      </c>
    </row>
    <row r="495" spans="1:15" x14ac:dyDescent="0.3">
      <c r="A495" s="41">
        <f t="shared" si="7"/>
        <v>494</v>
      </c>
      <c r="B495" s="3">
        <v>618</v>
      </c>
      <c r="C495" s="4" t="s">
        <v>378</v>
      </c>
      <c r="D495" s="4" t="s">
        <v>537</v>
      </c>
      <c r="E495" s="4" t="s">
        <v>15</v>
      </c>
      <c r="F495" s="4" t="s">
        <v>307</v>
      </c>
      <c r="G495" s="4" t="s">
        <v>53</v>
      </c>
      <c r="H495" s="3">
        <v>0</v>
      </c>
      <c r="I495" s="3">
        <v>110</v>
      </c>
      <c r="J495" s="4" t="s">
        <v>17</v>
      </c>
      <c r="K495" s="3">
        <v>25</v>
      </c>
      <c r="L495" s="4" t="s">
        <v>18</v>
      </c>
      <c r="M495" s="3">
        <v>0</v>
      </c>
      <c r="O495">
        <f>MATCH(ROW(A495),Arr!O:O,FALSE)</f>
        <v>492</v>
      </c>
    </row>
    <row r="496" spans="1:15" x14ac:dyDescent="0.3">
      <c r="A496" s="41">
        <f t="shared" si="7"/>
        <v>495</v>
      </c>
      <c r="B496" s="3">
        <v>426</v>
      </c>
      <c r="C496" s="4" t="s">
        <v>178</v>
      </c>
      <c r="D496" s="4" t="s">
        <v>537</v>
      </c>
      <c r="E496" s="4" t="s">
        <v>15</v>
      </c>
      <c r="F496" s="4" t="s">
        <v>84</v>
      </c>
      <c r="G496" s="4" t="s">
        <v>53</v>
      </c>
      <c r="H496" s="3">
        <v>0</v>
      </c>
      <c r="I496" s="3">
        <v>110</v>
      </c>
      <c r="J496" s="4" t="s">
        <v>17</v>
      </c>
      <c r="K496" s="3">
        <v>25</v>
      </c>
      <c r="L496" s="4" t="s">
        <v>18</v>
      </c>
      <c r="M496" s="3">
        <v>0</v>
      </c>
      <c r="O496">
        <f>MATCH(ROW(A496),Arr!O:O,FALSE)</f>
        <v>493</v>
      </c>
    </row>
    <row r="497" spans="1:15" x14ac:dyDescent="0.3">
      <c r="A497" s="41">
        <f t="shared" si="7"/>
        <v>496</v>
      </c>
      <c r="B497" s="3">
        <v>614</v>
      </c>
      <c r="C497" s="4" t="s">
        <v>462</v>
      </c>
      <c r="D497" s="4" t="s">
        <v>537</v>
      </c>
      <c r="E497" s="4" t="s">
        <v>15</v>
      </c>
      <c r="F497" s="4" t="s">
        <v>303</v>
      </c>
      <c r="G497" s="4" t="s">
        <v>53</v>
      </c>
      <c r="H497" s="3">
        <v>0</v>
      </c>
      <c r="I497" s="3">
        <v>110</v>
      </c>
      <c r="J497" s="4" t="s">
        <v>17</v>
      </c>
      <c r="K497" s="3">
        <v>25</v>
      </c>
      <c r="L497" s="4" t="s">
        <v>18</v>
      </c>
      <c r="M497" s="3">
        <v>0</v>
      </c>
      <c r="O497">
        <f>MATCH(ROW(A497),Arr!O:O,FALSE)</f>
        <v>494</v>
      </c>
    </row>
    <row r="498" spans="1:15" x14ac:dyDescent="0.3">
      <c r="A498" s="41">
        <f t="shared" si="7"/>
        <v>497</v>
      </c>
      <c r="B498" s="3">
        <v>645</v>
      </c>
      <c r="C498" s="4" t="s">
        <v>560</v>
      </c>
      <c r="D498" s="4" t="s">
        <v>537</v>
      </c>
      <c r="E498" s="4" t="s">
        <v>15</v>
      </c>
      <c r="F498" s="4" t="s">
        <v>335</v>
      </c>
      <c r="G498" s="4" t="s">
        <v>53</v>
      </c>
      <c r="H498" s="3">
        <v>0</v>
      </c>
      <c r="I498" s="3">
        <v>110</v>
      </c>
      <c r="J498" s="4" t="s">
        <v>17</v>
      </c>
      <c r="K498" s="3">
        <v>25</v>
      </c>
      <c r="L498" s="4" t="s">
        <v>18</v>
      </c>
      <c r="M498" s="3">
        <v>0</v>
      </c>
      <c r="O498">
        <f>MATCH(ROW(A498),Arr!O:O,FALSE)</f>
        <v>495</v>
      </c>
    </row>
    <row r="499" spans="1:15" x14ac:dyDescent="0.3">
      <c r="A499" s="41">
        <f t="shared" si="7"/>
        <v>498</v>
      </c>
      <c r="B499" s="3">
        <v>429</v>
      </c>
      <c r="C499" s="4" t="s">
        <v>396</v>
      </c>
      <c r="D499" s="4" t="s">
        <v>537</v>
      </c>
      <c r="E499" s="4" t="s">
        <v>15</v>
      </c>
      <c r="F499" s="4" t="s">
        <v>86</v>
      </c>
      <c r="G499" s="4" t="s">
        <v>53</v>
      </c>
      <c r="H499" s="3">
        <v>0</v>
      </c>
      <c r="I499" s="3">
        <v>110</v>
      </c>
      <c r="J499" s="4" t="s">
        <v>17</v>
      </c>
      <c r="K499" s="3">
        <v>25</v>
      </c>
      <c r="L499" s="4" t="s">
        <v>18</v>
      </c>
      <c r="M499" s="3">
        <v>0</v>
      </c>
      <c r="O499">
        <f>MATCH(ROW(A499),Arr!O:O,FALSE)</f>
        <v>496</v>
      </c>
    </row>
    <row r="500" spans="1:15" x14ac:dyDescent="0.3">
      <c r="A500" s="41">
        <f t="shared" si="7"/>
        <v>499</v>
      </c>
      <c r="B500" s="3">
        <v>617</v>
      </c>
      <c r="C500" s="4" t="s">
        <v>274</v>
      </c>
      <c r="D500" s="4" t="s">
        <v>537</v>
      </c>
      <c r="E500" s="4" t="s">
        <v>15</v>
      </c>
      <c r="F500" s="4" t="s">
        <v>307</v>
      </c>
      <c r="G500" s="4" t="s">
        <v>53</v>
      </c>
      <c r="H500" s="3">
        <v>0</v>
      </c>
      <c r="I500" s="3">
        <v>110</v>
      </c>
      <c r="J500" s="4" t="s">
        <v>17</v>
      </c>
      <c r="K500" s="3">
        <v>25</v>
      </c>
      <c r="L500" s="4" t="s">
        <v>18</v>
      </c>
      <c r="M500" s="3">
        <v>0</v>
      </c>
      <c r="O500">
        <f>MATCH(ROW(A500),Arr!O:O,FALSE)</f>
        <v>497</v>
      </c>
    </row>
    <row r="501" spans="1:15" x14ac:dyDescent="0.3">
      <c r="A501" s="41">
        <f t="shared" si="7"/>
        <v>500</v>
      </c>
      <c r="B501" s="3">
        <v>788</v>
      </c>
      <c r="C501" s="4" t="s">
        <v>272</v>
      </c>
      <c r="D501" s="4" t="s">
        <v>537</v>
      </c>
      <c r="E501" s="4" t="s">
        <v>15</v>
      </c>
      <c r="F501" s="4" t="s">
        <v>455</v>
      </c>
      <c r="G501" s="4" t="s">
        <v>53</v>
      </c>
      <c r="H501" s="3">
        <v>0</v>
      </c>
      <c r="I501" s="3">
        <v>110</v>
      </c>
      <c r="J501" s="4" t="s">
        <v>17</v>
      </c>
      <c r="K501" s="3">
        <v>25</v>
      </c>
      <c r="L501" s="4" t="s">
        <v>18</v>
      </c>
      <c r="M501" s="3">
        <v>0</v>
      </c>
      <c r="O501">
        <f>MATCH(ROW(A501),Arr!O:O,FALSE)</f>
        <v>498</v>
      </c>
    </row>
    <row r="502" spans="1:15" x14ac:dyDescent="0.3">
      <c r="A502" s="41">
        <f t="shared" si="7"/>
        <v>501</v>
      </c>
      <c r="B502" s="3">
        <v>646</v>
      </c>
      <c r="C502" s="4" t="s">
        <v>590</v>
      </c>
      <c r="D502" s="4" t="s">
        <v>537</v>
      </c>
      <c r="E502" s="4" t="s">
        <v>15</v>
      </c>
      <c r="F502" s="4" t="s">
        <v>335</v>
      </c>
      <c r="G502" s="4" t="s">
        <v>53</v>
      </c>
      <c r="H502" s="3">
        <v>0</v>
      </c>
      <c r="I502" s="3">
        <v>110</v>
      </c>
      <c r="J502" s="4" t="s">
        <v>17</v>
      </c>
      <c r="K502" s="3">
        <v>25</v>
      </c>
      <c r="L502" s="4" t="s">
        <v>18</v>
      </c>
      <c r="M502" s="3">
        <v>0</v>
      </c>
      <c r="O502" t="e">
        <f>MATCH(ROW(A502),Arr!O:O,FALSE)</f>
        <v>#N/A</v>
      </c>
    </row>
  </sheetData>
  <autoFilter ref="A1:M1" xr:uid="{00000000-0009-0000-0000-000001000000}">
    <sortState xmlns:xlrd2="http://schemas.microsoft.com/office/spreadsheetml/2017/richdata2" ref="A2:M502">
      <sortCondition ref="L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6"/>
  <sheetViews>
    <sheetView topLeftCell="A200" workbookViewId="0">
      <selection activeCell="F17" sqref="F17"/>
    </sheetView>
  </sheetViews>
  <sheetFormatPr defaultRowHeight="14.4" x14ac:dyDescent="0.3"/>
  <cols>
    <col min="1" max="3" width="13" customWidth="1"/>
  </cols>
  <sheetData>
    <row r="1" spans="1:3" x14ac:dyDescent="0.3">
      <c r="A1" s="5" t="s">
        <v>671</v>
      </c>
      <c r="B1" s="5" t="s">
        <v>672</v>
      </c>
      <c r="C1" s="5" t="s">
        <v>925</v>
      </c>
    </row>
    <row r="2" spans="1:3" x14ac:dyDescent="0.3">
      <c r="A2" s="6" t="s">
        <v>801</v>
      </c>
      <c r="B2" s="6" t="s">
        <v>802</v>
      </c>
      <c r="C2" s="6" t="s">
        <v>803</v>
      </c>
    </row>
    <row r="3" spans="1:3" x14ac:dyDescent="0.3">
      <c r="A3" s="6" t="s">
        <v>804</v>
      </c>
      <c r="B3" s="6" t="s">
        <v>802</v>
      </c>
      <c r="C3" s="6" t="s">
        <v>803</v>
      </c>
    </row>
    <row r="4" spans="1:3" x14ac:dyDescent="0.3">
      <c r="A4" s="6" t="s">
        <v>805</v>
      </c>
      <c r="B4" s="6" t="s">
        <v>802</v>
      </c>
      <c r="C4" s="6" t="s">
        <v>803</v>
      </c>
    </row>
    <row r="5" spans="1:3" x14ac:dyDescent="0.3">
      <c r="A5" s="6" t="s">
        <v>843</v>
      </c>
      <c r="B5" s="6" t="s">
        <v>844</v>
      </c>
      <c r="C5" s="6" t="s">
        <v>803</v>
      </c>
    </row>
    <row r="6" spans="1:3" x14ac:dyDescent="0.3">
      <c r="A6" s="6" t="s">
        <v>845</v>
      </c>
      <c r="B6" s="6" t="s">
        <v>844</v>
      </c>
      <c r="C6" s="6" t="s">
        <v>803</v>
      </c>
    </row>
    <row r="7" spans="1:3" x14ac:dyDescent="0.3">
      <c r="A7" s="6" t="s">
        <v>862</v>
      </c>
      <c r="B7" s="6" t="s">
        <v>844</v>
      </c>
      <c r="C7" s="6" t="s">
        <v>803</v>
      </c>
    </row>
    <row r="8" spans="1:3" x14ac:dyDescent="0.3">
      <c r="A8" s="6" t="s">
        <v>900</v>
      </c>
      <c r="B8" s="6" t="s">
        <v>901</v>
      </c>
      <c r="C8" s="6" t="s">
        <v>803</v>
      </c>
    </row>
    <row r="9" spans="1:3" x14ac:dyDescent="0.3">
      <c r="A9" s="6" t="s">
        <v>902</v>
      </c>
      <c r="B9" s="6" t="s">
        <v>901</v>
      </c>
      <c r="C9" s="6" t="s">
        <v>803</v>
      </c>
    </row>
    <row r="10" spans="1:3" x14ac:dyDescent="0.3">
      <c r="A10" s="6" t="s">
        <v>903</v>
      </c>
      <c r="B10" s="6" t="s">
        <v>904</v>
      </c>
      <c r="C10" s="6" t="s">
        <v>803</v>
      </c>
    </row>
    <row r="11" spans="1:3" x14ac:dyDescent="0.3">
      <c r="A11" s="6" t="s">
        <v>905</v>
      </c>
      <c r="B11" s="6" t="s">
        <v>901</v>
      </c>
      <c r="C11" s="6" t="s">
        <v>803</v>
      </c>
    </row>
    <row r="12" spans="1:3" x14ac:dyDescent="0.3">
      <c r="A12" s="6" t="s">
        <v>907</v>
      </c>
      <c r="B12" s="6" t="s">
        <v>901</v>
      </c>
      <c r="C12" s="6" t="s">
        <v>803</v>
      </c>
    </row>
    <row r="13" spans="1:3" x14ac:dyDescent="0.3">
      <c r="A13" s="6" t="s">
        <v>908</v>
      </c>
      <c r="B13" s="6" t="s">
        <v>901</v>
      </c>
      <c r="C13" s="6" t="s">
        <v>803</v>
      </c>
    </row>
    <row r="14" spans="1:3" x14ac:dyDescent="0.3">
      <c r="A14" s="6" t="s">
        <v>763</v>
      </c>
      <c r="B14" s="6" t="s">
        <v>764</v>
      </c>
      <c r="C14" s="6" t="s">
        <v>765</v>
      </c>
    </row>
    <row r="15" spans="1:3" x14ac:dyDescent="0.3">
      <c r="A15" s="6" t="s">
        <v>773</v>
      </c>
      <c r="B15" s="6" t="s">
        <v>774</v>
      </c>
      <c r="C15" s="6" t="s">
        <v>765</v>
      </c>
    </row>
    <row r="16" spans="1:3" x14ac:dyDescent="0.3">
      <c r="A16" s="6" t="s">
        <v>783</v>
      </c>
      <c r="B16" s="6" t="s">
        <v>784</v>
      </c>
      <c r="C16" s="6" t="s">
        <v>765</v>
      </c>
    </row>
    <row r="17" spans="1:3" x14ac:dyDescent="0.3">
      <c r="A17" s="6" t="s">
        <v>785</v>
      </c>
      <c r="B17" s="6" t="s">
        <v>784</v>
      </c>
      <c r="C17" s="6" t="s">
        <v>765</v>
      </c>
    </row>
    <row r="18" spans="1:3" x14ac:dyDescent="0.3">
      <c r="A18" s="6" t="s">
        <v>788</v>
      </c>
      <c r="B18" s="6" t="s">
        <v>789</v>
      </c>
      <c r="C18" s="6" t="s">
        <v>765</v>
      </c>
    </row>
    <row r="19" spans="1:3" x14ac:dyDescent="0.3">
      <c r="A19" s="6" t="s">
        <v>792</v>
      </c>
      <c r="B19" s="6" t="s">
        <v>774</v>
      </c>
      <c r="C19" s="6" t="s">
        <v>765</v>
      </c>
    </row>
    <row r="20" spans="1:3" x14ac:dyDescent="0.3">
      <c r="A20" s="6" t="s">
        <v>793</v>
      </c>
      <c r="B20" s="6" t="s">
        <v>774</v>
      </c>
      <c r="C20" s="6" t="s">
        <v>765</v>
      </c>
    </row>
    <row r="21" spans="1:3" x14ac:dyDescent="0.3">
      <c r="A21" s="6" t="s">
        <v>794</v>
      </c>
      <c r="B21" s="6" t="s">
        <v>774</v>
      </c>
      <c r="C21" s="6" t="s">
        <v>765</v>
      </c>
    </row>
    <row r="22" spans="1:3" x14ac:dyDescent="0.3">
      <c r="A22" s="6" t="s">
        <v>795</v>
      </c>
      <c r="B22" s="6" t="s">
        <v>774</v>
      </c>
      <c r="C22" s="6" t="s">
        <v>765</v>
      </c>
    </row>
    <row r="23" spans="1:3" x14ac:dyDescent="0.3">
      <c r="A23" s="6" t="s">
        <v>796</v>
      </c>
      <c r="B23" s="6" t="s">
        <v>774</v>
      </c>
      <c r="C23" s="6" t="s">
        <v>765</v>
      </c>
    </row>
    <row r="24" spans="1:3" x14ac:dyDescent="0.3">
      <c r="A24" s="6" t="s">
        <v>797</v>
      </c>
      <c r="B24" s="6" t="s">
        <v>774</v>
      </c>
      <c r="C24" s="6" t="s">
        <v>765</v>
      </c>
    </row>
    <row r="25" spans="1:3" x14ac:dyDescent="0.3">
      <c r="A25" s="6" t="s">
        <v>798</v>
      </c>
      <c r="B25" s="6" t="s">
        <v>774</v>
      </c>
      <c r="C25" s="6" t="s">
        <v>765</v>
      </c>
    </row>
    <row r="26" spans="1:3" x14ac:dyDescent="0.3">
      <c r="A26" s="6" t="s">
        <v>799</v>
      </c>
      <c r="B26" s="6" t="s">
        <v>774</v>
      </c>
      <c r="C26" s="6" t="s">
        <v>765</v>
      </c>
    </row>
    <row r="27" spans="1:3" x14ac:dyDescent="0.3">
      <c r="A27" s="6" t="s">
        <v>800</v>
      </c>
      <c r="B27" s="6" t="s">
        <v>774</v>
      </c>
      <c r="C27" s="6" t="s">
        <v>765</v>
      </c>
    </row>
    <row r="28" spans="1:3" x14ac:dyDescent="0.3">
      <c r="A28" s="6" t="s">
        <v>811</v>
      </c>
      <c r="B28" s="6" t="s">
        <v>774</v>
      </c>
      <c r="C28" s="6" t="s">
        <v>765</v>
      </c>
    </row>
    <row r="29" spans="1:3" x14ac:dyDescent="0.3">
      <c r="A29" s="6" t="s">
        <v>812</v>
      </c>
      <c r="B29" s="6" t="s">
        <v>774</v>
      </c>
      <c r="C29" s="6" t="s">
        <v>765</v>
      </c>
    </row>
    <row r="30" spans="1:3" x14ac:dyDescent="0.3">
      <c r="A30" s="6" t="s">
        <v>813</v>
      </c>
      <c r="B30" s="6" t="s">
        <v>774</v>
      </c>
      <c r="C30" s="6" t="s">
        <v>765</v>
      </c>
    </row>
    <row r="31" spans="1:3" x14ac:dyDescent="0.3">
      <c r="A31" s="6" t="s">
        <v>814</v>
      </c>
      <c r="B31" s="6" t="s">
        <v>774</v>
      </c>
      <c r="C31" s="6" t="s">
        <v>765</v>
      </c>
    </row>
    <row r="32" spans="1:3" x14ac:dyDescent="0.3">
      <c r="A32" s="6" t="s">
        <v>815</v>
      </c>
      <c r="B32" s="6" t="s">
        <v>774</v>
      </c>
      <c r="C32" s="6" t="s">
        <v>765</v>
      </c>
    </row>
    <row r="33" spans="1:3" x14ac:dyDescent="0.3">
      <c r="A33" s="6" t="s">
        <v>822</v>
      </c>
      <c r="B33" s="6" t="s">
        <v>784</v>
      </c>
      <c r="C33" s="6" t="s">
        <v>765</v>
      </c>
    </row>
    <row r="34" spans="1:3" x14ac:dyDescent="0.3">
      <c r="A34" s="6" t="s">
        <v>823</v>
      </c>
      <c r="B34" s="6" t="s">
        <v>784</v>
      </c>
      <c r="C34" s="6" t="s">
        <v>765</v>
      </c>
    </row>
    <row r="35" spans="1:3" x14ac:dyDescent="0.3">
      <c r="A35" s="6" t="s">
        <v>839</v>
      </c>
      <c r="B35" s="6" t="s">
        <v>784</v>
      </c>
      <c r="C35" s="6" t="s">
        <v>765</v>
      </c>
    </row>
    <row r="36" spans="1:3" x14ac:dyDescent="0.3">
      <c r="A36" s="6" t="s">
        <v>840</v>
      </c>
      <c r="B36" s="6" t="s">
        <v>784</v>
      </c>
      <c r="C36" s="6" t="s">
        <v>765</v>
      </c>
    </row>
    <row r="37" spans="1:3" x14ac:dyDescent="0.3">
      <c r="A37" s="6" t="s">
        <v>483</v>
      </c>
      <c r="B37" s="6" t="s">
        <v>784</v>
      </c>
      <c r="C37" s="6" t="s">
        <v>765</v>
      </c>
    </row>
    <row r="38" spans="1:3" x14ac:dyDescent="0.3">
      <c r="A38" s="6" t="s">
        <v>21</v>
      </c>
      <c r="B38" s="6" t="s">
        <v>784</v>
      </c>
      <c r="C38" s="6" t="s">
        <v>765</v>
      </c>
    </row>
    <row r="39" spans="1:3" x14ac:dyDescent="0.3">
      <c r="A39" s="6" t="s">
        <v>846</v>
      </c>
      <c r="B39" s="6" t="s">
        <v>774</v>
      </c>
      <c r="C39" s="6" t="s">
        <v>765</v>
      </c>
    </row>
    <row r="40" spans="1:3" x14ac:dyDescent="0.3">
      <c r="A40" s="6" t="s">
        <v>197</v>
      </c>
      <c r="B40" s="6" t="s">
        <v>789</v>
      </c>
      <c r="C40" s="6" t="s">
        <v>765</v>
      </c>
    </row>
    <row r="41" spans="1:3" x14ac:dyDescent="0.3">
      <c r="A41" s="6" t="s">
        <v>850</v>
      </c>
      <c r="B41" s="6" t="s">
        <v>774</v>
      </c>
      <c r="C41" s="6" t="s">
        <v>765</v>
      </c>
    </row>
    <row r="42" spans="1:3" x14ac:dyDescent="0.3">
      <c r="A42" s="6" t="s">
        <v>851</v>
      </c>
      <c r="B42" s="6" t="s">
        <v>807</v>
      </c>
      <c r="C42" s="6" t="s">
        <v>765</v>
      </c>
    </row>
    <row r="43" spans="1:3" x14ac:dyDescent="0.3">
      <c r="A43" s="6" t="s">
        <v>853</v>
      </c>
      <c r="B43" s="6" t="s">
        <v>807</v>
      </c>
      <c r="C43" s="6" t="s">
        <v>765</v>
      </c>
    </row>
    <row r="44" spans="1:3" x14ac:dyDescent="0.3">
      <c r="A44" s="6" t="s">
        <v>861</v>
      </c>
      <c r="B44" s="6" t="s">
        <v>784</v>
      </c>
      <c r="C44" s="6" t="s">
        <v>765</v>
      </c>
    </row>
    <row r="45" spans="1:3" x14ac:dyDescent="0.3">
      <c r="A45" s="6" t="s">
        <v>863</v>
      </c>
      <c r="B45" s="6" t="s">
        <v>774</v>
      </c>
      <c r="C45" s="6" t="s">
        <v>765</v>
      </c>
    </row>
    <row r="46" spans="1:3" x14ac:dyDescent="0.3">
      <c r="A46" s="6" t="s">
        <v>864</v>
      </c>
      <c r="B46" s="6" t="s">
        <v>784</v>
      </c>
      <c r="C46" s="6" t="s">
        <v>765</v>
      </c>
    </row>
    <row r="47" spans="1:3" x14ac:dyDescent="0.3">
      <c r="A47" s="6" t="s">
        <v>876</v>
      </c>
      <c r="B47" s="6" t="s">
        <v>774</v>
      </c>
      <c r="C47" s="6" t="s">
        <v>765</v>
      </c>
    </row>
    <row r="48" spans="1:3" x14ac:dyDescent="0.3">
      <c r="A48" s="6" t="s">
        <v>877</v>
      </c>
      <c r="B48" s="6" t="s">
        <v>774</v>
      </c>
      <c r="C48" s="6" t="s">
        <v>765</v>
      </c>
    </row>
    <row r="49" spans="1:3" x14ac:dyDescent="0.3">
      <c r="A49" s="6" t="s">
        <v>878</v>
      </c>
      <c r="B49" s="6" t="s">
        <v>789</v>
      </c>
      <c r="C49" s="6" t="s">
        <v>765</v>
      </c>
    </row>
    <row r="50" spans="1:3" x14ac:dyDescent="0.3">
      <c r="A50" s="6" t="s">
        <v>879</v>
      </c>
      <c r="B50" s="6" t="s">
        <v>789</v>
      </c>
      <c r="C50" s="6" t="s">
        <v>765</v>
      </c>
    </row>
    <row r="51" spans="1:3" x14ac:dyDescent="0.3">
      <c r="A51" s="6" t="s">
        <v>884</v>
      </c>
      <c r="B51" s="6" t="s">
        <v>774</v>
      </c>
      <c r="C51" s="6" t="s">
        <v>765</v>
      </c>
    </row>
    <row r="52" spans="1:3" x14ac:dyDescent="0.3">
      <c r="A52" s="6" t="s">
        <v>887</v>
      </c>
      <c r="B52" s="6" t="s">
        <v>784</v>
      </c>
      <c r="C52" s="6" t="s">
        <v>765</v>
      </c>
    </row>
    <row r="53" spans="1:3" x14ac:dyDescent="0.3">
      <c r="A53" s="6" t="s">
        <v>899</v>
      </c>
      <c r="B53" s="6" t="s">
        <v>774</v>
      </c>
      <c r="C53" s="6" t="s">
        <v>765</v>
      </c>
    </row>
    <row r="54" spans="1:3" x14ac:dyDescent="0.3">
      <c r="A54" s="6" t="s">
        <v>909</v>
      </c>
      <c r="B54" s="6" t="s">
        <v>789</v>
      </c>
      <c r="C54" s="6" t="s">
        <v>765</v>
      </c>
    </row>
    <row r="55" spans="1:3" x14ac:dyDescent="0.3">
      <c r="A55" s="6" t="s">
        <v>910</v>
      </c>
      <c r="B55" s="6" t="s">
        <v>774</v>
      </c>
      <c r="C55" s="6" t="s">
        <v>765</v>
      </c>
    </row>
    <row r="56" spans="1:3" x14ac:dyDescent="0.3">
      <c r="A56" s="6" t="s">
        <v>911</v>
      </c>
      <c r="B56" s="6" t="s">
        <v>774</v>
      </c>
      <c r="C56" s="6" t="s">
        <v>765</v>
      </c>
    </row>
    <row r="57" spans="1:3" x14ac:dyDescent="0.3">
      <c r="A57" s="6" t="s">
        <v>912</v>
      </c>
      <c r="B57" s="6" t="s">
        <v>774</v>
      </c>
      <c r="C57" s="6" t="s">
        <v>765</v>
      </c>
    </row>
    <row r="58" spans="1:3" x14ac:dyDescent="0.3">
      <c r="A58" s="6" t="s">
        <v>913</v>
      </c>
      <c r="B58" s="6" t="s">
        <v>774</v>
      </c>
      <c r="C58" s="6" t="s">
        <v>765</v>
      </c>
    </row>
    <row r="59" spans="1:3" x14ac:dyDescent="0.3">
      <c r="A59" s="6" t="s">
        <v>917</v>
      </c>
      <c r="B59" s="6" t="s">
        <v>784</v>
      </c>
      <c r="C59" s="6" t="s">
        <v>765</v>
      </c>
    </row>
    <row r="60" spans="1:3" x14ac:dyDescent="0.3">
      <c r="A60" s="6" t="s">
        <v>919</v>
      </c>
      <c r="B60" s="6" t="s">
        <v>784</v>
      </c>
      <c r="C60" s="6" t="s">
        <v>765</v>
      </c>
    </row>
    <row r="61" spans="1:3" x14ac:dyDescent="0.3">
      <c r="A61" s="6" t="s">
        <v>920</v>
      </c>
      <c r="B61" s="6" t="s">
        <v>774</v>
      </c>
      <c r="C61" s="6" t="s">
        <v>765</v>
      </c>
    </row>
    <row r="62" spans="1:3" x14ac:dyDescent="0.3">
      <c r="A62" s="6" t="s">
        <v>673</v>
      </c>
      <c r="B62" s="6" t="s">
        <v>674</v>
      </c>
      <c r="C62" s="6" t="s">
        <v>675</v>
      </c>
    </row>
    <row r="63" spans="1:3" x14ac:dyDescent="0.3">
      <c r="A63" s="6" t="s">
        <v>676</v>
      </c>
      <c r="B63" s="6" t="s">
        <v>677</v>
      </c>
      <c r="C63" s="6" t="s">
        <v>675</v>
      </c>
    </row>
    <row r="64" spans="1:3" x14ac:dyDescent="0.3">
      <c r="A64" s="6" t="s">
        <v>678</v>
      </c>
      <c r="B64" s="6" t="s">
        <v>677</v>
      </c>
      <c r="C64" s="6" t="s">
        <v>675</v>
      </c>
    </row>
    <row r="65" spans="1:3" x14ac:dyDescent="0.3">
      <c r="A65" s="6" t="s">
        <v>679</v>
      </c>
      <c r="B65" s="6" t="s">
        <v>677</v>
      </c>
      <c r="C65" s="6" t="s">
        <v>675</v>
      </c>
    </row>
    <row r="66" spans="1:3" x14ac:dyDescent="0.3">
      <c r="A66" s="6" t="s">
        <v>680</v>
      </c>
      <c r="B66" s="6" t="s">
        <v>677</v>
      </c>
      <c r="C66" s="6" t="s">
        <v>675</v>
      </c>
    </row>
    <row r="67" spans="1:3" x14ac:dyDescent="0.3">
      <c r="A67" s="6" t="s">
        <v>681</v>
      </c>
      <c r="B67" s="6" t="s">
        <v>677</v>
      </c>
      <c r="C67" s="6" t="s">
        <v>675</v>
      </c>
    </row>
    <row r="68" spans="1:3" x14ac:dyDescent="0.3">
      <c r="A68" s="6" t="s">
        <v>135</v>
      </c>
      <c r="B68" s="6" t="s">
        <v>687</v>
      </c>
      <c r="C68" s="6" t="s">
        <v>675</v>
      </c>
    </row>
    <row r="69" spans="1:3" x14ac:dyDescent="0.3">
      <c r="A69" s="6" t="s">
        <v>40</v>
      </c>
      <c r="B69" s="6" t="s">
        <v>687</v>
      </c>
      <c r="C69" s="6" t="s">
        <v>675</v>
      </c>
    </row>
    <row r="70" spans="1:3" x14ac:dyDescent="0.3">
      <c r="A70" s="6" t="s">
        <v>245</v>
      </c>
      <c r="B70" s="6" t="s">
        <v>688</v>
      </c>
      <c r="C70" s="6" t="s">
        <v>675</v>
      </c>
    </row>
    <row r="71" spans="1:3" x14ac:dyDescent="0.3">
      <c r="A71" s="6" t="s">
        <v>111</v>
      </c>
      <c r="B71" s="6" t="s">
        <v>689</v>
      </c>
      <c r="C71" s="6" t="s">
        <v>675</v>
      </c>
    </row>
    <row r="72" spans="1:3" x14ac:dyDescent="0.3">
      <c r="A72" s="6" t="s">
        <v>690</v>
      </c>
      <c r="B72" s="6" t="s">
        <v>688</v>
      </c>
      <c r="C72" s="6" t="s">
        <v>675</v>
      </c>
    </row>
    <row r="73" spans="1:3" x14ac:dyDescent="0.3">
      <c r="A73" s="6" t="s">
        <v>705</v>
      </c>
      <c r="B73" s="6" t="s">
        <v>705</v>
      </c>
      <c r="C73" s="6" t="s">
        <v>675</v>
      </c>
    </row>
    <row r="74" spans="1:3" x14ac:dyDescent="0.3">
      <c r="A74" s="6" t="s">
        <v>706</v>
      </c>
      <c r="B74" s="6" t="s">
        <v>705</v>
      </c>
      <c r="C74" s="6" t="s">
        <v>675</v>
      </c>
    </row>
    <row r="75" spans="1:3" x14ac:dyDescent="0.3">
      <c r="A75" s="6" t="s">
        <v>707</v>
      </c>
      <c r="B75" s="6" t="s">
        <v>708</v>
      </c>
      <c r="C75" s="6" t="s">
        <v>675</v>
      </c>
    </row>
    <row r="76" spans="1:3" x14ac:dyDescent="0.3">
      <c r="A76" s="6" t="s">
        <v>709</v>
      </c>
      <c r="B76" s="6" t="s">
        <v>710</v>
      </c>
      <c r="C76" s="6" t="s">
        <v>675</v>
      </c>
    </row>
    <row r="77" spans="1:3" x14ac:dyDescent="0.3">
      <c r="A77" s="6" t="s">
        <v>711</v>
      </c>
      <c r="B77" s="6" t="s">
        <v>710</v>
      </c>
      <c r="C77" s="6" t="s">
        <v>675</v>
      </c>
    </row>
    <row r="78" spans="1:3" x14ac:dyDescent="0.3">
      <c r="A78" s="6" t="s">
        <v>712</v>
      </c>
      <c r="B78" s="6" t="s">
        <v>710</v>
      </c>
      <c r="C78" s="6" t="s">
        <v>675</v>
      </c>
    </row>
    <row r="79" spans="1:3" x14ac:dyDescent="0.3">
      <c r="A79" s="6" t="s">
        <v>713</v>
      </c>
      <c r="B79" s="6" t="s">
        <v>710</v>
      </c>
      <c r="C79" s="6" t="s">
        <v>675</v>
      </c>
    </row>
    <row r="80" spans="1:3" x14ac:dyDescent="0.3">
      <c r="A80" s="6" t="s">
        <v>714</v>
      </c>
      <c r="B80" s="6" t="s">
        <v>710</v>
      </c>
      <c r="C80" s="6" t="s">
        <v>675</v>
      </c>
    </row>
    <row r="81" spans="1:3" x14ac:dyDescent="0.3">
      <c r="A81" s="6" t="s">
        <v>715</v>
      </c>
      <c r="B81" s="6" t="s">
        <v>710</v>
      </c>
      <c r="C81" s="6" t="s">
        <v>675</v>
      </c>
    </row>
    <row r="82" spans="1:3" x14ac:dyDescent="0.3">
      <c r="A82" s="6" t="s">
        <v>716</v>
      </c>
      <c r="B82" s="6" t="s">
        <v>710</v>
      </c>
      <c r="C82" s="6" t="s">
        <v>675</v>
      </c>
    </row>
    <row r="83" spans="1:3" x14ac:dyDescent="0.3">
      <c r="A83" s="6" t="s">
        <v>717</v>
      </c>
      <c r="B83" s="6" t="s">
        <v>718</v>
      </c>
      <c r="C83" s="6" t="s">
        <v>675</v>
      </c>
    </row>
    <row r="84" spans="1:3" x14ac:dyDescent="0.3">
      <c r="A84" s="6" t="s">
        <v>16</v>
      </c>
      <c r="B84" s="6" t="s">
        <v>719</v>
      </c>
      <c r="C84" s="6" t="s">
        <v>675</v>
      </c>
    </row>
    <row r="85" spans="1:3" x14ac:dyDescent="0.3">
      <c r="A85" s="6" t="s">
        <v>45</v>
      </c>
      <c r="B85" s="6" t="s">
        <v>720</v>
      </c>
      <c r="C85" s="6" t="s">
        <v>675</v>
      </c>
    </row>
    <row r="86" spans="1:3" x14ac:dyDescent="0.3">
      <c r="A86" s="6" t="s">
        <v>126</v>
      </c>
      <c r="B86" s="6" t="s">
        <v>721</v>
      </c>
      <c r="C86" s="6" t="s">
        <v>675</v>
      </c>
    </row>
    <row r="87" spans="1:3" x14ac:dyDescent="0.3">
      <c r="A87" s="6" t="s">
        <v>722</v>
      </c>
      <c r="B87" s="6" t="s">
        <v>721</v>
      </c>
      <c r="C87" s="6" t="s">
        <v>675</v>
      </c>
    </row>
    <row r="88" spans="1:3" x14ac:dyDescent="0.3">
      <c r="A88" s="6" t="s">
        <v>718</v>
      </c>
      <c r="B88" s="6" t="s">
        <v>723</v>
      </c>
      <c r="C88" s="6" t="s">
        <v>675</v>
      </c>
    </row>
    <row r="89" spans="1:3" x14ac:dyDescent="0.3">
      <c r="A89" s="6" t="s">
        <v>70</v>
      </c>
      <c r="B89" s="6" t="s">
        <v>724</v>
      </c>
      <c r="C89" s="6" t="s">
        <v>675</v>
      </c>
    </row>
    <row r="90" spans="1:3" x14ac:dyDescent="0.3">
      <c r="A90" s="6" t="s">
        <v>43</v>
      </c>
      <c r="B90" s="6" t="s">
        <v>724</v>
      </c>
      <c r="C90" s="6" t="s">
        <v>675</v>
      </c>
    </row>
    <row r="91" spans="1:3" x14ac:dyDescent="0.3">
      <c r="A91" s="6" t="s">
        <v>725</v>
      </c>
      <c r="B91" s="6" t="s">
        <v>723</v>
      </c>
      <c r="C91" s="6" t="s">
        <v>675</v>
      </c>
    </row>
    <row r="92" spans="1:3" x14ac:dyDescent="0.3">
      <c r="A92" s="6" t="s">
        <v>193</v>
      </c>
      <c r="B92" s="6" t="s">
        <v>723</v>
      </c>
      <c r="C92" s="6" t="s">
        <v>675</v>
      </c>
    </row>
    <row r="93" spans="1:3" x14ac:dyDescent="0.3">
      <c r="A93" s="6" t="s">
        <v>53</v>
      </c>
      <c r="B93" s="6" t="s">
        <v>723</v>
      </c>
      <c r="C93" s="6" t="s">
        <v>675</v>
      </c>
    </row>
    <row r="94" spans="1:3" x14ac:dyDescent="0.3">
      <c r="A94" s="6" t="s">
        <v>726</v>
      </c>
      <c r="B94" s="6" t="s">
        <v>724</v>
      </c>
      <c r="C94" s="6" t="s">
        <v>675</v>
      </c>
    </row>
    <row r="95" spans="1:3" x14ac:dyDescent="0.3">
      <c r="A95" s="6" t="s">
        <v>727</v>
      </c>
      <c r="B95" s="6" t="s">
        <v>723</v>
      </c>
      <c r="C95" s="6" t="s">
        <v>675</v>
      </c>
    </row>
    <row r="96" spans="1:3" x14ac:dyDescent="0.3">
      <c r="A96" s="6" t="s">
        <v>728</v>
      </c>
      <c r="B96" s="6" t="s">
        <v>723</v>
      </c>
      <c r="C96" s="6" t="s">
        <v>675</v>
      </c>
    </row>
    <row r="97" spans="1:3" x14ac:dyDescent="0.3">
      <c r="A97" s="6" t="s">
        <v>729</v>
      </c>
      <c r="B97" s="6" t="s">
        <v>723</v>
      </c>
      <c r="C97" s="6" t="s">
        <v>675</v>
      </c>
    </row>
    <row r="98" spans="1:3" x14ac:dyDescent="0.3">
      <c r="A98" s="6" t="s">
        <v>730</v>
      </c>
      <c r="B98" s="6" t="s">
        <v>718</v>
      </c>
      <c r="C98" s="6" t="s">
        <v>675</v>
      </c>
    </row>
    <row r="99" spans="1:3" x14ac:dyDescent="0.3">
      <c r="A99" s="6" t="s">
        <v>731</v>
      </c>
      <c r="B99" s="6" t="s">
        <v>719</v>
      </c>
      <c r="C99" s="6" t="s">
        <v>675</v>
      </c>
    </row>
    <row r="100" spans="1:3" x14ac:dyDescent="0.3">
      <c r="A100" s="6" t="s">
        <v>129</v>
      </c>
      <c r="B100" s="6" t="s">
        <v>747</v>
      </c>
      <c r="C100" s="6" t="s">
        <v>675</v>
      </c>
    </row>
    <row r="101" spans="1:3" x14ac:dyDescent="0.3">
      <c r="A101" s="6" t="s">
        <v>160</v>
      </c>
      <c r="B101" s="6" t="s">
        <v>748</v>
      </c>
      <c r="C101" s="6" t="s">
        <v>675</v>
      </c>
    </row>
    <row r="102" spans="1:3" x14ac:dyDescent="0.3">
      <c r="A102" s="6" t="s">
        <v>34</v>
      </c>
      <c r="B102" s="6" t="s">
        <v>747</v>
      </c>
      <c r="C102" s="6" t="s">
        <v>675</v>
      </c>
    </row>
    <row r="103" spans="1:3" x14ac:dyDescent="0.3">
      <c r="A103" s="6" t="s">
        <v>749</v>
      </c>
      <c r="B103" s="6" t="s">
        <v>747</v>
      </c>
      <c r="C103" s="6" t="s">
        <v>675</v>
      </c>
    </row>
    <row r="104" spans="1:3" x14ac:dyDescent="0.3">
      <c r="A104" s="6" t="s">
        <v>775</v>
      </c>
      <c r="B104" s="6" t="s">
        <v>776</v>
      </c>
      <c r="C104" s="6" t="s">
        <v>675</v>
      </c>
    </row>
    <row r="105" spans="1:3" x14ac:dyDescent="0.3">
      <c r="A105" s="6" t="s">
        <v>777</v>
      </c>
      <c r="B105" s="6" t="s">
        <v>776</v>
      </c>
      <c r="C105" s="6" t="s">
        <v>675</v>
      </c>
    </row>
    <row r="106" spans="1:3" x14ac:dyDescent="0.3">
      <c r="A106" s="6" t="s">
        <v>778</v>
      </c>
      <c r="B106" s="6" t="s">
        <v>776</v>
      </c>
      <c r="C106" s="6" t="s">
        <v>675</v>
      </c>
    </row>
    <row r="107" spans="1:3" x14ac:dyDescent="0.3">
      <c r="A107" s="6" t="s">
        <v>779</v>
      </c>
      <c r="B107" s="6" t="s">
        <v>677</v>
      </c>
      <c r="C107" s="6" t="s">
        <v>675</v>
      </c>
    </row>
    <row r="108" spans="1:3" x14ac:dyDescent="0.3">
      <c r="A108" s="6" t="s">
        <v>780</v>
      </c>
      <c r="B108" s="6" t="s">
        <v>677</v>
      </c>
      <c r="C108" s="6" t="s">
        <v>675</v>
      </c>
    </row>
    <row r="109" spans="1:3" x14ac:dyDescent="0.3">
      <c r="A109" s="6" t="s">
        <v>781</v>
      </c>
      <c r="B109" s="6" t="s">
        <v>677</v>
      </c>
      <c r="C109" s="6" t="s">
        <v>675</v>
      </c>
    </row>
    <row r="110" spans="1:3" x14ac:dyDescent="0.3">
      <c r="A110" s="6" t="s">
        <v>782</v>
      </c>
      <c r="B110" s="6" t="s">
        <v>677</v>
      </c>
      <c r="C110" s="6" t="s">
        <v>675</v>
      </c>
    </row>
    <row r="111" spans="1:3" x14ac:dyDescent="0.3">
      <c r="A111" s="6" t="s">
        <v>786</v>
      </c>
      <c r="B111" s="6" t="s">
        <v>787</v>
      </c>
      <c r="C111" s="6" t="s">
        <v>675</v>
      </c>
    </row>
    <row r="112" spans="1:3" x14ac:dyDescent="0.3">
      <c r="A112" s="6" t="s">
        <v>790</v>
      </c>
      <c r="B112" s="6" t="s">
        <v>787</v>
      </c>
      <c r="C112" s="6" t="s">
        <v>675</v>
      </c>
    </row>
    <row r="113" spans="1:3" x14ac:dyDescent="0.3">
      <c r="A113" s="6" t="s">
        <v>791</v>
      </c>
      <c r="B113" s="6" t="s">
        <v>710</v>
      </c>
      <c r="C113" s="6" t="s">
        <v>675</v>
      </c>
    </row>
    <row r="114" spans="1:3" x14ac:dyDescent="0.3">
      <c r="A114" s="6" t="s">
        <v>806</v>
      </c>
      <c r="B114" s="6" t="s">
        <v>807</v>
      </c>
      <c r="C114" s="6" t="s">
        <v>675</v>
      </c>
    </row>
    <row r="115" spans="1:3" x14ac:dyDescent="0.3">
      <c r="A115" s="6" t="s">
        <v>808</v>
      </c>
      <c r="B115" s="6" t="s">
        <v>807</v>
      </c>
      <c r="C115" s="6" t="s">
        <v>675</v>
      </c>
    </row>
    <row r="116" spans="1:3" x14ac:dyDescent="0.3">
      <c r="A116" s="6" t="s">
        <v>186</v>
      </c>
      <c r="B116" s="6" t="s">
        <v>809</v>
      </c>
      <c r="C116" s="6" t="s">
        <v>675</v>
      </c>
    </row>
    <row r="117" spans="1:3" x14ac:dyDescent="0.3">
      <c r="A117" s="6" t="s">
        <v>407</v>
      </c>
      <c r="B117" s="6" t="s">
        <v>809</v>
      </c>
      <c r="C117" s="6" t="s">
        <v>675</v>
      </c>
    </row>
    <row r="118" spans="1:3" x14ac:dyDescent="0.3">
      <c r="A118" s="6" t="s">
        <v>810</v>
      </c>
      <c r="B118" s="6" t="s">
        <v>809</v>
      </c>
      <c r="C118" s="6" t="s">
        <v>675</v>
      </c>
    </row>
    <row r="119" spans="1:3" x14ac:dyDescent="0.3">
      <c r="A119" s="6" t="s">
        <v>472</v>
      </c>
      <c r="B119" s="6" t="s">
        <v>807</v>
      </c>
      <c r="C119" s="6" t="s">
        <v>675</v>
      </c>
    </row>
    <row r="120" spans="1:3" x14ac:dyDescent="0.3">
      <c r="A120" s="6" t="s">
        <v>816</v>
      </c>
      <c r="B120" s="6" t="s">
        <v>817</v>
      </c>
      <c r="C120" s="6" t="s">
        <v>675</v>
      </c>
    </row>
    <row r="121" spans="1:3" x14ac:dyDescent="0.3">
      <c r="A121" s="6" t="s">
        <v>824</v>
      </c>
      <c r="B121" s="6" t="s">
        <v>817</v>
      </c>
      <c r="C121" s="6" t="s">
        <v>675</v>
      </c>
    </row>
    <row r="122" spans="1:3" x14ac:dyDescent="0.3">
      <c r="A122" s="6" t="s">
        <v>829</v>
      </c>
      <c r="B122" s="6" t="s">
        <v>677</v>
      </c>
      <c r="C122" s="6" t="s">
        <v>675</v>
      </c>
    </row>
    <row r="123" spans="1:3" x14ac:dyDescent="0.3">
      <c r="A123" s="6" t="s">
        <v>830</v>
      </c>
      <c r="B123" s="6" t="s">
        <v>831</v>
      </c>
      <c r="C123" s="6" t="s">
        <v>675</v>
      </c>
    </row>
    <row r="124" spans="1:3" x14ac:dyDescent="0.3">
      <c r="A124" s="6" t="s">
        <v>832</v>
      </c>
      <c r="B124" s="6" t="s">
        <v>833</v>
      </c>
      <c r="C124" s="6" t="s">
        <v>675</v>
      </c>
    </row>
    <row r="125" spans="1:3" x14ac:dyDescent="0.3">
      <c r="A125" s="6" t="s">
        <v>834</v>
      </c>
      <c r="B125" s="6" t="s">
        <v>833</v>
      </c>
      <c r="C125" s="6" t="s">
        <v>675</v>
      </c>
    </row>
    <row r="126" spans="1:3" x14ac:dyDescent="0.3">
      <c r="A126" s="6" t="s">
        <v>835</v>
      </c>
      <c r="B126" s="6" t="s">
        <v>833</v>
      </c>
      <c r="C126" s="6" t="s">
        <v>675</v>
      </c>
    </row>
    <row r="127" spans="1:3" x14ac:dyDescent="0.3">
      <c r="A127" s="6" t="s">
        <v>817</v>
      </c>
      <c r="B127" s="6" t="s">
        <v>817</v>
      </c>
      <c r="C127" s="6" t="s">
        <v>675</v>
      </c>
    </row>
    <row r="128" spans="1:3" x14ac:dyDescent="0.3">
      <c r="A128" s="6" t="s">
        <v>837</v>
      </c>
      <c r="B128" s="6" t="s">
        <v>831</v>
      </c>
      <c r="C128" s="6" t="s">
        <v>675</v>
      </c>
    </row>
    <row r="129" spans="1:3" x14ac:dyDescent="0.3">
      <c r="A129" s="6" t="s">
        <v>838</v>
      </c>
      <c r="B129" s="6" t="s">
        <v>817</v>
      </c>
      <c r="C129" s="6" t="s">
        <v>675</v>
      </c>
    </row>
    <row r="130" spans="1:3" x14ac:dyDescent="0.3">
      <c r="A130" s="6" t="s">
        <v>73</v>
      </c>
      <c r="B130" s="6" t="s">
        <v>784</v>
      </c>
      <c r="C130" s="6" t="s">
        <v>675</v>
      </c>
    </row>
    <row r="131" spans="1:3" x14ac:dyDescent="0.3">
      <c r="A131" s="6" t="s">
        <v>841</v>
      </c>
      <c r="B131" s="6" t="s">
        <v>842</v>
      </c>
      <c r="C131" s="6" t="s">
        <v>675</v>
      </c>
    </row>
    <row r="132" spans="1:3" x14ac:dyDescent="0.3">
      <c r="A132" s="6" t="s">
        <v>847</v>
      </c>
      <c r="B132" s="6" t="s">
        <v>677</v>
      </c>
      <c r="C132" s="6" t="s">
        <v>675</v>
      </c>
    </row>
    <row r="133" spans="1:3" x14ac:dyDescent="0.3">
      <c r="A133" s="6" t="s">
        <v>848</v>
      </c>
      <c r="B133" s="6" t="s">
        <v>677</v>
      </c>
      <c r="C133" s="6" t="s">
        <v>675</v>
      </c>
    </row>
    <row r="134" spans="1:3" x14ac:dyDescent="0.3">
      <c r="A134" s="6" t="s">
        <v>849</v>
      </c>
      <c r="B134" s="6" t="s">
        <v>708</v>
      </c>
      <c r="C134" s="6" t="s">
        <v>675</v>
      </c>
    </row>
    <row r="135" spans="1:3" x14ac:dyDescent="0.3">
      <c r="A135" s="6" t="s">
        <v>852</v>
      </c>
      <c r="B135" s="6" t="s">
        <v>807</v>
      </c>
      <c r="C135" s="6" t="s">
        <v>675</v>
      </c>
    </row>
    <row r="136" spans="1:3" x14ac:dyDescent="0.3">
      <c r="A136" s="6" t="s">
        <v>854</v>
      </c>
      <c r="B136" s="6" t="s">
        <v>807</v>
      </c>
      <c r="C136" s="6" t="s">
        <v>675</v>
      </c>
    </row>
    <row r="137" spans="1:3" x14ac:dyDescent="0.3">
      <c r="A137" s="6" t="s">
        <v>855</v>
      </c>
      <c r="B137" s="6" t="s">
        <v>677</v>
      </c>
      <c r="C137" s="6" t="s">
        <v>675</v>
      </c>
    </row>
    <row r="138" spans="1:3" x14ac:dyDescent="0.3">
      <c r="A138" s="6" t="s">
        <v>856</v>
      </c>
      <c r="B138" s="6" t="s">
        <v>842</v>
      </c>
      <c r="C138" s="6" t="s">
        <v>675</v>
      </c>
    </row>
    <row r="139" spans="1:3" x14ac:dyDescent="0.3">
      <c r="A139" s="6" t="s">
        <v>857</v>
      </c>
      <c r="B139" s="6" t="s">
        <v>784</v>
      </c>
      <c r="C139" s="6" t="s">
        <v>675</v>
      </c>
    </row>
    <row r="140" spans="1:3" x14ac:dyDescent="0.3">
      <c r="A140" s="6" t="s">
        <v>858</v>
      </c>
      <c r="B140" s="6" t="s">
        <v>842</v>
      </c>
      <c r="C140" s="6" t="s">
        <v>675</v>
      </c>
    </row>
    <row r="141" spans="1:3" x14ac:dyDescent="0.3">
      <c r="A141" s="6" t="s">
        <v>859</v>
      </c>
      <c r="B141" s="6" t="s">
        <v>677</v>
      </c>
      <c r="C141" s="6" t="s">
        <v>675</v>
      </c>
    </row>
    <row r="142" spans="1:3" x14ac:dyDescent="0.3">
      <c r="A142" s="6" t="s">
        <v>860</v>
      </c>
      <c r="B142" s="6" t="s">
        <v>842</v>
      </c>
      <c r="C142" s="6" t="s">
        <v>675</v>
      </c>
    </row>
    <row r="143" spans="1:3" x14ac:dyDescent="0.3">
      <c r="A143" s="6" t="s">
        <v>865</v>
      </c>
      <c r="B143" s="6" t="s">
        <v>842</v>
      </c>
      <c r="C143" s="6" t="s">
        <v>675</v>
      </c>
    </row>
    <row r="144" spans="1:3" x14ac:dyDescent="0.3">
      <c r="A144" s="6" t="s">
        <v>866</v>
      </c>
      <c r="B144" s="6" t="s">
        <v>867</v>
      </c>
      <c r="C144" s="6" t="s">
        <v>675</v>
      </c>
    </row>
    <row r="145" spans="1:3" x14ac:dyDescent="0.3">
      <c r="A145" s="6" t="s">
        <v>872</v>
      </c>
      <c r="B145" s="6" t="s">
        <v>776</v>
      </c>
      <c r="C145" s="6" t="s">
        <v>675</v>
      </c>
    </row>
    <row r="146" spans="1:3" x14ac:dyDescent="0.3">
      <c r="A146" s="6" t="s">
        <v>885</v>
      </c>
      <c r="B146" s="6" t="s">
        <v>886</v>
      </c>
      <c r="C146" s="6" t="s">
        <v>675</v>
      </c>
    </row>
    <row r="147" spans="1:3" x14ac:dyDescent="0.3">
      <c r="A147" s="6" t="s">
        <v>32</v>
      </c>
      <c r="B147" s="6" t="s">
        <v>890</v>
      </c>
      <c r="C147" s="6" t="s">
        <v>675</v>
      </c>
    </row>
    <row r="148" spans="1:3" x14ac:dyDescent="0.3">
      <c r="A148" s="6" t="s">
        <v>891</v>
      </c>
      <c r="B148" s="6" t="s">
        <v>890</v>
      </c>
      <c r="C148" s="6" t="s">
        <v>675</v>
      </c>
    </row>
    <row r="149" spans="1:3" x14ac:dyDescent="0.3">
      <c r="A149" s="6" t="s">
        <v>892</v>
      </c>
      <c r="B149" s="6" t="s">
        <v>893</v>
      </c>
      <c r="C149" s="6" t="s">
        <v>675</v>
      </c>
    </row>
    <row r="150" spans="1:3" x14ac:dyDescent="0.3">
      <c r="A150" s="6" t="s">
        <v>146</v>
      </c>
      <c r="B150" s="6" t="s">
        <v>894</v>
      </c>
      <c r="C150" s="6" t="s">
        <v>675</v>
      </c>
    </row>
    <row r="151" spans="1:3" x14ac:dyDescent="0.3">
      <c r="A151" s="6" t="s">
        <v>895</v>
      </c>
      <c r="B151" s="6" t="s">
        <v>896</v>
      </c>
      <c r="C151" s="6" t="s">
        <v>675</v>
      </c>
    </row>
    <row r="152" spans="1:3" x14ac:dyDescent="0.3">
      <c r="A152" s="6" t="s">
        <v>897</v>
      </c>
      <c r="B152" s="6" t="s">
        <v>898</v>
      </c>
      <c r="C152" s="6" t="s">
        <v>675</v>
      </c>
    </row>
    <row r="153" spans="1:3" x14ac:dyDescent="0.3">
      <c r="A153" s="6" t="s">
        <v>465</v>
      </c>
      <c r="B153" s="6" t="s">
        <v>894</v>
      </c>
      <c r="C153" s="6" t="s">
        <v>675</v>
      </c>
    </row>
    <row r="154" spans="1:3" x14ac:dyDescent="0.3">
      <c r="A154" s="6" t="s">
        <v>906</v>
      </c>
      <c r="B154" s="6" t="s">
        <v>784</v>
      </c>
      <c r="C154" s="6" t="s">
        <v>675</v>
      </c>
    </row>
    <row r="155" spans="1:3" x14ac:dyDescent="0.3">
      <c r="A155" s="6" t="s">
        <v>914</v>
      </c>
      <c r="B155" s="6" t="s">
        <v>710</v>
      </c>
      <c r="C155" s="6" t="s">
        <v>675</v>
      </c>
    </row>
    <row r="156" spans="1:3" x14ac:dyDescent="0.3">
      <c r="A156" s="6" t="s">
        <v>915</v>
      </c>
      <c r="B156" s="6" t="s">
        <v>677</v>
      </c>
      <c r="C156" s="6" t="s">
        <v>675</v>
      </c>
    </row>
    <row r="157" spans="1:3" x14ac:dyDescent="0.3">
      <c r="A157" s="6" t="s">
        <v>916</v>
      </c>
      <c r="B157" s="6" t="s">
        <v>710</v>
      </c>
      <c r="C157" s="6" t="s">
        <v>675</v>
      </c>
    </row>
    <row r="158" spans="1:3" x14ac:dyDescent="0.3">
      <c r="A158" s="6" t="s">
        <v>918</v>
      </c>
      <c r="B158" s="6" t="s">
        <v>674</v>
      </c>
      <c r="C158" s="6" t="s">
        <v>675</v>
      </c>
    </row>
    <row r="159" spans="1:3" x14ac:dyDescent="0.3">
      <c r="A159" s="6" t="s">
        <v>921</v>
      </c>
      <c r="B159" s="6" t="s">
        <v>842</v>
      </c>
      <c r="C159" s="6" t="s">
        <v>675</v>
      </c>
    </row>
    <row r="160" spans="1:3" x14ac:dyDescent="0.3">
      <c r="A160" s="6" t="s">
        <v>922</v>
      </c>
      <c r="B160" s="6" t="s">
        <v>867</v>
      </c>
      <c r="C160" s="6" t="s">
        <v>675</v>
      </c>
    </row>
    <row r="161" spans="1:3" x14ac:dyDescent="0.3">
      <c r="A161" s="6" t="s">
        <v>682</v>
      </c>
      <c r="B161" s="6" t="s">
        <v>683</v>
      </c>
      <c r="C161" s="6" t="s">
        <v>684</v>
      </c>
    </row>
    <row r="162" spans="1:3" x14ac:dyDescent="0.3">
      <c r="A162" s="6" t="s">
        <v>685</v>
      </c>
      <c r="B162" s="6" t="s">
        <v>683</v>
      </c>
      <c r="C162" s="6" t="s">
        <v>684</v>
      </c>
    </row>
    <row r="163" spans="1:3" x14ac:dyDescent="0.3">
      <c r="A163" s="6" t="s">
        <v>686</v>
      </c>
      <c r="B163" s="6" t="s">
        <v>683</v>
      </c>
      <c r="C163" s="6" t="s">
        <v>684</v>
      </c>
    </row>
    <row r="164" spans="1:3" x14ac:dyDescent="0.3">
      <c r="A164" s="6" t="s">
        <v>750</v>
      </c>
      <c r="B164" s="6" t="s">
        <v>751</v>
      </c>
      <c r="C164" s="6" t="s">
        <v>684</v>
      </c>
    </row>
    <row r="165" spans="1:3" x14ac:dyDescent="0.3">
      <c r="A165" s="6" t="s">
        <v>223</v>
      </c>
      <c r="B165" s="6" t="s">
        <v>752</v>
      </c>
      <c r="C165" s="6" t="s">
        <v>684</v>
      </c>
    </row>
    <row r="166" spans="1:3" x14ac:dyDescent="0.3">
      <c r="A166" s="6" t="s">
        <v>65</v>
      </c>
      <c r="B166" s="6" t="s">
        <v>753</v>
      </c>
      <c r="C166" s="6" t="s">
        <v>684</v>
      </c>
    </row>
    <row r="167" spans="1:3" x14ac:dyDescent="0.3">
      <c r="A167" s="6" t="s">
        <v>62</v>
      </c>
      <c r="B167" s="6" t="s">
        <v>751</v>
      </c>
      <c r="C167" s="6" t="s">
        <v>684</v>
      </c>
    </row>
    <row r="168" spans="1:3" x14ac:dyDescent="0.3">
      <c r="A168" s="6" t="s">
        <v>754</v>
      </c>
      <c r="B168" s="6" t="s">
        <v>751</v>
      </c>
      <c r="C168" s="6" t="s">
        <v>684</v>
      </c>
    </row>
    <row r="169" spans="1:3" x14ac:dyDescent="0.3">
      <c r="A169" s="6" t="s">
        <v>766</v>
      </c>
      <c r="B169" s="6" t="s">
        <v>767</v>
      </c>
      <c r="C169" s="6" t="s">
        <v>684</v>
      </c>
    </row>
    <row r="170" spans="1:3" x14ac:dyDescent="0.3">
      <c r="A170" s="6" t="s">
        <v>768</v>
      </c>
      <c r="B170" s="6" t="s">
        <v>767</v>
      </c>
      <c r="C170" s="6" t="s">
        <v>684</v>
      </c>
    </row>
    <row r="171" spans="1:3" x14ac:dyDescent="0.3">
      <c r="A171" s="6" t="s">
        <v>769</v>
      </c>
      <c r="B171" s="6" t="s">
        <v>767</v>
      </c>
      <c r="C171" s="6" t="s">
        <v>684</v>
      </c>
    </row>
    <row r="172" spans="1:3" x14ac:dyDescent="0.3">
      <c r="A172" s="6" t="s">
        <v>770</v>
      </c>
      <c r="B172" s="6" t="s">
        <v>767</v>
      </c>
      <c r="C172" s="6" t="s">
        <v>684</v>
      </c>
    </row>
    <row r="173" spans="1:3" x14ac:dyDescent="0.3">
      <c r="A173" s="6" t="s">
        <v>771</v>
      </c>
      <c r="B173" s="6" t="s">
        <v>767</v>
      </c>
      <c r="C173" s="6" t="s">
        <v>684</v>
      </c>
    </row>
    <row r="174" spans="1:3" x14ac:dyDescent="0.3">
      <c r="A174" s="6" t="s">
        <v>772</v>
      </c>
      <c r="B174" s="6" t="s">
        <v>767</v>
      </c>
      <c r="C174" s="6" t="s">
        <v>684</v>
      </c>
    </row>
    <row r="175" spans="1:3" x14ac:dyDescent="0.3">
      <c r="A175" s="6" t="s">
        <v>222</v>
      </c>
      <c r="B175" s="6" t="s">
        <v>818</v>
      </c>
      <c r="C175" s="6" t="s">
        <v>684</v>
      </c>
    </row>
    <row r="176" spans="1:3" x14ac:dyDescent="0.3">
      <c r="A176" s="6" t="s">
        <v>819</v>
      </c>
      <c r="B176" s="6" t="s">
        <v>818</v>
      </c>
      <c r="C176" s="6" t="s">
        <v>684</v>
      </c>
    </row>
    <row r="177" spans="1:3" x14ac:dyDescent="0.3">
      <c r="A177" s="6" t="s">
        <v>820</v>
      </c>
      <c r="B177" s="6" t="s">
        <v>821</v>
      </c>
      <c r="C177" s="6" t="s">
        <v>684</v>
      </c>
    </row>
    <row r="178" spans="1:3" x14ac:dyDescent="0.3">
      <c r="A178" s="6" t="s">
        <v>346</v>
      </c>
      <c r="B178" s="6" t="s">
        <v>821</v>
      </c>
      <c r="C178" s="6" t="s">
        <v>684</v>
      </c>
    </row>
    <row r="179" spans="1:3" x14ac:dyDescent="0.3">
      <c r="A179" s="6" t="s">
        <v>825</v>
      </c>
      <c r="B179" s="6" t="s">
        <v>826</v>
      </c>
      <c r="C179" s="6" t="s">
        <v>684</v>
      </c>
    </row>
    <row r="180" spans="1:3" x14ac:dyDescent="0.3">
      <c r="A180" s="6" t="s">
        <v>827</v>
      </c>
      <c r="B180" s="6" t="s">
        <v>826</v>
      </c>
      <c r="C180" s="6" t="s">
        <v>684</v>
      </c>
    </row>
    <row r="181" spans="1:3" x14ac:dyDescent="0.3">
      <c r="A181" s="6" t="s">
        <v>828</v>
      </c>
      <c r="B181" s="6" t="s">
        <v>826</v>
      </c>
      <c r="C181" s="6" t="s">
        <v>684</v>
      </c>
    </row>
    <row r="182" spans="1:3" x14ac:dyDescent="0.3">
      <c r="A182" s="6" t="s">
        <v>836</v>
      </c>
      <c r="B182" s="6" t="s">
        <v>826</v>
      </c>
      <c r="C182" s="6" t="s">
        <v>684</v>
      </c>
    </row>
    <row r="183" spans="1:3" x14ac:dyDescent="0.3">
      <c r="A183" s="6" t="s">
        <v>868</v>
      </c>
      <c r="B183" s="6" t="s">
        <v>869</v>
      </c>
      <c r="C183" s="6" t="s">
        <v>684</v>
      </c>
    </row>
    <row r="184" spans="1:3" x14ac:dyDescent="0.3">
      <c r="A184" s="6" t="s">
        <v>870</v>
      </c>
      <c r="B184" s="6" t="s">
        <v>871</v>
      </c>
      <c r="C184" s="6" t="s">
        <v>684</v>
      </c>
    </row>
    <row r="185" spans="1:3" x14ac:dyDescent="0.3">
      <c r="A185" s="6" t="s">
        <v>874</v>
      </c>
      <c r="B185" s="6" t="s">
        <v>875</v>
      </c>
      <c r="C185" s="6" t="s">
        <v>684</v>
      </c>
    </row>
    <row r="186" spans="1:3" x14ac:dyDescent="0.3">
      <c r="A186" s="6" t="s">
        <v>880</v>
      </c>
      <c r="B186" s="6" t="s">
        <v>818</v>
      </c>
      <c r="C186" s="6" t="s">
        <v>684</v>
      </c>
    </row>
    <row r="187" spans="1:3" x14ac:dyDescent="0.3">
      <c r="A187" s="6" t="s">
        <v>881</v>
      </c>
      <c r="B187" s="6" t="s">
        <v>818</v>
      </c>
      <c r="C187" s="6" t="s">
        <v>684</v>
      </c>
    </row>
    <row r="188" spans="1:3" x14ac:dyDescent="0.3">
      <c r="A188" s="6" t="s">
        <v>882</v>
      </c>
      <c r="B188" s="6" t="s">
        <v>818</v>
      </c>
      <c r="C188" s="6" t="s">
        <v>684</v>
      </c>
    </row>
    <row r="189" spans="1:3" x14ac:dyDescent="0.3">
      <c r="A189" s="6" t="s">
        <v>883</v>
      </c>
      <c r="B189" s="6" t="s">
        <v>818</v>
      </c>
      <c r="C189" s="6" t="s">
        <v>684</v>
      </c>
    </row>
    <row r="190" spans="1:3" x14ac:dyDescent="0.3">
      <c r="A190" s="6" t="s">
        <v>691</v>
      </c>
      <c r="B190" s="6" t="s">
        <v>692</v>
      </c>
      <c r="C190" s="6" t="s">
        <v>923</v>
      </c>
    </row>
    <row r="191" spans="1:3" x14ac:dyDescent="0.3">
      <c r="A191" s="6" t="s">
        <v>333</v>
      </c>
      <c r="B191" s="6" t="s">
        <v>692</v>
      </c>
      <c r="C191" s="6" t="s">
        <v>923</v>
      </c>
    </row>
    <row r="192" spans="1:3" x14ac:dyDescent="0.3">
      <c r="A192" s="6" t="s">
        <v>27</v>
      </c>
      <c r="B192" s="6" t="s">
        <v>693</v>
      </c>
      <c r="C192" s="6" t="s">
        <v>923</v>
      </c>
    </row>
    <row r="193" spans="1:3" x14ac:dyDescent="0.3">
      <c r="A193" s="6" t="s">
        <v>694</v>
      </c>
      <c r="B193" s="6" t="s">
        <v>693</v>
      </c>
      <c r="C193" s="6" t="s">
        <v>923</v>
      </c>
    </row>
    <row r="194" spans="1:3" x14ac:dyDescent="0.3">
      <c r="A194" s="6" t="s">
        <v>695</v>
      </c>
      <c r="B194" s="6" t="s">
        <v>693</v>
      </c>
      <c r="C194" s="6" t="s">
        <v>923</v>
      </c>
    </row>
    <row r="195" spans="1:3" x14ac:dyDescent="0.3">
      <c r="A195" s="6" t="s">
        <v>696</v>
      </c>
      <c r="B195" s="6" t="s">
        <v>697</v>
      </c>
      <c r="C195" s="6" t="s">
        <v>923</v>
      </c>
    </row>
    <row r="196" spans="1:3" x14ac:dyDescent="0.3">
      <c r="A196" s="6" t="s">
        <v>698</v>
      </c>
      <c r="B196" s="6" t="s">
        <v>697</v>
      </c>
      <c r="C196" s="6" t="s">
        <v>923</v>
      </c>
    </row>
    <row r="197" spans="1:3" x14ac:dyDescent="0.3">
      <c r="A197" s="6" t="s">
        <v>115</v>
      </c>
      <c r="B197" s="6" t="s">
        <v>697</v>
      </c>
      <c r="C197" s="6" t="s">
        <v>923</v>
      </c>
    </row>
    <row r="198" spans="1:3" x14ac:dyDescent="0.3">
      <c r="A198" s="6" t="s">
        <v>699</v>
      </c>
      <c r="B198" s="6" t="s">
        <v>697</v>
      </c>
      <c r="C198" s="6" t="s">
        <v>923</v>
      </c>
    </row>
    <row r="199" spans="1:3" x14ac:dyDescent="0.3">
      <c r="A199" s="6" t="s">
        <v>700</v>
      </c>
      <c r="B199" s="6" t="s">
        <v>697</v>
      </c>
      <c r="C199" s="6" t="s">
        <v>923</v>
      </c>
    </row>
    <row r="200" spans="1:3" x14ac:dyDescent="0.3">
      <c r="A200" s="6" t="s">
        <v>701</v>
      </c>
      <c r="B200" s="6" t="s">
        <v>697</v>
      </c>
      <c r="C200" s="6" t="s">
        <v>923</v>
      </c>
    </row>
    <row r="201" spans="1:3" x14ac:dyDescent="0.3">
      <c r="A201" s="6" t="s">
        <v>702</v>
      </c>
      <c r="B201" s="6" t="s">
        <v>697</v>
      </c>
      <c r="C201" s="6" t="s">
        <v>923</v>
      </c>
    </row>
    <row r="202" spans="1:3" x14ac:dyDescent="0.3">
      <c r="A202" s="6" t="s">
        <v>732</v>
      </c>
      <c r="B202" s="6" t="s">
        <v>733</v>
      </c>
      <c r="C202" s="6" t="s">
        <v>923</v>
      </c>
    </row>
    <row r="203" spans="1:3" x14ac:dyDescent="0.3">
      <c r="A203" s="6" t="s">
        <v>734</v>
      </c>
      <c r="B203" s="6" t="s">
        <v>735</v>
      </c>
      <c r="C203" s="6" t="s">
        <v>923</v>
      </c>
    </row>
    <row r="204" spans="1:3" x14ac:dyDescent="0.3">
      <c r="A204" s="6" t="s">
        <v>736</v>
      </c>
      <c r="B204" s="6" t="s">
        <v>737</v>
      </c>
      <c r="C204" s="6" t="s">
        <v>923</v>
      </c>
    </row>
    <row r="205" spans="1:3" x14ac:dyDescent="0.3">
      <c r="A205" s="6" t="s">
        <v>297</v>
      </c>
      <c r="B205" s="6" t="s">
        <v>738</v>
      </c>
      <c r="C205" s="6" t="s">
        <v>923</v>
      </c>
    </row>
    <row r="206" spans="1:3" x14ac:dyDescent="0.3">
      <c r="A206" s="6" t="s">
        <v>739</v>
      </c>
      <c r="B206" s="6" t="s">
        <v>738</v>
      </c>
      <c r="C206" s="6" t="s">
        <v>923</v>
      </c>
    </row>
    <row r="207" spans="1:3" x14ac:dyDescent="0.3">
      <c r="A207" s="6" t="s">
        <v>740</v>
      </c>
      <c r="B207" s="6" t="s">
        <v>737</v>
      </c>
      <c r="C207" s="6" t="s">
        <v>923</v>
      </c>
    </row>
    <row r="208" spans="1:3" x14ac:dyDescent="0.3">
      <c r="A208" s="6" t="s">
        <v>175</v>
      </c>
      <c r="B208" s="6" t="s">
        <v>738</v>
      </c>
      <c r="C208" s="6" t="s">
        <v>923</v>
      </c>
    </row>
    <row r="209" spans="1:3" x14ac:dyDescent="0.3">
      <c r="A209" s="6" t="s">
        <v>741</v>
      </c>
      <c r="B209" s="6" t="s">
        <v>738</v>
      </c>
      <c r="C209" s="6" t="s">
        <v>923</v>
      </c>
    </row>
    <row r="210" spans="1:3" x14ac:dyDescent="0.3">
      <c r="A210" s="6" t="s">
        <v>742</v>
      </c>
      <c r="B210" s="6" t="s">
        <v>737</v>
      </c>
      <c r="C210" s="6" t="s">
        <v>923</v>
      </c>
    </row>
    <row r="211" spans="1:3" x14ac:dyDescent="0.3">
      <c r="A211" s="6" t="s">
        <v>743</v>
      </c>
      <c r="B211" s="6" t="s">
        <v>738</v>
      </c>
      <c r="C211" s="6" t="s">
        <v>923</v>
      </c>
    </row>
    <row r="212" spans="1:3" x14ac:dyDescent="0.3">
      <c r="A212" s="6" t="s">
        <v>744</v>
      </c>
      <c r="B212" s="6" t="s">
        <v>737</v>
      </c>
      <c r="C212" s="6" t="s">
        <v>923</v>
      </c>
    </row>
    <row r="213" spans="1:3" x14ac:dyDescent="0.3">
      <c r="A213" s="6" t="s">
        <v>745</v>
      </c>
      <c r="B213" s="6" t="s">
        <v>735</v>
      </c>
      <c r="C213" s="6" t="s">
        <v>923</v>
      </c>
    </row>
    <row r="214" spans="1:3" x14ac:dyDescent="0.3">
      <c r="A214" s="6" t="s">
        <v>746</v>
      </c>
      <c r="B214" s="6" t="s">
        <v>738</v>
      </c>
      <c r="C214" s="6" t="s">
        <v>923</v>
      </c>
    </row>
    <row r="215" spans="1:3" x14ac:dyDescent="0.3">
      <c r="A215" s="6" t="s">
        <v>241</v>
      </c>
      <c r="B215" s="6" t="s">
        <v>755</v>
      </c>
      <c r="C215" s="6" t="s">
        <v>923</v>
      </c>
    </row>
    <row r="216" spans="1:3" x14ac:dyDescent="0.3">
      <c r="A216" s="6" t="s">
        <v>756</v>
      </c>
      <c r="B216" s="6" t="s">
        <v>757</v>
      </c>
      <c r="C216" s="6" t="s">
        <v>923</v>
      </c>
    </row>
    <row r="217" spans="1:3" x14ac:dyDescent="0.3">
      <c r="A217" s="6" t="s">
        <v>331</v>
      </c>
      <c r="B217" s="6" t="s">
        <v>755</v>
      </c>
      <c r="C217" s="6" t="s">
        <v>923</v>
      </c>
    </row>
    <row r="218" spans="1:3" x14ac:dyDescent="0.3">
      <c r="A218" s="6" t="s">
        <v>758</v>
      </c>
      <c r="B218" s="6" t="s">
        <v>757</v>
      </c>
      <c r="C218" s="6" t="s">
        <v>923</v>
      </c>
    </row>
    <row r="219" spans="1:3" x14ac:dyDescent="0.3">
      <c r="A219" s="6" t="s">
        <v>759</v>
      </c>
      <c r="B219" s="6" t="s">
        <v>760</v>
      </c>
      <c r="C219" s="6" t="s">
        <v>923</v>
      </c>
    </row>
    <row r="220" spans="1:3" x14ac:dyDescent="0.3">
      <c r="A220" s="6" t="s">
        <v>761</v>
      </c>
      <c r="B220" s="6" t="s">
        <v>760</v>
      </c>
      <c r="C220" s="6" t="s">
        <v>923</v>
      </c>
    </row>
    <row r="221" spans="1:3" x14ac:dyDescent="0.3">
      <c r="A221" s="6" t="s">
        <v>762</v>
      </c>
      <c r="B221" s="6" t="s">
        <v>760</v>
      </c>
      <c r="C221" s="6" t="s">
        <v>923</v>
      </c>
    </row>
    <row r="222" spans="1:3" x14ac:dyDescent="0.3">
      <c r="A222" s="6" t="s">
        <v>873</v>
      </c>
      <c r="B222" s="6" t="s">
        <v>693</v>
      </c>
      <c r="C222" s="6" t="s">
        <v>923</v>
      </c>
    </row>
    <row r="223" spans="1:3" x14ac:dyDescent="0.3">
      <c r="A223" s="6" t="s">
        <v>888</v>
      </c>
      <c r="B223" s="6" t="s">
        <v>755</v>
      </c>
      <c r="C223" s="6" t="s">
        <v>923</v>
      </c>
    </row>
    <row r="224" spans="1:3" x14ac:dyDescent="0.3">
      <c r="A224" s="6" t="s">
        <v>582</v>
      </c>
      <c r="B224" s="6" t="s">
        <v>755</v>
      </c>
      <c r="C224" s="6" t="s">
        <v>923</v>
      </c>
    </row>
    <row r="225" spans="1:3" x14ac:dyDescent="0.3">
      <c r="A225" s="6" t="s">
        <v>889</v>
      </c>
      <c r="B225" s="6" t="s">
        <v>755</v>
      </c>
      <c r="C225" s="6" t="s">
        <v>923</v>
      </c>
    </row>
    <row r="226" spans="1:3" x14ac:dyDescent="0.3">
      <c r="A226" s="6" t="s">
        <v>703</v>
      </c>
      <c r="B226" s="6" t="s">
        <v>704</v>
      </c>
      <c r="C226" s="6" t="s">
        <v>924</v>
      </c>
    </row>
  </sheetData>
  <sortState xmlns:xlrd2="http://schemas.microsoft.com/office/spreadsheetml/2017/richdata2" ref="A2:C226">
    <sortCondition ref="C1:C22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>
      <selection activeCell="O25" sqref="O25"/>
    </sheetView>
  </sheetViews>
  <sheetFormatPr defaultRowHeight="14.4" x14ac:dyDescent="0.3"/>
  <cols>
    <col min="3" max="3" width="11.5546875" bestFit="1" customWidth="1"/>
  </cols>
  <sheetData>
    <row r="1" spans="1:12" x14ac:dyDescent="0.3">
      <c r="B1" t="s">
        <v>951</v>
      </c>
      <c r="D1" t="s">
        <v>954</v>
      </c>
      <c r="J1" t="s">
        <v>928</v>
      </c>
    </row>
    <row r="2" spans="1:12" x14ac:dyDescent="0.3">
      <c r="A2" t="s">
        <v>953</v>
      </c>
      <c r="B2" s="7" t="s">
        <v>952</v>
      </c>
      <c r="C2" s="8" t="s">
        <v>961</v>
      </c>
      <c r="D2" s="7" t="s">
        <v>803</v>
      </c>
      <c r="E2" s="13" t="s">
        <v>765</v>
      </c>
      <c r="F2" s="13" t="s">
        <v>675</v>
      </c>
      <c r="G2" s="13" t="s">
        <v>684</v>
      </c>
      <c r="H2" s="13" t="s">
        <v>923</v>
      </c>
      <c r="I2" s="8" t="s">
        <v>924</v>
      </c>
      <c r="J2" s="7" t="s">
        <v>926</v>
      </c>
      <c r="K2" s="8" t="s">
        <v>927</v>
      </c>
      <c r="L2" s="16" t="s">
        <v>929</v>
      </c>
    </row>
    <row r="3" spans="1:12" x14ac:dyDescent="0.3">
      <c r="A3" t="s">
        <v>930</v>
      </c>
      <c r="B3" s="9">
        <v>100</v>
      </c>
      <c r="C3" s="10">
        <v>0</v>
      </c>
      <c r="D3" s="9">
        <v>1</v>
      </c>
      <c r="E3" s="14"/>
      <c r="F3" s="14"/>
      <c r="G3" s="14"/>
      <c r="H3" s="14"/>
      <c r="I3" s="10"/>
      <c r="J3" s="9"/>
      <c r="K3" s="10">
        <v>1</v>
      </c>
      <c r="L3" s="17">
        <v>1</v>
      </c>
    </row>
    <row r="4" spans="1:12" x14ac:dyDescent="0.3">
      <c r="A4" t="s">
        <v>931</v>
      </c>
      <c r="B4" s="9">
        <v>100</v>
      </c>
      <c r="C4" s="10">
        <v>0</v>
      </c>
      <c r="D4" s="9">
        <v>1</v>
      </c>
      <c r="E4" s="14"/>
      <c r="F4" s="14"/>
      <c r="G4" s="14"/>
      <c r="H4" s="14"/>
      <c r="I4" s="10"/>
      <c r="J4" s="9">
        <v>1</v>
      </c>
      <c r="K4" s="10"/>
      <c r="L4" s="17">
        <v>1</v>
      </c>
    </row>
    <row r="5" spans="1:12" x14ac:dyDescent="0.3">
      <c r="A5" t="s">
        <v>22</v>
      </c>
      <c r="B5" s="9">
        <v>120</v>
      </c>
      <c r="C5" s="10">
        <v>0</v>
      </c>
      <c r="D5" s="9">
        <v>1</v>
      </c>
      <c r="E5" s="14"/>
      <c r="F5" s="14"/>
      <c r="G5" s="14"/>
      <c r="H5" s="14"/>
      <c r="I5" s="10"/>
      <c r="J5" s="9">
        <v>1</v>
      </c>
      <c r="K5" s="10">
        <v>1</v>
      </c>
      <c r="L5" s="17">
        <v>1</v>
      </c>
    </row>
    <row r="6" spans="1:12" x14ac:dyDescent="0.3">
      <c r="A6" t="s">
        <v>943</v>
      </c>
      <c r="B6" s="9">
        <v>10</v>
      </c>
      <c r="C6" s="10">
        <v>1</v>
      </c>
      <c r="D6" s="9">
        <v>1</v>
      </c>
      <c r="E6" s="14"/>
      <c r="F6" s="14"/>
      <c r="G6" s="14"/>
      <c r="H6" s="14"/>
      <c r="I6" s="10"/>
      <c r="J6" s="9">
        <v>1</v>
      </c>
      <c r="K6" s="10">
        <v>1</v>
      </c>
      <c r="L6" s="17"/>
    </row>
    <row r="7" spans="1:12" x14ac:dyDescent="0.3">
      <c r="A7" t="s">
        <v>932</v>
      </c>
      <c r="B7" s="9">
        <f t="shared" ref="B7:C9" si="0">B3*1.5</f>
        <v>150</v>
      </c>
      <c r="C7" s="10">
        <f t="shared" si="0"/>
        <v>0</v>
      </c>
      <c r="D7" s="9">
        <v>1</v>
      </c>
      <c r="E7" s="14">
        <v>1</v>
      </c>
      <c r="F7" s="14"/>
      <c r="G7" s="14"/>
      <c r="H7" s="14"/>
      <c r="I7" s="10"/>
      <c r="J7" s="9"/>
      <c r="K7" s="10">
        <v>1</v>
      </c>
      <c r="L7" s="17">
        <v>1</v>
      </c>
    </row>
    <row r="8" spans="1:12" x14ac:dyDescent="0.3">
      <c r="A8" t="s">
        <v>933</v>
      </c>
      <c r="B8" s="9">
        <f t="shared" si="0"/>
        <v>150</v>
      </c>
      <c r="C8" s="10">
        <f t="shared" si="0"/>
        <v>0</v>
      </c>
      <c r="D8" s="9">
        <v>1</v>
      </c>
      <c r="E8" s="14">
        <v>1</v>
      </c>
      <c r="F8" s="14"/>
      <c r="G8" s="14"/>
      <c r="H8" s="14"/>
      <c r="I8" s="10"/>
      <c r="J8" s="9">
        <v>1</v>
      </c>
      <c r="K8" s="10"/>
      <c r="L8" s="17">
        <v>1</v>
      </c>
    </row>
    <row r="9" spans="1:12" x14ac:dyDescent="0.3">
      <c r="A9" t="s">
        <v>937</v>
      </c>
      <c r="B9" s="9">
        <f t="shared" si="0"/>
        <v>180</v>
      </c>
      <c r="C9" s="10">
        <f t="shared" si="0"/>
        <v>0</v>
      </c>
      <c r="D9" s="9">
        <v>1</v>
      </c>
      <c r="E9" s="14">
        <v>1</v>
      </c>
      <c r="F9" s="14"/>
      <c r="G9" s="14"/>
      <c r="H9" s="14"/>
      <c r="I9" s="10"/>
      <c r="J9" s="9">
        <v>1</v>
      </c>
      <c r="K9" s="10">
        <v>1</v>
      </c>
      <c r="L9" s="17">
        <v>1</v>
      </c>
    </row>
    <row r="10" spans="1:12" x14ac:dyDescent="0.3">
      <c r="A10" t="s">
        <v>176</v>
      </c>
      <c r="B10" s="9">
        <f>B6*1.5</f>
        <v>15</v>
      </c>
      <c r="C10" s="10">
        <v>1</v>
      </c>
      <c r="D10" s="9">
        <v>1</v>
      </c>
      <c r="E10" s="14">
        <v>1</v>
      </c>
      <c r="F10" s="14"/>
      <c r="G10" s="14"/>
      <c r="H10" s="14"/>
      <c r="I10" s="10"/>
      <c r="J10" s="9">
        <v>1</v>
      </c>
      <c r="K10" s="10">
        <v>1</v>
      </c>
      <c r="L10" s="17"/>
    </row>
    <row r="11" spans="1:12" x14ac:dyDescent="0.3">
      <c r="A11" t="s">
        <v>934</v>
      </c>
      <c r="B11" s="9">
        <f t="shared" ref="B11:C13" si="1">B3*2</f>
        <v>200</v>
      </c>
      <c r="C11" s="10">
        <f t="shared" si="1"/>
        <v>0</v>
      </c>
      <c r="D11" s="9"/>
      <c r="E11" s="14">
        <v>1</v>
      </c>
      <c r="F11" s="14">
        <v>1</v>
      </c>
      <c r="G11" s="14"/>
      <c r="H11" s="14"/>
      <c r="I11" s="10"/>
      <c r="J11" s="9"/>
      <c r="K11" s="10">
        <v>1</v>
      </c>
      <c r="L11" s="17">
        <v>1</v>
      </c>
    </row>
    <row r="12" spans="1:12" x14ac:dyDescent="0.3">
      <c r="A12" t="s">
        <v>524</v>
      </c>
      <c r="B12" s="9">
        <f t="shared" si="1"/>
        <v>200</v>
      </c>
      <c r="C12" s="10">
        <f t="shared" si="1"/>
        <v>0</v>
      </c>
      <c r="D12" s="9"/>
      <c r="E12" s="14">
        <v>1</v>
      </c>
      <c r="F12" s="14">
        <v>1</v>
      </c>
      <c r="G12" s="14"/>
      <c r="H12" s="14"/>
      <c r="I12" s="10"/>
      <c r="J12" s="9">
        <v>1</v>
      </c>
      <c r="K12" s="10"/>
      <c r="L12" s="17">
        <v>1</v>
      </c>
    </row>
    <row r="13" spans="1:12" x14ac:dyDescent="0.3">
      <c r="A13" t="s">
        <v>938</v>
      </c>
      <c r="B13" s="9">
        <f t="shared" si="1"/>
        <v>240</v>
      </c>
      <c r="C13" s="10">
        <f t="shared" si="1"/>
        <v>0</v>
      </c>
      <c r="D13" s="9"/>
      <c r="E13" s="14">
        <v>1</v>
      </c>
      <c r="F13" s="14">
        <v>1</v>
      </c>
      <c r="G13" s="14"/>
      <c r="H13" s="14"/>
      <c r="I13" s="10"/>
      <c r="J13" s="9">
        <v>1</v>
      </c>
      <c r="K13" s="10">
        <v>1</v>
      </c>
      <c r="L13" s="17">
        <v>1</v>
      </c>
    </row>
    <row r="14" spans="1:12" x14ac:dyDescent="0.3">
      <c r="A14" t="s">
        <v>944</v>
      </c>
      <c r="B14" s="9">
        <f>B6*2</f>
        <v>20</v>
      </c>
      <c r="C14" s="10">
        <v>1</v>
      </c>
      <c r="D14" s="9">
        <v>1</v>
      </c>
      <c r="E14" s="14">
        <v>1</v>
      </c>
      <c r="F14" s="14">
        <v>1</v>
      </c>
      <c r="G14" s="14"/>
      <c r="H14" s="14"/>
      <c r="I14" s="10"/>
      <c r="J14" s="9">
        <v>1</v>
      </c>
      <c r="K14" s="10">
        <v>1</v>
      </c>
      <c r="L14" s="17"/>
    </row>
    <row r="15" spans="1:12" x14ac:dyDescent="0.3">
      <c r="A15" t="s">
        <v>935</v>
      </c>
      <c r="B15" s="9">
        <f t="shared" ref="B15:C17" si="2">B3*3</f>
        <v>300</v>
      </c>
      <c r="C15" s="10">
        <f t="shared" si="2"/>
        <v>0</v>
      </c>
      <c r="D15" s="9"/>
      <c r="E15" s="14"/>
      <c r="F15" s="14">
        <v>1</v>
      </c>
      <c r="G15" s="14">
        <v>1</v>
      </c>
      <c r="H15" s="14"/>
      <c r="I15" s="10"/>
      <c r="J15" s="9"/>
      <c r="K15" s="10">
        <v>1</v>
      </c>
      <c r="L15" s="17">
        <v>1</v>
      </c>
    </row>
    <row r="16" spans="1:12" x14ac:dyDescent="0.3">
      <c r="A16" t="s">
        <v>936</v>
      </c>
      <c r="B16" s="9">
        <f t="shared" si="2"/>
        <v>300</v>
      </c>
      <c r="C16" s="10">
        <f t="shared" si="2"/>
        <v>0</v>
      </c>
      <c r="D16" s="9"/>
      <c r="E16" s="14"/>
      <c r="F16" s="14">
        <v>1</v>
      </c>
      <c r="G16" s="14">
        <v>1</v>
      </c>
      <c r="H16" s="14"/>
      <c r="I16" s="10"/>
      <c r="J16" s="9">
        <v>1</v>
      </c>
      <c r="K16" s="10"/>
      <c r="L16" s="17">
        <v>1</v>
      </c>
    </row>
    <row r="17" spans="1:12" x14ac:dyDescent="0.3">
      <c r="A17" t="s">
        <v>939</v>
      </c>
      <c r="B17" s="9">
        <f t="shared" si="2"/>
        <v>360</v>
      </c>
      <c r="C17" s="10">
        <f t="shared" si="2"/>
        <v>0</v>
      </c>
      <c r="D17" s="9"/>
      <c r="E17" s="14"/>
      <c r="F17" s="14">
        <v>1</v>
      </c>
      <c r="G17" s="14">
        <v>1</v>
      </c>
      <c r="H17" s="14"/>
      <c r="I17" s="10"/>
      <c r="J17" s="9">
        <v>1</v>
      </c>
      <c r="K17" s="10">
        <v>1</v>
      </c>
      <c r="L17" s="17">
        <v>1</v>
      </c>
    </row>
    <row r="18" spans="1:12" x14ac:dyDescent="0.3">
      <c r="A18" t="s">
        <v>945</v>
      </c>
      <c r="B18" s="9">
        <f>B6*3</f>
        <v>30</v>
      </c>
      <c r="C18" s="10">
        <v>1</v>
      </c>
      <c r="D18" s="9">
        <v>2</v>
      </c>
      <c r="E18" s="14">
        <v>1</v>
      </c>
      <c r="F18" s="14">
        <v>1</v>
      </c>
      <c r="G18" s="14">
        <v>1</v>
      </c>
      <c r="H18" s="14"/>
      <c r="I18" s="10"/>
      <c r="J18" s="9">
        <v>1</v>
      </c>
      <c r="K18" s="10">
        <v>1</v>
      </c>
      <c r="L18" s="17"/>
    </row>
    <row r="19" spans="1:12" x14ac:dyDescent="0.3">
      <c r="A19" t="s">
        <v>940</v>
      </c>
      <c r="B19" s="9">
        <f t="shared" ref="B19:C21" si="3">B3*4</f>
        <v>400</v>
      </c>
      <c r="C19" s="10">
        <f t="shared" si="3"/>
        <v>0</v>
      </c>
      <c r="D19" s="9"/>
      <c r="E19" s="14"/>
      <c r="F19" s="14"/>
      <c r="G19" s="14">
        <v>1</v>
      </c>
      <c r="H19" s="14">
        <v>1</v>
      </c>
      <c r="I19" s="10"/>
      <c r="J19" s="9"/>
      <c r="K19" s="10">
        <v>1</v>
      </c>
      <c r="L19" s="17">
        <v>1</v>
      </c>
    </row>
    <row r="20" spans="1:12" x14ac:dyDescent="0.3">
      <c r="A20" t="s">
        <v>941</v>
      </c>
      <c r="B20" s="9">
        <f t="shared" si="3"/>
        <v>400</v>
      </c>
      <c r="C20" s="10">
        <f t="shared" si="3"/>
        <v>0</v>
      </c>
      <c r="D20" s="9"/>
      <c r="E20" s="14"/>
      <c r="F20" s="14"/>
      <c r="G20" s="14">
        <v>1</v>
      </c>
      <c r="H20" s="14">
        <v>1</v>
      </c>
      <c r="I20" s="10"/>
      <c r="J20" s="9">
        <v>1</v>
      </c>
      <c r="K20" s="10"/>
      <c r="L20" s="17">
        <v>1</v>
      </c>
    </row>
    <row r="21" spans="1:12" x14ac:dyDescent="0.3">
      <c r="A21" t="s">
        <v>942</v>
      </c>
      <c r="B21" s="9">
        <f t="shared" si="3"/>
        <v>480</v>
      </c>
      <c r="C21" s="10">
        <f t="shared" si="3"/>
        <v>0</v>
      </c>
      <c r="D21" s="9"/>
      <c r="E21" s="14"/>
      <c r="F21" s="14"/>
      <c r="G21" s="14">
        <v>1</v>
      </c>
      <c r="H21" s="14">
        <v>1</v>
      </c>
      <c r="I21" s="10"/>
      <c r="J21" s="9">
        <v>1</v>
      </c>
      <c r="K21" s="10">
        <v>1</v>
      </c>
      <c r="L21" s="17">
        <v>1</v>
      </c>
    </row>
    <row r="22" spans="1:12" x14ac:dyDescent="0.3">
      <c r="A22" t="s">
        <v>946</v>
      </c>
      <c r="B22" s="9">
        <f>B6*4</f>
        <v>40</v>
      </c>
      <c r="C22" s="10">
        <v>1</v>
      </c>
      <c r="D22" s="9">
        <v>2</v>
      </c>
      <c r="E22" s="14">
        <v>2</v>
      </c>
      <c r="F22" s="39">
        <v>1</v>
      </c>
      <c r="G22" s="14">
        <v>1</v>
      </c>
      <c r="H22" s="14">
        <v>1</v>
      </c>
      <c r="I22" s="10"/>
      <c r="J22" s="9">
        <v>1</v>
      </c>
      <c r="K22" s="10">
        <v>1</v>
      </c>
      <c r="L22" s="17"/>
    </row>
    <row r="23" spans="1:12" x14ac:dyDescent="0.3">
      <c r="A23" t="s">
        <v>947</v>
      </c>
      <c r="B23" s="9">
        <f t="shared" ref="B23:C25" si="4">B3*5</f>
        <v>500</v>
      </c>
      <c r="C23" s="10">
        <f t="shared" si="4"/>
        <v>0</v>
      </c>
      <c r="D23" s="9"/>
      <c r="E23" s="14"/>
      <c r="F23" s="14"/>
      <c r="G23" s="14"/>
      <c r="H23" s="14">
        <v>1</v>
      </c>
      <c r="I23" s="10">
        <v>1</v>
      </c>
      <c r="J23" s="9"/>
      <c r="K23" s="10">
        <v>1</v>
      </c>
      <c r="L23" s="17">
        <v>1</v>
      </c>
    </row>
    <row r="24" spans="1:12" x14ac:dyDescent="0.3">
      <c r="A24" t="s">
        <v>948</v>
      </c>
      <c r="B24" s="9">
        <f t="shared" si="4"/>
        <v>500</v>
      </c>
      <c r="C24" s="10">
        <f t="shared" si="4"/>
        <v>0</v>
      </c>
      <c r="D24" s="9"/>
      <c r="E24" s="14"/>
      <c r="F24" s="14"/>
      <c r="G24" s="14"/>
      <c r="H24" s="14">
        <v>1</v>
      </c>
      <c r="I24" s="10">
        <v>1</v>
      </c>
      <c r="J24" s="9">
        <v>1</v>
      </c>
      <c r="K24" s="10"/>
      <c r="L24" s="17">
        <v>1</v>
      </c>
    </row>
    <row r="25" spans="1:12" x14ac:dyDescent="0.3">
      <c r="A25" t="s">
        <v>949</v>
      </c>
      <c r="B25" s="9">
        <f t="shared" si="4"/>
        <v>600</v>
      </c>
      <c r="C25" s="10">
        <f t="shared" si="4"/>
        <v>0</v>
      </c>
      <c r="D25" s="9"/>
      <c r="E25" s="14"/>
      <c r="F25" s="14"/>
      <c r="G25" s="14"/>
      <c r="H25" s="14">
        <v>1</v>
      </c>
      <c r="I25" s="10">
        <v>1</v>
      </c>
      <c r="J25" s="9">
        <v>1</v>
      </c>
      <c r="K25" s="10">
        <v>1</v>
      </c>
      <c r="L25" s="17">
        <v>1</v>
      </c>
    </row>
    <row r="26" spans="1:12" x14ac:dyDescent="0.3">
      <c r="A26" t="s">
        <v>950</v>
      </c>
      <c r="B26" s="9">
        <f>B6*5</f>
        <v>50</v>
      </c>
      <c r="C26" s="10">
        <v>1</v>
      </c>
      <c r="D26" s="9">
        <v>3</v>
      </c>
      <c r="E26" s="14">
        <v>2</v>
      </c>
      <c r="F26" s="39">
        <v>2</v>
      </c>
      <c r="G26" s="39">
        <v>1</v>
      </c>
      <c r="H26" s="14">
        <v>1</v>
      </c>
      <c r="I26" s="10">
        <v>1</v>
      </c>
      <c r="J26" s="9">
        <v>1</v>
      </c>
      <c r="K26" s="10">
        <v>1</v>
      </c>
      <c r="L26" s="17"/>
    </row>
    <row r="27" spans="1:12" x14ac:dyDescent="0.3">
      <c r="A27" t="s">
        <v>2553</v>
      </c>
      <c r="B27" s="11">
        <v>650</v>
      </c>
      <c r="C27" s="12">
        <v>0</v>
      </c>
      <c r="D27" s="11"/>
      <c r="E27" s="15">
        <v>2</v>
      </c>
      <c r="F27" s="15">
        <v>2</v>
      </c>
      <c r="G27" s="15"/>
      <c r="H27" s="15">
        <v>1</v>
      </c>
      <c r="I27" s="12">
        <v>1</v>
      </c>
      <c r="J27" s="11">
        <v>1</v>
      </c>
      <c r="K27" s="12">
        <v>1</v>
      </c>
      <c r="L27" s="1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B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6" sqref="N6"/>
    </sheetView>
  </sheetViews>
  <sheetFormatPr defaultRowHeight="14.4" x14ac:dyDescent="0.3"/>
  <sheetData>
    <row r="1" spans="1:106" s="30" customFormat="1" x14ac:dyDescent="0.3">
      <c r="A1" s="29"/>
      <c r="B1" s="29">
        <v>1.0486111044883728E-2</v>
      </c>
      <c r="C1" s="29">
        <v>4.1736111044883728E-2</v>
      </c>
      <c r="D1" s="29">
        <v>8.3402775228023529E-2</v>
      </c>
      <c r="E1" s="29">
        <v>0.17715278267860413</v>
      </c>
      <c r="F1" s="29">
        <v>0.21881943941116333</v>
      </c>
      <c r="G1" s="29">
        <v>0.22923611104488373</v>
      </c>
      <c r="H1" s="29">
        <v>0.25006943941116333</v>
      </c>
      <c r="I1" s="29">
        <v>0.26048612594604492</v>
      </c>
      <c r="J1" s="29">
        <v>0.27090278267860413</v>
      </c>
      <c r="K1" s="29">
        <v>0.28131943941116333</v>
      </c>
      <c r="L1" s="29">
        <v>0.29173612594604492</v>
      </c>
      <c r="M1" s="29">
        <v>0.30215278267860413</v>
      </c>
      <c r="N1" s="30">
        <v>0.31256943941116333</v>
      </c>
      <c r="O1" s="31">
        <v>0.32298612594604492</v>
      </c>
      <c r="P1" s="31">
        <v>0.33340278267860413</v>
      </c>
      <c r="Q1" s="31">
        <v>0.34381943941116333</v>
      </c>
      <c r="R1" s="29">
        <v>0.35423612594604492</v>
      </c>
      <c r="S1" s="29">
        <v>0.36465278267860413</v>
      </c>
      <c r="T1" s="29">
        <v>0.37506943941116333</v>
      </c>
      <c r="U1" s="29">
        <v>0.38548612594604492</v>
      </c>
      <c r="V1" s="32">
        <v>0.39590278267860413</v>
      </c>
      <c r="W1" s="33">
        <v>0.40631943941116333</v>
      </c>
      <c r="X1" s="33">
        <v>0.41673612594604492</v>
      </c>
      <c r="Y1" s="33">
        <v>0.42715278267860413</v>
      </c>
      <c r="Z1" s="33">
        <v>0.43756943941116333</v>
      </c>
      <c r="AA1" s="30">
        <v>0.44798612594604492</v>
      </c>
      <c r="AB1" s="30">
        <v>0.45840278267860413</v>
      </c>
      <c r="AC1" s="33">
        <v>0.46881943941116333</v>
      </c>
      <c r="AD1" s="33">
        <v>0.47923612594604492</v>
      </c>
      <c r="AE1" s="33">
        <v>0.48965278267860413</v>
      </c>
      <c r="AF1" s="33">
        <v>0.50006943941116333</v>
      </c>
      <c r="AG1" s="33">
        <v>0.51048612594604492</v>
      </c>
      <c r="AH1" s="30">
        <v>0.52090275287628174</v>
      </c>
      <c r="AI1" s="30">
        <v>0.53131943941116333</v>
      </c>
      <c r="AJ1" s="30">
        <v>0.54173612594604492</v>
      </c>
      <c r="AK1" s="30">
        <v>0.55215275287628174</v>
      </c>
      <c r="AL1" s="30">
        <v>0.56256943941116333</v>
      </c>
      <c r="AM1" s="30">
        <v>0.57298612594604492</v>
      </c>
      <c r="AN1" s="30">
        <v>0.58340275287628174</v>
      </c>
      <c r="AO1" s="30">
        <v>0.59381943941116333</v>
      </c>
      <c r="AP1" s="30">
        <v>0.60423612594604492</v>
      </c>
      <c r="AQ1" s="30">
        <v>0.61465275287628174</v>
      </c>
      <c r="AR1" s="30">
        <v>0.62506943941116333</v>
      </c>
      <c r="AS1" s="30">
        <v>0.63548612594604492</v>
      </c>
      <c r="AT1" s="30">
        <v>0.64590275287628174</v>
      </c>
      <c r="AU1" s="30">
        <v>0.65631943941116333</v>
      </c>
      <c r="AV1" s="30">
        <v>0.66673612594604492</v>
      </c>
      <c r="AW1" s="30">
        <v>0.67715275287628174</v>
      </c>
      <c r="AX1" s="30">
        <v>0.68756943941116333</v>
      </c>
      <c r="AY1" s="30">
        <v>0.69798612594604492</v>
      </c>
      <c r="AZ1" s="30">
        <v>0.70840275287628174</v>
      </c>
      <c r="BA1" s="30">
        <v>0.71881943941116333</v>
      </c>
      <c r="BB1" s="30">
        <v>0.72923612594604492</v>
      </c>
      <c r="BC1" s="30">
        <v>0.73965275287628174</v>
      </c>
      <c r="BD1" s="30">
        <v>0.75006943941116333</v>
      </c>
      <c r="BE1" s="30">
        <v>0.76048612594604492</v>
      </c>
      <c r="BF1" s="30">
        <v>0.77090275287628174</v>
      </c>
      <c r="BG1" s="30">
        <v>0.78131943941116333</v>
      </c>
      <c r="BH1" s="30">
        <v>0.79173612594604492</v>
      </c>
      <c r="BI1" s="30">
        <v>0.80215275287628174</v>
      </c>
      <c r="BJ1" s="30">
        <v>0.81256943941116333</v>
      </c>
      <c r="BK1" s="30">
        <v>0.82298612594604492</v>
      </c>
      <c r="BL1" s="30">
        <v>0.83340275287628174</v>
      </c>
      <c r="BM1" s="30">
        <v>0.84381943941116333</v>
      </c>
      <c r="BN1" s="30">
        <v>0.85423612594604492</v>
      </c>
      <c r="BO1" s="30">
        <v>0.86465275287628174</v>
      </c>
      <c r="BP1" s="30">
        <v>0.87506943941116333</v>
      </c>
      <c r="BQ1" s="30">
        <v>0.88548612594604492</v>
      </c>
      <c r="BR1" s="30">
        <v>0.89590275287628174</v>
      </c>
      <c r="BS1" s="30">
        <v>0.90631943941116333</v>
      </c>
      <c r="BT1" s="30">
        <v>0.91673612594604492</v>
      </c>
      <c r="BU1" s="30">
        <v>0.92715275287628174</v>
      </c>
      <c r="BV1" s="30">
        <v>0.93756943941116333</v>
      </c>
      <c r="BW1" s="30">
        <v>0.94798612594604492</v>
      </c>
      <c r="BX1" s="30">
        <v>0.95840275287628174</v>
      </c>
      <c r="BY1" s="30">
        <v>0.96881943941116333</v>
      </c>
      <c r="BZ1" s="30">
        <v>0.97923612594604492</v>
      </c>
      <c r="CA1" s="30">
        <v>0.98965275287628174</v>
      </c>
      <c r="DA1" s="30">
        <v>1</v>
      </c>
      <c r="DB1" s="30">
        <f>1+0.25/24</f>
        <v>1.0104166666666667</v>
      </c>
    </row>
    <row r="2" spans="1:106" s="36" customFormat="1" x14ac:dyDescent="0.3">
      <c r="A2" s="34" t="s">
        <v>930</v>
      </c>
      <c r="B2" s="34">
        <v>0</v>
      </c>
      <c r="C2" s="35">
        <v>0</v>
      </c>
      <c r="D2" s="35">
        <v>0</v>
      </c>
      <c r="E2" s="35">
        <v>0</v>
      </c>
      <c r="F2" s="35">
        <v>0</v>
      </c>
      <c r="G2" s="35">
        <v>0</v>
      </c>
      <c r="H2" s="34">
        <v>0</v>
      </c>
      <c r="I2" s="34">
        <v>0</v>
      </c>
      <c r="J2" s="35">
        <v>0</v>
      </c>
      <c r="K2" s="34">
        <v>0</v>
      </c>
      <c r="L2" s="35">
        <v>0</v>
      </c>
      <c r="M2" s="34">
        <v>0</v>
      </c>
      <c r="N2" s="36">
        <v>0</v>
      </c>
      <c r="O2" s="36">
        <v>0</v>
      </c>
      <c r="P2" s="36">
        <v>0</v>
      </c>
      <c r="Q2" s="36">
        <v>0</v>
      </c>
      <c r="R2" s="36">
        <v>0</v>
      </c>
      <c r="S2" s="36">
        <v>0</v>
      </c>
      <c r="T2" s="36">
        <v>0</v>
      </c>
      <c r="U2" s="36">
        <v>0</v>
      </c>
      <c r="V2" s="36">
        <v>0</v>
      </c>
      <c r="W2" s="36">
        <v>0</v>
      </c>
      <c r="X2" s="36">
        <v>0</v>
      </c>
      <c r="Y2" s="36">
        <v>0</v>
      </c>
      <c r="Z2" s="36">
        <v>0</v>
      </c>
      <c r="AA2" s="36">
        <v>0</v>
      </c>
      <c r="AB2" s="36">
        <v>0</v>
      </c>
      <c r="AC2" s="36">
        <v>0</v>
      </c>
      <c r="AD2" s="36">
        <v>0</v>
      </c>
      <c r="AE2" s="36">
        <v>0</v>
      </c>
      <c r="AF2" s="36">
        <v>0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0</v>
      </c>
      <c r="AV2" s="36">
        <v>0</v>
      </c>
      <c r="AW2" s="36">
        <v>0</v>
      </c>
      <c r="AX2" s="36">
        <v>0</v>
      </c>
      <c r="AY2" s="36">
        <v>0</v>
      </c>
      <c r="AZ2" s="36">
        <v>0</v>
      </c>
      <c r="BA2" s="36">
        <v>0</v>
      </c>
      <c r="BB2" s="36">
        <v>0</v>
      </c>
      <c r="BC2" s="36">
        <v>0</v>
      </c>
      <c r="BD2" s="36">
        <v>0</v>
      </c>
      <c r="BE2" s="36">
        <v>0</v>
      </c>
      <c r="BF2" s="36">
        <v>0</v>
      </c>
      <c r="BG2" s="36">
        <v>0</v>
      </c>
      <c r="BH2" s="36">
        <v>0</v>
      </c>
      <c r="BI2" s="36">
        <v>0</v>
      </c>
      <c r="BJ2" s="36">
        <v>0</v>
      </c>
      <c r="BK2" s="36">
        <v>0</v>
      </c>
      <c r="BL2" s="36">
        <v>0</v>
      </c>
      <c r="BM2" s="36">
        <v>0</v>
      </c>
      <c r="BN2" s="36">
        <v>0</v>
      </c>
      <c r="BO2" s="36">
        <v>0</v>
      </c>
      <c r="BP2" s="36">
        <v>0</v>
      </c>
      <c r="BQ2" s="36">
        <v>0</v>
      </c>
      <c r="BR2" s="36">
        <v>0</v>
      </c>
      <c r="BS2" s="36">
        <v>0</v>
      </c>
      <c r="BT2" s="36">
        <v>0</v>
      </c>
      <c r="BU2" s="36">
        <v>0</v>
      </c>
      <c r="BV2" s="36">
        <v>0</v>
      </c>
      <c r="BW2" s="36">
        <v>0</v>
      </c>
      <c r="BX2" s="36">
        <v>0</v>
      </c>
      <c r="BY2" s="36">
        <v>0</v>
      </c>
      <c r="BZ2" s="36">
        <v>0</v>
      </c>
      <c r="CA2" s="36">
        <v>0</v>
      </c>
      <c r="DA2" s="36">
        <f t="shared" ref="DA2:DA25" si="0">MAX(B2:CA2)</f>
        <v>0</v>
      </c>
    </row>
    <row r="3" spans="1:106" s="36" customFormat="1" x14ac:dyDescent="0.3">
      <c r="A3" s="34" t="s">
        <v>931</v>
      </c>
      <c r="B3" s="34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4">
        <v>0</v>
      </c>
      <c r="I3" s="34">
        <v>0</v>
      </c>
      <c r="J3" s="35">
        <v>0</v>
      </c>
      <c r="K3" s="34">
        <v>0</v>
      </c>
      <c r="L3" s="35">
        <v>0</v>
      </c>
      <c r="M3" s="34">
        <v>0</v>
      </c>
      <c r="N3" s="36">
        <v>0</v>
      </c>
      <c r="O3" s="36">
        <v>0</v>
      </c>
      <c r="P3" s="36">
        <v>0</v>
      </c>
      <c r="Q3" s="36">
        <v>0</v>
      </c>
      <c r="R3" s="36">
        <v>0</v>
      </c>
      <c r="S3" s="36">
        <v>0</v>
      </c>
      <c r="T3" s="36">
        <v>0</v>
      </c>
      <c r="U3" s="36">
        <v>0</v>
      </c>
      <c r="V3" s="36">
        <v>0</v>
      </c>
      <c r="W3" s="36">
        <v>0</v>
      </c>
      <c r="X3" s="36">
        <v>0</v>
      </c>
      <c r="Y3" s="36">
        <v>0</v>
      </c>
      <c r="Z3" s="36">
        <v>0</v>
      </c>
      <c r="AA3" s="36">
        <v>0</v>
      </c>
      <c r="AB3" s="36">
        <v>0</v>
      </c>
      <c r="AC3" s="36">
        <v>0</v>
      </c>
      <c r="AD3" s="36">
        <v>0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36">
        <v>0</v>
      </c>
      <c r="BB3" s="36">
        <v>0</v>
      </c>
      <c r="BC3" s="36">
        <v>0</v>
      </c>
      <c r="BD3" s="36">
        <v>0</v>
      </c>
      <c r="BE3" s="36">
        <v>0</v>
      </c>
      <c r="BF3" s="36">
        <v>0</v>
      </c>
      <c r="BG3" s="36">
        <v>0</v>
      </c>
      <c r="BH3" s="36">
        <v>0</v>
      </c>
      <c r="BI3" s="36">
        <v>0</v>
      </c>
      <c r="BJ3" s="36">
        <v>0</v>
      </c>
      <c r="BK3" s="36">
        <v>0</v>
      </c>
      <c r="BL3" s="36">
        <v>0</v>
      </c>
      <c r="BM3" s="36">
        <v>0</v>
      </c>
      <c r="BN3" s="36">
        <v>0</v>
      </c>
      <c r="BO3" s="36">
        <v>0</v>
      </c>
      <c r="BP3" s="36">
        <v>0</v>
      </c>
      <c r="BQ3" s="36">
        <v>0</v>
      </c>
      <c r="BR3" s="36">
        <v>0</v>
      </c>
      <c r="BS3" s="36">
        <v>0</v>
      </c>
      <c r="BT3" s="36">
        <v>0</v>
      </c>
      <c r="BU3" s="36">
        <v>0</v>
      </c>
      <c r="BV3" s="36">
        <v>0</v>
      </c>
      <c r="BW3" s="36">
        <v>0</v>
      </c>
      <c r="BX3" s="36">
        <v>0</v>
      </c>
      <c r="BY3" s="36">
        <v>0</v>
      </c>
      <c r="BZ3" s="36">
        <v>0</v>
      </c>
      <c r="CA3" s="36">
        <v>0</v>
      </c>
      <c r="DA3" s="36">
        <f t="shared" si="0"/>
        <v>0</v>
      </c>
    </row>
    <row r="4" spans="1:106" s="36" customFormat="1" x14ac:dyDescent="0.3">
      <c r="A4" s="34" t="s">
        <v>22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4">
        <v>0</v>
      </c>
      <c r="I4" s="34">
        <v>0</v>
      </c>
      <c r="J4" s="35">
        <v>0</v>
      </c>
      <c r="K4" s="34">
        <v>0</v>
      </c>
      <c r="L4" s="35">
        <v>0</v>
      </c>
      <c r="M4" s="34">
        <v>0</v>
      </c>
      <c r="N4" s="36">
        <v>0</v>
      </c>
      <c r="O4" s="36">
        <v>0</v>
      </c>
      <c r="P4" s="36">
        <v>0</v>
      </c>
      <c r="Q4" s="36">
        <v>0</v>
      </c>
      <c r="R4" s="36">
        <v>0</v>
      </c>
      <c r="S4" s="36">
        <v>0</v>
      </c>
      <c r="T4" s="36">
        <v>0</v>
      </c>
      <c r="U4" s="36">
        <v>0</v>
      </c>
      <c r="V4" s="36">
        <v>0</v>
      </c>
      <c r="W4" s="36">
        <v>0</v>
      </c>
      <c r="X4" s="36">
        <v>0</v>
      </c>
      <c r="Y4" s="36">
        <v>0</v>
      </c>
      <c r="Z4" s="36">
        <v>0</v>
      </c>
      <c r="AA4" s="36">
        <v>0</v>
      </c>
      <c r="AB4" s="36">
        <v>0</v>
      </c>
      <c r="AC4" s="36">
        <v>0</v>
      </c>
      <c r="AD4" s="36">
        <v>0</v>
      </c>
      <c r="AE4" s="36">
        <v>0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V4" s="36">
        <v>0</v>
      </c>
      <c r="AW4" s="36">
        <v>0</v>
      </c>
      <c r="AX4" s="36">
        <v>0</v>
      </c>
      <c r="AY4" s="36">
        <v>0</v>
      </c>
      <c r="AZ4" s="36">
        <v>0</v>
      </c>
      <c r="BA4" s="36">
        <v>0</v>
      </c>
      <c r="BB4" s="36">
        <v>0</v>
      </c>
      <c r="BC4" s="36">
        <v>0</v>
      </c>
      <c r="BD4" s="36">
        <v>0</v>
      </c>
      <c r="BE4" s="36">
        <v>0</v>
      </c>
      <c r="BF4" s="36">
        <v>0</v>
      </c>
      <c r="BG4" s="36">
        <v>0</v>
      </c>
      <c r="BH4" s="36">
        <v>0</v>
      </c>
      <c r="BI4" s="36">
        <v>0</v>
      </c>
      <c r="BJ4" s="36">
        <v>0</v>
      </c>
      <c r="BK4" s="36">
        <v>0</v>
      </c>
      <c r="BL4" s="36">
        <v>0</v>
      </c>
      <c r="BM4" s="36">
        <v>0</v>
      </c>
      <c r="BN4" s="36">
        <v>0</v>
      </c>
      <c r="BO4" s="36">
        <v>0</v>
      </c>
      <c r="BP4" s="36">
        <v>0</v>
      </c>
      <c r="BQ4" s="36">
        <v>0</v>
      </c>
      <c r="BR4" s="36">
        <v>0</v>
      </c>
      <c r="BS4" s="36">
        <v>0</v>
      </c>
      <c r="BT4" s="36">
        <v>0</v>
      </c>
      <c r="BU4" s="36">
        <v>0</v>
      </c>
      <c r="BV4" s="36">
        <v>0</v>
      </c>
      <c r="BW4" s="36">
        <v>0</v>
      </c>
      <c r="BX4" s="36">
        <v>0</v>
      </c>
      <c r="BY4" s="36">
        <v>0</v>
      </c>
      <c r="BZ4" s="36">
        <v>0</v>
      </c>
      <c r="CA4" s="36">
        <v>0</v>
      </c>
      <c r="DA4" s="36">
        <f t="shared" si="0"/>
        <v>0</v>
      </c>
    </row>
    <row r="5" spans="1:106" s="36" customFormat="1" x14ac:dyDescent="0.3">
      <c r="A5" s="34" t="s">
        <v>943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4">
        <v>0</v>
      </c>
      <c r="I5" s="34">
        <v>0</v>
      </c>
      <c r="J5" s="35">
        <v>0</v>
      </c>
      <c r="K5" s="34">
        <v>0</v>
      </c>
      <c r="L5" s="35">
        <v>0</v>
      </c>
      <c r="M5" s="34">
        <v>0</v>
      </c>
      <c r="N5" s="36"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B5" s="36">
        <v>0</v>
      </c>
      <c r="AC5" s="36">
        <v>0</v>
      </c>
      <c r="AD5" s="36">
        <v>0</v>
      </c>
      <c r="AE5" s="36">
        <v>0</v>
      </c>
      <c r="AF5" s="36">
        <v>0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V5" s="36">
        <v>0</v>
      </c>
      <c r="AW5" s="36">
        <v>0</v>
      </c>
      <c r="AX5" s="36">
        <v>0</v>
      </c>
      <c r="AY5" s="36">
        <v>0</v>
      </c>
      <c r="AZ5" s="36">
        <v>0</v>
      </c>
      <c r="BA5" s="36">
        <v>0</v>
      </c>
      <c r="BB5" s="36">
        <v>0</v>
      </c>
      <c r="BC5" s="36">
        <v>0</v>
      </c>
      <c r="BD5" s="36">
        <v>0</v>
      </c>
      <c r="BE5" s="36">
        <v>0</v>
      </c>
      <c r="BF5" s="36">
        <v>0</v>
      </c>
      <c r="BG5" s="36">
        <v>0</v>
      </c>
      <c r="BH5" s="36">
        <v>0</v>
      </c>
      <c r="BI5" s="36">
        <v>0</v>
      </c>
      <c r="BJ5" s="36">
        <v>0</v>
      </c>
      <c r="BK5" s="36">
        <v>0</v>
      </c>
      <c r="BL5" s="36">
        <v>0</v>
      </c>
      <c r="BM5" s="36">
        <v>0</v>
      </c>
      <c r="BN5" s="36">
        <v>0</v>
      </c>
      <c r="BO5" s="36">
        <v>0</v>
      </c>
      <c r="BP5" s="36">
        <v>0</v>
      </c>
      <c r="BQ5" s="36">
        <v>0</v>
      </c>
      <c r="BR5" s="36">
        <v>0</v>
      </c>
      <c r="BS5" s="36">
        <v>0</v>
      </c>
      <c r="BT5" s="36">
        <v>0</v>
      </c>
      <c r="BU5" s="36">
        <v>0</v>
      </c>
      <c r="BV5" s="36">
        <v>0</v>
      </c>
      <c r="BW5" s="36">
        <v>0</v>
      </c>
      <c r="BX5" s="36">
        <v>0</v>
      </c>
      <c r="BY5" s="36">
        <v>0</v>
      </c>
      <c r="BZ5" s="36">
        <v>0</v>
      </c>
      <c r="CA5" s="36">
        <v>0</v>
      </c>
      <c r="DA5" s="36">
        <f t="shared" si="0"/>
        <v>0</v>
      </c>
    </row>
    <row r="6" spans="1:106" s="36" customFormat="1" x14ac:dyDescent="0.3">
      <c r="A6" s="34" t="s">
        <v>932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4">
        <v>4</v>
      </c>
      <c r="I6" s="34">
        <v>5</v>
      </c>
      <c r="J6" s="35">
        <v>5</v>
      </c>
      <c r="K6" s="34">
        <v>4</v>
      </c>
      <c r="L6" s="35">
        <v>4</v>
      </c>
      <c r="M6" s="34">
        <v>3</v>
      </c>
      <c r="N6" s="36">
        <v>4</v>
      </c>
      <c r="O6" s="36">
        <v>5</v>
      </c>
      <c r="P6" s="36">
        <v>5</v>
      </c>
      <c r="Q6" s="36">
        <v>4</v>
      </c>
      <c r="R6" s="36">
        <v>5</v>
      </c>
      <c r="S6" s="36">
        <v>5</v>
      </c>
      <c r="T6" s="36">
        <v>3</v>
      </c>
      <c r="U6" s="36">
        <v>4</v>
      </c>
      <c r="V6" s="36">
        <v>5</v>
      </c>
      <c r="W6" s="36">
        <v>6</v>
      </c>
      <c r="X6" s="36">
        <v>4</v>
      </c>
      <c r="Y6" s="36">
        <v>3</v>
      </c>
      <c r="Z6" s="36">
        <v>2</v>
      </c>
      <c r="AA6" s="36">
        <v>2</v>
      </c>
      <c r="AB6" s="36">
        <v>1</v>
      </c>
      <c r="AC6" s="36">
        <v>2</v>
      </c>
      <c r="AD6" s="36">
        <v>2</v>
      </c>
      <c r="AE6" s="36">
        <v>5</v>
      </c>
      <c r="AF6" s="36">
        <v>4</v>
      </c>
      <c r="AG6" s="36">
        <v>5</v>
      </c>
      <c r="AH6" s="36">
        <v>2</v>
      </c>
      <c r="AI6" s="36">
        <v>2</v>
      </c>
      <c r="AJ6" s="36">
        <v>0</v>
      </c>
      <c r="AK6" s="36">
        <v>3</v>
      </c>
      <c r="AL6" s="36">
        <v>3</v>
      </c>
      <c r="AM6" s="36">
        <v>2</v>
      </c>
      <c r="AN6" s="36">
        <v>1</v>
      </c>
      <c r="AO6" s="36">
        <v>3</v>
      </c>
      <c r="AP6" s="36">
        <v>3</v>
      </c>
      <c r="AQ6" s="36">
        <v>5</v>
      </c>
      <c r="AR6" s="36">
        <v>4</v>
      </c>
      <c r="AS6" s="36">
        <v>6</v>
      </c>
      <c r="AT6" s="36">
        <v>5</v>
      </c>
      <c r="AU6" s="36">
        <v>2</v>
      </c>
      <c r="AV6" s="36">
        <v>2</v>
      </c>
      <c r="AW6" s="36">
        <v>3</v>
      </c>
      <c r="AX6" s="36">
        <v>2</v>
      </c>
      <c r="AY6" s="36">
        <v>4</v>
      </c>
      <c r="AZ6" s="36">
        <v>2</v>
      </c>
      <c r="BA6" s="36">
        <v>4</v>
      </c>
      <c r="BB6" s="36">
        <v>4</v>
      </c>
      <c r="BC6" s="36">
        <v>7</v>
      </c>
      <c r="BD6" s="36">
        <v>4</v>
      </c>
      <c r="BE6" s="36">
        <v>5</v>
      </c>
      <c r="BF6" s="36">
        <v>3</v>
      </c>
      <c r="BG6" s="36">
        <v>3</v>
      </c>
      <c r="BH6" s="36">
        <v>3</v>
      </c>
      <c r="BI6" s="36">
        <v>4</v>
      </c>
      <c r="BJ6" s="36">
        <v>2</v>
      </c>
      <c r="BK6" s="36">
        <v>1</v>
      </c>
      <c r="BL6" s="36">
        <v>2</v>
      </c>
      <c r="BM6" s="36">
        <v>5</v>
      </c>
      <c r="BN6" s="36">
        <v>7</v>
      </c>
      <c r="BO6" s="36">
        <v>5</v>
      </c>
      <c r="BP6" s="36">
        <v>4</v>
      </c>
      <c r="BQ6" s="36">
        <v>6</v>
      </c>
      <c r="BR6" s="36">
        <v>3</v>
      </c>
      <c r="BS6" s="36">
        <v>3</v>
      </c>
      <c r="BT6" s="36">
        <v>3</v>
      </c>
      <c r="BU6" s="36">
        <v>3</v>
      </c>
      <c r="BV6" s="36">
        <v>4</v>
      </c>
      <c r="BW6" s="36">
        <v>3</v>
      </c>
      <c r="BX6" s="36">
        <v>2</v>
      </c>
      <c r="BY6" s="36">
        <v>0</v>
      </c>
      <c r="BZ6" s="36">
        <v>0</v>
      </c>
      <c r="CA6" s="36">
        <v>0</v>
      </c>
      <c r="DA6" s="36">
        <f t="shared" si="0"/>
        <v>7</v>
      </c>
    </row>
    <row r="7" spans="1:106" s="36" customFormat="1" x14ac:dyDescent="0.3">
      <c r="A7" s="34" t="s">
        <v>933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1</v>
      </c>
      <c r="H7" s="34">
        <v>0</v>
      </c>
      <c r="I7" s="34">
        <v>0</v>
      </c>
      <c r="J7" s="35">
        <v>0</v>
      </c>
      <c r="K7" s="34">
        <v>1</v>
      </c>
      <c r="L7" s="35">
        <v>1</v>
      </c>
      <c r="M7" s="34">
        <v>1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1</v>
      </c>
      <c r="U7" s="36">
        <v>1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1</v>
      </c>
      <c r="AB7" s="36">
        <v>1</v>
      </c>
      <c r="AC7" s="36">
        <v>1</v>
      </c>
      <c r="AD7" s="36">
        <v>1</v>
      </c>
      <c r="AE7" s="36">
        <v>0</v>
      </c>
      <c r="AF7" s="36">
        <v>0</v>
      </c>
      <c r="AG7" s="36">
        <v>2</v>
      </c>
      <c r="AH7" s="36">
        <v>2</v>
      </c>
      <c r="AI7" s="36">
        <v>1</v>
      </c>
      <c r="AJ7" s="36">
        <v>0</v>
      </c>
      <c r="AK7" s="36">
        <v>0</v>
      </c>
      <c r="AL7" s="36">
        <v>0</v>
      </c>
      <c r="AM7" s="36">
        <v>1</v>
      </c>
      <c r="AN7" s="36">
        <v>2</v>
      </c>
      <c r="AO7" s="36">
        <v>1</v>
      </c>
      <c r="AP7" s="36">
        <v>0</v>
      </c>
      <c r="AQ7" s="36">
        <v>2</v>
      </c>
      <c r="AR7" s="36">
        <v>3</v>
      </c>
      <c r="AS7" s="36">
        <v>3</v>
      </c>
      <c r="AT7" s="36">
        <v>0</v>
      </c>
      <c r="AU7" s="36">
        <v>0</v>
      </c>
      <c r="AV7" s="36">
        <v>1</v>
      </c>
      <c r="AW7" s="36">
        <v>1</v>
      </c>
      <c r="AX7" s="36">
        <v>1</v>
      </c>
      <c r="AY7" s="36">
        <v>1</v>
      </c>
      <c r="AZ7" s="36">
        <v>0</v>
      </c>
      <c r="BA7" s="36">
        <v>0</v>
      </c>
      <c r="BB7" s="36">
        <v>1</v>
      </c>
      <c r="BC7" s="36">
        <v>2</v>
      </c>
      <c r="BD7" s="36">
        <v>2</v>
      </c>
      <c r="BE7" s="36">
        <v>0</v>
      </c>
      <c r="BF7" s="36">
        <v>0</v>
      </c>
      <c r="BG7" s="36">
        <v>0</v>
      </c>
      <c r="BH7" s="36">
        <v>0</v>
      </c>
      <c r="BI7" s="36">
        <v>1</v>
      </c>
      <c r="BJ7" s="36">
        <v>1</v>
      </c>
      <c r="BK7" s="36">
        <v>0</v>
      </c>
      <c r="BL7" s="36">
        <v>1</v>
      </c>
      <c r="BM7" s="36">
        <v>1</v>
      </c>
      <c r="BN7" s="36">
        <v>0</v>
      </c>
      <c r="BO7" s="36">
        <v>0</v>
      </c>
      <c r="BP7" s="36">
        <v>0</v>
      </c>
      <c r="BQ7" s="36">
        <v>1</v>
      </c>
      <c r="BR7" s="36">
        <v>1</v>
      </c>
      <c r="BS7" s="36">
        <v>0</v>
      </c>
      <c r="BT7" s="36">
        <v>0</v>
      </c>
      <c r="BU7" s="36">
        <v>1</v>
      </c>
      <c r="BV7" s="36">
        <v>2</v>
      </c>
      <c r="BW7" s="36">
        <v>1</v>
      </c>
      <c r="BX7" s="36">
        <v>0</v>
      </c>
      <c r="BY7" s="36">
        <v>0</v>
      </c>
      <c r="BZ7" s="36">
        <v>0</v>
      </c>
      <c r="CA7" s="36">
        <v>0</v>
      </c>
      <c r="DA7" s="36">
        <f t="shared" si="0"/>
        <v>3</v>
      </c>
    </row>
    <row r="8" spans="1:106" s="36" customFormat="1" x14ac:dyDescent="0.3">
      <c r="A8" s="34" t="s">
        <v>937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4">
        <v>0</v>
      </c>
      <c r="I8" s="34">
        <v>0</v>
      </c>
      <c r="J8" s="35">
        <v>1</v>
      </c>
      <c r="K8" s="34">
        <v>2</v>
      </c>
      <c r="L8" s="35">
        <v>2</v>
      </c>
      <c r="M8" s="34">
        <v>3</v>
      </c>
      <c r="N8" s="36">
        <v>3</v>
      </c>
      <c r="O8" s="36">
        <v>5</v>
      </c>
      <c r="P8" s="36">
        <v>5</v>
      </c>
      <c r="Q8" s="36">
        <v>5</v>
      </c>
      <c r="R8" s="36">
        <v>3</v>
      </c>
      <c r="S8" s="36">
        <v>3</v>
      </c>
      <c r="T8" s="36">
        <v>3</v>
      </c>
      <c r="U8" s="36">
        <v>4</v>
      </c>
      <c r="V8" s="36">
        <v>4</v>
      </c>
      <c r="W8" s="36">
        <v>6</v>
      </c>
      <c r="X8" s="36">
        <v>5</v>
      </c>
      <c r="Y8" s="36">
        <v>3</v>
      </c>
      <c r="Z8" s="36">
        <v>1</v>
      </c>
      <c r="AA8" s="36">
        <v>2</v>
      </c>
      <c r="AB8" s="36">
        <v>2</v>
      </c>
      <c r="AC8" s="36">
        <v>1</v>
      </c>
      <c r="AD8" s="36">
        <v>1</v>
      </c>
      <c r="AE8" s="36">
        <v>2</v>
      </c>
      <c r="AF8" s="36">
        <v>2</v>
      </c>
      <c r="AG8" s="36">
        <v>2</v>
      </c>
      <c r="AH8" s="36">
        <v>2</v>
      </c>
      <c r="AI8" s="36">
        <v>4</v>
      </c>
      <c r="AJ8" s="36">
        <v>4</v>
      </c>
      <c r="AK8" s="36">
        <v>4</v>
      </c>
      <c r="AL8" s="36">
        <v>0</v>
      </c>
      <c r="AM8" s="36">
        <v>0</v>
      </c>
      <c r="AN8" s="36">
        <v>1</v>
      </c>
      <c r="AO8" s="36">
        <v>1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3</v>
      </c>
      <c r="AV8" s="36">
        <v>3</v>
      </c>
      <c r="AW8" s="36">
        <v>3</v>
      </c>
      <c r="AX8" s="36">
        <v>1</v>
      </c>
      <c r="AY8" s="36">
        <v>2</v>
      </c>
      <c r="AZ8" s="36">
        <v>1</v>
      </c>
      <c r="BA8" s="36">
        <v>1</v>
      </c>
      <c r="BB8" s="36">
        <v>1</v>
      </c>
      <c r="BC8" s="36">
        <v>2</v>
      </c>
      <c r="BD8" s="36">
        <v>1</v>
      </c>
      <c r="BE8" s="36">
        <v>3</v>
      </c>
      <c r="BF8" s="36">
        <v>2</v>
      </c>
      <c r="BG8" s="36">
        <v>2</v>
      </c>
      <c r="BH8" s="36">
        <v>0</v>
      </c>
      <c r="BI8" s="36">
        <v>0</v>
      </c>
      <c r="BJ8" s="36">
        <v>2</v>
      </c>
      <c r="BK8" s="36">
        <v>3</v>
      </c>
      <c r="BL8" s="36">
        <v>4</v>
      </c>
      <c r="BM8" s="36">
        <v>4</v>
      </c>
      <c r="BN8" s="36">
        <v>3</v>
      </c>
      <c r="BO8" s="36">
        <v>3</v>
      </c>
      <c r="BP8" s="36">
        <v>2</v>
      </c>
      <c r="BQ8" s="36">
        <v>3</v>
      </c>
      <c r="BR8" s="36">
        <v>3</v>
      </c>
      <c r="BS8" s="36">
        <v>2</v>
      </c>
      <c r="BT8" s="36">
        <v>2</v>
      </c>
      <c r="BU8" s="36">
        <v>1</v>
      </c>
      <c r="BV8" s="36">
        <v>1</v>
      </c>
      <c r="BW8" s="36">
        <v>1</v>
      </c>
      <c r="BX8" s="36">
        <v>1</v>
      </c>
      <c r="BY8" s="36">
        <v>0</v>
      </c>
      <c r="BZ8" s="36">
        <v>0</v>
      </c>
      <c r="CA8" s="36">
        <v>0</v>
      </c>
      <c r="DA8" s="36">
        <f t="shared" si="0"/>
        <v>6</v>
      </c>
    </row>
    <row r="9" spans="1:106" s="36" customFormat="1" x14ac:dyDescent="0.3">
      <c r="A9" s="34" t="s">
        <v>176</v>
      </c>
      <c r="B9" s="34">
        <v>2</v>
      </c>
      <c r="C9" s="35">
        <v>2</v>
      </c>
      <c r="D9" s="35">
        <v>2</v>
      </c>
      <c r="E9" s="35">
        <v>2</v>
      </c>
      <c r="F9" s="35">
        <v>2</v>
      </c>
      <c r="G9" s="35">
        <v>0</v>
      </c>
      <c r="H9" s="34">
        <v>0</v>
      </c>
      <c r="I9" s="34">
        <v>0</v>
      </c>
      <c r="J9" s="35">
        <v>0</v>
      </c>
      <c r="K9" s="34">
        <v>0</v>
      </c>
      <c r="L9" s="35">
        <v>0</v>
      </c>
      <c r="M9" s="34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0</v>
      </c>
      <c r="AY9" s="36">
        <v>0</v>
      </c>
      <c r="AZ9" s="36">
        <v>0</v>
      </c>
      <c r="BA9" s="36">
        <v>0</v>
      </c>
      <c r="BB9" s="36">
        <v>0</v>
      </c>
      <c r="BC9" s="36">
        <v>0</v>
      </c>
      <c r="BD9" s="36">
        <v>0</v>
      </c>
      <c r="BE9" s="36">
        <v>0</v>
      </c>
      <c r="BF9" s="36">
        <v>0</v>
      </c>
      <c r="BG9" s="36">
        <v>0</v>
      </c>
      <c r="BH9" s="36">
        <v>0</v>
      </c>
      <c r="BI9" s="36">
        <v>0</v>
      </c>
      <c r="BJ9" s="36">
        <v>0</v>
      </c>
      <c r="BK9" s="36">
        <v>0</v>
      </c>
      <c r="BL9" s="36">
        <v>0</v>
      </c>
      <c r="BM9" s="36">
        <v>0</v>
      </c>
      <c r="BN9" s="36">
        <v>1</v>
      </c>
      <c r="BO9" s="36">
        <v>3</v>
      </c>
      <c r="BP9" s="36">
        <v>5</v>
      </c>
      <c r="BQ9" s="36">
        <v>5</v>
      </c>
      <c r="BR9" s="36">
        <v>6</v>
      </c>
      <c r="BS9" s="36">
        <v>6</v>
      </c>
      <c r="BT9" s="36">
        <v>6</v>
      </c>
      <c r="BU9" s="36">
        <v>4</v>
      </c>
      <c r="BV9" s="36">
        <v>2</v>
      </c>
      <c r="BW9" s="36">
        <v>2</v>
      </c>
      <c r="BX9" s="36">
        <v>2</v>
      </c>
      <c r="BY9" s="36">
        <v>2</v>
      </c>
      <c r="BZ9" s="36">
        <v>2</v>
      </c>
      <c r="CA9" s="36">
        <v>2</v>
      </c>
      <c r="DA9" s="36">
        <f t="shared" si="0"/>
        <v>6</v>
      </c>
    </row>
    <row r="10" spans="1:106" s="36" customFormat="1" x14ac:dyDescent="0.3">
      <c r="A10" s="34" t="s">
        <v>934</v>
      </c>
      <c r="B10" s="34">
        <v>2</v>
      </c>
      <c r="C10" s="35">
        <v>0</v>
      </c>
      <c r="D10" s="35">
        <v>2</v>
      </c>
      <c r="E10" s="35">
        <v>1</v>
      </c>
      <c r="F10" s="35">
        <v>6</v>
      </c>
      <c r="G10" s="35">
        <v>15</v>
      </c>
      <c r="H10" s="34">
        <v>15</v>
      </c>
      <c r="I10" s="34">
        <v>7</v>
      </c>
      <c r="J10" s="35">
        <v>12</v>
      </c>
      <c r="K10" s="34">
        <v>18</v>
      </c>
      <c r="L10" s="35">
        <v>15</v>
      </c>
      <c r="M10" s="34">
        <v>11</v>
      </c>
      <c r="N10" s="36">
        <v>14</v>
      </c>
      <c r="O10" s="36">
        <v>17</v>
      </c>
      <c r="P10" s="36">
        <v>17</v>
      </c>
      <c r="Q10" s="36">
        <v>16</v>
      </c>
      <c r="R10" s="36">
        <v>17</v>
      </c>
      <c r="S10" s="36">
        <v>17</v>
      </c>
      <c r="T10" s="36">
        <v>20</v>
      </c>
      <c r="U10" s="36">
        <v>24</v>
      </c>
      <c r="V10" s="36">
        <v>26</v>
      </c>
      <c r="W10" s="36">
        <v>23</v>
      </c>
      <c r="X10" s="36">
        <v>20</v>
      </c>
      <c r="Y10" s="36">
        <v>22</v>
      </c>
      <c r="Z10" s="36">
        <v>25</v>
      </c>
      <c r="AA10" s="36">
        <v>32</v>
      </c>
      <c r="AB10" s="36">
        <v>34</v>
      </c>
      <c r="AC10" s="36">
        <v>36</v>
      </c>
      <c r="AD10" s="36">
        <v>29</v>
      </c>
      <c r="AE10" s="36">
        <v>25</v>
      </c>
      <c r="AF10" s="36">
        <v>25</v>
      </c>
      <c r="AG10" s="36">
        <v>23</v>
      </c>
      <c r="AH10" s="36">
        <v>22</v>
      </c>
      <c r="AI10" s="36">
        <v>21</v>
      </c>
      <c r="AJ10" s="36">
        <v>18</v>
      </c>
      <c r="AK10" s="36">
        <v>19</v>
      </c>
      <c r="AL10" s="36">
        <v>20</v>
      </c>
      <c r="AM10" s="36">
        <v>20</v>
      </c>
      <c r="AN10" s="36">
        <v>20</v>
      </c>
      <c r="AO10" s="36">
        <v>23</v>
      </c>
      <c r="AP10" s="36">
        <v>24</v>
      </c>
      <c r="AQ10" s="36">
        <v>26</v>
      </c>
      <c r="AR10" s="36">
        <v>23</v>
      </c>
      <c r="AS10" s="36">
        <v>18</v>
      </c>
      <c r="AT10" s="36">
        <v>15</v>
      </c>
      <c r="AU10" s="36">
        <v>13</v>
      </c>
      <c r="AV10" s="36">
        <v>15</v>
      </c>
      <c r="AW10" s="36">
        <v>11</v>
      </c>
      <c r="AX10" s="36">
        <v>17</v>
      </c>
      <c r="AY10" s="36">
        <v>21</v>
      </c>
      <c r="AZ10" s="36">
        <v>24</v>
      </c>
      <c r="BA10" s="36">
        <v>23</v>
      </c>
      <c r="BB10" s="36">
        <v>19</v>
      </c>
      <c r="BC10" s="36">
        <v>21</v>
      </c>
      <c r="BD10" s="36">
        <v>11</v>
      </c>
      <c r="BE10" s="36">
        <v>11</v>
      </c>
      <c r="BF10" s="36">
        <v>18</v>
      </c>
      <c r="BG10" s="36">
        <v>20</v>
      </c>
      <c r="BH10" s="36">
        <v>19</v>
      </c>
      <c r="BI10" s="36">
        <v>17</v>
      </c>
      <c r="BJ10" s="36">
        <v>15</v>
      </c>
      <c r="BK10" s="36">
        <v>22</v>
      </c>
      <c r="BL10" s="36">
        <v>23</v>
      </c>
      <c r="BM10" s="36">
        <v>24</v>
      </c>
      <c r="BN10" s="36">
        <v>26</v>
      </c>
      <c r="BO10" s="36">
        <v>23</v>
      </c>
      <c r="BP10" s="36">
        <v>23</v>
      </c>
      <c r="BQ10" s="36">
        <v>18</v>
      </c>
      <c r="BR10" s="36">
        <v>19</v>
      </c>
      <c r="BS10" s="36">
        <v>19</v>
      </c>
      <c r="BT10" s="36">
        <v>18</v>
      </c>
      <c r="BU10" s="36">
        <v>19</v>
      </c>
      <c r="BV10" s="36">
        <v>21</v>
      </c>
      <c r="BW10" s="36">
        <v>20</v>
      </c>
      <c r="BX10" s="36">
        <v>14</v>
      </c>
      <c r="BY10" s="36">
        <v>14</v>
      </c>
      <c r="BZ10" s="36">
        <v>10</v>
      </c>
      <c r="CA10" s="36">
        <v>8</v>
      </c>
      <c r="DA10" s="36">
        <f t="shared" si="0"/>
        <v>36</v>
      </c>
    </row>
    <row r="11" spans="1:106" s="36" customFormat="1" x14ac:dyDescent="0.3">
      <c r="A11" s="34" t="s">
        <v>524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4">
        <v>0</v>
      </c>
      <c r="I11" s="34">
        <v>0</v>
      </c>
      <c r="J11" s="35">
        <v>0</v>
      </c>
      <c r="K11" s="34">
        <v>0</v>
      </c>
      <c r="L11" s="35">
        <v>1</v>
      </c>
      <c r="M11" s="34">
        <v>1</v>
      </c>
      <c r="N11" s="36">
        <v>0</v>
      </c>
      <c r="O11" s="36">
        <v>2</v>
      </c>
      <c r="P11" s="36">
        <v>2</v>
      </c>
      <c r="Q11" s="36">
        <v>1</v>
      </c>
      <c r="R11" s="36">
        <v>1</v>
      </c>
      <c r="S11" s="36">
        <v>1</v>
      </c>
      <c r="T11" s="36">
        <v>1</v>
      </c>
      <c r="U11" s="36">
        <v>1</v>
      </c>
      <c r="V11" s="36">
        <v>1</v>
      </c>
      <c r="W11" s="36">
        <v>1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36">
        <v>0</v>
      </c>
      <c r="BH11" s="36">
        <v>0</v>
      </c>
      <c r="BI11" s="36">
        <v>0</v>
      </c>
      <c r="BJ11" s="36">
        <v>0</v>
      </c>
      <c r="BK11" s="36">
        <v>1</v>
      </c>
      <c r="BL11" s="36">
        <v>1</v>
      </c>
      <c r="BM11" s="36">
        <v>0</v>
      </c>
      <c r="BN11" s="36">
        <v>0</v>
      </c>
      <c r="BO11" s="36">
        <v>0</v>
      </c>
      <c r="BP11" s="36">
        <v>0</v>
      </c>
      <c r="BQ11" s="36">
        <v>0</v>
      </c>
      <c r="BR11" s="36">
        <v>0</v>
      </c>
      <c r="BS11" s="36">
        <v>0</v>
      </c>
      <c r="BT11" s="36">
        <v>0</v>
      </c>
      <c r="BU11" s="36">
        <v>0</v>
      </c>
      <c r="BV11" s="36">
        <v>0</v>
      </c>
      <c r="BW11" s="36">
        <v>0</v>
      </c>
      <c r="BX11" s="36">
        <v>0</v>
      </c>
      <c r="BY11" s="36">
        <v>0</v>
      </c>
      <c r="BZ11" s="36">
        <v>0</v>
      </c>
      <c r="CA11" s="36">
        <v>0</v>
      </c>
      <c r="DA11" s="36">
        <f t="shared" si="0"/>
        <v>2</v>
      </c>
    </row>
    <row r="12" spans="1:106" s="36" customFormat="1" x14ac:dyDescent="0.3">
      <c r="A12" s="34" t="s">
        <v>938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4">
        <v>0</v>
      </c>
      <c r="I12" s="34">
        <v>0</v>
      </c>
      <c r="J12" s="35">
        <v>0</v>
      </c>
      <c r="K12" s="34">
        <v>0</v>
      </c>
      <c r="L12" s="35">
        <v>0</v>
      </c>
      <c r="M12" s="34">
        <v>0</v>
      </c>
      <c r="N12" s="36">
        <v>0</v>
      </c>
      <c r="O12" s="36">
        <v>0</v>
      </c>
      <c r="P12" s="36">
        <v>1</v>
      </c>
      <c r="Q12" s="36">
        <v>1</v>
      </c>
      <c r="R12" s="36">
        <v>1</v>
      </c>
      <c r="S12" s="36">
        <v>1</v>
      </c>
      <c r="T12" s="36">
        <v>1</v>
      </c>
      <c r="U12" s="36">
        <v>1</v>
      </c>
      <c r="V12" s="36">
        <v>1</v>
      </c>
      <c r="W12" s="36">
        <v>1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2</v>
      </c>
      <c r="AM12" s="36">
        <v>2</v>
      </c>
      <c r="AN12" s="36">
        <v>3</v>
      </c>
      <c r="AO12" s="36">
        <v>4</v>
      </c>
      <c r="AP12" s="36">
        <v>3</v>
      </c>
      <c r="AQ12" s="36">
        <v>2</v>
      </c>
      <c r="AR12" s="36">
        <v>1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1</v>
      </c>
      <c r="BG12" s="36">
        <v>1</v>
      </c>
      <c r="BH12" s="36">
        <v>2</v>
      </c>
      <c r="BI12" s="36">
        <v>2</v>
      </c>
      <c r="BJ12" s="36">
        <v>1</v>
      </c>
      <c r="BK12" s="36">
        <v>1</v>
      </c>
      <c r="BL12" s="36">
        <v>1</v>
      </c>
      <c r="BM12" s="36">
        <v>1</v>
      </c>
      <c r="BN12" s="36">
        <v>2</v>
      </c>
      <c r="BO12" s="36">
        <v>1</v>
      </c>
      <c r="BP12" s="36">
        <v>1</v>
      </c>
      <c r="BQ12" s="36">
        <v>1</v>
      </c>
      <c r="BR12" s="36">
        <v>0</v>
      </c>
      <c r="BS12" s="36">
        <v>0</v>
      </c>
      <c r="BT12" s="36">
        <v>0</v>
      </c>
      <c r="BU12" s="36">
        <v>0</v>
      </c>
      <c r="BV12" s="36">
        <v>0</v>
      </c>
      <c r="BW12" s="36">
        <v>0</v>
      </c>
      <c r="BX12" s="36">
        <v>0</v>
      </c>
      <c r="BY12" s="36">
        <v>0</v>
      </c>
      <c r="BZ12" s="36">
        <v>0</v>
      </c>
      <c r="CA12" s="36">
        <v>0</v>
      </c>
      <c r="DA12" s="36">
        <f t="shared" si="0"/>
        <v>4</v>
      </c>
    </row>
    <row r="13" spans="1:106" s="36" customFormat="1" x14ac:dyDescent="0.3">
      <c r="A13" s="34" t="s">
        <v>944</v>
      </c>
      <c r="B13" s="34">
        <v>62</v>
      </c>
      <c r="C13" s="35">
        <v>64</v>
      </c>
      <c r="D13" s="35">
        <v>63</v>
      </c>
      <c r="E13" s="35">
        <v>65</v>
      </c>
      <c r="F13" s="35">
        <v>65</v>
      </c>
      <c r="G13" s="35">
        <v>55</v>
      </c>
      <c r="H13" s="34">
        <v>46</v>
      </c>
      <c r="I13" s="34">
        <v>45</v>
      </c>
      <c r="J13" s="35">
        <v>37</v>
      </c>
      <c r="K13" s="34">
        <v>30</v>
      </c>
      <c r="L13" s="35">
        <v>26</v>
      </c>
      <c r="M13" s="34">
        <v>24</v>
      </c>
      <c r="N13" s="36">
        <v>20</v>
      </c>
      <c r="O13" s="36">
        <v>16</v>
      </c>
      <c r="P13" s="36">
        <v>11</v>
      </c>
      <c r="Q13" s="36">
        <v>7</v>
      </c>
      <c r="R13" s="36">
        <v>4</v>
      </c>
      <c r="S13" s="36">
        <v>2</v>
      </c>
      <c r="T13" s="36">
        <v>2</v>
      </c>
      <c r="U13" s="36">
        <v>1</v>
      </c>
      <c r="V13" s="36">
        <v>3</v>
      </c>
      <c r="W13" s="36">
        <v>3</v>
      </c>
      <c r="X13" s="36">
        <v>3</v>
      </c>
      <c r="Y13" s="36">
        <v>3</v>
      </c>
      <c r="Z13" s="36">
        <v>3</v>
      </c>
      <c r="AA13" s="36">
        <v>3</v>
      </c>
      <c r="AB13" s="36">
        <v>2</v>
      </c>
      <c r="AC13" s="36">
        <v>2</v>
      </c>
      <c r="AD13" s="36">
        <v>4</v>
      </c>
      <c r="AE13" s="36">
        <v>3</v>
      </c>
      <c r="AF13" s="36">
        <v>4</v>
      </c>
      <c r="AG13" s="36">
        <v>4</v>
      </c>
      <c r="AH13" s="36">
        <v>5</v>
      </c>
      <c r="AI13" s="36">
        <v>3</v>
      </c>
      <c r="AJ13" s="36">
        <v>4</v>
      </c>
      <c r="AK13" s="36">
        <v>4</v>
      </c>
      <c r="AL13" s="36">
        <v>4</v>
      </c>
      <c r="AM13" s="36">
        <v>4</v>
      </c>
      <c r="AN13" s="36">
        <v>4</v>
      </c>
      <c r="AO13" s="36">
        <v>1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1</v>
      </c>
      <c r="AV13" s="36">
        <v>1</v>
      </c>
      <c r="AW13" s="36">
        <v>2</v>
      </c>
      <c r="AX13" s="36">
        <v>2</v>
      </c>
      <c r="AY13" s="36">
        <v>2</v>
      </c>
      <c r="AZ13" s="36">
        <v>1</v>
      </c>
      <c r="BA13" s="36">
        <v>1</v>
      </c>
      <c r="BB13" s="36">
        <v>2</v>
      </c>
      <c r="BC13" s="36">
        <v>2</v>
      </c>
      <c r="BD13" s="36">
        <v>3</v>
      </c>
      <c r="BE13" s="36">
        <v>4</v>
      </c>
      <c r="BF13" s="36">
        <v>4</v>
      </c>
      <c r="BG13" s="36">
        <v>2</v>
      </c>
      <c r="BH13" s="36">
        <v>5</v>
      </c>
      <c r="BI13" s="36">
        <v>6</v>
      </c>
      <c r="BJ13" s="36">
        <v>9</v>
      </c>
      <c r="BK13" s="36">
        <v>9</v>
      </c>
      <c r="BL13" s="36">
        <v>8</v>
      </c>
      <c r="BM13" s="36">
        <v>11</v>
      </c>
      <c r="BN13" s="36">
        <v>13</v>
      </c>
      <c r="BO13" s="36">
        <v>14</v>
      </c>
      <c r="BP13" s="36">
        <v>18</v>
      </c>
      <c r="BQ13" s="36">
        <v>21</v>
      </c>
      <c r="BR13" s="36">
        <v>26</v>
      </c>
      <c r="BS13" s="36">
        <v>28</v>
      </c>
      <c r="BT13" s="36">
        <v>33</v>
      </c>
      <c r="BU13" s="36">
        <v>34</v>
      </c>
      <c r="BV13" s="36">
        <v>36</v>
      </c>
      <c r="BW13" s="36">
        <v>39</v>
      </c>
      <c r="BX13" s="36">
        <v>44</v>
      </c>
      <c r="BY13" s="36">
        <v>47</v>
      </c>
      <c r="BZ13" s="36">
        <v>52</v>
      </c>
      <c r="CA13" s="36">
        <v>56</v>
      </c>
      <c r="DA13" s="36">
        <f t="shared" si="0"/>
        <v>65</v>
      </c>
    </row>
    <row r="14" spans="1:106" s="36" customFormat="1" x14ac:dyDescent="0.3">
      <c r="A14" s="34" t="s">
        <v>935</v>
      </c>
      <c r="B14" s="34">
        <v>0</v>
      </c>
      <c r="C14" s="35">
        <v>0</v>
      </c>
      <c r="D14" s="35">
        <v>0</v>
      </c>
      <c r="E14" s="35">
        <v>1</v>
      </c>
      <c r="F14" s="35">
        <v>1</v>
      </c>
      <c r="G14" s="35">
        <v>0</v>
      </c>
      <c r="H14" s="34">
        <v>0</v>
      </c>
      <c r="I14" s="34">
        <v>0</v>
      </c>
      <c r="J14" s="35">
        <v>0</v>
      </c>
      <c r="K14" s="34">
        <v>0</v>
      </c>
      <c r="L14" s="35">
        <v>2</v>
      </c>
      <c r="M14" s="34">
        <v>2</v>
      </c>
      <c r="N14" s="36">
        <v>0</v>
      </c>
      <c r="O14" s="36">
        <v>0</v>
      </c>
      <c r="P14" s="36">
        <v>0</v>
      </c>
      <c r="Q14" s="36">
        <v>2</v>
      </c>
      <c r="R14" s="36">
        <v>3</v>
      </c>
      <c r="S14" s="36">
        <v>1</v>
      </c>
      <c r="T14" s="36">
        <v>0</v>
      </c>
      <c r="U14" s="36">
        <v>0</v>
      </c>
      <c r="V14" s="36">
        <v>1</v>
      </c>
      <c r="W14" s="36">
        <v>1</v>
      </c>
      <c r="X14" s="36">
        <v>0</v>
      </c>
      <c r="Y14" s="36">
        <v>0</v>
      </c>
      <c r="Z14" s="36">
        <v>0</v>
      </c>
      <c r="AA14" s="36">
        <v>0</v>
      </c>
      <c r="AB14" s="36">
        <v>1</v>
      </c>
      <c r="AC14" s="36">
        <v>1</v>
      </c>
      <c r="AD14" s="36">
        <v>1</v>
      </c>
      <c r="AE14" s="36">
        <v>1</v>
      </c>
      <c r="AF14" s="36">
        <v>1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1</v>
      </c>
      <c r="BG14" s="36">
        <v>1</v>
      </c>
      <c r="BH14" s="36">
        <v>0</v>
      </c>
      <c r="BI14" s="36">
        <v>1</v>
      </c>
      <c r="BJ14" s="36">
        <v>2</v>
      </c>
      <c r="BK14" s="36">
        <v>1</v>
      </c>
      <c r="BL14" s="36">
        <v>0</v>
      </c>
      <c r="BM14" s="36">
        <v>0</v>
      </c>
      <c r="BN14" s="36">
        <v>0</v>
      </c>
      <c r="BO14" s="36">
        <v>1</v>
      </c>
      <c r="BP14" s="36">
        <v>1</v>
      </c>
      <c r="BQ14" s="36">
        <v>1</v>
      </c>
      <c r="BR14" s="36">
        <v>1</v>
      </c>
      <c r="BS14" s="36">
        <v>3</v>
      </c>
      <c r="BT14" s="36">
        <v>4</v>
      </c>
      <c r="BU14" s="36">
        <v>2</v>
      </c>
      <c r="BV14" s="36">
        <v>1</v>
      </c>
      <c r="BW14" s="36">
        <v>1</v>
      </c>
      <c r="BX14" s="36">
        <v>2</v>
      </c>
      <c r="BY14" s="36">
        <v>1</v>
      </c>
      <c r="BZ14" s="36">
        <v>0</v>
      </c>
      <c r="CA14" s="36">
        <v>0</v>
      </c>
      <c r="DA14" s="36">
        <f t="shared" si="0"/>
        <v>4</v>
      </c>
    </row>
    <row r="15" spans="1:106" s="36" customFormat="1" x14ac:dyDescent="0.3">
      <c r="A15" s="34" t="s">
        <v>936</v>
      </c>
      <c r="B15" s="34">
        <v>0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4">
        <v>0</v>
      </c>
      <c r="I15" s="34">
        <v>0</v>
      </c>
      <c r="J15" s="35">
        <v>0</v>
      </c>
      <c r="K15" s="34">
        <v>0</v>
      </c>
      <c r="L15" s="35">
        <v>0</v>
      </c>
      <c r="M15" s="34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1</v>
      </c>
      <c r="AQ15" s="36">
        <v>1</v>
      </c>
      <c r="AR15" s="36">
        <v>1</v>
      </c>
      <c r="AS15" s="36">
        <v>1</v>
      </c>
      <c r="AT15" s="36">
        <v>1</v>
      </c>
      <c r="AU15" s="36">
        <v>1</v>
      </c>
      <c r="AV15" s="36">
        <v>1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0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36">
        <v>0</v>
      </c>
      <c r="BX15" s="36">
        <v>0</v>
      </c>
      <c r="BY15" s="36">
        <v>0</v>
      </c>
      <c r="BZ15" s="36">
        <v>0</v>
      </c>
      <c r="CA15" s="36">
        <v>0</v>
      </c>
      <c r="DA15" s="36">
        <f t="shared" si="0"/>
        <v>1</v>
      </c>
    </row>
    <row r="16" spans="1:106" s="36" customFormat="1" x14ac:dyDescent="0.3">
      <c r="A16" s="34" t="s">
        <v>939</v>
      </c>
      <c r="B16" s="34">
        <v>0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4">
        <v>0</v>
      </c>
      <c r="I16" s="34">
        <v>0</v>
      </c>
      <c r="J16" s="35">
        <v>0</v>
      </c>
      <c r="K16" s="34">
        <v>0</v>
      </c>
      <c r="L16" s="35">
        <v>0</v>
      </c>
      <c r="M16" s="34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36">
        <v>0</v>
      </c>
      <c r="BX16" s="36">
        <v>0</v>
      </c>
      <c r="BY16" s="36">
        <v>0</v>
      </c>
      <c r="BZ16" s="36">
        <v>0</v>
      </c>
      <c r="CA16" s="36">
        <v>0</v>
      </c>
      <c r="DA16" s="36">
        <f t="shared" si="0"/>
        <v>0</v>
      </c>
    </row>
    <row r="17" spans="1:106" s="36" customFormat="1" x14ac:dyDescent="0.3">
      <c r="A17" s="34" t="s">
        <v>945</v>
      </c>
      <c r="B17" s="34">
        <v>6</v>
      </c>
      <c r="C17" s="35">
        <v>6</v>
      </c>
      <c r="D17" s="35">
        <v>6</v>
      </c>
      <c r="E17" s="35">
        <v>6</v>
      </c>
      <c r="F17" s="35">
        <v>6</v>
      </c>
      <c r="G17" s="35">
        <v>6</v>
      </c>
      <c r="H17" s="34">
        <v>6</v>
      </c>
      <c r="I17" s="34">
        <v>6</v>
      </c>
      <c r="J17" s="35">
        <v>6</v>
      </c>
      <c r="K17" s="34">
        <v>6</v>
      </c>
      <c r="L17" s="35">
        <v>4</v>
      </c>
      <c r="M17" s="34">
        <v>4</v>
      </c>
      <c r="N17" s="36">
        <v>4</v>
      </c>
      <c r="O17" s="36">
        <v>4</v>
      </c>
      <c r="P17" s="36">
        <v>4</v>
      </c>
      <c r="Q17" s="36">
        <v>2</v>
      </c>
      <c r="R17" s="36">
        <v>1</v>
      </c>
      <c r="S17" s="36">
        <v>1</v>
      </c>
      <c r="T17" s="36">
        <v>1</v>
      </c>
      <c r="U17" s="36">
        <v>1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1</v>
      </c>
      <c r="BI17" s="36">
        <v>1</v>
      </c>
      <c r="BJ17" s="36">
        <v>1</v>
      </c>
      <c r="BK17" s="36">
        <v>2</v>
      </c>
      <c r="BL17" s="36">
        <v>3</v>
      </c>
      <c r="BM17" s="36">
        <v>3</v>
      </c>
      <c r="BN17" s="36">
        <v>3</v>
      </c>
      <c r="BO17" s="36">
        <v>3</v>
      </c>
      <c r="BP17" s="36">
        <v>3</v>
      </c>
      <c r="BQ17" s="36">
        <v>3</v>
      </c>
      <c r="BR17" s="36">
        <v>3</v>
      </c>
      <c r="BS17" s="36">
        <v>3</v>
      </c>
      <c r="BT17" s="36">
        <v>3</v>
      </c>
      <c r="BU17" s="36">
        <v>5</v>
      </c>
      <c r="BV17" s="36">
        <v>6</v>
      </c>
      <c r="BW17" s="36">
        <v>6</v>
      </c>
      <c r="BX17" s="36">
        <v>5</v>
      </c>
      <c r="BY17" s="36">
        <v>6</v>
      </c>
      <c r="BZ17" s="36">
        <v>6</v>
      </c>
      <c r="CA17" s="36">
        <v>6</v>
      </c>
      <c r="DA17" s="36">
        <f t="shared" si="0"/>
        <v>6</v>
      </c>
    </row>
    <row r="18" spans="1:106" s="36" customFormat="1" x14ac:dyDescent="0.3">
      <c r="A18" s="34" t="s">
        <v>940</v>
      </c>
      <c r="B18" s="34">
        <v>0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4">
        <v>0</v>
      </c>
      <c r="I18" s="34">
        <v>0</v>
      </c>
      <c r="J18" s="35">
        <v>0</v>
      </c>
      <c r="K18" s="34">
        <v>0</v>
      </c>
      <c r="L18" s="35">
        <v>0</v>
      </c>
      <c r="M18" s="34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0</v>
      </c>
      <c r="BB18" s="36">
        <v>0</v>
      </c>
      <c r="BC18" s="36">
        <v>0</v>
      </c>
      <c r="BD18" s="36">
        <v>0</v>
      </c>
      <c r="BE18" s="36">
        <v>0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36">
        <v>0</v>
      </c>
      <c r="BX18" s="36">
        <v>0</v>
      </c>
      <c r="BY18" s="36">
        <v>0</v>
      </c>
      <c r="BZ18" s="36">
        <v>0</v>
      </c>
      <c r="CA18" s="36">
        <v>0</v>
      </c>
      <c r="DA18" s="36">
        <f t="shared" si="0"/>
        <v>0</v>
      </c>
    </row>
    <row r="19" spans="1:106" s="36" customFormat="1" x14ac:dyDescent="0.3">
      <c r="A19" s="34" t="s">
        <v>941</v>
      </c>
      <c r="B19" s="34">
        <v>0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4">
        <v>0</v>
      </c>
      <c r="I19" s="34">
        <v>0</v>
      </c>
      <c r="J19" s="35">
        <v>0</v>
      </c>
      <c r="K19" s="34">
        <v>0</v>
      </c>
      <c r="L19" s="35">
        <v>0</v>
      </c>
      <c r="M19" s="34">
        <v>0</v>
      </c>
      <c r="N19" s="36">
        <v>0</v>
      </c>
      <c r="O19" s="36">
        <v>0</v>
      </c>
      <c r="P19" s="36">
        <v>0</v>
      </c>
      <c r="Q19" s="36">
        <v>0</v>
      </c>
      <c r="R19" s="36">
        <v>1</v>
      </c>
      <c r="S19" s="36">
        <v>1</v>
      </c>
      <c r="T19" s="36">
        <v>0</v>
      </c>
      <c r="U19" s="36">
        <v>0</v>
      </c>
      <c r="V19" s="36">
        <v>0</v>
      </c>
      <c r="W19" s="36">
        <v>0</v>
      </c>
      <c r="X19" s="36">
        <v>1</v>
      </c>
      <c r="Y19" s="36">
        <v>1</v>
      </c>
      <c r="Z19" s="36">
        <v>0</v>
      </c>
      <c r="AA19" s="36">
        <v>0</v>
      </c>
      <c r="AB19" s="36">
        <v>0</v>
      </c>
      <c r="AC19" s="36">
        <v>0</v>
      </c>
      <c r="AD19" s="36">
        <v>1</v>
      </c>
      <c r="AE19" s="36">
        <v>1</v>
      </c>
      <c r="AF19" s="36">
        <v>2</v>
      </c>
      <c r="AG19" s="36">
        <v>2</v>
      </c>
      <c r="AH19" s="36">
        <v>3</v>
      </c>
      <c r="AI19" s="36">
        <v>2</v>
      </c>
      <c r="AJ19" s="36">
        <v>2</v>
      </c>
      <c r="AK19" s="36">
        <v>2</v>
      </c>
      <c r="AL19" s="36">
        <v>1</v>
      </c>
      <c r="AM19" s="36">
        <v>1</v>
      </c>
      <c r="AN19" s="36">
        <v>0</v>
      </c>
      <c r="AO19" s="36">
        <v>1</v>
      </c>
      <c r="AP19" s="36">
        <v>1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1</v>
      </c>
      <c r="AX19" s="36">
        <v>1</v>
      </c>
      <c r="AY19" s="36">
        <v>1</v>
      </c>
      <c r="AZ19" s="36">
        <v>1</v>
      </c>
      <c r="BA19" s="36">
        <v>0</v>
      </c>
      <c r="BB19" s="36">
        <v>0</v>
      </c>
      <c r="BC19" s="36">
        <v>0</v>
      </c>
      <c r="BD19" s="36">
        <v>0</v>
      </c>
      <c r="BE19" s="36">
        <v>1</v>
      </c>
      <c r="BF19" s="36">
        <v>2</v>
      </c>
      <c r="BG19" s="36">
        <v>1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36">
        <v>0</v>
      </c>
      <c r="BX19" s="36">
        <v>0</v>
      </c>
      <c r="BY19" s="36">
        <v>0</v>
      </c>
      <c r="BZ19" s="36">
        <v>0</v>
      </c>
      <c r="CA19" s="36">
        <v>0</v>
      </c>
      <c r="DA19" s="36">
        <f t="shared" si="0"/>
        <v>3</v>
      </c>
    </row>
    <row r="20" spans="1:106" s="36" customFormat="1" x14ac:dyDescent="0.3">
      <c r="A20" s="34" t="s">
        <v>942</v>
      </c>
      <c r="B20" s="34">
        <v>0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4">
        <v>0</v>
      </c>
      <c r="I20" s="34">
        <v>0</v>
      </c>
      <c r="J20" s="35">
        <v>0</v>
      </c>
      <c r="K20" s="34">
        <v>0</v>
      </c>
      <c r="L20" s="35">
        <v>0</v>
      </c>
      <c r="M20" s="34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1</v>
      </c>
      <c r="AK20" s="36">
        <v>1</v>
      </c>
      <c r="AL20" s="36">
        <v>1</v>
      </c>
      <c r="AM20" s="36">
        <v>1</v>
      </c>
      <c r="AN20" s="36">
        <v>2</v>
      </c>
      <c r="AO20" s="36">
        <v>2</v>
      </c>
      <c r="AP20" s="36">
        <v>2</v>
      </c>
      <c r="AQ20" s="36">
        <v>2</v>
      </c>
      <c r="AR20" s="36">
        <v>1</v>
      </c>
      <c r="AS20" s="36">
        <v>1</v>
      </c>
      <c r="AT20" s="36">
        <v>1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0</v>
      </c>
      <c r="BT20" s="36">
        <v>0</v>
      </c>
      <c r="BU20" s="36">
        <v>0</v>
      </c>
      <c r="BV20" s="36">
        <v>0</v>
      </c>
      <c r="BW20" s="36">
        <v>0</v>
      </c>
      <c r="BX20" s="36">
        <v>0</v>
      </c>
      <c r="BY20" s="36">
        <v>0</v>
      </c>
      <c r="BZ20" s="36">
        <v>0</v>
      </c>
      <c r="CA20" s="36">
        <v>0</v>
      </c>
      <c r="DA20" s="36">
        <f t="shared" si="0"/>
        <v>2</v>
      </c>
    </row>
    <row r="21" spans="1:106" s="36" customFormat="1" x14ac:dyDescent="0.3">
      <c r="A21" s="34" t="s">
        <v>946</v>
      </c>
      <c r="B21" s="34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4">
        <v>0</v>
      </c>
      <c r="I21" s="34">
        <v>0</v>
      </c>
      <c r="J21" s="35">
        <v>0</v>
      </c>
      <c r="K21" s="34">
        <v>0</v>
      </c>
      <c r="L21" s="35">
        <v>0</v>
      </c>
      <c r="M21" s="34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1</v>
      </c>
      <c r="U21" s="36">
        <v>1</v>
      </c>
      <c r="V21" s="36">
        <v>1</v>
      </c>
      <c r="W21" s="36">
        <v>1</v>
      </c>
      <c r="X21" s="36">
        <v>1</v>
      </c>
      <c r="Y21" s="36">
        <v>1</v>
      </c>
      <c r="Z21" s="36">
        <v>2</v>
      </c>
      <c r="AA21" s="36">
        <v>2</v>
      </c>
      <c r="AB21" s="36">
        <v>2</v>
      </c>
      <c r="AC21" s="36">
        <v>2</v>
      </c>
      <c r="AD21" s="36">
        <v>2</v>
      </c>
      <c r="AE21" s="36">
        <v>2</v>
      </c>
      <c r="AF21" s="36">
        <v>2</v>
      </c>
      <c r="AG21" s="36">
        <v>2</v>
      </c>
      <c r="AH21" s="36">
        <v>1</v>
      </c>
      <c r="AI21" s="36">
        <v>1</v>
      </c>
      <c r="AJ21" s="36">
        <v>1</v>
      </c>
      <c r="AK21" s="36">
        <v>1</v>
      </c>
      <c r="AL21" s="36">
        <v>1</v>
      </c>
      <c r="AM21" s="36">
        <v>1</v>
      </c>
      <c r="AN21" s="36">
        <v>1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1</v>
      </c>
      <c r="AZ21" s="36">
        <v>1</v>
      </c>
      <c r="BA21" s="36">
        <v>2</v>
      </c>
      <c r="BB21" s="36">
        <v>2</v>
      </c>
      <c r="BC21" s="36">
        <v>2</v>
      </c>
      <c r="BD21" s="36">
        <v>2</v>
      </c>
      <c r="BE21" s="36">
        <v>1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36">
        <v>0</v>
      </c>
      <c r="BX21" s="36">
        <v>0</v>
      </c>
      <c r="BY21" s="36">
        <v>0</v>
      </c>
      <c r="BZ21" s="36">
        <v>0</v>
      </c>
      <c r="CA21" s="36">
        <v>0</v>
      </c>
      <c r="DA21" s="36">
        <f t="shared" si="0"/>
        <v>2</v>
      </c>
    </row>
    <row r="22" spans="1:106" s="36" customFormat="1" x14ac:dyDescent="0.3">
      <c r="A22" s="34" t="s">
        <v>947</v>
      </c>
      <c r="B22" s="34">
        <v>0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4">
        <v>0</v>
      </c>
      <c r="I22" s="34">
        <v>0</v>
      </c>
      <c r="J22" s="35">
        <v>0</v>
      </c>
      <c r="K22" s="34">
        <v>0</v>
      </c>
      <c r="L22" s="35">
        <v>0</v>
      </c>
      <c r="M22" s="34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6">
        <v>0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36">
        <v>0</v>
      </c>
      <c r="BX22" s="36">
        <v>0</v>
      </c>
      <c r="BY22" s="36">
        <v>0</v>
      </c>
      <c r="BZ22" s="36">
        <v>0</v>
      </c>
      <c r="CA22" s="36">
        <v>0</v>
      </c>
      <c r="DA22" s="36">
        <f t="shared" si="0"/>
        <v>0</v>
      </c>
    </row>
    <row r="23" spans="1:106" s="36" customFormat="1" x14ac:dyDescent="0.3">
      <c r="A23" s="34" t="s">
        <v>948</v>
      </c>
      <c r="B23" s="34">
        <v>0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4">
        <v>0</v>
      </c>
      <c r="I23" s="34">
        <v>0</v>
      </c>
      <c r="J23" s="35">
        <v>0</v>
      </c>
      <c r="K23" s="34">
        <v>0</v>
      </c>
      <c r="L23" s="35">
        <v>0</v>
      </c>
      <c r="M23" s="34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36">
        <v>0</v>
      </c>
      <c r="BX23" s="36">
        <v>0</v>
      </c>
      <c r="BY23" s="36">
        <v>0</v>
      </c>
      <c r="BZ23" s="36">
        <v>0</v>
      </c>
      <c r="CA23" s="36">
        <v>0</v>
      </c>
      <c r="DA23" s="36">
        <f t="shared" si="0"/>
        <v>0</v>
      </c>
    </row>
    <row r="24" spans="1:106" s="36" customFormat="1" x14ac:dyDescent="0.3">
      <c r="A24" s="34" t="s">
        <v>949</v>
      </c>
      <c r="B24" s="34">
        <v>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4">
        <v>0</v>
      </c>
      <c r="I24" s="34">
        <v>0</v>
      </c>
      <c r="J24" s="35">
        <v>0</v>
      </c>
      <c r="K24" s="34">
        <v>0</v>
      </c>
      <c r="L24" s="35">
        <v>0</v>
      </c>
      <c r="M24" s="34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36">
        <v>0</v>
      </c>
      <c r="BX24" s="36">
        <v>0</v>
      </c>
      <c r="BY24" s="36">
        <v>0</v>
      </c>
      <c r="BZ24" s="36">
        <v>0</v>
      </c>
      <c r="CA24" s="36">
        <v>0</v>
      </c>
      <c r="DA24" s="36">
        <f t="shared" si="0"/>
        <v>0</v>
      </c>
    </row>
    <row r="25" spans="1:106" s="36" customFormat="1" x14ac:dyDescent="0.3">
      <c r="A25" s="34" t="s">
        <v>950</v>
      </c>
      <c r="B25" s="34">
        <v>0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4">
        <v>0</v>
      </c>
      <c r="I25" s="34">
        <v>0</v>
      </c>
      <c r="J25" s="35">
        <v>0</v>
      </c>
      <c r="K25" s="34">
        <v>0</v>
      </c>
      <c r="L25" s="35">
        <v>0</v>
      </c>
      <c r="M25" s="34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0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0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36">
        <v>0</v>
      </c>
      <c r="BX25" s="36">
        <v>0</v>
      </c>
      <c r="BY25" s="36">
        <v>0</v>
      </c>
      <c r="BZ25" s="36">
        <v>0</v>
      </c>
      <c r="CA25" s="36">
        <v>0</v>
      </c>
      <c r="DA25" s="36">
        <f t="shared" si="0"/>
        <v>0</v>
      </c>
    </row>
    <row r="27" spans="1:106" x14ac:dyDescent="0.3">
      <c r="A27" s="37" t="s">
        <v>966</v>
      </c>
      <c r="B27" s="38">
        <f>SUM(B2:B5)</f>
        <v>0</v>
      </c>
      <c r="C27" s="38">
        <f t="shared" ref="C27:BN27" si="1">SUM(C2:C5)</f>
        <v>0</v>
      </c>
      <c r="D27" s="38">
        <f t="shared" si="1"/>
        <v>0</v>
      </c>
      <c r="E27" s="38">
        <f t="shared" si="1"/>
        <v>0</v>
      </c>
      <c r="F27" s="38">
        <f t="shared" si="1"/>
        <v>0</v>
      </c>
      <c r="G27" s="38">
        <f t="shared" si="1"/>
        <v>0</v>
      </c>
      <c r="H27" s="38">
        <f t="shared" si="1"/>
        <v>0</v>
      </c>
      <c r="I27" s="38">
        <f t="shared" si="1"/>
        <v>0</v>
      </c>
      <c r="J27" s="38">
        <f t="shared" si="1"/>
        <v>0</v>
      </c>
      <c r="K27" s="38">
        <f t="shared" si="1"/>
        <v>0</v>
      </c>
      <c r="L27" s="38">
        <f t="shared" si="1"/>
        <v>0</v>
      </c>
      <c r="M27" s="38">
        <f t="shared" si="1"/>
        <v>0</v>
      </c>
      <c r="N27" s="38">
        <f t="shared" si="1"/>
        <v>0</v>
      </c>
      <c r="O27" s="38">
        <f t="shared" si="1"/>
        <v>0</v>
      </c>
      <c r="P27" s="38">
        <f t="shared" si="1"/>
        <v>0</v>
      </c>
      <c r="Q27" s="38">
        <f t="shared" si="1"/>
        <v>0</v>
      </c>
      <c r="R27" s="38">
        <f t="shared" si="1"/>
        <v>0</v>
      </c>
      <c r="S27" s="38">
        <f t="shared" si="1"/>
        <v>0</v>
      </c>
      <c r="T27" s="38">
        <f t="shared" si="1"/>
        <v>0</v>
      </c>
      <c r="U27" s="38">
        <f t="shared" si="1"/>
        <v>0</v>
      </c>
      <c r="V27" s="38">
        <f t="shared" si="1"/>
        <v>0</v>
      </c>
      <c r="W27" s="38">
        <f t="shared" si="1"/>
        <v>0</v>
      </c>
      <c r="X27" s="38">
        <f t="shared" si="1"/>
        <v>0</v>
      </c>
      <c r="Y27" s="38">
        <f t="shared" si="1"/>
        <v>0</v>
      </c>
      <c r="Z27" s="38">
        <f t="shared" si="1"/>
        <v>0</v>
      </c>
      <c r="AA27" s="38">
        <f t="shared" si="1"/>
        <v>0</v>
      </c>
      <c r="AB27" s="38">
        <f t="shared" si="1"/>
        <v>0</v>
      </c>
      <c r="AC27" s="38">
        <f t="shared" si="1"/>
        <v>0</v>
      </c>
      <c r="AD27" s="38">
        <f t="shared" si="1"/>
        <v>0</v>
      </c>
      <c r="AE27" s="38">
        <f t="shared" si="1"/>
        <v>0</v>
      </c>
      <c r="AF27" s="38">
        <f t="shared" si="1"/>
        <v>0</v>
      </c>
      <c r="AG27" s="38">
        <f t="shared" si="1"/>
        <v>0</v>
      </c>
      <c r="AH27" s="38">
        <f t="shared" si="1"/>
        <v>0</v>
      </c>
      <c r="AI27" s="38">
        <f t="shared" si="1"/>
        <v>0</v>
      </c>
      <c r="AJ27" s="38">
        <f t="shared" si="1"/>
        <v>0</v>
      </c>
      <c r="AK27" s="38">
        <f t="shared" si="1"/>
        <v>0</v>
      </c>
      <c r="AL27" s="38">
        <f t="shared" si="1"/>
        <v>0</v>
      </c>
      <c r="AM27" s="38">
        <f t="shared" si="1"/>
        <v>0</v>
      </c>
      <c r="AN27" s="38">
        <f t="shared" si="1"/>
        <v>0</v>
      </c>
      <c r="AO27" s="38">
        <f t="shared" si="1"/>
        <v>0</v>
      </c>
      <c r="AP27" s="38">
        <f t="shared" si="1"/>
        <v>0</v>
      </c>
      <c r="AQ27" s="38">
        <f t="shared" si="1"/>
        <v>0</v>
      </c>
      <c r="AR27" s="38">
        <f t="shared" si="1"/>
        <v>0</v>
      </c>
      <c r="AS27" s="38">
        <f t="shared" si="1"/>
        <v>0</v>
      </c>
      <c r="AT27" s="38">
        <f t="shared" si="1"/>
        <v>0</v>
      </c>
      <c r="AU27" s="38">
        <f t="shared" si="1"/>
        <v>0</v>
      </c>
      <c r="AV27" s="38">
        <f t="shared" si="1"/>
        <v>0</v>
      </c>
      <c r="AW27" s="38">
        <f t="shared" si="1"/>
        <v>0</v>
      </c>
      <c r="AX27" s="38">
        <f t="shared" si="1"/>
        <v>0</v>
      </c>
      <c r="AY27" s="38">
        <f t="shared" si="1"/>
        <v>0</v>
      </c>
      <c r="AZ27" s="38">
        <f t="shared" si="1"/>
        <v>0</v>
      </c>
      <c r="BA27" s="38">
        <f t="shared" si="1"/>
        <v>0</v>
      </c>
      <c r="BB27" s="38">
        <f t="shared" si="1"/>
        <v>0</v>
      </c>
      <c r="BC27" s="38">
        <f t="shared" si="1"/>
        <v>0</v>
      </c>
      <c r="BD27" s="38">
        <f t="shared" si="1"/>
        <v>0</v>
      </c>
      <c r="BE27" s="38">
        <f t="shared" si="1"/>
        <v>0</v>
      </c>
      <c r="BF27" s="38">
        <f t="shared" si="1"/>
        <v>0</v>
      </c>
      <c r="BG27" s="38">
        <f t="shared" si="1"/>
        <v>0</v>
      </c>
      <c r="BH27" s="38">
        <f t="shared" si="1"/>
        <v>0</v>
      </c>
      <c r="BI27" s="38">
        <f t="shared" si="1"/>
        <v>0</v>
      </c>
      <c r="BJ27" s="38">
        <f t="shared" si="1"/>
        <v>0</v>
      </c>
      <c r="BK27" s="38">
        <f t="shared" si="1"/>
        <v>0</v>
      </c>
      <c r="BL27" s="38">
        <f t="shared" si="1"/>
        <v>0</v>
      </c>
      <c r="BM27" s="38">
        <f t="shared" si="1"/>
        <v>0</v>
      </c>
      <c r="BN27" s="38">
        <f t="shared" si="1"/>
        <v>0</v>
      </c>
      <c r="BO27" s="38">
        <f t="shared" ref="BO27:CA27" si="2">SUM(BO2:BO5)</f>
        <v>0</v>
      </c>
      <c r="BP27" s="38">
        <f t="shared" si="2"/>
        <v>0</v>
      </c>
      <c r="BQ27" s="38">
        <f t="shared" si="2"/>
        <v>0</v>
      </c>
      <c r="BR27" s="38">
        <f t="shared" si="2"/>
        <v>0</v>
      </c>
      <c r="BS27" s="38">
        <f t="shared" si="2"/>
        <v>0</v>
      </c>
      <c r="BT27" s="38">
        <f t="shared" si="2"/>
        <v>0</v>
      </c>
      <c r="BU27" s="38">
        <f t="shared" si="2"/>
        <v>0</v>
      </c>
      <c r="BV27" s="38">
        <f t="shared" si="2"/>
        <v>0</v>
      </c>
      <c r="BW27" s="38">
        <f t="shared" si="2"/>
        <v>0</v>
      </c>
      <c r="BX27" s="38">
        <f t="shared" si="2"/>
        <v>0</v>
      </c>
      <c r="BY27" s="38">
        <f t="shared" si="2"/>
        <v>0</v>
      </c>
      <c r="BZ27" s="38">
        <f t="shared" si="2"/>
        <v>0</v>
      </c>
      <c r="CA27" s="38">
        <f t="shared" si="2"/>
        <v>0</v>
      </c>
      <c r="DA27" s="36">
        <f t="shared" ref="DA27:DA32" si="3">MAX(B27:CA27)</f>
        <v>0</v>
      </c>
      <c r="DB27" s="36">
        <f t="shared" ref="DB27:DB32" si="4">DA27</f>
        <v>0</v>
      </c>
    </row>
    <row r="28" spans="1:106" x14ac:dyDescent="0.3">
      <c r="A28" s="37" t="s">
        <v>967</v>
      </c>
      <c r="B28" s="38">
        <f>SUM(B6:B9)</f>
        <v>2</v>
      </c>
      <c r="C28" s="38">
        <f t="shared" ref="C28:BN28" si="5">SUM(C6:C9)</f>
        <v>2</v>
      </c>
      <c r="D28" s="38">
        <f t="shared" si="5"/>
        <v>2</v>
      </c>
      <c r="E28" s="38">
        <f t="shared" si="5"/>
        <v>2</v>
      </c>
      <c r="F28" s="38">
        <f t="shared" si="5"/>
        <v>2</v>
      </c>
      <c r="G28" s="38">
        <f t="shared" si="5"/>
        <v>2</v>
      </c>
      <c r="H28" s="38">
        <f t="shared" si="5"/>
        <v>4</v>
      </c>
      <c r="I28" s="38">
        <f t="shared" si="5"/>
        <v>5</v>
      </c>
      <c r="J28" s="38">
        <f t="shared" si="5"/>
        <v>6</v>
      </c>
      <c r="K28" s="38">
        <f t="shared" si="5"/>
        <v>7</v>
      </c>
      <c r="L28" s="38">
        <f t="shared" si="5"/>
        <v>7</v>
      </c>
      <c r="M28" s="38">
        <f t="shared" si="5"/>
        <v>7</v>
      </c>
      <c r="N28" s="38">
        <f t="shared" si="5"/>
        <v>7</v>
      </c>
      <c r="O28" s="38">
        <f t="shared" si="5"/>
        <v>10</v>
      </c>
      <c r="P28" s="38">
        <f t="shared" si="5"/>
        <v>10</v>
      </c>
      <c r="Q28" s="38">
        <f t="shared" si="5"/>
        <v>9</v>
      </c>
      <c r="R28" s="38">
        <f t="shared" si="5"/>
        <v>8</v>
      </c>
      <c r="S28" s="38">
        <f t="shared" si="5"/>
        <v>8</v>
      </c>
      <c r="T28" s="38">
        <f t="shared" si="5"/>
        <v>7</v>
      </c>
      <c r="U28" s="38">
        <f t="shared" si="5"/>
        <v>9</v>
      </c>
      <c r="V28" s="38">
        <f t="shared" si="5"/>
        <v>9</v>
      </c>
      <c r="W28" s="38">
        <f t="shared" si="5"/>
        <v>12</v>
      </c>
      <c r="X28" s="38">
        <f t="shared" si="5"/>
        <v>9</v>
      </c>
      <c r="Y28" s="38">
        <f t="shared" si="5"/>
        <v>6</v>
      </c>
      <c r="Z28" s="38">
        <f t="shared" si="5"/>
        <v>3</v>
      </c>
      <c r="AA28" s="38">
        <f t="shared" si="5"/>
        <v>5</v>
      </c>
      <c r="AB28" s="38">
        <f t="shared" si="5"/>
        <v>4</v>
      </c>
      <c r="AC28" s="38">
        <f t="shared" si="5"/>
        <v>4</v>
      </c>
      <c r="AD28" s="38">
        <f t="shared" si="5"/>
        <v>4</v>
      </c>
      <c r="AE28" s="38">
        <f t="shared" si="5"/>
        <v>7</v>
      </c>
      <c r="AF28" s="38">
        <f t="shared" si="5"/>
        <v>6</v>
      </c>
      <c r="AG28" s="38">
        <f t="shared" si="5"/>
        <v>9</v>
      </c>
      <c r="AH28" s="38">
        <f t="shared" si="5"/>
        <v>6</v>
      </c>
      <c r="AI28" s="38">
        <f t="shared" si="5"/>
        <v>7</v>
      </c>
      <c r="AJ28" s="38">
        <f t="shared" si="5"/>
        <v>4</v>
      </c>
      <c r="AK28" s="38">
        <f t="shared" si="5"/>
        <v>7</v>
      </c>
      <c r="AL28" s="38">
        <f t="shared" si="5"/>
        <v>3</v>
      </c>
      <c r="AM28" s="38">
        <f t="shared" si="5"/>
        <v>3</v>
      </c>
      <c r="AN28" s="38">
        <f t="shared" si="5"/>
        <v>4</v>
      </c>
      <c r="AO28" s="38">
        <f t="shared" si="5"/>
        <v>5</v>
      </c>
      <c r="AP28" s="38">
        <f t="shared" si="5"/>
        <v>3</v>
      </c>
      <c r="AQ28" s="38">
        <f t="shared" si="5"/>
        <v>7</v>
      </c>
      <c r="AR28" s="38">
        <f t="shared" si="5"/>
        <v>7</v>
      </c>
      <c r="AS28" s="38">
        <f t="shared" si="5"/>
        <v>9</v>
      </c>
      <c r="AT28" s="38">
        <f t="shared" si="5"/>
        <v>5</v>
      </c>
      <c r="AU28" s="38">
        <f t="shared" si="5"/>
        <v>5</v>
      </c>
      <c r="AV28" s="38">
        <f t="shared" si="5"/>
        <v>6</v>
      </c>
      <c r="AW28" s="38">
        <f t="shared" si="5"/>
        <v>7</v>
      </c>
      <c r="AX28" s="38">
        <f t="shared" si="5"/>
        <v>4</v>
      </c>
      <c r="AY28" s="38">
        <f t="shared" si="5"/>
        <v>7</v>
      </c>
      <c r="AZ28" s="38">
        <f t="shared" si="5"/>
        <v>3</v>
      </c>
      <c r="BA28" s="38">
        <f t="shared" si="5"/>
        <v>5</v>
      </c>
      <c r="BB28" s="38">
        <f t="shared" si="5"/>
        <v>6</v>
      </c>
      <c r="BC28" s="38">
        <f t="shared" si="5"/>
        <v>11</v>
      </c>
      <c r="BD28" s="38">
        <f t="shared" si="5"/>
        <v>7</v>
      </c>
      <c r="BE28" s="38">
        <f t="shared" si="5"/>
        <v>8</v>
      </c>
      <c r="BF28" s="38">
        <f t="shared" si="5"/>
        <v>5</v>
      </c>
      <c r="BG28" s="38">
        <f t="shared" si="5"/>
        <v>5</v>
      </c>
      <c r="BH28" s="38">
        <f t="shared" si="5"/>
        <v>3</v>
      </c>
      <c r="BI28" s="38">
        <f t="shared" si="5"/>
        <v>5</v>
      </c>
      <c r="BJ28" s="38">
        <f t="shared" si="5"/>
        <v>5</v>
      </c>
      <c r="BK28" s="38">
        <f t="shared" si="5"/>
        <v>4</v>
      </c>
      <c r="BL28" s="38">
        <f t="shared" si="5"/>
        <v>7</v>
      </c>
      <c r="BM28" s="38">
        <f t="shared" si="5"/>
        <v>10</v>
      </c>
      <c r="BN28" s="38">
        <f t="shared" si="5"/>
        <v>11</v>
      </c>
      <c r="BO28" s="38">
        <f t="shared" ref="BO28:CA28" si="6">SUM(BO6:BO9)</f>
        <v>11</v>
      </c>
      <c r="BP28" s="38">
        <f t="shared" si="6"/>
        <v>11</v>
      </c>
      <c r="BQ28" s="38">
        <f t="shared" si="6"/>
        <v>15</v>
      </c>
      <c r="BR28" s="38">
        <f t="shared" si="6"/>
        <v>13</v>
      </c>
      <c r="BS28" s="38">
        <f t="shared" si="6"/>
        <v>11</v>
      </c>
      <c r="BT28" s="38">
        <f t="shared" si="6"/>
        <v>11</v>
      </c>
      <c r="BU28" s="38">
        <f t="shared" si="6"/>
        <v>9</v>
      </c>
      <c r="BV28" s="38">
        <f t="shared" si="6"/>
        <v>9</v>
      </c>
      <c r="BW28" s="38">
        <f t="shared" si="6"/>
        <v>7</v>
      </c>
      <c r="BX28" s="38">
        <f t="shared" si="6"/>
        <v>5</v>
      </c>
      <c r="BY28" s="38">
        <f t="shared" si="6"/>
        <v>2</v>
      </c>
      <c r="BZ28" s="38">
        <f t="shared" si="6"/>
        <v>2</v>
      </c>
      <c r="CA28" s="38">
        <f t="shared" si="6"/>
        <v>2</v>
      </c>
      <c r="DA28" s="36">
        <f t="shared" si="3"/>
        <v>15</v>
      </c>
      <c r="DB28" s="36">
        <f t="shared" si="4"/>
        <v>15</v>
      </c>
    </row>
    <row r="29" spans="1:106" x14ac:dyDescent="0.3">
      <c r="A29" s="37" t="s">
        <v>968</v>
      </c>
      <c r="B29" s="38">
        <f>SUM(B10:B13)</f>
        <v>64</v>
      </c>
      <c r="C29" s="38">
        <f t="shared" ref="C29:BN29" si="7">SUM(C10:C13)</f>
        <v>64</v>
      </c>
      <c r="D29" s="38">
        <f t="shared" si="7"/>
        <v>65</v>
      </c>
      <c r="E29" s="38">
        <f t="shared" si="7"/>
        <v>66</v>
      </c>
      <c r="F29" s="38">
        <f t="shared" si="7"/>
        <v>71</v>
      </c>
      <c r="G29" s="38">
        <f t="shared" si="7"/>
        <v>70</v>
      </c>
      <c r="H29" s="38">
        <f t="shared" si="7"/>
        <v>61</v>
      </c>
      <c r="I29" s="38">
        <f t="shared" si="7"/>
        <v>52</v>
      </c>
      <c r="J29" s="38">
        <f t="shared" si="7"/>
        <v>49</v>
      </c>
      <c r="K29" s="38">
        <f t="shared" si="7"/>
        <v>48</v>
      </c>
      <c r="L29" s="38">
        <f t="shared" si="7"/>
        <v>42</v>
      </c>
      <c r="M29" s="38">
        <f t="shared" si="7"/>
        <v>36</v>
      </c>
      <c r="N29" s="38">
        <f t="shared" si="7"/>
        <v>34</v>
      </c>
      <c r="O29" s="38">
        <f t="shared" si="7"/>
        <v>35</v>
      </c>
      <c r="P29" s="38">
        <f t="shared" si="7"/>
        <v>31</v>
      </c>
      <c r="Q29" s="38">
        <f t="shared" si="7"/>
        <v>25</v>
      </c>
      <c r="R29" s="38">
        <f t="shared" si="7"/>
        <v>23</v>
      </c>
      <c r="S29" s="38">
        <f t="shared" si="7"/>
        <v>21</v>
      </c>
      <c r="T29" s="38">
        <f t="shared" si="7"/>
        <v>24</v>
      </c>
      <c r="U29" s="38">
        <f t="shared" si="7"/>
        <v>27</v>
      </c>
      <c r="V29" s="38">
        <f t="shared" si="7"/>
        <v>31</v>
      </c>
      <c r="W29" s="38">
        <f t="shared" si="7"/>
        <v>28</v>
      </c>
      <c r="X29" s="38">
        <f t="shared" si="7"/>
        <v>23</v>
      </c>
      <c r="Y29" s="38">
        <f t="shared" si="7"/>
        <v>25</v>
      </c>
      <c r="Z29" s="38">
        <f t="shared" si="7"/>
        <v>28</v>
      </c>
      <c r="AA29" s="38">
        <f t="shared" si="7"/>
        <v>35</v>
      </c>
      <c r="AB29" s="38">
        <f t="shared" si="7"/>
        <v>36</v>
      </c>
      <c r="AC29" s="38">
        <f t="shared" si="7"/>
        <v>38</v>
      </c>
      <c r="AD29" s="38">
        <f t="shared" si="7"/>
        <v>33</v>
      </c>
      <c r="AE29" s="38">
        <f t="shared" si="7"/>
        <v>28</v>
      </c>
      <c r="AF29" s="38">
        <f t="shared" si="7"/>
        <v>29</v>
      </c>
      <c r="AG29" s="38">
        <f t="shared" si="7"/>
        <v>27</v>
      </c>
      <c r="AH29" s="38">
        <f t="shared" si="7"/>
        <v>27</v>
      </c>
      <c r="AI29" s="38">
        <f t="shared" si="7"/>
        <v>24</v>
      </c>
      <c r="AJ29" s="38">
        <f t="shared" si="7"/>
        <v>22</v>
      </c>
      <c r="AK29" s="38">
        <f t="shared" si="7"/>
        <v>23</v>
      </c>
      <c r="AL29" s="38">
        <f t="shared" si="7"/>
        <v>26</v>
      </c>
      <c r="AM29" s="38">
        <f t="shared" si="7"/>
        <v>26</v>
      </c>
      <c r="AN29" s="38">
        <f t="shared" si="7"/>
        <v>27</v>
      </c>
      <c r="AO29" s="38">
        <f t="shared" si="7"/>
        <v>28</v>
      </c>
      <c r="AP29" s="38">
        <f t="shared" si="7"/>
        <v>27</v>
      </c>
      <c r="AQ29" s="38">
        <f t="shared" si="7"/>
        <v>28</v>
      </c>
      <c r="AR29" s="38">
        <f t="shared" si="7"/>
        <v>24</v>
      </c>
      <c r="AS29" s="38">
        <f t="shared" si="7"/>
        <v>18</v>
      </c>
      <c r="AT29" s="38">
        <f t="shared" si="7"/>
        <v>15</v>
      </c>
      <c r="AU29" s="38">
        <f t="shared" si="7"/>
        <v>14</v>
      </c>
      <c r="AV29" s="38">
        <f t="shared" si="7"/>
        <v>16</v>
      </c>
      <c r="AW29" s="38">
        <f t="shared" si="7"/>
        <v>13</v>
      </c>
      <c r="AX29" s="38">
        <f t="shared" si="7"/>
        <v>19</v>
      </c>
      <c r="AY29" s="38">
        <f t="shared" si="7"/>
        <v>23</v>
      </c>
      <c r="AZ29" s="38">
        <f t="shared" si="7"/>
        <v>25</v>
      </c>
      <c r="BA29" s="38">
        <f t="shared" si="7"/>
        <v>24</v>
      </c>
      <c r="BB29" s="38">
        <f t="shared" si="7"/>
        <v>21</v>
      </c>
      <c r="BC29" s="38">
        <f t="shared" si="7"/>
        <v>23</v>
      </c>
      <c r="BD29" s="38">
        <f t="shared" si="7"/>
        <v>14</v>
      </c>
      <c r="BE29" s="38">
        <f t="shared" si="7"/>
        <v>15</v>
      </c>
      <c r="BF29" s="38">
        <f t="shared" si="7"/>
        <v>23</v>
      </c>
      <c r="BG29" s="38">
        <f t="shared" si="7"/>
        <v>23</v>
      </c>
      <c r="BH29" s="38">
        <f t="shared" si="7"/>
        <v>26</v>
      </c>
      <c r="BI29" s="38">
        <f t="shared" si="7"/>
        <v>25</v>
      </c>
      <c r="BJ29" s="38">
        <f t="shared" si="7"/>
        <v>25</v>
      </c>
      <c r="BK29" s="38">
        <f t="shared" si="7"/>
        <v>33</v>
      </c>
      <c r="BL29" s="38">
        <f t="shared" si="7"/>
        <v>33</v>
      </c>
      <c r="BM29" s="38">
        <f t="shared" si="7"/>
        <v>36</v>
      </c>
      <c r="BN29" s="38">
        <f t="shared" si="7"/>
        <v>41</v>
      </c>
      <c r="BO29" s="38">
        <f t="shared" ref="BO29:CA29" si="8">SUM(BO10:BO13)</f>
        <v>38</v>
      </c>
      <c r="BP29" s="38">
        <f t="shared" si="8"/>
        <v>42</v>
      </c>
      <c r="BQ29" s="38">
        <f t="shared" si="8"/>
        <v>40</v>
      </c>
      <c r="BR29" s="38">
        <f t="shared" si="8"/>
        <v>45</v>
      </c>
      <c r="BS29" s="38">
        <f t="shared" si="8"/>
        <v>47</v>
      </c>
      <c r="BT29" s="38">
        <f t="shared" si="8"/>
        <v>51</v>
      </c>
      <c r="BU29" s="38">
        <f t="shared" si="8"/>
        <v>53</v>
      </c>
      <c r="BV29" s="38">
        <f t="shared" si="8"/>
        <v>57</v>
      </c>
      <c r="BW29" s="38">
        <f t="shared" si="8"/>
        <v>59</v>
      </c>
      <c r="BX29" s="38">
        <f t="shared" si="8"/>
        <v>58</v>
      </c>
      <c r="BY29" s="38">
        <f t="shared" si="8"/>
        <v>61</v>
      </c>
      <c r="BZ29" s="38">
        <f t="shared" si="8"/>
        <v>62</v>
      </c>
      <c r="CA29" s="38">
        <f t="shared" si="8"/>
        <v>64</v>
      </c>
      <c r="DA29" s="36">
        <f t="shared" si="3"/>
        <v>71</v>
      </c>
      <c r="DB29" s="36">
        <f t="shared" si="4"/>
        <v>71</v>
      </c>
    </row>
    <row r="30" spans="1:106" x14ac:dyDescent="0.3">
      <c r="A30" s="37" t="s">
        <v>969</v>
      </c>
      <c r="B30" s="38">
        <f>SUM(B14:B17)</f>
        <v>6</v>
      </c>
      <c r="C30" s="38">
        <f t="shared" ref="C30:BN30" si="9">SUM(C14:C17)</f>
        <v>6</v>
      </c>
      <c r="D30" s="38">
        <f t="shared" si="9"/>
        <v>6</v>
      </c>
      <c r="E30" s="38">
        <f t="shared" si="9"/>
        <v>7</v>
      </c>
      <c r="F30" s="38">
        <f t="shared" si="9"/>
        <v>7</v>
      </c>
      <c r="G30" s="38">
        <f t="shared" si="9"/>
        <v>6</v>
      </c>
      <c r="H30" s="38">
        <f t="shared" si="9"/>
        <v>6</v>
      </c>
      <c r="I30" s="38">
        <f t="shared" si="9"/>
        <v>6</v>
      </c>
      <c r="J30" s="38">
        <f t="shared" si="9"/>
        <v>6</v>
      </c>
      <c r="K30" s="38">
        <f t="shared" si="9"/>
        <v>6</v>
      </c>
      <c r="L30" s="38">
        <f t="shared" si="9"/>
        <v>6</v>
      </c>
      <c r="M30" s="38">
        <f t="shared" si="9"/>
        <v>6</v>
      </c>
      <c r="N30" s="38">
        <f t="shared" si="9"/>
        <v>4</v>
      </c>
      <c r="O30" s="38">
        <f t="shared" si="9"/>
        <v>4</v>
      </c>
      <c r="P30" s="38">
        <f t="shared" si="9"/>
        <v>4</v>
      </c>
      <c r="Q30" s="38">
        <f t="shared" si="9"/>
        <v>4</v>
      </c>
      <c r="R30" s="38">
        <f t="shared" si="9"/>
        <v>4</v>
      </c>
      <c r="S30" s="38">
        <f t="shared" si="9"/>
        <v>2</v>
      </c>
      <c r="T30" s="38">
        <f t="shared" si="9"/>
        <v>1</v>
      </c>
      <c r="U30" s="38">
        <f t="shared" si="9"/>
        <v>1</v>
      </c>
      <c r="V30" s="38">
        <f t="shared" si="9"/>
        <v>1</v>
      </c>
      <c r="W30" s="38">
        <f t="shared" si="9"/>
        <v>1</v>
      </c>
      <c r="X30" s="38">
        <f t="shared" si="9"/>
        <v>0</v>
      </c>
      <c r="Y30" s="38">
        <f t="shared" si="9"/>
        <v>0</v>
      </c>
      <c r="Z30" s="38">
        <f t="shared" si="9"/>
        <v>0</v>
      </c>
      <c r="AA30" s="38">
        <f t="shared" si="9"/>
        <v>0</v>
      </c>
      <c r="AB30" s="38">
        <f t="shared" si="9"/>
        <v>1</v>
      </c>
      <c r="AC30" s="38">
        <f t="shared" si="9"/>
        <v>1</v>
      </c>
      <c r="AD30" s="38">
        <f t="shared" si="9"/>
        <v>1</v>
      </c>
      <c r="AE30" s="38">
        <f t="shared" si="9"/>
        <v>1</v>
      </c>
      <c r="AF30" s="38">
        <f t="shared" si="9"/>
        <v>1</v>
      </c>
      <c r="AG30" s="38">
        <f t="shared" si="9"/>
        <v>0</v>
      </c>
      <c r="AH30" s="38">
        <f t="shared" si="9"/>
        <v>0</v>
      </c>
      <c r="AI30" s="38">
        <f t="shared" si="9"/>
        <v>0</v>
      </c>
      <c r="AJ30" s="38">
        <f t="shared" si="9"/>
        <v>0</v>
      </c>
      <c r="AK30" s="38">
        <f t="shared" si="9"/>
        <v>0</v>
      </c>
      <c r="AL30" s="38">
        <f t="shared" si="9"/>
        <v>0</v>
      </c>
      <c r="AM30" s="38">
        <f t="shared" si="9"/>
        <v>0</v>
      </c>
      <c r="AN30" s="38">
        <f t="shared" si="9"/>
        <v>0</v>
      </c>
      <c r="AO30" s="38">
        <f t="shared" si="9"/>
        <v>0</v>
      </c>
      <c r="AP30" s="38">
        <f t="shared" si="9"/>
        <v>1</v>
      </c>
      <c r="AQ30" s="38">
        <f t="shared" si="9"/>
        <v>1</v>
      </c>
      <c r="AR30" s="38">
        <f t="shared" si="9"/>
        <v>1</v>
      </c>
      <c r="AS30" s="38">
        <f t="shared" si="9"/>
        <v>1</v>
      </c>
      <c r="AT30" s="38">
        <f t="shared" si="9"/>
        <v>1</v>
      </c>
      <c r="AU30" s="38">
        <f t="shared" si="9"/>
        <v>1</v>
      </c>
      <c r="AV30" s="38">
        <f t="shared" si="9"/>
        <v>1</v>
      </c>
      <c r="AW30" s="38">
        <f t="shared" si="9"/>
        <v>0</v>
      </c>
      <c r="AX30" s="38">
        <f t="shared" si="9"/>
        <v>0</v>
      </c>
      <c r="AY30" s="38">
        <f t="shared" si="9"/>
        <v>0</v>
      </c>
      <c r="AZ30" s="38">
        <f t="shared" si="9"/>
        <v>0</v>
      </c>
      <c r="BA30" s="38">
        <f t="shared" si="9"/>
        <v>0</v>
      </c>
      <c r="BB30" s="38">
        <f t="shared" si="9"/>
        <v>0</v>
      </c>
      <c r="BC30" s="38">
        <f t="shared" si="9"/>
        <v>0</v>
      </c>
      <c r="BD30" s="38">
        <f t="shared" si="9"/>
        <v>0</v>
      </c>
      <c r="BE30" s="38">
        <f t="shared" si="9"/>
        <v>0</v>
      </c>
      <c r="BF30" s="38">
        <f t="shared" si="9"/>
        <v>1</v>
      </c>
      <c r="BG30" s="38">
        <f t="shared" si="9"/>
        <v>1</v>
      </c>
      <c r="BH30" s="38">
        <f t="shared" si="9"/>
        <v>1</v>
      </c>
      <c r="BI30" s="38">
        <f t="shared" si="9"/>
        <v>2</v>
      </c>
      <c r="BJ30" s="38">
        <f t="shared" si="9"/>
        <v>3</v>
      </c>
      <c r="BK30" s="38">
        <f t="shared" si="9"/>
        <v>3</v>
      </c>
      <c r="BL30" s="38">
        <f t="shared" si="9"/>
        <v>3</v>
      </c>
      <c r="BM30" s="38">
        <f t="shared" si="9"/>
        <v>3</v>
      </c>
      <c r="BN30" s="38">
        <f t="shared" si="9"/>
        <v>3</v>
      </c>
      <c r="BO30" s="38">
        <f t="shared" ref="BO30:CA30" si="10">SUM(BO14:BO17)</f>
        <v>4</v>
      </c>
      <c r="BP30" s="38">
        <f t="shared" si="10"/>
        <v>4</v>
      </c>
      <c r="BQ30" s="38">
        <f t="shared" si="10"/>
        <v>4</v>
      </c>
      <c r="BR30" s="38">
        <f t="shared" si="10"/>
        <v>4</v>
      </c>
      <c r="BS30" s="38">
        <f t="shared" si="10"/>
        <v>6</v>
      </c>
      <c r="BT30" s="38">
        <f t="shared" si="10"/>
        <v>7</v>
      </c>
      <c r="BU30" s="38">
        <f t="shared" si="10"/>
        <v>7</v>
      </c>
      <c r="BV30" s="38">
        <f t="shared" si="10"/>
        <v>7</v>
      </c>
      <c r="BW30" s="38">
        <f t="shared" si="10"/>
        <v>7</v>
      </c>
      <c r="BX30" s="38">
        <f t="shared" si="10"/>
        <v>7</v>
      </c>
      <c r="BY30" s="38">
        <f t="shared" si="10"/>
        <v>7</v>
      </c>
      <c r="BZ30" s="38">
        <f t="shared" si="10"/>
        <v>6</v>
      </c>
      <c r="CA30" s="38">
        <f t="shared" si="10"/>
        <v>6</v>
      </c>
      <c r="DA30" s="36">
        <f t="shared" si="3"/>
        <v>7</v>
      </c>
      <c r="DB30" s="36">
        <f t="shared" si="4"/>
        <v>7</v>
      </c>
    </row>
    <row r="31" spans="1:106" x14ac:dyDescent="0.3">
      <c r="A31" s="37" t="s">
        <v>970</v>
      </c>
      <c r="B31" s="38">
        <f>SUM(B18:B21)</f>
        <v>0</v>
      </c>
      <c r="C31" s="38">
        <f t="shared" ref="C31:BN31" si="11">SUM(C18:C21)</f>
        <v>0</v>
      </c>
      <c r="D31" s="38">
        <f t="shared" si="11"/>
        <v>0</v>
      </c>
      <c r="E31" s="38">
        <f t="shared" si="11"/>
        <v>0</v>
      </c>
      <c r="F31" s="38">
        <f t="shared" si="11"/>
        <v>0</v>
      </c>
      <c r="G31" s="38">
        <f t="shared" si="11"/>
        <v>0</v>
      </c>
      <c r="H31" s="38">
        <f t="shared" si="11"/>
        <v>0</v>
      </c>
      <c r="I31" s="38">
        <f t="shared" si="11"/>
        <v>0</v>
      </c>
      <c r="J31" s="38">
        <f t="shared" si="11"/>
        <v>0</v>
      </c>
      <c r="K31" s="38">
        <f t="shared" si="11"/>
        <v>0</v>
      </c>
      <c r="L31" s="38">
        <f t="shared" si="11"/>
        <v>0</v>
      </c>
      <c r="M31" s="38">
        <f t="shared" si="11"/>
        <v>0</v>
      </c>
      <c r="N31" s="38">
        <f t="shared" si="11"/>
        <v>0</v>
      </c>
      <c r="O31" s="38">
        <f t="shared" si="11"/>
        <v>0</v>
      </c>
      <c r="P31" s="38">
        <f t="shared" si="11"/>
        <v>0</v>
      </c>
      <c r="Q31" s="38">
        <f t="shared" si="11"/>
        <v>0</v>
      </c>
      <c r="R31" s="38">
        <f t="shared" si="11"/>
        <v>1</v>
      </c>
      <c r="S31" s="38">
        <f t="shared" si="11"/>
        <v>1</v>
      </c>
      <c r="T31" s="38">
        <f t="shared" si="11"/>
        <v>1</v>
      </c>
      <c r="U31" s="38">
        <f t="shared" si="11"/>
        <v>1</v>
      </c>
      <c r="V31" s="38">
        <f t="shared" si="11"/>
        <v>1</v>
      </c>
      <c r="W31" s="38">
        <f t="shared" si="11"/>
        <v>1</v>
      </c>
      <c r="X31" s="38">
        <f t="shared" si="11"/>
        <v>2</v>
      </c>
      <c r="Y31" s="38">
        <f t="shared" si="11"/>
        <v>2</v>
      </c>
      <c r="Z31" s="38">
        <f t="shared" si="11"/>
        <v>2</v>
      </c>
      <c r="AA31" s="38">
        <f t="shared" si="11"/>
        <v>2</v>
      </c>
      <c r="AB31" s="38">
        <f t="shared" si="11"/>
        <v>2</v>
      </c>
      <c r="AC31" s="38">
        <f t="shared" si="11"/>
        <v>2</v>
      </c>
      <c r="AD31" s="38">
        <f t="shared" si="11"/>
        <v>3</v>
      </c>
      <c r="AE31" s="38">
        <f t="shared" si="11"/>
        <v>3</v>
      </c>
      <c r="AF31" s="38">
        <f t="shared" si="11"/>
        <v>4</v>
      </c>
      <c r="AG31" s="38">
        <f t="shared" si="11"/>
        <v>4</v>
      </c>
      <c r="AH31" s="38">
        <f t="shared" si="11"/>
        <v>4</v>
      </c>
      <c r="AI31" s="38">
        <f t="shared" si="11"/>
        <v>3</v>
      </c>
      <c r="AJ31" s="38">
        <f t="shared" si="11"/>
        <v>4</v>
      </c>
      <c r="AK31" s="38">
        <f t="shared" si="11"/>
        <v>4</v>
      </c>
      <c r="AL31" s="38">
        <f t="shared" si="11"/>
        <v>3</v>
      </c>
      <c r="AM31" s="38">
        <f t="shared" si="11"/>
        <v>3</v>
      </c>
      <c r="AN31" s="38">
        <f t="shared" si="11"/>
        <v>3</v>
      </c>
      <c r="AO31" s="38">
        <f t="shared" si="11"/>
        <v>3</v>
      </c>
      <c r="AP31" s="38">
        <f t="shared" si="11"/>
        <v>3</v>
      </c>
      <c r="AQ31" s="38">
        <f t="shared" si="11"/>
        <v>2</v>
      </c>
      <c r="AR31" s="38">
        <f t="shared" si="11"/>
        <v>1</v>
      </c>
      <c r="AS31" s="38">
        <f t="shared" si="11"/>
        <v>1</v>
      </c>
      <c r="AT31" s="38">
        <f t="shared" si="11"/>
        <v>1</v>
      </c>
      <c r="AU31" s="38">
        <f t="shared" si="11"/>
        <v>0</v>
      </c>
      <c r="AV31" s="38">
        <f t="shared" si="11"/>
        <v>0</v>
      </c>
      <c r="AW31" s="38">
        <f t="shared" si="11"/>
        <v>1</v>
      </c>
      <c r="AX31" s="38">
        <f t="shared" si="11"/>
        <v>1</v>
      </c>
      <c r="AY31" s="38">
        <f t="shared" si="11"/>
        <v>2</v>
      </c>
      <c r="AZ31" s="38">
        <f t="shared" si="11"/>
        <v>2</v>
      </c>
      <c r="BA31" s="38">
        <f t="shared" si="11"/>
        <v>2</v>
      </c>
      <c r="BB31" s="38">
        <f t="shared" si="11"/>
        <v>2</v>
      </c>
      <c r="BC31" s="38">
        <f t="shared" si="11"/>
        <v>2</v>
      </c>
      <c r="BD31" s="38">
        <f t="shared" si="11"/>
        <v>2</v>
      </c>
      <c r="BE31" s="38">
        <f t="shared" si="11"/>
        <v>2</v>
      </c>
      <c r="BF31" s="38">
        <f t="shared" si="11"/>
        <v>2</v>
      </c>
      <c r="BG31" s="38">
        <f t="shared" si="11"/>
        <v>1</v>
      </c>
      <c r="BH31" s="38">
        <f t="shared" si="11"/>
        <v>0</v>
      </c>
      <c r="BI31" s="38">
        <f t="shared" si="11"/>
        <v>0</v>
      </c>
      <c r="BJ31" s="38">
        <f t="shared" si="11"/>
        <v>0</v>
      </c>
      <c r="BK31" s="38">
        <f t="shared" si="11"/>
        <v>0</v>
      </c>
      <c r="BL31" s="38">
        <f t="shared" si="11"/>
        <v>0</v>
      </c>
      <c r="BM31" s="38">
        <f t="shared" si="11"/>
        <v>0</v>
      </c>
      <c r="BN31" s="38">
        <f t="shared" si="11"/>
        <v>0</v>
      </c>
      <c r="BO31" s="38">
        <f t="shared" ref="BO31:CA31" si="12">SUM(BO18:BO21)</f>
        <v>0</v>
      </c>
      <c r="BP31" s="38">
        <f t="shared" si="12"/>
        <v>0</v>
      </c>
      <c r="BQ31" s="38">
        <f t="shared" si="12"/>
        <v>0</v>
      </c>
      <c r="BR31" s="38">
        <f t="shared" si="12"/>
        <v>0</v>
      </c>
      <c r="BS31" s="38">
        <f t="shared" si="12"/>
        <v>0</v>
      </c>
      <c r="BT31" s="38">
        <f t="shared" si="12"/>
        <v>0</v>
      </c>
      <c r="BU31" s="38">
        <f t="shared" si="12"/>
        <v>0</v>
      </c>
      <c r="BV31" s="38">
        <f t="shared" si="12"/>
        <v>0</v>
      </c>
      <c r="BW31" s="38">
        <f t="shared" si="12"/>
        <v>0</v>
      </c>
      <c r="BX31" s="38">
        <f t="shared" si="12"/>
        <v>0</v>
      </c>
      <c r="BY31" s="38">
        <f t="shared" si="12"/>
        <v>0</v>
      </c>
      <c r="BZ31" s="38">
        <f t="shared" si="12"/>
        <v>0</v>
      </c>
      <c r="CA31" s="38">
        <f t="shared" si="12"/>
        <v>0</v>
      </c>
      <c r="DA31" s="36">
        <f t="shared" si="3"/>
        <v>4</v>
      </c>
      <c r="DB31" s="36">
        <f t="shared" si="4"/>
        <v>4</v>
      </c>
    </row>
    <row r="32" spans="1:106" x14ac:dyDescent="0.3">
      <c r="A32" s="37" t="s">
        <v>971</v>
      </c>
      <c r="B32" s="38">
        <f>SUM(B22:B25)</f>
        <v>0</v>
      </c>
      <c r="C32" s="38">
        <f t="shared" ref="C32:BN32" si="13">SUM(C22:C25)</f>
        <v>0</v>
      </c>
      <c r="D32" s="38">
        <f t="shared" si="13"/>
        <v>0</v>
      </c>
      <c r="E32" s="38">
        <f t="shared" si="13"/>
        <v>0</v>
      </c>
      <c r="F32" s="38">
        <f t="shared" si="13"/>
        <v>0</v>
      </c>
      <c r="G32" s="38">
        <f t="shared" si="13"/>
        <v>0</v>
      </c>
      <c r="H32" s="38">
        <f t="shared" si="13"/>
        <v>0</v>
      </c>
      <c r="I32" s="38">
        <f t="shared" si="13"/>
        <v>0</v>
      </c>
      <c r="J32" s="38">
        <f t="shared" si="13"/>
        <v>0</v>
      </c>
      <c r="K32" s="38">
        <f t="shared" si="13"/>
        <v>0</v>
      </c>
      <c r="L32" s="38">
        <f t="shared" si="13"/>
        <v>0</v>
      </c>
      <c r="M32" s="38">
        <f t="shared" si="13"/>
        <v>0</v>
      </c>
      <c r="N32" s="38">
        <f t="shared" si="13"/>
        <v>0</v>
      </c>
      <c r="O32" s="38">
        <f t="shared" si="13"/>
        <v>0</v>
      </c>
      <c r="P32" s="38">
        <f t="shared" si="13"/>
        <v>0</v>
      </c>
      <c r="Q32" s="38">
        <f t="shared" si="13"/>
        <v>0</v>
      </c>
      <c r="R32" s="38">
        <f t="shared" si="13"/>
        <v>0</v>
      </c>
      <c r="S32" s="38">
        <f t="shared" si="13"/>
        <v>0</v>
      </c>
      <c r="T32" s="38">
        <f t="shared" si="13"/>
        <v>0</v>
      </c>
      <c r="U32" s="38">
        <f t="shared" si="13"/>
        <v>0</v>
      </c>
      <c r="V32" s="38">
        <f t="shared" si="13"/>
        <v>0</v>
      </c>
      <c r="W32" s="38">
        <f t="shared" si="13"/>
        <v>0</v>
      </c>
      <c r="X32" s="38">
        <f t="shared" si="13"/>
        <v>0</v>
      </c>
      <c r="Y32" s="38">
        <f t="shared" si="13"/>
        <v>0</v>
      </c>
      <c r="Z32" s="38">
        <f t="shared" si="13"/>
        <v>0</v>
      </c>
      <c r="AA32" s="38">
        <f t="shared" si="13"/>
        <v>0</v>
      </c>
      <c r="AB32" s="38">
        <f t="shared" si="13"/>
        <v>0</v>
      </c>
      <c r="AC32" s="38">
        <f t="shared" si="13"/>
        <v>0</v>
      </c>
      <c r="AD32" s="38">
        <f t="shared" si="13"/>
        <v>0</v>
      </c>
      <c r="AE32" s="38">
        <f t="shared" si="13"/>
        <v>0</v>
      </c>
      <c r="AF32" s="38">
        <f t="shared" si="13"/>
        <v>0</v>
      </c>
      <c r="AG32" s="38">
        <f t="shared" si="13"/>
        <v>0</v>
      </c>
      <c r="AH32" s="38">
        <f t="shared" si="13"/>
        <v>0</v>
      </c>
      <c r="AI32" s="38">
        <f t="shared" si="13"/>
        <v>0</v>
      </c>
      <c r="AJ32" s="38">
        <f t="shared" si="13"/>
        <v>0</v>
      </c>
      <c r="AK32" s="38">
        <f t="shared" si="13"/>
        <v>0</v>
      </c>
      <c r="AL32" s="38">
        <f t="shared" si="13"/>
        <v>0</v>
      </c>
      <c r="AM32" s="38">
        <f t="shared" si="13"/>
        <v>0</v>
      </c>
      <c r="AN32" s="38">
        <f t="shared" si="13"/>
        <v>0</v>
      </c>
      <c r="AO32" s="38">
        <f t="shared" si="13"/>
        <v>0</v>
      </c>
      <c r="AP32" s="38">
        <f t="shared" si="13"/>
        <v>0</v>
      </c>
      <c r="AQ32" s="38">
        <f t="shared" si="13"/>
        <v>0</v>
      </c>
      <c r="AR32" s="38">
        <f t="shared" si="13"/>
        <v>0</v>
      </c>
      <c r="AS32" s="38">
        <f t="shared" si="13"/>
        <v>0</v>
      </c>
      <c r="AT32" s="38">
        <f t="shared" si="13"/>
        <v>0</v>
      </c>
      <c r="AU32" s="38">
        <f t="shared" si="13"/>
        <v>0</v>
      </c>
      <c r="AV32" s="38">
        <f t="shared" si="13"/>
        <v>0</v>
      </c>
      <c r="AW32" s="38">
        <f t="shared" si="13"/>
        <v>0</v>
      </c>
      <c r="AX32" s="38">
        <f t="shared" si="13"/>
        <v>0</v>
      </c>
      <c r="AY32" s="38">
        <f t="shared" si="13"/>
        <v>0</v>
      </c>
      <c r="AZ32" s="38">
        <f t="shared" si="13"/>
        <v>0</v>
      </c>
      <c r="BA32" s="38">
        <f t="shared" si="13"/>
        <v>0</v>
      </c>
      <c r="BB32" s="38">
        <f t="shared" si="13"/>
        <v>0</v>
      </c>
      <c r="BC32" s="38">
        <f t="shared" si="13"/>
        <v>0</v>
      </c>
      <c r="BD32" s="38">
        <f t="shared" si="13"/>
        <v>0</v>
      </c>
      <c r="BE32" s="38">
        <f t="shared" si="13"/>
        <v>0</v>
      </c>
      <c r="BF32" s="38">
        <f t="shared" si="13"/>
        <v>0</v>
      </c>
      <c r="BG32" s="38">
        <f t="shared" si="13"/>
        <v>0</v>
      </c>
      <c r="BH32" s="38">
        <f t="shared" si="13"/>
        <v>0</v>
      </c>
      <c r="BI32" s="38">
        <f t="shared" si="13"/>
        <v>0</v>
      </c>
      <c r="BJ32" s="38">
        <f t="shared" si="13"/>
        <v>0</v>
      </c>
      <c r="BK32" s="38">
        <f t="shared" si="13"/>
        <v>0</v>
      </c>
      <c r="BL32" s="38">
        <f t="shared" si="13"/>
        <v>0</v>
      </c>
      <c r="BM32" s="38">
        <f t="shared" si="13"/>
        <v>0</v>
      </c>
      <c r="BN32" s="38">
        <f t="shared" si="13"/>
        <v>0</v>
      </c>
      <c r="BO32" s="38">
        <f t="shared" ref="BO32:CA32" si="14">SUM(BO22:BO25)</f>
        <v>0</v>
      </c>
      <c r="BP32" s="38">
        <f t="shared" si="14"/>
        <v>0</v>
      </c>
      <c r="BQ32" s="38">
        <f t="shared" si="14"/>
        <v>0</v>
      </c>
      <c r="BR32" s="38">
        <f t="shared" si="14"/>
        <v>0</v>
      </c>
      <c r="BS32" s="38">
        <f t="shared" si="14"/>
        <v>0</v>
      </c>
      <c r="BT32" s="38">
        <f t="shared" si="14"/>
        <v>0</v>
      </c>
      <c r="BU32" s="38">
        <f t="shared" si="14"/>
        <v>0</v>
      </c>
      <c r="BV32" s="38">
        <f t="shared" si="14"/>
        <v>0</v>
      </c>
      <c r="BW32" s="38">
        <f t="shared" si="14"/>
        <v>0</v>
      </c>
      <c r="BX32" s="38">
        <f t="shared" si="14"/>
        <v>0</v>
      </c>
      <c r="BY32" s="38">
        <f t="shared" si="14"/>
        <v>0</v>
      </c>
      <c r="BZ32" s="38">
        <f t="shared" si="14"/>
        <v>0</v>
      </c>
      <c r="CA32" s="38">
        <f t="shared" si="14"/>
        <v>0</v>
      </c>
      <c r="DA32" s="36">
        <f t="shared" si="3"/>
        <v>0</v>
      </c>
      <c r="DB32" s="36">
        <f t="shared" si="4"/>
        <v>0</v>
      </c>
    </row>
  </sheetData>
  <conditionalFormatting sqref="DA2:DA25">
    <cfRule type="colorScale" priority="2">
      <colorScale>
        <cfvo type="min"/>
        <cfvo type="max"/>
        <color rgb="FFFCFCFF"/>
        <color rgb="FF63BE7B"/>
      </colorScale>
    </cfRule>
  </conditionalFormatting>
  <conditionalFormatting sqref="DA27:DA3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B765"/>
  <sheetViews>
    <sheetView workbookViewId="0">
      <selection activeCell="A8" sqref="A8"/>
    </sheetView>
  </sheetViews>
  <sheetFormatPr defaultRowHeight="14.4" x14ac:dyDescent="0.3"/>
  <sheetData>
    <row r="1" spans="1:2" x14ac:dyDescent="0.3">
      <c r="A1" t="s">
        <v>972</v>
      </c>
      <c r="B1" t="s">
        <v>973</v>
      </c>
    </row>
    <row r="2" spans="1:2" x14ac:dyDescent="0.3">
      <c r="A2" t="s">
        <v>974</v>
      </c>
      <c r="B2">
        <v>10071</v>
      </c>
    </row>
    <row r="3" spans="1:2" x14ac:dyDescent="0.3">
      <c r="A3" t="s">
        <v>933</v>
      </c>
      <c r="B3">
        <v>1</v>
      </c>
    </row>
    <row r="4" spans="1:2" x14ac:dyDescent="0.3">
      <c r="A4" t="s">
        <v>932</v>
      </c>
      <c r="B4">
        <v>1</v>
      </c>
    </row>
    <row r="5" spans="1:2" x14ac:dyDescent="0.3">
      <c r="A5" t="s">
        <v>176</v>
      </c>
      <c r="B5">
        <v>1</v>
      </c>
    </row>
    <row r="6" spans="1:2" x14ac:dyDescent="0.3">
      <c r="A6" t="s">
        <v>937</v>
      </c>
      <c r="B6">
        <v>2</v>
      </c>
    </row>
    <row r="7" spans="1:2" x14ac:dyDescent="0.3">
      <c r="A7" t="s">
        <v>934</v>
      </c>
      <c r="B7">
        <v>26</v>
      </c>
    </row>
    <row r="8" spans="1:2" x14ac:dyDescent="0.3">
      <c r="A8" t="s">
        <v>944</v>
      </c>
      <c r="B8">
        <v>35</v>
      </c>
    </row>
    <row r="9" spans="1:2" x14ac:dyDescent="0.3">
      <c r="A9" t="s">
        <v>938</v>
      </c>
      <c r="B9">
        <v>3</v>
      </c>
    </row>
    <row r="10" spans="1:2" x14ac:dyDescent="0.3">
      <c r="A10" t="s">
        <v>2552</v>
      </c>
      <c r="B10">
        <v>9945</v>
      </c>
    </row>
    <row r="11" spans="1:2" x14ac:dyDescent="0.3">
      <c r="A11" t="s">
        <v>2551</v>
      </c>
      <c r="B11">
        <v>126</v>
      </c>
    </row>
    <row r="12" spans="1:2" x14ac:dyDescent="0.3">
      <c r="A12" t="s">
        <v>935</v>
      </c>
      <c r="B12">
        <v>1</v>
      </c>
    </row>
    <row r="13" spans="1:2" x14ac:dyDescent="0.3">
      <c r="A13" t="s">
        <v>945</v>
      </c>
      <c r="B13">
        <v>4</v>
      </c>
    </row>
    <row r="14" spans="1:2" x14ac:dyDescent="0.3">
      <c r="A14" t="s">
        <v>939</v>
      </c>
      <c r="B14">
        <v>1</v>
      </c>
    </row>
    <row r="15" spans="1:2" x14ac:dyDescent="0.3">
      <c r="A15" t="s">
        <v>946</v>
      </c>
      <c r="B15">
        <v>1</v>
      </c>
    </row>
    <row r="16" spans="1:2" x14ac:dyDescent="0.3">
      <c r="A16" t="s">
        <v>942</v>
      </c>
      <c r="B16">
        <v>1</v>
      </c>
    </row>
    <row r="17" spans="1:2" x14ac:dyDescent="0.3">
      <c r="A17" t="s">
        <v>950</v>
      </c>
      <c r="B17">
        <v>1</v>
      </c>
    </row>
    <row r="18" spans="1:2" x14ac:dyDescent="0.3">
      <c r="A18" t="s">
        <v>2553</v>
      </c>
      <c r="B18">
        <v>2</v>
      </c>
    </row>
    <row r="19" spans="1:2" x14ac:dyDescent="0.3">
      <c r="A19" t="s">
        <v>975</v>
      </c>
      <c r="B19">
        <v>1</v>
      </c>
    </row>
    <row r="20" spans="1:2" x14ac:dyDescent="0.3">
      <c r="A20" t="s">
        <v>978</v>
      </c>
      <c r="B20">
        <v>1</v>
      </c>
    </row>
    <row r="21" spans="1:2" x14ac:dyDescent="0.3">
      <c r="A21" t="s">
        <v>979</v>
      </c>
      <c r="B21">
        <v>1</v>
      </c>
    </row>
    <row r="22" spans="1:2" x14ac:dyDescent="0.3">
      <c r="A22" t="s">
        <v>980</v>
      </c>
      <c r="B22">
        <v>1</v>
      </c>
    </row>
    <row r="23" spans="1:2" x14ac:dyDescent="0.3">
      <c r="A23" t="s">
        <v>983</v>
      </c>
      <c r="B23">
        <v>1</v>
      </c>
    </row>
    <row r="24" spans="1:2" x14ac:dyDescent="0.3">
      <c r="A24" t="s">
        <v>985</v>
      </c>
      <c r="B24">
        <v>1</v>
      </c>
    </row>
    <row r="25" spans="1:2" x14ac:dyDescent="0.3">
      <c r="A25" t="s">
        <v>986</v>
      </c>
      <c r="B25">
        <v>1</v>
      </c>
    </row>
    <row r="26" spans="1:2" x14ac:dyDescent="0.3">
      <c r="A26" t="s">
        <v>988</v>
      </c>
      <c r="B26">
        <v>1</v>
      </c>
    </row>
    <row r="27" spans="1:2" x14ac:dyDescent="0.3">
      <c r="A27" t="s">
        <v>990</v>
      </c>
      <c r="B27">
        <v>1</v>
      </c>
    </row>
    <row r="28" spans="1:2" x14ac:dyDescent="0.3">
      <c r="A28" t="s">
        <v>992</v>
      </c>
      <c r="B28">
        <v>1</v>
      </c>
    </row>
    <row r="29" spans="1:2" x14ac:dyDescent="0.3">
      <c r="A29" t="s">
        <v>994</v>
      </c>
      <c r="B29">
        <v>1</v>
      </c>
    </row>
    <row r="30" spans="1:2" x14ac:dyDescent="0.3">
      <c r="A30" t="s">
        <v>996</v>
      </c>
      <c r="B30">
        <v>1</v>
      </c>
    </row>
    <row r="31" spans="1:2" x14ac:dyDescent="0.3">
      <c r="A31" t="s">
        <v>997</v>
      </c>
      <c r="B31">
        <v>1</v>
      </c>
    </row>
    <row r="32" spans="1:2" x14ac:dyDescent="0.3">
      <c r="A32" t="s">
        <v>999</v>
      </c>
      <c r="B32">
        <v>1</v>
      </c>
    </row>
    <row r="33" spans="1:2" x14ac:dyDescent="0.3">
      <c r="A33" t="s">
        <v>1000</v>
      </c>
      <c r="B33">
        <v>1</v>
      </c>
    </row>
    <row r="34" spans="1:2" x14ac:dyDescent="0.3">
      <c r="A34" t="s">
        <v>1001</v>
      </c>
      <c r="B34">
        <v>1</v>
      </c>
    </row>
    <row r="35" spans="1:2" x14ac:dyDescent="0.3">
      <c r="A35" t="s">
        <v>1002</v>
      </c>
      <c r="B35">
        <v>1</v>
      </c>
    </row>
    <row r="36" spans="1:2" x14ac:dyDescent="0.3">
      <c r="A36" t="s">
        <v>1004</v>
      </c>
      <c r="B36">
        <v>1</v>
      </c>
    </row>
    <row r="37" spans="1:2" x14ac:dyDescent="0.3">
      <c r="A37" t="s">
        <v>1006</v>
      </c>
      <c r="B37">
        <v>1</v>
      </c>
    </row>
    <row r="38" spans="1:2" x14ac:dyDescent="0.3">
      <c r="A38" t="s">
        <v>1008</v>
      </c>
      <c r="B38">
        <v>1</v>
      </c>
    </row>
    <row r="39" spans="1:2" x14ac:dyDescent="0.3">
      <c r="A39" t="s">
        <v>1009</v>
      </c>
      <c r="B39">
        <v>1</v>
      </c>
    </row>
    <row r="40" spans="1:2" x14ac:dyDescent="0.3">
      <c r="A40" t="s">
        <v>1010</v>
      </c>
      <c r="B40">
        <v>1</v>
      </c>
    </row>
    <row r="41" spans="1:2" x14ac:dyDescent="0.3">
      <c r="A41" t="s">
        <v>1011</v>
      </c>
      <c r="B41">
        <v>1</v>
      </c>
    </row>
    <row r="42" spans="1:2" x14ac:dyDescent="0.3">
      <c r="A42" t="s">
        <v>1012</v>
      </c>
      <c r="B42">
        <v>1</v>
      </c>
    </row>
    <row r="43" spans="1:2" x14ac:dyDescent="0.3">
      <c r="A43" t="s">
        <v>1013</v>
      </c>
      <c r="B43">
        <v>1</v>
      </c>
    </row>
    <row r="44" spans="1:2" x14ac:dyDescent="0.3">
      <c r="A44" t="s">
        <v>1015</v>
      </c>
      <c r="B44">
        <v>1</v>
      </c>
    </row>
    <row r="45" spans="1:2" x14ac:dyDescent="0.3">
      <c r="A45" t="s">
        <v>1017</v>
      </c>
      <c r="B45">
        <v>1</v>
      </c>
    </row>
    <row r="46" spans="1:2" x14ac:dyDescent="0.3">
      <c r="A46" t="s">
        <v>1019</v>
      </c>
      <c r="B46">
        <v>1</v>
      </c>
    </row>
    <row r="47" spans="1:2" x14ac:dyDescent="0.3">
      <c r="A47" t="s">
        <v>1020</v>
      </c>
      <c r="B47">
        <v>1</v>
      </c>
    </row>
    <row r="48" spans="1:2" x14ac:dyDescent="0.3">
      <c r="A48" t="s">
        <v>1021</v>
      </c>
      <c r="B48">
        <v>1</v>
      </c>
    </row>
    <row r="49" spans="1:2" x14ac:dyDescent="0.3">
      <c r="A49" t="s">
        <v>1022</v>
      </c>
      <c r="B49">
        <v>1</v>
      </c>
    </row>
    <row r="50" spans="1:2" x14ac:dyDescent="0.3">
      <c r="A50" t="s">
        <v>1024</v>
      </c>
      <c r="B50">
        <v>1</v>
      </c>
    </row>
    <row r="51" spans="1:2" x14ac:dyDescent="0.3">
      <c r="A51" t="s">
        <v>1026</v>
      </c>
      <c r="B51">
        <v>1</v>
      </c>
    </row>
    <row r="52" spans="1:2" x14ac:dyDescent="0.3">
      <c r="A52" t="s">
        <v>1028</v>
      </c>
      <c r="B52">
        <v>1</v>
      </c>
    </row>
    <row r="53" spans="1:2" x14ac:dyDescent="0.3">
      <c r="A53" t="s">
        <v>1030</v>
      </c>
      <c r="B53">
        <v>1</v>
      </c>
    </row>
    <row r="54" spans="1:2" x14ac:dyDescent="0.3">
      <c r="A54" t="s">
        <v>1032</v>
      </c>
      <c r="B54">
        <v>1</v>
      </c>
    </row>
    <row r="55" spans="1:2" x14ac:dyDescent="0.3">
      <c r="A55" t="s">
        <v>1033</v>
      </c>
      <c r="B55">
        <v>1</v>
      </c>
    </row>
    <row r="56" spans="1:2" x14ac:dyDescent="0.3">
      <c r="A56" t="s">
        <v>1035</v>
      </c>
      <c r="B56">
        <v>1</v>
      </c>
    </row>
    <row r="57" spans="1:2" x14ac:dyDescent="0.3">
      <c r="A57" t="s">
        <v>1036</v>
      </c>
      <c r="B57">
        <v>1</v>
      </c>
    </row>
    <row r="58" spans="1:2" x14ac:dyDescent="0.3">
      <c r="A58" t="s">
        <v>1037</v>
      </c>
      <c r="B58">
        <v>1</v>
      </c>
    </row>
    <row r="59" spans="1:2" x14ac:dyDescent="0.3">
      <c r="A59" t="s">
        <v>1039</v>
      </c>
      <c r="B59">
        <v>1</v>
      </c>
    </row>
    <row r="60" spans="1:2" x14ac:dyDescent="0.3">
      <c r="A60" t="s">
        <v>1041</v>
      </c>
      <c r="B60">
        <v>1</v>
      </c>
    </row>
    <row r="61" spans="1:2" x14ac:dyDescent="0.3">
      <c r="A61" t="s">
        <v>2860</v>
      </c>
      <c r="B61">
        <v>1</v>
      </c>
    </row>
    <row r="62" spans="1:2" x14ac:dyDescent="0.3">
      <c r="A62" t="s">
        <v>1043</v>
      </c>
      <c r="B62">
        <v>1</v>
      </c>
    </row>
    <row r="63" spans="1:2" x14ac:dyDescent="0.3">
      <c r="A63" t="s">
        <v>1044</v>
      </c>
      <c r="B63">
        <v>1</v>
      </c>
    </row>
    <row r="64" spans="1:2" x14ac:dyDescent="0.3">
      <c r="A64" t="s">
        <v>1046</v>
      </c>
      <c r="B64">
        <v>1</v>
      </c>
    </row>
    <row r="65" spans="1:2" x14ac:dyDescent="0.3">
      <c r="A65" t="s">
        <v>1048</v>
      </c>
      <c r="B65">
        <v>1</v>
      </c>
    </row>
    <row r="66" spans="1:2" x14ac:dyDescent="0.3">
      <c r="A66" t="s">
        <v>1049</v>
      </c>
      <c r="B66">
        <v>1</v>
      </c>
    </row>
    <row r="67" spans="1:2" x14ac:dyDescent="0.3">
      <c r="A67" t="s">
        <v>1052</v>
      </c>
      <c r="B67">
        <v>1</v>
      </c>
    </row>
    <row r="68" spans="1:2" x14ac:dyDescent="0.3">
      <c r="A68" t="s">
        <v>1053</v>
      </c>
      <c r="B68">
        <v>1</v>
      </c>
    </row>
    <row r="69" spans="1:2" x14ac:dyDescent="0.3">
      <c r="A69" t="s">
        <v>1054</v>
      </c>
      <c r="B69">
        <v>1</v>
      </c>
    </row>
    <row r="70" spans="1:2" x14ac:dyDescent="0.3">
      <c r="A70" t="s">
        <v>1056</v>
      </c>
      <c r="B70">
        <v>1</v>
      </c>
    </row>
    <row r="71" spans="1:2" x14ac:dyDescent="0.3">
      <c r="A71" t="s">
        <v>1057</v>
      </c>
      <c r="B71">
        <v>1</v>
      </c>
    </row>
    <row r="72" spans="1:2" x14ac:dyDescent="0.3">
      <c r="A72" t="s">
        <v>1058</v>
      </c>
      <c r="B72">
        <v>1</v>
      </c>
    </row>
    <row r="73" spans="1:2" x14ac:dyDescent="0.3">
      <c r="A73" t="s">
        <v>1059</v>
      </c>
      <c r="B73">
        <v>1</v>
      </c>
    </row>
    <row r="74" spans="1:2" x14ac:dyDescent="0.3">
      <c r="A74" t="s">
        <v>1060</v>
      </c>
      <c r="B74">
        <v>1</v>
      </c>
    </row>
    <row r="75" spans="1:2" x14ac:dyDescent="0.3">
      <c r="A75" t="s">
        <v>1061</v>
      </c>
      <c r="B75">
        <v>1</v>
      </c>
    </row>
    <row r="76" spans="1:2" x14ac:dyDescent="0.3">
      <c r="A76" t="s">
        <v>1062</v>
      </c>
      <c r="B76">
        <v>1</v>
      </c>
    </row>
    <row r="77" spans="1:2" x14ac:dyDescent="0.3">
      <c r="A77" t="s">
        <v>1065</v>
      </c>
      <c r="B77">
        <v>1</v>
      </c>
    </row>
    <row r="78" spans="1:2" x14ac:dyDescent="0.3">
      <c r="A78" t="s">
        <v>1067</v>
      </c>
      <c r="B78">
        <v>1</v>
      </c>
    </row>
    <row r="79" spans="1:2" x14ac:dyDescent="0.3">
      <c r="A79" t="s">
        <v>1068</v>
      </c>
      <c r="B79">
        <v>1</v>
      </c>
    </row>
    <row r="80" spans="1:2" x14ac:dyDescent="0.3">
      <c r="A80" t="s">
        <v>1071</v>
      </c>
      <c r="B80">
        <v>1</v>
      </c>
    </row>
    <row r="81" spans="1:2" x14ac:dyDescent="0.3">
      <c r="A81" t="s">
        <v>1073</v>
      </c>
      <c r="B81">
        <v>1</v>
      </c>
    </row>
    <row r="82" spans="1:2" x14ac:dyDescent="0.3">
      <c r="A82" t="s">
        <v>1075</v>
      </c>
      <c r="B82">
        <v>1</v>
      </c>
    </row>
    <row r="83" spans="1:2" x14ac:dyDescent="0.3">
      <c r="A83" t="s">
        <v>1076</v>
      </c>
      <c r="B83">
        <v>1</v>
      </c>
    </row>
    <row r="84" spans="1:2" x14ac:dyDescent="0.3">
      <c r="A84" t="s">
        <v>1078</v>
      </c>
      <c r="B84">
        <v>1</v>
      </c>
    </row>
    <row r="85" spans="1:2" x14ac:dyDescent="0.3">
      <c r="A85" t="s">
        <v>1080</v>
      </c>
      <c r="B85">
        <v>1</v>
      </c>
    </row>
    <row r="86" spans="1:2" x14ac:dyDescent="0.3">
      <c r="A86" t="s">
        <v>1082</v>
      </c>
      <c r="B86">
        <v>1</v>
      </c>
    </row>
    <row r="87" spans="1:2" x14ac:dyDescent="0.3">
      <c r="A87" t="s">
        <v>1083</v>
      </c>
      <c r="B87">
        <v>1</v>
      </c>
    </row>
    <row r="88" spans="1:2" x14ac:dyDescent="0.3">
      <c r="A88" t="s">
        <v>1085</v>
      </c>
      <c r="B88">
        <v>1</v>
      </c>
    </row>
    <row r="89" spans="1:2" x14ac:dyDescent="0.3">
      <c r="A89" t="s">
        <v>1087</v>
      </c>
      <c r="B89">
        <v>1</v>
      </c>
    </row>
    <row r="90" spans="1:2" x14ac:dyDescent="0.3">
      <c r="A90" t="s">
        <v>1089</v>
      </c>
      <c r="B90">
        <v>1</v>
      </c>
    </row>
    <row r="91" spans="1:2" x14ac:dyDescent="0.3">
      <c r="A91" t="s">
        <v>1090</v>
      </c>
      <c r="B91">
        <v>1</v>
      </c>
    </row>
    <row r="92" spans="1:2" x14ac:dyDescent="0.3">
      <c r="A92" t="s">
        <v>1092</v>
      </c>
      <c r="B92">
        <v>1</v>
      </c>
    </row>
    <row r="93" spans="1:2" x14ac:dyDescent="0.3">
      <c r="A93" t="s">
        <v>1094</v>
      </c>
      <c r="B93">
        <v>1</v>
      </c>
    </row>
    <row r="94" spans="1:2" x14ac:dyDescent="0.3">
      <c r="A94" t="s">
        <v>1096</v>
      </c>
      <c r="B94">
        <v>1</v>
      </c>
    </row>
    <row r="95" spans="1:2" x14ac:dyDescent="0.3">
      <c r="A95" t="s">
        <v>1097</v>
      </c>
      <c r="B95">
        <v>1</v>
      </c>
    </row>
    <row r="96" spans="1:2" x14ac:dyDescent="0.3">
      <c r="A96" t="s">
        <v>1099</v>
      </c>
      <c r="B96">
        <v>1</v>
      </c>
    </row>
    <row r="97" spans="1:2" x14ac:dyDescent="0.3">
      <c r="A97" t="s">
        <v>1100</v>
      </c>
      <c r="B97">
        <v>1</v>
      </c>
    </row>
    <row r="98" spans="1:2" x14ac:dyDescent="0.3">
      <c r="A98" t="s">
        <v>1103</v>
      </c>
      <c r="B98">
        <v>1</v>
      </c>
    </row>
    <row r="99" spans="1:2" x14ac:dyDescent="0.3">
      <c r="A99" t="s">
        <v>1104</v>
      </c>
      <c r="B99">
        <v>1</v>
      </c>
    </row>
    <row r="100" spans="1:2" x14ac:dyDescent="0.3">
      <c r="A100" t="s">
        <v>1106</v>
      </c>
      <c r="B100">
        <v>1</v>
      </c>
    </row>
    <row r="101" spans="1:2" x14ac:dyDescent="0.3">
      <c r="A101" t="s">
        <v>1108</v>
      </c>
      <c r="B101">
        <v>1</v>
      </c>
    </row>
    <row r="102" spans="1:2" x14ac:dyDescent="0.3">
      <c r="A102" t="s">
        <v>1109</v>
      </c>
      <c r="B102">
        <v>1</v>
      </c>
    </row>
    <row r="103" spans="1:2" x14ac:dyDescent="0.3">
      <c r="A103" t="s">
        <v>1111</v>
      </c>
      <c r="B103">
        <v>1</v>
      </c>
    </row>
    <row r="104" spans="1:2" x14ac:dyDescent="0.3">
      <c r="A104" t="s">
        <v>1113</v>
      </c>
      <c r="B104">
        <v>1</v>
      </c>
    </row>
    <row r="105" spans="1:2" x14ac:dyDescent="0.3">
      <c r="A105" t="s">
        <v>1115</v>
      </c>
      <c r="B105">
        <v>1</v>
      </c>
    </row>
    <row r="106" spans="1:2" x14ac:dyDescent="0.3">
      <c r="A106" t="s">
        <v>1116</v>
      </c>
      <c r="B106">
        <v>1</v>
      </c>
    </row>
    <row r="107" spans="1:2" x14ac:dyDescent="0.3">
      <c r="A107" t="s">
        <v>1118</v>
      </c>
      <c r="B107">
        <v>1</v>
      </c>
    </row>
    <row r="108" spans="1:2" x14ac:dyDescent="0.3">
      <c r="A108" t="s">
        <v>2993</v>
      </c>
      <c r="B108">
        <v>1</v>
      </c>
    </row>
    <row r="109" spans="1:2" x14ac:dyDescent="0.3">
      <c r="A109" t="s">
        <v>1121</v>
      </c>
      <c r="B109">
        <v>1</v>
      </c>
    </row>
    <row r="110" spans="1:2" x14ac:dyDescent="0.3">
      <c r="A110" t="s">
        <v>1123</v>
      </c>
      <c r="B110">
        <v>1</v>
      </c>
    </row>
    <row r="111" spans="1:2" x14ac:dyDescent="0.3">
      <c r="A111" t="s">
        <v>1125</v>
      </c>
      <c r="B111">
        <v>1</v>
      </c>
    </row>
    <row r="112" spans="1:2" x14ac:dyDescent="0.3">
      <c r="A112" t="s">
        <v>1127</v>
      </c>
      <c r="B112">
        <v>1</v>
      </c>
    </row>
    <row r="113" spans="1:2" x14ac:dyDescent="0.3">
      <c r="A113" t="s">
        <v>1129</v>
      </c>
      <c r="B113">
        <v>1</v>
      </c>
    </row>
    <row r="114" spans="1:2" x14ac:dyDescent="0.3">
      <c r="A114" t="s">
        <v>1130</v>
      </c>
      <c r="B114">
        <v>1</v>
      </c>
    </row>
    <row r="115" spans="1:2" x14ac:dyDescent="0.3">
      <c r="A115" t="s">
        <v>1133</v>
      </c>
      <c r="B115">
        <v>1</v>
      </c>
    </row>
    <row r="116" spans="1:2" x14ac:dyDescent="0.3">
      <c r="A116" t="s">
        <v>1135</v>
      </c>
      <c r="B116">
        <v>1</v>
      </c>
    </row>
    <row r="117" spans="1:2" x14ac:dyDescent="0.3">
      <c r="A117" t="s">
        <v>1137</v>
      </c>
      <c r="B117">
        <v>1</v>
      </c>
    </row>
    <row r="118" spans="1:2" x14ac:dyDescent="0.3">
      <c r="A118" t="s">
        <v>1138</v>
      </c>
      <c r="B118">
        <v>1</v>
      </c>
    </row>
    <row r="119" spans="1:2" x14ac:dyDescent="0.3">
      <c r="A119" t="s">
        <v>1139</v>
      </c>
      <c r="B119">
        <v>1</v>
      </c>
    </row>
    <row r="120" spans="1:2" x14ac:dyDescent="0.3">
      <c r="A120" t="s">
        <v>1140</v>
      </c>
      <c r="B120">
        <v>1</v>
      </c>
    </row>
    <row r="121" spans="1:2" x14ac:dyDescent="0.3">
      <c r="A121" t="s">
        <v>1141</v>
      </c>
      <c r="B121">
        <v>1</v>
      </c>
    </row>
    <row r="122" spans="1:2" x14ac:dyDescent="0.3">
      <c r="A122" t="s">
        <v>1142</v>
      </c>
      <c r="B122">
        <v>1</v>
      </c>
    </row>
    <row r="123" spans="1:2" x14ac:dyDescent="0.3">
      <c r="A123" t="s">
        <v>1145</v>
      </c>
      <c r="B123">
        <v>1</v>
      </c>
    </row>
    <row r="124" spans="1:2" x14ac:dyDescent="0.3">
      <c r="A124" t="s">
        <v>1147</v>
      </c>
      <c r="B124">
        <v>1</v>
      </c>
    </row>
    <row r="125" spans="1:2" x14ac:dyDescent="0.3">
      <c r="A125" t="s">
        <v>1148</v>
      </c>
      <c r="B125">
        <v>1</v>
      </c>
    </row>
    <row r="126" spans="1:2" x14ac:dyDescent="0.3">
      <c r="A126" t="s">
        <v>1151</v>
      </c>
      <c r="B126">
        <v>1</v>
      </c>
    </row>
    <row r="127" spans="1:2" x14ac:dyDescent="0.3">
      <c r="A127" t="s">
        <v>2722</v>
      </c>
      <c r="B127">
        <v>1</v>
      </c>
    </row>
    <row r="128" spans="1:2" x14ac:dyDescent="0.3">
      <c r="A128" t="s">
        <v>1154</v>
      </c>
      <c r="B128">
        <v>1</v>
      </c>
    </row>
    <row r="129" spans="1:2" x14ac:dyDescent="0.3">
      <c r="A129" t="s">
        <v>1156</v>
      </c>
      <c r="B129">
        <v>1</v>
      </c>
    </row>
    <row r="130" spans="1:2" x14ac:dyDescent="0.3">
      <c r="A130" t="s">
        <v>1158</v>
      </c>
      <c r="B130">
        <v>1</v>
      </c>
    </row>
    <row r="131" spans="1:2" x14ac:dyDescent="0.3">
      <c r="A131" t="s">
        <v>1160</v>
      </c>
      <c r="B131">
        <v>1</v>
      </c>
    </row>
    <row r="132" spans="1:2" x14ac:dyDescent="0.3">
      <c r="A132" t="s">
        <v>1161</v>
      </c>
      <c r="B132">
        <v>1</v>
      </c>
    </row>
    <row r="133" spans="1:2" x14ac:dyDescent="0.3">
      <c r="A133" t="s">
        <v>1163</v>
      </c>
      <c r="B133">
        <v>1</v>
      </c>
    </row>
    <row r="134" spans="1:2" x14ac:dyDescent="0.3">
      <c r="A134" t="s">
        <v>1165</v>
      </c>
      <c r="B134">
        <v>1</v>
      </c>
    </row>
    <row r="135" spans="1:2" x14ac:dyDescent="0.3">
      <c r="A135" t="s">
        <v>1167</v>
      </c>
      <c r="B135">
        <v>1</v>
      </c>
    </row>
    <row r="136" spans="1:2" x14ac:dyDescent="0.3">
      <c r="A136" t="s">
        <v>1169</v>
      </c>
      <c r="B136">
        <v>1</v>
      </c>
    </row>
    <row r="137" spans="1:2" x14ac:dyDescent="0.3">
      <c r="A137" t="s">
        <v>1171</v>
      </c>
      <c r="B137">
        <v>1</v>
      </c>
    </row>
    <row r="138" spans="1:2" x14ac:dyDescent="0.3">
      <c r="A138" t="s">
        <v>1172</v>
      </c>
      <c r="B138">
        <v>1</v>
      </c>
    </row>
    <row r="139" spans="1:2" x14ac:dyDescent="0.3">
      <c r="A139" t="s">
        <v>1174</v>
      </c>
      <c r="B139">
        <v>1</v>
      </c>
    </row>
    <row r="140" spans="1:2" x14ac:dyDescent="0.3">
      <c r="A140" t="s">
        <v>1177</v>
      </c>
      <c r="B140">
        <v>1</v>
      </c>
    </row>
    <row r="141" spans="1:2" x14ac:dyDescent="0.3">
      <c r="A141" t="s">
        <v>1179</v>
      </c>
      <c r="B141">
        <v>1</v>
      </c>
    </row>
    <row r="142" spans="1:2" x14ac:dyDescent="0.3">
      <c r="A142" t="s">
        <v>1181</v>
      </c>
      <c r="B142">
        <v>1</v>
      </c>
    </row>
    <row r="143" spans="1:2" x14ac:dyDescent="0.3">
      <c r="A143" t="s">
        <v>1184</v>
      </c>
      <c r="B143">
        <v>1</v>
      </c>
    </row>
    <row r="144" spans="1:2" x14ac:dyDescent="0.3">
      <c r="A144" t="s">
        <v>1185</v>
      </c>
      <c r="B144">
        <v>1</v>
      </c>
    </row>
    <row r="145" spans="1:2" x14ac:dyDescent="0.3">
      <c r="A145" t="s">
        <v>1188</v>
      </c>
      <c r="B145">
        <v>1</v>
      </c>
    </row>
    <row r="146" spans="1:2" x14ac:dyDescent="0.3">
      <c r="A146" t="s">
        <v>1191</v>
      </c>
      <c r="B146">
        <v>1</v>
      </c>
    </row>
    <row r="147" spans="1:2" x14ac:dyDescent="0.3">
      <c r="A147" t="s">
        <v>1193</v>
      </c>
      <c r="B147">
        <v>1</v>
      </c>
    </row>
    <row r="148" spans="1:2" x14ac:dyDescent="0.3">
      <c r="A148" t="s">
        <v>1199</v>
      </c>
      <c r="B148">
        <v>1</v>
      </c>
    </row>
    <row r="149" spans="1:2" x14ac:dyDescent="0.3">
      <c r="A149" t="s">
        <v>1201</v>
      </c>
      <c r="B149">
        <v>1</v>
      </c>
    </row>
    <row r="150" spans="1:2" x14ac:dyDescent="0.3">
      <c r="A150" t="s">
        <v>2724</v>
      </c>
      <c r="B150">
        <v>1</v>
      </c>
    </row>
    <row r="151" spans="1:2" x14ac:dyDescent="0.3">
      <c r="A151" t="s">
        <v>1204</v>
      </c>
      <c r="B151">
        <v>1</v>
      </c>
    </row>
    <row r="152" spans="1:2" x14ac:dyDescent="0.3">
      <c r="A152" t="s">
        <v>1206</v>
      </c>
      <c r="B152">
        <v>1</v>
      </c>
    </row>
    <row r="153" spans="1:2" x14ac:dyDescent="0.3">
      <c r="A153" t="s">
        <v>2726</v>
      </c>
      <c r="B153">
        <v>1</v>
      </c>
    </row>
    <row r="154" spans="1:2" x14ac:dyDescent="0.3">
      <c r="A154" t="s">
        <v>1215</v>
      </c>
      <c r="B154">
        <v>1</v>
      </c>
    </row>
    <row r="155" spans="1:2" x14ac:dyDescent="0.3">
      <c r="A155" t="s">
        <v>1218</v>
      </c>
      <c r="B155">
        <v>1</v>
      </c>
    </row>
    <row r="156" spans="1:2" x14ac:dyDescent="0.3">
      <c r="A156" t="s">
        <v>1220</v>
      </c>
      <c r="B156">
        <v>1</v>
      </c>
    </row>
    <row r="157" spans="1:2" x14ac:dyDescent="0.3">
      <c r="A157" t="s">
        <v>1224</v>
      </c>
      <c r="B157">
        <v>1</v>
      </c>
    </row>
    <row r="158" spans="1:2" x14ac:dyDescent="0.3">
      <c r="A158" t="s">
        <v>2683</v>
      </c>
      <c r="B158">
        <v>1</v>
      </c>
    </row>
    <row r="159" spans="1:2" x14ac:dyDescent="0.3">
      <c r="A159" t="s">
        <v>2593</v>
      </c>
      <c r="B159">
        <v>1</v>
      </c>
    </row>
    <row r="160" spans="1:2" x14ac:dyDescent="0.3">
      <c r="A160" t="s">
        <v>1225</v>
      </c>
      <c r="B160">
        <v>1</v>
      </c>
    </row>
    <row r="161" spans="1:2" x14ac:dyDescent="0.3">
      <c r="A161" t="s">
        <v>1229</v>
      </c>
      <c r="B161">
        <v>1</v>
      </c>
    </row>
    <row r="162" spans="1:2" x14ac:dyDescent="0.3">
      <c r="A162" t="s">
        <v>1232</v>
      </c>
      <c r="B162">
        <v>1</v>
      </c>
    </row>
    <row r="163" spans="1:2" x14ac:dyDescent="0.3">
      <c r="A163" t="s">
        <v>1235</v>
      </c>
      <c r="B163">
        <v>1</v>
      </c>
    </row>
    <row r="164" spans="1:2" x14ac:dyDescent="0.3">
      <c r="A164" t="s">
        <v>2994</v>
      </c>
      <c r="B164">
        <v>1</v>
      </c>
    </row>
    <row r="165" spans="1:2" x14ac:dyDescent="0.3">
      <c r="A165" t="s">
        <v>2995</v>
      </c>
      <c r="B165">
        <v>1</v>
      </c>
    </row>
    <row r="166" spans="1:2" x14ac:dyDescent="0.3">
      <c r="A166" t="s">
        <v>1240</v>
      </c>
      <c r="B166">
        <v>1</v>
      </c>
    </row>
    <row r="167" spans="1:2" x14ac:dyDescent="0.3">
      <c r="A167" t="s">
        <v>1245</v>
      </c>
      <c r="B167">
        <v>1</v>
      </c>
    </row>
    <row r="168" spans="1:2" x14ac:dyDescent="0.3">
      <c r="A168" t="s">
        <v>2727</v>
      </c>
      <c r="B168">
        <v>1</v>
      </c>
    </row>
    <row r="169" spans="1:2" x14ac:dyDescent="0.3">
      <c r="A169" t="s">
        <v>2728</v>
      </c>
      <c r="B169">
        <v>1</v>
      </c>
    </row>
    <row r="170" spans="1:2" x14ac:dyDescent="0.3">
      <c r="A170" t="s">
        <v>1247</v>
      </c>
      <c r="B170">
        <v>1</v>
      </c>
    </row>
    <row r="171" spans="1:2" x14ac:dyDescent="0.3">
      <c r="A171" t="s">
        <v>1249</v>
      </c>
      <c r="B171">
        <v>1</v>
      </c>
    </row>
    <row r="172" spans="1:2" x14ac:dyDescent="0.3">
      <c r="A172" t="s">
        <v>2996</v>
      </c>
      <c r="B172">
        <v>1</v>
      </c>
    </row>
    <row r="173" spans="1:2" x14ac:dyDescent="0.3">
      <c r="A173" t="s">
        <v>1254</v>
      </c>
      <c r="B173">
        <v>1</v>
      </c>
    </row>
    <row r="174" spans="1:2" x14ac:dyDescent="0.3">
      <c r="A174" t="s">
        <v>2997</v>
      </c>
      <c r="B174">
        <v>1</v>
      </c>
    </row>
    <row r="175" spans="1:2" x14ac:dyDescent="0.3">
      <c r="A175" t="s">
        <v>2998</v>
      </c>
      <c r="B175">
        <v>1</v>
      </c>
    </row>
    <row r="176" spans="1:2" x14ac:dyDescent="0.3">
      <c r="A176" t="s">
        <v>1256</v>
      </c>
      <c r="B176">
        <v>1</v>
      </c>
    </row>
    <row r="177" spans="1:2" x14ac:dyDescent="0.3">
      <c r="A177" t="s">
        <v>1257</v>
      </c>
      <c r="B177">
        <v>1</v>
      </c>
    </row>
    <row r="178" spans="1:2" x14ac:dyDescent="0.3">
      <c r="A178" t="s">
        <v>2596</v>
      </c>
      <c r="B178">
        <v>1</v>
      </c>
    </row>
    <row r="179" spans="1:2" x14ac:dyDescent="0.3">
      <c r="A179" t="s">
        <v>1259</v>
      </c>
      <c r="B179">
        <v>1</v>
      </c>
    </row>
    <row r="180" spans="1:2" x14ac:dyDescent="0.3">
      <c r="A180" t="s">
        <v>1262</v>
      </c>
      <c r="B180">
        <v>1</v>
      </c>
    </row>
    <row r="181" spans="1:2" x14ac:dyDescent="0.3">
      <c r="A181" t="s">
        <v>2685</v>
      </c>
      <c r="B181">
        <v>1</v>
      </c>
    </row>
    <row r="182" spans="1:2" x14ac:dyDescent="0.3">
      <c r="A182" t="s">
        <v>1268</v>
      </c>
      <c r="B182">
        <v>1</v>
      </c>
    </row>
    <row r="183" spans="1:2" x14ac:dyDescent="0.3">
      <c r="A183" t="s">
        <v>1271</v>
      </c>
      <c r="B183">
        <v>1</v>
      </c>
    </row>
    <row r="184" spans="1:2" x14ac:dyDescent="0.3">
      <c r="A184" t="s">
        <v>2999</v>
      </c>
      <c r="B184">
        <v>1</v>
      </c>
    </row>
    <row r="185" spans="1:2" x14ac:dyDescent="0.3">
      <c r="A185" t="s">
        <v>1272</v>
      </c>
      <c r="B185">
        <v>1</v>
      </c>
    </row>
    <row r="186" spans="1:2" x14ac:dyDescent="0.3">
      <c r="A186" t="s">
        <v>1273</v>
      </c>
      <c r="B186">
        <v>1</v>
      </c>
    </row>
    <row r="187" spans="1:2" x14ac:dyDescent="0.3">
      <c r="A187" t="s">
        <v>3000</v>
      </c>
      <c r="B187">
        <v>1</v>
      </c>
    </row>
    <row r="188" spans="1:2" x14ac:dyDescent="0.3">
      <c r="A188" t="s">
        <v>1280</v>
      </c>
      <c r="B188">
        <v>1</v>
      </c>
    </row>
    <row r="189" spans="1:2" x14ac:dyDescent="0.3">
      <c r="A189" t="s">
        <v>1282</v>
      </c>
      <c r="B189">
        <v>1</v>
      </c>
    </row>
    <row r="190" spans="1:2" x14ac:dyDescent="0.3">
      <c r="A190" t="s">
        <v>1284</v>
      </c>
      <c r="B190">
        <v>1</v>
      </c>
    </row>
    <row r="191" spans="1:2" x14ac:dyDescent="0.3">
      <c r="A191" t="s">
        <v>1286</v>
      </c>
      <c r="B191">
        <v>1</v>
      </c>
    </row>
    <row r="192" spans="1:2" x14ac:dyDescent="0.3">
      <c r="A192" t="s">
        <v>1289</v>
      </c>
      <c r="B192">
        <v>1</v>
      </c>
    </row>
    <row r="193" spans="1:2" x14ac:dyDescent="0.3">
      <c r="A193" t="s">
        <v>1290</v>
      </c>
      <c r="B193">
        <v>1</v>
      </c>
    </row>
    <row r="194" spans="1:2" x14ac:dyDescent="0.3">
      <c r="A194" t="s">
        <v>3001</v>
      </c>
      <c r="B194">
        <v>1</v>
      </c>
    </row>
    <row r="195" spans="1:2" x14ac:dyDescent="0.3">
      <c r="A195" t="s">
        <v>1294</v>
      </c>
      <c r="B195">
        <v>1</v>
      </c>
    </row>
    <row r="196" spans="1:2" x14ac:dyDescent="0.3">
      <c r="A196" t="s">
        <v>1296</v>
      </c>
      <c r="B196">
        <v>1</v>
      </c>
    </row>
    <row r="197" spans="1:2" x14ac:dyDescent="0.3">
      <c r="A197" t="s">
        <v>1298</v>
      </c>
      <c r="B197">
        <v>1</v>
      </c>
    </row>
    <row r="198" spans="1:2" x14ac:dyDescent="0.3">
      <c r="A198" t="s">
        <v>1300</v>
      </c>
      <c r="B198">
        <v>1</v>
      </c>
    </row>
    <row r="199" spans="1:2" x14ac:dyDescent="0.3">
      <c r="A199" t="s">
        <v>1302</v>
      </c>
      <c r="B199">
        <v>1</v>
      </c>
    </row>
    <row r="200" spans="1:2" x14ac:dyDescent="0.3">
      <c r="A200" t="s">
        <v>1307</v>
      </c>
      <c r="B200">
        <v>1</v>
      </c>
    </row>
    <row r="201" spans="1:2" x14ac:dyDescent="0.3">
      <c r="A201" t="s">
        <v>1308</v>
      </c>
      <c r="B201">
        <v>1</v>
      </c>
    </row>
    <row r="202" spans="1:2" x14ac:dyDescent="0.3">
      <c r="A202" t="s">
        <v>1310</v>
      </c>
      <c r="B202">
        <v>1</v>
      </c>
    </row>
    <row r="203" spans="1:2" x14ac:dyDescent="0.3">
      <c r="A203" t="s">
        <v>1316</v>
      </c>
      <c r="B203">
        <v>1</v>
      </c>
    </row>
    <row r="204" spans="1:2" x14ac:dyDescent="0.3">
      <c r="A204" t="s">
        <v>1321</v>
      </c>
      <c r="B204">
        <v>1</v>
      </c>
    </row>
    <row r="205" spans="1:2" x14ac:dyDescent="0.3">
      <c r="A205" t="s">
        <v>1326</v>
      </c>
      <c r="B205">
        <v>1</v>
      </c>
    </row>
    <row r="206" spans="1:2" x14ac:dyDescent="0.3">
      <c r="A206" t="s">
        <v>1328</v>
      </c>
      <c r="B206">
        <v>1</v>
      </c>
    </row>
    <row r="207" spans="1:2" x14ac:dyDescent="0.3">
      <c r="A207" t="s">
        <v>1332</v>
      </c>
      <c r="B207">
        <v>1</v>
      </c>
    </row>
    <row r="208" spans="1:2" x14ac:dyDescent="0.3">
      <c r="A208" t="s">
        <v>1333</v>
      </c>
      <c r="B208">
        <v>1</v>
      </c>
    </row>
    <row r="209" spans="1:2" x14ac:dyDescent="0.3">
      <c r="A209" t="s">
        <v>1335</v>
      </c>
      <c r="B209">
        <v>1</v>
      </c>
    </row>
    <row r="210" spans="1:2" x14ac:dyDescent="0.3">
      <c r="A210" t="s">
        <v>1337</v>
      </c>
      <c r="B210">
        <v>1</v>
      </c>
    </row>
    <row r="211" spans="1:2" x14ac:dyDescent="0.3">
      <c r="A211" t="s">
        <v>1339</v>
      </c>
      <c r="B211">
        <v>1</v>
      </c>
    </row>
    <row r="212" spans="1:2" x14ac:dyDescent="0.3">
      <c r="A212" t="s">
        <v>1341</v>
      </c>
      <c r="B212">
        <v>1</v>
      </c>
    </row>
    <row r="213" spans="1:2" x14ac:dyDescent="0.3">
      <c r="A213" t="s">
        <v>1343</v>
      </c>
      <c r="B213">
        <v>1</v>
      </c>
    </row>
    <row r="214" spans="1:2" x14ac:dyDescent="0.3">
      <c r="A214" t="s">
        <v>1345</v>
      </c>
      <c r="B214">
        <v>1</v>
      </c>
    </row>
    <row r="215" spans="1:2" x14ac:dyDescent="0.3">
      <c r="A215" t="s">
        <v>1348</v>
      </c>
      <c r="B215">
        <v>1</v>
      </c>
    </row>
    <row r="216" spans="1:2" x14ac:dyDescent="0.3">
      <c r="A216" t="s">
        <v>3002</v>
      </c>
      <c r="B216">
        <v>1</v>
      </c>
    </row>
    <row r="217" spans="1:2" x14ac:dyDescent="0.3">
      <c r="A217" t="s">
        <v>1352</v>
      </c>
      <c r="B217">
        <v>1</v>
      </c>
    </row>
    <row r="218" spans="1:2" x14ac:dyDescent="0.3">
      <c r="A218" t="s">
        <v>1354</v>
      </c>
      <c r="B218">
        <v>1</v>
      </c>
    </row>
    <row r="219" spans="1:2" x14ac:dyDescent="0.3">
      <c r="A219" t="s">
        <v>1356</v>
      </c>
      <c r="B219">
        <v>1</v>
      </c>
    </row>
    <row r="220" spans="1:2" x14ac:dyDescent="0.3">
      <c r="A220" t="s">
        <v>1358</v>
      </c>
      <c r="B220">
        <v>1</v>
      </c>
    </row>
    <row r="221" spans="1:2" x14ac:dyDescent="0.3">
      <c r="A221" t="s">
        <v>3003</v>
      </c>
      <c r="B221">
        <v>1</v>
      </c>
    </row>
    <row r="222" spans="1:2" x14ac:dyDescent="0.3">
      <c r="A222" t="s">
        <v>1362</v>
      </c>
      <c r="B222">
        <v>1</v>
      </c>
    </row>
    <row r="223" spans="1:2" x14ac:dyDescent="0.3">
      <c r="A223" t="s">
        <v>1364</v>
      </c>
      <c r="B223">
        <v>1</v>
      </c>
    </row>
    <row r="224" spans="1:2" x14ac:dyDescent="0.3">
      <c r="A224" t="s">
        <v>1367</v>
      </c>
      <c r="B224">
        <v>1</v>
      </c>
    </row>
    <row r="225" spans="1:2" x14ac:dyDescent="0.3">
      <c r="A225" t="s">
        <v>1369</v>
      </c>
      <c r="B225">
        <v>1</v>
      </c>
    </row>
    <row r="226" spans="1:2" x14ac:dyDescent="0.3">
      <c r="A226" t="s">
        <v>1372</v>
      </c>
      <c r="B226">
        <v>1</v>
      </c>
    </row>
    <row r="227" spans="1:2" x14ac:dyDescent="0.3">
      <c r="A227" t="s">
        <v>3004</v>
      </c>
      <c r="B227">
        <v>1</v>
      </c>
    </row>
    <row r="228" spans="1:2" x14ac:dyDescent="0.3">
      <c r="A228" t="s">
        <v>1376</v>
      </c>
      <c r="B228">
        <v>1</v>
      </c>
    </row>
    <row r="229" spans="1:2" x14ac:dyDescent="0.3">
      <c r="A229" t="s">
        <v>1378</v>
      </c>
      <c r="B229">
        <v>1</v>
      </c>
    </row>
    <row r="230" spans="1:2" x14ac:dyDescent="0.3">
      <c r="A230" t="s">
        <v>2740</v>
      </c>
      <c r="B230">
        <v>1</v>
      </c>
    </row>
    <row r="231" spans="1:2" x14ac:dyDescent="0.3">
      <c r="A231" t="s">
        <v>1384</v>
      </c>
      <c r="B231">
        <v>1</v>
      </c>
    </row>
    <row r="232" spans="1:2" x14ac:dyDescent="0.3">
      <c r="A232" t="s">
        <v>2741</v>
      </c>
      <c r="B232">
        <v>1</v>
      </c>
    </row>
    <row r="233" spans="1:2" x14ac:dyDescent="0.3">
      <c r="A233" t="s">
        <v>2742</v>
      </c>
      <c r="B233">
        <v>1</v>
      </c>
    </row>
    <row r="234" spans="1:2" x14ac:dyDescent="0.3">
      <c r="A234" t="s">
        <v>2744</v>
      </c>
      <c r="B234">
        <v>1</v>
      </c>
    </row>
    <row r="235" spans="1:2" x14ac:dyDescent="0.3">
      <c r="A235" t="s">
        <v>3005</v>
      </c>
      <c r="B235">
        <v>1</v>
      </c>
    </row>
    <row r="236" spans="1:2" x14ac:dyDescent="0.3">
      <c r="A236" t="s">
        <v>1392</v>
      </c>
      <c r="B236">
        <v>1</v>
      </c>
    </row>
    <row r="237" spans="1:2" x14ac:dyDescent="0.3">
      <c r="A237" t="s">
        <v>1394</v>
      </c>
      <c r="B237">
        <v>1</v>
      </c>
    </row>
    <row r="238" spans="1:2" x14ac:dyDescent="0.3">
      <c r="A238" t="s">
        <v>3006</v>
      </c>
      <c r="B238">
        <v>1</v>
      </c>
    </row>
    <row r="239" spans="1:2" x14ac:dyDescent="0.3">
      <c r="A239" t="s">
        <v>1396</v>
      </c>
      <c r="B239">
        <v>1</v>
      </c>
    </row>
    <row r="240" spans="1:2" x14ac:dyDescent="0.3">
      <c r="A240" t="s">
        <v>1398</v>
      </c>
      <c r="B240">
        <v>1</v>
      </c>
    </row>
    <row r="241" spans="1:2" x14ac:dyDescent="0.3">
      <c r="A241" t="s">
        <v>1400</v>
      </c>
      <c r="B241">
        <v>1</v>
      </c>
    </row>
    <row r="242" spans="1:2" x14ac:dyDescent="0.3">
      <c r="A242" t="s">
        <v>1404</v>
      </c>
      <c r="B242">
        <v>1</v>
      </c>
    </row>
    <row r="243" spans="1:2" x14ac:dyDescent="0.3">
      <c r="A243" t="s">
        <v>1407</v>
      </c>
      <c r="B243">
        <v>1</v>
      </c>
    </row>
    <row r="244" spans="1:2" x14ac:dyDescent="0.3">
      <c r="A244" t="s">
        <v>2746</v>
      </c>
      <c r="B244">
        <v>1</v>
      </c>
    </row>
    <row r="245" spans="1:2" x14ac:dyDescent="0.3">
      <c r="A245" t="s">
        <v>1413</v>
      </c>
      <c r="B245">
        <v>1</v>
      </c>
    </row>
    <row r="246" spans="1:2" x14ac:dyDescent="0.3">
      <c r="A246" t="s">
        <v>3007</v>
      </c>
      <c r="B246">
        <v>1</v>
      </c>
    </row>
    <row r="247" spans="1:2" x14ac:dyDescent="0.3">
      <c r="A247" t="s">
        <v>2747</v>
      </c>
      <c r="B247">
        <v>1</v>
      </c>
    </row>
    <row r="248" spans="1:2" x14ac:dyDescent="0.3">
      <c r="A248" t="s">
        <v>1414</v>
      </c>
      <c r="B248">
        <v>1</v>
      </c>
    </row>
    <row r="249" spans="1:2" x14ac:dyDescent="0.3">
      <c r="A249" t="s">
        <v>1415</v>
      </c>
      <c r="B249">
        <v>1</v>
      </c>
    </row>
    <row r="250" spans="1:2" x14ac:dyDescent="0.3">
      <c r="A250" t="s">
        <v>2601</v>
      </c>
      <c r="B250">
        <v>1</v>
      </c>
    </row>
    <row r="251" spans="1:2" x14ac:dyDescent="0.3">
      <c r="A251" t="s">
        <v>1421</v>
      </c>
      <c r="B251">
        <v>1</v>
      </c>
    </row>
    <row r="252" spans="1:2" x14ac:dyDescent="0.3">
      <c r="A252" t="s">
        <v>1423</v>
      </c>
      <c r="B252">
        <v>1</v>
      </c>
    </row>
    <row r="253" spans="1:2" x14ac:dyDescent="0.3">
      <c r="A253" t="s">
        <v>2749</v>
      </c>
      <c r="B253">
        <v>1</v>
      </c>
    </row>
    <row r="254" spans="1:2" x14ac:dyDescent="0.3">
      <c r="A254" t="s">
        <v>1425</v>
      </c>
      <c r="B254">
        <v>1</v>
      </c>
    </row>
    <row r="255" spans="1:2" x14ac:dyDescent="0.3">
      <c r="A255" t="s">
        <v>1427</v>
      </c>
      <c r="B255">
        <v>1</v>
      </c>
    </row>
    <row r="256" spans="1:2" x14ac:dyDescent="0.3">
      <c r="A256" t="s">
        <v>1429</v>
      </c>
      <c r="B256">
        <v>1</v>
      </c>
    </row>
    <row r="257" spans="1:2" x14ac:dyDescent="0.3">
      <c r="A257" t="s">
        <v>1434</v>
      </c>
      <c r="B257">
        <v>1</v>
      </c>
    </row>
    <row r="258" spans="1:2" x14ac:dyDescent="0.3">
      <c r="A258" t="s">
        <v>1436</v>
      </c>
      <c r="B258">
        <v>1</v>
      </c>
    </row>
    <row r="259" spans="1:2" x14ac:dyDescent="0.3">
      <c r="A259" t="s">
        <v>3008</v>
      </c>
      <c r="B259">
        <v>1</v>
      </c>
    </row>
    <row r="260" spans="1:2" x14ac:dyDescent="0.3">
      <c r="A260" t="s">
        <v>1437</v>
      </c>
      <c r="B260">
        <v>1</v>
      </c>
    </row>
    <row r="261" spans="1:2" x14ac:dyDescent="0.3">
      <c r="A261" t="s">
        <v>1441</v>
      </c>
      <c r="B261">
        <v>1</v>
      </c>
    </row>
    <row r="262" spans="1:2" x14ac:dyDescent="0.3">
      <c r="A262" t="s">
        <v>1443</v>
      </c>
      <c r="B262">
        <v>1</v>
      </c>
    </row>
    <row r="263" spans="1:2" x14ac:dyDescent="0.3">
      <c r="A263" t="s">
        <v>3009</v>
      </c>
      <c r="B263">
        <v>1</v>
      </c>
    </row>
    <row r="264" spans="1:2" x14ac:dyDescent="0.3">
      <c r="A264" t="s">
        <v>2581</v>
      </c>
      <c r="B264">
        <v>1</v>
      </c>
    </row>
    <row r="265" spans="1:2" x14ac:dyDescent="0.3">
      <c r="A265" t="s">
        <v>1446</v>
      </c>
      <c r="B265">
        <v>1</v>
      </c>
    </row>
    <row r="266" spans="1:2" x14ac:dyDescent="0.3">
      <c r="A266" t="s">
        <v>1451</v>
      </c>
      <c r="B266">
        <v>1</v>
      </c>
    </row>
    <row r="267" spans="1:2" x14ac:dyDescent="0.3">
      <c r="A267" t="s">
        <v>1453</v>
      </c>
      <c r="B267">
        <v>1</v>
      </c>
    </row>
    <row r="268" spans="1:2" x14ac:dyDescent="0.3">
      <c r="A268" t="s">
        <v>1455</v>
      </c>
      <c r="B268">
        <v>1</v>
      </c>
    </row>
    <row r="269" spans="1:2" x14ac:dyDescent="0.3">
      <c r="A269" t="s">
        <v>1457</v>
      </c>
      <c r="B269">
        <v>1</v>
      </c>
    </row>
    <row r="270" spans="1:2" x14ac:dyDescent="0.3">
      <c r="A270" t="s">
        <v>1459</v>
      </c>
      <c r="B270">
        <v>1</v>
      </c>
    </row>
    <row r="271" spans="1:2" x14ac:dyDescent="0.3">
      <c r="A271" t="s">
        <v>1461</v>
      </c>
      <c r="B271">
        <v>1</v>
      </c>
    </row>
    <row r="272" spans="1:2" x14ac:dyDescent="0.3">
      <c r="A272" t="s">
        <v>1466</v>
      </c>
      <c r="B272">
        <v>1</v>
      </c>
    </row>
    <row r="273" spans="1:2" x14ac:dyDescent="0.3">
      <c r="A273" t="s">
        <v>1467</v>
      </c>
      <c r="B273">
        <v>1</v>
      </c>
    </row>
    <row r="274" spans="1:2" x14ac:dyDescent="0.3">
      <c r="A274" t="s">
        <v>1470</v>
      </c>
      <c r="B274">
        <v>1</v>
      </c>
    </row>
    <row r="275" spans="1:2" x14ac:dyDescent="0.3">
      <c r="A275" t="s">
        <v>1472</v>
      </c>
      <c r="B275">
        <v>1</v>
      </c>
    </row>
    <row r="276" spans="1:2" x14ac:dyDescent="0.3">
      <c r="A276" t="s">
        <v>2603</v>
      </c>
      <c r="B276">
        <v>1</v>
      </c>
    </row>
    <row r="277" spans="1:2" x14ac:dyDescent="0.3">
      <c r="A277" t="s">
        <v>1478</v>
      </c>
      <c r="B277">
        <v>1</v>
      </c>
    </row>
    <row r="278" spans="1:2" x14ac:dyDescent="0.3">
      <c r="A278" t="s">
        <v>2754</v>
      </c>
      <c r="B278">
        <v>1</v>
      </c>
    </row>
    <row r="279" spans="1:2" x14ac:dyDescent="0.3">
      <c r="A279" t="s">
        <v>1480</v>
      </c>
      <c r="B279">
        <v>1</v>
      </c>
    </row>
    <row r="280" spans="1:2" x14ac:dyDescent="0.3">
      <c r="A280" t="s">
        <v>2903</v>
      </c>
      <c r="B280">
        <v>1</v>
      </c>
    </row>
    <row r="281" spans="1:2" x14ac:dyDescent="0.3">
      <c r="A281" t="s">
        <v>2905</v>
      </c>
      <c r="B281">
        <v>1</v>
      </c>
    </row>
    <row r="282" spans="1:2" x14ac:dyDescent="0.3">
      <c r="A282" t="s">
        <v>3010</v>
      </c>
      <c r="B282">
        <v>1</v>
      </c>
    </row>
    <row r="283" spans="1:2" x14ac:dyDescent="0.3">
      <c r="A283" t="s">
        <v>1484</v>
      </c>
      <c r="B283">
        <v>1</v>
      </c>
    </row>
    <row r="284" spans="1:2" x14ac:dyDescent="0.3">
      <c r="A284" t="s">
        <v>1487</v>
      </c>
      <c r="B284">
        <v>1</v>
      </c>
    </row>
    <row r="285" spans="1:2" x14ac:dyDescent="0.3">
      <c r="A285" t="s">
        <v>1491</v>
      </c>
      <c r="B285">
        <v>1</v>
      </c>
    </row>
    <row r="286" spans="1:2" x14ac:dyDescent="0.3">
      <c r="A286" t="s">
        <v>1492</v>
      </c>
      <c r="B286">
        <v>1</v>
      </c>
    </row>
    <row r="287" spans="1:2" x14ac:dyDescent="0.3">
      <c r="A287" t="s">
        <v>1494</v>
      </c>
      <c r="B287">
        <v>1</v>
      </c>
    </row>
    <row r="288" spans="1:2" x14ac:dyDescent="0.3">
      <c r="A288" t="s">
        <v>1498</v>
      </c>
      <c r="B288">
        <v>1</v>
      </c>
    </row>
    <row r="289" spans="1:2" x14ac:dyDescent="0.3">
      <c r="A289" t="s">
        <v>2760</v>
      </c>
      <c r="B289">
        <v>1</v>
      </c>
    </row>
    <row r="290" spans="1:2" x14ac:dyDescent="0.3">
      <c r="A290" t="s">
        <v>2761</v>
      </c>
      <c r="B290">
        <v>1</v>
      </c>
    </row>
    <row r="291" spans="1:2" x14ac:dyDescent="0.3">
      <c r="A291" t="s">
        <v>1500</v>
      </c>
      <c r="B291">
        <v>1</v>
      </c>
    </row>
    <row r="292" spans="1:2" x14ac:dyDescent="0.3">
      <c r="A292" t="s">
        <v>2762</v>
      </c>
      <c r="B292">
        <v>1</v>
      </c>
    </row>
    <row r="293" spans="1:2" x14ac:dyDescent="0.3">
      <c r="A293" t="s">
        <v>1506</v>
      </c>
      <c r="B293">
        <v>1</v>
      </c>
    </row>
    <row r="294" spans="1:2" x14ac:dyDescent="0.3">
      <c r="A294" t="s">
        <v>1508</v>
      </c>
      <c r="B294">
        <v>1</v>
      </c>
    </row>
    <row r="295" spans="1:2" x14ac:dyDescent="0.3">
      <c r="A295" t="s">
        <v>1512</v>
      </c>
      <c r="B295">
        <v>1</v>
      </c>
    </row>
    <row r="296" spans="1:2" x14ac:dyDescent="0.3">
      <c r="A296" t="s">
        <v>1513</v>
      </c>
      <c r="B296">
        <v>1</v>
      </c>
    </row>
    <row r="297" spans="1:2" x14ac:dyDescent="0.3">
      <c r="A297" t="s">
        <v>2763</v>
      </c>
      <c r="B297">
        <v>1</v>
      </c>
    </row>
    <row r="298" spans="1:2" x14ac:dyDescent="0.3">
      <c r="A298" t="s">
        <v>1515</v>
      </c>
      <c r="B298">
        <v>1</v>
      </c>
    </row>
    <row r="299" spans="1:2" x14ac:dyDescent="0.3">
      <c r="A299" t="s">
        <v>2692</v>
      </c>
      <c r="B299">
        <v>1</v>
      </c>
    </row>
    <row r="300" spans="1:2" x14ac:dyDescent="0.3">
      <c r="A300" t="s">
        <v>1517</v>
      </c>
      <c r="B300">
        <v>1</v>
      </c>
    </row>
    <row r="301" spans="1:2" x14ac:dyDescent="0.3">
      <c r="A301" t="s">
        <v>1519</v>
      </c>
      <c r="B301">
        <v>1</v>
      </c>
    </row>
    <row r="302" spans="1:2" x14ac:dyDescent="0.3">
      <c r="A302" t="s">
        <v>1521</v>
      </c>
      <c r="B302">
        <v>1</v>
      </c>
    </row>
    <row r="303" spans="1:2" x14ac:dyDescent="0.3">
      <c r="A303" t="s">
        <v>1523</v>
      </c>
      <c r="B303">
        <v>1</v>
      </c>
    </row>
    <row r="304" spans="1:2" x14ac:dyDescent="0.3">
      <c r="A304" t="s">
        <v>1526</v>
      </c>
      <c r="B304">
        <v>1</v>
      </c>
    </row>
    <row r="305" spans="1:2" x14ac:dyDescent="0.3">
      <c r="A305" t="s">
        <v>1528</v>
      </c>
      <c r="B305">
        <v>1</v>
      </c>
    </row>
    <row r="306" spans="1:2" x14ac:dyDescent="0.3">
      <c r="A306" t="s">
        <v>1530</v>
      </c>
      <c r="B306">
        <v>1</v>
      </c>
    </row>
    <row r="307" spans="1:2" x14ac:dyDescent="0.3">
      <c r="A307" t="s">
        <v>1532</v>
      </c>
      <c r="B307">
        <v>1</v>
      </c>
    </row>
    <row r="308" spans="1:2" x14ac:dyDescent="0.3">
      <c r="A308" t="s">
        <v>1534</v>
      </c>
      <c r="B308">
        <v>1</v>
      </c>
    </row>
    <row r="309" spans="1:2" x14ac:dyDescent="0.3">
      <c r="A309" t="s">
        <v>1536</v>
      </c>
      <c r="B309">
        <v>1</v>
      </c>
    </row>
    <row r="310" spans="1:2" x14ac:dyDescent="0.3">
      <c r="A310" t="s">
        <v>1538</v>
      </c>
      <c r="B310">
        <v>1</v>
      </c>
    </row>
    <row r="311" spans="1:2" x14ac:dyDescent="0.3">
      <c r="A311" t="s">
        <v>1541</v>
      </c>
      <c r="B311">
        <v>1</v>
      </c>
    </row>
    <row r="312" spans="1:2" x14ac:dyDescent="0.3">
      <c r="A312" t="s">
        <v>1543</v>
      </c>
      <c r="B312">
        <v>1</v>
      </c>
    </row>
    <row r="313" spans="1:2" x14ac:dyDescent="0.3">
      <c r="A313" t="s">
        <v>1545</v>
      </c>
      <c r="B313">
        <v>1</v>
      </c>
    </row>
    <row r="314" spans="1:2" x14ac:dyDescent="0.3">
      <c r="A314" t="s">
        <v>1548</v>
      </c>
      <c r="B314">
        <v>1</v>
      </c>
    </row>
    <row r="315" spans="1:2" x14ac:dyDescent="0.3">
      <c r="A315" t="s">
        <v>1550</v>
      </c>
      <c r="B315">
        <v>1</v>
      </c>
    </row>
    <row r="316" spans="1:2" x14ac:dyDescent="0.3">
      <c r="A316" t="s">
        <v>1553</v>
      </c>
      <c r="B316">
        <v>1</v>
      </c>
    </row>
    <row r="317" spans="1:2" x14ac:dyDescent="0.3">
      <c r="A317" t="s">
        <v>1556</v>
      </c>
      <c r="B317">
        <v>1</v>
      </c>
    </row>
    <row r="318" spans="1:2" x14ac:dyDescent="0.3">
      <c r="A318" t="s">
        <v>1558</v>
      </c>
      <c r="B318">
        <v>1</v>
      </c>
    </row>
    <row r="319" spans="1:2" x14ac:dyDescent="0.3">
      <c r="A319" t="s">
        <v>1561</v>
      </c>
      <c r="B319">
        <v>1</v>
      </c>
    </row>
    <row r="320" spans="1:2" x14ac:dyDescent="0.3">
      <c r="A320" t="s">
        <v>3011</v>
      </c>
      <c r="B320">
        <v>1</v>
      </c>
    </row>
    <row r="321" spans="1:2" x14ac:dyDescent="0.3">
      <c r="A321" t="s">
        <v>1570</v>
      </c>
      <c r="B321">
        <v>1</v>
      </c>
    </row>
    <row r="322" spans="1:2" x14ac:dyDescent="0.3">
      <c r="A322" t="s">
        <v>1572</v>
      </c>
      <c r="B322">
        <v>1</v>
      </c>
    </row>
    <row r="323" spans="1:2" x14ac:dyDescent="0.3">
      <c r="A323" t="s">
        <v>1573</v>
      </c>
      <c r="B323">
        <v>1</v>
      </c>
    </row>
    <row r="324" spans="1:2" x14ac:dyDescent="0.3">
      <c r="A324" t="s">
        <v>1574</v>
      </c>
      <c r="B324">
        <v>1</v>
      </c>
    </row>
    <row r="325" spans="1:2" x14ac:dyDescent="0.3">
      <c r="A325" t="s">
        <v>1576</v>
      </c>
      <c r="B325">
        <v>1</v>
      </c>
    </row>
    <row r="326" spans="1:2" x14ac:dyDescent="0.3">
      <c r="A326" t="s">
        <v>1578</v>
      </c>
      <c r="B326">
        <v>1</v>
      </c>
    </row>
    <row r="327" spans="1:2" x14ac:dyDescent="0.3">
      <c r="A327" t="s">
        <v>1580</v>
      </c>
      <c r="B327">
        <v>1</v>
      </c>
    </row>
    <row r="328" spans="1:2" x14ac:dyDescent="0.3">
      <c r="A328" t="s">
        <v>2766</v>
      </c>
      <c r="B328">
        <v>1</v>
      </c>
    </row>
    <row r="329" spans="1:2" x14ac:dyDescent="0.3">
      <c r="A329" t="s">
        <v>3012</v>
      </c>
      <c r="B329">
        <v>1</v>
      </c>
    </row>
    <row r="330" spans="1:2" x14ac:dyDescent="0.3">
      <c r="A330" t="s">
        <v>1586</v>
      </c>
      <c r="B330">
        <v>1</v>
      </c>
    </row>
    <row r="331" spans="1:2" x14ac:dyDescent="0.3">
      <c r="A331" t="s">
        <v>1588</v>
      </c>
      <c r="B331">
        <v>1</v>
      </c>
    </row>
    <row r="332" spans="1:2" x14ac:dyDescent="0.3">
      <c r="A332" t="s">
        <v>1590</v>
      </c>
      <c r="B332">
        <v>1</v>
      </c>
    </row>
    <row r="333" spans="1:2" x14ac:dyDescent="0.3">
      <c r="A333" t="s">
        <v>1592</v>
      </c>
      <c r="B333">
        <v>1</v>
      </c>
    </row>
    <row r="334" spans="1:2" x14ac:dyDescent="0.3">
      <c r="A334" t="s">
        <v>3013</v>
      </c>
      <c r="B334">
        <v>1</v>
      </c>
    </row>
    <row r="335" spans="1:2" x14ac:dyDescent="0.3">
      <c r="A335" t="s">
        <v>1596</v>
      </c>
      <c r="B335">
        <v>1</v>
      </c>
    </row>
    <row r="336" spans="1:2" x14ac:dyDescent="0.3">
      <c r="A336" t="s">
        <v>1599</v>
      </c>
      <c r="B336">
        <v>1</v>
      </c>
    </row>
    <row r="337" spans="1:2" x14ac:dyDescent="0.3">
      <c r="A337" t="s">
        <v>1601</v>
      </c>
      <c r="B337">
        <v>1</v>
      </c>
    </row>
    <row r="338" spans="1:2" x14ac:dyDescent="0.3">
      <c r="A338" t="s">
        <v>1603</v>
      </c>
      <c r="B338">
        <v>1</v>
      </c>
    </row>
    <row r="339" spans="1:2" x14ac:dyDescent="0.3">
      <c r="A339" t="s">
        <v>3014</v>
      </c>
      <c r="B339">
        <v>1</v>
      </c>
    </row>
    <row r="340" spans="1:2" x14ac:dyDescent="0.3">
      <c r="A340" t="s">
        <v>1608</v>
      </c>
      <c r="B340">
        <v>1</v>
      </c>
    </row>
    <row r="341" spans="1:2" x14ac:dyDescent="0.3">
      <c r="A341" t="s">
        <v>1611</v>
      </c>
      <c r="B341">
        <v>1</v>
      </c>
    </row>
    <row r="342" spans="1:2" x14ac:dyDescent="0.3">
      <c r="A342" t="s">
        <v>1613</v>
      </c>
      <c r="B342">
        <v>1</v>
      </c>
    </row>
    <row r="343" spans="1:2" x14ac:dyDescent="0.3">
      <c r="A343" t="s">
        <v>1615</v>
      </c>
      <c r="B343">
        <v>1</v>
      </c>
    </row>
    <row r="344" spans="1:2" x14ac:dyDescent="0.3">
      <c r="A344" t="s">
        <v>1617</v>
      </c>
      <c r="B344">
        <v>1</v>
      </c>
    </row>
    <row r="345" spans="1:2" x14ac:dyDescent="0.3">
      <c r="A345" t="s">
        <v>3015</v>
      </c>
      <c r="B345">
        <v>1</v>
      </c>
    </row>
    <row r="346" spans="1:2" x14ac:dyDescent="0.3">
      <c r="A346" t="s">
        <v>1623</v>
      </c>
      <c r="B346">
        <v>1</v>
      </c>
    </row>
    <row r="347" spans="1:2" x14ac:dyDescent="0.3">
      <c r="A347" t="s">
        <v>1626</v>
      </c>
      <c r="B347">
        <v>1</v>
      </c>
    </row>
    <row r="348" spans="1:2" x14ac:dyDescent="0.3">
      <c r="A348" t="s">
        <v>1629</v>
      </c>
      <c r="B348">
        <v>1</v>
      </c>
    </row>
    <row r="349" spans="1:2" x14ac:dyDescent="0.3">
      <c r="A349" t="s">
        <v>2559</v>
      </c>
      <c r="B349">
        <v>1</v>
      </c>
    </row>
    <row r="350" spans="1:2" x14ac:dyDescent="0.3">
      <c r="A350" t="s">
        <v>1632</v>
      </c>
      <c r="B350">
        <v>1</v>
      </c>
    </row>
    <row r="351" spans="1:2" x14ac:dyDescent="0.3">
      <c r="A351" t="s">
        <v>1634</v>
      </c>
      <c r="B351">
        <v>1</v>
      </c>
    </row>
    <row r="352" spans="1:2" x14ac:dyDescent="0.3">
      <c r="A352" t="s">
        <v>1636</v>
      </c>
      <c r="B352">
        <v>1</v>
      </c>
    </row>
    <row r="353" spans="1:2" x14ac:dyDescent="0.3">
      <c r="A353" t="s">
        <v>1638</v>
      </c>
      <c r="B353">
        <v>1</v>
      </c>
    </row>
    <row r="354" spans="1:2" x14ac:dyDescent="0.3">
      <c r="A354" t="s">
        <v>1640</v>
      </c>
      <c r="B354">
        <v>1</v>
      </c>
    </row>
    <row r="355" spans="1:2" x14ac:dyDescent="0.3">
      <c r="A355" t="s">
        <v>1642</v>
      </c>
      <c r="B355">
        <v>1</v>
      </c>
    </row>
    <row r="356" spans="1:2" x14ac:dyDescent="0.3">
      <c r="A356" t="s">
        <v>1646</v>
      </c>
      <c r="B356">
        <v>1</v>
      </c>
    </row>
    <row r="357" spans="1:2" x14ac:dyDescent="0.3">
      <c r="A357" t="s">
        <v>3016</v>
      </c>
      <c r="B357">
        <v>1</v>
      </c>
    </row>
    <row r="358" spans="1:2" x14ac:dyDescent="0.3">
      <c r="A358" t="s">
        <v>1649</v>
      </c>
      <c r="B358">
        <v>1</v>
      </c>
    </row>
    <row r="359" spans="1:2" x14ac:dyDescent="0.3">
      <c r="A359" t="s">
        <v>1651</v>
      </c>
      <c r="B359">
        <v>1</v>
      </c>
    </row>
    <row r="360" spans="1:2" x14ac:dyDescent="0.3">
      <c r="A360" t="s">
        <v>1653</v>
      </c>
      <c r="B360">
        <v>1</v>
      </c>
    </row>
    <row r="361" spans="1:2" x14ac:dyDescent="0.3">
      <c r="A361" t="s">
        <v>2582</v>
      </c>
      <c r="B361">
        <v>1</v>
      </c>
    </row>
    <row r="362" spans="1:2" x14ac:dyDescent="0.3">
      <c r="A362" t="s">
        <v>1662</v>
      </c>
      <c r="B362">
        <v>1</v>
      </c>
    </row>
    <row r="363" spans="1:2" x14ac:dyDescent="0.3">
      <c r="A363" t="s">
        <v>2768</v>
      </c>
      <c r="B363">
        <v>1</v>
      </c>
    </row>
    <row r="364" spans="1:2" x14ac:dyDescent="0.3">
      <c r="A364" t="s">
        <v>1665</v>
      </c>
      <c r="B364">
        <v>1</v>
      </c>
    </row>
    <row r="365" spans="1:2" x14ac:dyDescent="0.3">
      <c r="A365" t="s">
        <v>1667</v>
      </c>
      <c r="B365">
        <v>1</v>
      </c>
    </row>
    <row r="366" spans="1:2" x14ac:dyDescent="0.3">
      <c r="A366" t="s">
        <v>2610</v>
      </c>
      <c r="B366">
        <v>1</v>
      </c>
    </row>
    <row r="367" spans="1:2" x14ac:dyDescent="0.3">
      <c r="A367" t="s">
        <v>1671</v>
      </c>
      <c r="B367">
        <v>1</v>
      </c>
    </row>
    <row r="368" spans="1:2" x14ac:dyDescent="0.3">
      <c r="A368" t="s">
        <v>3017</v>
      </c>
      <c r="B368">
        <v>1</v>
      </c>
    </row>
    <row r="369" spans="1:2" x14ac:dyDescent="0.3">
      <c r="A369" t="s">
        <v>3018</v>
      </c>
      <c r="B369">
        <v>1</v>
      </c>
    </row>
    <row r="370" spans="1:2" x14ac:dyDescent="0.3">
      <c r="A370" t="s">
        <v>2770</v>
      </c>
      <c r="B370">
        <v>1</v>
      </c>
    </row>
    <row r="371" spans="1:2" x14ac:dyDescent="0.3">
      <c r="A371" t="s">
        <v>3019</v>
      </c>
      <c r="B371">
        <v>1</v>
      </c>
    </row>
    <row r="372" spans="1:2" x14ac:dyDescent="0.3">
      <c r="A372" t="s">
        <v>1684</v>
      </c>
      <c r="B372">
        <v>1</v>
      </c>
    </row>
    <row r="373" spans="1:2" x14ac:dyDescent="0.3">
      <c r="A373" t="s">
        <v>1689</v>
      </c>
      <c r="B373">
        <v>1</v>
      </c>
    </row>
    <row r="374" spans="1:2" x14ac:dyDescent="0.3">
      <c r="A374" t="s">
        <v>1691</v>
      </c>
      <c r="B374">
        <v>1</v>
      </c>
    </row>
    <row r="375" spans="1:2" x14ac:dyDescent="0.3">
      <c r="A375" t="s">
        <v>1694</v>
      </c>
      <c r="B375">
        <v>1</v>
      </c>
    </row>
    <row r="376" spans="1:2" x14ac:dyDescent="0.3">
      <c r="A376" t="s">
        <v>1696</v>
      </c>
      <c r="B376">
        <v>1</v>
      </c>
    </row>
    <row r="377" spans="1:2" x14ac:dyDescent="0.3">
      <c r="A377" t="s">
        <v>1698</v>
      </c>
      <c r="B377">
        <v>1</v>
      </c>
    </row>
    <row r="378" spans="1:2" x14ac:dyDescent="0.3">
      <c r="A378" t="s">
        <v>1702</v>
      </c>
      <c r="B378">
        <v>1</v>
      </c>
    </row>
    <row r="379" spans="1:2" x14ac:dyDescent="0.3">
      <c r="A379" t="s">
        <v>1704</v>
      </c>
      <c r="B379">
        <v>1</v>
      </c>
    </row>
    <row r="380" spans="1:2" x14ac:dyDescent="0.3">
      <c r="A380" t="s">
        <v>3020</v>
      </c>
      <c r="B380">
        <v>1</v>
      </c>
    </row>
    <row r="381" spans="1:2" x14ac:dyDescent="0.3">
      <c r="A381" t="s">
        <v>1707</v>
      </c>
      <c r="B381">
        <v>1</v>
      </c>
    </row>
    <row r="382" spans="1:2" x14ac:dyDescent="0.3">
      <c r="A382" t="s">
        <v>2772</v>
      </c>
      <c r="B382">
        <v>1</v>
      </c>
    </row>
    <row r="383" spans="1:2" x14ac:dyDescent="0.3">
      <c r="A383" t="s">
        <v>2656</v>
      </c>
      <c r="B383">
        <v>1</v>
      </c>
    </row>
    <row r="384" spans="1:2" x14ac:dyDescent="0.3">
      <c r="A384" t="s">
        <v>1713</v>
      </c>
      <c r="B384">
        <v>1</v>
      </c>
    </row>
    <row r="385" spans="1:2" x14ac:dyDescent="0.3">
      <c r="A385" t="s">
        <v>1716</v>
      </c>
      <c r="B385">
        <v>1</v>
      </c>
    </row>
    <row r="386" spans="1:2" x14ac:dyDescent="0.3">
      <c r="A386" t="s">
        <v>1717</v>
      </c>
      <c r="B386">
        <v>1</v>
      </c>
    </row>
    <row r="387" spans="1:2" x14ac:dyDescent="0.3">
      <c r="A387" t="s">
        <v>3021</v>
      </c>
      <c r="B387">
        <v>1</v>
      </c>
    </row>
    <row r="388" spans="1:2" x14ac:dyDescent="0.3">
      <c r="A388" t="s">
        <v>3022</v>
      </c>
      <c r="B388">
        <v>1</v>
      </c>
    </row>
    <row r="389" spans="1:2" x14ac:dyDescent="0.3">
      <c r="A389" t="s">
        <v>3023</v>
      </c>
      <c r="B389">
        <v>1</v>
      </c>
    </row>
    <row r="390" spans="1:2" x14ac:dyDescent="0.3">
      <c r="A390" t="s">
        <v>3024</v>
      </c>
      <c r="B390">
        <v>1</v>
      </c>
    </row>
    <row r="391" spans="1:2" x14ac:dyDescent="0.3">
      <c r="A391" t="s">
        <v>1726</v>
      </c>
      <c r="B391">
        <v>1</v>
      </c>
    </row>
    <row r="392" spans="1:2" x14ac:dyDescent="0.3">
      <c r="A392" t="s">
        <v>2614</v>
      </c>
      <c r="B392">
        <v>1</v>
      </c>
    </row>
    <row r="393" spans="1:2" x14ac:dyDescent="0.3">
      <c r="A393" t="s">
        <v>1730</v>
      </c>
      <c r="B393">
        <v>1</v>
      </c>
    </row>
    <row r="394" spans="1:2" x14ac:dyDescent="0.3">
      <c r="A394" t="s">
        <v>1735</v>
      </c>
      <c r="B394">
        <v>1</v>
      </c>
    </row>
    <row r="395" spans="1:2" x14ac:dyDescent="0.3">
      <c r="A395" t="s">
        <v>1736</v>
      </c>
      <c r="B395">
        <v>1</v>
      </c>
    </row>
    <row r="396" spans="1:2" x14ac:dyDescent="0.3">
      <c r="A396" t="s">
        <v>1739</v>
      </c>
      <c r="B396">
        <v>1</v>
      </c>
    </row>
    <row r="397" spans="1:2" x14ac:dyDescent="0.3">
      <c r="A397" t="s">
        <v>1743</v>
      </c>
      <c r="B397">
        <v>1</v>
      </c>
    </row>
    <row r="398" spans="1:2" x14ac:dyDescent="0.3">
      <c r="A398" t="s">
        <v>1746</v>
      </c>
      <c r="B398">
        <v>1</v>
      </c>
    </row>
    <row r="399" spans="1:2" x14ac:dyDescent="0.3">
      <c r="A399" t="s">
        <v>1750</v>
      </c>
      <c r="B399">
        <v>1</v>
      </c>
    </row>
    <row r="400" spans="1:2" x14ac:dyDescent="0.3">
      <c r="A400" t="s">
        <v>3025</v>
      </c>
      <c r="B400">
        <v>1</v>
      </c>
    </row>
    <row r="401" spans="1:2" x14ac:dyDescent="0.3">
      <c r="A401" t="s">
        <v>1756</v>
      </c>
      <c r="B401">
        <v>1</v>
      </c>
    </row>
    <row r="402" spans="1:2" x14ac:dyDescent="0.3">
      <c r="A402" t="s">
        <v>1759</v>
      </c>
      <c r="B402">
        <v>1</v>
      </c>
    </row>
    <row r="403" spans="1:2" x14ac:dyDescent="0.3">
      <c r="A403" t="s">
        <v>3026</v>
      </c>
      <c r="B403">
        <v>1</v>
      </c>
    </row>
    <row r="404" spans="1:2" x14ac:dyDescent="0.3">
      <c r="A404" t="s">
        <v>1763</v>
      </c>
      <c r="B404">
        <v>1</v>
      </c>
    </row>
    <row r="405" spans="1:2" x14ac:dyDescent="0.3">
      <c r="A405" t="s">
        <v>1767</v>
      </c>
      <c r="B405">
        <v>1</v>
      </c>
    </row>
    <row r="406" spans="1:2" x14ac:dyDescent="0.3">
      <c r="A406" t="s">
        <v>1769</v>
      </c>
      <c r="B406">
        <v>1</v>
      </c>
    </row>
    <row r="407" spans="1:2" x14ac:dyDescent="0.3">
      <c r="A407" t="s">
        <v>1771</v>
      </c>
      <c r="B407">
        <v>1</v>
      </c>
    </row>
    <row r="408" spans="1:2" x14ac:dyDescent="0.3">
      <c r="A408" t="s">
        <v>1775</v>
      </c>
      <c r="B408">
        <v>1</v>
      </c>
    </row>
    <row r="409" spans="1:2" x14ac:dyDescent="0.3">
      <c r="A409" t="s">
        <v>1780</v>
      </c>
      <c r="B409">
        <v>1</v>
      </c>
    </row>
    <row r="410" spans="1:2" x14ac:dyDescent="0.3">
      <c r="A410" t="s">
        <v>1782</v>
      </c>
      <c r="B410">
        <v>1</v>
      </c>
    </row>
    <row r="411" spans="1:2" x14ac:dyDescent="0.3">
      <c r="A411" t="s">
        <v>1784</v>
      </c>
      <c r="B411">
        <v>1</v>
      </c>
    </row>
    <row r="412" spans="1:2" x14ac:dyDescent="0.3">
      <c r="A412" t="s">
        <v>3027</v>
      </c>
      <c r="B412">
        <v>1</v>
      </c>
    </row>
    <row r="413" spans="1:2" x14ac:dyDescent="0.3">
      <c r="A413" t="s">
        <v>1788</v>
      </c>
      <c r="B413">
        <v>1</v>
      </c>
    </row>
    <row r="414" spans="1:2" x14ac:dyDescent="0.3">
      <c r="A414" t="s">
        <v>1790</v>
      </c>
      <c r="B414">
        <v>1</v>
      </c>
    </row>
    <row r="415" spans="1:2" x14ac:dyDescent="0.3">
      <c r="A415" t="s">
        <v>1793</v>
      </c>
      <c r="B415">
        <v>1</v>
      </c>
    </row>
    <row r="416" spans="1:2" x14ac:dyDescent="0.3">
      <c r="A416" t="s">
        <v>1796</v>
      </c>
      <c r="B416">
        <v>1</v>
      </c>
    </row>
    <row r="417" spans="1:2" x14ac:dyDescent="0.3">
      <c r="A417" t="s">
        <v>1800</v>
      </c>
      <c r="B417">
        <v>1</v>
      </c>
    </row>
    <row r="418" spans="1:2" x14ac:dyDescent="0.3">
      <c r="A418" t="s">
        <v>3028</v>
      </c>
      <c r="B418">
        <v>1</v>
      </c>
    </row>
    <row r="419" spans="1:2" x14ac:dyDescent="0.3">
      <c r="A419" t="s">
        <v>3029</v>
      </c>
      <c r="B419">
        <v>1</v>
      </c>
    </row>
    <row r="420" spans="1:2" x14ac:dyDescent="0.3">
      <c r="A420" t="s">
        <v>1807</v>
      </c>
      <c r="B420">
        <v>1</v>
      </c>
    </row>
    <row r="421" spans="1:2" x14ac:dyDescent="0.3">
      <c r="A421" t="s">
        <v>1810</v>
      </c>
      <c r="B421">
        <v>1</v>
      </c>
    </row>
    <row r="422" spans="1:2" x14ac:dyDescent="0.3">
      <c r="A422" t="s">
        <v>1815</v>
      </c>
      <c r="B422">
        <v>1</v>
      </c>
    </row>
    <row r="423" spans="1:2" x14ac:dyDescent="0.3">
      <c r="A423" t="s">
        <v>1817</v>
      </c>
      <c r="B423">
        <v>1</v>
      </c>
    </row>
    <row r="424" spans="1:2" x14ac:dyDescent="0.3">
      <c r="A424" t="s">
        <v>1820</v>
      </c>
      <c r="B424">
        <v>1</v>
      </c>
    </row>
    <row r="425" spans="1:2" x14ac:dyDescent="0.3">
      <c r="A425" t="s">
        <v>1822</v>
      </c>
      <c r="B425">
        <v>1</v>
      </c>
    </row>
    <row r="426" spans="1:2" x14ac:dyDescent="0.3">
      <c r="A426" t="s">
        <v>2615</v>
      </c>
      <c r="B426">
        <v>1</v>
      </c>
    </row>
    <row r="427" spans="1:2" x14ac:dyDescent="0.3">
      <c r="A427" t="s">
        <v>2561</v>
      </c>
      <c r="B427">
        <v>1</v>
      </c>
    </row>
    <row r="428" spans="1:2" x14ac:dyDescent="0.3">
      <c r="A428" t="s">
        <v>1831</v>
      </c>
      <c r="B428">
        <v>1</v>
      </c>
    </row>
    <row r="429" spans="1:2" x14ac:dyDescent="0.3">
      <c r="A429" t="s">
        <v>1832</v>
      </c>
      <c r="B429">
        <v>1</v>
      </c>
    </row>
    <row r="430" spans="1:2" x14ac:dyDescent="0.3">
      <c r="A430" t="s">
        <v>1835</v>
      </c>
      <c r="B430">
        <v>1</v>
      </c>
    </row>
    <row r="431" spans="1:2" x14ac:dyDescent="0.3">
      <c r="A431" t="s">
        <v>1839</v>
      </c>
      <c r="B431">
        <v>1</v>
      </c>
    </row>
    <row r="432" spans="1:2" x14ac:dyDescent="0.3">
      <c r="A432" t="s">
        <v>1841</v>
      </c>
      <c r="B432">
        <v>1</v>
      </c>
    </row>
    <row r="433" spans="1:2" x14ac:dyDescent="0.3">
      <c r="A433" t="s">
        <v>1843</v>
      </c>
      <c r="B433">
        <v>1</v>
      </c>
    </row>
    <row r="434" spans="1:2" x14ac:dyDescent="0.3">
      <c r="A434" t="s">
        <v>1847</v>
      </c>
      <c r="B434">
        <v>1</v>
      </c>
    </row>
    <row r="435" spans="1:2" x14ac:dyDescent="0.3">
      <c r="A435" t="s">
        <v>1848</v>
      </c>
      <c r="B435">
        <v>1</v>
      </c>
    </row>
    <row r="436" spans="1:2" x14ac:dyDescent="0.3">
      <c r="A436" t="s">
        <v>1850</v>
      </c>
      <c r="B436">
        <v>1</v>
      </c>
    </row>
    <row r="437" spans="1:2" x14ac:dyDescent="0.3">
      <c r="A437" t="s">
        <v>2781</v>
      </c>
      <c r="B437">
        <v>1</v>
      </c>
    </row>
    <row r="438" spans="1:2" x14ac:dyDescent="0.3">
      <c r="A438" t="s">
        <v>2782</v>
      </c>
      <c r="B438">
        <v>1</v>
      </c>
    </row>
    <row r="439" spans="1:2" x14ac:dyDescent="0.3">
      <c r="A439" t="s">
        <v>1858</v>
      </c>
      <c r="B439">
        <v>1</v>
      </c>
    </row>
    <row r="440" spans="1:2" x14ac:dyDescent="0.3">
      <c r="A440" t="s">
        <v>1862</v>
      </c>
      <c r="B440">
        <v>1</v>
      </c>
    </row>
    <row r="441" spans="1:2" x14ac:dyDescent="0.3">
      <c r="A441" t="s">
        <v>1863</v>
      </c>
      <c r="B441">
        <v>1</v>
      </c>
    </row>
    <row r="442" spans="1:2" x14ac:dyDescent="0.3">
      <c r="A442" t="s">
        <v>1864</v>
      </c>
      <c r="B442">
        <v>1</v>
      </c>
    </row>
    <row r="443" spans="1:2" x14ac:dyDescent="0.3">
      <c r="A443" t="s">
        <v>1867</v>
      </c>
      <c r="B443">
        <v>1</v>
      </c>
    </row>
    <row r="444" spans="1:2" x14ac:dyDescent="0.3">
      <c r="A444" t="s">
        <v>1870</v>
      </c>
      <c r="B444">
        <v>1</v>
      </c>
    </row>
    <row r="445" spans="1:2" x14ac:dyDescent="0.3">
      <c r="A445" t="s">
        <v>1873</v>
      </c>
      <c r="B445">
        <v>1</v>
      </c>
    </row>
    <row r="446" spans="1:2" x14ac:dyDescent="0.3">
      <c r="A446" t="s">
        <v>1875</v>
      </c>
      <c r="B446">
        <v>1</v>
      </c>
    </row>
    <row r="447" spans="1:2" x14ac:dyDescent="0.3">
      <c r="A447" t="s">
        <v>1878</v>
      </c>
      <c r="B447">
        <v>1</v>
      </c>
    </row>
    <row r="448" spans="1:2" x14ac:dyDescent="0.3">
      <c r="A448" t="s">
        <v>1880</v>
      </c>
      <c r="B448">
        <v>1</v>
      </c>
    </row>
    <row r="449" spans="1:2" x14ac:dyDescent="0.3">
      <c r="A449" t="s">
        <v>2786</v>
      </c>
      <c r="B449">
        <v>1</v>
      </c>
    </row>
    <row r="450" spans="1:2" x14ac:dyDescent="0.3">
      <c r="A450" t="s">
        <v>1885</v>
      </c>
      <c r="B450">
        <v>1</v>
      </c>
    </row>
    <row r="451" spans="1:2" x14ac:dyDescent="0.3">
      <c r="A451" t="s">
        <v>1889</v>
      </c>
      <c r="B451">
        <v>1</v>
      </c>
    </row>
    <row r="452" spans="1:2" x14ac:dyDescent="0.3">
      <c r="A452" t="s">
        <v>2562</v>
      </c>
      <c r="B452">
        <v>1</v>
      </c>
    </row>
    <row r="453" spans="1:2" x14ac:dyDescent="0.3">
      <c r="A453" t="s">
        <v>1893</v>
      </c>
      <c r="B453">
        <v>1</v>
      </c>
    </row>
    <row r="454" spans="1:2" x14ac:dyDescent="0.3">
      <c r="A454" t="s">
        <v>3030</v>
      </c>
      <c r="B454">
        <v>1</v>
      </c>
    </row>
    <row r="455" spans="1:2" x14ac:dyDescent="0.3">
      <c r="A455" t="s">
        <v>3031</v>
      </c>
      <c r="B455">
        <v>1</v>
      </c>
    </row>
    <row r="456" spans="1:2" x14ac:dyDescent="0.3">
      <c r="A456" t="s">
        <v>1898</v>
      </c>
      <c r="B456">
        <v>1</v>
      </c>
    </row>
    <row r="457" spans="1:2" x14ac:dyDescent="0.3">
      <c r="A457" t="s">
        <v>1901</v>
      </c>
      <c r="B457">
        <v>1</v>
      </c>
    </row>
    <row r="458" spans="1:2" x14ac:dyDescent="0.3">
      <c r="A458" t="s">
        <v>3032</v>
      </c>
      <c r="B458">
        <v>1</v>
      </c>
    </row>
    <row r="459" spans="1:2" x14ac:dyDescent="0.3">
      <c r="A459" t="s">
        <v>3033</v>
      </c>
      <c r="B459">
        <v>1</v>
      </c>
    </row>
    <row r="460" spans="1:2" x14ac:dyDescent="0.3">
      <c r="A460" t="s">
        <v>1905</v>
      </c>
      <c r="B460">
        <v>1</v>
      </c>
    </row>
    <row r="461" spans="1:2" x14ac:dyDescent="0.3">
      <c r="A461" t="s">
        <v>1907</v>
      </c>
      <c r="B461">
        <v>1</v>
      </c>
    </row>
    <row r="462" spans="1:2" x14ac:dyDescent="0.3">
      <c r="A462" t="s">
        <v>1909</v>
      </c>
      <c r="B462">
        <v>1</v>
      </c>
    </row>
    <row r="463" spans="1:2" x14ac:dyDescent="0.3">
      <c r="A463" t="s">
        <v>2790</v>
      </c>
      <c r="B463">
        <v>1</v>
      </c>
    </row>
    <row r="464" spans="1:2" x14ac:dyDescent="0.3">
      <c r="A464" t="s">
        <v>3034</v>
      </c>
      <c r="B464">
        <v>1</v>
      </c>
    </row>
    <row r="465" spans="1:2" x14ac:dyDescent="0.3">
      <c r="A465" t="s">
        <v>1913</v>
      </c>
      <c r="B465">
        <v>1</v>
      </c>
    </row>
    <row r="466" spans="1:2" x14ac:dyDescent="0.3">
      <c r="A466" t="s">
        <v>1915</v>
      </c>
      <c r="B466">
        <v>1</v>
      </c>
    </row>
    <row r="467" spans="1:2" x14ac:dyDescent="0.3">
      <c r="A467" t="s">
        <v>1916</v>
      </c>
      <c r="B467">
        <v>1</v>
      </c>
    </row>
    <row r="468" spans="1:2" x14ac:dyDescent="0.3">
      <c r="A468" t="s">
        <v>1918</v>
      </c>
      <c r="B468">
        <v>1</v>
      </c>
    </row>
    <row r="469" spans="1:2" x14ac:dyDescent="0.3">
      <c r="A469" t="s">
        <v>1922</v>
      </c>
      <c r="B469">
        <v>1</v>
      </c>
    </row>
    <row r="470" spans="1:2" x14ac:dyDescent="0.3">
      <c r="A470" t="s">
        <v>3035</v>
      </c>
      <c r="B470">
        <v>1</v>
      </c>
    </row>
    <row r="471" spans="1:2" x14ac:dyDescent="0.3">
      <c r="A471" t="s">
        <v>1926</v>
      </c>
      <c r="B471">
        <v>1</v>
      </c>
    </row>
    <row r="472" spans="1:2" x14ac:dyDescent="0.3">
      <c r="A472" t="s">
        <v>1927</v>
      </c>
      <c r="B472">
        <v>1</v>
      </c>
    </row>
    <row r="473" spans="1:2" x14ac:dyDescent="0.3">
      <c r="A473" t="s">
        <v>1929</v>
      </c>
      <c r="B473">
        <v>1</v>
      </c>
    </row>
    <row r="474" spans="1:2" x14ac:dyDescent="0.3">
      <c r="A474" t="s">
        <v>3036</v>
      </c>
      <c r="B474">
        <v>1</v>
      </c>
    </row>
    <row r="475" spans="1:2" x14ac:dyDescent="0.3">
      <c r="A475" t="s">
        <v>1934</v>
      </c>
      <c r="B475">
        <v>1</v>
      </c>
    </row>
    <row r="476" spans="1:2" x14ac:dyDescent="0.3">
      <c r="A476" t="s">
        <v>1936</v>
      </c>
      <c r="B476">
        <v>1</v>
      </c>
    </row>
    <row r="477" spans="1:2" x14ac:dyDescent="0.3">
      <c r="A477" t="s">
        <v>1939</v>
      </c>
      <c r="B477">
        <v>1</v>
      </c>
    </row>
    <row r="478" spans="1:2" x14ac:dyDescent="0.3">
      <c r="A478" t="s">
        <v>1941</v>
      </c>
      <c r="B478">
        <v>1</v>
      </c>
    </row>
    <row r="479" spans="1:2" x14ac:dyDescent="0.3">
      <c r="A479" t="s">
        <v>1943</v>
      </c>
      <c r="B479">
        <v>1</v>
      </c>
    </row>
    <row r="480" spans="1:2" x14ac:dyDescent="0.3">
      <c r="A480" t="s">
        <v>1945</v>
      </c>
      <c r="B480">
        <v>1</v>
      </c>
    </row>
    <row r="481" spans="1:2" x14ac:dyDescent="0.3">
      <c r="A481" t="s">
        <v>1947</v>
      </c>
      <c r="B481">
        <v>1</v>
      </c>
    </row>
    <row r="482" spans="1:2" x14ac:dyDescent="0.3">
      <c r="A482" t="s">
        <v>3037</v>
      </c>
      <c r="B482">
        <v>1</v>
      </c>
    </row>
    <row r="483" spans="1:2" x14ac:dyDescent="0.3">
      <c r="A483" t="s">
        <v>1954</v>
      </c>
      <c r="B483">
        <v>1</v>
      </c>
    </row>
    <row r="484" spans="1:2" x14ac:dyDescent="0.3">
      <c r="A484" t="s">
        <v>1955</v>
      </c>
      <c r="B484">
        <v>1</v>
      </c>
    </row>
    <row r="485" spans="1:2" x14ac:dyDescent="0.3">
      <c r="A485" t="s">
        <v>1957</v>
      </c>
      <c r="B485">
        <v>1</v>
      </c>
    </row>
    <row r="486" spans="1:2" x14ac:dyDescent="0.3">
      <c r="A486" t="s">
        <v>1959</v>
      </c>
      <c r="B486">
        <v>1</v>
      </c>
    </row>
    <row r="487" spans="1:2" x14ac:dyDescent="0.3">
      <c r="A487" t="s">
        <v>1961</v>
      </c>
      <c r="B487">
        <v>1</v>
      </c>
    </row>
    <row r="488" spans="1:2" x14ac:dyDescent="0.3">
      <c r="A488" t="s">
        <v>1963</v>
      </c>
      <c r="B488">
        <v>1</v>
      </c>
    </row>
    <row r="489" spans="1:2" x14ac:dyDescent="0.3">
      <c r="A489" t="s">
        <v>1965</v>
      </c>
      <c r="B489">
        <v>1</v>
      </c>
    </row>
    <row r="490" spans="1:2" x14ac:dyDescent="0.3">
      <c r="A490" t="s">
        <v>1967</v>
      </c>
      <c r="B490">
        <v>1</v>
      </c>
    </row>
    <row r="491" spans="1:2" x14ac:dyDescent="0.3">
      <c r="A491" t="s">
        <v>1969</v>
      </c>
      <c r="B491">
        <v>1</v>
      </c>
    </row>
    <row r="492" spans="1:2" x14ac:dyDescent="0.3">
      <c r="A492" t="s">
        <v>2704</v>
      </c>
      <c r="B492">
        <v>1</v>
      </c>
    </row>
    <row r="493" spans="1:2" x14ac:dyDescent="0.3">
      <c r="A493" t="s">
        <v>1973</v>
      </c>
      <c r="B493">
        <v>1</v>
      </c>
    </row>
    <row r="494" spans="1:2" x14ac:dyDescent="0.3">
      <c r="A494" t="s">
        <v>3038</v>
      </c>
      <c r="B494">
        <v>1</v>
      </c>
    </row>
    <row r="495" spans="1:2" x14ac:dyDescent="0.3">
      <c r="A495" t="s">
        <v>1978</v>
      </c>
      <c r="B495">
        <v>1</v>
      </c>
    </row>
    <row r="496" spans="1:2" x14ac:dyDescent="0.3">
      <c r="A496" t="s">
        <v>1981</v>
      </c>
      <c r="B496">
        <v>1</v>
      </c>
    </row>
    <row r="497" spans="1:2" x14ac:dyDescent="0.3">
      <c r="A497" t="s">
        <v>1983</v>
      </c>
      <c r="B497">
        <v>1</v>
      </c>
    </row>
    <row r="498" spans="1:2" x14ac:dyDescent="0.3">
      <c r="A498" t="s">
        <v>1986</v>
      </c>
      <c r="B498">
        <v>1</v>
      </c>
    </row>
    <row r="499" spans="1:2" x14ac:dyDescent="0.3">
      <c r="A499" t="s">
        <v>3039</v>
      </c>
      <c r="B499">
        <v>1</v>
      </c>
    </row>
    <row r="500" spans="1:2" x14ac:dyDescent="0.3">
      <c r="A500" t="s">
        <v>1991</v>
      </c>
      <c r="B500">
        <v>1</v>
      </c>
    </row>
    <row r="501" spans="1:2" x14ac:dyDescent="0.3">
      <c r="A501" t="s">
        <v>1994</v>
      </c>
      <c r="B501">
        <v>1</v>
      </c>
    </row>
    <row r="502" spans="1:2" x14ac:dyDescent="0.3">
      <c r="A502" t="s">
        <v>3040</v>
      </c>
      <c r="B502">
        <v>1</v>
      </c>
    </row>
    <row r="503" spans="1:2" x14ac:dyDescent="0.3">
      <c r="A503" t="s">
        <v>1998</v>
      </c>
      <c r="B503">
        <v>1</v>
      </c>
    </row>
    <row r="504" spans="1:2" x14ac:dyDescent="0.3">
      <c r="A504" t="s">
        <v>2000</v>
      </c>
      <c r="B504">
        <v>1</v>
      </c>
    </row>
    <row r="505" spans="1:2" x14ac:dyDescent="0.3">
      <c r="A505" t="s">
        <v>3041</v>
      </c>
      <c r="B505">
        <v>1</v>
      </c>
    </row>
    <row r="506" spans="1:2" x14ac:dyDescent="0.3">
      <c r="A506" t="s">
        <v>2004</v>
      </c>
      <c r="B506">
        <v>1</v>
      </c>
    </row>
    <row r="507" spans="1:2" x14ac:dyDescent="0.3">
      <c r="A507" t="s">
        <v>2007</v>
      </c>
      <c r="B507">
        <v>1</v>
      </c>
    </row>
    <row r="508" spans="1:2" x14ac:dyDescent="0.3">
      <c r="A508" t="s">
        <v>2009</v>
      </c>
      <c r="B508">
        <v>1</v>
      </c>
    </row>
    <row r="509" spans="1:2" x14ac:dyDescent="0.3">
      <c r="A509" t="s">
        <v>2015</v>
      </c>
      <c r="B509">
        <v>1</v>
      </c>
    </row>
    <row r="510" spans="1:2" x14ac:dyDescent="0.3">
      <c r="A510" t="s">
        <v>3042</v>
      </c>
      <c r="B510">
        <v>1</v>
      </c>
    </row>
    <row r="511" spans="1:2" x14ac:dyDescent="0.3">
      <c r="A511" t="s">
        <v>2705</v>
      </c>
      <c r="B511">
        <v>1</v>
      </c>
    </row>
    <row r="512" spans="1:2" x14ac:dyDescent="0.3">
      <c r="A512" t="s">
        <v>2017</v>
      </c>
      <c r="B512">
        <v>1</v>
      </c>
    </row>
    <row r="513" spans="1:2" x14ac:dyDescent="0.3">
      <c r="A513" t="s">
        <v>2799</v>
      </c>
      <c r="B513">
        <v>1</v>
      </c>
    </row>
    <row r="514" spans="1:2" x14ac:dyDescent="0.3">
      <c r="A514" t="s">
        <v>2019</v>
      </c>
      <c r="B514">
        <v>1</v>
      </c>
    </row>
    <row r="515" spans="1:2" x14ac:dyDescent="0.3">
      <c r="A515" t="s">
        <v>3043</v>
      </c>
      <c r="B515">
        <v>1</v>
      </c>
    </row>
    <row r="516" spans="1:2" x14ac:dyDescent="0.3">
      <c r="A516" t="s">
        <v>2028</v>
      </c>
      <c r="B516">
        <v>1</v>
      </c>
    </row>
    <row r="517" spans="1:2" x14ac:dyDescent="0.3">
      <c r="A517" t="s">
        <v>2801</v>
      </c>
      <c r="B517">
        <v>1</v>
      </c>
    </row>
    <row r="518" spans="1:2" x14ac:dyDescent="0.3">
      <c r="A518" t="s">
        <v>2625</v>
      </c>
      <c r="B518">
        <v>1</v>
      </c>
    </row>
    <row r="519" spans="1:2" x14ac:dyDescent="0.3">
      <c r="A519" t="s">
        <v>2039</v>
      </c>
      <c r="B519">
        <v>1</v>
      </c>
    </row>
    <row r="520" spans="1:2" x14ac:dyDescent="0.3">
      <c r="A520" t="s">
        <v>2586</v>
      </c>
      <c r="B520">
        <v>1</v>
      </c>
    </row>
    <row r="521" spans="1:2" x14ac:dyDescent="0.3">
      <c r="A521" t="s">
        <v>2587</v>
      </c>
      <c r="B521">
        <v>1</v>
      </c>
    </row>
    <row r="522" spans="1:2" x14ac:dyDescent="0.3">
      <c r="A522" t="s">
        <v>2043</v>
      </c>
      <c r="B522">
        <v>1</v>
      </c>
    </row>
    <row r="523" spans="1:2" x14ac:dyDescent="0.3">
      <c r="A523" t="s">
        <v>2802</v>
      </c>
      <c r="B523">
        <v>1</v>
      </c>
    </row>
    <row r="524" spans="1:2" x14ac:dyDescent="0.3">
      <c r="A524" t="s">
        <v>2045</v>
      </c>
      <c r="B524">
        <v>1</v>
      </c>
    </row>
    <row r="525" spans="1:2" x14ac:dyDescent="0.3">
      <c r="A525" t="s">
        <v>2047</v>
      </c>
      <c r="B525">
        <v>1</v>
      </c>
    </row>
    <row r="526" spans="1:2" x14ac:dyDescent="0.3">
      <c r="A526" t="s">
        <v>2048</v>
      </c>
      <c r="B526">
        <v>1</v>
      </c>
    </row>
    <row r="527" spans="1:2" x14ac:dyDescent="0.3">
      <c r="A527" t="s">
        <v>2050</v>
      </c>
      <c r="B527">
        <v>1</v>
      </c>
    </row>
    <row r="528" spans="1:2" x14ac:dyDescent="0.3">
      <c r="A528" t="s">
        <v>2052</v>
      </c>
      <c r="B528">
        <v>1</v>
      </c>
    </row>
    <row r="529" spans="1:2" x14ac:dyDescent="0.3">
      <c r="A529" t="s">
        <v>2054</v>
      </c>
      <c r="B529">
        <v>1</v>
      </c>
    </row>
    <row r="530" spans="1:2" x14ac:dyDescent="0.3">
      <c r="A530" t="s">
        <v>2057</v>
      </c>
      <c r="B530">
        <v>1</v>
      </c>
    </row>
    <row r="531" spans="1:2" x14ac:dyDescent="0.3">
      <c r="A531" t="s">
        <v>2062</v>
      </c>
      <c r="B531">
        <v>1</v>
      </c>
    </row>
    <row r="532" spans="1:2" x14ac:dyDescent="0.3">
      <c r="A532" t="s">
        <v>2063</v>
      </c>
      <c r="B532">
        <v>1</v>
      </c>
    </row>
    <row r="533" spans="1:2" x14ac:dyDescent="0.3">
      <c r="A533" t="s">
        <v>2065</v>
      </c>
      <c r="B533">
        <v>1</v>
      </c>
    </row>
    <row r="534" spans="1:2" x14ac:dyDescent="0.3">
      <c r="A534" t="s">
        <v>2067</v>
      </c>
      <c r="B534">
        <v>1</v>
      </c>
    </row>
    <row r="535" spans="1:2" x14ac:dyDescent="0.3">
      <c r="A535" t="s">
        <v>2804</v>
      </c>
      <c r="B535">
        <v>1</v>
      </c>
    </row>
    <row r="536" spans="1:2" x14ac:dyDescent="0.3">
      <c r="A536" t="s">
        <v>2071</v>
      </c>
      <c r="B536">
        <v>1</v>
      </c>
    </row>
    <row r="537" spans="1:2" x14ac:dyDescent="0.3">
      <c r="A537" t="s">
        <v>2073</v>
      </c>
      <c r="B537">
        <v>1</v>
      </c>
    </row>
    <row r="538" spans="1:2" x14ac:dyDescent="0.3">
      <c r="A538" t="s">
        <v>2076</v>
      </c>
      <c r="B538">
        <v>1</v>
      </c>
    </row>
    <row r="539" spans="1:2" x14ac:dyDescent="0.3">
      <c r="A539" t="s">
        <v>2077</v>
      </c>
      <c r="B539">
        <v>1</v>
      </c>
    </row>
    <row r="540" spans="1:2" x14ac:dyDescent="0.3">
      <c r="A540" t="s">
        <v>2079</v>
      </c>
      <c r="B540">
        <v>1</v>
      </c>
    </row>
    <row r="541" spans="1:2" x14ac:dyDescent="0.3">
      <c r="A541" t="s">
        <v>2081</v>
      </c>
      <c r="B541">
        <v>1</v>
      </c>
    </row>
    <row r="542" spans="1:2" x14ac:dyDescent="0.3">
      <c r="A542" t="s">
        <v>2083</v>
      </c>
      <c r="B542">
        <v>1</v>
      </c>
    </row>
    <row r="543" spans="1:2" x14ac:dyDescent="0.3">
      <c r="A543" t="s">
        <v>2085</v>
      </c>
      <c r="B543">
        <v>1</v>
      </c>
    </row>
    <row r="544" spans="1:2" x14ac:dyDescent="0.3">
      <c r="A544" t="s">
        <v>2087</v>
      </c>
      <c r="B544">
        <v>1</v>
      </c>
    </row>
    <row r="545" spans="1:2" x14ac:dyDescent="0.3">
      <c r="A545" t="s">
        <v>2089</v>
      </c>
      <c r="B545">
        <v>1</v>
      </c>
    </row>
    <row r="546" spans="1:2" x14ac:dyDescent="0.3">
      <c r="A546" t="s">
        <v>2092</v>
      </c>
      <c r="B546">
        <v>1</v>
      </c>
    </row>
    <row r="547" spans="1:2" x14ac:dyDescent="0.3">
      <c r="A547" t="s">
        <v>2806</v>
      </c>
      <c r="B547">
        <v>1</v>
      </c>
    </row>
    <row r="548" spans="1:2" x14ac:dyDescent="0.3">
      <c r="A548" t="s">
        <v>2094</v>
      </c>
      <c r="B548">
        <v>1</v>
      </c>
    </row>
    <row r="549" spans="1:2" x14ac:dyDescent="0.3">
      <c r="A549" t="s">
        <v>2097</v>
      </c>
      <c r="B549">
        <v>1</v>
      </c>
    </row>
    <row r="550" spans="1:2" x14ac:dyDescent="0.3">
      <c r="A550" t="s">
        <v>2100</v>
      </c>
      <c r="B550">
        <v>1</v>
      </c>
    </row>
    <row r="551" spans="1:2" x14ac:dyDescent="0.3">
      <c r="A551" t="s">
        <v>3044</v>
      </c>
      <c r="B551">
        <v>1</v>
      </c>
    </row>
    <row r="552" spans="1:2" x14ac:dyDescent="0.3">
      <c r="A552" t="s">
        <v>2105</v>
      </c>
      <c r="B552">
        <v>1</v>
      </c>
    </row>
    <row r="553" spans="1:2" x14ac:dyDescent="0.3">
      <c r="A553" t="s">
        <v>2107</v>
      </c>
      <c r="B553">
        <v>1</v>
      </c>
    </row>
    <row r="554" spans="1:2" x14ac:dyDescent="0.3">
      <c r="A554" t="s">
        <v>2112</v>
      </c>
      <c r="B554">
        <v>1</v>
      </c>
    </row>
    <row r="555" spans="1:2" x14ac:dyDescent="0.3">
      <c r="A555" t="s">
        <v>2114</v>
      </c>
      <c r="B555">
        <v>1</v>
      </c>
    </row>
    <row r="556" spans="1:2" x14ac:dyDescent="0.3">
      <c r="A556" t="s">
        <v>2807</v>
      </c>
      <c r="B556">
        <v>1</v>
      </c>
    </row>
    <row r="557" spans="1:2" x14ac:dyDescent="0.3">
      <c r="A557" t="s">
        <v>2120</v>
      </c>
      <c r="B557">
        <v>1</v>
      </c>
    </row>
    <row r="558" spans="1:2" x14ac:dyDescent="0.3">
      <c r="A558" t="s">
        <v>2122</v>
      </c>
      <c r="B558">
        <v>1</v>
      </c>
    </row>
    <row r="559" spans="1:2" x14ac:dyDescent="0.3">
      <c r="A559" t="s">
        <v>2124</v>
      </c>
      <c r="B559">
        <v>1</v>
      </c>
    </row>
    <row r="560" spans="1:2" x14ac:dyDescent="0.3">
      <c r="A560" t="s">
        <v>2126</v>
      </c>
      <c r="B560">
        <v>1</v>
      </c>
    </row>
    <row r="561" spans="1:2" x14ac:dyDescent="0.3">
      <c r="A561" t="s">
        <v>2127</v>
      </c>
      <c r="B561">
        <v>1</v>
      </c>
    </row>
    <row r="562" spans="1:2" x14ac:dyDescent="0.3">
      <c r="A562" t="s">
        <v>2129</v>
      </c>
      <c r="B562">
        <v>1</v>
      </c>
    </row>
    <row r="563" spans="1:2" x14ac:dyDescent="0.3">
      <c r="A563" t="s">
        <v>2133</v>
      </c>
      <c r="B563">
        <v>1</v>
      </c>
    </row>
    <row r="564" spans="1:2" x14ac:dyDescent="0.3">
      <c r="A564" t="s">
        <v>2134</v>
      </c>
      <c r="B564">
        <v>1</v>
      </c>
    </row>
    <row r="565" spans="1:2" x14ac:dyDescent="0.3">
      <c r="A565" t="s">
        <v>2137</v>
      </c>
      <c r="B565">
        <v>1</v>
      </c>
    </row>
    <row r="566" spans="1:2" x14ac:dyDescent="0.3">
      <c r="A566" t="s">
        <v>2140</v>
      </c>
      <c r="B566">
        <v>1</v>
      </c>
    </row>
    <row r="567" spans="1:2" x14ac:dyDescent="0.3">
      <c r="A567" t="s">
        <v>2588</v>
      </c>
      <c r="B567">
        <v>1</v>
      </c>
    </row>
    <row r="568" spans="1:2" x14ac:dyDescent="0.3">
      <c r="A568" t="s">
        <v>2145</v>
      </c>
      <c r="B568">
        <v>1</v>
      </c>
    </row>
    <row r="569" spans="1:2" x14ac:dyDescent="0.3">
      <c r="A569" t="s">
        <v>2148</v>
      </c>
      <c r="B569">
        <v>1</v>
      </c>
    </row>
    <row r="570" spans="1:2" x14ac:dyDescent="0.3">
      <c r="A570" t="s">
        <v>2149</v>
      </c>
      <c r="B570">
        <v>1</v>
      </c>
    </row>
    <row r="571" spans="1:2" x14ac:dyDescent="0.3">
      <c r="A571" t="s">
        <v>2151</v>
      </c>
      <c r="B571">
        <v>1</v>
      </c>
    </row>
    <row r="572" spans="1:2" x14ac:dyDescent="0.3">
      <c r="A572" t="s">
        <v>2152</v>
      </c>
      <c r="B572">
        <v>1</v>
      </c>
    </row>
    <row r="573" spans="1:2" x14ac:dyDescent="0.3">
      <c r="A573" t="s">
        <v>2155</v>
      </c>
      <c r="B573">
        <v>1</v>
      </c>
    </row>
    <row r="574" spans="1:2" x14ac:dyDescent="0.3">
      <c r="A574" t="s">
        <v>2157</v>
      </c>
      <c r="B574">
        <v>1</v>
      </c>
    </row>
    <row r="575" spans="1:2" x14ac:dyDescent="0.3">
      <c r="A575" t="s">
        <v>2159</v>
      </c>
      <c r="B575">
        <v>1</v>
      </c>
    </row>
    <row r="576" spans="1:2" x14ac:dyDescent="0.3">
      <c r="A576" t="s">
        <v>3045</v>
      </c>
      <c r="B576">
        <v>1</v>
      </c>
    </row>
    <row r="577" spans="1:2" x14ac:dyDescent="0.3">
      <c r="A577" t="s">
        <v>3046</v>
      </c>
      <c r="B577">
        <v>1</v>
      </c>
    </row>
    <row r="578" spans="1:2" x14ac:dyDescent="0.3">
      <c r="A578" t="s">
        <v>2169</v>
      </c>
      <c r="B578">
        <v>1</v>
      </c>
    </row>
    <row r="579" spans="1:2" x14ac:dyDescent="0.3">
      <c r="A579" t="s">
        <v>2170</v>
      </c>
      <c r="B579">
        <v>1</v>
      </c>
    </row>
    <row r="580" spans="1:2" x14ac:dyDescent="0.3">
      <c r="A580" t="s">
        <v>2171</v>
      </c>
      <c r="B580">
        <v>1</v>
      </c>
    </row>
    <row r="581" spans="1:2" x14ac:dyDescent="0.3">
      <c r="A581" t="s">
        <v>2810</v>
      </c>
      <c r="B581">
        <v>1</v>
      </c>
    </row>
    <row r="582" spans="1:2" x14ac:dyDescent="0.3">
      <c r="A582" t="s">
        <v>3047</v>
      </c>
      <c r="B582">
        <v>1</v>
      </c>
    </row>
    <row r="583" spans="1:2" x14ac:dyDescent="0.3">
      <c r="A583" t="s">
        <v>2176</v>
      </c>
      <c r="B583">
        <v>1</v>
      </c>
    </row>
    <row r="584" spans="1:2" x14ac:dyDescent="0.3">
      <c r="A584" t="s">
        <v>2177</v>
      </c>
      <c r="B584">
        <v>1</v>
      </c>
    </row>
    <row r="585" spans="1:2" x14ac:dyDescent="0.3">
      <c r="A585" t="s">
        <v>2811</v>
      </c>
      <c r="B585">
        <v>1</v>
      </c>
    </row>
    <row r="586" spans="1:2" x14ac:dyDescent="0.3">
      <c r="A586" t="s">
        <v>2183</v>
      </c>
      <c r="B586">
        <v>1</v>
      </c>
    </row>
    <row r="587" spans="1:2" x14ac:dyDescent="0.3">
      <c r="A587" t="s">
        <v>3048</v>
      </c>
      <c r="B587">
        <v>1</v>
      </c>
    </row>
    <row r="588" spans="1:2" x14ac:dyDescent="0.3">
      <c r="A588" t="s">
        <v>2812</v>
      </c>
      <c r="B588">
        <v>1</v>
      </c>
    </row>
    <row r="589" spans="1:2" x14ac:dyDescent="0.3">
      <c r="A589" t="s">
        <v>2186</v>
      </c>
      <c r="B589">
        <v>1</v>
      </c>
    </row>
    <row r="590" spans="1:2" x14ac:dyDescent="0.3">
      <c r="A590" t="s">
        <v>2188</v>
      </c>
      <c r="B590">
        <v>1</v>
      </c>
    </row>
    <row r="591" spans="1:2" x14ac:dyDescent="0.3">
      <c r="A591" t="s">
        <v>2190</v>
      </c>
      <c r="B591">
        <v>1</v>
      </c>
    </row>
    <row r="592" spans="1:2" x14ac:dyDescent="0.3">
      <c r="A592" t="s">
        <v>2193</v>
      </c>
      <c r="B592">
        <v>1</v>
      </c>
    </row>
    <row r="593" spans="1:2" x14ac:dyDescent="0.3">
      <c r="A593" t="s">
        <v>2196</v>
      </c>
      <c r="B593">
        <v>1</v>
      </c>
    </row>
    <row r="594" spans="1:2" x14ac:dyDescent="0.3">
      <c r="A594" t="s">
        <v>2198</v>
      </c>
      <c r="B594">
        <v>1</v>
      </c>
    </row>
    <row r="595" spans="1:2" x14ac:dyDescent="0.3">
      <c r="A595" t="s">
        <v>2200</v>
      </c>
      <c r="B595">
        <v>1</v>
      </c>
    </row>
    <row r="596" spans="1:2" x14ac:dyDescent="0.3">
      <c r="A596" t="s">
        <v>2203</v>
      </c>
      <c r="B596">
        <v>1</v>
      </c>
    </row>
    <row r="597" spans="1:2" x14ac:dyDescent="0.3">
      <c r="A597" t="s">
        <v>3049</v>
      </c>
      <c r="B597">
        <v>1</v>
      </c>
    </row>
    <row r="598" spans="1:2" x14ac:dyDescent="0.3">
      <c r="A598" t="s">
        <v>3050</v>
      </c>
      <c r="B598">
        <v>1</v>
      </c>
    </row>
    <row r="599" spans="1:2" x14ac:dyDescent="0.3">
      <c r="A599" t="s">
        <v>3051</v>
      </c>
      <c r="B599">
        <v>1</v>
      </c>
    </row>
    <row r="600" spans="1:2" x14ac:dyDescent="0.3">
      <c r="A600" t="s">
        <v>3052</v>
      </c>
      <c r="B600">
        <v>1</v>
      </c>
    </row>
    <row r="601" spans="1:2" x14ac:dyDescent="0.3">
      <c r="A601" t="s">
        <v>2566</v>
      </c>
      <c r="B601">
        <v>1</v>
      </c>
    </row>
    <row r="602" spans="1:2" x14ac:dyDescent="0.3">
      <c r="A602" t="s">
        <v>2210</v>
      </c>
      <c r="B602">
        <v>1</v>
      </c>
    </row>
    <row r="603" spans="1:2" x14ac:dyDescent="0.3">
      <c r="A603" t="s">
        <v>2212</v>
      </c>
      <c r="B603">
        <v>1</v>
      </c>
    </row>
    <row r="604" spans="1:2" x14ac:dyDescent="0.3">
      <c r="A604" t="s">
        <v>3053</v>
      </c>
      <c r="B604">
        <v>1</v>
      </c>
    </row>
    <row r="605" spans="1:2" x14ac:dyDescent="0.3">
      <c r="A605" t="s">
        <v>3054</v>
      </c>
      <c r="B605">
        <v>1</v>
      </c>
    </row>
    <row r="606" spans="1:2" x14ac:dyDescent="0.3">
      <c r="A606" t="s">
        <v>2217</v>
      </c>
      <c r="B606">
        <v>1</v>
      </c>
    </row>
    <row r="607" spans="1:2" x14ac:dyDescent="0.3">
      <c r="A607" t="s">
        <v>2219</v>
      </c>
      <c r="B607">
        <v>1</v>
      </c>
    </row>
    <row r="608" spans="1:2" x14ac:dyDescent="0.3">
      <c r="A608" t="s">
        <v>2221</v>
      </c>
      <c r="B608">
        <v>1</v>
      </c>
    </row>
    <row r="609" spans="1:2" x14ac:dyDescent="0.3">
      <c r="A609" t="s">
        <v>3055</v>
      </c>
      <c r="B609">
        <v>1</v>
      </c>
    </row>
    <row r="610" spans="1:2" x14ac:dyDescent="0.3">
      <c r="A610" t="s">
        <v>2225</v>
      </c>
      <c r="B610">
        <v>1</v>
      </c>
    </row>
    <row r="611" spans="1:2" x14ac:dyDescent="0.3">
      <c r="A611" t="s">
        <v>2567</v>
      </c>
      <c r="B611">
        <v>1</v>
      </c>
    </row>
    <row r="612" spans="1:2" x14ac:dyDescent="0.3">
      <c r="A612" t="s">
        <v>2589</v>
      </c>
      <c r="B612">
        <v>1</v>
      </c>
    </row>
    <row r="613" spans="1:2" x14ac:dyDescent="0.3">
      <c r="A613" t="s">
        <v>2229</v>
      </c>
      <c r="B613">
        <v>1</v>
      </c>
    </row>
    <row r="614" spans="1:2" x14ac:dyDescent="0.3">
      <c r="A614" t="s">
        <v>2230</v>
      </c>
      <c r="B614">
        <v>1</v>
      </c>
    </row>
    <row r="615" spans="1:2" x14ac:dyDescent="0.3">
      <c r="A615" t="s">
        <v>2634</v>
      </c>
      <c r="B615">
        <v>1</v>
      </c>
    </row>
    <row r="616" spans="1:2" x14ac:dyDescent="0.3">
      <c r="A616" t="s">
        <v>2231</v>
      </c>
      <c r="B616">
        <v>1</v>
      </c>
    </row>
    <row r="617" spans="1:2" x14ac:dyDescent="0.3">
      <c r="A617" t="s">
        <v>2233</v>
      </c>
      <c r="B617">
        <v>1</v>
      </c>
    </row>
    <row r="618" spans="1:2" x14ac:dyDescent="0.3">
      <c r="A618" t="s">
        <v>2235</v>
      </c>
      <c r="B618">
        <v>1</v>
      </c>
    </row>
    <row r="619" spans="1:2" x14ac:dyDescent="0.3">
      <c r="A619" t="s">
        <v>2816</v>
      </c>
      <c r="B619">
        <v>1</v>
      </c>
    </row>
    <row r="620" spans="1:2" x14ac:dyDescent="0.3">
      <c r="A620" t="s">
        <v>2243</v>
      </c>
      <c r="B620">
        <v>1</v>
      </c>
    </row>
    <row r="621" spans="1:2" x14ac:dyDescent="0.3">
      <c r="A621" t="s">
        <v>3056</v>
      </c>
      <c r="B621">
        <v>1</v>
      </c>
    </row>
    <row r="622" spans="1:2" x14ac:dyDescent="0.3">
      <c r="A622" t="s">
        <v>2245</v>
      </c>
      <c r="B622">
        <v>1</v>
      </c>
    </row>
    <row r="623" spans="1:2" x14ac:dyDescent="0.3">
      <c r="A623" t="s">
        <v>2247</v>
      </c>
      <c r="B623">
        <v>1</v>
      </c>
    </row>
    <row r="624" spans="1:2" x14ac:dyDescent="0.3">
      <c r="A624" t="s">
        <v>2818</v>
      </c>
      <c r="B624">
        <v>1</v>
      </c>
    </row>
    <row r="625" spans="1:2" x14ac:dyDescent="0.3">
      <c r="A625" t="s">
        <v>2249</v>
      </c>
      <c r="B625">
        <v>1</v>
      </c>
    </row>
    <row r="626" spans="1:2" x14ac:dyDescent="0.3">
      <c r="A626" t="s">
        <v>2253</v>
      </c>
      <c r="B626">
        <v>1</v>
      </c>
    </row>
    <row r="627" spans="1:2" x14ac:dyDescent="0.3">
      <c r="A627" t="s">
        <v>2255</v>
      </c>
      <c r="B627">
        <v>1</v>
      </c>
    </row>
    <row r="628" spans="1:2" x14ac:dyDescent="0.3">
      <c r="A628" t="s">
        <v>2257</v>
      </c>
      <c r="B628">
        <v>1</v>
      </c>
    </row>
    <row r="629" spans="1:2" x14ac:dyDescent="0.3">
      <c r="A629" t="s">
        <v>2263</v>
      </c>
      <c r="B629">
        <v>1</v>
      </c>
    </row>
    <row r="630" spans="1:2" x14ac:dyDescent="0.3">
      <c r="A630" t="s">
        <v>2264</v>
      </c>
      <c r="B630">
        <v>1</v>
      </c>
    </row>
    <row r="631" spans="1:2" x14ac:dyDescent="0.3">
      <c r="A631" t="s">
        <v>2820</v>
      </c>
      <c r="B631">
        <v>1</v>
      </c>
    </row>
    <row r="632" spans="1:2" x14ac:dyDescent="0.3">
      <c r="A632" t="s">
        <v>2266</v>
      </c>
      <c r="B632">
        <v>1</v>
      </c>
    </row>
    <row r="633" spans="1:2" x14ac:dyDescent="0.3">
      <c r="A633" t="s">
        <v>2267</v>
      </c>
      <c r="B633">
        <v>1</v>
      </c>
    </row>
    <row r="634" spans="1:2" x14ac:dyDescent="0.3">
      <c r="A634" t="s">
        <v>2269</v>
      </c>
      <c r="B634">
        <v>1</v>
      </c>
    </row>
    <row r="635" spans="1:2" x14ac:dyDescent="0.3">
      <c r="A635" t="s">
        <v>2272</v>
      </c>
      <c r="B635">
        <v>1</v>
      </c>
    </row>
    <row r="636" spans="1:2" x14ac:dyDescent="0.3">
      <c r="A636" t="s">
        <v>2273</v>
      </c>
      <c r="B636">
        <v>1</v>
      </c>
    </row>
    <row r="637" spans="1:2" x14ac:dyDescent="0.3">
      <c r="A637" t="s">
        <v>2274</v>
      </c>
      <c r="B637">
        <v>1</v>
      </c>
    </row>
    <row r="638" spans="1:2" x14ac:dyDescent="0.3">
      <c r="A638" t="s">
        <v>2712</v>
      </c>
      <c r="B638">
        <v>1</v>
      </c>
    </row>
    <row r="639" spans="1:2" x14ac:dyDescent="0.3">
      <c r="A639" t="s">
        <v>2278</v>
      </c>
      <c r="B639">
        <v>1</v>
      </c>
    </row>
    <row r="640" spans="1:2" x14ac:dyDescent="0.3">
      <c r="A640" t="s">
        <v>2280</v>
      </c>
      <c r="B640">
        <v>1</v>
      </c>
    </row>
    <row r="641" spans="1:2" x14ac:dyDescent="0.3">
      <c r="A641" t="s">
        <v>2284</v>
      </c>
      <c r="B641">
        <v>1</v>
      </c>
    </row>
    <row r="642" spans="1:2" x14ac:dyDescent="0.3">
      <c r="A642" t="s">
        <v>3057</v>
      </c>
      <c r="B642">
        <v>1</v>
      </c>
    </row>
    <row r="643" spans="1:2" x14ac:dyDescent="0.3">
      <c r="A643" t="s">
        <v>3058</v>
      </c>
      <c r="B643">
        <v>1</v>
      </c>
    </row>
    <row r="644" spans="1:2" x14ac:dyDescent="0.3">
      <c r="A644" t="s">
        <v>2823</v>
      </c>
      <c r="B644">
        <v>1</v>
      </c>
    </row>
    <row r="645" spans="1:2" x14ac:dyDescent="0.3">
      <c r="A645" t="s">
        <v>2292</v>
      </c>
      <c r="B645">
        <v>1</v>
      </c>
    </row>
    <row r="646" spans="1:2" x14ac:dyDescent="0.3">
      <c r="A646" t="s">
        <v>2294</v>
      </c>
      <c r="B646">
        <v>1</v>
      </c>
    </row>
    <row r="647" spans="1:2" x14ac:dyDescent="0.3">
      <c r="A647" t="s">
        <v>2296</v>
      </c>
      <c r="B647">
        <v>1</v>
      </c>
    </row>
    <row r="648" spans="1:2" x14ac:dyDescent="0.3">
      <c r="A648" t="s">
        <v>2298</v>
      </c>
      <c r="B648">
        <v>1</v>
      </c>
    </row>
    <row r="649" spans="1:2" x14ac:dyDescent="0.3">
      <c r="A649" t="s">
        <v>2300</v>
      </c>
      <c r="B649">
        <v>1</v>
      </c>
    </row>
    <row r="650" spans="1:2" x14ac:dyDescent="0.3">
      <c r="A650" t="s">
        <v>2302</v>
      </c>
      <c r="B650">
        <v>1</v>
      </c>
    </row>
    <row r="651" spans="1:2" x14ac:dyDescent="0.3">
      <c r="A651" t="s">
        <v>2304</v>
      </c>
      <c r="B651">
        <v>1</v>
      </c>
    </row>
    <row r="652" spans="1:2" x14ac:dyDescent="0.3">
      <c r="A652" t="s">
        <v>2307</v>
      </c>
      <c r="B652">
        <v>1</v>
      </c>
    </row>
    <row r="653" spans="1:2" x14ac:dyDescent="0.3">
      <c r="A653" t="s">
        <v>2309</v>
      </c>
      <c r="B653">
        <v>1</v>
      </c>
    </row>
    <row r="654" spans="1:2" x14ac:dyDescent="0.3">
      <c r="A654" t="s">
        <v>2311</v>
      </c>
      <c r="B654">
        <v>1</v>
      </c>
    </row>
    <row r="655" spans="1:2" x14ac:dyDescent="0.3">
      <c r="A655" t="s">
        <v>2313</v>
      </c>
      <c r="B655">
        <v>1</v>
      </c>
    </row>
    <row r="656" spans="1:2" x14ac:dyDescent="0.3">
      <c r="A656" t="s">
        <v>2316</v>
      </c>
      <c r="B656">
        <v>1</v>
      </c>
    </row>
    <row r="657" spans="1:2" x14ac:dyDescent="0.3">
      <c r="A657" t="s">
        <v>2320</v>
      </c>
      <c r="B657">
        <v>1</v>
      </c>
    </row>
    <row r="658" spans="1:2" x14ac:dyDescent="0.3">
      <c r="A658" t="s">
        <v>2322</v>
      </c>
      <c r="B658">
        <v>1</v>
      </c>
    </row>
    <row r="659" spans="1:2" x14ac:dyDescent="0.3">
      <c r="A659" t="s">
        <v>2327</v>
      </c>
      <c r="B659">
        <v>1</v>
      </c>
    </row>
    <row r="660" spans="1:2" x14ac:dyDescent="0.3">
      <c r="A660" t="s">
        <v>2329</v>
      </c>
      <c r="B660">
        <v>1</v>
      </c>
    </row>
    <row r="661" spans="1:2" x14ac:dyDescent="0.3">
      <c r="A661" t="s">
        <v>2828</v>
      </c>
      <c r="B661">
        <v>1</v>
      </c>
    </row>
    <row r="662" spans="1:2" x14ac:dyDescent="0.3">
      <c r="A662" t="s">
        <v>2331</v>
      </c>
      <c r="B662">
        <v>1</v>
      </c>
    </row>
    <row r="663" spans="1:2" x14ac:dyDescent="0.3">
      <c r="A663" t="s">
        <v>3059</v>
      </c>
      <c r="B663">
        <v>1</v>
      </c>
    </row>
    <row r="664" spans="1:2" x14ac:dyDescent="0.3">
      <c r="A664" t="s">
        <v>2335</v>
      </c>
      <c r="B664">
        <v>1</v>
      </c>
    </row>
    <row r="665" spans="1:2" x14ac:dyDescent="0.3">
      <c r="A665" t="s">
        <v>2337</v>
      </c>
      <c r="B665">
        <v>1</v>
      </c>
    </row>
    <row r="666" spans="1:2" x14ac:dyDescent="0.3">
      <c r="A666" t="s">
        <v>2338</v>
      </c>
      <c r="B666">
        <v>1</v>
      </c>
    </row>
    <row r="667" spans="1:2" x14ac:dyDescent="0.3">
      <c r="A667" t="s">
        <v>2340</v>
      </c>
      <c r="B667">
        <v>1</v>
      </c>
    </row>
    <row r="668" spans="1:2" x14ac:dyDescent="0.3">
      <c r="A668" t="s">
        <v>3060</v>
      </c>
      <c r="B668">
        <v>1</v>
      </c>
    </row>
    <row r="669" spans="1:2" x14ac:dyDescent="0.3">
      <c r="A669" t="s">
        <v>2344</v>
      </c>
      <c r="B669">
        <v>1</v>
      </c>
    </row>
    <row r="670" spans="1:2" x14ac:dyDescent="0.3">
      <c r="A670" t="s">
        <v>2715</v>
      </c>
      <c r="B670">
        <v>1</v>
      </c>
    </row>
    <row r="671" spans="1:2" x14ac:dyDescent="0.3">
      <c r="A671" t="s">
        <v>2348</v>
      </c>
      <c r="B671">
        <v>1</v>
      </c>
    </row>
    <row r="672" spans="1:2" x14ac:dyDescent="0.3">
      <c r="A672" t="s">
        <v>2350</v>
      </c>
      <c r="B672">
        <v>1</v>
      </c>
    </row>
    <row r="673" spans="1:2" x14ac:dyDescent="0.3">
      <c r="A673" t="s">
        <v>2352</v>
      </c>
      <c r="B673">
        <v>1</v>
      </c>
    </row>
    <row r="674" spans="1:2" x14ac:dyDescent="0.3">
      <c r="A674" t="s">
        <v>2357</v>
      </c>
      <c r="B674">
        <v>1</v>
      </c>
    </row>
    <row r="675" spans="1:2" x14ac:dyDescent="0.3">
      <c r="A675" t="s">
        <v>2358</v>
      </c>
      <c r="B675">
        <v>1</v>
      </c>
    </row>
    <row r="676" spans="1:2" x14ac:dyDescent="0.3">
      <c r="A676" t="s">
        <v>2361</v>
      </c>
      <c r="B676">
        <v>1</v>
      </c>
    </row>
    <row r="677" spans="1:2" x14ac:dyDescent="0.3">
      <c r="A677" t="s">
        <v>2368</v>
      </c>
      <c r="B677">
        <v>1</v>
      </c>
    </row>
    <row r="678" spans="1:2" x14ac:dyDescent="0.3">
      <c r="A678" t="s">
        <v>2370</v>
      </c>
      <c r="B678">
        <v>1</v>
      </c>
    </row>
    <row r="679" spans="1:2" x14ac:dyDescent="0.3">
      <c r="A679" t="s">
        <v>2642</v>
      </c>
      <c r="B679">
        <v>1</v>
      </c>
    </row>
    <row r="680" spans="1:2" x14ac:dyDescent="0.3">
      <c r="A680" t="s">
        <v>2829</v>
      </c>
      <c r="B680">
        <v>1</v>
      </c>
    </row>
    <row r="681" spans="1:2" x14ac:dyDescent="0.3">
      <c r="A681" t="s">
        <v>2978</v>
      </c>
      <c r="B681">
        <v>1</v>
      </c>
    </row>
    <row r="682" spans="1:2" x14ac:dyDescent="0.3">
      <c r="A682" t="s">
        <v>2830</v>
      </c>
      <c r="B682">
        <v>1</v>
      </c>
    </row>
    <row r="683" spans="1:2" x14ac:dyDescent="0.3">
      <c r="A683" t="s">
        <v>2832</v>
      </c>
      <c r="B683">
        <v>1</v>
      </c>
    </row>
    <row r="684" spans="1:2" x14ac:dyDescent="0.3">
      <c r="A684" t="s">
        <v>3061</v>
      </c>
      <c r="B684">
        <v>1</v>
      </c>
    </row>
    <row r="685" spans="1:2" x14ac:dyDescent="0.3">
      <c r="A685" t="s">
        <v>2377</v>
      </c>
      <c r="B685">
        <v>1</v>
      </c>
    </row>
    <row r="686" spans="1:2" x14ac:dyDescent="0.3">
      <c r="A686" t="s">
        <v>2833</v>
      </c>
      <c r="B686">
        <v>1</v>
      </c>
    </row>
    <row r="687" spans="1:2" x14ac:dyDescent="0.3">
      <c r="A687" t="s">
        <v>2380</v>
      </c>
      <c r="B687">
        <v>1</v>
      </c>
    </row>
    <row r="688" spans="1:2" x14ac:dyDescent="0.3">
      <c r="A688" t="s">
        <v>2382</v>
      </c>
      <c r="B688">
        <v>1</v>
      </c>
    </row>
    <row r="689" spans="1:2" x14ac:dyDescent="0.3">
      <c r="A689" t="s">
        <v>3062</v>
      </c>
      <c r="B689">
        <v>1</v>
      </c>
    </row>
    <row r="690" spans="1:2" x14ac:dyDescent="0.3">
      <c r="A690" t="s">
        <v>2384</v>
      </c>
      <c r="B690">
        <v>1</v>
      </c>
    </row>
    <row r="691" spans="1:2" x14ac:dyDescent="0.3">
      <c r="A691" t="s">
        <v>2385</v>
      </c>
      <c r="B691">
        <v>1</v>
      </c>
    </row>
    <row r="692" spans="1:2" x14ac:dyDescent="0.3">
      <c r="A692" t="s">
        <v>2835</v>
      </c>
      <c r="B692">
        <v>1</v>
      </c>
    </row>
    <row r="693" spans="1:2" x14ac:dyDescent="0.3">
      <c r="A693" t="s">
        <v>3063</v>
      </c>
      <c r="B693">
        <v>1</v>
      </c>
    </row>
    <row r="694" spans="1:2" x14ac:dyDescent="0.3">
      <c r="A694" t="s">
        <v>2391</v>
      </c>
      <c r="B694">
        <v>1</v>
      </c>
    </row>
    <row r="695" spans="1:2" x14ac:dyDescent="0.3">
      <c r="A695" t="s">
        <v>2394</v>
      </c>
      <c r="B695">
        <v>1</v>
      </c>
    </row>
    <row r="696" spans="1:2" x14ac:dyDescent="0.3">
      <c r="A696" t="s">
        <v>2396</v>
      </c>
      <c r="B696">
        <v>1</v>
      </c>
    </row>
    <row r="697" spans="1:2" x14ac:dyDescent="0.3">
      <c r="A697" t="s">
        <v>2398</v>
      </c>
      <c r="B697">
        <v>1</v>
      </c>
    </row>
    <row r="698" spans="1:2" x14ac:dyDescent="0.3">
      <c r="A698" t="s">
        <v>2839</v>
      </c>
      <c r="B698">
        <v>1</v>
      </c>
    </row>
    <row r="699" spans="1:2" x14ac:dyDescent="0.3">
      <c r="A699" t="s">
        <v>2644</v>
      </c>
      <c r="B699">
        <v>1</v>
      </c>
    </row>
    <row r="700" spans="1:2" x14ac:dyDescent="0.3">
      <c r="A700" t="s">
        <v>2840</v>
      </c>
      <c r="B700">
        <v>1</v>
      </c>
    </row>
    <row r="701" spans="1:2" x14ac:dyDescent="0.3">
      <c r="A701" t="s">
        <v>2406</v>
      </c>
      <c r="B701">
        <v>1</v>
      </c>
    </row>
    <row r="702" spans="1:2" x14ac:dyDescent="0.3">
      <c r="A702" t="s">
        <v>2408</v>
      </c>
      <c r="B702">
        <v>1</v>
      </c>
    </row>
    <row r="703" spans="1:2" x14ac:dyDescent="0.3">
      <c r="A703" t="s">
        <v>2411</v>
      </c>
      <c r="B703">
        <v>1</v>
      </c>
    </row>
    <row r="704" spans="1:2" x14ac:dyDescent="0.3">
      <c r="A704" t="s">
        <v>2413</v>
      </c>
      <c r="B704">
        <v>1</v>
      </c>
    </row>
    <row r="705" spans="1:2" x14ac:dyDescent="0.3">
      <c r="A705" t="s">
        <v>2416</v>
      </c>
      <c r="B705">
        <v>1</v>
      </c>
    </row>
    <row r="706" spans="1:2" x14ac:dyDescent="0.3">
      <c r="A706" t="s">
        <v>3064</v>
      </c>
      <c r="B706">
        <v>1</v>
      </c>
    </row>
    <row r="707" spans="1:2" x14ac:dyDescent="0.3">
      <c r="A707" t="s">
        <v>2420</v>
      </c>
      <c r="B707">
        <v>1</v>
      </c>
    </row>
    <row r="708" spans="1:2" x14ac:dyDescent="0.3">
      <c r="A708" t="s">
        <v>2843</v>
      </c>
      <c r="B708">
        <v>1</v>
      </c>
    </row>
    <row r="709" spans="1:2" x14ac:dyDescent="0.3">
      <c r="A709" t="s">
        <v>2424</v>
      </c>
      <c r="B709">
        <v>1</v>
      </c>
    </row>
    <row r="710" spans="1:2" x14ac:dyDescent="0.3">
      <c r="A710" t="s">
        <v>2427</v>
      </c>
      <c r="B710">
        <v>1</v>
      </c>
    </row>
    <row r="711" spans="1:2" x14ac:dyDescent="0.3">
      <c r="A711" t="s">
        <v>2844</v>
      </c>
      <c r="B711">
        <v>1</v>
      </c>
    </row>
    <row r="712" spans="1:2" x14ac:dyDescent="0.3">
      <c r="A712" t="s">
        <v>3065</v>
      </c>
      <c r="B712">
        <v>1</v>
      </c>
    </row>
    <row r="713" spans="1:2" x14ac:dyDescent="0.3">
      <c r="A713" t="s">
        <v>2432</v>
      </c>
      <c r="B713">
        <v>1</v>
      </c>
    </row>
    <row r="714" spans="1:2" x14ac:dyDescent="0.3">
      <c r="A714" t="s">
        <v>2434</v>
      </c>
      <c r="B714">
        <v>1</v>
      </c>
    </row>
    <row r="715" spans="1:2" x14ac:dyDescent="0.3">
      <c r="A715" t="s">
        <v>2439</v>
      </c>
      <c r="B715">
        <v>1</v>
      </c>
    </row>
    <row r="716" spans="1:2" x14ac:dyDescent="0.3">
      <c r="A716" t="s">
        <v>2441</v>
      </c>
      <c r="B716">
        <v>1</v>
      </c>
    </row>
    <row r="717" spans="1:2" x14ac:dyDescent="0.3">
      <c r="A717" t="s">
        <v>3066</v>
      </c>
      <c r="B717">
        <v>1</v>
      </c>
    </row>
    <row r="718" spans="1:2" x14ac:dyDescent="0.3">
      <c r="A718" t="s">
        <v>2443</v>
      </c>
      <c r="B718">
        <v>1</v>
      </c>
    </row>
    <row r="719" spans="1:2" x14ac:dyDescent="0.3">
      <c r="A719" t="s">
        <v>2445</v>
      </c>
      <c r="B719">
        <v>1</v>
      </c>
    </row>
    <row r="720" spans="1:2" x14ac:dyDescent="0.3">
      <c r="A720" t="s">
        <v>2447</v>
      </c>
      <c r="B720">
        <v>1</v>
      </c>
    </row>
    <row r="721" spans="1:2" x14ac:dyDescent="0.3">
      <c r="A721" t="s">
        <v>2449</v>
      </c>
      <c r="B721">
        <v>1</v>
      </c>
    </row>
    <row r="722" spans="1:2" x14ac:dyDescent="0.3">
      <c r="A722" t="s">
        <v>2451</v>
      </c>
      <c r="B722">
        <v>1</v>
      </c>
    </row>
    <row r="723" spans="1:2" x14ac:dyDescent="0.3">
      <c r="A723" t="s">
        <v>2454</v>
      </c>
      <c r="B723">
        <v>1</v>
      </c>
    </row>
    <row r="724" spans="1:2" x14ac:dyDescent="0.3">
      <c r="A724" t="s">
        <v>2456</v>
      </c>
      <c r="B724">
        <v>1</v>
      </c>
    </row>
    <row r="725" spans="1:2" x14ac:dyDescent="0.3">
      <c r="A725" t="s">
        <v>2458</v>
      </c>
      <c r="B725">
        <v>1</v>
      </c>
    </row>
    <row r="726" spans="1:2" x14ac:dyDescent="0.3">
      <c r="A726" t="s">
        <v>2460</v>
      </c>
      <c r="B726">
        <v>1</v>
      </c>
    </row>
    <row r="727" spans="1:2" x14ac:dyDescent="0.3">
      <c r="A727" t="s">
        <v>2462</v>
      </c>
      <c r="B727">
        <v>1</v>
      </c>
    </row>
    <row r="728" spans="1:2" x14ac:dyDescent="0.3">
      <c r="A728" t="s">
        <v>2464</v>
      </c>
      <c r="B728">
        <v>1</v>
      </c>
    </row>
    <row r="729" spans="1:2" x14ac:dyDescent="0.3">
      <c r="A729" t="s">
        <v>2468</v>
      </c>
      <c r="B729">
        <v>1</v>
      </c>
    </row>
    <row r="730" spans="1:2" x14ac:dyDescent="0.3">
      <c r="A730" t="s">
        <v>2469</v>
      </c>
      <c r="B730">
        <v>1</v>
      </c>
    </row>
    <row r="731" spans="1:2" x14ac:dyDescent="0.3">
      <c r="A731" t="s">
        <v>3067</v>
      </c>
      <c r="B731">
        <v>1</v>
      </c>
    </row>
    <row r="732" spans="1:2" x14ac:dyDescent="0.3">
      <c r="A732" t="s">
        <v>2475</v>
      </c>
      <c r="B732">
        <v>1</v>
      </c>
    </row>
    <row r="733" spans="1:2" x14ac:dyDescent="0.3">
      <c r="A733" t="s">
        <v>2847</v>
      </c>
      <c r="B733">
        <v>1</v>
      </c>
    </row>
    <row r="734" spans="1:2" x14ac:dyDescent="0.3">
      <c r="A734" t="s">
        <v>2479</v>
      </c>
      <c r="B734">
        <v>1</v>
      </c>
    </row>
    <row r="735" spans="1:2" x14ac:dyDescent="0.3">
      <c r="A735" t="s">
        <v>2481</v>
      </c>
      <c r="B735">
        <v>1</v>
      </c>
    </row>
    <row r="736" spans="1:2" x14ac:dyDescent="0.3">
      <c r="A736" t="s">
        <v>2483</v>
      </c>
      <c r="B736">
        <v>1</v>
      </c>
    </row>
    <row r="737" spans="1:2" x14ac:dyDescent="0.3">
      <c r="A737" t="s">
        <v>2486</v>
      </c>
      <c r="B737">
        <v>1</v>
      </c>
    </row>
    <row r="738" spans="1:2" x14ac:dyDescent="0.3">
      <c r="A738" t="s">
        <v>2488</v>
      </c>
      <c r="B738">
        <v>1</v>
      </c>
    </row>
    <row r="739" spans="1:2" x14ac:dyDescent="0.3">
      <c r="A739" t="s">
        <v>2491</v>
      </c>
      <c r="B739">
        <v>1</v>
      </c>
    </row>
    <row r="740" spans="1:2" x14ac:dyDescent="0.3">
      <c r="A740" t="s">
        <v>2493</v>
      </c>
      <c r="B740">
        <v>1</v>
      </c>
    </row>
    <row r="741" spans="1:2" x14ac:dyDescent="0.3">
      <c r="A741" t="s">
        <v>2849</v>
      </c>
      <c r="B741">
        <v>1</v>
      </c>
    </row>
    <row r="742" spans="1:2" x14ac:dyDescent="0.3">
      <c r="A742" t="s">
        <v>2498</v>
      </c>
      <c r="B742">
        <v>1</v>
      </c>
    </row>
    <row r="743" spans="1:2" x14ac:dyDescent="0.3">
      <c r="A743" t="s">
        <v>3068</v>
      </c>
      <c r="B743">
        <v>1</v>
      </c>
    </row>
    <row r="744" spans="1:2" x14ac:dyDescent="0.3">
      <c r="A744" t="s">
        <v>2501</v>
      </c>
      <c r="B744">
        <v>1</v>
      </c>
    </row>
    <row r="745" spans="1:2" x14ac:dyDescent="0.3">
      <c r="A745" t="s">
        <v>2503</v>
      </c>
      <c r="B745">
        <v>1</v>
      </c>
    </row>
    <row r="746" spans="1:2" x14ac:dyDescent="0.3">
      <c r="A746" t="s">
        <v>3069</v>
      </c>
      <c r="B746">
        <v>1</v>
      </c>
    </row>
    <row r="747" spans="1:2" x14ac:dyDescent="0.3">
      <c r="A747" t="s">
        <v>2504</v>
      </c>
      <c r="B747">
        <v>1</v>
      </c>
    </row>
    <row r="748" spans="1:2" x14ac:dyDescent="0.3">
      <c r="A748" t="s">
        <v>2505</v>
      </c>
      <c r="B748">
        <v>1</v>
      </c>
    </row>
    <row r="749" spans="1:2" x14ac:dyDescent="0.3">
      <c r="A749" t="s">
        <v>2507</v>
      </c>
      <c r="B749">
        <v>1</v>
      </c>
    </row>
    <row r="750" spans="1:2" x14ac:dyDescent="0.3">
      <c r="A750" t="s">
        <v>2508</v>
      </c>
      <c r="B750">
        <v>1</v>
      </c>
    </row>
    <row r="751" spans="1:2" x14ac:dyDescent="0.3">
      <c r="A751" t="s">
        <v>2509</v>
      </c>
      <c r="B751">
        <v>1</v>
      </c>
    </row>
    <row r="752" spans="1:2" x14ac:dyDescent="0.3">
      <c r="A752" t="s">
        <v>2511</v>
      </c>
      <c r="B752">
        <v>1</v>
      </c>
    </row>
    <row r="753" spans="1:2" x14ac:dyDescent="0.3">
      <c r="A753" t="s">
        <v>2513</v>
      </c>
      <c r="B753">
        <v>1</v>
      </c>
    </row>
    <row r="754" spans="1:2" x14ac:dyDescent="0.3">
      <c r="A754" t="s">
        <v>2520</v>
      </c>
      <c r="B754">
        <v>1</v>
      </c>
    </row>
    <row r="755" spans="1:2" x14ac:dyDescent="0.3">
      <c r="A755" t="s">
        <v>3070</v>
      </c>
      <c r="B755">
        <v>1</v>
      </c>
    </row>
    <row r="756" spans="1:2" x14ac:dyDescent="0.3">
      <c r="A756" t="s">
        <v>2525</v>
      </c>
      <c r="B756">
        <v>1</v>
      </c>
    </row>
    <row r="757" spans="1:2" x14ac:dyDescent="0.3">
      <c r="A757" t="s">
        <v>2528</v>
      </c>
      <c r="B757">
        <v>1</v>
      </c>
    </row>
    <row r="758" spans="1:2" x14ac:dyDescent="0.3">
      <c r="A758" t="s">
        <v>2531</v>
      </c>
      <c r="B758">
        <v>1</v>
      </c>
    </row>
    <row r="759" spans="1:2" x14ac:dyDescent="0.3">
      <c r="A759" t="s">
        <v>2533</v>
      </c>
      <c r="B759">
        <v>1</v>
      </c>
    </row>
    <row r="760" spans="1:2" x14ac:dyDescent="0.3">
      <c r="A760" t="s">
        <v>2535</v>
      </c>
      <c r="B760">
        <v>1</v>
      </c>
    </row>
    <row r="761" spans="1:2" x14ac:dyDescent="0.3">
      <c r="A761" t="s">
        <v>3071</v>
      </c>
      <c r="B761">
        <v>1</v>
      </c>
    </row>
    <row r="762" spans="1:2" x14ac:dyDescent="0.3">
      <c r="A762" t="s">
        <v>2540</v>
      </c>
      <c r="B762">
        <v>1</v>
      </c>
    </row>
    <row r="763" spans="1:2" x14ac:dyDescent="0.3">
      <c r="A763" t="s">
        <v>2544</v>
      </c>
      <c r="B763">
        <v>1</v>
      </c>
    </row>
    <row r="764" spans="1:2" x14ac:dyDescent="0.3">
      <c r="A764" t="s">
        <v>2545</v>
      </c>
      <c r="B764">
        <v>1</v>
      </c>
    </row>
    <row r="765" spans="1:2" x14ac:dyDescent="0.3">
      <c r="A765" t="s">
        <v>2851</v>
      </c>
      <c r="B76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B744"/>
  <sheetViews>
    <sheetView workbookViewId="0">
      <selection activeCell="A6" sqref="A6:B7"/>
    </sheetView>
  </sheetViews>
  <sheetFormatPr defaultRowHeight="14.4" x14ac:dyDescent="0.3"/>
  <sheetData>
    <row r="1" spans="1:2" x14ac:dyDescent="0.3">
      <c r="A1" t="s">
        <v>972</v>
      </c>
      <c r="B1" t="s">
        <v>973</v>
      </c>
    </row>
    <row r="2" spans="1:2" x14ac:dyDescent="0.3">
      <c r="A2" t="s">
        <v>974</v>
      </c>
      <c r="B2">
        <v>58500</v>
      </c>
    </row>
    <row r="3" spans="1:2" x14ac:dyDescent="0.3">
      <c r="A3" t="s">
        <v>176</v>
      </c>
      <c r="B3">
        <v>2</v>
      </c>
    </row>
    <row r="4" spans="1:2" x14ac:dyDescent="0.3">
      <c r="A4" t="s">
        <v>934</v>
      </c>
      <c r="B4">
        <v>9</v>
      </c>
    </row>
    <row r="5" spans="1:2" x14ac:dyDescent="0.3">
      <c r="A5" t="s">
        <v>944</v>
      </c>
      <c r="B5">
        <v>57</v>
      </c>
    </row>
    <row r="6" spans="1:2" x14ac:dyDescent="0.3">
      <c r="A6" t="s">
        <v>2552</v>
      </c>
      <c r="B6">
        <v>3340</v>
      </c>
    </row>
    <row r="7" spans="1:2" x14ac:dyDescent="0.3">
      <c r="A7" t="s">
        <v>2550</v>
      </c>
      <c r="B7">
        <v>24988</v>
      </c>
    </row>
    <row r="8" spans="1:2" x14ac:dyDescent="0.3">
      <c r="A8" t="s">
        <v>2551</v>
      </c>
      <c r="B8">
        <v>112</v>
      </c>
    </row>
    <row r="9" spans="1:2" x14ac:dyDescent="0.3">
      <c r="A9" t="s">
        <v>945</v>
      </c>
      <c r="B9">
        <v>6</v>
      </c>
    </row>
    <row r="10" spans="1:2" x14ac:dyDescent="0.3">
      <c r="A10" t="s">
        <v>946</v>
      </c>
      <c r="B10">
        <v>1</v>
      </c>
    </row>
    <row r="11" spans="1:2" x14ac:dyDescent="0.3">
      <c r="A11" t="s">
        <v>950</v>
      </c>
      <c r="B11">
        <v>3</v>
      </c>
    </row>
    <row r="12" spans="1:2" x14ac:dyDescent="0.3">
      <c r="A12" t="s">
        <v>976</v>
      </c>
      <c r="B12">
        <v>1</v>
      </c>
    </row>
    <row r="13" spans="1:2" x14ac:dyDescent="0.3">
      <c r="A13" t="s">
        <v>978</v>
      </c>
      <c r="B13">
        <v>1</v>
      </c>
    </row>
    <row r="14" spans="1:2" x14ac:dyDescent="0.3">
      <c r="A14" t="s">
        <v>979</v>
      </c>
      <c r="B14">
        <v>1</v>
      </c>
    </row>
    <row r="15" spans="1:2" x14ac:dyDescent="0.3">
      <c r="A15" t="s">
        <v>981</v>
      </c>
      <c r="B15">
        <v>1</v>
      </c>
    </row>
    <row r="16" spans="1:2" x14ac:dyDescent="0.3">
      <c r="A16" t="s">
        <v>982</v>
      </c>
      <c r="B16">
        <v>1</v>
      </c>
    </row>
    <row r="17" spans="1:2" x14ac:dyDescent="0.3">
      <c r="A17" t="s">
        <v>984</v>
      </c>
      <c r="B17">
        <v>1</v>
      </c>
    </row>
    <row r="18" spans="1:2" x14ac:dyDescent="0.3">
      <c r="A18" t="s">
        <v>986</v>
      </c>
      <c r="B18">
        <v>1</v>
      </c>
    </row>
    <row r="19" spans="1:2" x14ac:dyDescent="0.3">
      <c r="A19" t="s">
        <v>988</v>
      </c>
      <c r="B19">
        <v>1</v>
      </c>
    </row>
    <row r="20" spans="1:2" x14ac:dyDescent="0.3">
      <c r="A20" t="s">
        <v>989</v>
      </c>
      <c r="B20">
        <v>1</v>
      </c>
    </row>
    <row r="21" spans="1:2" x14ac:dyDescent="0.3">
      <c r="A21" t="s">
        <v>992</v>
      </c>
      <c r="B21">
        <v>1</v>
      </c>
    </row>
    <row r="22" spans="1:2" x14ac:dyDescent="0.3">
      <c r="A22" t="s">
        <v>993</v>
      </c>
      <c r="B22">
        <v>1</v>
      </c>
    </row>
    <row r="23" spans="1:2" x14ac:dyDescent="0.3">
      <c r="A23" t="s">
        <v>995</v>
      </c>
      <c r="B23">
        <v>1</v>
      </c>
    </row>
    <row r="24" spans="1:2" x14ac:dyDescent="0.3">
      <c r="A24" t="s">
        <v>998</v>
      </c>
      <c r="B24">
        <v>1</v>
      </c>
    </row>
    <row r="25" spans="1:2" x14ac:dyDescent="0.3">
      <c r="A25" t="s">
        <v>2852</v>
      </c>
      <c r="B25">
        <v>1</v>
      </c>
    </row>
    <row r="26" spans="1:2" x14ac:dyDescent="0.3">
      <c r="A26" t="s">
        <v>1000</v>
      </c>
      <c r="B26">
        <v>1</v>
      </c>
    </row>
    <row r="27" spans="1:2" x14ac:dyDescent="0.3">
      <c r="A27" t="s">
        <v>2853</v>
      </c>
      <c r="B27">
        <v>1</v>
      </c>
    </row>
    <row r="28" spans="1:2" x14ac:dyDescent="0.3">
      <c r="A28" t="s">
        <v>1002</v>
      </c>
      <c r="B28">
        <v>1</v>
      </c>
    </row>
    <row r="29" spans="1:2" x14ac:dyDescent="0.3">
      <c r="A29" t="s">
        <v>1004</v>
      </c>
      <c r="B29">
        <v>1</v>
      </c>
    </row>
    <row r="30" spans="1:2" x14ac:dyDescent="0.3">
      <c r="A30" t="s">
        <v>1006</v>
      </c>
      <c r="B30">
        <v>1</v>
      </c>
    </row>
    <row r="31" spans="1:2" x14ac:dyDescent="0.3">
      <c r="A31" t="s">
        <v>2854</v>
      </c>
      <c r="B31">
        <v>1</v>
      </c>
    </row>
    <row r="32" spans="1:2" x14ac:dyDescent="0.3">
      <c r="A32" t="s">
        <v>2855</v>
      </c>
      <c r="B32">
        <v>1</v>
      </c>
    </row>
    <row r="33" spans="1:2" x14ac:dyDescent="0.3">
      <c r="A33" t="s">
        <v>1010</v>
      </c>
      <c r="B33">
        <v>1</v>
      </c>
    </row>
    <row r="34" spans="1:2" x14ac:dyDescent="0.3">
      <c r="A34" t="s">
        <v>2856</v>
      </c>
      <c r="B34">
        <v>1</v>
      </c>
    </row>
    <row r="35" spans="1:2" x14ac:dyDescent="0.3">
      <c r="A35" t="s">
        <v>2857</v>
      </c>
      <c r="B35">
        <v>1</v>
      </c>
    </row>
    <row r="36" spans="1:2" x14ac:dyDescent="0.3">
      <c r="A36" t="s">
        <v>1013</v>
      </c>
      <c r="B36">
        <v>1</v>
      </c>
    </row>
    <row r="37" spans="1:2" x14ac:dyDescent="0.3">
      <c r="A37" t="s">
        <v>1015</v>
      </c>
      <c r="B37">
        <v>1</v>
      </c>
    </row>
    <row r="38" spans="1:2" x14ac:dyDescent="0.3">
      <c r="A38" t="s">
        <v>1017</v>
      </c>
      <c r="B38">
        <v>1</v>
      </c>
    </row>
    <row r="39" spans="1:2" x14ac:dyDescent="0.3">
      <c r="A39" t="s">
        <v>1018</v>
      </c>
      <c r="B39">
        <v>1</v>
      </c>
    </row>
    <row r="40" spans="1:2" x14ac:dyDescent="0.3">
      <c r="A40" t="s">
        <v>1020</v>
      </c>
      <c r="B40">
        <v>1</v>
      </c>
    </row>
    <row r="41" spans="1:2" x14ac:dyDescent="0.3">
      <c r="A41" t="s">
        <v>2858</v>
      </c>
      <c r="B41">
        <v>1</v>
      </c>
    </row>
    <row r="42" spans="1:2" x14ac:dyDescent="0.3">
      <c r="A42" t="s">
        <v>1022</v>
      </c>
      <c r="B42">
        <v>1</v>
      </c>
    </row>
    <row r="43" spans="1:2" x14ac:dyDescent="0.3">
      <c r="A43" t="s">
        <v>1023</v>
      </c>
      <c r="B43">
        <v>1</v>
      </c>
    </row>
    <row r="44" spans="1:2" x14ac:dyDescent="0.3">
      <c r="A44" t="s">
        <v>1025</v>
      </c>
      <c r="B44">
        <v>1</v>
      </c>
    </row>
    <row r="45" spans="1:2" x14ac:dyDescent="0.3">
      <c r="A45" t="s">
        <v>1028</v>
      </c>
      <c r="B45">
        <v>1</v>
      </c>
    </row>
    <row r="46" spans="1:2" x14ac:dyDescent="0.3">
      <c r="A46" t="s">
        <v>1030</v>
      </c>
      <c r="B46">
        <v>1</v>
      </c>
    </row>
    <row r="47" spans="1:2" x14ac:dyDescent="0.3">
      <c r="A47" t="s">
        <v>1031</v>
      </c>
      <c r="B47">
        <v>1</v>
      </c>
    </row>
    <row r="48" spans="1:2" x14ac:dyDescent="0.3">
      <c r="A48" t="s">
        <v>1033</v>
      </c>
      <c r="B48">
        <v>1</v>
      </c>
    </row>
    <row r="49" spans="1:2" x14ac:dyDescent="0.3">
      <c r="A49" t="s">
        <v>1035</v>
      </c>
      <c r="B49">
        <v>1</v>
      </c>
    </row>
    <row r="50" spans="1:2" x14ac:dyDescent="0.3">
      <c r="A50" t="s">
        <v>1036</v>
      </c>
      <c r="B50">
        <v>1</v>
      </c>
    </row>
    <row r="51" spans="1:2" x14ac:dyDescent="0.3">
      <c r="A51" t="s">
        <v>1038</v>
      </c>
      <c r="B51">
        <v>1</v>
      </c>
    </row>
    <row r="52" spans="1:2" x14ac:dyDescent="0.3">
      <c r="A52" t="s">
        <v>2859</v>
      </c>
      <c r="B52">
        <v>1</v>
      </c>
    </row>
    <row r="53" spans="1:2" x14ac:dyDescent="0.3">
      <c r="A53" t="s">
        <v>1041</v>
      </c>
      <c r="B53">
        <v>1</v>
      </c>
    </row>
    <row r="54" spans="1:2" x14ac:dyDescent="0.3">
      <c r="A54" t="s">
        <v>2860</v>
      </c>
      <c r="B54">
        <v>1</v>
      </c>
    </row>
    <row r="55" spans="1:2" x14ac:dyDescent="0.3">
      <c r="A55" t="s">
        <v>2721</v>
      </c>
      <c r="B55">
        <v>1</v>
      </c>
    </row>
    <row r="56" spans="1:2" x14ac:dyDescent="0.3">
      <c r="A56" t="s">
        <v>2861</v>
      </c>
      <c r="B56">
        <v>1</v>
      </c>
    </row>
    <row r="57" spans="1:2" x14ac:dyDescent="0.3">
      <c r="A57" t="s">
        <v>1046</v>
      </c>
      <c r="B57">
        <v>1</v>
      </c>
    </row>
    <row r="58" spans="1:2" x14ac:dyDescent="0.3">
      <c r="A58" t="s">
        <v>1047</v>
      </c>
      <c r="B58">
        <v>1</v>
      </c>
    </row>
    <row r="59" spans="1:2" x14ac:dyDescent="0.3">
      <c r="A59" t="s">
        <v>1050</v>
      </c>
      <c r="B59">
        <v>1</v>
      </c>
    </row>
    <row r="60" spans="1:2" x14ac:dyDescent="0.3">
      <c r="A60" t="s">
        <v>1052</v>
      </c>
      <c r="B60">
        <v>1</v>
      </c>
    </row>
    <row r="61" spans="1:2" x14ac:dyDescent="0.3">
      <c r="A61" t="s">
        <v>1053</v>
      </c>
      <c r="B61">
        <v>1</v>
      </c>
    </row>
    <row r="62" spans="1:2" x14ac:dyDescent="0.3">
      <c r="A62" t="s">
        <v>1054</v>
      </c>
      <c r="B62">
        <v>1</v>
      </c>
    </row>
    <row r="63" spans="1:2" x14ac:dyDescent="0.3">
      <c r="A63" t="s">
        <v>1056</v>
      </c>
      <c r="B63">
        <v>1</v>
      </c>
    </row>
    <row r="64" spans="1:2" x14ac:dyDescent="0.3">
      <c r="A64" t="s">
        <v>1057</v>
      </c>
      <c r="B64">
        <v>1</v>
      </c>
    </row>
    <row r="65" spans="1:2" x14ac:dyDescent="0.3">
      <c r="A65" t="s">
        <v>1058</v>
      </c>
      <c r="B65">
        <v>1</v>
      </c>
    </row>
    <row r="66" spans="1:2" x14ac:dyDescent="0.3">
      <c r="A66" t="s">
        <v>2862</v>
      </c>
      <c r="B66">
        <v>1</v>
      </c>
    </row>
    <row r="67" spans="1:2" x14ac:dyDescent="0.3">
      <c r="A67" t="s">
        <v>1060</v>
      </c>
      <c r="B67">
        <v>1</v>
      </c>
    </row>
    <row r="68" spans="1:2" x14ac:dyDescent="0.3">
      <c r="A68" t="s">
        <v>1061</v>
      </c>
      <c r="B68">
        <v>1</v>
      </c>
    </row>
    <row r="69" spans="1:2" x14ac:dyDescent="0.3">
      <c r="A69" t="s">
        <v>1062</v>
      </c>
      <c r="B69">
        <v>1</v>
      </c>
    </row>
    <row r="70" spans="1:2" x14ac:dyDescent="0.3">
      <c r="A70" t="s">
        <v>1065</v>
      </c>
      <c r="B70">
        <v>1</v>
      </c>
    </row>
    <row r="71" spans="1:2" x14ac:dyDescent="0.3">
      <c r="A71" t="s">
        <v>1066</v>
      </c>
      <c r="B71">
        <v>1</v>
      </c>
    </row>
    <row r="72" spans="1:2" x14ac:dyDescent="0.3">
      <c r="A72" t="s">
        <v>1068</v>
      </c>
      <c r="B72">
        <v>1</v>
      </c>
    </row>
    <row r="73" spans="1:2" x14ac:dyDescent="0.3">
      <c r="A73" t="s">
        <v>1070</v>
      </c>
      <c r="B73">
        <v>1</v>
      </c>
    </row>
    <row r="74" spans="1:2" x14ac:dyDescent="0.3">
      <c r="A74" t="s">
        <v>1072</v>
      </c>
      <c r="B74">
        <v>1</v>
      </c>
    </row>
    <row r="75" spans="1:2" x14ac:dyDescent="0.3">
      <c r="A75" t="s">
        <v>1074</v>
      </c>
      <c r="B75">
        <v>1</v>
      </c>
    </row>
    <row r="76" spans="1:2" x14ac:dyDescent="0.3">
      <c r="A76" t="s">
        <v>1076</v>
      </c>
      <c r="B76">
        <v>1</v>
      </c>
    </row>
    <row r="77" spans="1:2" x14ac:dyDescent="0.3">
      <c r="A77" t="s">
        <v>1078</v>
      </c>
      <c r="B77">
        <v>1</v>
      </c>
    </row>
    <row r="78" spans="1:2" x14ac:dyDescent="0.3">
      <c r="A78" t="s">
        <v>1080</v>
      </c>
      <c r="B78">
        <v>1</v>
      </c>
    </row>
    <row r="79" spans="1:2" x14ac:dyDescent="0.3">
      <c r="A79" t="s">
        <v>1082</v>
      </c>
      <c r="B79">
        <v>1</v>
      </c>
    </row>
    <row r="80" spans="1:2" x14ac:dyDescent="0.3">
      <c r="A80" t="s">
        <v>1084</v>
      </c>
      <c r="B80">
        <v>1</v>
      </c>
    </row>
    <row r="81" spans="1:2" x14ac:dyDescent="0.3">
      <c r="A81" t="s">
        <v>1086</v>
      </c>
      <c r="B81">
        <v>1</v>
      </c>
    </row>
    <row r="82" spans="1:2" x14ac:dyDescent="0.3">
      <c r="A82" t="s">
        <v>1087</v>
      </c>
      <c r="B82">
        <v>1</v>
      </c>
    </row>
    <row r="83" spans="1:2" x14ac:dyDescent="0.3">
      <c r="A83" t="s">
        <v>1088</v>
      </c>
      <c r="B83">
        <v>1</v>
      </c>
    </row>
    <row r="84" spans="1:2" x14ac:dyDescent="0.3">
      <c r="A84" t="s">
        <v>1091</v>
      </c>
      <c r="B84">
        <v>1</v>
      </c>
    </row>
    <row r="85" spans="1:2" x14ac:dyDescent="0.3">
      <c r="A85" t="s">
        <v>2863</v>
      </c>
      <c r="B85">
        <v>1</v>
      </c>
    </row>
    <row r="86" spans="1:2" x14ac:dyDescent="0.3">
      <c r="A86" t="s">
        <v>1094</v>
      </c>
      <c r="B86">
        <v>1</v>
      </c>
    </row>
    <row r="87" spans="1:2" x14ac:dyDescent="0.3">
      <c r="A87" t="s">
        <v>1095</v>
      </c>
      <c r="B87">
        <v>1</v>
      </c>
    </row>
    <row r="88" spans="1:2" x14ac:dyDescent="0.3">
      <c r="A88" t="s">
        <v>1098</v>
      </c>
      <c r="B88">
        <v>1</v>
      </c>
    </row>
    <row r="89" spans="1:2" x14ac:dyDescent="0.3">
      <c r="A89" t="s">
        <v>2864</v>
      </c>
      <c r="B89">
        <v>1</v>
      </c>
    </row>
    <row r="90" spans="1:2" x14ac:dyDescent="0.3">
      <c r="A90" t="s">
        <v>1101</v>
      </c>
      <c r="B90">
        <v>1</v>
      </c>
    </row>
    <row r="91" spans="1:2" x14ac:dyDescent="0.3">
      <c r="A91" t="s">
        <v>1103</v>
      </c>
      <c r="B91">
        <v>1</v>
      </c>
    </row>
    <row r="92" spans="1:2" x14ac:dyDescent="0.3">
      <c r="A92" t="s">
        <v>1104</v>
      </c>
      <c r="B92">
        <v>1</v>
      </c>
    </row>
    <row r="93" spans="1:2" x14ac:dyDescent="0.3">
      <c r="A93" t="s">
        <v>1105</v>
      </c>
      <c r="B93">
        <v>1</v>
      </c>
    </row>
    <row r="94" spans="1:2" x14ac:dyDescent="0.3">
      <c r="A94" t="s">
        <v>1108</v>
      </c>
      <c r="B94">
        <v>1</v>
      </c>
    </row>
    <row r="95" spans="1:2" x14ac:dyDescent="0.3">
      <c r="A95" t="s">
        <v>1109</v>
      </c>
      <c r="B95">
        <v>1</v>
      </c>
    </row>
    <row r="96" spans="1:2" x14ac:dyDescent="0.3">
      <c r="A96" t="s">
        <v>1110</v>
      </c>
      <c r="B96">
        <v>1</v>
      </c>
    </row>
    <row r="97" spans="1:2" x14ac:dyDescent="0.3">
      <c r="A97" t="s">
        <v>1112</v>
      </c>
      <c r="B97">
        <v>1</v>
      </c>
    </row>
    <row r="98" spans="1:2" x14ac:dyDescent="0.3">
      <c r="A98" t="s">
        <v>1115</v>
      </c>
      <c r="B98">
        <v>1</v>
      </c>
    </row>
    <row r="99" spans="1:2" x14ac:dyDescent="0.3">
      <c r="A99" t="s">
        <v>1116</v>
      </c>
      <c r="B99">
        <v>1</v>
      </c>
    </row>
    <row r="100" spans="1:2" x14ac:dyDescent="0.3">
      <c r="A100" t="s">
        <v>1117</v>
      </c>
      <c r="B100">
        <v>1</v>
      </c>
    </row>
    <row r="101" spans="1:2" x14ac:dyDescent="0.3">
      <c r="A101" t="s">
        <v>1119</v>
      </c>
      <c r="B101">
        <v>1</v>
      </c>
    </row>
    <row r="102" spans="1:2" x14ac:dyDescent="0.3">
      <c r="A102" t="s">
        <v>1120</v>
      </c>
      <c r="B102">
        <v>1</v>
      </c>
    </row>
    <row r="103" spans="1:2" x14ac:dyDescent="0.3">
      <c r="A103" t="s">
        <v>1122</v>
      </c>
      <c r="B103">
        <v>1</v>
      </c>
    </row>
    <row r="104" spans="1:2" x14ac:dyDescent="0.3">
      <c r="A104" t="s">
        <v>1125</v>
      </c>
      <c r="B104">
        <v>1</v>
      </c>
    </row>
    <row r="105" spans="1:2" x14ac:dyDescent="0.3">
      <c r="A105" t="s">
        <v>1127</v>
      </c>
      <c r="B105">
        <v>1</v>
      </c>
    </row>
    <row r="106" spans="1:2" x14ac:dyDescent="0.3">
      <c r="A106" t="s">
        <v>1129</v>
      </c>
      <c r="B106">
        <v>1</v>
      </c>
    </row>
    <row r="107" spans="1:2" x14ac:dyDescent="0.3">
      <c r="A107" t="s">
        <v>1131</v>
      </c>
      <c r="B107">
        <v>1</v>
      </c>
    </row>
    <row r="108" spans="1:2" x14ac:dyDescent="0.3">
      <c r="A108" t="s">
        <v>1132</v>
      </c>
      <c r="B108">
        <v>1</v>
      </c>
    </row>
    <row r="109" spans="1:2" x14ac:dyDescent="0.3">
      <c r="A109" t="s">
        <v>1135</v>
      </c>
      <c r="B109">
        <v>1</v>
      </c>
    </row>
    <row r="110" spans="1:2" x14ac:dyDescent="0.3">
      <c r="A110" t="s">
        <v>1136</v>
      </c>
      <c r="B110">
        <v>1</v>
      </c>
    </row>
    <row r="111" spans="1:2" x14ac:dyDescent="0.3">
      <c r="A111" t="s">
        <v>1138</v>
      </c>
      <c r="B111">
        <v>1</v>
      </c>
    </row>
    <row r="112" spans="1:2" x14ac:dyDescent="0.3">
      <c r="A112" t="s">
        <v>1139</v>
      </c>
      <c r="B112">
        <v>1</v>
      </c>
    </row>
    <row r="113" spans="1:2" x14ac:dyDescent="0.3">
      <c r="A113" t="s">
        <v>1140</v>
      </c>
      <c r="B113">
        <v>1</v>
      </c>
    </row>
    <row r="114" spans="1:2" x14ac:dyDescent="0.3">
      <c r="A114" t="s">
        <v>1141</v>
      </c>
      <c r="B114">
        <v>1</v>
      </c>
    </row>
    <row r="115" spans="1:2" x14ac:dyDescent="0.3">
      <c r="A115" t="s">
        <v>1142</v>
      </c>
      <c r="B115">
        <v>1</v>
      </c>
    </row>
    <row r="116" spans="1:2" x14ac:dyDescent="0.3">
      <c r="A116" t="s">
        <v>1144</v>
      </c>
      <c r="B116">
        <v>1</v>
      </c>
    </row>
    <row r="117" spans="1:2" x14ac:dyDescent="0.3">
      <c r="A117" t="s">
        <v>1146</v>
      </c>
      <c r="B117">
        <v>1</v>
      </c>
    </row>
    <row r="118" spans="1:2" x14ac:dyDescent="0.3">
      <c r="A118" t="s">
        <v>1148</v>
      </c>
      <c r="B118">
        <v>1</v>
      </c>
    </row>
    <row r="119" spans="1:2" x14ac:dyDescent="0.3">
      <c r="A119" t="s">
        <v>1151</v>
      </c>
      <c r="B119">
        <v>1</v>
      </c>
    </row>
    <row r="120" spans="1:2" x14ac:dyDescent="0.3">
      <c r="A120" t="s">
        <v>2722</v>
      </c>
      <c r="B120">
        <v>1</v>
      </c>
    </row>
    <row r="121" spans="1:2" x14ac:dyDescent="0.3">
      <c r="A121" t="s">
        <v>1153</v>
      </c>
      <c r="B121">
        <v>1</v>
      </c>
    </row>
    <row r="122" spans="1:2" x14ac:dyDescent="0.3">
      <c r="A122" t="s">
        <v>1155</v>
      </c>
      <c r="B122">
        <v>1</v>
      </c>
    </row>
    <row r="123" spans="1:2" x14ac:dyDescent="0.3">
      <c r="A123" t="s">
        <v>1157</v>
      </c>
      <c r="B123">
        <v>1</v>
      </c>
    </row>
    <row r="124" spans="1:2" x14ac:dyDescent="0.3">
      <c r="A124" t="s">
        <v>1160</v>
      </c>
      <c r="B124">
        <v>1</v>
      </c>
    </row>
    <row r="125" spans="1:2" x14ac:dyDescent="0.3">
      <c r="A125" t="s">
        <v>2865</v>
      </c>
      <c r="B125">
        <v>1</v>
      </c>
    </row>
    <row r="126" spans="1:2" x14ac:dyDescent="0.3">
      <c r="A126" t="s">
        <v>1162</v>
      </c>
      <c r="B126">
        <v>1</v>
      </c>
    </row>
    <row r="127" spans="1:2" x14ac:dyDescent="0.3">
      <c r="A127" t="s">
        <v>1164</v>
      </c>
      <c r="B127">
        <v>1</v>
      </c>
    </row>
    <row r="128" spans="1:2" x14ac:dyDescent="0.3">
      <c r="A128" t="s">
        <v>1167</v>
      </c>
      <c r="B128">
        <v>1</v>
      </c>
    </row>
    <row r="129" spans="1:2" x14ac:dyDescent="0.3">
      <c r="A129" t="s">
        <v>1169</v>
      </c>
      <c r="B129">
        <v>1</v>
      </c>
    </row>
    <row r="130" spans="1:2" x14ac:dyDescent="0.3">
      <c r="A130" t="s">
        <v>1171</v>
      </c>
      <c r="B130">
        <v>1</v>
      </c>
    </row>
    <row r="131" spans="1:2" x14ac:dyDescent="0.3">
      <c r="A131" t="s">
        <v>1173</v>
      </c>
      <c r="B131">
        <v>1</v>
      </c>
    </row>
    <row r="132" spans="1:2" x14ac:dyDescent="0.3">
      <c r="A132" t="s">
        <v>1174</v>
      </c>
      <c r="B132">
        <v>1</v>
      </c>
    </row>
    <row r="133" spans="1:2" x14ac:dyDescent="0.3">
      <c r="A133" t="s">
        <v>1176</v>
      </c>
      <c r="B133">
        <v>1</v>
      </c>
    </row>
    <row r="134" spans="1:2" x14ac:dyDescent="0.3">
      <c r="A134" t="s">
        <v>1179</v>
      </c>
      <c r="B134">
        <v>1</v>
      </c>
    </row>
    <row r="135" spans="1:2" x14ac:dyDescent="0.3">
      <c r="A135" t="s">
        <v>1181</v>
      </c>
      <c r="B135">
        <v>1</v>
      </c>
    </row>
    <row r="136" spans="1:2" x14ac:dyDescent="0.3">
      <c r="A136" t="s">
        <v>1182</v>
      </c>
      <c r="B136">
        <v>1</v>
      </c>
    </row>
    <row r="137" spans="1:2" x14ac:dyDescent="0.3">
      <c r="A137" t="s">
        <v>1185</v>
      </c>
      <c r="B137">
        <v>1</v>
      </c>
    </row>
    <row r="138" spans="1:2" x14ac:dyDescent="0.3">
      <c r="A138" t="s">
        <v>1188</v>
      </c>
      <c r="B138">
        <v>1</v>
      </c>
    </row>
    <row r="139" spans="1:2" x14ac:dyDescent="0.3">
      <c r="A139" t="s">
        <v>1191</v>
      </c>
      <c r="B139">
        <v>1</v>
      </c>
    </row>
    <row r="140" spans="1:2" x14ac:dyDescent="0.3">
      <c r="A140" t="s">
        <v>1194</v>
      </c>
      <c r="B140">
        <v>1</v>
      </c>
    </row>
    <row r="141" spans="1:2" x14ac:dyDescent="0.3">
      <c r="A141" t="s">
        <v>1195</v>
      </c>
      <c r="B141">
        <v>1</v>
      </c>
    </row>
    <row r="142" spans="1:2" x14ac:dyDescent="0.3">
      <c r="A142" t="s">
        <v>1197</v>
      </c>
      <c r="B142">
        <v>1</v>
      </c>
    </row>
    <row r="143" spans="1:2" x14ac:dyDescent="0.3">
      <c r="A143" t="s">
        <v>1198</v>
      </c>
      <c r="B143">
        <v>1</v>
      </c>
    </row>
    <row r="144" spans="1:2" x14ac:dyDescent="0.3">
      <c r="A144" t="s">
        <v>1199</v>
      </c>
      <c r="B144">
        <v>1</v>
      </c>
    </row>
    <row r="145" spans="1:2" x14ac:dyDescent="0.3">
      <c r="A145" t="s">
        <v>1201</v>
      </c>
      <c r="B145">
        <v>1</v>
      </c>
    </row>
    <row r="146" spans="1:2" x14ac:dyDescent="0.3">
      <c r="A146" t="s">
        <v>1205</v>
      </c>
      <c r="B146">
        <v>1</v>
      </c>
    </row>
    <row r="147" spans="1:2" x14ac:dyDescent="0.3">
      <c r="A147" t="s">
        <v>1207</v>
      </c>
      <c r="B147">
        <v>1</v>
      </c>
    </row>
    <row r="148" spans="1:2" x14ac:dyDescent="0.3">
      <c r="A148" t="s">
        <v>1208</v>
      </c>
      <c r="B148">
        <v>1</v>
      </c>
    </row>
    <row r="149" spans="1:2" x14ac:dyDescent="0.3">
      <c r="A149" t="s">
        <v>1210</v>
      </c>
      <c r="B149">
        <v>1</v>
      </c>
    </row>
    <row r="150" spans="1:2" x14ac:dyDescent="0.3">
      <c r="A150" t="s">
        <v>2726</v>
      </c>
      <c r="B150">
        <v>1</v>
      </c>
    </row>
    <row r="151" spans="1:2" x14ac:dyDescent="0.3">
      <c r="A151" t="s">
        <v>2866</v>
      </c>
      <c r="B151">
        <v>1</v>
      </c>
    </row>
    <row r="152" spans="1:2" x14ac:dyDescent="0.3">
      <c r="A152" t="s">
        <v>1218</v>
      </c>
      <c r="B152">
        <v>1</v>
      </c>
    </row>
    <row r="153" spans="1:2" x14ac:dyDescent="0.3">
      <c r="A153" t="s">
        <v>1220</v>
      </c>
      <c r="B153">
        <v>1</v>
      </c>
    </row>
    <row r="154" spans="1:2" x14ac:dyDescent="0.3">
      <c r="A154" t="s">
        <v>1223</v>
      </c>
      <c r="B154">
        <v>1</v>
      </c>
    </row>
    <row r="155" spans="1:2" x14ac:dyDescent="0.3">
      <c r="A155" t="s">
        <v>1226</v>
      </c>
      <c r="B155">
        <v>1</v>
      </c>
    </row>
    <row r="156" spans="1:2" x14ac:dyDescent="0.3">
      <c r="A156" t="s">
        <v>1229</v>
      </c>
      <c r="B156">
        <v>1</v>
      </c>
    </row>
    <row r="157" spans="1:2" x14ac:dyDescent="0.3">
      <c r="A157" t="s">
        <v>1233</v>
      </c>
      <c r="B157">
        <v>1</v>
      </c>
    </row>
    <row r="158" spans="1:2" x14ac:dyDescent="0.3">
      <c r="A158" t="s">
        <v>1236</v>
      </c>
      <c r="B158">
        <v>1</v>
      </c>
    </row>
    <row r="159" spans="1:2" x14ac:dyDescent="0.3">
      <c r="A159" t="s">
        <v>1241</v>
      </c>
      <c r="B159">
        <v>1</v>
      </c>
    </row>
    <row r="160" spans="1:2" x14ac:dyDescent="0.3">
      <c r="A160" t="s">
        <v>1242</v>
      </c>
      <c r="B160">
        <v>1</v>
      </c>
    </row>
    <row r="161" spans="1:2" x14ac:dyDescent="0.3">
      <c r="A161" t="s">
        <v>1243</v>
      </c>
      <c r="B161">
        <v>1</v>
      </c>
    </row>
    <row r="162" spans="1:2" x14ac:dyDescent="0.3">
      <c r="A162" t="s">
        <v>1245</v>
      </c>
      <c r="B162">
        <v>1</v>
      </c>
    </row>
    <row r="163" spans="1:2" x14ac:dyDescent="0.3">
      <c r="A163" t="s">
        <v>1248</v>
      </c>
      <c r="B163">
        <v>1</v>
      </c>
    </row>
    <row r="164" spans="1:2" x14ac:dyDescent="0.3">
      <c r="A164" t="s">
        <v>1251</v>
      </c>
      <c r="B164">
        <v>1</v>
      </c>
    </row>
    <row r="165" spans="1:2" x14ac:dyDescent="0.3">
      <c r="A165" t="s">
        <v>1252</v>
      </c>
      <c r="B165">
        <v>1</v>
      </c>
    </row>
    <row r="166" spans="1:2" x14ac:dyDescent="0.3">
      <c r="A166" t="s">
        <v>1254</v>
      </c>
      <c r="B166">
        <v>1</v>
      </c>
    </row>
    <row r="167" spans="1:2" x14ac:dyDescent="0.3">
      <c r="A167" t="s">
        <v>1255</v>
      </c>
      <c r="B167">
        <v>1</v>
      </c>
    </row>
    <row r="168" spans="1:2" x14ac:dyDescent="0.3">
      <c r="A168" t="s">
        <v>2867</v>
      </c>
      <c r="B168">
        <v>1</v>
      </c>
    </row>
    <row r="169" spans="1:2" x14ac:dyDescent="0.3">
      <c r="A169" t="s">
        <v>1263</v>
      </c>
      <c r="B169">
        <v>1</v>
      </c>
    </row>
    <row r="170" spans="1:2" x14ac:dyDescent="0.3">
      <c r="A170" t="s">
        <v>1265</v>
      </c>
      <c r="B170">
        <v>1</v>
      </c>
    </row>
    <row r="171" spans="1:2" x14ac:dyDescent="0.3">
      <c r="A171" t="s">
        <v>1267</v>
      </c>
      <c r="B171">
        <v>1</v>
      </c>
    </row>
    <row r="172" spans="1:2" x14ac:dyDescent="0.3">
      <c r="A172" t="s">
        <v>1270</v>
      </c>
      <c r="B172">
        <v>1</v>
      </c>
    </row>
    <row r="173" spans="1:2" x14ac:dyDescent="0.3">
      <c r="A173" t="s">
        <v>2868</v>
      </c>
      <c r="B173">
        <v>1</v>
      </c>
    </row>
    <row r="174" spans="1:2" x14ac:dyDescent="0.3">
      <c r="A174" t="s">
        <v>1275</v>
      </c>
      <c r="B174">
        <v>1</v>
      </c>
    </row>
    <row r="175" spans="1:2" x14ac:dyDescent="0.3">
      <c r="A175" t="s">
        <v>1276</v>
      </c>
      <c r="B175">
        <v>1</v>
      </c>
    </row>
    <row r="176" spans="1:2" x14ac:dyDescent="0.3">
      <c r="A176" t="s">
        <v>2869</v>
      </c>
      <c r="B176">
        <v>1</v>
      </c>
    </row>
    <row r="177" spans="1:2" x14ac:dyDescent="0.3">
      <c r="A177" t="s">
        <v>2870</v>
      </c>
      <c r="B177">
        <v>1</v>
      </c>
    </row>
    <row r="178" spans="1:2" x14ac:dyDescent="0.3">
      <c r="A178" t="s">
        <v>2871</v>
      </c>
      <c r="B178">
        <v>1</v>
      </c>
    </row>
    <row r="179" spans="1:2" x14ac:dyDescent="0.3">
      <c r="A179" t="s">
        <v>2872</v>
      </c>
      <c r="B179">
        <v>1</v>
      </c>
    </row>
    <row r="180" spans="1:2" x14ac:dyDescent="0.3">
      <c r="A180" t="s">
        <v>1283</v>
      </c>
      <c r="B180">
        <v>1</v>
      </c>
    </row>
    <row r="181" spans="1:2" x14ac:dyDescent="0.3">
      <c r="A181" t="s">
        <v>2873</v>
      </c>
      <c r="B181">
        <v>1</v>
      </c>
    </row>
    <row r="182" spans="1:2" x14ac:dyDescent="0.3">
      <c r="A182" t="s">
        <v>2874</v>
      </c>
      <c r="B182">
        <v>1</v>
      </c>
    </row>
    <row r="183" spans="1:2" x14ac:dyDescent="0.3">
      <c r="A183" t="s">
        <v>2875</v>
      </c>
      <c r="B183">
        <v>1</v>
      </c>
    </row>
    <row r="184" spans="1:2" x14ac:dyDescent="0.3">
      <c r="A184" t="s">
        <v>1287</v>
      </c>
      <c r="B184">
        <v>1</v>
      </c>
    </row>
    <row r="185" spans="1:2" x14ac:dyDescent="0.3">
      <c r="A185" t="s">
        <v>1288</v>
      </c>
      <c r="B185">
        <v>1</v>
      </c>
    </row>
    <row r="186" spans="1:2" x14ac:dyDescent="0.3">
      <c r="A186" t="s">
        <v>1290</v>
      </c>
      <c r="B186">
        <v>1</v>
      </c>
    </row>
    <row r="187" spans="1:2" x14ac:dyDescent="0.3">
      <c r="A187" t="s">
        <v>1292</v>
      </c>
      <c r="B187">
        <v>1</v>
      </c>
    </row>
    <row r="188" spans="1:2" x14ac:dyDescent="0.3">
      <c r="A188" t="s">
        <v>1295</v>
      </c>
      <c r="B188">
        <v>1</v>
      </c>
    </row>
    <row r="189" spans="1:2" x14ac:dyDescent="0.3">
      <c r="A189" t="s">
        <v>1297</v>
      </c>
      <c r="B189">
        <v>1</v>
      </c>
    </row>
    <row r="190" spans="1:2" x14ac:dyDescent="0.3">
      <c r="A190" t="s">
        <v>1299</v>
      </c>
      <c r="B190">
        <v>1</v>
      </c>
    </row>
    <row r="191" spans="1:2" x14ac:dyDescent="0.3">
      <c r="A191" t="s">
        <v>1300</v>
      </c>
      <c r="B191">
        <v>1</v>
      </c>
    </row>
    <row r="192" spans="1:2" x14ac:dyDescent="0.3">
      <c r="A192" t="s">
        <v>1303</v>
      </c>
      <c r="B192">
        <v>1</v>
      </c>
    </row>
    <row r="193" spans="1:2" x14ac:dyDescent="0.3">
      <c r="A193" t="s">
        <v>1306</v>
      </c>
      <c r="B193">
        <v>1</v>
      </c>
    </row>
    <row r="194" spans="1:2" x14ac:dyDescent="0.3">
      <c r="A194" t="s">
        <v>1309</v>
      </c>
      <c r="B194">
        <v>1</v>
      </c>
    </row>
    <row r="195" spans="1:2" x14ac:dyDescent="0.3">
      <c r="A195" t="s">
        <v>1312</v>
      </c>
      <c r="B195">
        <v>1</v>
      </c>
    </row>
    <row r="196" spans="1:2" x14ac:dyDescent="0.3">
      <c r="A196" t="s">
        <v>1319</v>
      </c>
      <c r="B196">
        <v>1</v>
      </c>
    </row>
    <row r="197" spans="1:2" x14ac:dyDescent="0.3">
      <c r="A197" t="s">
        <v>1322</v>
      </c>
      <c r="B197">
        <v>1</v>
      </c>
    </row>
    <row r="198" spans="1:2" x14ac:dyDescent="0.3">
      <c r="A198" t="s">
        <v>2876</v>
      </c>
      <c r="B198">
        <v>1</v>
      </c>
    </row>
    <row r="199" spans="1:2" x14ac:dyDescent="0.3">
      <c r="A199" t="s">
        <v>2877</v>
      </c>
      <c r="B199">
        <v>1</v>
      </c>
    </row>
    <row r="200" spans="1:2" x14ac:dyDescent="0.3">
      <c r="A200" t="s">
        <v>2878</v>
      </c>
      <c r="B200">
        <v>1</v>
      </c>
    </row>
    <row r="201" spans="1:2" x14ac:dyDescent="0.3">
      <c r="A201" t="s">
        <v>2879</v>
      </c>
      <c r="B201">
        <v>1</v>
      </c>
    </row>
    <row r="202" spans="1:2" x14ac:dyDescent="0.3">
      <c r="A202" t="s">
        <v>2880</v>
      </c>
      <c r="B202">
        <v>1</v>
      </c>
    </row>
    <row r="203" spans="1:2" x14ac:dyDescent="0.3">
      <c r="A203" t="s">
        <v>2881</v>
      </c>
      <c r="B203">
        <v>1</v>
      </c>
    </row>
    <row r="204" spans="1:2" x14ac:dyDescent="0.3">
      <c r="A204" t="s">
        <v>1331</v>
      </c>
      <c r="B204">
        <v>1</v>
      </c>
    </row>
    <row r="205" spans="1:2" x14ac:dyDescent="0.3">
      <c r="A205" t="s">
        <v>1334</v>
      </c>
      <c r="B205">
        <v>1</v>
      </c>
    </row>
    <row r="206" spans="1:2" x14ac:dyDescent="0.3">
      <c r="A206" t="s">
        <v>1336</v>
      </c>
      <c r="B206">
        <v>1</v>
      </c>
    </row>
    <row r="207" spans="1:2" x14ac:dyDescent="0.3">
      <c r="A207" t="s">
        <v>1338</v>
      </c>
      <c r="B207">
        <v>1</v>
      </c>
    </row>
    <row r="208" spans="1:2" x14ac:dyDescent="0.3">
      <c r="A208" t="s">
        <v>2882</v>
      </c>
      <c r="B208">
        <v>1</v>
      </c>
    </row>
    <row r="209" spans="1:2" x14ac:dyDescent="0.3">
      <c r="A209" t="s">
        <v>1341</v>
      </c>
      <c r="B209">
        <v>1</v>
      </c>
    </row>
    <row r="210" spans="1:2" x14ac:dyDescent="0.3">
      <c r="A210" t="s">
        <v>2883</v>
      </c>
      <c r="B210">
        <v>1</v>
      </c>
    </row>
    <row r="211" spans="1:2" x14ac:dyDescent="0.3">
      <c r="A211" t="s">
        <v>1345</v>
      </c>
      <c r="B211">
        <v>1</v>
      </c>
    </row>
    <row r="212" spans="1:2" x14ac:dyDescent="0.3">
      <c r="A212" t="s">
        <v>1349</v>
      </c>
      <c r="B212">
        <v>1</v>
      </c>
    </row>
    <row r="213" spans="1:2" x14ac:dyDescent="0.3">
      <c r="A213" t="s">
        <v>2884</v>
      </c>
      <c r="B213">
        <v>1</v>
      </c>
    </row>
    <row r="214" spans="1:2" x14ac:dyDescent="0.3">
      <c r="A214" t="s">
        <v>2885</v>
      </c>
      <c r="B214">
        <v>1</v>
      </c>
    </row>
    <row r="215" spans="1:2" x14ac:dyDescent="0.3">
      <c r="A215" t="s">
        <v>2886</v>
      </c>
      <c r="B215">
        <v>1</v>
      </c>
    </row>
    <row r="216" spans="1:2" x14ac:dyDescent="0.3">
      <c r="A216" t="s">
        <v>1353</v>
      </c>
      <c r="B216">
        <v>1</v>
      </c>
    </row>
    <row r="217" spans="1:2" x14ac:dyDescent="0.3">
      <c r="A217" t="s">
        <v>2887</v>
      </c>
      <c r="B217">
        <v>1</v>
      </c>
    </row>
    <row r="218" spans="1:2" x14ac:dyDescent="0.3">
      <c r="A218" t="s">
        <v>2888</v>
      </c>
      <c r="B218">
        <v>1</v>
      </c>
    </row>
    <row r="219" spans="1:2" x14ac:dyDescent="0.3">
      <c r="A219" t="s">
        <v>2889</v>
      </c>
      <c r="B219">
        <v>1</v>
      </c>
    </row>
    <row r="220" spans="1:2" x14ac:dyDescent="0.3">
      <c r="A220" t="s">
        <v>2890</v>
      </c>
      <c r="B220">
        <v>1</v>
      </c>
    </row>
    <row r="221" spans="1:2" x14ac:dyDescent="0.3">
      <c r="A221" t="s">
        <v>1359</v>
      </c>
      <c r="B221">
        <v>1</v>
      </c>
    </row>
    <row r="222" spans="1:2" x14ac:dyDescent="0.3">
      <c r="A222" t="s">
        <v>1360</v>
      </c>
      <c r="B222">
        <v>1</v>
      </c>
    </row>
    <row r="223" spans="1:2" x14ac:dyDescent="0.3">
      <c r="A223" t="s">
        <v>1363</v>
      </c>
      <c r="B223">
        <v>1</v>
      </c>
    </row>
    <row r="224" spans="1:2" x14ac:dyDescent="0.3">
      <c r="A224" t="s">
        <v>2891</v>
      </c>
      <c r="B224">
        <v>1</v>
      </c>
    </row>
    <row r="225" spans="1:2" x14ac:dyDescent="0.3">
      <c r="A225" t="s">
        <v>1367</v>
      </c>
      <c r="B225">
        <v>1</v>
      </c>
    </row>
    <row r="226" spans="1:2" x14ac:dyDescent="0.3">
      <c r="A226" t="s">
        <v>1369</v>
      </c>
      <c r="B226">
        <v>1</v>
      </c>
    </row>
    <row r="227" spans="1:2" x14ac:dyDescent="0.3">
      <c r="A227" t="s">
        <v>1373</v>
      </c>
      <c r="B227">
        <v>1</v>
      </c>
    </row>
    <row r="228" spans="1:2" x14ac:dyDescent="0.3">
      <c r="A228" t="s">
        <v>2892</v>
      </c>
      <c r="B228">
        <v>1</v>
      </c>
    </row>
    <row r="229" spans="1:2" x14ac:dyDescent="0.3">
      <c r="A229" t="s">
        <v>1377</v>
      </c>
      <c r="B229">
        <v>1</v>
      </c>
    </row>
    <row r="230" spans="1:2" x14ac:dyDescent="0.3">
      <c r="A230" t="s">
        <v>1379</v>
      </c>
      <c r="B230">
        <v>1</v>
      </c>
    </row>
    <row r="231" spans="1:2" x14ac:dyDescent="0.3">
      <c r="A231" t="s">
        <v>2740</v>
      </c>
      <c r="B231">
        <v>1</v>
      </c>
    </row>
    <row r="232" spans="1:2" x14ac:dyDescent="0.3">
      <c r="A232" t="s">
        <v>1382</v>
      </c>
      <c r="B232">
        <v>1</v>
      </c>
    </row>
    <row r="233" spans="1:2" x14ac:dyDescent="0.3">
      <c r="A233" t="s">
        <v>1384</v>
      </c>
      <c r="B233">
        <v>1</v>
      </c>
    </row>
    <row r="234" spans="1:2" x14ac:dyDescent="0.3">
      <c r="A234" t="s">
        <v>2742</v>
      </c>
      <c r="B234">
        <v>1</v>
      </c>
    </row>
    <row r="235" spans="1:2" x14ac:dyDescent="0.3">
      <c r="A235" t="s">
        <v>2743</v>
      </c>
      <c r="B235">
        <v>1</v>
      </c>
    </row>
    <row r="236" spans="1:2" x14ac:dyDescent="0.3">
      <c r="A236" t="s">
        <v>2744</v>
      </c>
      <c r="B236">
        <v>1</v>
      </c>
    </row>
    <row r="237" spans="1:2" x14ac:dyDescent="0.3">
      <c r="A237" t="s">
        <v>1393</v>
      </c>
      <c r="B237">
        <v>1</v>
      </c>
    </row>
    <row r="238" spans="1:2" x14ac:dyDescent="0.3">
      <c r="A238" t="s">
        <v>1397</v>
      </c>
      <c r="B238">
        <v>1</v>
      </c>
    </row>
    <row r="239" spans="1:2" x14ac:dyDescent="0.3">
      <c r="A239" t="s">
        <v>2893</v>
      </c>
      <c r="B239">
        <v>1</v>
      </c>
    </row>
    <row r="240" spans="1:2" x14ac:dyDescent="0.3">
      <c r="A240" t="s">
        <v>2894</v>
      </c>
      <c r="B240">
        <v>1</v>
      </c>
    </row>
    <row r="241" spans="1:2" x14ac:dyDescent="0.3">
      <c r="A241" t="s">
        <v>2895</v>
      </c>
      <c r="B241">
        <v>1</v>
      </c>
    </row>
    <row r="242" spans="1:2" x14ac:dyDescent="0.3">
      <c r="A242" t="s">
        <v>1401</v>
      </c>
      <c r="B242">
        <v>1</v>
      </c>
    </row>
    <row r="243" spans="1:2" x14ac:dyDescent="0.3">
      <c r="A243" t="s">
        <v>1406</v>
      </c>
      <c r="B243">
        <v>1</v>
      </c>
    </row>
    <row r="244" spans="1:2" x14ac:dyDescent="0.3">
      <c r="A244" t="s">
        <v>1412</v>
      </c>
      <c r="B244">
        <v>1</v>
      </c>
    </row>
    <row r="245" spans="1:2" x14ac:dyDescent="0.3">
      <c r="A245" t="s">
        <v>1414</v>
      </c>
      <c r="B245">
        <v>1</v>
      </c>
    </row>
    <row r="246" spans="1:2" x14ac:dyDescent="0.3">
      <c r="A246" t="s">
        <v>1415</v>
      </c>
      <c r="B246">
        <v>1</v>
      </c>
    </row>
    <row r="247" spans="1:2" x14ac:dyDescent="0.3">
      <c r="A247" t="s">
        <v>1417</v>
      </c>
      <c r="B247">
        <v>1</v>
      </c>
    </row>
    <row r="248" spans="1:2" x14ac:dyDescent="0.3">
      <c r="A248" t="s">
        <v>2896</v>
      </c>
      <c r="B248">
        <v>1</v>
      </c>
    </row>
    <row r="249" spans="1:2" x14ac:dyDescent="0.3">
      <c r="A249" t="s">
        <v>1421</v>
      </c>
      <c r="B249">
        <v>1</v>
      </c>
    </row>
    <row r="250" spans="1:2" x14ac:dyDescent="0.3">
      <c r="A250" t="s">
        <v>1423</v>
      </c>
      <c r="B250">
        <v>1</v>
      </c>
    </row>
    <row r="251" spans="1:2" x14ac:dyDescent="0.3">
      <c r="A251" t="s">
        <v>1425</v>
      </c>
      <c r="B251">
        <v>1</v>
      </c>
    </row>
    <row r="252" spans="1:2" x14ac:dyDescent="0.3">
      <c r="A252" t="s">
        <v>1427</v>
      </c>
      <c r="B252">
        <v>1</v>
      </c>
    </row>
    <row r="253" spans="1:2" x14ac:dyDescent="0.3">
      <c r="A253" t="s">
        <v>1429</v>
      </c>
      <c r="B253">
        <v>1</v>
      </c>
    </row>
    <row r="254" spans="1:2" x14ac:dyDescent="0.3">
      <c r="A254" t="s">
        <v>1435</v>
      </c>
      <c r="B254">
        <v>1</v>
      </c>
    </row>
    <row r="255" spans="1:2" x14ac:dyDescent="0.3">
      <c r="A255" t="s">
        <v>1438</v>
      </c>
      <c r="B255">
        <v>1</v>
      </c>
    </row>
    <row r="256" spans="1:2" x14ac:dyDescent="0.3">
      <c r="A256" t="s">
        <v>1440</v>
      </c>
      <c r="B256">
        <v>1</v>
      </c>
    </row>
    <row r="257" spans="1:2" x14ac:dyDescent="0.3">
      <c r="A257" t="s">
        <v>1441</v>
      </c>
      <c r="B257">
        <v>1</v>
      </c>
    </row>
    <row r="258" spans="1:2" x14ac:dyDescent="0.3">
      <c r="A258" t="s">
        <v>2897</v>
      </c>
      <c r="B258">
        <v>1</v>
      </c>
    </row>
    <row r="259" spans="1:2" x14ac:dyDescent="0.3">
      <c r="A259" t="s">
        <v>1444</v>
      </c>
      <c r="B259">
        <v>1</v>
      </c>
    </row>
    <row r="260" spans="1:2" x14ac:dyDescent="0.3">
      <c r="A260" t="s">
        <v>1447</v>
      </c>
      <c r="B260">
        <v>1</v>
      </c>
    </row>
    <row r="261" spans="1:2" x14ac:dyDescent="0.3">
      <c r="A261" t="s">
        <v>1448</v>
      </c>
      <c r="B261">
        <v>1</v>
      </c>
    </row>
    <row r="262" spans="1:2" x14ac:dyDescent="0.3">
      <c r="A262" t="s">
        <v>2898</v>
      </c>
      <c r="B262">
        <v>1</v>
      </c>
    </row>
    <row r="263" spans="1:2" x14ac:dyDescent="0.3">
      <c r="A263" t="s">
        <v>1452</v>
      </c>
      <c r="B263">
        <v>1</v>
      </c>
    </row>
    <row r="264" spans="1:2" x14ac:dyDescent="0.3">
      <c r="A264" t="s">
        <v>1454</v>
      </c>
      <c r="B264">
        <v>1</v>
      </c>
    </row>
    <row r="265" spans="1:2" x14ac:dyDescent="0.3">
      <c r="A265" t="s">
        <v>1455</v>
      </c>
      <c r="B265">
        <v>1</v>
      </c>
    </row>
    <row r="266" spans="1:2" x14ac:dyDescent="0.3">
      <c r="A266" t="s">
        <v>1457</v>
      </c>
      <c r="B266">
        <v>1</v>
      </c>
    </row>
    <row r="267" spans="1:2" x14ac:dyDescent="0.3">
      <c r="A267" t="s">
        <v>1459</v>
      </c>
      <c r="B267">
        <v>1</v>
      </c>
    </row>
    <row r="268" spans="1:2" x14ac:dyDescent="0.3">
      <c r="A268" t="s">
        <v>1462</v>
      </c>
      <c r="B268">
        <v>1</v>
      </c>
    </row>
    <row r="269" spans="1:2" x14ac:dyDescent="0.3">
      <c r="A269" t="s">
        <v>1463</v>
      </c>
      <c r="B269">
        <v>1</v>
      </c>
    </row>
    <row r="270" spans="1:2" x14ac:dyDescent="0.3">
      <c r="A270" t="s">
        <v>2899</v>
      </c>
      <c r="B270">
        <v>1</v>
      </c>
    </row>
    <row r="271" spans="1:2" x14ac:dyDescent="0.3">
      <c r="A271" t="s">
        <v>2900</v>
      </c>
      <c r="B271">
        <v>1</v>
      </c>
    </row>
    <row r="272" spans="1:2" x14ac:dyDescent="0.3">
      <c r="A272" t="s">
        <v>2901</v>
      </c>
      <c r="B272">
        <v>1</v>
      </c>
    </row>
    <row r="273" spans="1:2" x14ac:dyDescent="0.3">
      <c r="A273" t="s">
        <v>2902</v>
      </c>
      <c r="B273">
        <v>1</v>
      </c>
    </row>
    <row r="274" spans="1:2" x14ac:dyDescent="0.3">
      <c r="A274" t="s">
        <v>1472</v>
      </c>
      <c r="B274">
        <v>1</v>
      </c>
    </row>
    <row r="275" spans="1:2" x14ac:dyDescent="0.3">
      <c r="A275" t="s">
        <v>1475</v>
      </c>
      <c r="B275">
        <v>1</v>
      </c>
    </row>
    <row r="276" spans="1:2" x14ac:dyDescent="0.3">
      <c r="A276" t="s">
        <v>1478</v>
      </c>
      <c r="B276">
        <v>1</v>
      </c>
    </row>
    <row r="277" spans="1:2" x14ac:dyDescent="0.3">
      <c r="A277" t="s">
        <v>2754</v>
      </c>
      <c r="B277">
        <v>1</v>
      </c>
    </row>
    <row r="278" spans="1:2" x14ac:dyDescent="0.3">
      <c r="A278" t="s">
        <v>1480</v>
      </c>
      <c r="B278">
        <v>1</v>
      </c>
    </row>
    <row r="279" spans="1:2" x14ac:dyDescent="0.3">
      <c r="A279" t="s">
        <v>2903</v>
      </c>
      <c r="B279">
        <v>1</v>
      </c>
    </row>
    <row r="280" spans="1:2" x14ac:dyDescent="0.3">
      <c r="A280" t="s">
        <v>2904</v>
      </c>
      <c r="B280">
        <v>1</v>
      </c>
    </row>
    <row r="281" spans="1:2" x14ac:dyDescent="0.3">
      <c r="A281" t="s">
        <v>2905</v>
      </c>
      <c r="B281">
        <v>1</v>
      </c>
    </row>
    <row r="282" spans="1:2" x14ac:dyDescent="0.3">
      <c r="A282" t="s">
        <v>2757</v>
      </c>
      <c r="B282">
        <v>1</v>
      </c>
    </row>
    <row r="283" spans="1:2" x14ac:dyDescent="0.3">
      <c r="A283" t="s">
        <v>2906</v>
      </c>
      <c r="B283">
        <v>1</v>
      </c>
    </row>
    <row r="284" spans="1:2" x14ac:dyDescent="0.3">
      <c r="A284" t="s">
        <v>2907</v>
      </c>
      <c r="B284">
        <v>1</v>
      </c>
    </row>
    <row r="285" spans="1:2" x14ac:dyDescent="0.3">
      <c r="A285" t="s">
        <v>2908</v>
      </c>
      <c r="B285">
        <v>1</v>
      </c>
    </row>
    <row r="286" spans="1:2" x14ac:dyDescent="0.3">
      <c r="A286" t="s">
        <v>2909</v>
      </c>
      <c r="B286">
        <v>1</v>
      </c>
    </row>
    <row r="287" spans="1:2" x14ac:dyDescent="0.3">
      <c r="A287" t="s">
        <v>2910</v>
      </c>
      <c r="B287">
        <v>1</v>
      </c>
    </row>
    <row r="288" spans="1:2" x14ac:dyDescent="0.3">
      <c r="A288" t="s">
        <v>1491</v>
      </c>
      <c r="B288">
        <v>1</v>
      </c>
    </row>
    <row r="289" spans="1:2" x14ac:dyDescent="0.3">
      <c r="A289" t="s">
        <v>1492</v>
      </c>
      <c r="B289">
        <v>1</v>
      </c>
    </row>
    <row r="290" spans="1:2" x14ac:dyDescent="0.3">
      <c r="A290" t="s">
        <v>1494</v>
      </c>
      <c r="B290">
        <v>1</v>
      </c>
    </row>
    <row r="291" spans="1:2" x14ac:dyDescent="0.3">
      <c r="A291" t="s">
        <v>1497</v>
      </c>
      <c r="B291">
        <v>1</v>
      </c>
    </row>
    <row r="292" spans="1:2" x14ac:dyDescent="0.3">
      <c r="A292" t="s">
        <v>1501</v>
      </c>
      <c r="B292">
        <v>1</v>
      </c>
    </row>
    <row r="293" spans="1:2" x14ac:dyDescent="0.3">
      <c r="A293" t="s">
        <v>1502</v>
      </c>
      <c r="B293">
        <v>1</v>
      </c>
    </row>
    <row r="294" spans="1:2" x14ac:dyDescent="0.3">
      <c r="A294" t="s">
        <v>1504</v>
      </c>
      <c r="B294">
        <v>1</v>
      </c>
    </row>
    <row r="295" spans="1:2" x14ac:dyDescent="0.3">
      <c r="A295" t="s">
        <v>2762</v>
      </c>
      <c r="B295">
        <v>1</v>
      </c>
    </row>
    <row r="296" spans="1:2" x14ac:dyDescent="0.3">
      <c r="A296" t="s">
        <v>1506</v>
      </c>
      <c r="B296">
        <v>1</v>
      </c>
    </row>
    <row r="297" spans="1:2" x14ac:dyDescent="0.3">
      <c r="A297" t="s">
        <v>1508</v>
      </c>
      <c r="B297">
        <v>1</v>
      </c>
    </row>
    <row r="298" spans="1:2" x14ac:dyDescent="0.3">
      <c r="A298" t="s">
        <v>1512</v>
      </c>
      <c r="B298">
        <v>1</v>
      </c>
    </row>
    <row r="299" spans="1:2" x14ac:dyDescent="0.3">
      <c r="A299" t="s">
        <v>2911</v>
      </c>
      <c r="B299">
        <v>1</v>
      </c>
    </row>
    <row r="300" spans="1:2" x14ac:dyDescent="0.3">
      <c r="A300" t="s">
        <v>2763</v>
      </c>
      <c r="B300">
        <v>1</v>
      </c>
    </row>
    <row r="301" spans="1:2" x14ac:dyDescent="0.3">
      <c r="A301" t="s">
        <v>2912</v>
      </c>
      <c r="B301">
        <v>1</v>
      </c>
    </row>
    <row r="302" spans="1:2" x14ac:dyDescent="0.3">
      <c r="A302" t="s">
        <v>2692</v>
      </c>
      <c r="B302">
        <v>1</v>
      </c>
    </row>
    <row r="303" spans="1:2" x14ac:dyDescent="0.3">
      <c r="A303" t="s">
        <v>1518</v>
      </c>
      <c r="B303">
        <v>1</v>
      </c>
    </row>
    <row r="304" spans="1:2" x14ac:dyDescent="0.3">
      <c r="A304" t="s">
        <v>2913</v>
      </c>
      <c r="B304">
        <v>1</v>
      </c>
    </row>
    <row r="305" spans="1:2" x14ac:dyDescent="0.3">
      <c r="A305" t="s">
        <v>1522</v>
      </c>
      <c r="B305">
        <v>1</v>
      </c>
    </row>
    <row r="306" spans="1:2" x14ac:dyDescent="0.3">
      <c r="A306" t="s">
        <v>1524</v>
      </c>
      <c r="B306">
        <v>1</v>
      </c>
    </row>
    <row r="307" spans="1:2" x14ac:dyDescent="0.3">
      <c r="A307" t="s">
        <v>1526</v>
      </c>
      <c r="B307">
        <v>1</v>
      </c>
    </row>
    <row r="308" spans="1:2" x14ac:dyDescent="0.3">
      <c r="A308" t="s">
        <v>1529</v>
      </c>
      <c r="B308">
        <v>1</v>
      </c>
    </row>
    <row r="309" spans="1:2" x14ac:dyDescent="0.3">
      <c r="A309" t="s">
        <v>1531</v>
      </c>
      <c r="B309">
        <v>1</v>
      </c>
    </row>
    <row r="310" spans="1:2" x14ac:dyDescent="0.3">
      <c r="A310" t="s">
        <v>1533</v>
      </c>
      <c r="B310">
        <v>1</v>
      </c>
    </row>
    <row r="311" spans="1:2" x14ac:dyDescent="0.3">
      <c r="A311" t="s">
        <v>2914</v>
      </c>
      <c r="B311">
        <v>1</v>
      </c>
    </row>
    <row r="312" spans="1:2" x14ac:dyDescent="0.3">
      <c r="A312" t="s">
        <v>2915</v>
      </c>
      <c r="B312">
        <v>1</v>
      </c>
    </row>
    <row r="313" spans="1:2" x14ac:dyDescent="0.3">
      <c r="A313" t="s">
        <v>1538</v>
      </c>
      <c r="B313">
        <v>1</v>
      </c>
    </row>
    <row r="314" spans="1:2" x14ac:dyDescent="0.3">
      <c r="A314" t="s">
        <v>1541</v>
      </c>
      <c r="B314">
        <v>1</v>
      </c>
    </row>
    <row r="315" spans="1:2" x14ac:dyDescent="0.3">
      <c r="A315" t="s">
        <v>1544</v>
      </c>
      <c r="B315">
        <v>1</v>
      </c>
    </row>
    <row r="316" spans="1:2" x14ac:dyDescent="0.3">
      <c r="A316" t="s">
        <v>1545</v>
      </c>
      <c r="B316">
        <v>1</v>
      </c>
    </row>
    <row r="317" spans="1:2" x14ac:dyDescent="0.3">
      <c r="A317" t="s">
        <v>1549</v>
      </c>
      <c r="B317">
        <v>1</v>
      </c>
    </row>
    <row r="318" spans="1:2" x14ac:dyDescent="0.3">
      <c r="A318" t="s">
        <v>1551</v>
      </c>
      <c r="B318">
        <v>1</v>
      </c>
    </row>
    <row r="319" spans="1:2" x14ac:dyDescent="0.3">
      <c r="A319" t="s">
        <v>2916</v>
      </c>
      <c r="B319">
        <v>1</v>
      </c>
    </row>
    <row r="320" spans="1:2" x14ac:dyDescent="0.3">
      <c r="A320" t="s">
        <v>2917</v>
      </c>
      <c r="B320">
        <v>1</v>
      </c>
    </row>
    <row r="321" spans="1:2" x14ac:dyDescent="0.3">
      <c r="A321" t="s">
        <v>2918</v>
      </c>
      <c r="B321">
        <v>1</v>
      </c>
    </row>
    <row r="322" spans="1:2" x14ac:dyDescent="0.3">
      <c r="A322" t="s">
        <v>1557</v>
      </c>
      <c r="B322">
        <v>1</v>
      </c>
    </row>
    <row r="323" spans="1:2" x14ac:dyDescent="0.3">
      <c r="A323" t="s">
        <v>1559</v>
      </c>
      <c r="B323">
        <v>1</v>
      </c>
    </row>
    <row r="324" spans="1:2" x14ac:dyDescent="0.3">
      <c r="A324" t="s">
        <v>1562</v>
      </c>
      <c r="B324">
        <v>1</v>
      </c>
    </row>
    <row r="325" spans="1:2" x14ac:dyDescent="0.3">
      <c r="A325" t="s">
        <v>1566</v>
      </c>
      <c r="B325">
        <v>1</v>
      </c>
    </row>
    <row r="326" spans="1:2" x14ac:dyDescent="0.3">
      <c r="A326" t="s">
        <v>1569</v>
      </c>
      <c r="B326">
        <v>1</v>
      </c>
    </row>
    <row r="327" spans="1:2" x14ac:dyDescent="0.3">
      <c r="A327" t="s">
        <v>1570</v>
      </c>
      <c r="B327">
        <v>1</v>
      </c>
    </row>
    <row r="328" spans="1:2" x14ac:dyDescent="0.3">
      <c r="A328" t="s">
        <v>2919</v>
      </c>
      <c r="B328">
        <v>1</v>
      </c>
    </row>
    <row r="329" spans="1:2" x14ac:dyDescent="0.3">
      <c r="A329" t="s">
        <v>1575</v>
      </c>
      <c r="B329">
        <v>1</v>
      </c>
    </row>
    <row r="330" spans="1:2" x14ac:dyDescent="0.3">
      <c r="A330" t="s">
        <v>1577</v>
      </c>
      <c r="B330">
        <v>1</v>
      </c>
    </row>
    <row r="331" spans="1:2" x14ac:dyDescent="0.3">
      <c r="A331" t="s">
        <v>1578</v>
      </c>
      <c r="B331">
        <v>1</v>
      </c>
    </row>
    <row r="332" spans="1:2" x14ac:dyDescent="0.3">
      <c r="A332" t="s">
        <v>1581</v>
      </c>
      <c r="B332">
        <v>1</v>
      </c>
    </row>
    <row r="333" spans="1:2" x14ac:dyDescent="0.3">
      <c r="A333" t="s">
        <v>2920</v>
      </c>
      <c r="B333">
        <v>1</v>
      </c>
    </row>
    <row r="334" spans="1:2" x14ac:dyDescent="0.3">
      <c r="A334" t="s">
        <v>1584</v>
      </c>
      <c r="B334">
        <v>1</v>
      </c>
    </row>
    <row r="335" spans="1:2" x14ac:dyDescent="0.3">
      <c r="A335" t="s">
        <v>2921</v>
      </c>
      <c r="B335">
        <v>1</v>
      </c>
    </row>
    <row r="336" spans="1:2" x14ac:dyDescent="0.3">
      <c r="A336" t="s">
        <v>1589</v>
      </c>
      <c r="B336">
        <v>1</v>
      </c>
    </row>
    <row r="337" spans="1:2" x14ac:dyDescent="0.3">
      <c r="A337" t="s">
        <v>1591</v>
      </c>
      <c r="B337">
        <v>1</v>
      </c>
    </row>
    <row r="338" spans="1:2" x14ac:dyDescent="0.3">
      <c r="A338" t="s">
        <v>1593</v>
      </c>
      <c r="B338">
        <v>1</v>
      </c>
    </row>
    <row r="339" spans="1:2" x14ac:dyDescent="0.3">
      <c r="A339" t="s">
        <v>1594</v>
      </c>
      <c r="B339">
        <v>1</v>
      </c>
    </row>
    <row r="340" spans="1:2" x14ac:dyDescent="0.3">
      <c r="A340" t="s">
        <v>1597</v>
      </c>
      <c r="B340">
        <v>1</v>
      </c>
    </row>
    <row r="341" spans="1:2" x14ac:dyDescent="0.3">
      <c r="A341" t="s">
        <v>1600</v>
      </c>
      <c r="B341">
        <v>1</v>
      </c>
    </row>
    <row r="342" spans="1:2" x14ac:dyDescent="0.3">
      <c r="A342" t="s">
        <v>2922</v>
      </c>
      <c r="B342">
        <v>1</v>
      </c>
    </row>
    <row r="343" spans="1:2" x14ac:dyDescent="0.3">
      <c r="A343" t="s">
        <v>1604</v>
      </c>
      <c r="B343">
        <v>1</v>
      </c>
    </row>
    <row r="344" spans="1:2" x14ac:dyDescent="0.3">
      <c r="A344" t="s">
        <v>2923</v>
      </c>
      <c r="B344">
        <v>1</v>
      </c>
    </row>
    <row r="345" spans="1:2" x14ac:dyDescent="0.3">
      <c r="A345" t="s">
        <v>1609</v>
      </c>
      <c r="B345">
        <v>1</v>
      </c>
    </row>
    <row r="346" spans="1:2" x14ac:dyDescent="0.3">
      <c r="A346" t="s">
        <v>1612</v>
      </c>
      <c r="B346">
        <v>1</v>
      </c>
    </row>
    <row r="347" spans="1:2" x14ac:dyDescent="0.3">
      <c r="A347" t="s">
        <v>1614</v>
      </c>
      <c r="B347">
        <v>1</v>
      </c>
    </row>
    <row r="348" spans="1:2" x14ac:dyDescent="0.3">
      <c r="A348" t="s">
        <v>2924</v>
      </c>
      <c r="B348">
        <v>1</v>
      </c>
    </row>
    <row r="349" spans="1:2" x14ac:dyDescent="0.3">
      <c r="A349" t="s">
        <v>1618</v>
      </c>
      <c r="B349">
        <v>1</v>
      </c>
    </row>
    <row r="350" spans="1:2" x14ac:dyDescent="0.3">
      <c r="A350" t="s">
        <v>1621</v>
      </c>
      <c r="B350">
        <v>1</v>
      </c>
    </row>
    <row r="351" spans="1:2" x14ac:dyDescent="0.3">
      <c r="A351" t="s">
        <v>1624</v>
      </c>
      <c r="B351">
        <v>1</v>
      </c>
    </row>
    <row r="352" spans="1:2" x14ac:dyDescent="0.3">
      <c r="A352" t="s">
        <v>1625</v>
      </c>
      <c r="B352">
        <v>1</v>
      </c>
    </row>
    <row r="353" spans="1:2" x14ac:dyDescent="0.3">
      <c r="A353" t="s">
        <v>1628</v>
      </c>
      <c r="B353">
        <v>1</v>
      </c>
    </row>
    <row r="354" spans="1:2" x14ac:dyDescent="0.3">
      <c r="A354" t="s">
        <v>1631</v>
      </c>
      <c r="B354">
        <v>1</v>
      </c>
    </row>
    <row r="355" spans="1:2" x14ac:dyDescent="0.3">
      <c r="A355" t="s">
        <v>1632</v>
      </c>
      <c r="B355">
        <v>1</v>
      </c>
    </row>
    <row r="356" spans="1:2" x14ac:dyDescent="0.3">
      <c r="A356" t="s">
        <v>1635</v>
      </c>
      <c r="B356">
        <v>1</v>
      </c>
    </row>
    <row r="357" spans="1:2" x14ac:dyDescent="0.3">
      <c r="A357" t="s">
        <v>2925</v>
      </c>
      <c r="B357">
        <v>1</v>
      </c>
    </row>
    <row r="358" spans="1:2" x14ac:dyDescent="0.3">
      <c r="A358" t="s">
        <v>1639</v>
      </c>
      <c r="B358">
        <v>1</v>
      </c>
    </row>
    <row r="359" spans="1:2" x14ac:dyDescent="0.3">
      <c r="A359" t="s">
        <v>1640</v>
      </c>
      <c r="B359">
        <v>1</v>
      </c>
    </row>
    <row r="360" spans="1:2" x14ac:dyDescent="0.3">
      <c r="A360" t="s">
        <v>1642</v>
      </c>
      <c r="B360">
        <v>1</v>
      </c>
    </row>
    <row r="361" spans="1:2" x14ac:dyDescent="0.3">
      <c r="A361" t="s">
        <v>1645</v>
      </c>
      <c r="B361">
        <v>1</v>
      </c>
    </row>
    <row r="362" spans="1:2" x14ac:dyDescent="0.3">
      <c r="A362" t="s">
        <v>1647</v>
      </c>
      <c r="B362">
        <v>1</v>
      </c>
    </row>
    <row r="363" spans="1:2" x14ac:dyDescent="0.3">
      <c r="A363" t="s">
        <v>2926</v>
      </c>
      <c r="B363">
        <v>1</v>
      </c>
    </row>
    <row r="364" spans="1:2" x14ac:dyDescent="0.3">
      <c r="A364" t="s">
        <v>1652</v>
      </c>
      <c r="B364">
        <v>1</v>
      </c>
    </row>
    <row r="365" spans="1:2" x14ac:dyDescent="0.3">
      <c r="A365" t="s">
        <v>1654</v>
      </c>
      <c r="B365">
        <v>1</v>
      </c>
    </row>
    <row r="366" spans="1:2" x14ac:dyDescent="0.3">
      <c r="A366" t="s">
        <v>1657</v>
      </c>
      <c r="B366">
        <v>1</v>
      </c>
    </row>
    <row r="367" spans="1:2" x14ac:dyDescent="0.3">
      <c r="A367" t="s">
        <v>1660</v>
      </c>
      <c r="B367">
        <v>1</v>
      </c>
    </row>
    <row r="368" spans="1:2" x14ac:dyDescent="0.3">
      <c r="A368" t="s">
        <v>2927</v>
      </c>
      <c r="B368">
        <v>1</v>
      </c>
    </row>
    <row r="369" spans="1:2" x14ac:dyDescent="0.3">
      <c r="A369" t="s">
        <v>1666</v>
      </c>
      <c r="B369">
        <v>1</v>
      </c>
    </row>
    <row r="370" spans="1:2" x14ac:dyDescent="0.3">
      <c r="A370" t="s">
        <v>1668</v>
      </c>
      <c r="B370">
        <v>1</v>
      </c>
    </row>
    <row r="371" spans="1:2" x14ac:dyDescent="0.3">
      <c r="A371" t="s">
        <v>1670</v>
      </c>
      <c r="B371">
        <v>1</v>
      </c>
    </row>
    <row r="372" spans="1:2" x14ac:dyDescent="0.3">
      <c r="A372" t="s">
        <v>2928</v>
      </c>
      <c r="B372">
        <v>1</v>
      </c>
    </row>
    <row r="373" spans="1:2" x14ac:dyDescent="0.3">
      <c r="A373" t="s">
        <v>2929</v>
      </c>
      <c r="B373">
        <v>1</v>
      </c>
    </row>
    <row r="374" spans="1:2" x14ac:dyDescent="0.3">
      <c r="A374" t="s">
        <v>2930</v>
      </c>
      <c r="B374">
        <v>1</v>
      </c>
    </row>
    <row r="375" spans="1:2" x14ac:dyDescent="0.3">
      <c r="A375" t="s">
        <v>1679</v>
      </c>
      <c r="B375">
        <v>1</v>
      </c>
    </row>
    <row r="376" spans="1:2" x14ac:dyDescent="0.3">
      <c r="A376" t="s">
        <v>1682</v>
      </c>
      <c r="B376">
        <v>1</v>
      </c>
    </row>
    <row r="377" spans="1:2" x14ac:dyDescent="0.3">
      <c r="A377" t="s">
        <v>1685</v>
      </c>
      <c r="B377">
        <v>1</v>
      </c>
    </row>
    <row r="378" spans="1:2" x14ac:dyDescent="0.3">
      <c r="A378" t="s">
        <v>1688</v>
      </c>
      <c r="B378">
        <v>1</v>
      </c>
    </row>
    <row r="379" spans="1:2" x14ac:dyDescent="0.3">
      <c r="A379" t="s">
        <v>2931</v>
      </c>
      <c r="B379">
        <v>1</v>
      </c>
    </row>
    <row r="380" spans="1:2" x14ac:dyDescent="0.3">
      <c r="A380" t="s">
        <v>1693</v>
      </c>
      <c r="B380">
        <v>1</v>
      </c>
    </row>
    <row r="381" spans="1:2" x14ac:dyDescent="0.3">
      <c r="A381" t="s">
        <v>1697</v>
      </c>
      <c r="B381">
        <v>1</v>
      </c>
    </row>
    <row r="382" spans="1:2" x14ac:dyDescent="0.3">
      <c r="A382" t="s">
        <v>2932</v>
      </c>
      <c r="B382">
        <v>1</v>
      </c>
    </row>
    <row r="383" spans="1:2" x14ac:dyDescent="0.3">
      <c r="A383" t="s">
        <v>1701</v>
      </c>
      <c r="B383">
        <v>1</v>
      </c>
    </row>
    <row r="384" spans="1:2" x14ac:dyDescent="0.3">
      <c r="A384" t="s">
        <v>1703</v>
      </c>
      <c r="B384">
        <v>1</v>
      </c>
    </row>
    <row r="385" spans="1:2" x14ac:dyDescent="0.3">
      <c r="A385" t="s">
        <v>2933</v>
      </c>
      <c r="B385">
        <v>1</v>
      </c>
    </row>
    <row r="386" spans="1:2" x14ac:dyDescent="0.3">
      <c r="A386" t="s">
        <v>1708</v>
      </c>
      <c r="B386">
        <v>1</v>
      </c>
    </row>
    <row r="387" spans="1:2" x14ac:dyDescent="0.3">
      <c r="A387" t="s">
        <v>1709</v>
      </c>
      <c r="B387">
        <v>1</v>
      </c>
    </row>
    <row r="388" spans="1:2" x14ac:dyDescent="0.3">
      <c r="A388" t="s">
        <v>1712</v>
      </c>
      <c r="B388">
        <v>1</v>
      </c>
    </row>
    <row r="389" spans="1:2" x14ac:dyDescent="0.3">
      <c r="A389" t="s">
        <v>2934</v>
      </c>
      <c r="B389">
        <v>1</v>
      </c>
    </row>
    <row r="390" spans="1:2" x14ac:dyDescent="0.3">
      <c r="A390" t="s">
        <v>2935</v>
      </c>
      <c r="B390">
        <v>1</v>
      </c>
    </row>
    <row r="391" spans="1:2" x14ac:dyDescent="0.3">
      <c r="A391" t="s">
        <v>2936</v>
      </c>
      <c r="B391">
        <v>1</v>
      </c>
    </row>
    <row r="392" spans="1:2" x14ac:dyDescent="0.3">
      <c r="A392" t="s">
        <v>1719</v>
      </c>
      <c r="B392">
        <v>1</v>
      </c>
    </row>
    <row r="393" spans="1:2" x14ac:dyDescent="0.3">
      <c r="A393" t="s">
        <v>1722</v>
      </c>
      <c r="B393">
        <v>1</v>
      </c>
    </row>
    <row r="394" spans="1:2" x14ac:dyDescent="0.3">
      <c r="A394" t="s">
        <v>1724</v>
      </c>
      <c r="B394">
        <v>1</v>
      </c>
    </row>
    <row r="395" spans="1:2" x14ac:dyDescent="0.3">
      <c r="A395" t="s">
        <v>2937</v>
      </c>
      <c r="B395">
        <v>1</v>
      </c>
    </row>
    <row r="396" spans="1:2" x14ac:dyDescent="0.3">
      <c r="A396" t="s">
        <v>1727</v>
      </c>
      <c r="B396">
        <v>1</v>
      </c>
    </row>
    <row r="397" spans="1:2" x14ac:dyDescent="0.3">
      <c r="A397" t="s">
        <v>1728</v>
      </c>
      <c r="B397">
        <v>1</v>
      </c>
    </row>
    <row r="398" spans="1:2" x14ac:dyDescent="0.3">
      <c r="A398" t="s">
        <v>2938</v>
      </c>
      <c r="B398">
        <v>1</v>
      </c>
    </row>
    <row r="399" spans="1:2" x14ac:dyDescent="0.3">
      <c r="A399" t="s">
        <v>1734</v>
      </c>
      <c r="B399">
        <v>1</v>
      </c>
    </row>
    <row r="400" spans="1:2" x14ac:dyDescent="0.3">
      <c r="A400" t="s">
        <v>2939</v>
      </c>
      <c r="B400">
        <v>1</v>
      </c>
    </row>
    <row r="401" spans="1:2" x14ac:dyDescent="0.3">
      <c r="A401" t="s">
        <v>1742</v>
      </c>
      <c r="B401">
        <v>1</v>
      </c>
    </row>
    <row r="402" spans="1:2" x14ac:dyDescent="0.3">
      <c r="A402" t="s">
        <v>1744</v>
      </c>
      <c r="B402">
        <v>1</v>
      </c>
    </row>
    <row r="403" spans="1:2" x14ac:dyDescent="0.3">
      <c r="A403" t="s">
        <v>1747</v>
      </c>
      <c r="B403">
        <v>1</v>
      </c>
    </row>
    <row r="404" spans="1:2" x14ac:dyDescent="0.3">
      <c r="A404" t="s">
        <v>1752</v>
      </c>
      <c r="B404">
        <v>1</v>
      </c>
    </row>
    <row r="405" spans="1:2" x14ac:dyDescent="0.3">
      <c r="A405" t="s">
        <v>1755</v>
      </c>
      <c r="B405">
        <v>1</v>
      </c>
    </row>
    <row r="406" spans="1:2" x14ac:dyDescent="0.3">
      <c r="A406" t="s">
        <v>2940</v>
      </c>
      <c r="B406">
        <v>1</v>
      </c>
    </row>
    <row r="407" spans="1:2" x14ac:dyDescent="0.3">
      <c r="A407" t="s">
        <v>2941</v>
      </c>
      <c r="B407">
        <v>1</v>
      </c>
    </row>
    <row r="408" spans="1:2" x14ac:dyDescent="0.3">
      <c r="A408" t="s">
        <v>1762</v>
      </c>
      <c r="B408">
        <v>1</v>
      </c>
    </row>
    <row r="409" spans="1:2" x14ac:dyDescent="0.3">
      <c r="A409" t="s">
        <v>2942</v>
      </c>
      <c r="B409">
        <v>1</v>
      </c>
    </row>
    <row r="410" spans="1:2" x14ac:dyDescent="0.3">
      <c r="A410" t="s">
        <v>1768</v>
      </c>
      <c r="B410">
        <v>1</v>
      </c>
    </row>
    <row r="411" spans="1:2" x14ac:dyDescent="0.3">
      <c r="A411" t="s">
        <v>1770</v>
      </c>
      <c r="B411">
        <v>1</v>
      </c>
    </row>
    <row r="412" spans="1:2" x14ac:dyDescent="0.3">
      <c r="A412" t="s">
        <v>2943</v>
      </c>
      <c r="B412">
        <v>1</v>
      </c>
    </row>
    <row r="413" spans="1:2" x14ac:dyDescent="0.3">
      <c r="A413" t="s">
        <v>1776</v>
      </c>
      <c r="B413">
        <v>1</v>
      </c>
    </row>
    <row r="414" spans="1:2" x14ac:dyDescent="0.3">
      <c r="A414" t="s">
        <v>1779</v>
      </c>
      <c r="B414">
        <v>1</v>
      </c>
    </row>
    <row r="415" spans="1:2" x14ac:dyDescent="0.3">
      <c r="A415" t="s">
        <v>1781</v>
      </c>
      <c r="B415">
        <v>1</v>
      </c>
    </row>
    <row r="416" spans="1:2" x14ac:dyDescent="0.3">
      <c r="A416" t="s">
        <v>1783</v>
      </c>
      <c r="B416">
        <v>1</v>
      </c>
    </row>
    <row r="417" spans="1:2" x14ac:dyDescent="0.3">
      <c r="A417" t="s">
        <v>1786</v>
      </c>
      <c r="B417">
        <v>1</v>
      </c>
    </row>
    <row r="418" spans="1:2" x14ac:dyDescent="0.3">
      <c r="A418" t="s">
        <v>1789</v>
      </c>
      <c r="B418">
        <v>1</v>
      </c>
    </row>
    <row r="419" spans="1:2" x14ac:dyDescent="0.3">
      <c r="A419" t="s">
        <v>2944</v>
      </c>
      <c r="B419">
        <v>1</v>
      </c>
    </row>
    <row r="420" spans="1:2" x14ac:dyDescent="0.3">
      <c r="A420" t="s">
        <v>1795</v>
      </c>
      <c r="B420">
        <v>1</v>
      </c>
    </row>
    <row r="421" spans="1:2" x14ac:dyDescent="0.3">
      <c r="A421" t="s">
        <v>2945</v>
      </c>
      <c r="B421">
        <v>1</v>
      </c>
    </row>
    <row r="422" spans="1:2" x14ac:dyDescent="0.3">
      <c r="A422" t="s">
        <v>1801</v>
      </c>
      <c r="B422">
        <v>1</v>
      </c>
    </row>
    <row r="423" spans="1:2" x14ac:dyDescent="0.3">
      <c r="A423" t="s">
        <v>2946</v>
      </c>
      <c r="B423">
        <v>1</v>
      </c>
    </row>
    <row r="424" spans="1:2" x14ac:dyDescent="0.3">
      <c r="A424" t="s">
        <v>1806</v>
      </c>
      <c r="B424">
        <v>1</v>
      </c>
    </row>
    <row r="425" spans="1:2" x14ac:dyDescent="0.3">
      <c r="A425" t="s">
        <v>1808</v>
      </c>
      <c r="B425">
        <v>1</v>
      </c>
    </row>
    <row r="426" spans="1:2" x14ac:dyDescent="0.3">
      <c r="A426" t="s">
        <v>1812</v>
      </c>
      <c r="B426">
        <v>1</v>
      </c>
    </row>
    <row r="427" spans="1:2" x14ac:dyDescent="0.3">
      <c r="A427" t="s">
        <v>1816</v>
      </c>
      <c r="B427">
        <v>1</v>
      </c>
    </row>
    <row r="428" spans="1:2" x14ac:dyDescent="0.3">
      <c r="A428" t="s">
        <v>1818</v>
      </c>
      <c r="B428">
        <v>1</v>
      </c>
    </row>
    <row r="429" spans="1:2" x14ac:dyDescent="0.3">
      <c r="A429" t="s">
        <v>2672</v>
      </c>
      <c r="B429">
        <v>1</v>
      </c>
    </row>
    <row r="430" spans="1:2" x14ac:dyDescent="0.3">
      <c r="A430" t="s">
        <v>1823</v>
      </c>
      <c r="B430">
        <v>1</v>
      </c>
    </row>
    <row r="431" spans="1:2" x14ac:dyDescent="0.3">
      <c r="A431" t="s">
        <v>1825</v>
      </c>
      <c r="B431">
        <v>1</v>
      </c>
    </row>
    <row r="432" spans="1:2" x14ac:dyDescent="0.3">
      <c r="A432" t="s">
        <v>1827</v>
      </c>
      <c r="B432">
        <v>1</v>
      </c>
    </row>
    <row r="433" spans="1:2" x14ac:dyDescent="0.3">
      <c r="A433" t="s">
        <v>2947</v>
      </c>
      <c r="B433">
        <v>1</v>
      </c>
    </row>
    <row r="434" spans="1:2" x14ac:dyDescent="0.3">
      <c r="A434" t="s">
        <v>1834</v>
      </c>
      <c r="B434">
        <v>1</v>
      </c>
    </row>
    <row r="435" spans="1:2" x14ac:dyDescent="0.3">
      <c r="A435" t="s">
        <v>2948</v>
      </c>
      <c r="B435">
        <v>1</v>
      </c>
    </row>
    <row r="436" spans="1:2" x14ac:dyDescent="0.3">
      <c r="A436" t="s">
        <v>1840</v>
      </c>
      <c r="B436">
        <v>1</v>
      </c>
    </row>
    <row r="437" spans="1:2" x14ac:dyDescent="0.3">
      <c r="A437" t="s">
        <v>1842</v>
      </c>
      <c r="B437">
        <v>1</v>
      </c>
    </row>
    <row r="438" spans="1:2" x14ac:dyDescent="0.3">
      <c r="A438" t="s">
        <v>1844</v>
      </c>
      <c r="B438">
        <v>1</v>
      </c>
    </row>
    <row r="439" spans="1:2" x14ac:dyDescent="0.3">
      <c r="A439" t="s">
        <v>2949</v>
      </c>
      <c r="B439">
        <v>1</v>
      </c>
    </row>
    <row r="440" spans="1:2" x14ac:dyDescent="0.3">
      <c r="A440" t="s">
        <v>2950</v>
      </c>
      <c r="B440">
        <v>1</v>
      </c>
    </row>
    <row r="441" spans="1:2" x14ac:dyDescent="0.3">
      <c r="A441" t="s">
        <v>1852</v>
      </c>
      <c r="B441">
        <v>1</v>
      </c>
    </row>
    <row r="442" spans="1:2" x14ac:dyDescent="0.3">
      <c r="A442" t="s">
        <v>1854</v>
      </c>
      <c r="B442">
        <v>1</v>
      </c>
    </row>
    <row r="443" spans="1:2" x14ac:dyDescent="0.3">
      <c r="A443" t="s">
        <v>1856</v>
      </c>
      <c r="B443">
        <v>1</v>
      </c>
    </row>
    <row r="444" spans="1:2" x14ac:dyDescent="0.3">
      <c r="A444" t="s">
        <v>2951</v>
      </c>
      <c r="B444">
        <v>1</v>
      </c>
    </row>
    <row r="445" spans="1:2" x14ac:dyDescent="0.3">
      <c r="A445" t="s">
        <v>2952</v>
      </c>
      <c r="B445">
        <v>1</v>
      </c>
    </row>
    <row r="446" spans="1:2" x14ac:dyDescent="0.3">
      <c r="A446" t="s">
        <v>2953</v>
      </c>
      <c r="B446">
        <v>1</v>
      </c>
    </row>
    <row r="447" spans="1:2" x14ac:dyDescent="0.3">
      <c r="A447" t="s">
        <v>1865</v>
      </c>
      <c r="B447">
        <v>1</v>
      </c>
    </row>
    <row r="448" spans="1:2" x14ac:dyDescent="0.3">
      <c r="A448" t="s">
        <v>1868</v>
      </c>
      <c r="B448">
        <v>1</v>
      </c>
    </row>
    <row r="449" spans="1:2" x14ac:dyDescent="0.3">
      <c r="A449" t="s">
        <v>2954</v>
      </c>
      <c r="B449">
        <v>1</v>
      </c>
    </row>
    <row r="450" spans="1:2" x14ac:dyDescent="0.3">
      <c r="A450" t="s">
        <v>2955</v>
      </c>
      <c r="B450">
        <v>1</v>
      </c>
    </row>
    <row r="451" spans="1:2" x14ac:dyDescent="0.3">
      <c r="A451" t="s">
        <v>2956</v>
      </c>
      <c r="B451">
        <v>1</v>
      </c>
    </row>
    <row r="452" spans="1:2" x14ac:dyDescent="0.3">
      <c r="A452" t="s">
        <v>1878</v>
      </c>
      <c r="B452">
        <v>1</v>
      </c>
    </row>
    <row r="453" spans="1:2" x14ac:dyDescent="0.3">
      <c r="A453" t="s">
        <v>2957</v>
      </c>
      <c r="B453">
        <v>1</v>
      </c>
    </row>
    <row r="454" spans="1:2" x14ac:dyDescent="0.3">
      <c r="A454" t="s">
        <v>1884</v>
      </c>
      <c r="B454">
        <v>1</v>
      </c>
    </row>
    <row r="455" spans="1:2" x14ac:dyDescent="0.3">
      <c r="A455" t="s">
        <v>2958</v>
      </c>
      <c r="B455">
        <v>1</v>
      </c>
    </row>
    <row r="456" spans="1:2" x14ac:dyDescent="0.3">
      <c r="A456" t="s">
        <v>1890</v>
      </c>
      <c r="B456">
        <v>1</v>
      </c>
    </row>
    <row r="457" spans="1:2" x14ac:dyDescent="0.3">
      <c r="A457" t="s">
        <v>1891</v>
      </c>
      <c r="B457">
        <v>1</v>
      </c>
    </row>
    <row r="458" spans="1:2" x14ac:dyDescent="0.3">
      <c r="A458" t="s">
        <v>1895</v>
      </c>
      <c r="B458">
        <v>1</v>
      </c>
    </row>
    <row r="459" spans="1:2" x14ac:dyDescent="0.3">
      <c r="A459" t="s">
        <v>1899</v>
      </c>
      <c r="B459">
        <v>1</v>
      </c>
    </row>
    <row r="460" spans="1:2" x14ac:dyDescent="0.3">
      <c r="A460" t="s">
        <v>1900</v>
      </c>
      <c r="B460">
        <v>1</v>
      </c>
    </row>
    <row r="461" spans="1:2" x14ac:dyDescent="0.3">
      <c r="A461" t="s">
        <v>1903</v>
      </c>
      <c r="B461">
        <v>1</v>
      </c>
    </row>
    <row r="462" spans="1:2" x14ac:dyDescent="0.3">
      <c r="A462" t="s">
        <v>1906</v>
      </c>
      <c r="B462">
        <v>1</v>
      </c>
    </row>
    <row r="463" spans="1:2" x14ac:dyDescent="0.3">
      <c r="A463" t="s">
        <v>1910</v>
      </c>
      <c r="B463">
        <v>1</v>
      </c>
    </row>
    <row r="464" spans="1:2" x14ac:dyDescent="0.3">
      <c r="A464" t="s">
        <v>1914</v>
      </c>
      <c r="B464">
        <v>1</v>
      </c>
    </row>
    <row r="465" spans="1:2" x14ac:dyDescent="0.3">
      <c r="A465" t="s">
        <v>1920</v>
      </c>
      <c r="B465">
        <v>1</v>
      </c>
    </row>
    <row r="466" spans="1:2" x14ac:dyDescent="0.3">
      <c r="A466" t="s">
        <v>1923</v>
      </c>
      <c r="B466">
        <v>1</v>
      </c>
    </row>
    <row r="467" spans="1:2" x14ac:dyDescent="0.3">
      <c r="A467" t="s">
        <v>1925</v>
      </c>
      <c r="B467">
        <v>1</v>
      </c>
    </row>
    <row r="468" spans="1:2" x14ac:dyDescent="0.3">
      <c r="A468" t="s">
        <v>2959</v>
      </c>
      <c r="B468">
        <v>1</v>
      </c>
    </row>
    <row r="469" spans="1:2" x14ac:dyDescent="0.3">
      <c r="A469" t="s">
        <v>1927</v>
      </c>
      <c r="B469">
        <v>1</v>
      </c>
    </row>
    <row r="470" spans="1:2" x14ac:dyDescent="0.3">
      <c r="A470" t="s">
        <v>1929</v>
      </c>
      <c r="B470">
        <v>1</v>
      </c>
    </row>
    <row r="471" spans="1:2" x14ac:dyDescent="0.3">
      <c r="A471" t="s">
        <v>1932</v>
      </c>
      <c r="B471">
        <v>1</v>
      </c>
    </row>
    <row r="472" spans="1:2" x14ac:dyDescent="0.3">
      <c r="A472" t="s">
        <v>1934</v>
      </c>
      <c r="B472">
        <v>1</v>
      </c>
    </row>
    <row r="473" spans="1:2" x14ac:dyDescent="0.3">
      <c r="A473" t="s">
        <v>1936</v>
      </c>
      <c r="B473">
        <v>1</v>
      </c>
    </row>
    <row r="474" spans="1:2" x14ac:dyDescent="0.3">
      <c r="A474" t="s">
        <v>1939</v>
      </c>
      <c r="B474">
        <v>1</v>
      </c>
    </row>
    <row r="475" spans="1:2" x14ac:dyDescent="0.3">
      <c r="A475" t="s">
        <v>1942</v>
      </c>
      <c r="B475">
        <v>1</v>
      </c>
    </row>
    <row r="476" spans="1:2" x14ac:dyDescent="0.3">
      <c r="A476" t="s">
        <v>1943</v>
      </c>
      <c r="B476">
        <v>1</v>
      </c>
    </row>
    <row r="477" spans="1:2" x14ac:dyDescent="0.3">
      <c r="A477" t="s">
        <v>1945</v>
      </c>
      <c r="B477">
        <v>1</v>
      </c>
    </row>
    <row r="478" spans="1:2" x14ac:dyDescent="0.3">
      <c r="A478" t="s">
        <v>1948</v>
      </c>
      <c r="B478">
        <v>1</v>
      </c>
    </row>
    <row r="479" spans="1:2" x14ac:dyDescent="0.3">
      <c r="A479" t="s">
        <v>1950</v>
      </c>
      <c r="B479">
        <v>1</v>
      </c>
    </row>
    <row r="480" spans="1:2" x14ac:dyDescent="0.3">
      <c r="A480" t="s">
        <v>1952</v>
      </c>
      <c r="B480">
        <v>1</v>
      </c>
    </row>
    <row r="481" spans="1:2" x14ac:dyDescent="0.3">
      <c r="A481" t="s">
        <v>1955</v>
      </c>
      <c r="B481">
        <v>1</v>
      </c>
    </row>
    <row r="482" spans="1:2" x14ac:dyDescent="0.3">
      <c r="A482" t="s">
        <v>1957</v>
      </c>
      <c r="B482">
        <v>1</v>
      </c>
    </row>
    <row r="483" spans="1:2" x14ac:dyDescent="0.3">
      <c r="A483" t="s">
        <v>1959</v>
      </c>
      <c r="B483">
        <v>1</v>
      </c>
    </row>
    <row r="484" spans="1:2" x14ac:dyDescent="0.3">
      <c r="A484" t="s">
        <v>1961</v>
      </c>
      <c r="B484">
        <v>1</v>
      </c>
    </row>
    <row r="485" spans="1:2" x14ac:dyDescent="0.3">
      <c r="A485" t="s">
        <v>1963</v>
      </c>
      <c r="B485">
        <v>1</v>
      </c>
    </row>
    <row r="486" spans="1:2" x14ac:dyDescent="0.3">
      <c r="A486" t="s">
        <v>1965</v>
      </c>
      <c r="B486">
        <v>1</v>
      </c>
    </row>
    <row r="487" spans="1:2" x14ac:dyDescent="0.3">
      <c r="A487" t="s">
        <v>1967</v>
      </c>
      <c r="B487">
        <v>1</v>
      </c>
    </row>
    <row r="488" spans="1:2" x14ac:dyDescent="0.3">
      <c r="A488" t="s">
        <v>1969</v>
      </c>
      <c r="B488">
        <v>1</v>
      </c>
    </row>
    <row r="489" spans="1:2" x14ac:dyDescent="0.3">
      <c r="A489" t="s">
        <v>1971</v>
      </c>
      <c r="B489">
        <v>1</v>
      </c>
    </row>
    <row r="490" spans="1:2" x14ac:dyDescent="0.3">
      <c r="A490" t="s">
        <v>1973</v>
      </c>
      <c r="B490">
        <v>1</v>
      </c>
    </row>
    <row r="491" spans="1:2" x14ac:dyDescent="0.3">
      <c r="A491" t="s">
        <v>1977</v>
      </c>
      <c r="B491">
        <v>1</v>
      </c>
    </row>
    <row r="492" spans="1:2" x14ac:dyDescent="0.3">
      <c r="A492" t="s">
        <v>1978</v>
      </c>
      <c r="B492">
        <v>1</v>
      </c>
    </row>
    <row r="493" spans="1:2" x14ac:dyDescent="0.3">
      <c r="A493" t="s">
        <v>1981</v>
      </c>
      <c r="B493">
        <v>1</v>
      </c>
    </row>
    <row r="494" spans="1:2" x14ac:dyDescent="0.3">
      <c r="A494" t="s">
        <v>1983</v>
      </c>
      <c r="B494">
        <v>1</v>
      </c>
    </row>
    <row r="495" spans="1:2" x14ac:dyDescent="0.3">
      <c r="A495" t="s">
        <v>1987</v>
      </c>
      <c r="B495">
        <v>1</v>
      </c>
    </row>
    <row r="496" spans="1:2" x14ac:dyDescent="0.3">
      <c r="A496" t="s">
        <v>1989</v>
      </c>
      <c r="B496">
        <v>1</v>
      </c>
    </row>
    <row r="497" spans="1:2" x14ac:dyDescent="0.3">
      <c r="A497" t="s">
        <v>1991</v>
      </c>
      <c r="B497">
        <v>1</v>
      </c>
    </row>
    <row r="498" spans="1:2" x14ac:dyDescent="0.3">
      <c r="A498" t="s">
        <v>1995</v>
      </c>
      <c r="B498">
        <v>1</v>
      </c>
    </row>
    <row r="499" spans="1:2" x14ac:dyDescent="0.3">
      <c r="A499" t="s">
        <v>1997</v>
      </c>
      <c r="B499">
        <v>1</v>
      </c>
    </row>
    <row r="500" spans="1:2" x14ac:dyDescent="0.3">
      <c r="A500" t="s">
        <v>1998</v>
      </c>
      <c r="B500">
        <v>1</v>
      </c>
    </row>
    <row r="501" spans="1:2" x14ac:dyDescent="0.3">
      <c r="A501" t="s">
        <v>2001</v>
      </c>
      <c r="B501">
        <v>1</v>
      </c>
    </row>
    <row r="502" spans="1:2" x14ac:dyDescent="0.3">
      <c r="A502" t="s">
        <v>2003</v>
      </c>
      <c r="B502">
        <v>1</v>
      </c>
    </row>
    <row r="503" spans="1:2" x14ac:dyDescent="0.3">
      <c r="A503" t="s">
        <v>2004</v>
      </c>
      <c r="B503">
        <v>1</v>
      </c>
    </row>
    <row r="504" spans="1:2" x14ac:dyDescent="0.3">
      <c r="A504" t="s">
        <v>2007</v>
      </c>
      <c r="B504">
        <v>1</v>
      </c>
    </row>
    <row r="505" spans="1:2" x14ac:dyDescent="0.3">
      <c r="A505" t="s">
        <v>2009</v>
      </c>
      <c r="B505">
        <v>1</v>
      </c>
    </row>
    <row r="506" spans="1:2" x14ac:dyDescent="0.3">
      <c r="A506" t="s">
        <v>2012</v>
      </c>
      <c r="B506">
        <v>1</v>
      </c>
    </row>
    <row r="507" spans="1:2" x14ac:dyDescent="0.3">
      <c r="A507" t="s">
        <v>2013</v>
      </c>
      <c r="B507">
        <v>1</v>
      </c>
    </row>
    <row r="508" spans="1:2" x14ac:dyDescent="0.3">
      <c r="A508" t="s">
        <v>2015</v>
      </c>
      <c r="B508">
        <v>1</v>
      </c>
    </row>
    <row r="509" spans="1:2" x14ac:dyDescent="0.3">
      <c r="A509" t="s">
        <v>2017</v>
      </c>
      <c r="B509">
        <v>1</v>
      </c>
    </row>
    <row r="510" spans="1:2" x14ac:dyDescent="0.3">
      <c r="A510" t="s">
        <v>2799</v>
      </c>
      <c r="B510">
        <v>1</v>
      </c>
    </row>
    <row r="511" spans="1:2" x14ac:dyDescent="0.3">
      <c r="A511" t="s">
        <v>2019</v>
      </c>
      <c r="B511">
        <v>1</v>
      </c>
    </row>
    <row r="512" spans="1:2" x14ac:dyDescent="0.3">
      <c r="A512" t="s">
        <v>2023</v>
      </c>
      <c r="B512">
        <v>1</v>
      </c>
    </row>
    <row r="513" spans="1:2" x14ac:dyDescent="0.3">
      <c r="A513" t="s">
        <v>2024</v>
      </c>
      <c r="B513">
        <v>1</v>
      </c>
    </row>
    <row r="514" spans="1:2" x14ac:dyDescent="0.3">
      <c r="A514" t="s">
        <v>2026</v>
      </c>
      <c r="B514">
        <v>1</v>
      </c>
    </row>
    <row r="515" spans="1:2" x14ac:dyDescent="0.3">
      <c r="A515" t="s">
        <v>2960</v>
      </c>
      <c r="B515">
        <v>1</v>
      </c>
    </row>
    <row r="516" spans="1:2" x14ac:dyDescent="0.3">
      <c r="A516" t="s">
        <v>2029</v>
      </c>
      <c r="B516">
        <v>1</v>
      </c>
    </row>
    <row r="517" spans="1:2" x14ac:dyDescent="0.3">
      <c r="A517" t="s">
        <v>2031</v>
      </c>
      <c r="B517">
        <v>1</v>
      </c>
    </row>
    <row r="518" spans="1:2" x14ac:dyDescent="0.3">
      <c r="A518" t="s">
        <v>2034</v>
      </c>
      <c r="B518">
        <v>1</v>
      </c>
    </row>
    <row r="519" spans="1:2" x14ac:dyDescent="0.3">
      <c r="A519" t="s">
        <v>2037</v>
      </c>
      <c r="B519">
        <v>1</v>
      </c>
    </row>
    <row r="520" spans="1:2" x14ac:dyDescent="0.3">
      <c r="A520" t="s">
        <v>2040</v>
      </c>
      <c r="B520">
        <v>1</v>
      </c>
    </row>
    <row r="521" spans="1:2" x14ac:dyDescent="0.3">
      <c r="A521" t="s">
        <v>2041</v>
      </c>
      <c r="B521">
        <v>1</v>
      </c>
    </row>
    <row r="522" spans="1:2" x14ac:dyDescent="0.3">
      <c r="A522" t="s">
        <v>2961</v>
      </c>
      <c r="B522">
        <v>1</v>
      </c>
    </row>
    <row r="523" spans="1:2" x14ac:dyDescent="0.3">
      <c r="A523" t="s">
        <v>2044</v>
      </c>
      <c r="B523">
        <v>1</v>
      </c>
    </row>
    <row r="524" spans="1:2" x14ac:dyDescent="0.3">
      <c r="A524" t="s">
        <v>2046</v>
      </c>
      <c r="B524">
        <v>1</v>
      </c>
    </row>
    <row r="525" spans="1:2" x14ac:dyDescent="0.3">
      <c r="A525" t="s">
        <v>2048</v>
      </c>
      <c r="B525">
        <v>1</v>
      </c>
    </row>
    <row r="526" spans="1:2" x14ac:dyDescent="0.3">
      <c r="A526" t="s">
        <v>2050</v>
      </c>
      <c r="B526">
        <v>1</v>
      </c>
    </row>
    <row r="527" spans="1:2" x14ac:dyDescent="0.3">
      <c r="A527" t="s">
        <v>2962</v>
      </c>
      <c r="B527">
        <v>1</v>
      </c>
    </row>
    <row r="528" spans="1:2" x14ac:dyDescent="0.3">
      <c r="A528" t="s">
        <v>2054</v>
      </c>
      <c r="B528">
        <v>1</v>
      </c>
    </row>
    <row r="529" spans="1:2" x14ac:dyDescent="0.3">
      <c r="A529" t="s">
        <v>2058</v>
      </c>
      <c r="B529">
        <v>1</v>
      </c>
    </row>
    <row r="530" spans="1:2" x14ac:dyDescent="0.3">
      <c r="A530" t="s">
        <v>2059</v>
      </c>
      <c r="B530">
        <v>1</v>
      </c>
    </row>
    <row r="531" spans="1:2" x14ac:dyDescent="0.3">
      <c r="A531" t="s">
        <v>2061</v>
      </c>
      <c r="B531">
        <v>1</v>
      </c>
    </row>
    <row r="532" spans="1:2" x14ac:dyDescent="0.3">
      <c r="A532" t="s">
        <v>2062</v>
      </c>
      <c r="B532">
        <v>1</v>
      </c>
    </row>
    <row r="533" spans="1:2" x14ac:dyDescent="0.3">
      <c r="A533" t="s">
        <v>2064</v>
      </c>
      <c r="B533">
        <v>1</v>
      </c>
    </row>
    <row r="534" spans="1:2" x14ac:dyDescent="0.3">
      <c r="A534" t="s">
        <v>2065</v>
      </c>
      <c r="B534">
        <v>1</v>
      </c>
    </row>
    <row r="535" spans="1:2" x14ac:dyDescent="0.3">
      <c r="A535" t="s">
        <v>2068</v>
      </c>
      <c r="B535">
        <v>1</v>
      </c>
    </row>
    <row r="536" spans="1:2" x14ac:dyDescent="0.3">
      <c r="A536" t="s">
        <v>2069</v>
      </c>
      <c r="B536">
        <v>1</v>
      </c>
    </row>
    <row r="537" spans="1:2" x14ac:dyDescent="0.3">
      <c r="A537" t="s">
        <v>2071</v>
      </c>
      <c r="B537">
        <v>1</v>
      </c>
    </row>
    <row r="538" spans="1:2" x14ac:dyDescent="0.3">
      <c r="A538" t="s">
        <v>2963</v>
      </c>
      <c r="B538">
        <v>1</v>
      </c>
    </row>
    <row r="539" spans="1:2" x14ac:dyDescent="0.3">
      <c r="A539" t="s">
        <v>2964</v>
      </c>
      <c r="B539">
        <v>1</v>
      </c>
    </row>
    <row r="540" spans="1:2" x14ac:dyDescent="0.3">
      <c r="A540" t="s">
        <v>2965</v>
      </c>
      <c r="B540">
        <v>1</v>
      </c>
    </row>
    <row r="541" spans="1:2" x14ac:dyDescent="0.3">
      <c r="A541" t="s">
        <v>2076</v>
      </c>
      <c r="B541">
        <v>1</v>
      </c>
    </row>
    <row r="542" spans="1:2" x14ac:dyDescent="0.3">
      <c r="A542" t="s">
        <v>2077</v>
      </c>
      <c r="B542">
        <v>1</v>
      </c>
    </row>
    <row r="543" spans="1:2" x14ac:dyDescent="0.3">
      <c r="A543" t="s">
        <v>2079</v>
      </c>
      <c r="B543">
        <v>1</v>
      </c>
    </row>
    <row r="544" spans="1:2" x14ac:dyDescent="0.3">
      <c r="A544" t="s">
        <v>2082</v>
      </c>
      <c r="B544">
        <v>1</v>
      </c>
    </row>
    <row r="545" spans="1:2" x14ac:dyDescent="0.3">
      <c r="A545" t="s">
        <v>2083</v>
      </c>
      <c r="B545">
        <v>1</v>
      </c>
    </row>
    <row r="546" spans="1:2" x14ac:dyDescent="0.3">
      <c r="A546" t="s">
        <v>2086</v>
      </c>
      <c r="B546">
        <v>1</v>
      </c>
    </row>
    <row r="547" spans="1:2" x14ac:dyDescent="0.3">
      <c r="A547" t="s">
        <v>2088</v>
      </c>
      <c r="B547">
        <v>1</v>
      </c>
    </row>
    <row r="548" spans="1:2" x14ac:dyDescent="0.3">
      <c r="A548" t="s">
        <v>2091</v>
      </c>
      <c r="B548">
        <v>1</v>
      </c>
    </row>
    <row r="549" spans="1:2" x14ac:dyDescent="0.3">
      <c r="A549" t="s">
        <v>2094</v>
      </c>
      <c r="B549">
        <v>1</v>
      </c>
    </row>
    <row r="550" spans="1:2" x14ac:dyDescent="0.3">
      <c r="A550" t="s">
        <v>2097</v>
      </c>
      <c r="B550">
        <v>1</v>
      </c>
    </row>
    <row r="551" spans="1:2" x14ac:dyDescent="0.3">
      <c r="A551" t="s">
        <v>2101</v>
      </c>
      <c r="B551">
        <v>1</v>
      </c>
    </row>
    <row r="552" spans="1:2" x14ac:dyDescent="0.3">
      <c r="A552" t="s">
        <v>2103</v>
      </c>
      <c r="B552">
        <v>1</v>
      </c>
    </row>
    <row r="553" spans="1:2" x14ac:dyDescent="0.3">
      <c r="A553" t="s">
        <v>2106</v>
      </c>
      <c r="B553">
        <v>1</v>
      </c>
    </row>
    <row r="554" spans="1:2" x14ac:dyDescent="0.3">
      <c r="A554" t="s">
        <v>2108</v>
      </c>
      <c r="B554">
        <v>1</v>
      </c>
    </row>
    <row r="555" spans="1:2" x14ac:dyDescent="0.3">
      <c r="A555" t="s">
        <v>2109</v>
      </c>
      <c r="B555">
        <v>1</v>
      </c>
    </row>
    <row r="556" spans="1:2" x14ac:dyDescent="0.3">
      <c r="A556" t="s">
        <v>2111</v>
      </c>
      <c r="B556">
        <v>1</v>
      </c>
    </row>
    <row r="557" spans="1:2" x14ac:dyDescent="0.3">
      <c r="A557" t="s">
        <v>2966</v>
      </c>
      <c r="B557">
        <v>1</v>
      </c>
    </row>
    <row r="558" spans="1:2" x14ac:dyDescent="0.3">
      <c r="A558" t="s">
        <v>2967</v>
      </c>
      <c r="B558">
        <v>1</v>
      </c>
    </row>
    <row r="559" spans="1:2" x14ac:dyDescent="0.3">
      <c r="A559" t="s">
        <v>2968</v>
      </c>
      <c r="B559">
        <v>1</v>
      </c>
    </row>
    <row r="560" spans="1:2" x14ac:dyDescent="0.3">
      <c r="A560" t="s">
        <v>2115</v>
      </c>
      <c r="B560">
        <v>1</v>
      </c>
    </row>
    <row r="561" spans="1:2" x14ac:dyDescent="0.3">
      <c r="A561" t="s">
        <v>2969</v>
      </c>
      <c r="B561">
        <v>1</v>
      </c>
    </row>
    <row r="562" spans="1:2" x14ac:dyDescent="0.3">
      <c r="A562" t="s">
        <v>2117</v>
      </c>
      <c r="B562">
        <v>1</v>
      </c>
    </row>
    <row r="563" spans="1:2" x14ac:dyDescent="0.3">
      <c r="A563" t="s">
        <v>2807</v>
      </c>
      <c r="B563">
        <v>1</v>
      </c>
    </row>
    <row r="564" spans="1:2" x14ac:dyDescent="0.3">
      <c r="A564" t="s">
        <v>2120</v>
      </c>
      <c r="B564">
        <v>1</v>
      </c>
    </row>
    <row r="565" spans="1:2" x14ac:dyDescent="0.3">
      <c r="A565" t="s">
        <v>2122</v>
      </c>
      <c r="B565">
        <v>1</v>
      </c>
    </row>
    <row r="566" spans="1:2" x14ac:dyDescent="0.3">
      <c r="A566" t="s">
        <v>2123</v>
      </c>
      <c r="B566">
        <v>1</v>
      </c>
    </row>
    <row r="567" spans="1:2" x14ac:dyDescent="0.3">
      <c r="A567" t="s">
        <v>2125</v>
      </c>
      <c r="B567">
        <v>1</v>
      </c>
    </row>
    <row r="568" spans="1:2" x14ac:dyDescent="0.3">
      <c r="A568" t="s">
        <v>2128</v>
      </c>
      <c r="B568">
        <v>1</v>
      </c>
    </row>
    <row r="569" spans="1:2" x14ac:dyDescent="0.3">
      <c r="A569" t="s">
        <v>2970</v>
      </c>
      <c r="B569">
        <v>1</v>
      </c>
    </row>
    <row r="570" spans="1:2" x14ac:dyDescent="0.3">
      <c r="A570" t="s">
        <v>2137</v>
      </c>
      <c r="B570">
        <v>1</v>
      </c>
    </row>
    <row r="571" spans="1:2" x14ac:dyDescent="0.3">
      <c r="A571" t="s">
        <v>2141</v>
      </c>
      <c r="B571">
        <v>1</v>
      </c>
    </row>
    <row r="572" spans="1:2" x14ac:dyDescent="0.3">
      <c r="A572" t="s">
        <v>2144</v>
      </c>
      <c r="B572">
        <v>1</v>
      </c>
    </row>
    <row r="573" spans="1:2" x14ac:dyDescent="0.3">
      <c r="A573" t="s">
        <v>2146</v>
      </c>
      <c r="B573">
        <v>1</v>
      </c>
    </row>
    <row r="574" spans="1:2" x14ac:dyDescent="0.3">
      <c r="A574" t="s">
        <v>2148</v>
      </c>
      <c r="B574">
        <v>1</v>
      </c>
    </row>
    <row r="575" spans="1:2" x14ac:dyDescent="0.3">
      <c r="A575" t="s">
        <v>2149</v>
      </c>
      <c r="B575">
        <v>1</v>
      </c>
    </row>
    <row r="576" spans="1:2" x14ac:dyDescent="0.3">
      <c r="A576" t="s">
        <v>2151</v>
      </c>
      <c r="B576">
        <v>1</v>
      </c>
    </row>
    <row r="577" spans="1:2" x14ac:dyDescent="0.3">
      <c r="A577" t="s">
        <v>2152</v>
      </c>
      <c r="B577">
        <v>1</v>
      </c>
    </row>
    <row r="578" spans="1:2" x14ac:dyDescent="0.3">
      <c r="A578" t="s">
        <v>2155</v>
      </c>
      <c r="B578">
        <v>1</v>
      </c>
    </row>
    <row r="579" spans="1:2" x14ac:dyDescent="0.3">
      <c r="A579" t="s">
        <v>2158</v>
      </c>
      <c r="B579">
        <v>1</v>
      </c>
    </row>
    <row r="580" spans="1:2" x14ac:dyDescent="0.3">
      <c r="A580" t="s">
        <v>2159</v>
      </c>
      <c r="B580">
        <v>1</v>
      </c>
    </row>
    <row r="581" spans="1:2" x14ac:dyDescent="0.3">
      <c r="A581" t="s">
        <v>2163</v>
      </c>
      <c r="B581">
        <v>1</v>
      </c>
    </row>
    <row r="582" spans="1:2" x14ac:dyDescent="0.3">
      <c r="A582" t="s">
        <v>2971</v>
      </c>
      <c r="B582">
        <v>1</v>
      </c>
    </row>
    <row r="583" spans="1:2" x14ac:dyDescent="0.3">
      <c r="A583" t="s">
        <v>2168</v>
      </c>
      <c r="B583">
        <v>1</v>
      </c>
    </row>
    <row r="584" spans="1:2" x14ac:dyDescent="0.3">
      <c r="A584" t="s">
        <v>2172</v>
      </c>
      <c r="B584">
        <v>1</v>
      </c>
    </row>
    <row r="585" spans="1:2" x14ac:dyDescent="0.3">
      <c r="A585" t="s">
        <v>2177</v>
      </c>
      <c r="B585">
        <v>1</v>
      </c>
    </row>
    <row r="586" spans="1:2" x14ac:dyDescent="0.3">
      <c r="A586" t="s">
        <v>2180</v>
      </c>
      <c r="B586">
        <v>1</v>
      </c>
    </row>
    <row r="587" spans="1:2" x14ac:dyDescent="0.3">
      <c r="A587" t="s">
        <v>2811</v>
      </c>
      <c r="B587">
        <v>1</v>
      </c>
    </row>
    <row r="588" spans="1:2" x14ac:dyDescent="0.3">
      <c r="A588" t="s">
        <v>2183</v>
      </c>
      <c r="B588">
        <v>1</v>
      </c>
    </row>
    <row r="589" spans="1:2" x14ac:dyDescent="0.3">
      <c r="A589" t="s">
        <v>2185</v>
      </c>
      <c r="B589">
        <v>1</v>
      </c>
    </row>
    <row r="590" spans="1:2" x14ac:dyDescent="0.3">
      <c r="A590" t="s">
        <v>2186</v>
      </c>
      <c r="B590">
        <v>1</v>
      </c>
    </row>
    <row r="591" spans="1:2" x14ac:dyDescent="0.3">
      <c r="A591" t="s">
        <v>2188</v>
      </c>
      <c r="B591">
        <v>1</v>
      </c>
    </row>
    <row r="592" spans="1:2" x14ac:dyDescent="0.3">
      <c r="A592" t="s">
        <v>2190</v>
      </c>
      <c r="B592">
        <v>1</v>
      </c>
    </row>
    <row r="593" spans="1:2" x14ac:dyDescent="0.3">
      <c r="A593" t="s">
        <v>2193</v>
      </c>
      <c r="B593">
        <v>1</v>
      </c>
    </row>
    <row r="594" spans="1:2" x14ac:dyDescent="0.3">
      <c r="A594" t="s">
        <v>2196</v>
      </c>
      <c r="B594">
        <v>1</v>
      </c>
    </row>
    <row r="595" spans="1:2" x14ac:dyDescent="0.3">
      <c r="A595" t="s">
        <v>2198</v>
      </c>
      <c r="B595">
        <v>1</v>
      </c>
    </row>
    <row r="596" spans="1:2" x14ac:dyDescent="0.3">
      <c r="A596" t="s">
        <v>2202</v>
      </c>
      <c r="B596">
        <v>1</v>
      </c>
    </row>
    <row r="597" spans="1:2" x14ac:dyDescent="0.3">
      <c r="A597" t="s">
        <v>2204</v>
      </c>
      <c r="B597">
        <v>1</v>
      </c>
    </row>
    <row r="598" spans="1:2" x14ac:dyDescent="0.3">
      <c r="A598" t="s">
        <v>2208</v>
      </c>
      <c r="B598">
        <v>1</v>
      </c>
    </row>
    <row r="599" spans="1:2" x14ac:dyDescent="0.3">
      <c r="A599" t="s">
        <v>2211</v>
      </c>
      <c r="B599">
        <v>1</v>
      </c>
    </row>
    <row r="600" spans="1:2" x14ac:dyDescent="0.3">
      <c r="A600" t="s">
        <v>2215</v>
      </c>
      <c r="B600">
        <v>1</v>
      </c>
    </row>
    <row r="601" spans="1:2" x14ac:dyDescent="0.3">
      <c r="A601" t="s">
        <v>2218</v>
      </c>
      <c r="B601">
        <v>1</v>
      </c>
    </row>
    <row r="602" spans="1:2" x14ac:dyDescent="0.3">
      <c r="A602" t="s">
        <v>2219</v>
      </c>
      <c r="B602">
        <v>1</v>
      </c>
    </row>
    <row r="603" spans="1:2" x14ac:dyDescent="0.3">
      <c r="A603" t="s">
        <v>2222</v>
      </c>
      <c r="B603">
        <v>1</v>
      </c>
    </row>
    <row r="604" spans="1:2" x14ac:dyDescent="0.3">
      <c r="A604" t="s">
        <v>2224</v>
      </c>
      <c r="B604">
        <v>1</v>
      </c>
    </row>
    <row r="605" spans="1:2" x14ac:dyDescent="0.3">
      <c r="A605" t="s">
        <v>2972</v>
      </c>
      <c r="B605">
        <v>1</v>
      </c>
    </row>
    <row r="606" spans="1:2" x14ac:dyDescent="0.3">
      <c r="A606" t="s">
        <v>2228</v>
      </c>
      <c r="B606">
        <v>1</v>
      </c>
    </row>
    <row r="607" spans="1:2" x14ac:dyDescent="0.3">
      <c r="A607" t="s">
        <v>2229</v>
      </c>
      <c r="B607">
        <v>1</v>
      </c>
    </row>
    <row r="608" spans="1:2" x14ac:dyDescent="0.3">
      <c r="A608" t="s">
        <v>2230</v>
      </c>
      <c r="B608">
        <v>1</v>
      </c>
    </row>
    <row r="609" spans="1:2" x14ac:dyDescent="0.3">
      <c r="A609" t="s">
        <v>2231</v>
      </c>
      <c r="B609">
        <v>1</v>
      </c>
    </row>
    <row r="610" spans="1:2" x14ac:dyDescent="0.3">
      <c r="A610" t="s">
        <v>2234</v>
      </c>
      <c r="B610">
        <v>1</v>
      </c>
    </row>
    <row r="611" spans="1:2" x14ac:dyDescent="0.3">
      <c r="A611" t="s">
        <v>2235</v>
      </c>
      <c r="B611">
        <v>1</v>
      </c>
    </row>
    <row r="612" spans="1:2" x14ac:dyDescent="0.3">
      <c r="A612" t="s">
        <v>2816</v>
      </c>
      <c r="B612">
        <v>1</v>
      </c>
    </row>
    <row r="613" spans="1:2" x14ac:dyDescent="0.3">
      <c r="A613" t="s">
        <v>2238</v>
      </c>
      <c r="B613">
        <v>1</v>
      </c>
    </row>
    <row r="614" spans="1:2" x14ac:dyDescent="0.3">
      <c r="A614" t="s">
        <v>2243</v>
      </c>
      <c r="B614">
        <v>1</v>
      </c>
    </row>
    <row r="615" spans="1:2" x14ac:dyDescent="0.3">
      <c r="A615" t="s">
        <v>2245</v>
      </c>
      <c r="B615">
        <v>1</v>
      </c>
    </row>
    <row r="616" spans="1:2" x14ac:dyDescent="0.3">
      <c r="A616" t="s">
        <v>2973</v>
      </c>
      <c r="B616">
        <v>1</v>
      </c>
    </row>
    <row r="617" spans="1:2" x14ac:dyDescent="0.3">
      <c r="A617" t="s">
        <v>2247</v>
      </c>
      <c r="B617">
        <v>1</v>
      </c>
    </row>
    <row r="618" spans="1:2" x14ac:dyDescent="0.3">
      <c r="A618" t="s">
        <v>2974</v>
      </c>
      <c r="B618">
        <v>1</v>
      </c>
    </row>
    <row r="619" spans="1:2" x14ac:dyDescent="0.3">
      <c r="A619" t="s">
        <v>2250</v>
      </c>
      <c r="B619">
        <v>1</v>
      </c>
    </row>
    <row r="620" spans="1:2" x14ac:dyDescent="0.3">
      <c r="A620" t="s">
        <v>2252</v>
      </c>
      <c r="B620">
        <v>1</v>
      </c>
    </row>
    <row r="621" spans="1:2" x14ac:dyDescent="0.3">
      <c r="A621" t="s">
        <v>2254</v>
      </c>
      <c r="B621">
        <v>1</v>
      </c>
    </row>
    <row r="622" spans="1:2" x14ac:dyDescent="0.3">
      <c r="A622" t="s">
        <v>2255</v>
      </c>
      <c r="B622">
        <v>1</v>
      </c>
    </row>
    <row r="623" spans="1:2" x14ac:dyDescent="0.3">
      <c r="A623" t="s">
        <v>2257</v>
      </c>
      <c r="B623">
        <v>1</v>
      </c>
    </row>
    <row r="624" spans="1:2" x14ac:dyDescent="0.3">
      <c r="A624" t="s">
        <v>2262</v>
      </c>
      <c r="B624">
        <v>1</v>
      </c>
    </row>
    <row r="625" spans="1:2" x14ac:dyDescent="0.3">
      <c r="A625" t="s">
        <v>2266</v>
      </c>
      <c r="B625">
        <v>1</v>
      </c>
    </row>
    <row r="626" spans="1:2" x14ac:dyDescent="0.3">
      <c r="A626" t="s">
        <v>2267</v>
      </c>
      <c r="B626">
        <v>1</v>
      </c>
    </row>
    <row r="627" spans="1:2" x14ac:dyDescent="0.3">
      <c r="A627" t="s">
        <v>2269</v>
      </c>
      <c r="B627">
        <v>1</v>
      </c>
    </row>
    <row r="628" spans="1:2" x14ac:dyDescent="0.3">
      <c r="A628" t="s">
        <v>2271</v>
      </c>
      <c r="B628">
        <v>1</v>
      </c>
    </row>
    <row r="629" spans="1:2" x14ac:dyDescent="0.3">
      <c r="A629" t="s">
        <v>2975</v>
      </c>
      <c r="B629">
        <v>1</v>
      </c>
    </row>
    <row r="630" spans="1:2" x14ac:dyDescent="0.3">
      <c r="A630" t="s">
        <v>2277</v>
      </c>
      <c r="B630">
        <v>1</v>
      </c>
    </row>
    <row r="631" spans="1:2" x14ac:dyDescent="0.3">
      <c r="A631" t="s">
        <v>2280</v>
      </c>
      <c r="B631">
        <v>1</v>
      </c>
    </row>
    <row r="632" spans="1:2" x14ac:dyDescent="0.3">
      <c r="A632" t="s">
        <v>2282</v>
      </c>
      <c r="B632">
        <v>1</v>
      </c>
    </row>
    <row r="633" spans="1:2" x14ac:dyDescent="0.3">
      <c r="A633" t="s">
        <v>2285</v>
      </c>
      <c r="B633">
        <v>1</v>
      </c>
    </row>
    <row r="634" spans="1:2" x14ac:dyDescent="0.3">
      <c r="A634" t="s">
        <v>2287</v>
      </c>
      <c r="B634">
        <v>1</v>
      </c>
    </row>
    <row r="635" spans="1:2" x14ac:dyDescent="0.3">
      <c r="A635" t="s">
        <v>2290</v>
      </c>
      <c r="B635">
        <v>1</v>
      </c>
    </row>
    <row r="636" spans="1:2" x14ac:dyDescent="0.3">
      <c r="A636" t="s">
        <v>2293</v>
      </c>
      <c r="B636">
        <v>1</v>
      </c>
    </row>
    <row r="637" spans="1:2" x14ac:dyDescent="0.3">
      <c r="A637" t="s">
        <v>2295</v>
      </c>
      <c r="B637">
        <v>1</v>
      </c>
    </row>
    <row r="638" spans="1:2" x14ac:dyDescent="0.3">
      <c r="A638" t="s">
        <v>2296</v>
      </c>
      <c r="B638">
        <v>1</v>
      </c>
    </row>
    <row r="639" spans="1:2" x14ac:dyDescent="0.3">
      <c r="A639" t="s">
        <v>2299</v>
      </c>
      <c r="B639">
        <v>1</v>
      </c>
    </row>
    <row r="640" spans="1:2" x14ac:dyDescent="0.3">
      <c r="A640" t="s">
        <v>2301</v>
      </c>
      <c r="B640">
        <v>1</v>
      </c>
    </row>
    <row r="641" spans="1:2" x14ac:dyDescent="0.3">
      <c r="A641" t="s">
        <v>2303</v>
      </c>
      <c r="B641">
        <v>1</v>
      </c>
    </row>
    <row r="642" spans="1:2" x14ac:dyDescent="0.3">
      <c r="A642" t="s">
        <v>2304</v>
      </c>
      <c r="B642">
        <v>1</v>
      </c>
    </row>
    <row r="643" spans="1:2" x14ac:dyDescent="0.3">
      <c r="A643" t="s">
        <v>2308</v>
      </c>
      <c r="B643">
        <v>1</v>
      </c>
    </row>
    <row r="644" spans="1:2" x14ac:dyDescent="0.3">
      <c r="A644" t="s">
        <v>2310</v>
      </c>
      <c r="B644">
        <v>1</v>
      </c>
    </row>
    <row r="645" spans="1:2" x14ac:dyDescent="0.3">
      <c r="A645" t="s">
        <v>2312</v>
      </c>
      <c r="B645">
        <v>1</v>
      </c>
    </row>
    <row r="646" spans="1:2" x14ac:dyDescent="0.3">
      <c r="A646" t="s">
        <v>2313</v>
      </c>
      <c r="B646">
        <v>1</v>
      </c>
    </row>
    <row r="647" spans="1:2" x14ac:dyDescent="0.3">
      <c r="A647" t="s">
        <v>2317</v>
      </c>
      <c r="B647">
        <v>1</v>
      </c>
    </row>
    <row r="648" spans="1:2" x14ac:dyDescent="0.3">
      <c r="A648" t="s">
        <v>2320</v>
      </c>
      <c r="B648">
        <v>1</v>
      </c>
    </row>
    <row r="649" spans="1:2" x14ac:dyDescent="0.3">
      <c r="A649" t="s">
        <v>2324</v>
      </c>
      <c r="B649">
        <v>1</v>
      </c>
    </row>
    <row r="650" spans="1:2" x14ac:dyDescent="0.3">
      <c r="A650" t="s">
        <v>2328</v>
      </c>
      <c r="B650">
        <v>1</v>
      </c>
    </row>
    <row r="651" spans="1:2" x14ac:dyDescent="0.3">
      <c r="A651" t="s">
        <v>2332</v>
      </c>
      <c r="B651">
        <v>1</v>
      </c>
    </row>
    <row r="652" spans="1:2" x14ac:dyDescent="0.3">
      <c r="A652" t="s">
        <v>2334</v>
      </c>
      <c r="B652">
        <v>1</v>
      </c>
    </row>
    <row r="653" spans="1:2" x14ac:dyDescent="0.3">
      <c r="A653" t="s">
        <v>2336</v>
      </c>
      <c r="B653">
        <v>1</v>
      </c>
    </row>
    <row r="654" spans="1:2" x14ac:dyDescent="0.3">
      <c r="A654" t="s">
        <v>2339</v>
      </c>
      <c r="B654">
        <v>1</v>
      </c>
    </row>
    <row r="655" spans="1:2" x14ac:dyDescent="0.3">
      <c r="A655" t="s">
        <v>2976</v>
      </c>
      <c r="B655">
        <v>1</v>
      </c>
    </row>
    <row r="656" spans="1:2" x14ac:dyDescent="0.3">
      <c r="A656" t="s">
        <v>2344</v>
      </c>
      <c r="B656">
        <v>1</v>
      </c>
    </row>
    <row r="657" spans="1:2" x14ac:dyDescent="0.3">
      <c r="A657" t="s">
        <v>2346</v>
      </c>
      <c r="B657">
        <v>1</v>
      </c>
    </row>
    <row r="658" spans="1:2" x14ac:dyDescent="0.3">
      <c r="A658" t="s">
        <v>2348</v>
      </c>
      <c r="B658">
        <v>1</v>
      </c>
    </row>
    <row r="659" spans="1:2" x14ac:dyDescent="0.3">
      <c r="A659" t="s">
        <v>2351</v>
      </c>
      <c r="B659">
        <v>1</v>
      </c>
    </row>
    <row r="660" spans="1:2" x14ac:dyDescent="0.3">
      <c r="A660" t="s">
        <v>2352</v>
      </c>
      <c r="B660">
        <v>1</v>
      </c>
    </row>
    <row r="661" spans="1:2" x14ac:dyDescent="0.3">
      <c r="A661" t="s">
        <v>2356</v>
      </c>
      <c r="B661">
        <v>1</v>
      </c>
    </row>
    <row r="662" spans="1:2" x14ac:dyDescent="0.3">
      <c r="A662" t="s">
        <v>2358</v>
      </c>
      <c r="B662">
        <v>1</v>
      </c>
    </row>
    <row r="663" spans="1:2" x14ac:dyDescent="0.3">
      <c r="A663" t="s">
        <v>2977</v>
      </c>
      <c r="B663">
        <v>1</v>
      </c>
    </row>
    <row r="664" spans="1:2" x14ac:dyDescent="0.3">
      <c r="A664" t="s">
        <v>2367</v>
      </c>
      <c r="B664">
        <v>1</v>
      </c>
    </row>
    <row r="665" spans="1:2" x14ac:dyDescent="0.3">
      <c r="A665" t="s">
        <v>2368</v>
      </c>
      <c r="B665">
        <v>1</v>
      </c>
    </row>
    <row r="666" spans="1:2" x14ac:dyDescent="0.3">
      <c r="A666" t="s">
        <v>2370</v>
      </c>
      <c r="B666">
        <v>1</v>
      </c>
    </row>
    <row r="667" spans="1:2" x14ac:dyDescent="0.3">
      <c r="A667" t="s">
        <v>2829</v>
      </c>
      <c r="B667">
        <v>1</v>
      </c>
    </row>
    <row r="668" spans="1:2" x14ac:dyDescent="0.3">
      <c r="A668" t="s">
        <v>2978</v>
      </c>
      <c r="B668">
        <v>1</v>
      </c>
    </row>
    <row r="669" spans="1:2" x14ac:dyDescent="0.3">
      <c r="A669" t="s">
        <v>2830</v>
      </c>
      <c r="B669">
        <v>1</v>
      </c>
    </row>
    <row r="670" spans="1:2" x14ac:dyDescent="0.3">
      <c r="A670" t="s">
        <v>2979</v>
      </c>
      <c r="B670">
        <v>1</v>
      </c>
    </row>
    <row r="671" spans="1:2" x14ac:dyDescent="0.3">
      <c r="A671" t="s">
        <v>2379</v>
      </c>
      <c r="B671">
        <v>1</v>
      </c>
    </row>
    <row r="672" spans="1:2" x14ac:dyDescent="0.3">
      <c r="A672" t="s">
        <v>2386</v>
      </c>
      <c r="B672">
        <v>1</v>
      </c>
    </row>
    <row r="673" spans="1:2" x14ac:dyDescent="0.3">
      <c r="A673" t="s">
        <v>2388</v>
      </c>
      <c r="B673">
        <v>1</v>
      </c>
    </row>
    <row r="674" spans="1:2" x14ac:dyDescent="0.3">
      <c r="A674" t="s">
        <v>2980</v>
      </c>
      <c r="B674">
        <v>1</v>
      </c>
    </row>
    <row r="675" spans="1:2" x14ac:dyDescent="0.3">
      <c r="A675" t="s">
        <v>2392</v>
      </c>
      <c r="B675">
        <v>1</v>
      </c>
    </row>
    <row r="676" spans="1:2" x14ac:dyDescent="0.3">
      <c r="A676" t="s">
        <v>2395</v>
      </c>
      <c r="B676">
        <v>1</v>
      </c>
    </row>
    <row r="677" spans="1:2" x14ac:dyDescent="0.3">
      <c r="A677" t="s">
        <v>2981</v>
      </c>
      <c r="B677">
        <v>1</v>
      </c>
    </row>
    <row r="678" spans="1:2" x14ac:dyDescent="0.3">
      <c r="A678" t="s">
        <v>2982</v>
      </c>
      <c r="B678">
        <v>1</v>
      </c>
    </row>
    <row r="679" spans="1:2" x14ac:dyDescent="0.3">
      <c r="A679" t="s">
        <v>2402</v>
      </c>
      <c r="B679">
        <v>1</v>
      </c>
    </row>
    <row r="680" spans="1:2" x14ac:dyDescent="0.3">
      <c r="A680" t="s">
        <v>2403</v>
      </c>
      <c r="B680">
        <v>1</v>
      </c>
    </row>
    <row r="681" spans="1:2" x14ac:dyDescent="0.3">
      <c r="A681" t="s">
        <v>2983</v>
      </c>
      <c r="B681">
        <v>1</v>
      </c>
    </row>
    <row r="682" spans="1:2" x14ac:dyDescent="0.3">
      <c r="A682" t="s">
        <v>2407</v>
      </c>
      <c r="B682">
        <v>1</v>
      </c>
    </row>
    <row r="683" spans="1:2" x14ac:dyDescent="0.3">
      <c r="A683" t="s">
        <v>2984</v>
      </c>
      <c r="B683">
        <v>1</v>
      </c>
    </row>
    <row r="684" spans="1:2" x14ac:dyDescent="0.3">
      <c r="A684" t="s">
        <v>2985</v>
      </c>
      <c r="B684">
        <v>1</v>
      </c>
    </row>
    <row r="685" spans="1:2" x14ac:dyDescent="0.3">
      <c r="A685" t="s">
        <v>2986</v>
      </c>
      <c r="B685">
        <v>1</v>
      </c>
    </row>
    <row r="686" spans="1:2" x14ac:dyDescent="0.3">
      <c r="A686" t="s">
        <v>2417</v>
      </c>
      <c r="B686">
        <v>1</v>
      </c>
    </row>
    <row r="687" spans="1:2" x14ac:dyDescent="0.3">
      <c r="A687" t="s">
        <v>2419</v>
      </c>
      <c r="B687">
        <v>1</v>
      </c>
    </row>
    <row r="688" spans="1:2" x14ac:dyDescent="0.3">
      <c r="A688" t="s">
        <v>2420</v>
      </c>
      <c r="B688">
        <v>1</v>
      </c>
    </row>
    <row r="689" spans="1:2" x14ac:dyDescent="0.3">
      <c r="A689" t="s">
        <v>2422</v>
      </c>
      <c r="B689">
        <v>1</v>
      </c>
    </row>
    <row r="690" spans="1:2" x14ac:dyDescent="0.3">
      <c r="A690" t="s">
        <v>2424</v>
      </c>
      <c r="B690">
        <v>1</v>
      </c>
    </row>
    <row r="691" spans="1:2" x14ac:dyDescent="0.3">
      <c r="A691" t="s">
        <v>2427</v>
      </c>
      <c r="B691">
        <v>1</v>
      </c>
    </row>
    <row r="692" spans="1:2" x14ac:dyDescent="0.3">
      <c r="A692" t="s">
        <v>2428</v>
      </c>
      <c r="B692">
        <v>1</v>
      </c>
    </row>
    <row r="693" spans="1:2" x14ac:dyDescent="0.3">
      <c r="A693" t="s">
        <v>2430</v>
      </c>
      <c r="B693">
        <v>1</v>
      </c>
    </row>
    <row r="694" spans="1:2" x14ac:dyDescent="0.3">
      <c r="A694" t="s">
        <v>2987</v>
      </c>
      <c r="B694">
        <v>1</v>
      </c>
    </row>
    <row r="695" spans="1:2" x14ac:dyDescent="0.3">
      <c r="A695" t="s">
        <v>2988</v>
      </c>
      <c r="B695">
        <v>1</v>
      </c>
    </row>
    <row r="696" spans="1:2" x14ac:dyDescent="0.3">
      <c r="A696" t="s">
        <v>2989</v>
      </c>
      <c r="B696">
        <v>1</v>
      </c>
    </row>
    <row r="697" spans="1:2" x14ac:dyDescent="0.3">
      <c r="A697" t="s">
        <v>2435</v>
      </c>
      <c r="B697">
        <v>1</v>
      </c>
    </row>
    <row r="698" spans="1:2" x14ac:dyDescent="0.3">
      <c r="A698" t="s">
        <v>2440</v>
      </c>
      <c r="B698">
        <v>1</v>
      </c>
    </row>
    <row r="699" spans="1:2" x14ac:dyDescent="0.3">
      <c r="A699" t="s">
        <v>2444</v>
      </c>
      <c r="B699">
        <v>1</v>
      </c>
    </row>
    <row r="700" spans="1:2" x14ac:dyDescent="0.3">
      <c r="A700" t="s">
        <v>2445</v>
      </c>
      <c r="B700">
        <v>1</v>
      </c>
    </row>
    <row r="701" spans="1:2" x14ac:dyDescent="0.3">
      <c r="A701" t="s">
        <v>2990</v>
      </c>
      <c r="B701">
        <v>1</v>
      </c>
    </row>
    <row r="702" spans="1:2" x14ac:dyDescent="0.3">
      <c r="A702" t="s">
        <v>2449</v>
      </c>
      <c r="B702">
        <v>1</v>
      </c>
    </row>
    <row r="703" spans="1:2" x14ac:dyDescent="0.3">
      <c r="A703" t="s">
        <v>2452</v>
      </c>
      <c r="B703">
        <v>1</v>
      </c>
    </row>
    <row r="704" spans="1:2" x14ac:dyDescent="0.3">
      <c r="A704" t="s">
        <v>2455</v>
      </c>
      <c r="B704">
        <v>1</v>
      </c>
    </row>
    <row r="705" spans="1:2" x14ac:dyDescent="0.3">
      <c r="A705" t="s">
        <v>2457</v>
      </c>
      <c r="B705">
        <v>1</v>
      </c>
    </row>
    <row r="706" spans="1:2" x14ac:dyDescent="0.3">
      <c r="A706" t="s">
        <v>2458</v>
      </c>
      <c r="B706">
        <v>1</v>
      </c>
    </row>
    <row r="707" spans="1:2" x14ac:dyDescent="0.3">
      <c r="A707" t="s">
        <v>2461</v>
      </c>
      <c r="B707">
        <v>1</v>
      </c>
    </row>
    <row r="708" spans="1:2" x14ac:dyDescent="0.3">
      <c r="A708" t="s">
        <v>2462</v>
      </c>
      <c r="B708">
        <v>1</v>
      </c>
    </row>
    <row r="709" spans="1:2" x14ac:dyDescent="0.3">
      <c r="A709" t="s">
        <v>2465</v>
      </c>
      <c r="B709">
        <v>1</v>
      </c>
    </row>
    <row r="710" spans="1:2" x14ac:dyDescent="0.3">
      <c r="A710" t="s">
        <v>2467</v>
      </c>
      <c r="B710">
        <v>1</v>
      </c>
    </row>
    <row r="711" spans="1:2" x14ac:dyDescent="0.3">
      <c r="A711" t="s">
        <v>2469</v>
      </c>
      <c r="B711">
        <v>1</v>
      </c>
    </row>
    <row r="712" spans="1:2" x14ac:dyDescent="0.3">
      <c r="A712" t="s">
        <v>2474</v>
      </c>
      <c r="B712">
        <v>1</v>
      </c>
    </row>
    <row r="713" spans="1:2" x14ac:dyDescent="0.3">
      <c r="A713" t="s">
        <v>2475</v>
      </c>
      <c r="B713">
        <v>1</v>
      </c>
    </row>
    <row r="714" spans="1:2" x14ac:dyDescent="0.3">
      <c r="A714" t="s">
        <v>2478</v>
      </c>
      <c r="B714">
        <v>1</v>
      </c>
    </row>
    <row r="715" spans="1:2" x14ac:dyDescent="0.3">
      <c r="A715" t="s">
        <v>2480</v>
      </c>
      <c r="B715">
        <v>1</v>
      </c>
    </row>
    <row r="716" spans="1:2" x14ac:dyDescent="0.3">
      <c r="A716" t="s">
        <v>2481</v>
      </c>
      <c r="B716">
        <v>1</v>
      </c>
    </row>
    <row r="717" spans="1:2" x14ac:dyDescent="0.3">
      <c r="A717" t="s">
        <v>2991</v>
      </c>
      <c r="B717">
        <v>1</v>
      </c>
    </row>
    <row r="718" spans="1:2" x14ac:dyDescent="0.3">
      <c r="A718" t="s">
        <v>2486</v>
      </c>
      <c r="B718">
        <v>1</v>
      </c>
    </row>
    <row r="719" spans="1:2" x14ac:dyDescent="0.3">
      <c r="A719" t="s">
        <v>2489</v>
      </c>
      <c r="B719">
        <v>1</v>
      </c>
    </row>
    <row r="720" spans="1:2" x14ac:dyDescent="0.3">
      <c r="A720" t="s">
        <v>2491</v>
      </c>
      <c r="B720">
        <v>1</v>
      </c>
    </row>
    <row r="721" spans="1:2" x14ac:dyDescent="0.3">
      <c r="A721" t="s">
        <v>2493</v>
      </c>
      <c r="B721">
        <v>1</v>
      </c>
    </row>
    <row r="722" spans="1:2" x14ac:dyDescent="0.3">
      <c r="A722" t="s">
        <v>2497</v>
      </c>
      <c r="B722">
        <v>1</v>
      </c>
    </row>
    <row r="723" spans="1:2" x14ac:dyDescent="0.3">
      <c r="A723" t="s">
        <v>2500</v>
      </c>
      <c r="B723">
        <v>1</v>
      </c>
    </row>
    <row r="724" spans="1:2" x14ac:dyDescent="0.3">
      <c r="A724" t="s">
        <v>2501</v>
      </c>
      <c r="B724">
        <v>1</v>
      </c>
    </row>
    <row r="725" spans="1:2" x14ac:dyDescent="0.3">
      <c r="A725" t="s">
        <v>2503</v>
      </c>
      <c r="B725">
        <v>1</v>
      </c>
    </row>
    <row r="726" spans="1:2" x14ac:dyDescent="0.3">
      <c r="A726" t="s">
        <v>2504</v>
      </c>
      <c r="B726">
        <v>1</v>
      </c>
    </row>
    <row r="727" spans="1:2" x14ac:dyDescent="0.3">
      <c r="A727" t="s">
        <v>2505</v>
      </c>
      <c r="B727">
        <v>1</v>
      </c>
    </row>
    <row r="728" spans="1:2" x14ac:dyDescent="0.3">
      <c r="A728" t="s">
        <v>2507</v>
      </c>
      <c r="B728">
        <v>1</v>
      </c>
    </row>
    <row r="729" spans="1:2" x14ac:dyDescent="0.3">
      <c r="A729" t="s">
        <v>2508</v>
      </c>
      <c r="B729">
        <v>1</v>
      </c>
    </row>
    <row r="730" spans="1:2" x14ac:dyDescent="0.3">
      <c r="A730" t="s">
        <v>2509</v>
      </c>
      <c r="B730">
        <v>1</v>
      </c>
    </row>
    <row r="731" spans="1:2" x14ac:dyDescent="0.3">
      <c r="A731" t="s">
        <v>2992</v>
      </c>
      <c r="B731">
        <v>1</v>
      </c>
    </row>
    <row r="732" spans="1:2" x14ac:dyDescent="0.3">
      <c r="A732" t="s">
        <v>2514</v>
      </c>
      <c r="B732">
        <v>1</v>
      </c>
    </row>
    <row r="733" spans="1:2" x14ac:dyDescent="0.3">
      <c r="A733" t="s">
        <v>2515</v>
      </c>
      <c r="B733">
        <v>1</v>
      </c>
    </row>
    <row r="734" spans="1:2" x14ac:dyDescent="0.3">
      <c r="A734" t="s">
        <v>2517</v>
      </c>
      <c r="B734">
        <v>1</v>
      </c>
    </row>
    <row r="735" spans="1:2" x14ac:dyDescent="0.3">
      <c r="A735" t="s">
        <v>2518</v>
      </c>
      <c r="B735">
        <v>1</v>
      </c>
    </row>
    <row r="736" spans="1:2" x14ac:dyDescent="0.3">
      <c r="A736" t="s">
        <v>2521</v>
      </c>
      <c r="B736">
        <v>1</v>
      </c>
    </row>
    <row r="737" spans="1:2" x14ac:dyDescent="0.3">
      <c r="A737" t="s">
        <v>2525</v>
      </c>
      <c r="B737">
        <v>1</v>
      </c>
    </row>
    <row r="738" spans="1:2" x14ac:dyDescent="0.3">
      <c r="A738" t="s">
        <v>2528</v>
      </c>
      <c r="B738">
        <v>1</v>
      </c>
    </row>
    <row r="739" spans="1:2" x14ac:dyDescent="0.3">
      <c r="A739" t="s">
        <v>2531</v>
      </c>
      <c r="B739">
        <v>1</v>
      </c>
    </row>
    <row r="740" spans="1:2" x14ac:dyDescent="0.3">
      <c r="A740" t="s">
        <v>2533</v>
      </c>
      <c r="B740">
        <v>1</v>
      </c>
    </row>
    <row r="741" spans="1:2" x14ac:dyDescent="0.3">
      <c r="A741" t="s">
        <v>2535</v>
      </c>
      <c r="B741">
        <v>1</v>
      </c>
    </row>
    <row r="742" spans="1:2" x14ac:dyDescent="0.3">
      <c r="A742" t="s">
        <v>2538</v>
      </c>
      <c r="B742">
        <v>1</v>
      </c>
    </row>
    <row r="743" spans="1:2" x14ac:dyDescent="0.3">
      <c r="A743" t="s">
        <v>2542</v>
      </c>
      <c r="B743">
        <v>1</v>
      </c>
    </row>
    <row r="744" spans="1:2" x14ac:dyDescent="0.3">
      <c r="A744" t="s">
        <v>2546</v>
      </c>
      <c r="B744">
        <v>1</v>
      </c>
    </row>
  </sheetData>
  <autoFilter ref="A1:B1" xr:uid="{00000000-0009-0000-0000-000008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E784"/>
  <sheetViews>
    <sheetView tabSelected="1" workbookViewId="0">
      <selection activeCell="E7" sqref="E7"/>
    </sheetView>
  </sheetViews>
  <sheetFormatPr defaultRowHeight="14.4" x14ac:dyDescent="0.3"/>
  <cols>
    <col min="1" max="1" width="12.88671875" bestFit="1" customWidth="1"/>
    <col min="2" max="2" width="6.109375" bestFit="1" customWidth="1"/>
  </cols>
  <sheetData>
    <row r="1" spans="1:5" x14ac:dyDescent="0.3">
      <c r="A1" t="s">
        <v>972</v>
      </c>
      <c r="B1" t="s">
        <v>973</v>
      </c>
    </row>
    <row r="2" spans="1:5" x14ac:dyDescent="0.3">
      <c r="A2" t="s">
        <v>974</v>
      </c>
      <c r="B2">
        <v>9765</v>
      </c>
    </row>
    <row r="3" spans="1:5" x14ac:dyDescent="0.3">
      <c r="A3" t="s">
        <v>176</v>
      </c>
      <c r="B3">
        <v>1</v>
      </c>
    </row>
    <row r="4" spans="1:5" x14ac:dyDescent="0.3">
      <c r="A4" t="s">
        <v>937</v>
      </c>
      <c r="B4">
        <v>2</v>
      </c>
    </row>
    <row r="5" spans="1:5" x14ac:dyDescent="0.3">
      <c r="A5" t="s">
        <v>934</v>
      </c>
      <c r="B5">
        <v>24</v>
      </c>
      <c r="D5" t="s">
        <v>3072</v>
      </c>
      <c r="E5">
        <f>SUM(B3:B7)+SUM(B11:B17)</f>
        <v>83</v>
      </c>
    </row>
    <row r="6" spans="1:5" x14ac:dyDescent="0.3">
      <c r="A6" t="s">
        <v>944</v>
      </c>
      <c r="B6">
        <v>42</v>
      </c>
      <c r="D6" t="s">
        <v>3073</v>
      </c>
      <c r="E6">
        <f>B3+B6+B12+B14+B16</f>
        <v>49</v>
      </c>
    </row>
    <row r="7" spans="1:5" x14ac:dyDescent="0.3">
      <c r="A7" t="s">
        <v>938</v>
      </c>
      <c r="B7">
        <v>3</v>
      </c>
      <c r="D7" t="s">
        <v>929</v>
      </c>
    </row>
    <row r="8" spans="1:5" x14ac:dyDescent="0.3">
      <c r="A8" t="s">
        <v>2552</v>
      </c>
      <c r="B8">
        <v>9385</v>
      </c>
    </row>
    <row r="9" spans="1:5" x14ac:dyDescent="0.3">
      <c r="A9" t="s">
        <v>2550</v>
      </c>
      <c r="B9">
        <v>234</v>
      </c>
    </row>
    <row r="10" spans="1:5" x14ac:dyDescent="0.3">
      <c r="A10" t="s">
        <v>2551</v>
      </c>
      <c r="B10">
        <v>146</v>
      </c>
    </row>
    <row r="11" spans="1:5" x14ac:dyDescent="0.3">
      <c r="A11" t="s">
        <v>935</v>
      </c>
      <c r="B11">
        <v>1</v>
      </c>
    </row>
    <row r="12" spans="1:5" x14ac:dyDescent="0.3">
      <c r="A12" t="s">
        <v>945</v>
      </c>
      <c r="B12">
        <v>4</v>
      </c>
    </row>
    <row r="13" spans="1:5" x14ac:dyDescent="0.3">
      <c r="A13" t="s">
        <v>939</v>
      </c>
      <c r="B13">
        <v>1</v>
      </c>
    </row>
    <row r="14" spans="1:5" x14ac:dyDescent="0.3">
      <c r="A14" t="s">
        <v>946</v>
      </c>
      <c r="B14">
        <v>1</v>
      </c>
    </row>
    <row r="15" spans="1:5" x14ac:dyDescent="0.3">
      <c r="A15" t="s">
        <v>942</v>
      </c>
      <c r="B15">
        <v>1</v>
      </c>
    </row>
    <row r="16" spans="1:5" x14ac:dyDescent="0.3">
      <c r="A16" t="s">
        <v>950</v>
      </c>
      <c r="B16">
        <v>1</v>
      </c>
    </row>
    <row r="17" spans="1:2" x14ac:dyDescent="0.3">
      <c r="A17" t="s">
        <v>2553</v>
      </c>
      <c r="B17">
        <v>2</v>
      </c>
    </row>
    <row r="18" spans="1:2" x14ac:dyDescent="0.3">
      <c r="A18" t="s">
        <v>976</v>
      </c>
      <c r="B18">
        <v>1</v>
      </c>
    </row>
    <row r="19" spans="1:2" x14ac:dyDescent="0.3">
      <c r="A19" t="s">
        <v>978</v>
      </c>
      <c r="B19">
        <v>1</v>
      </c>
    </row>
    <row r="20" spans="1:2" x14ac:dyDescent="0.3">
      <c r="A20" t="s">
        <v>979</v>
      </c>
      <c r="B20">
        <v>1</v>
      </c>
    </row>
    <row r="21" spans="1:2" x14ac:dyDescent="0.3">
      <c r="A21" t="s">
        <v>981</v>
      </c>
      <c r="B21">
        <v>1</v>
      </c>
    </row>
    <row r="22" spans="1:2" x14ac:dyDescent="0.3">
      <c r="A22" t="s">
        <v>983</v>
      </c>
      <c r="B22">
        <v>1</v>
      </c>
    </row>
    <row r="23" spans="1:2" x14ac:dyDescent="0.3">
      <c r="A23" t="s">
        <v>985</v>
      </c>
      <c r="B23">
        <v>1</v>
      </c>
    </row>
    <row r="24" spans="1:2" x14ac:dyDescent="0.3">
      <c r="A24" t="s">
        <v>986</v>
      </c>
      <c r="B24">
        <v>1</v>
      </c>
    </row>
    <row r="25" spans="1:2" x14ac:dyDescent="0.3">
      <c r="A25" t="s">
        <v>988</v>
      </c>
      <c r="B25">
        <v>1</v>
      </c>
    </row>
    <row r="26" spans="1:2" x14ac:dyDescent="0.3">
      <c r="A26" t="s">
        <v>990</v>
      </c>
      <c r="B26">
        <v>1</v>
      </c>
    </row>
    <row r="27" spans="1:2" x14ac:dyDescent="0.3">
      <c r="A27" t="s">
        <v>991</v>
      </c>
      <c r="B27">
        <v>1</v>
      </c>
    </row>
    <row r="28" spans="1:2" x14ac:dyDescent="0.3">
      <c r="A28" t="s">
        <v>994</v>
      </c>
      <c r="B28">
        <v>1</v>
      </c>
    </row>
    <row r="29" spans="1:2" x14ac:dyDescent="0.3">
      <c r="A29" t="s">
        <v>996</v>
      </c>
      <c r="B29">
        <v>1</v>
      </c>
    </row>
    <row r="30" spans="1:2" x14ac:dyDescent="0.3">
      <c r="A30" t="s">
        <v>998</v>
      </c>
      <c r="B30">
        <v>1</v>
      </c>
    </row>
    <row r="31" spans="1:2" x14ac:dyDescent="0.3">
      <c r="A31" t="s">
        <v>999</v>
      </c>
      <c r="B31">
        <v>1</v>
      </c>
    </row>
    <row r="32" spans="1:2" x14ac:dyDescent="0.3">
      <c r="A32" t="s">
        <v>1000</v>
      </c>
      <c r="B32">
        <v>1</v>
      </c>
    </row>
    <row r="33" spans="1:2" x14ac:dyDescent="0.3">
      <c r="A33" t="s">
        <v>1001</v>
      </c>
      <c r="B33">
        <v>1</v>
      </c>
    </row>
    <row r="34" spans="1:2" x14ac:dyDescent="0.3">
      <c r="A34" t="s">
        <v>1003</v>
      </c>
      <c r="B34">
        <v>1</v>
      </c>
    </row>
    <row r="35" spans="1:2" x14ac:dyDescent="0.3">
      <c r="A35" t="s">
        <v>1005</v>
      </c>
      <c r="B35">
        <v>1</v>
      </c>
    </row>
    <row r="36" spans="1:2" x14ac:dyDescent="0.3">
      <c r="A36" t="s">
        <v>1007</v>
      </c>
      <c r="B36">
        <v>1</v>
      </c>
    </row>
    <row r="37" spans="1:2" x14ac:dyDescent="0.3">
      <c r="A37" t="s">
        <v>1008</v>
      </c>
      <c r="B37">
        <v>1</v>
      </c>
    </row>
    <row r="38" spans="1:2" x14ac:dyDescent="0.3">
      <c r="A38" t="s">
        <v>1009</v>
      </c>
      <c r="B38">
        <v>1</v>
      </c>
    </row>
    <row r="39" spans="1:2" x14ac:dyDescent="0.3">
      <c r="A39" t="s">
        <v>1010</v>
      </c>
      <c r="B39">
        <v>1</v>
      </c>
    </row>
    <row r="40" spans="1:2" x14ac:dyDescent="0.3">
      <c r="A40" t="s">
        <v>1011</v>
      </c>
      <c r="B40">
        <v>1</v>
      </c>
    </row>
    <row r="41" spans="1:2" x14ac:dyDescent="0.3">
      <c r="A41" t="s">
        <v>1012</v>
      </c>
      <c r="B41">
        <v>1</v>
      </c>
    </row>
    <row r="42" spans="1:2" x14ac:dyDescent="0.3">
      <c r="A42" t="s">
        <v>1013</v>
      </c>
      <c r="B42">
        <v>1</v>
      </c>
    </row>
    <row r="43" spans="1:2" x14ac:dyDescent="0.3">
      <c r="A43" t="s">
        <v>1015</v>
      </c>
      <c r="B43">
        <v>1</v>
      </c>
    </row>
    <row r="44" spans="1:2" x14ac:dyDescent="0.3">
      <c r="A44" t="s">
        <v>1017</v>
      </c>
      <c r="B44">
        <v>1</v>
      </c>
    </row>
    <row r="45" spans="1:2" x14ac:dyDescent="0.3">
      <c r="A45" t="s">
        <v>1018</v>
      </c>
      <c r="B45">
        <v>1</v>
      </c>
    </row>
    <row r="46" spans="1:2" x14ac:dyDescent="0.3">
      <c r="A46" t="s">
        <v>1020</v>
      </c>
      <c r="B46">
        <v>1</v>
      </c>
    </row>
    <row r="47" spans="1:2" x14ac:dyDescent="0.3">
      <c r="A47" t="s">
        <v>1021</v>
      </c>
      <c r="B47">
        <v>1</v>
      </c>
    </row>
    <row r="48" spans="1:2" x14ac:dyDescent="0.3">
      <c r="A48" t="s">
        <v>1022</v>
      </c>
      <c r="B48">
        <v>1</v>
      </c>
    </row>
    <row r="49" spans="1:2" x14ac:dyDescent="0.3">
      <c r="A49" t="s">
        <v>1024</v>
      </c>
      <c r="B49">
        <v>1</v>
      </c>
    </row>
    <row r="50" spans="1:2" x14ac:dyDescent="0.3">
      <c r="A50" t="s">
        <v>1026</v>
      </c>
      <c r="B50">
        <v>1</v>
      </c>
    </row>
    <row r="51" spans="1:2" x14ac:dyDescent="0.3">
      <c r="A51" t="s">
        <v>1028</v>
      </c>
      <c r="B51">
        <v>1</v>
      </c>
    </row>
    <row r="52" spans="1:2" x14ac:dyDescent="0.3">
      <c r="A52" t="s">
        <v>1030</v>
      </c>
      <c r="B52">
        <v>1</v>
      </c>
    </row>
    <row r="53" spans="1:2" x14ac:dyDescent="0.3">
      <c r="A53" t="s">
        <v>1032</v>
      </c>
      <c r="B53">
        <v>1</v>
      </c>
    </row>
    <row r="54" spans="1:2" x14ac:dyDescent="0.3">
      <c r="A54" t="s">
        <v>2720</v>
      </c>
      <c r="B54">
        <v>1</v>
      </c>
    </row>
    <row r="55" spans="1:2" x14ac:dyDescent="0.3">
      <c r="A55" t="s">
        <v>1035</v>
      </c>
      <c r="B55">
        <v>1</v>
      </c>
    </row>
    <row r="56" spans="1:2" x14ac:dyDescent="0.3">
      <c r="A56" t="s">
        <v>1036</v>
      </c>
      <c r="B56">
        <v>1</v>
      </c>
    </row>
    <row r="57" spans="1:2" x14ac:dyDescent="0.3">
      <c r="A57" t="s">
        <v>1038</v>
      </c>
      <c r="B57">
        <v>1</v>
      </c>
    </row>
    <row r="58" spans="1:2" x14ac:dyDescent="0.3">
      <c r="A58" t="s">
        <v>1039</v>
      </c>
      <c r="B58">
        <v>1</v>
      </c>
    </row>
    <row r="59" spans="1:2" x14ac:dyDescent="0.3">
      <c r="A59" t="s">
        <v>1041</v>
      </c>
      <c r="B59">
        <v>1</v>
      </c>
    </row>
    <row r="60" spans="1:2" x14ac:dyDescent="0.3">
      <c r="A60" t="s">
        <v>1042</v>
      </c>
      <c r="B60">
        <v>1</v>
      </c>
    </row>
    <row r="61" spans="1:2" x14ac:dyDescent="0.3">
      <c r="A61" t="s">
        <v>2721</v>
      </c>
      <c r="B61">
        <v>1</v>
      </c>
    </row>
    <row r="62" spans="1:2" x14ac:dyDescent="0.3">
      <c r="A62" t="s">
        <v>1044</v>
      </c>
      <c r="B62">
        <v>1</v>
      </c>
    </row>
    <row r="63" spans="1:2" x14ac:dyDescent="0.3">
      <c r="A63" t="s">
        <v>1046</v>
      </c>
      <c r="B63">
        <v>1</v>
      </c>
    </row>
    <row r="64" spans="1:2" x14ac:dyDescent="0.3">
      <c r="A64" t="s">
        <v>1048</v>
      </c>
      <c r="B64">
        <v>1</v>
      </c>
    </row>
    <row r="65" spans="1:2" x14ac:dyDescent="0.3">
      <c r="A65" t="s">
        <v>1049</v>
      </c>
      <c r="B65">
        <v>1</v>
      </c>
    </row>
    <row r="66" spans="1:2" x14ac:dyDescent="0.3">
      <c r="A66" t="s">
        <v>1052</v>
      </c>
      <c r="B66">
        <v>1</v>
      </c>
    </row>
    <row r="67" spans="1:2" x14ac:dyDescent="0.3">
      <c r="A67" t="s">
        <v>1053</v>
      </c>
      <c r="B67">
        <v>1</v>
      </c>
    </row>
    <row r="68" spans="1:2" x14ac:dyDescent="0.3">
      <c r="A68" t="s">
        <v>1054</v>
      </c>
      <c r="B68">
        <v>1</v>
      </c>
    </row>
    <row r="69" spans="1:2" x14ac:dyDescent="0.3">
      <c r="A69" t="s">
        <v>1056</v>
      </c>
      <c r="B69">
        <v>1</v>
      </c>
    </row>
    <row r="70" spans="1:2" x14ac:dyDescent="0.3">
      <c r="A70" t="s">
        <v>1057</v>
      </c>
      <c r="B70">
        <v>1</v>
      </c>
    </row>
    <row r="71" spans="1:2" x14ac:dyDescent="0.3">
      <c r="A71" t="s">
        <v>1058</v>
      </c>
      <c r="B71">
        <v>1</v>
      </c>
    </row>
    <row r="72" spans="1:2" x14ac:dyDescent="0.3">
      <c r="A72" t="s">
        <v>1059</v>
      </c>
      <c r="B72">
        <v>1</v>
      </c>
    </row>
    <row r="73" spans="1:2" x14ac:dyDescent="0.3">
      <c r="A73" t="s">
        <v>1060</v>
      </c>
      <c r="B73">
        <v>1</v>
      </c>
    </row>
    <row r="74" spans="1:2" x14ac:dyDescent="0.3">
      <c r="A74" t="s">
        <v>1061</v>
      </c>
      <c r="B74">
        <v>1</v>
      </c>
    </row>
    <row r="75" spans="1:2" x14ac:dyDescent="0.3">
      <c r="A75" t="s">
        <v>1063</v>
      </c>
      <c r="B75">
        <v>1</v>
      </c>
    </row>
    <row r="76" spans="1:2" x14ac:dyDescent="0.3">
      <c r="A76" t="s">
        <v>1065</v>
      </c>
      <c r="B76">
        <v>1</v>
      </c>
    </row>
    <row r="77" spans="1:2" x14ac:dyDescent="0.3">
      <c r="A77" t="s">
        <v>1066</v>
      </c>
      <c r="B77">
        <v>1</v>
      </c>
    </row>
    <row r="78" spans="1:2" x14ac:dyDescent="0.3">
      <c r="A78" t="s">
        <v>1068</v>
      </c>
      <c r="B78">
        <v>1</v>
      </c>
    </row>
    <row r="79" spans="1:2" x14ac:dyDescent="0.3">
      <c r="A79" t="s">
        <v>1071</v>
      </c>
      <c r="B79">
        <v>1</v>
      </c>
    </row>
    <row r="80" spans="1:2" x14ac:dyDescent="0.3">
      <c r="A80" t="s">
        <v>1073</v>
      </c>
      <c r="B80">
        <v>1</v>
      </c>
    </row>
    <row r="81" spans="1:2" x14ac:dyDescent="0.3">
      <c r="A81" t="s">
        <v>1075</v>
      </c>
      <c r="B81">
        <v>1</v>
      </c>
    </row>
    <row r="82" spans="1:2" x14ac:dyDescent="0.3">
      <c r="A82" t="s">
        <v>1076</v>
      </c>
      <c r="B82">
        <v>1</v>
      </c>
    </row>
    <row r="83" spans="1:2" x14ac:dyDescent="0.3">
      <c r="A83" t="s">
        <v>1078</v>
      </c>
      <c r="B83">
        <v>1</v>
      </c>
    </row>
    <row r="84" spans="1:2" x14ac:dyDescent="0.3">
      <c r="A84" t="s">
        <v>1080</v>
      </c>
      <c r="B84">
        <v>1</v>
      </c>
    </row>
    <row r="85" spans="1:2" x14ac:dyDescent="0.3">
      <c r="A85" t="s">
        <v>1082</v>
      </c>
      <c r="B85">
        <v>1</v>
      </c>
    </row>
    <row r="86" spans="1:2" x14ac:dyDescent="0.3">
      <c r="A86" t="s">
        <v>1083</v>
      </c>
      <c r="B86">
        <v>1</v>
      </c>
    </row>
    <row r="87" spans="1:2" x14ac:dyDescent="0.3">
      <c r="A87" t="s">
        <v>1086</v>
      </c>
      <c r="B87">
        <v>1</v>
      </c>
    </row>
    <row r="88" spans="1:2" x14ac:dyDescent="0.3">
      <c r="A88" t="s">
        <v>1087</v>
      </c>
      <c r="B88">
        <v>1</v>
      </c>
    </row>
    <row r="89" spans="1:2" x14ac:dyDescent="0.3">
      <c r="A89" t="s">
        <v>1089</v>
      </c>
      <c r="B89">
        <v>1</v>
      </c>
    </row>
    <row r="90" spans="1:2" x14ac:dyDescent="0.3">
      <c r="A90" t="s">
        <v>1091</v>
      </c>
      <c r="B90">
        <v>1</v>
      </c>
    </row>
    <row r="91" spans="1:2" x14ac:dyDescent="0.3">
      <c r="A91" t="s">
        <v>1092</v>
      </c>
      <c r="B91">
        <v>1</v>
      </c>
    </row>
    <row r="92" spans="1:2" x14ac:dyDescent="0.3">
      <c r="A92" t="s">
        <v>1094</v>
      </c>
      <c r="B92">
        <v>1</v>
      </c>
    </row>
    <row r="93" spans="1:2" x14ac:dyDescent="0.3">
      <c r="A93" t="s">
        <v>1096</v>
      </c>
      <c r="B93">
        <v>1</v>
      </c>
    </row>
    <row r="94" spans="1:2" x14ac:dyDescent="0.3">
      <c r="A94" t="s">
        <v>1098</v>
      </c>
      <c r="B94">
        <v>1</v>
      </c>
    </row>
    <row r="95" spans="1:2" x14ac:dyDescent="0.3">
      <c r="A95" t="s">
        <v>1099</v>
      </c>
      <c r="B95">
        <v>1</v>
      </c>
    </row>
    <row r="96" spans="1:2" x14ac:dyDescent="0.3">
      <c r="A96" t="s">
        <v>1100</v>
      </c>
      <c r="B96">
        <v>1</v>
      </c>
    </row>
    <row r="97" spans="1:2" x14ac:dyDescent="0.3">
      <c r="A97" t="s">
        <v>1103</v>
      </c>
      <c r="B97">
        <v>1</v>
      </c>
    </row>
    <row r="98" spans="1:2" x14ac:dyDescent="0.3">
      <c r="A98" t="s">
        <v>1104</v>
      </c>
      <c r="B98">
        <v>1</v>
      </c>
    </row>
    <row r="99" spans="1:2" x14ac:dyDescent="0.3">
      <c r="A99" t="s">
        <v>1106</v>
      </c>
      <c r="B99">
        <v>1</v>
      </c>
    </row>
    <row r="100" spans="1:2" x14ac:dyDescent="0.3">
      <c r="A100" t="s">
        <v>1108</v>
      </c>
      <c r="B100">
        <v>1</v>
      </c>
    </row>
    <row r="101" spans="1:2" x14ac:dyDescent="0.3">
      <c r="A101" t="s">
        <v>1109</v>
      </c>
      <c r="B101">
        <v>1</v>
      </c>
    </row>
    <row r="102" spans="1:2" x14ac:dyDescent="0.3">
      <c r="A102" t="s">
        <v>1111</v>
      </c>
      <c r="B102">
        <v>1</v>
      </c>
    </row>
    <row r="103" spans="1:2" x14ac:dyDescent="0.3">
      <c r="A103" t="s">
        <v>1113</v>
      </c>
      <c r="B103">
        <v>1</v>
      </c>
    </row>
    <row r="104" spans="1:2" x14ac:dyDescent="0.3">
      <c r="A104" t="s">
        <v>1115</v>
      </c>
      <c r="B104">
        <v>1</v>
      </c>
    </row>
    <row r="105" spans="1:2" x14ac:dyDescent="0.3">
      <c r="A105" t="s">
        <v>1116</v>
      </c>
      <c r="B105">
        <v>1</v>
      </c>
    </row>
    <row r="106" spans="1:2" x14ac:dyDescent="0.3">
      <c r="A106" t="s">
        <v>1117</v>
      </c>
      <c r="B106">
        <v>1</v>
      </c>
    </row>
    <row r="107" spans="1:2" x14ac:dyDescent="0.3">
      <c r="A107" t="s">
        <v>1119</v>
      </c>
      <c r="B107">
        <v>1</v>
      </c>
    </row>
    <row r="108" spans="1:2" x14ac:dyDescent="0.3">
      <c r="A108" t="s">
        <v>1121</v>
      </c>
      <c r="B108">
        <v>1</v>
      </c>
    </row>
    <row r="109" spans="1:2" x14ac:dyDescent="0.3">
      <c r="A109" t="s">
        <v>1123</v>
      </c>
      <c r="B109">
        <v>1</v>
      </c>
    </row>
    <row r="110" spans="1:2" x14ac:dyDescent="0.3">
      <c r="A110" t="s">
        <v>1125</v>
      </c>
      <c r="B110">
        <v>1</v>
      </c>
    </row>
    <row r="111" spans="1:2" x14ac:dyDescent="0.3">
      <c r="A111" t="s">
        <v>1127</v>
      </c>
      <c r="B111">
        <v>1</v>
      </c>
    </row>
    <row r="112" spans="1:2" x14ac:dyDescent="0.3">
      <c r="A112" t="s">
        <v>1129</v>
      </c>
      <c r="B112">
        <v>1</v>
      </c>
    </row>
    <row r="113" spans="1:2" x14ac:dyDescent="0.3">
      <c r="A113" t="s">
        <v>1131</v>
      </c>
      <c r="B113">
        <v>1</v>
      </c>
    </row>
    <row r="114" spans="1:2" x14ac:dyDescent="0.3">
      <c r="A114" t="s">
        <v>1133</v>
      </c>
      <c r="B114">
        <v>1</v>
      </c>
    </row>
    <row r="115" spans="1:2" x14ac:dyDescent="0.3">
      <c r="A115" t="s">
        <v>1135</v>
      </c>
      <c r="B115">
        <v>1</v>
      </c>
    </row>
    <row r="116" spans="1:2" x14ac:dyDescent="0.3">
      <c r="A116" t="s">
        <v>1137</v>
      </c>
      <c r="B116">
        <v>1</v>
      </c>
    </row>
    <row r="117" spans="1:2" x14ac:dyDescent="0.3">
      <c r="A117" t="s">
        <v>1138</v>
      </c>
      <c r="B117">
        <v>1</v>
      </c>
    </row>
    <row r="118" spans="1:2" x14ac:dyDescent="0.3">
      <c r="A118" t="s">
        <v>1139</v>
      </c>
      <c r="B118">
        <v>1</v>
      </c>
    </row>
    <row r="119" spans="1:2" x14ac:dyDescent="0.3">
      <c r="A119" t="s">
        <v>1140</v>
      </c>
      <c r="B119">
        <v>1</v>
      </c>
    </row>
    <row r="120" spans="1:2" x14ac:dyDescent="0.3">
      <c r="A120" t="s">
        <v>1141</v>
      </c>
      <c r="B120">
        <v>1</v>
      </c>
    </row>
    <row r="121" spans="1:2" x14ac:dyDescent="0.3">
      <c r="A121" t="s">
        <v>1143</v>
      </c>
      <c r="B121">
        <v>1</v>
      </c>
    </row>
    <row r="122" spans="1:2" x14ac:dyDescent="0.3">
      <c r="A122" t="s">
        <v>1145</v>
      </c>
      <c r="B122">
        <v>1</v>
      </c>
    </row>
    <row r="123" spans="1:2" x14ac:dyDescent="0.3">
      <c r="A123" t="s">
        <v>1147</v>
      </c>
      <c r="B123">
        <v>1</v>
      </c>
    </row>
    <row r="124" spans="1:2" x14ac:dyDescent="0.3">
      <c r="A124" t="s">
        <v>1149</v>
      </c>
      <c r="B124">
        <v>1</v>
      </c>
    </row>
    <row r="125" spans="1:2" x14ac:dyDescent="0.3">
      <c r="A125" t="s">
        <v>1151</v>
      </c>
      <c r="B125">
        <v>1</v>
      </c>
    </row>
    <row r="126" spans="1:2" x14ac:dyDescent="0.3">
      <c r="A126" t="s">
        <v>2722</v>
      </c>
      <c r="B126">
        <v>1</v>
      </c>
    </row>
    <row r="127" spans="1:2" x14ac:dyDescent="0.3">
      <c r="A127" t="s">
        <v>1154</v>
      </c>
      <c r="B127">
        <v>1</v>
      </c>
    </row>
    <row r="128" spans="1:2" x14ac:dyDescent="0.3">
      <c r="A128" t="s">
        <v>1156</v>
      </c>
      <c r="B128">
        <v>1</v>
      </c>
    </row>
    <row r="129" spans="1:2" x14ac:dyDescent="0.3">
      <c r="A129" t="s">
        <v>1158</v>
      </c>
      <c r="B129">
        <v>1</v>
      </c>
    </row>
    <row r="130" spans="1:2" x14ac:dyDescent="0.3">
      <c r="A130" t="s">
        <v>1160</v>
      </c>
      <c r="B130">
        <v>1</v>
      </c>
    </row>
    <row r="131" spans="1:2" x14ac:dyDescent="0.3">
      <c r="A131" t="s">
        <v>1161</v>
      </c>
      <c r="B131">
        <v>1</v>
      </c>
    </row>
    <row r="132" spans="1:2" x14ac:dyDescent="0.3">
      <c r="A132" t="s">
        <v>1163</v>
      </c>
      <c r="B132">
        <v>1</v>
      </c>
    </row>
    <row r="133" spans="1:2" x14ac:dyDescent="0.3">
      <c r="A133" t="s">
        <v>1165</v>
      </c>
      <c r="B133">
        <v>1</v>
      </c>
    </row>
    <row r="134" spans="1:2" x14ac:dyDescent="0.3">
      <c r="A134" t="s">
        <v>1167</v>
      </c>
      <c r="B134">
        <v>1</v>
      </c>
    </row>
    <row r="135" spans="1:2" x14ac:dyDescent="0.3">
      <c r="A135" t="s">
        <v>1169</v>
      </c>
      <c r="B135">
        <v>1</v>
      </c>
    </row>
    <row r="136" spans="1:2" x14ac:dyDescent="0.3">
      <c r="A136" t="s">
        <v>1171</v>
      </c>
      <c r="B136">
        <v>1</v>
      </c>
    </row>
    <row r="137" spans="1:2" x14ac:dyDescent="0.3">
      <c r="A137" t="s">
        <v>1172</v>
      </c>
      <c r="B137">
        <v>1</v>
      </c>
    </row>
    <row r="138" spans="1:2" x14ac:dyDescent="0.3">
      <c r="A138" t="s">
        <v>1174</v>
      </c>
      <c r="B138">
        <v>1</v>
      </c>
    </row>
    <row r="139" spans="1:2" x14ac:dyDescent="0.3">
      <c r="A139" t="s">
        <v>1177</v>
      </c>
      <c r="B139">
        <v>1</v>
      </c>
    </row>
    <row r="140" spans="1:2" x14ac:dyDescent="0.3">
      <c r="A140" t="s">
        <v>1179</v>
      </c>
      <c r="B140">
        <v>1</v>
      </c>
    </row>
    <row r="141" spans="1:2" x14ac:dyDescent="0.3">
      <c r="A141" t="s">
        <v>1181</v>
      </c>
      <c r="B141">
        <v>1</v>
      </c>
    </row>
    <row r="142" spans="1:2" x14ac:dyDescent="0.3">
      <c r="A142" t="s">
        <v>1184</v>
      </c>
      <c r="B142">
        <v>1</v>
      </c>
    </row>
    <row r="143" spans="1:2" x14ac:dyDescent="0.3">
      <c r="A143" t="s">
        <v>1187</v>
      </c>
      <c r="B143">
        <v>1</v>
      </c>
    </row>
    <row r="144" spans="1:2" x14ac:dyDescent="0.3">
      <c r="A144" t="s">
        <v>1188</v>
      </c>
      <c r="B144">
        <v>1</v>
      </c>
    </row>
    <row r="145" spans="1:2" x14ac:dyDescent="0.3">
      <c r="A145" t="s">
        <v>1191</v>
      </c>
      <c r="B145">
        <v>1</v>
      </c>
    </row>
    <row r="146" spans="1:2" x14ac:dyDescent="0.3">
      <c r="A146" t="s">
        <v>1197</v>
      </c>
      <c r="B146">
        <v>1</v>
      </c>
    </row>
    <row r="147" spans="1:2" x14ac:dyDescent="0.3">
      <c r="A147" t="s">
        <v>2723</v>
      </c>
      <c r="B147">
        <v>1</v>
      </c>
    </row>
    <row r="148" spans="1:2" x14ac:dyDescent="0.3">
      <c r="A148" t="s">
        <v>2554</v>
      </c>
      <c r="B148">
        <v>1</v>
      </c>
    </row>
    <row r="149" spans="1:2" x14ac:dyDescent="0.3">
      <c r="A149" t="s">
        <v>1199</v>
      </c>
      <c r="B149">
        <v>1</v>
      </c>
    </row>
    <row r="150" spans="1:2" x14ac:dyDescent="0.3">
      <c r="A150" t="s">
        <v>1201</v>
      </c>
      <c r="B150">
        <v>1</v>
      </c>
    </row>
    <row r="151" spans="1:2" x14ac:dyDescent="0.3">
      <c r="A151" t="s">
        <v>2724</v>
      </c>
      <c r="B151">
        <v>1</v>
      </c>
    </row>
    <row r="152" spans="1:2" x14ac:dyDescent="0.3">
      <c r="A152" t="s">
        <v>1204</v>
      </c>
      <c r="B152">
        <v>1</v>
      </c>
    </row>
    <row r="153" spans="1:2" x14ac:dyDescent="0.3">
      <c r="A153" t="s">
        <v>1208</v>
      </c>
      <c r="B153">
        <v>1</v>
      </c>
    </row>
    <row r="154" spans="1:2" x14ac:dyDescent="0.3">
      <c r="A154" t="s">
        <v>1210</v>
      </c>
      <c r="B154">
        <v>1</v>
      </c>
    </row>
    <row r="155" spans="1:2" x14ac:dyDescent="0.3">
      <c r="A155" t="s">
        <v>2725</v>
      </c>
      <c r="B155">
        <v>1</v>
      </c>
    </row>
    <row r="156" spans="1:2" x14ac:dyDescent="0.3">
      <c r="A156" t="s">
        <v>2726</v>
      </c>
      <c r="B156">
        <v>1</v>
      </c>
    </row>
    <row r="157" spans="1:2" x14ac:dyDescent="0.3">
      <c r="A157" t="s">
        <v>1215</v>
      </c>
      <c r="B157">
        <v>1</v>
      </c>
    </row>
    <row r="158" spans="1:2" x14ac:dyDescent="0.3">
      <c r="A158" t="s">
        <v>1218</v>
      </c>
      <c r="B158">
        <v>1</v>
      </c>
    </row>
    <row r="159" spans="1:2" x14ac:dyDescent="0.3">
      <c r="A159" t="s">
        <v>1220</v>
      </c>
      <c r="B159">
        <v>1</v>
      </c>
    </row>
    <row r="160" spans="1:2" x14ac:dyDescent="0.3">
      <c r="A160" t="s">
        <v>1224</v>
      </c>
      <c r="B160">
        <v>1</v>
      </c>
    </row>
    <row r="161" spans="1:2" x14ac:dyDescent="0.3">
      <c r="A161" t="s">
        <v>2683</v>
      </c>
      <c r="B161">
        <v>1</v>
      </c>
    </row>
    <row r="162" spans="1:2" x14ac:dyDescent="0.3">
      <c r="A162" t="s">
        <v>2593</v>
      </c>
      <c r="B162">
        <v>1</v>
      </c>
    </row>
    <row r="163" spans="1:2" x14ac:dyDescent="0.3">
      <c r="A163" t="s">
        <v>1228</v>
      </c>
      <c r="B163">
        <v>1</v>
      </c>
    </row>
    <row r="164" spans="1:2" x14ac:dyDescent="0.3">
      <c r="A164" t="s">
        <v>1229</v>
      </c>
      <c r="B164">
        <v>1</v>
      </c>
    </row>
    <row r="165" spans="1:2" x14ac:dyDescent="0.3">
      <c r="A165" t="s">
        <v>1232</v>
      </c>
      <c r="B165">
        <v>1</v>
      </c>
    </row>
    <row r="166" spans="1:2" x14ac:dyDescent="0.3">
      <c r="A166" t="s">
        <v>1235</v>
      </c>
      <c r="B166">
        <v>1</v>
      </c>
    </row>
    <row r="167" spans="1:2" x14ac:dyDescent="0.3">
      <c r="A167" t="s">
        <v>1237</v>
      </c>
      <c r="B167">
        <v>1</v>
      </c>
    </row>
    <row r="168" spans="1:2" x14ac:dyDescent="0.3">
      <c r="A168" t="s">
        <v>1238</v>
      </c>
      <c r="B168">
        <v>1</v>
      </c>
    </row>
    <row r="169" spans="1:2" x14ac:dyDescent="0.3">
      <c r="A169" t="s">
        <v>1240</v>
      </c>
      <c r="B169">
        <v>1</v>
      </c>
    </row>
    <row r="170" spans="1:2" x14ac:dyDescent="0.3">
      <c r="A170" t="s">
        <v>1245</v>
      </c>
      <c r="B170">
        <v>1</v>
      </c>
    </row>
    <row r="171" spans="1:2" x14ac:dyDescent="0.3">
      <c r="A171" t="s">
        <v>2727</v>
      </c>
      <c r="B171">
        <v>1</v>
      </c>
    </row>
    <row r="172" spans="1:2" x14ac:dyDescent="0.3">
      <c r="A172" t="s">
        <v>2728</v>
      </c>
      <c r="B172">
        <v>1</v>
      </c>
    </row>
    <row r="173" spans="1:2" x14ac:dyDescent="0.3">
      <c r="A173" t="s">
        <v>1246</v>
      </c>
      <c r="B173">
        <v>1</v>
      </c>
    </row>
    <row r="174" spans="1:2" x14ac:dyDescent="0.3">
      <c r="A174" t="s">
        <v>1247</v>
      </c>
      <c r="B174">
        <v>1</v>
      </c>
    </row>
    <row r="175" spans="1:2" x14ac:dyDescent="0.3">
      <c r="A175" t="s">
        <v>1249</v>
      </c>
      <c r="B175">
        <v>1</v>
      </c>
    </row>
    <row r="176" spans="1:2" x14ac:dyDescent="0.3">
      <c r="A176" t="s">
        <v>1250</v>
      </c>
      <c r="B176">
        <v>1</v>
      </c>
    </row>
    <row r="177" spans="1:2" x14ac:dyDescent="0.3">
      <c r="A177" t="s">
        <v>1256</v>
      </c>
      <c r="B177">
        <v>1</v>
      </c>
    </row>
    <row r="178" spans="1:2" x14ac:dyDescent="0.3">
      <c r="A178" t="s">
        <v>2729</v>
      </c>
      <c r="B178">
        <v>1</v>
      </c>
    </row>
    <row r="179" spans="1:2" x14ac:dyDescent="0.3">
      <c r="A179" t="s">
        <v>1258</v>
      </c>
      <c r="B179">
        <v>1</v>
      </c>
    </row>
    <row r="180" spans="1:2" x14ac:dyDescent="0.3">
      <c r="A180" t="s">
        <v>2597</v>
      </c>
      <c r="B180">
        <v>1</v>
      </c>
    </row>
    <row r="181" spans="1:2" x14ac:dyDescent="0.3">
      <c r="A181" t="s">
        <v>1262</v>
      </c>
      <c r="B181">
        <v>1</v>
      </c>
    </row>
    <row r="182" spans="1:2" x14ac:dyDescent="0.3">
      <c r="A182" t="s">
        <v>1266</v>
      </c>
      <c r="B182">
        <v>1</v>
      </c>
    </row>
    <row r="183" spans="1:2" x14ac:dyDescent="0.3">
      <c r="A183" t="s">
        <v>1268</v>
      </c>
      <c r="B183">
        <v>1</v>
      </c>
    </row>
    <row r="184" spans="1:2" x14ac:dyDescent="0.3">
      <c r="A184" t="s">
        <v>2580</v>
      </c>
      <c r="B184">
        <v>1</v>
      </c>
    </row>
    <row r="185" spans="1:2" x14ac:dyDescent="0.3">
      <c r="A185" t="s">
        <v>1273</v>
      </c>
      <c r="B185">
        <v>1</v>
      </c>
    </row>
    <row r="186" spans="1:2" x14ac:dyDescent="0.3">
      <c r="A186" t="s">
        <v>2730</v>
      </c>
      <c r="B186">
        <v>1</v>
      </c>
    </row>
    <row r="187" spans="1:2" x14ac:dyDescent="0.3">
      <c r="A187" t="s">
        <v>2731</v>
      </c>
      <c r="B187">
        <v>1</v>
      </c>
    </row>
    <row r="188" spans="1:2" x14ac:dyDescent="0.3">
      <c r="A188" t="s">
        <v>1275</v>
      </c>
      <c r="B188">
        <v>1</v>
      </c>
    </row>
    <row r="189" spans="1:2" x14ac:dyDescent="0.3">
      <c r="A189" t="s">
        <v>1276</v>
      </c>
      <c r="B189">
        <v>1</v>
      </c>
    </row>
    <row r="190" spans="1:2" x14ac:dyDescent="0.3">
      <c r="A190" t="s">
        <v>1278</v>
      </c>
      <c r="B190">
        <v>1</v>
      </c>
    </row>
    <row r="191" spans="1:2" x14ac:dyDescent="0.3">
      <c r="A191" t="s">
        <v>1280</v>
      </c>
      <c r="B191">
        <v>1</v>
      </c>
    </row>
    <row r="192" spans="1:2" x14ac:dyDescent="0.3">
      <c r="A192" t="s">
        <v>1282</v>
      </c>
      <c r="B192">
        <v>1</v>
      </c>
    </row>
    <row r="193" spans="1:2" x14ac:dyDescent="0.3">
      <c r="A193" t="s">
        <v>1284</v>
      </c>
      <c r="B193">
        <v>1</v>
      </c>
    </row>
    <row r="194" spans="1:2" x14ac:dyDescent="0.3">
      <c r="A194" t="s">
        <v>1286</v>
      </c>
      <c r="B194">
        <v>1</v>
      </c>
    </row>
    <row r="195" spans="1:2" x14ac:dyDescent="0.3">
      <c r="A195" t="s">
        <v>1289</v>
      </c>
      <c r="B195">
        <v>1</v>
      </c>
    </row>
    <row r="196" spans="1:2" x14ac:dyDescent="0.3">
      <c r="A196" t="s">
        <v>1290</v>
      </c>
      <c r="B196">
        <v>1</v>
      </c>
    </row>
    <row r="197" spans="1:2" x14ac:dyDescent="0.3">
      <c r="A197" t="s">
        <v>1292</v>
      </c>
      <c r="B197">
        <v>1</v>
      </c>
    </row>
    <row r="198" spans="1:2" x14ac:dyDescent="0.3">
      <c r="A198" t="s">
        <v>1294</v>
      </c>
      <c r="B198">
        <v>1</v>
      </c>
    </row>
    <row r="199" spans="1:2" x14ac:dyDescent="0.3">
      <c r="A199" t="s">
        <v>1296</v>
      </c>
      <c r="B199">
        <v>1</v>
      </c>
    </row>
    <row r="200" spans="1:2" x14ac:dyDescent="0.3">
      <c r="A200" t="s">
        <v>1298</v>
      </c>
      <c r="B200">
        <v>1</v>
      </c>
    </row>
    <row r="201" spans="1:2" x14ac:dyDescent="0.3">
      <c r="A201" t="s">
        <v>1300</v>
      </c>
      <c r="B201">
        <v>1</v>
      </c>
    </row>
    <row r="202" spans="1:2" x14ac:dyDescent="0.3">
      <c r="A202" t="s">
        <v>1302</v>
      </c>
      <c r="B202">
        <v>1</v>
      </c>
    </row>
    <row r="203" spans="1:2" x14ac:dyDescent="0.3">
      <c r="A203" t="s">
        <v>1305</v>
      </c>
      <c r="B203">
        <v>1</v>
      </c>
    </row>
    <row r="204" spans="1:2" x14ac:dyDescent="0.3">
      <c r="A204" t="s">
        <v>2732</v>
      </c>
      <c r="B204">
        <v>1</v>
      </c>
    </row>
    <row r="205" spans="1:2" x14ac:dyDescent="0.3">
      <c r="A205" t="s">
        <v>2733</v>
      </c>
      <c r="B205">
        <v>1</v>
      </c>
    </row>
    <row r="206" spans="1:2" x14ac:dyDescent="0.3">
      <c r="A206" t="s">
        <v>2734</v>
      </c>
      <c r="B206">
        <v>1</v>
      </c>
    </row>
    <row r="207" spans="1:2" x14ac:dyDescent="0.3">
      <c r="A207" t="s">
        <v>2735</v>
      </c>
      <c r="B207">
        <v>1</v>
      </c>
    </row>
    <row r="208" spans="1:2" x14ac:dyDescent="0.3">
      <c r="A208" t="s">
        <v>1318</v>
      </c>
      <c r="B208">
        <v>1</v>
      </c>
    </row>
    <row r="209" spans="1:2" x14ac:dyDescent="0.3">
      <c r="A209" t="s">
        <v>2736</v>
      </c>
      <c r="B209">
        <v>1</v>
      </c>
    </row>
    <row r="210" spans="1:2" x14ac:dyDescent="0.3">
      <c r="A210" t="s">
        <v>2737</v>
      </c>
      <c r="B210">
        <v>1</v>
      </c>
    </row>
    <row r="211" spans="1:2" x14ac:dyDescent="0.3">
      <c r="A211" t="s">
        <v>2738</v>
      </c>
      <c r="B211">
        <v>1</v>
      </c>
    </row>
    <row r="212" spans="1:2" x14ac:dyDescent="0.3">
      <c r="A212" t="s">
        <v>2739</v>
      </c>
      <c r="B212">
        <v>1</v>
      </c>
    </row>
    <row r="213" spans="1:2" x14ac:dyDescent="0.3">
      <c r="A213" t="s">
        <v>1323</v>
      </c>
      <c r="B213">
        <v>1</v>
      </c>
    </row>
    <row r="214" spans="1:2" x14ac:dyDescent="0.3">
      <c r="A214" t="s">
        <v>1326</v>
      </c>
      <c r="B214">
        <v>1</v>
      </c>
    </row>
    <row r="215" spans="1:2" x14ac:dyDescent="0.3">
      <c r="A215" t="s">
        <v>1328</v>
      </c>
      <c r="B215">
        <v>1</v>
      </c>
    </row>
    <row r="216" spans="1:2" x14ac:dyDescent="0.3">
      <c r="A216" t="s">
        <v>1332</v>
      </c>
      <c r="B216">
        <v>1</v>
      </c>
    </row>
    <row r="217" spans="1:2" x14ac:dyDescent="0.3">
      <c r="A217" t="s">
        <v>1333</v>
      </c>
      <c r="B217">
        <v>1</v>
      </c>
    </row>
    <row r="218" spans="1:2" x14ac:dyDescent="0.3">
      <c r="A218" t="s">
        <v>1335</v>
      </c>
      <c r="B218">
        <v>1</v>
      </c>
    </row>
    <row r="219" spans="1:2" x14ac:dyDescent="0.3">
      <c r="A219" t="s">
        <v>1337</v>
      </c>
      <c r="B219">
        <v>1</v>
      </c>
    </row>
    <row r="220" spans="1:2" x14ac:dyDescent="0.3">
      <c r="A220" t="s">
        <v>1339</v>
      </c>
      <c r="B220">
        <v>1</v>
      </c>
    </row>
    <row r="221" spans="1:2" x14ac:dyDescent="0.3">
      <c r="A221" t="s">
        <v>1341</v>
      </c>
      <c r="B221">
        <v>1</v>
      </c>
    </row>
    <row r="222" spans="1:2" x14ac:dyDescent="0.3">
      <c r="A222" t="s">
        <v>1343</v>
      </c>
      <c r="B222">
        <v>1</v>
      </c>
    </row>
    <row r="223" spans="1:2" x14ac:dyDescent="0.3">
      <c r="A223" t="s">
        <v>1345</v>
      </c>
      <c r="B223">
        <v>1</v>
      </c>
    </row>
    <row r="224" spans="1:2" x14ac:dyDescent="0.3">
      <c r="A224" t="s">
        <v>1348</v>
      </c>
      <c r="B224">
        <v>1</v>
      </c>
    </row>
    <row r="225" spans="1:2" x14ac:dyDescent="0.3">
      <c r="A225" t="s">
        <v>1350</v>
      </c>
      <c r="B225">
        <v>1</v>
      </c>
    </row>
    <row r="226" spans="1:2" x14ac:dyDescent="0.3">
      <c r="A226" t="s">
        <v>1352</v>
      </c>
      <c r="B226">
        <v>1</v>
      </c>
    </row>
    <row r="227" spans="1:2" x14ac:dyDescent="0.3">
      <c r="A227" t="s">
        <v>1354</v>
      </c>
      <c r="B227">
        <v>1</v>
      </c>
    </row>
    <row r="228" spans="1:2" x14ac:dyDescent="0.3">
      <c r="A228" t="s">
        <v>1356</v>
      </c>
      <c r="B228">
        <v>1</v>
      </c>
    </row>
    <row r="229" spans="1:2" x14ac:dyDescent="0.3">
      <c r="A229" t="s">
        <v>1358</v>
      </c>
      <c r="B229">
        <v>1</v>
      </c>
    </row>
    <row r="230" spans="1:2" x14ac:dyDescent="0.3">
      <c r="A230" t="s">
        <v>1360</v>
      </c>
      <c r="B230">
        <v>1</v>
      </c>
    </row>
    <row r="231" spans="1:2" x14ac:dyDescent="0.3">
      <c r="A231" t="s">
        <v>1362</v>
      </c>
      <c r="B231">
        <v>1</v>
      </c>
    </row>
    <row r="232" spans="1:2" x14ac:dyDescent="0.3">
      <c r="A232" t="s">
        <v>1364</v>
      </c>
      <c r="B232">
        <v>1</v>
      </c>
    </row>
    <row r="233" spans="1:2" x14ac:dyDescent="0.3">
      <c r="A233" t="s">
        <v>1367</v>
      </c>
      <c r="B233">
        <v>1</v>
      </c>
    </row>
    <row r="234" spans="1:2" x14ac:dyDescent="0.3">
      <c r="A234" t="s">
        <v>1369</v>
      </c>
      <c r="B234">
        <v>1</v>
      </c>
    </row>
    <row r="235" spans="1:2" x14ac:dyDescent="0.3">
      <c r="A235" t="s">
        <v>2653</v>
      </c>
      <c r="B235">
        <v>1</v>
      </c>
    </row>
    <row r="236" spans="1:2" x14ac:dyDescent="0.3">
      <c r="A236" t="s">
        <v>1374</v>
      </c>
      <c r="B236">
        <v>1</v>
      </c>
    </row>
    <row r="237" spans="1:2" x14ac:dyDescent="0.3">
      <c r="A237" t="s">
        <v>1376</v>
      </c>
      <c r="B237">
        <v>1</v>
      </c>
    </row>
    <row r="238" spans="1:2" x14ac:dyDescent="0.3">
      <c r="A238" t="s">
        <v>1378</v>
      </c>
      <c r="B238">
        <v>1</v>
      </c>
    </row>
    <row r="239" spans="1:2" x14ac:dyDescent="0.3">
      <c r="A239" t="s">
        <v>2740</v>
      </c>
      <c r="B239">
        <v>1</v>
      </c>
    </row>
    <row r="240" spans="1:2" x14ac:dyDescent="0.3">
      <c r="A240" t="s">
        <v>1384</v>
      </c>
      <c r="B240">
        <v>1</v>
      </c>
    </row>
    <row r="241" spans="1:2" x14ac:dyDescent="0.3">
      <c r="A241" t="s">
        <v>2741</v>
      </c>
      <c r="B241">
        <v>1</v>
      </c>
    </row>
    <row r="242" spans="1:2" x14ac:dyDescent="0.3">
      <c r="A242" t="s">
        <v>2742</v>
      </c>
      <c r="B242">
        <v>1</v>
      </c>
    </row>
    <row r="243" spans="1:2" x14ac:dyDescent="0.3">
      <c r="A243" t="s">
        <v>2743</v>
      </c>
      <c r="B243">
        <v>1</v>
      </c>
    </row>
    <row r="244" spans="1:2" x14ac:dyDescent="0.3">
      <c r="A244" t="s">
        <v>2744</v>
      </c>
      <c r="B244">
        <v>1</v>
      </c>
    </row>
    <row r="245" spans="1:2" x14ac:dyDescent="0.3">
      <c r="A245" t="s">
        <v>2745</v>
      </c>
      <c r="B245">
        <v>1</v>
      </c>
    </row>
    <row r="246" spans="1:2" x14ac:dyDescent="0.3">
      <c r="A246" t="s">
        <v>1396</v>
      </c>
      <c r="B246">
        <v>1</v>
      </c>
    </row>
    <row r="247" spans="1:2" x14ac:dyDescent="0.3">
      <c r="A247" t="s">
        <v>1398</v>
      </c>
      <c r="B247">
        <v>1</v>
      </c>
    </row>
    <row r="248" spans="1:2" x14ac:dyDescent="0.3">
      <c r="A248" t="s">
        <v>1400</v>
      </c>
      <c r="B248">
        <v>1</v>
      </c>
    </row>
    <row r="249" spans="1:2" x14ac:dyDescent="0.3">
      <c r="A249" t="s">
        <v>1404</v>
      </c>
      <c r="B249">
        <v>1</v>
      </c>
    </row>
    <row r="250" spans="1:2" x14ac:dyDescent="0.3">
      <c r="A250" t="s">
        <v>1407</v>
      </c>
      <c r="B250">
        <v>1</v>
      </c>
    </row>
    <row r="251" spans="1:2" x14ac:dyDescent="0.3">
      <c r="A251" t="s">
        <v>2746</v>
      </c>
      <c r="B251">
        <v>1</v>
      </c>
    </row>
    <row r="252" spans="1:2" x14ac:dyDescent="0.3">
      <c r="A252" t="s">
        <v>1410</v>
      </c>
      <c r="B252">
        <v>1</v>
      </c>
    </row>
    <row r="253" spans="1:2" x14ac:dyDescent="0.3">
      <c r="A253" t="s">
        <v>1413</v>
      </c>
      <c r="B253">
        <v>1</v>
      </c>
    </row>
    <row r="254" spans="1:2" x14ac:dyDescent="0.3">
      <c r="A254" t="s">
        <v>2747</v>
      </c>
      <c r="B254">
        <v>1</v>
      </c>
    </row>
    <row r="255" spans="1:2" x14ac:dyDescent="0.3">
      <c r="A255" t="s">
        <v>1415</v>
      </c>
      <c r="B255">
        <v>1</v>
      </c>
    </row>
    <row r="256" spans="1:2" x14ac:dyDescent="0.3">
      <c r="A256" t="s">
        <v>1417</v>
      </c>
      <c r="B256">
        <v>1</v>
      </c>
    </row>
    <row r="257" spans="1:2" x14ac:dyDescent="0.3">
      <c r="A257" t="s">
        <v>2748</v>
      </c>
      <c r="B257">
        <v>1</v>
      </c>
    </row>
    <row r="258" spans="1:2" x14ac:dyDescent="0.3">
      <c r="A258" t="s">
        <v>1421</v>
      </c>
      <c r="B258">
        <v>1</v>
      </c>
    </row>
    <row r="259" spans="1:2" x14ac:dyDescent="0.3">
      <c r="A259" t="s">
        <v>1423</v>
      </c>
      <c r="B259">
        <v>1</v>
      </c>
    </row>
    <row r="260" spans="1:2" x14ac:dyDescent="0.3">
      <c r="A260" t="s">
        <v>2749</v>
      </c>
      <c r="B260">
        <v>1</v>
      </c>
    </row>
    <row r="261" spans="1:2" x14ac:dyDescent="0.3">
      <c r="A261" t="s">
        <v>1425</v>
      </c>
      <c r="B261">
        <v>1</v>
      </c>
    </row>
    <row r="262" spans="1:2" x14ac:dyDescent="0.3">
      <c r="A262" t="s">
        <v>1427</v>
      </c>
      <c r="B262">
        <v>1</v>
      </c>
    </row>
    <row r="263" spans="1:2" x14ac:dyDescent="0.3">
      <c r="A263" t="s">
        <v>1429</v>
      </c>
      <c r="B263">
        <v>1</v>
      </c>
    </row>
    <row r="264" spans="1:2" x14ac:dyDescent="0.3">
      <c r="A264" t="s">
        <v>1433</v>
      </c>
      <c r="B264">
        <v>1</v>
      </c>
    </row>
    <row r="265" spans="1:2" x14ac:dyDescent="0.3">
      <c r="A265" t="s">
        <v>1434</v>
      </c>
      <c r="B265">
        <v>1</v>
      </c>
    </row>
    <row r="266" spans="1:2" x14ac:dyDescent="0.3">
      <c r="A266" t="s">
        <v>1436</v>
      </c>
      <c r="B266">
        <v>1</v>
      </c>
    </row>
    <row r="267" spans="1:2" x14ac:dyDescent="0.3">
      <c r="A267" t="s">
        <v>2750</v>
      </c>
      <c r="B267">
        <v>1</v>
      </c>
    </row>
    <row r="268" spans="1:2" x14ac:dyDescent="0.3">
      <c r="A268" t="s">
        <v>2751</v>
      </c>
      <c r="B268">
        <v>1</v>
      </c>
    </row>
    <row r="269" spans="1:2" x14ac:dyDescent="0.3">
      <c r="A269" t="s">
        <v>2752</v>
      </c>
      <c r="B269">
        <v>1</v>
      </c>
    </row>
    <row r="270" spans="1:2" x14ac:dyDescent="0.3">
      <c r="A270" t="s">
        <v>1440</v>
      </c>
      <c r="B270">
        <v>1</v>
      </c>
    </row>
    <row r="271" spans="1:2" x14ac:dyDescent="0.3">
      <c r="A271" t="s">
        <v>1441</v>
      </c>
      <c r="B271">
        <v>1</v>
      </c>
    </row>
    <row r="272" spans="1:2" x14ac:dyDescent="0.3">
      <c r="A272" t="s">
        <v>1443</v>
      </c>
      <c r="B272">
        <v>1</v>
      </c>
    </row>
    <row r="273" spans="1:2" x14ac:dyDescent="0.3">
      <c r="A273" t="s">
        <v>2581</v>
      </c>
      <c r="B273">
        <v>1</v>
      </c>
    </row>
    <row r="274" spans="1:2" x14ac:dyDescent="0.3">
      <c r="A274" t="s">
        <v>1447</v>
      </c>
      <c r="B274">
        <v>1</v>
      </c>
    </row>
    <row r="275" spans="1:2" x14ac:dyDescent="0.3">
      <c r="A275" t="s">
        <v>1450</v>
      </c>
      <c r="B275">
        <v>1</v>
      </c>
    </row>
    <row r="276" spans="1:2" x14ac:dyDescent="0.3">
      <c r="A276" t="s">
        <v>2753</v>
      </c>
      <c r="B276">
        <v>1</v>
      </c>
    </row>
    <row r="277" spans="1:2" x14ac:dyDescent="0.3">
      <c r="A277" t="s">
        <v>1451</v>
      </c>
      <c r="B277">
        <v>1</v>
      </c>
    </row>
    <row r="278" spans="1:2" x14ac:dyDescent="0.3">
      <c r="A278" t="s">
        <v>1453</v>
      </c>
      <c r="B278">
        <v>1</v>
      </c>
    </row>
    <row r="279" spans="1:2" x14ac:dyDescent="0.3">
      <c r="A279" t="s">
        <v>1455</v>
      </c>
      <c r="B279">
        <v>1</v>
      </c>
    </row>
    <row r="280" spans="1:2" x14ac:dyDescent="0.3">
      <c r="A280" t="s">
        <v>1457</v>
      </c>
      <c r="B280">
        <v>1</v>
      </c>
    </row>
    <row r="281" spans="1:2" x14ac:dyDescent="0.3">
      <c r="A281" t="s">
        <v>1459</v>
      </c>
      <c r="B281">
        <v>1</v>
      </c>
    </row>
    <row r="282" spans="1:2" x14ac:dyDescent="0.3">
      <c r="A282" t="s">
        <v>1461</v>
      </c>
      <c r="B282">
        <v>1</v>
      </c>
    </row>
    <row r="283" spans="1:2" x14ac:dyDescent="0.3">
      <c r="A283" t="s">
        <v>1466</v>
      </c>
      <c r="B283">
        <v>1</v>
      </c>
    </row>
    <row r="284" spans="1:2" x14ac:dyDescent="0.3">
      <c r="A284" t="s">
        <v>1467</v>
      </c>
      <c r="B284">
        <v>1</v>
      </c>
    </row>
    <row r="285" spans="1:2" x14ac:dyDescent="0.3">
      <c r="A285" t="s">
        <v>1470</v>
      </c>
      <c r="B285">
        <v>1</v>
      </c>
    </row>
    <row r="286" spans="1:2" x14ac:dyDescent="0.3">
      <c r="A286" t="s">
        <v>1472</v>
      </c>
      <c r="B286">
        <v>1</v>
      </c>
    </row>
    <row r="287" spans="1:2" x14ac:dyDescent="0.3">
      <c r="A287" t="s">
        <v>2603</v>
      </c>
      <c r="B287">
        <v>1</v>
      </c>
    </row>
    <row r="288" spans="1:2" x14ac:dyDescent="0.3">
      <c r="A288" t="s">
        <v>2754</v>
      </c>
      <c r="B288">
        <v>1</v>
      </c>
    </row>
    <row r="289" spans="1:2" x14ac:dyDescent="0.3">
      <c r="A289" t="s">
        <v>1480</v>
      </c>
      <c r="B289">
        <v>1</v>
      </c>
    </row>
    <row r="290" spans="1:2" x14ac:dyDescent="0.3">
      <c r="A290" t="s">
        <v>2755</v>
      </c>
      <c r="B290">
        <v>1</v>
      </c>
    </row>
    <row r="291" spans="1:2" x14ac:dyDescent="0.3">
      <c r="A291" t="s">
        <v>2756</v>
      </c>
      <c r="B291">
        <v>1</v>
      </c>
    </row>
    <row r="292" spans="1:2" x14ac:dyDescent="0.3">
      <c r="A292" t="s">
        <v>2757</v>
      </c>
      <c r="B292">
        <v>1</v>
      </c>
    </row>
    <row r="293" spans="1:2" x14ac:dyDescent="0.3">
      <c r="A293" t="s">
        <v>2758</v>
      </c>
      <c r="B293">
        <v>1</v>
      </c>
    </row>
    <row r="294" spans="1:2" x14ac:dyDescent="0.3">
      <c r="A294" t="s">
        <v>2759</v>
      </c>
      <c r="B294">
        <v>1</v>
      </c>
    </row>
    <row r="295" spans="1:2" x14ac:dyDescent="0.3">
      <c r="A295" t="s">
        <v>1487</v>
      </c>
      <c r="B295">
        <v>1</v>
      </c>
    </row>
    <row r="296" spans="1:2" x14ac:dyDescent="0.3">
      <c r="A296" t="s">
        <v>1491</v>
      </c>
      <c r="B296">
        <v>1</v>
      </c>
    </row>
    <row r="297" spans="1:2" x14ac:dyDescent="0.3">
      <c r="A297" t="s">
        <v>1492</v>
      </c>
      <c r="B297">
        <v>1</v>
      </c>
    </row>
    <row r="298" spans="1:2" x14ac:dyDescent="0.3">
      <c r="A298" t="s">
        <v>1494</v>
      </c>
      <c r="B298">
        <v>1</v>
      </c>
    </row>
    <row r="299" spans="1:2" x14ac:dyDescent="0.3">
      <c r="A299" t="s">
        <v>1498</v>
      </c>
      <c r="B299">
        <v>1</v>
      </c>
    </row>
    <row r="300" spans="1:2" x14ac:dyDescent="0.3">
      <c r="A300" t="s">
        <v>2760</v>
      </c>
      <c r="B300">
        <v>1</v>
      </c>
    </row>
    <row r="301" spans="1:2" x14ac:dyDescent="0.3">
      <c r="A301" t="s">
        <v>2761</v>
      </c>
      <c r="B301">
        <v>1</v>
      </c>
    </row>
    <row r="302" spans="1:2" x14ac:dyDescent="0.3">
      <c r="A302" t="s">
        <v>1500</v>
      </c>
      <c r="B302">
        <v>1</v>
      </c>
    </row>
    <row r="303" spans="1:2" x14ac:dyDescent="0.3">
      <c r="A303" t="s">
        <v>2762</v>
      </c>
      <c r="B303">
        <v>1</v>
      </c>
    </row>
    <row r="304" spans="1:2" x14ac:dyDescent="0.3">
      <c r="A304" t="s">
        <v>1506</v>
      </c>
      <c r="B304">
        <v>1</v>
      </c>
    </row>
    <row r="305" spans="1:2" x14ac:dyDescent="0.3">
      <c r="A305" t="s">
        <v>1508</v>
      </c>
      <c r="B305">
        <v>1</v>
      </c>
    </row>
    <row r="306" spans="1:2" x14ac:dyDescent="0.3">
      <c r="A306" t="s">
        <v>1512</v>
      </c>
      <c r="B306">
        <v>1</v>
      </c>
    </row>
    <row r="307" spans="1:2" x14ac:dyDescent="0.3">
      <c r="A307" t="s">
        <v>1513</v>
      </c>
      <c r="B307">
        <v>1</v>
      </c>
    </row>
    <row r="308" spans="1:2" x14ac:dyDescent="0.3">
      <c r="A308" t="s">
        <v>2763</v>
      </c>
      <c r="B308">
        <v>1</v>
      </c>
    </row>
    <row r="309" spans="1:2" x14ac:dyDescent="0.3">
      <c r="A309" t="s">
        <v>1515</v>
      </c>
      <c r="B309">
        <v>1</v>
      </c>
    </row>
    <row r="310" spans="1:2" x14ac:dyDescent="0.3">
      <c r="A310" t="s">
        <v>2692</v>
      </c>
      <c r="B310">
        <v>1</v>
      </c>
    </row>
    <row r="311" spans="1:2" x14ac:dyDescent="0.3">
      <c r="A311" t="s">
        <v>1517</v>
      </c>
      <c r="B311">
        <v>1</v>
      </c>
    </row>
    <row r="312" spans="1:2" x14ac:dyDescent="0.3">
      <c r="A312" t="s">
        <v>1519</v>
      </c>
      <c r="B312">
        <v>1</v>
      </c>
    </row>
    <row r="313" spans="1:2" x14ac:dyDescent="0.3">
      <c r="A313" t="s">
        <v>1521</v>
      </c>
      <c r="B313">
        <v>1</v>
      </c>
    </row>
    <row r="314" spans="1:2" x14ac:dyDescent="0.3">
      <c r="A314" t="s">
        <v>1523</v>
      </c>
      <c r="B314">
        <v>1</v>
      </c>
    </row>
    <row r="315" spans="1:2" x14ac:dyDescent="0.3">
      <c r="A315" t="s">
        <v>1526</v>
      </c>
      <c r="B315">
        <v>1</v>
      </c>
    </row>
    <row r="316" spans="1:2" x14ac:dyDescent="0.3">
      <c r="A316" t="s">
        <v>2764</v>
      </c>
      <c r="B316">
        <v>1</v>
      </c>
    </row>
    <row r="317" spans="1:2" x14ac:dyDescent="0.3">
      <c r="A317" t="s">
        <v>1530</v>
      </c>
      <c r="B317">
        <v>1</v>
      </c>
    </row>
    <row r="318" spans="1:2" x14ac:dyDescent="0.3">
      <c r="A318" t="s">
        <v>1532</v>
      </c>
      <c r="B318">
        <v>1</v>
      </c>
    </row>
    <row r="319" spans="1:2" x14ac:dyDescent="0.3">
      <c r="A319" t="s">
        <v>1534</v>
      </c>
      <c r="B319">
        <v>1</v>
      </c>
    </row>
    <row r="320" spans="1:2" x14ac:dyDescent="0.3">
      <c r="A320" t="s">
        <v>1536</v>
      </c>
      <c r="B320">
        <v>1</v>
      </c>
    </row>
    <row r="321" spans="1:2" x14ac:dyDescent="0.3">
      <c r="A321" t="s">
        <v>1538</v>
      </c>
      <c r="B321">
        <v>1</v>
      </c>
    </row>
    <row r="322" spans="1:2" x14ac:dyDescent="0.3">
      <c r="A322" t="s">
        <v>1541</v>
      </c>
      <c r="B322">
        <v>1</v>
      </c>
    </row>
    <row r="323" spans="1:2" x14ac:dyDescent="0.3">
      <c r="A323" t="s">
        <v>1543</v>
      </c>
      <c r="B323">
        <v>1</v>
      </c>
    </row>
    <row r="324" spans="1:2" x14ac:dyDescent="0.3">
      <c r="A324" t="s">
        <v>1545</v>
      </c>
      <c r="B324">
        <v>1</v>
      </c>
    </row>
    <row r="325" spans="1:2" x14ac:dyDescent="0.3">
      <c r="A325" t="s">
        <v>1548</v>
      </c>
      <c r="B325">
        <v>1</v>
      </c>
    </row>
    <row r="326" spans="1:2" x14ac:dyDescent="0.3">
      <c r="A326" t="s">
        <v>1550</v>
      </c>
      <c r="B326">
        <v>1</v>
      </c>
    </row>
    <row r="327" spans="1:2" x14ac:dyDescent="0.3">
      <c r="A327" t="s">
        <v>1553</v>
      </c>
      <c r="B327">
        <v>1</v>
      </c>
    </row>
    <row r="328" spans="1:2" x14ac:dyDescent="0.3">
      <c r="A328" t="s">
        <v>1556</v>
      </c>
      <c r="B328">
        <v>1</v>
      </c>
    </row>
    <row r="329" spans="1:2" x14ac:dyDescent="0.3">
      <c r="A329" t="s">
        <v>1558</v>
      </c>
      <c r="B329">
        <v>1</v>
      </c>
    </row>
    <row r="330" spans="1:2" x14ac:dyDescent="0.3">
      <c r="A330" t="s">
        <v>1561</v>
      </c>
      <c r="B330">
        <v>1</v>
      </c>
    </row>
    <row r="331" spans="1:2" x14ac:dyDescent="0.3">
      <c r="A331" t="s">
        <v>1565</v>
      </c>
      <c r="B331">
        <v>1</v>
      </c>
    </row>
    <row r="332" spans="1:2" x14ac:dyDescent="0.3">
      <c r="A332" t="s">
        <v>1567</v>
      </c>
      <c r="B332">
        <v>1</v>
      </c>
    </row>
    <row r="333" spans="1:2" x14ac:dyDescent="0.3">
      <c r="A333" t="s">
        <v>2765</v>
      </c>
      <c r="B333">
        <v>1</v>
      </c>
    </row>
    <row r="334" spans="1:2" x14ac:dyDescent="0.3">
      <c r="A334" t="s">
        <v>1570</v>
      </c>
      <c r="B334">
        <v>1</v>
      </c>
    </row>
    <row r="335" spans="1:2" x14ac:dyDescent="0.3">
      <c r="A335" t="s">
        <v>1572</v>
      </c>
      <c r="B335">
        <v>1</v>
      </c>
    </row>
    <row r="336" spans="1:2" x14ac:dyDescent="0.3">
      <c r="A336" t="s">
        <v>1573</v>
      </c>
      <c r="B336">
        <v>1</v>
      </c>
    </row>
    <row r="337" spans="1:2" x14ac:dyDescent="0.3">
      <c r="A337" t="s">
        <v>1574</v>
      </c>
      <c r="B337">
        <v>1</v>
      </c>
    </row>
    <row r="338" spans="1:2" x14ac:dyDescent="0.3">
      <c r="A338" t="s">
        <v>1576</v>
      </c>
      <c r="B338">
        <v>1</v>
      </c>
    </row>
    <row r="339" spans="1:2" x14ac:dyDescent="0.3">
      <c r="A339" t="s">
        <v>1578</v>
      </c>
      <c r="B339">
        <v>1</v>
      </c>
    </row>
    <row r="340" spans="1:2" x14ac:dyDescent="0.3">
      <c r="A340" t="s">
        <v>1580</v>
      </c>
      <c r="B340">
        <v>1</v>
      </c>
    </row>
    <row r="341" spans="1:2" x14ac:dyDescent="0.3">
      <c r="A341" t="s">
        <v>2766</v>
      </c>
      <c r="B341">
        <v>1</v>
      </c>
    </row>
    <row r="342" spans="1:2" x14ac:dyDescent="0.3">
      <c r="A342" t="s">
        <v>1584</v>
      </c>
      <c r="B342">
        <v>1</v>
      </c>
    </row>
    <row r="343" spans="1:2" x14ac:dyDescent="0.3">
      <c r="A343" t="s">
        <v>1586</v>
      </c>
      <c r="B343">
        <v>1</v>
      </c>
    </row>
    <row r="344" spans="1:2" x14ac:dyDescent="0.3">
      <c r="A344" t="s">
        <v>1588</v>
      </c>
      <c r="B344">
        <v>1</v>
      </c>
    </row>
    <row r="345" spans="1:2" x14ac:dyDescent="0.3">
      <c r="A345" t="s">
        <v>1590</v>
      </c>
      <c r="B345">
        <v>1</v>
      </c>
    </row>
    <row r="346" spans="1:2" x14ac:dyDescent="0.3">
      <c r="A346" t="s">
        <v>1592</v>
      </c>
      <c r="B346">
        <v>1</v>
      </c>
    </row>
    <row r="347" spans="1:2" x14ac:dyDescent="0.3">
      <c r="A347" t="s">
        <v>1595</v>
      </c>
      <c r="B347">
        <v>1</v>
      </c>
    </row>
    <row r="348" spans="1:2" x14ac:dyDescent="0.3">
      <c r="A348" t="s">
        <v>1596</v>
      </c>
      <c r="B348">
        <v>1</v>
      </c>
    </row>
    <row r="349" spans="1:2" x14ac:dyDescent="0.3">
      <c r="A349" t="s">
        <v>1599</v>
      </c>
      <c r="B349">
        <v>1</v>
      </c>
    </row>
    <row r="350" spans="1:2" x14ac:dyDescent="0.3">
      <c r="A350" t="s">
        <v>1601</v>
      </c>
      <c r="B350">
        <v>1</v>
      </c>
    </row>
    <row r="351" spans="1:2" x14ac:dyDescent="0.3">
      <c r="A351" t="s">
        <v>1603</v>
      </c>
      <c r="B351">
        <v>1</v>
      </c>
    </row>
    <row r="352" spans="1:2" x14ac:dyDescent="0.3">
      <c r="A352" t="s">
        <v>1605</v>
      </c>
      <c r="B352">
        <v>1</v>
      </c>
    </row>
    <row r="353" spans="1:2" x14ac:dyDescent="0.3">
      <c r="A353" t="s">
        <v>1608</v>
      </c>
      <c r="B353">
        <v>1</v>
      </c>
    </row>
    <row r="354" spans="1:2" x14ac:dyDescent="0.3">
      <c r="A354" t="s">
        <v>2767</v>
      </c>
      <c r="B354">
        <v>1</v>
      </c>
    </row>
    <row r="355" spans="1:2" x14ac:dyDescent="0.3">
      <c r="A355" t="s">
        <v>1613</v>
      </c>
      <c r="B355">
        <v>1</v>
      </c>
    </row>
    <row r="356" spans="1:2" x14ac:dyDescent="0.3">
      <c r="A356" t="s">
        <v>1615</v>
      </c>
      <c r="B356">
        <v>1</v>
      </c>
    </row>
    <row r="357" spans="1:2" x14ac:dyDescent="0.3">
      <c r="A357" t="s">
        <v>1617</v>
      </c>
      <c r="B357">
        <v>1</v>
      </c>
    </row>
    <row r="358" spans="1:2" x14ac:dyDescent="0.3">
      <c r="A358" t="s">
        <v>1622</v>
      </c>
      <c r="B358">
        <v>1</v>
      </c>
    </row>
    <row r="359" spans="1:2" x14ac:dyDescent="0.3">
      <c r="A359" t="s">
        <v>1623</v>
      </c>
      <c r="B359">
        <v>1</v>
      </c>
    </row>
    <row r="360" spans="1:2" x14ac:dyDescent="0.3">
      <c r="A360" t="s">
        <v>1627</v>
      </c>
      <c r="B360">
        <v>1</v>
      </c>
    </row>
    <row r="361" spans="1:2" x14ac:dyDescent="0.3">
      <c r="A361" t="s">
        <v>1629</v>
      </c>
      <c r="B361">
        <v>1</v>
      </c>
    </row>
    <row r="362" spans="1:2" x14ac:dyDescent="0.3">
      <c r="A362" t="s">
        <v>2559</v>
      </c>
      <c r="B362">
        <v>1</v>
      </c>
    </row>
    <row r="363" spans="1:2" x14ac:dyDescent="0.3">
      <c r="A363" t="s">
        <v>2608</v>
      </c>
      <c r="B363">
        <v>1</v>
      </c>
    </row>
    <row r="364" spans="1:2" x14ac:dyDescent="0.3">
      <c r="A364" t="s">
        <v>1634</v>
      </c>
      <c r="B364">
        <v>1</v>
      </c>
    </row>
    <row r="365" spans="1:2" x14ac:dyDescent="0.3">
      <c r="A365" t="s">
        <v>1636</v>
      </c>
      <c r="B365">
        <v>1</v>
      </c>
    </row>
    <row r="366" spans="1:2" x14ac:dyDescent="0.3">
      <c r="A366" t="s">
        <v>1638</v>
      </c>
      <c r="B366">
        <v>1</v>
      </c>
    </row>
    <row r="367" spans="1:2" x14ac:dyDescent="0.3">
      <c r="A367" t="s">
        <v>1640</v>
      </c>
      <c r="B367">
        <v>1</v>
      </c>
    </row>
    <row r="368" spans="1:2" x14ac:dyDescent="0.3">
      <c r="A368" t="s">
        <v>1642</v>
      </c>
      <c r="B368">
        <v>1</v>
      </c>
    </row>
    <row r="369" spans="1:2" x14ac:dyDescent="0.3">
      <c r="A369" t="s">
        <v>1646</v>
      </c>
      <c r="B369">
        <v>1</v>
      </c>
    </row>
    <row r="370" spans="1:2" x14ac:dyDescent="0.3">
      <c r="A370" t="s">
        <v>2695</v>
      </c>
      <c r="B370">
        <v>1</v>
      </c>
    </row>
    <row r="371" spans="1:2" x14ac:dyDescent="0.3">
      <c r="A371" t="s">
        <v>1649</v>
      </c>
      <c r="B371">
        <v>1</v>
      </c>
    </row>
    <row r="372" spans="1:2" x14ac:dyDescent="0.3">
      <c r="A372" t="s">
        <v>1651</v>
      </c>
      <c r="B372">
        <v>1</v>
      </c>
    </row>
    <row r="373" spans="1:2" x14ac:dyDescent="0.3">
      <c r="A373" t="s">
        <v>1653</v>
      </c>
      <c r="B373">
        <v>1</v>
      </c>
    </row>
    <row r="374" spans="1:2" x14ac:dyDescent="0.3">
      <c r="A374" t="s">
        <v>2582</v>
      </c>
      <c r="B374">
        <v>1</v>
      </c>
    </row>
    <row r="375" spans="1:2" x14ac:dyDescent="0.3">
      <c r="A375" t="s">
        <v>1662</v>
      </c>
      <c r="B375">
        <v>1</v>
      </c>
    </row>
    <row r="376" spans="1:2" x14ac:dyDescent="0.3">
      <c r="A376" t="s">
        <v>2768</v>
      </c>
      <c r="B376">
        <v>1</v>
      </c>
    </row>
    <row r="377" spans="1:2" x14ac:dyDescent="0.3">
      <c r="A377" t="s">
        <v>1665</v>
      </c>
      <c r="B377">
        <v>1</v>
      </c>
    </row>
    <row r="378" spans="1:2" x14ac:dyDescent="0.3">
      <c r="A378" t="s">
        <v>1667</v>
      </c>
      <c r="B378">
        <v>1</v>
      </c>
    </row>
    <row r="379" spans="1:2" x14ac:dyDescent="0.3">
      <c r="A379" t="s">
        <v>1669</v>
      </c>
      <c r="B379">
        <v>1</v>
      </c>
    </row>
    <row r="380" spans="1:2" x14ac:dyDescent="0.3">
      <c r="A380" t="s">
        <v>1672</v>
      </c>
      <c r="B380">
        <v>1</v>
      </c>
    </row>
    <row r="381" spans="1:2" x14ac:dyDescent="0.3">
      <c r="A381" t="s">
        <v>2769</v>
      </c>
      <c r="B381">
        <v>1</v>
      </c>
    </row>
    <row r="382" spans="1:2" x14ac:dyDescent="0.3">
      <c r="A382" t="s">
        <v>1677</v>
      </c>
      <c r="B382">
        <v>1</v>
      </c>
    </row>
    <row r="383" spans="1:2" x14ac:dyDescent="0.3">
      <c r="A383" t="s">
        <v>2770</v>
      </c>
      <c r="B383">
        <v>1</v>
      </c>
    </row>
    <row r="384" spans="1:2" x14ac:dyDescent="0.3">
      <c r="A384" t="s">
        <v>1681</v>
      </c>
      <c r="B384">
        <v>1</v>
      </c>
    </row>
    <row r="385" spans="1:2" x14ac:dyDescent="0.3">
      <c r="A385" t="s">
        <v>1684</v>
      </c>
      <c r="B385">
        <v>1</v>
      </c>
    </row>
    <row r="386" spans="1:2" x14ac:dyDescent="0.3">
      <c r="A386" t="s">
        <v>1689</v>
      </c>
      <c r="B386">
        <v>1</v>
      </c>
    </row>
    <row r="387" spans="1:2" x14ac:dyDescent="0.3">
      <c r="A387" t="s">
        <v>2696</v>
      </c>
      <c r="B387">
        <v>1</v>
      </c>
    </row>
    <row r="388" spans="1:2" x14ac:dyDescent="0.3">
      <c r="A388" t="s">
        <v>2560</v>
      </c>
      <c r="B388">
        <v>1</v>
      </c>
    </row>
    <row r="389" spans="1:2" x14ac:dyDescent="0.3">
      <c r="A389" t="s">
        <v>1696</v>
      </c>
      <c r="B389">
        <v>1</v>
      </c>
    </row>
    <row r="390" spans="1:2" x14ac:dyDescent="0.3">
      <c r="A390" t="s">
        <v>1698</v>
      </c>
      <c r="B390">
        <v>1</v>
      </c>
    </row>
    <row r="391" spans="1:2" x14ac:dyDescent="0.3">
      <c r="A391" t="s">
        <v>2697</v>
      </c>
      <c r="B391">
        <v>1</v>
      </c>
    </row>
    <row r="392" spans="1:2" x14ac:dyDescent="0.3">
      <c r="A392" t="s">
        <v>2771</v>
      </c>
      <c r="B392">
        <v>1</v>
      </c>
    </row>
    <row r="393" spans="1:2" x14ac:dyDescent="0.3">
      <c r="A393" t="s">
        <v>1705</v>
      </c>
      <c r="B393">
        <v>1</v>
      </c>
    </row>
    <row r="394" spans="1:2" x14ac:dyDescent="0.3">
      <c r="A394" t="s">
        <v>1707</v>
      </c>
      <c r="B394">
        <v>1</v>
      </c>
    </row>
    <row r="395" spans="1:2" x14ac:dyDescent="0.3">
      <c r="A395" t="s">
        <v>2772</v>
      </c>
      <c r="B395">
        <v>1</v>
      </c>
    </row>
    <row r="396" spans="1:2" x14ac:dyDescent="0.3">
      <c r="A396" t="s">
        <v>2773</v>
      </c>
      <c r="B396">
        <v>1</v>
      </c>
    </row>
    <row r="397" spans="1:2" x14ac:dyDescent="0.3">
      <c r="A397" t="s">
        <v>2657</v>
      </c>
      <c r="B397">
        <v>1</v>
      </c>
    </row>
    <row r="398" spans="1:2" x14ac:dyDescent="0.3">
      <c r="A398" t="s">
        <v>1716</v>
      </c>
      <c r="B398">
        <v>1</v>
      </c>
    </row>
    <row r="399" spans="1:2" x14ac:dyDescent="0.3">
      <c r="A399" t="s">
        <v>1717</v>
      </c>
      <c r="B399">
        <v>1</v>
      </c>
    </row>
    <row r="400" spans="1:2" x14ac:dyDescent="0.3">
      <c r="A400" t="s">
        <v>1718</v>
      </c>
      <c r="B400">
        <v>1</v>
      </c>
    </row>
    <row r="401" spans="1:2" x14ac:dyDescent="0.3">
      <c r="A401" t="s">
        <v>1721</v>
      </c>
      <c r="B401">
        <v>1</v>
      </c>
    </row>
    <row r="402" spans="1:2" x14ac:dyDescent="0.3">
      <c r="A402" t="s">
        <v>2774</v>
      </c>
      <c r="B402">
        <v>1</v>
      </c>
    </row>
    <row r="403" spans="1:2" x14ac:dyDescent="0.3">
      <c r="A403" t="s">
        <v>2613</v>
      </c>
      <c r="B403">
        <v>1</v>
      </c>
    </row>
    <row r="404" spans="1:2" x14ac:dyDescent="0.3">
      <c r="A404" t="s">
        <v>1726</v>
      </c>
      <c r="B404">
        <v>1</v>
      </c>
    </row>
    <row r="405" spans="1:2" x14ac:dyDescent="0.3">
      <c r="A405" t="s">
        <v>2775</v>
      </c>
      <c r="B405">
        <v>1</v>
      </c>
    </row>
    <row r="406" spans="1:2" x14ac:dyDescent="0.3">
      <c r="A406" t="s">
        <v>1730</v>
      </c>
      <c r="B406">
        <v>1</v>
      </c>
    </row>
    <row r="407" spans="1:2" x14ac:dyDescent="0.3">
      <c r="A407" t="s">
        <v>1735</v>
      </c>
      <c r="B407">
        <v>1</v>
      </c>
    </row>
    <row r="408" spans="1:2" x14ac:dyDescent="0.3">
      <c r="A408" t="s">
        <v>1736</v>
      </c>
      <c r="B408">
        <v>1</v>
      </c>
    </row>
    <row r="409" spans="1:2" x14ac:dyDescent="0.3">
      <c r="A409" t="s">
        <v>1740</v>
      </c>
      <c r="B409">
        <v>1</v>
      </c>
    </row>
    <row r="410" spans="1:2" x14ac:dyDescent="0.3">
      <c r="A410" t="s">
        <v>1743</v>
      </c>
      <c r="B410">
        <v>1</v>
      </c>
    </row>
    <row r="411" spans="1:2" x14ac:dyDescent="0.3">
      <c r="A411" t="s">
        <v>1748</v>
      </c>
      <c r="B411">
        <v>1</v>
      </c>
    </row>
    <row r="412" spans="1:2" x14ac:dyDescent="0.3">
      <c r="A412" t="s">
        <v>2776</v>
      </c>
      <c r="B412">
        <v>1</v>
      </c>
    </row>
    <row r="413" spans="1:2" x14ac:dyDescent="0.3">
      <c r="A413" t="s">
        <v>1754</v>
      </c>
      <c r="B413">
        <v>1</v>
      </c>
    </row>
    <row r="414" spans="1:2" x14ac:dyDescent="0.3">
      <c r="A414" t="s">
        <v>1756</v>
      </c>
      <c r="B414">
        <v>1</v>
      </c>
    </row>
    <row r="415" spans="1:2" x14ac:dyDescent="0.3">
      <c r="A415" t="s">
        <v>1759</v>
      </c>
      <c r="B415">
        <v>1</v>
      </c>
    </row>
    <row r="416" spans="1:2" x14ac:dyDescent="0.3">
      <c r="A416" t="s">
        <v>1761</v>
      </c>
      <c r="B416">
        <v>1</v>
      </c>
    </row>
    <row r="417" spans="1:2" x14ac:dyDescent="0.3">
      <c r="A417" t="s">
        <v>1763</v>
      </c>
      <c r="B417">
        <v>1</v>
      </c>
    </row>
    <row r="418" spans="1:2" x14ac:dyDescent="0.3">
      <c r="A418" t="s">
        <v>1767</v>
      </c>
      <c r="B418">
        <v>1</v>
      </c>
    </row>
    <row r="419" spans="1:2" x14ac:dyDescent="0.3">
      <c r="A419" t="s">
        <v>1769</v>
      </c>
      <c r="B419">
        <v>1</v>
      </c>
    </row>
    <row r="420" spans="1:2" x14ac:dyDescent="0.3">
      <c r="A420" t="s">
        <v>1774</v>
      </c>
      <c r="B420">
        <v>1</v>
      </c>
    </row>
    <row r="421" spans="1:2" x14ac:dyDescent="0.3">
      <c r="A421" t="s">
        <v>1775</v>
      </c>
      <c r="B421">
        <v>1</v>
      </c>
    </row>
    <row r="422" spans="1:2" x14ac:dyDescent="0.3">
      <c r="A422" t="s">
        <v>1780</v>
      </c>
      <c r="B422">
        <v>1</v>
      </c>
    </row>
    <row r="423" spans="1:2" x14ac:dyDescent="0.3">
      <c r="A423" t="s">
        <v>1782</v>
      </c>
      <c r="B423">
        <v>1</v>
      </c>
    </row>
    <row r="424" spans="1:2" x14ac:dyDescent="0.3">
      <c r="A424" t="s">
        <v>2777</v>
      </c>
      <c r="B424">
        <v>1</v>
      </c>
    </row>
    <row r="425" spans="1:2" x14ac:dyDescent="0.3">
      <c r="A425" t="s">
        <v>1786</v>
      </c>
      <c r="B425">
        <v>1</v>
      </c>
    </row>
    <row r="426" spans="1:2" x14ac:dyDescent="0.3">
      <c r="A426" t="s">
        <v>1788</v>
      </c>
      <c r="B426">
        <v>1</v>
      </c>
    </row>
    <row r="427" spans="1:2" x14ac:dyDescent="0.3">
      <c r="A427" t="s">
        <v>1792</v>
      </c>
      <c r="B427">
        <v>1</v>
      </c>
    </row>
    <row r="428" spans="1:2" x14ac:dyDescent="0.3">
      <c r="A428" t="s">
        <v>1794</v>
      </c>
      <c r="B428">
        <v>1</v>
      </c>
    </row>
    <row r="429" spans="1:2" x14ac:dyDescent="0.3">
      <c r="A429" t="s">
        <v>1796</v>
      </c>
      <c r="B429">
        <v>1</v>
      </c>
    </row>
    <row r="430" spans="1:2" x14ac:dyDescent="0.3">
      <c r="A430" t="s">
        <v>1800</v>
      </c>
      <c r="B430">
        <v>1</v>
      </c>
    </row>
    <row r="431" spans="1:2" x14ac:dyDescent="0.3">
      <c r="A431" t="s">
        <v>1803</v>
      </c>
      <c r="B431">
        <v>1</v>
      </c>
    </row>
    <row r="432" spans="1:2" x14ac:dyDescent="0.3">
      <c r="A432" t="s">
        <v>2778</v>
      </c>
      <c r="B432">
        <v>1</v>
      </c>
    </row>
    <row r="433" spans="1:2" x14ac:dyDescent="0.3">
      <c r="A433" t="s">
        <v>1809</v>
      </c>
      <c r="B433">
        <v>1</v>
      </c>
    </row>
    <row r="434" spans="1:2" x14ac:dyDescent="0.3">
      <c r="A434" t="s">
        <v>2779</v>
      </c>
      <c r="B434">
        <v>1</v>
      </c>
    </row>
    <row r="435" spans="1:2" x14ac:dyDescent="0.3">
      <c r="A435" t="s">
        <v>1815</v>
      </c>
      <c r="B435">
        <v>1</v>
      </c>
    </row>
    <row r="436" spans="1:2" x14ac:dyDescent="0.3">
      <c r="A436" t="s">
        <v>1817</v>
      </c>
      <c r="B436">
        <v>1</v>
      </c>
    </row>
    <row r="437" spans="1:2" x14ac:dyDescent="0.3">
      <c r="A437" t="s">
        <v>1820</v>
      </c>
      <c r="B437">
        <v>1</v>
      </c>
    </row>
    <row r="438" spans="1:2" x14ac:dyDescent="0.3">
      <c r="A438" t="s">
        <v>1822</v>
      </c>
      <c r="B438">
        <v>1</v>
      </c>
    </row>
    <row r="439" spans="1:2" x14ac:dyDescent="0.3">
      <c r="A439" t="s">
        <v>2615</v>
      </c>
      <c r="B439">
        <v>1</v>
      </c>
    </row>
    <row r="440" spans="1:2" x14ac:dyDescent="0.3">
      <c r="A440" t="s">
        <v>1826</v>
      </c>
      <c r="B440">
        <v>1</v>
      </c>
    </row>
    <row r="441" spans="1:2" x14ac:dyDescent="0.3">
      <c r="A441" t="s">
        <v>1831</v>
      </c>
      <c r="B441">
        <v>1</v>
      </c>
    </row>
    <row r="442" spans="1:2" x14ac:dyDescent="0.3">
      <c r="A442" t="s">
        <v>1832</v>
      </c>
      <c r="B442">
        <v>1</v>
      </c>
    </row>
    <row r="443" spans="1:2" x14ac:dyDescent="0.3">
      <c r="A443" t="s">
        <v>1837</v>
      </c>
      <c r="B443">
        <v>1</v>
      </c>
    </row>
    <row r="444" spans="1:2" x14ac:dyDescent="0.3">
      <c r="A444" t="s">
        <v>1839</v>
      </c>
      <c r="B444">
        <v>1</v>
      </c>
    </row>
    <row r="445" spans="1:2" x14ac:dyDescent="0.3">
      <c r="A445" t="s">
        <v>2616</v>
      </c>
      <c r="B445">
        <v>1</v>
      </c>
    </row>
    <row r="446" spans="1:2" x14ac:dyDescent="0.3">
      <c r="A446" t="s">
        <v>1843</v>
      </c>
      <c r="B446">
        <v>1</v>
      </c>
    </row>
    <row r="447" spans="1:2" x14ac:dyDescent="0.3">
      <c r="A447" t="s">
        <v>1847</v>
      </c>
      <c r="B447">
        <v>1</v>
      </c>
    </row>
    <row r="448" spans="1:2" x14ac:dyDescent="0.3">
      <c r="A448" t="s">
        <v>1848</v>
      </c>
      <c r="B448">
        <v>1</v>
      </c>
    </row>
    <row r="449" spans="1:2" x14ac:dyDescent="0.3">
      <c r="A449" t="s">
        <v>2780</v>
      </c>
      <c r="B449">
        <v>1</v>
      </c>
    </row>
    <row r="450" spans="1:2" x14ac:dyDescent="0.3">
      <c r="A450" t="s">
        <v>2781</v>
      </c>
      <c r="B450">
        <v>1</v>
      </c>
    </row>
    <row r="451" spans="1:2" x14ac:dyDescent="0.3">
      <c r="A451" t="s">
        <v>2782</v>
      </c>
      <c r="B451">
        <v>1</v>
      </c>
    </row>
    <row r="452" spans="1:2" x14ac:dyDescent="0.3">
      <c r="A452" t="s">
        <v>2783</v>
      </c>
      <c r="B452">
        <v>1</v>
      </c>
    </row>
    <row r="453" spans="1:2" x14ac:dyDescent="0.3">
      <c r="A453" t="s">
        <v>1862</v>
      </c>
      <c r="B453">
        <v>1</v>
      </c>
    </row>
    <row r="454" spans="1:2" x14ac:dyDescent="0.3">
      <c r="A454" t="s">
        <v>1863</v>
      </c>
      <c r="B454">
        <v>1</v>
      </c>
    </row>
    <row r="455" spans="1:2" x14ac:dyDescent="0.3">
      <c r="A455" t="s">
        <v>1864</v>
      </c>
      <c r="B455">
        <v>1</v>
      </c>
    </row>
    <row r="456" spans="1:2" x14ac:dyDescent="0.3">
      <c r="A456" t="s">
        <v>1867</v>
      </c>
      <c r="B456">
        <v>1</v>
      </c>
    </row>
    <row r="457" spans="1:2" x14ac:dyDescent="0.3">
      <c r="A457" t="s">
        <v>2583</v>
      </c>
      <c r="B457">
        <v>1</v>
      </c>
    </row>
    <row r="458" spans="1:2" x14ac:dyDescent="0.3">
      <c r="A458" t="s">
        <v>2784</v>
      </c>
      <c r="B458">
        <v>1</v>
      </c>
    </row>
    <row r="459" spans="1:2" x14ac:dyDescent="0.3">
      <c r="A459" t="s">
        <v>2785</v>
      </c>
      <c r="B459">
        <v>1</v>
      </c>
    </row>
    <row r="460" spans="1:2" x14ac:dyDescent="0.3">
      <c r="A460" t="s">
        <v>1878</v>
      </c>
      <c r="B460">
        <v>1</v>
      </c>
    </row>
    <row r="461" spans="1:2" x14ac:dyDescent="0.3">
      <c r="A461" t="s">
        <v>1882</v>
      </c>
      <c r="B461">
        <v>1</v>
      </c>
    </row>
    <row r="462" spans="1:2" x14ac:dyDescent="0.3">
      <c r="A462" t="s">
        <v>2786</v>
      </c>
      <c r="B462">
        <v>1</v>
      </c>
    </row>
    <row r="463" spans="1:2" x14ac:dyDescent="0.3">
      <c r="A463" t="s">
        <v>1887</v>
      </c>
      <c r="B463">
        <v>1</v>
      </c>
    </row>
    <row r="464" spans="1:2" x14ac:dyDescent="0.3">
      <c r="A464" t="s">
        <v>1889</v>
      </c>
      <c r="B464">
        <v>1</v>
      </c>
    </row>
    <row r="465" spans="1:2" x14ac:dyDescent="0.3">
      <c r="A465" t="s">
        <v>2562</v>
      </c>
      <c r="B465">
        <v>1</v>
      </c>
    </row>
    <row r="466" spans="1:2" x14ac:dyDescent="0.3">
      <c r="A466" t="s">
        <v>2787</v>
      </c>
      <c r="B466">
        <v>1</v>
      </c>
    </row>
    <row r="467" spans="1:2" x14ac:dyDescent="0.3">
      <c r="A467" t="s">
        <v>2788</v>
      </c>
      <c r="B467">
        <v>1</v>
      </c>
    </row>
    <row r="468" spans="1:2" x14ac:dyDescent="0.3">
      <c r="A468" t="s">
        <v>2789</v>
      </c>
      <c r="B468">
        <v>1</v>
      </c>
    </row>
    <row r="469" spans="1:2" x14ac:dyDescent="0.3">
      <c r="A469" t="s">
        <v>1903</v>
      </c>
      <c r="B469">
        <v>1</v>
      </c>
    </row>
    <row r="470" spans="1:2" x14ac:dyDescent="0.3">
      <c r="A470" t="s">
        <v>1905</v>
      </c>
      <c r="B470">
        <v>1</v>
      </c>
    </row>
    <row r="471" spans="1:2" x14ac:dyDescent="0.3">
      <c r="A471" t="s">
        <v>1907</v>
      </c>
      <c r="B471">
        <v>1</v>
      </c>
    </row>
    <row r="472" spans="1:2" x14ac:dyDescent="0.3">
      <c r="A472" t="s">
        <v>2585</v>
      </c>
      <c r="B472">
        <v>1</v>
      </c>
    </row>
    <row r="473" spans="1:2" x14ac:dyDescent="0.3">
      <c r="A473" t="s">
        <v>2790</v>
      </c>
      <c r="B473">
        <v>1</v>
      </c>
    </row>
    <row r="474" spans="1:2" x14ac:dyDescent="0.3">
      <c r="A474" t="s">
        <v>2791</v>
      </c>
      <c r="B474">
        <v>1</v>
      </c>
    </row>
    <row r="475" spans="1:2" x14ac:dyDescent="0.3">
      <c r="A475" t="s">
        <v>2564</v>
      </c>
      <c r="B475">
        <v>1</v>
      </c>
    </row>
    <row r="476" spans="1:2" x14ac:dyDescent="0.3">
      <c r="A476" t="s">
        <v>1913</v>
      </c>
      <c r="B476">
        <v>1</v>
      </c>
    </row>
    <row r="477" spans="1:2" x14ac:dyDescent="0.3">
      <c r="A477" t="s">
        <v>1915</v>
      </c>
      <c r="B477">
        <v>1</v>
      </c>
    </row>
    <row r="478" spans="1:2" x14ac:dyDescent="0.3">
      <c r="A478" t="s">
        <v>2792</v>
      </c>
      <c r="B478">
        <v>1</v>
      </c>
    </row>
    <row r="479" spans="1:2" x14ac:dyDescent="0.3">
      <c r="A479" t="s">
        <v>1918</v>
      </c>
      <c r="B479">
        <v>1</v>
      </c>
    </row>
    <row r="480" spans="1:2" x14ac:dyDescent="0.3">
      <c r="A480" t="s">
        <v>2661</v>
      </c>
      <c r="B480">
        <v>1</v>
      </c>
    </row>
    <row r="481" spans="1:2" x14ac:dyDescent="0.3">
      <c r="A481" t="s">
        <v>2793</v>
      </c>
      <c r="B481">
        <v>1</v>
      </c>
    </row>
    <row r="482" spans="1:2" x14ac:dyDescent="0.3">
      <c r="A482" t="s">
        <v>1926</v>
      </c>
      <c r="B482">
        <v>1</v>
      </c>
    </row>
    <row r="483" spans="1:2" x14ac:dyDescent="0.3">
      <c r="A483" t="s">
        <v>1927</v>
      </c>
      <c r="B483">
        <v>1</v>
      </c>
    </row>
    <row r="484" spans="1:2" x14ac:dyDescent="0.3">
      <c r="A484" t="s">
        <v>1929</v>
      </c>
      <c r="B484">
        <v>1</v>
      </c>
    </row>
    <row r="485" spans="1:2" x14ac:dyDescent="0.3">
      <c r="A485" t="s">
        <v>1932</v>
      </c>
      <c r="B485">
        <v>1</v>
      </c>
    </row>
    <row r="486" spans="1:2" x14ac:dyDescent="0.3">
      <c r="A486" t="s">
        <v>1934</v>
      </c>
      <c r="B486">
        <v>1</v>
      </c>
    </row>
    <row r="487" spans="1:2" x14ac:dyDescent="0.3">
      <c r="A487" t="s">
        <v>2794</v>
      </c>
      <c r="B487">
        <v>1</v>
      </c>
    </row>
    <row r="488" spans="1:2" x14ac:dyDescent="0.3">
      <c r="A488" t="s">
        <v>1939</v>
      </c>
      <c r="B488">
        <v>1</v>
      </c>
    </row>
    <row r="489" spans="1:2" x14ac:dyDescent="0.3">
      <c r="A489" t="s">
        <v>1941</v>
      </c>
      <c r="B489">
        <v>1</v>
      </c>
    </row>
    <row r="490" spans="1:2" x14ac:dyDescent="0.3">
      <c r="A490" t="s">
        <v>2795</v>
      </c>
      <c r="B490">
        <v>1</v>
      </c>
    </row>
    <row r="491" spans="1:2" x14ac:dyDescent="0.3">
      <c r="A491" t="s">
        <v>2796</v>
      </c>
      <c r="B491">
        <v>1</v>
      </c>
    </row>
    <row r="492" spans="1:2" x14ac:dyDescent="0.3">
      <c r="A492" t="s">
        <v>1947</v>
      </c>
      <c r="B492">
        <v>1</v>
      </c>
    </row>
    <row r="493" spans="1:2" x14ac:dyDescent="0.3">
      <c r="A493" t="s">
        <v>1950</v>
      </c>
      <c r="B493">
        <v>1</v>
      </c>
    </row>
    <row r="494" spans="1:2" x14ac:dyDescent="0.3">
      <c r="A494" t="s">
        <v>1952</v>
      </c>
      <c r="B494">
        <v>1</v>
      </c>
    </row>
    <row r="495" spans="1:2" x14ac:dyDescent="0.3">
      <c r="A495" t="s">
        <v>1955</v>
      </c>
      <c r="B495">
        <v>1</v>
      </c>
    </row>
    <row r="496" spans="1:2" x14ac:dyDescent="0.3">
      <c r="A496" t="s">
        <v>2797</v>
      </c>
      <c r="B496">
        <v>1</v>
      </c>
    </row>
    <row r="497" spans="1:2" x14ac:dyDescent="0.3">
      <c r="A497" t="s">
        <v>1959</v>
      </c>
      <c r="B497">
        <v>1</v>
      </c>
    </row>
    <row r="498" spans="1:2" x14ac:dyDescent="0.3">
      <c r="A498" t="s">
        <v>1961</v>
      </c>
      <c r="B498">
        <v>1</v>
      </c>
    </row>
    <row r="499" spans="1:2" x14ac:dyDescent="0.3">
      <c r="A499" t="s">
        <v>1963</v>
      </c>
      <c r="B499">
        <v>1</v>
      </c>
    </row>
    <row r="500" spans="1:2" x14ac:dyDescent="0.3">
      <c r="A500" t="s">
        <v>1965</v>
      </c>
      <c r="B500">
        <v>1</v>
      </c>
    </row>
    <row r="501" spans="1:2" x14ac:dyDescent="0.3">
      <c r="A501" t="s">
        <v>1967</v>
      </c>
      <c r="B501">
        <v>1</v>
      </c>
    </row>
    <row r="502" spans="1:2" x14ac:dyDescent="0.3">
      <c r="A502" t="s">
        <v>1969</v>
      </c>
      <c r="B502">
        <v>1</v>
      </c>
    </row>
    <row r="503" spans="1:2" x14ac:dyDescent="0.3">
      <c r="A503" t="s">
        <v>1971</v>
      </c>
      <c r="B503">
        <v>1</v>
      </c>
    </row>
    <row r="504" spans="1:2" x14ac:dyDescent="0.3">
      <c r="A504" t="s">
        <v>1973</v>
      </c>
      <c r="B504">
        <v>1</v>
      </c>
    </row>
    <row r="505" spans="1:2" x14ac:dyDescent="0.3">
      <c r="A505" t="s">
        <v>1976</v>
      </c>
      <c r="B505">
        <v>1</v>
      </c>
    </row>
    <row r="506" spans="1:2" x14ac:dyDescent="0.3">
      <c r="A506" t="s">
        <v>1978</v>
      </c>
      <c r="B506">
        <v>1</v>
      </c>
    </row>
    <row r="507" spans="1:2" x14ac:dyDescent="0.3">
      <c r="A507" t="s">
        <v>1981</v>
      </c>
      <c r="B507">
        <v>1</v>
      </c>
    </row>
    <row r="508" spans="1:2" x14ac:dyDescent="0.3">
      <c r="A508" t="s">
        <v>1983</v>
      </c>
      <c r="B508">
        <v>1</v>
      </c>
    </row>
    <row r="509" spans="1:2" x14ac:dyDescent="0.3">
      <c r="A509" t="s">
        <v>1986</v>
      </c>
      <c r="B509">
        <v>1</v>
      </c>
    </row>
    <row r="510" spans="1:2" x14ac:dyDescent="0.3">
      <c r="A510" t="s">
        <v>2798</v>
      </c>
      <c r="B510">
        <v>1</v>
      </c>
    </row>
    <row r="511" spans="1:2" x14ac:dyDescent="0.3">
      <c r="A511" t="s">
        <v>1991</v>
      </c>
      <c r="B511">
        <v>1</v>
      </c>
    </row>
    <row r="512" spans="1:2" x14ac:dyDescent="0.3">
      <c r="A512" t="s">
        <v>1994</v>
      </c>
      <c r="B512">
        <v>1</v>
      </c>
    </row>
    <row r="513" spans="1:2" x14ac:dyDescent="0.3">
      <c r="A513" t="s">
        <v>1996</v>
      </c>
      <c r="B513">
        <v>1</v>
      </c>
    </row>
    <row r="514" spans="1:2" x14ac:dyDescent="0.3">
      <c r="A514" t="s">
        <v>1998</v>
      </c>
      <c r="B514">
        <v>1</v>
      </c>
    </row>
    <row r="515" spans="1:2" x14ac:dyDescent="0.3">
      <c r="A515" t="s">
        <v>2000</v>
      </c>
      <c r="B515">
        <v>1</v>
      </c>
    </row>
    <row r="516" spans="1:2" x14ac:dyDescent="0.3">
      <c r="A516" t="s">
        <v>2002</v>
      </c>
      <c r="B516">
        <v>1</v>
      </c>
    </row>
    <row r="517" spans="1:2" x14ac:dyDescent="0.3">
      <c r="A517" t="s">
        <v>2004</v>
      </c>
      <c r="B517">
        <v>1</v>
      </c>
    </row>
    <row r="518" spans="1:2" x14ac:dyDescent="0.3">
      <c r="A518" t="s">
        <v>2007</v>
      </c>
      <c r="B518">
        <v>1</v>
      </c>
    </row>
    <row r="519" spans="1:2" x14ac:dyDescent="0.3">
      <c r="A519" t="s">
        <v>2009</v>
      </c>
      <c r="B519">
        <v>1</v>
      </c>
    </row>
    <row r="520" spans="1:2" x14ac:dyDescent="0.3">
      <c r="A520" t="s">
        <v>2013</v>
      </c>
      <c r="B520">
        <v>1</v>
      </c>
    </row>
    <row r="521" spans="1:2" x14ac:dyDescent="0.3">
      <c r="A521" t="s">
        <v>2015</v>
      </c>
      <c r="B521">
        <v>1</v>
      </c>
    </row>
    <row r="522" spans="1:2" x14ac:dyDescent="0.3">
      <c r="A522" t="s">
        <v>2705</v>
      </c>
      <c r="B522">
        <v>1</v>
      </c>
    </row>
    <row r="523" spans="1:2" x14ac:dyDescent="0.3">
      <c r="A523" t="s">
        <v>2017</v>
      </c>
      <c r="B523">
        <v>1</v>
      </c>
    </row>
    <row r="524" spans="1:2" x14ac:dyDescent="0.3">
      <c r="A524" t="s">
        <v>2799</v>
      </c>
      <c r="B524">
        <v>1</v>
      </c>
    </row>
    <row r="525" spans="1:2" x14ac:dyDescent="0.3">
      <c r="A525" t="s">
        <v>2019</v>
      </c>
      <c r="B525">
        <v>1</v>
      </c>
    </row>
    <row r="526" spans="1:2" x14ac:dyDescent="0.3">
      <c r="A526" t="s">
        <v>2022</v>
      </c>
      <c r="B526">
        <v>1</v>
      </c>
    </row>
    <row r="527" spans="1:2" x14ac:dyDescent="0.3">
      <c r="A527" t="s">
        <v>2029</v>
      </c>
      <c r="B527">
        <v>1</v>
      </c>
    </row>
    <row r="528" spans="1:2" x14ac:dyDescent="0.3">
      <c r="A528" t="s">
        <v>2031</v>
      </c>
      <c r="B528">
        <v>1</v>
      </c>
    </row>
    <row r="529" spans="1:2" x14ac:dyDescent="0.3">
      <c r="A529" t="s">
        <v>2800</v>
      </c>
      <c r="B529">
        <v>1</v>
      </c>
    </row>
    <row r="530" spans="1:2" x14ac:dyDescent="0.3">
      <c r="A530" t="s">
        <v>2801</v>
      </c>
      <c r="B530">
        <v>1</v>
      </c>
    </row>
    <row r="531" spans="1:2" x14ac:dyDescent="0.3">
      <c r="A531" t="s">
        <v>2037</v>
      </c>
      <c r="B531">
        <v>1</v>
      </c>
    </row>
    <row r="532" spans="1:2" x14ac:dyDescent="0.3">
      <c r="A532" t="s">
        <v>2039</v>
      </c>
      <c r="B532">
        <v>1</v>
      </c>
    </row>
    <row r="533" spans="1:2" x14ac:dyDescent="0.3">
      <c r="A533" t="s">
        <v>2586</v>
      </c>
      <c r="B533">
        <v>1</v>
      </c>
    </row>
    <row r="534" spans="1:2" x14ac:dyDescent="0.3">
      <c r="A534" t="s">
        <v>2587</v>
      </c>
      <c r="B534">
        <v>1</v>
      </c>
    </row>
    <row r="535" spans="1:2" x14ac:dyDescent="0.3">
      <c r="A535" t="s">
        <v>2043</v>
      </c>
      <c r="B535">
        <v>1</v>
      </c>
    </row>
    <row r="536" spans="1:2" x14ac:dyDescent="0.3">
      <c r="A536" t="s">
        <v>2802</v>
      </c>
      <c r="B536">
        <v>1</v>
      </c>
    </row>
    <row r="537" spans="1:2" x14ac:dyDescent="0.3">
      <c r="A537" t="s">
        <v>2045</v>
      </c>
      <c r="B537">
        <v>1</v>
      </c>
    </row>
    <row r="538" spans="1:2" x14ac:dyDescent="0.3">
      <c r="A538" t="s">
        <v>2047</v>
      </c>
      <c r="B538">
        <v>1</v>
      </c>
    </row>
    <row r="539" spans="1:2" x14ac:dyDescent="0.3">
      <c r="A539" t="s">
        <v>2048</v>
      </c>
      <c r="B539">
        <v>1</v>
      </c>
    </row>
    <row r="540" spans="1:2" x14ac:dyDescent="0.3">
      <c r="A540" t="s">
        <v>2050</v>
      </c>
      <c r="B540">
        <v>1</v>
      </c>
    </row>
    <row r="541" spans="1:2" x14ac:dyDescent="0.3">
      <c r="A541" t="s">
        <v>2052</v>
      </c>
      <c r="B541">
        <v>1</v>
      </c>
    </row>
    <row r="542" spans="1:2" x14ac:dyDescent="0.3">
      <c r="A542" t="s">
        <v>2054</v>
      </c>
      <c r="B542">
        <v>1</v>
      </c>
    </row>
    <row r="543" spans="1:2" x14ac:dyDescent="0.3">
      <c r="A543" t="s">
        <v>2059</v>
      </c>
      <c r="B543">
        <v>1</v>
      </c>
    </row>
    <row r="544" spans="1:2" x14ac:dyDescent="0.3">
      <c r="A544" t="s">
        <v>2061</v>
      </c>
      <c r="B544">
        <v>1</v>
      </c>
    </row>
    <row r="545" spans="1:2" x14ac:dyDescent="0.3">
      <c r="A545" t="s">
        <v>2803</v>
      </c>
      <c r="B545">
        <v>1</v>
      </c>
    </row>
    <row r="546" spans="1:2" x14ac:dyDescent="0.3">
      <c r="A546" t="s">
        <v>2062</v>
      </c>
      <c r="B546">
        <v>1</v>
      </c>
    </row>
    <row r="547" spans="1:2" x14ac:dyDescent="0.3">
      <c r="A547" t="s">
        <v>2063</v>
      </c>
      <c r="B547">
        <v>1</v>
      </c>
    </row>
    <row r="548" spans="1:2" x14ac:dyDescent="0.3">
      <c r="A548" t="s">
        <v>2065</v>
      </c>
      <c r="B548">
        <v>1</v>
      </c>
    </row>
    <row r="549" spans="1:2" x14ac:dyDescent="0.3">
      <c r="A549" t="s">
        <v>2067</v>
      </c>
      <c r="B549">
        <v>1</v>
      </c>
    </row>
    <row r="550" spans="1:2" x14ac:dyDescent="0.3">
      <c r="A550" t="s">
        <v>2804</v>
      </c>
      <c r="B550">
        <v>1</v>
      </c>
    </row>
    <row r="551" spans="1:2" x14ac:dyDescent="0.3">
      <c r="A551" t="s">
        <v>2805</v>
      </c>
      <c r="B551">
        <v>1</v>
      </c>
    </row>
    <row r="552" spans="1:2" x14ac:dyDescent="0.3">
      <c r="A552" t="s">
        <v>2073</v>
      </c>
      <c r="B552">
        <v>1</v>
      </c>
    </row>
    <row r="553" spans="1:2" x14ac:dyDescent="0.3">
      <c r="A553" t="s">
        <v>2076</v>
      </c>
      <c r="B553">
        <v>1</v>
      </c>
    </row>
    <row r="554" spans="1:2" x14ac:dyDescent="0.3">
      <c r="A554" t="s">
        <v>2077</v>
      </c>
      <c r="B554">
        <v>1</v>
      </c>
    </row>
    <row r="555" spans="1:2" x14ac:dyDescent="0.3">
      <c r="A555" t="s">
        <v>2079</v>
      </c>
      <c r="B555">
        <v>1</v>
      </c>
    </row>
    <row r="556" spans="1:2" x14ac:dyDescent="0.3">
      <c r="A556" t="s">
        <v>2081</v>
      </c>
      <c r="B556">
        <v>1</v>
      </c>
    </row>
    <row r="557" spans="1:2" x14ac:dyDescent="0.3">
      <c r="A557" t="s">
        <v>2083</v>
      </c>
      <c r="B557">
        <v>1</v>
      </c>
    </row>
    <row r="558" spans="1:2" x14ac:dyDescent="0.3">
      <c r="A558" t="s">
        <v>2085</v>
      </c>
      <c r="B558">
        <v>1</v>
      </c>
    </row>
    <row r="559" spans="1:2" x14ac:dyDescent="0.3">
      <c r="A559" t="s">
        <v>2087</v>
      </c>
      <c r="B559">
        <v>1</v>
      </c>
    </row>
    <row r="560" spans="1:2" x14ac:dyDescent="0.3">
      <c r="A560" t="s">
        <v>2089</v>
      </c>
      <c r="B560">
        <v>1</v>
      </c>
    </row>
    <row r="561" spans="1:2" x14ac:dyDescent="0.3">
      <c r="A561" t="s">
        <v>2092</v>
      </c>
      <c r="B561">
        <v>1</v>
      </c>
    </row>
    <row r="562" spans="1:2" x14ac:dyDescent="0.3">
      <c r="A562" t="s">
        <v>2806</v>
      </c>
      <c r="B562">
        <v>1</v>
      </c>
    </row>
    <row r="563" spans="1:2" x14ac:dyDescent="0.3">
      <c r="A563" t="s">
        <v>2094</v>
      </c>
      <c r="B563">
        <v>1</v>
      </c>
    </row>
    <row r="564" spans="1:2" x14ac:dyDescent="0.3">
      <c r="A564" t="s">
        <v>2097</v>
      </c>
      <c r="B564">
        <v>1</v>
      </c>
    </row>
    <row r="565" spans="1:2" x14ac:dyDescent="0.3">
      <c r="A565" t="s">
        <v>2100</v>
      </c>
      <c r="B565">
        <v>1</v>
      </c>
    </row>
    <row r="566" spans="1:2" x14ac:dyDescent="0.3">
      <c r="A566" t="s">
        <v>2103</v>
      </c>
      <c r="B566">
        <v>1</v>
      </c>
    </row>
    <row r="567" spans="1:2" x14ac:dyDescent="0.3">
      <c r="A567" t="s">
        <v>2105</v>
      </c>
      <c r="B567">
        <v>1</v>
      </c>
    </row>
    <row r="568" spans="1:2" x14ac:dyDescent="0.3">
      <c r="A568" t="s">
        <v>2108</v>
      </c>
      <c r="B568">
        <v>1</v>
      </c>
    </row>
    <row r="569" spans="1:2" x14ac:dyDescent="0.3">
      <c r="A569" t="s">
        <v>2109</v>
      </c>
      <c r="B569">
        <v>1</v>
      </c>
    </row>
    <row r="570" spans="1:2" x14ac:dyDescent="0.3">
      <c r="A570" t="s">
        <v>2111</v>
      </c>
      <c r="B570">
        <v>1</v>
      </c>
    </row>
    <row r="571" spans="1:2" x14ac:dyDescent="0.3">
      <c r="A571" t="s">
        <v>2112</v>
      </c>
      <c r="B571">
        <v>1</v>
      </c>
    </row>
    <row r="572" spans="1:2" x14ac:dyDescent="0.3">
      <c r="A572" t="s">
        <v>2114</v>
      </c>
      <c r="B572">
        <v>1</v>
      </c>
    </row>
    <row r="573" spans="1:2" x14ac:dyDescent="0.3">
      <c r="A573" t="s">
        <v>2807</v>
      </c>
      <c r="B573">
        <v>1</v>
      </c>
    </row>
    <row r="574" spans="1:2" x14ac:dyDescent="0.3">
      <c r="A574" t="s">
        <v>2122</v>
      </c>
      <c r="B574">
        <v>1</v>
      </c>
    </row>
    <row r="575" spans="1:2" x14ac:dyDescent="0.3">
      <c r="A575" t="s">
        <v>2808</v>
      </c>
      <c r="B575">
        <v>1</v>
      </c>
    </row>
    <row r="576" spans="1:2" x14ac:dyDescent="0.3">
      <c r="A576" t="s">
        <v>2124</v>
      </c>
      <c r="B576">
        <v>1</v>
      </c>
    </row>
    <row r="577" spans="1:2" x14ac:dyDescent="0.3">
      <c r="A577" t="s">
        <v>2126</v>
      </c>
      <c r="B577">
        <v>1</v>
      </c>
    </row>
    <row r="578" spans="1:2" x14ac:dyDescent="0.3">
      <c r="A578" t="s">
        <v>2129</v>
      </c>
      <c r="B578">
        <v>1</v>
      </c>
    </row>
    <row r="579" spans="1:2" x14ac:dyDescent="0.3">
      <c r="A579" t="s">
        <v>2133</v>
      </c>
      <c r="B579">
        <v>1</v>
      </c>
    </row>
    <row r="580" spans="1:2" x14ac:dyDescent="0.3">
      <c r="A580" t="s">
        <v>2809</v>
      </c>
      <c r="B580">
        <v>1</v>
      </c>
    </row>
    <row r="581" spans="1:2" x14ac:dyDescent="0.3">
      <c r="A581" t="s">
        <v>2134</v>
      </c>
      <c r="B581">
        <v>1</v>
      </c>
    </row>
    <row r="582" spans="1:2" x14ac:dyDescent="0.3">
      <c r="A582" t="s">
        <v>2137</v>
      </c>
      <c r="B582">
        <v>1</v>
      </c>
    </row>
    <row r="583" spans="1:2" x14ac:dyDescent="0.3">
      <c r="A583" t="s">
        <v>2140</v>
      </c>
      <c r="B583">
        <v>1</v>
      </c>
    </row>
    <row r="584" spans="1:2" x14ac:dyDescent="0.3">
      <c r="A584" t="s">
        <v>2144</v>
      </c>
      <c r="B584">
        <v>1</v>
      </c>
    </row>
    <row r="585" spans="1:2" x14ac:dyDescent="0.3">
      <c r="A585" t="s">
        <v>2145</v>
      </c>
      <c r="B585">
        <v>1</v>
      </c>
    </row>
    <row r="586" spans="1:2" x14ac:dyDescent="0.3">
      <c r="A586" t="s">
        <v>2148</v>
      </c>
      <c r="B586">
        <v>1</v>
      </c>
    </row>
    <row r="587" spans="1:2" x14ac:dyDescent="0.3">
      <c r="A587" t="s">
        <v>2149</v>
      </c>
      <c r="B587">
        <v>1</v>
      </c>
    </row>
    <row r="588" spans="1:2" x14ac:dyDescent="0.3">
      <c r="A588" t="s">
        <v>2151</v>
      </c>
      <c r="B588">
        <v>1</v>
      </c>
    </row>
    <row r="589" spans="1:2" x14ac:dyDescent="0.3">
      <c r="A589" t="s">
        <v>2152</v>
      </c>
      <c r="B589">
        <v>1</v>
      </c>
    </row>
    <row r="590" spans="1:2" x14ac:dyDescent="0.3">
      <c r="A590" t="s">
        <v>2155</v>
      </c>
      <c r="B590">
        <v>1</v>
      </c>
    </row>
    <row r="591" spans="1:2" x14ac:dyDescent="0.3">
      <c r="A591" t="s">
        <v>2157</v>
      </c>
      <c r="B591">
        <v>1</v>
      </c>
    </row>
    <row r="592" spans="1:2" x14ac:dyDescent="0.3">
      <c r="A592" t="s">
        <v>2159</v>
      </c>
      <c r="B592">
        <v>1</v>
      </c>
    </row>
    <row r="593" spans="1:2" x14ac:dyDescent="0.3">
      <c r="A593" t="s">
        <v>2162</v>
      </c>
      <c r="B593">
        <v>1</v>
      </c>
    </row>
    <row r="594" spans="1:2" x14ac:dyDescent="0.3">
      <c r="A594" t="s">
        <v>2165</v>
      </c>
      <c r="B594">
        <v>1</v>
      </c>
    </row>
    <row r="595" spans="1:2" x14ac:dyDescent="0.3">
      <c r="A595" t="s">
        <v>2169</v>
      </c>
      <c r="B595">
        <v>1</v>
      </c>
    </row>
    <row r="596" spans="1:2" x14ac:dyDescent="0.3">
      <c r="A596" t="s">
        <v>2170</v>
      </c>
      <c r="B596">
        <v>1</v>
      </c>
    </row>
    <row r="597" spans="1:2" x14ac:dyDescent="0.3">
      <c r="A597" t="s">
        <v>2171</v>
      </c>
      <c r="B597">
        <v>1</v>
      </c>
    </row>
    <row r="598" spans="1:2" x14ac:dyDescent="0.3">
      <c r="A598" t="s">
        <v>2810</v>
      </c>
      <c r="B598">
        <v>1</v>
      </c>
    </row>
    <row r="599" spans="1:2" x14ac:dyDescent="0.3">
      <c r="A599" t="s">
        <v>2173</v>
      </c>
      <c r="B599">
        <v>1</v>
      </c>
    </row>
    <row r="600" spans="1:2" x14ac:dyDescent="0.3">
      <c r="A600" t="s">
        <v>2176</v>
      </c>
      <c r="B600">
        <v>1</v>
      </c>
    </row>
    <row r="601" spans="1:2" x14ac:dyDescent="0.3">
      <c r="A601" t="s">
        <v>2177</v>
      </c>
      <c r="B601">
        <v>1</v>
      </c>
    </row>
    <row r="602" spans="1:2" x14ac:dyDescent="0.3">
      <c r="A602" t="s">
        <v>2180</v>
      </c>
      <c r="B602">
        <v>1</v>
      </c>
    </row>
    <row r="603" spans="1:2" x14ac:dyDescent="0.3">
      <c r="A603" t="s">
        <v>2811</v>
      </c>
      <c r="B603">
        <v>1</v>
      </c>
    </row>
    <row r="604" spans="1:2" x14ac:dyDescent="0.3">
      <c r="A604" t="s">
        <v>2183</v>
      </c>
      <c r="B604">
        <v>1</v>
      </c>
    </row>
    <row r="605" spans="1:2" x14ac:dyDescent="0.3">
      <c r="A605" t="s">
        <v>2812</v>
      </c>
      <c r="B605">
        <v>1</v>
      </c>
    </row>
    <row r="606" spans="1:2" x14ac:dyDescent="0.3">
      <c r="A606" t="s">
        <v>2186</v>
      </c>
      <c r="B606">
        <v>1</v>
      </c>
    </row>
    <row r="607" spans="1:2" x14ac:dyDescent="0.3">
      <c r="A607" t="s">
        <v>2188</v>
      </c>
      <c r="B607">
        <v>1</v>
      </c>
    </row>
    <row r="608" spans="1:2" x14ac:dyDescent="0.3">
      <c r="A608" t="s">
        <v>2190</v>
      </c>
      <c r="B608">
        <v>1</v>
      </c>
    </row>
    <row r="609" spans="1:2" x14ac:dyDescent="0.3">
      <c r="A609" t="s">
        <v>2193</v>
      </c>
      <c r="B609">
        <v>1</v>
      </c>
    </row>
    <row r="610" spans="1:2" x14ac:dyDescent="0.3">
      <c r="A610" t="s">
        <v>2196</v>
      </c>
      <c r="B610">
        <v>1</v>
      </c>
    </row>
    <row r="611" spans="1:2" x14ac:dyDescent="0.3">
      <c r="A611" t="s">
        <v>2198</v>
      </c>
      <c r="B611">
        <v>1</v>
      </c>
    </row>
    <row r="612" spans="1:2" x14ac:dyDescent="0.3">
      <c r="A612" t="s">
        <v>2813</v>
      </c>
      <c r="B612">
        <v>1</v>
      </c>
    </row>
    <row r="613" spans="1:2" x14ac:dyDescent="0.3">
      <c r="A613" t="s">
        <v>2204</v>
      </c>
      <c r="B613">
        <v>1</v>
      </c>
    </row>
    <row r="614" spans="1:2" x14ac:dyDescent="0.3">
      <c r="A614" t="s">
        <v>2566</v>
      </c>
      <c r="B614">
        <v>1</v>
      </c>
    </row>
    <row r="615" spans="1:2" x14ac:dyDescent="0.3">
      <c r="A615" t="s">
        <v>2209</v>
      </c>
      <c r="B615">
        <v>1</v>
      </c>
    </row>
    <row r="616" spans="1:2" x14ac:dyDescent="0.3">
      <c r="A616" t="s">
        <v>2210</v>
      </c>
      <c r="B616">
        <v>1</v>
      </c>
    </row>
    <row r="617" spans="1:2" x14ac:dyDescent="0.3">
      <c r="A617" t="s">
        <v>2814</v>
      </c>
      <c r="B617">
        <v>1</v>
      </c>
    </row>
    <row r="618" spans="1:2" x14ac:dyDescent="0.3">
      <c r="A618" t="s">
        <v>2214</v>
      </c>
      <c r="B618">
        <v>1</v>
      </c>
    </row>
    <row r="619" spans="1:2" x14ac:dyDescent="0.3">
      <c r="A619" t="s">
        <v>2217</v>
      </c>
      <c r="B619">
        <v>1</v>
      </c>
    </row>
    <row r="620" spans="1:2" x14ac:dyDescent="0.3">
      <c r="A620" t="s">
        <v>2219</v>
      </c>
      <c r="B620">
        <v>1</v>
      </c>
    </row>
    <row r="621" spans="1:2" x14ac:dyDescent="0.3">
      <c r="A621" t="s">
        <v>2221</v>
      </c>
      <c r="B621">
        <v>1</v>
      </c>
    </row>
    <row r="622" spans="1:2" x14ac:dyDescent="0.3">
      <c r="A622" t="s">
        <v>2815</v>
      </c>
      <c r="B622">
        <v>1</v>
      </c>
    </row>
    <row r="623" spans="1:2" x14ac:dyDescent="0.3">
      <c r="A623" t="s">
        <v>2632</v>
      </c>
      <c r="B623">
        <v>1</v>
      </c>
    </row>
    <row r="624" spans="1:2" x14ac:dyDescent="0.3">
      <c r="A624" t="s">
        <v>2567</v>
      </c>
      <c r="B624">
        <v>1</v>
      </c>
    </row>
    <row r="625" spans="1:2" x14ac:dyDescent="0.3">
      <c r="A625" t="s">
        <v>2589</v>
      </c>
      <c r="B625">
        <v>1</v>
      </c>
    </row>
    <row r="626" spans="1:2" x14ac:dyDescent="0.3">
      <c r="A626" t="s">
        <v>2229</v>
      </c>
      <c r="B626">
        <v>1</v>
      </c>
    </row>
    <row r="627" spans="1:2" x14ac:dyDescent="0.3">
      <c r="A627" t="s">
        <v>2230</v>
      </c>
      <c r="B627">
        <v>1</v>
      </c>
    </row>
    <row r="628" spans="1:2" x14ac:dyDescent="0.3">
      <c r="A628" t="s">
        <v>2634</v>
      </c>
      <c r="B628">
        <v>1</v>
      </c>
    </row>
    <row r="629" spans="1:2" x14ac:dyDescent="0.3">
      <c r="A629" t="s">
        <v>2231</v>
      </c>
      <c r="B629">
        <v>1</v>
      </c>
    </row>
    <row r="630" spans="1:2" x14ac:dyDescent="0.3">
      <c r="A630" t="s">
        <v>2233</v>
      </c>
      <c r="B630">
        <v>1</v>
      </c>
    </row>
    <row r="631" spans="1:2" x14ac:dyDescent="0.3">
      <c r="A631" t="s">
        <v>2235</v>
      </c>
      <c r="B631">
        <v>1</v>
      </c>
    </row>
    <row r="632" spans="1:2" x14ac:dyDescent="0.3">
      <c r="A632" t="s">
        <v>2816</v>
      </c>
      <c r="B632">
        <v>1</v>
      </c>
    </row>
    <row r="633" spans="1:2" x14ac:dyDescent="0.3">
      <c r="A633" t="s">
        <v>2238</v>
      </c>
      <c r="B633">
        <v>1</v>
      </c>
    </row>
    <row r="634" spans="1:2" x14ac:dyDescent="0.3">
      <c r="A634" t="s">
        <v>2817</v>
      </c>
      <c r="B634">
        <v>1</v>
      </c>
    </row>
    <row r="635" spans="1:2" x14ac:dyDescent="0.3">
      <c r="A635" t="s">
        <v>2245</v>
      </c>
      <c r="B635">
        <v>1</v>
      </c>
    </row>
    <row r="636" spans="1:2" x14ac:dyDescent="0.3">
      <c r="A636" t="s">
        <v>2247</v>
      </c>
      <c r="B636">
        <v>1</v>
      </c>
    </row>
    <row r="637" spans="1:2" x14ac:dyDescent="0.3">
      <c r="A637" t="s">
        <v>2818</v>
      </c>
      <c r="B637">
        <v>1</v>
      </c>
    </row>
    <row r="638" spans="1:2" x14ac:dyDescent="0.3">
      <c r="A638" t="s">
        <v>2250</v>
      </c>
      <c r="B638">
        <v>1</v>
      </c>
    </row>
    <row r="639" spans="1:2" x14ac:dyDescent="0.3">
      <c r="A639" t="s">
        <v>2252</v>
      </c>
      <c r="B639">
        <v>1</v>
      </c>
    </row>
    <row r="640" spans="1:2" x14ac:dyDescent="0.3">
      <c r="A640" t="s">
        <v>2819</v>
      </c>
      <c r="B640">
        <v>1</v>
      </c>
    </row>
    <row r="641" spans="1:2" x14ac:dyDescent="0.3">
      <c r="A641" t="s">
        <v>2253</v>
      </c>
      <c r="B641">
        <v>1</v>
      </c>
    </row>
    <row r="642" spans="1:2" x14ac:dyDescent="0.3">
      <c r="A642" t="s">
        <v>2255</v>
      </c>
      <c r="B642">
        <v>1</v>
      </c>
    </row>
    <row r="643" spans="1:2" x14ac:dyDescent="0.3">
      <c r="A643" t="s">
        <v>2257</v>
      </c>
      <c r="B643">
        <v>1</v>
      </c>
    </row>
    <row r="644" spans="1:2" x14ac:dyDescent="0.3">
      <c r="A644" t="s">
        <v>2263</v>
      </c>
      <c r="B644">
        <v>1</v>
      </c>
    </row>
    <row r="645" spans="1:2" x14ac:dyDescent="0.3">
      <c r="A645" t="s">
        <v>2264</v>
      </c>
      <c r="B645">
        <v>1</v>
      </c>
    </row>
    <row r="646" spans="1:2" x14ac:dyDescent="0.3">
      <c r="A646" t="s">
        <v>2820</v>
      </c>
      <c r="B646">
        <v>1</v>
      </c>
    </row>
    <row r="647" spans="1:2" x14ac:dyDescent="0.3">
      <c r="A647" t="s">
        <v>2266</v>
      </c>
      <c r="B647">
        <v>1</v>
      </c>
    </row>
    <row r="648" spans="1:2" x14ac:dyDescent="0.3">
      <c r="A648" t="s">
        <v>2267</v>
      </c>
      <c r="B648">
        <v>1</v>
      </c>
    </row>
    <row r="649" spans="1:2" x14ac:dyDescent="0.3">
      <c r="A649" t="s">
        <v>2269</v>
      </c>
      <c r="B649">
        <v>1</v>
      </c>
    </row>
    <row r="650" spans="1:2" x14ac:dyDescent="0.3">
      <c r="A650" t="s">
        <v>2821</v>
      </c>
      <c r="B650">
        <v>1</v>
      </c>
    </row>
    <row r="651" spans="1:2" x14ac:dyDescent="0.3">
      <c r="A651" t="s">
        <v>2822</v>
      </c>
      <c r="B651">
        <v>1</v>
      </c>
    </row>
    <row r="652" spans="1:2" x14ac:dyDescent="0.3">
      <c r="A652" t="s">
        <v>2273</v>
      </c>
      <c r="B652">
        <v>1</v>
      </c>
    </row>
    <row r="653" spans="1:2" x14ac:dyDescent="0.3">
      <c r="A653" t="s">
        <v>2712</v>
      </c>
      <c r="B653">
        <v>1</v>
      </c>
    </row>
    <row r="654" spans="1:2" x14ac:dyDescent="0.3">
      <c r="A654" t="s">
        <v>2278</v>
      </c>
      <c r="B654">
        <v>1</v>
      </c>
    </row>
    <row r="655" spans="1:2" x14ac:dyDescent="0.3">
      <c r="A655" t="s">
        <v>2280</v>
      </c>
      <c r="B655">
        <v>1</v>
      </c>
    </row>
    <row r="656" spans="1:2" x14ac:dyDescent="0.3">
      <c r="A656" t="s">
        <v>2284</v>
      </c>
      <c r="B656">
        <v>1</v>
      </c>
    </row>
    <row r="657" spans="1:2" x14ac:dyDescent="0.3">
      <c r="A657" t="s">
        <v>2285</v>
      </c>
      <c r="B657">
        <v>1</v>
      </c>
    </row>
    <row r="658" spans="1:2" x14ac:dyDescent="0.3">
      <c r="A658" t="s">
        <v>2287</v>
      </c>
      <c r="B658">
        <v>1</v>
      </c>
    </row>
    <row r="659" spans="1:2" x14ac:dyDescent="0.3">
      <c r="A659" t="s">
        <v>2823</v>
      </c>
      <c r="B659">
        <v>1</v>
      </c>
    </row>
    <row r="660" spans="1:2" x14ac:dyDescent="0.3">
      <c r="A660" t="s">
        <v>2292</v>
      </c>
      <c r="B660">
        <v>1</v>
      </c>
    </row>
    <row r="661" spans="1:2" x14ac:dyDescent="0.3">
      <c r="A661" t="s">
        <v>2294</v>
      </c>
      <c r="B661">
        <v>1</v>
      </c>
    </row>
    <row r="662" spans="1:2" x14ac:dyDescent="0.3">
      <c r="A662" t="s">
        <v>2296</v>
      </c>
      <c r="B662">
        <v>1</v>
      </c>
    </row>
    <row r="663" spans="1:2" x14ac:dyDescent="0.3">
      <c r="A663" t="s">
        <v>2298</v>
      </c>
      <c r="B663">
        <v>1</v>
      </c>
    </row>
    <row r="664" spans="1:2" x14ac:dyDescent="0.3">
      <c r="A664" t="s">
        <v>2300</v>
      </c>
      <c r="B664">
        <v>1</v>
      </c>
    </row>
    <row r="665" spans="1:2" x14ac:dyDescent="0.3">
      <c r="A665" t="s">
        <v>2302</v>
      </c>
      <c r="B665">
        <v>1</v>
      </c>
    </row>
    <row r="666" spans="1:2" x14ac:dyDescent="0.3">
      <c r="A666" t="s">
        <v>2824</v>
      </c>
      <c r="B666">
        <v>1</v>
      </c>
    </row>
    <row r="667" spans="1:2" x14ac:dyDescent="0.3">
      <c r="A667" t="s">
        <v>2307</v>
      </c>
      <c r="B667">
        <v>1</v>
      </c>
    </row>
    <row r="668" spans="1:2" x14ac:dyDescent="0.3">
      <c r="A668" t="s">
        <v>2309</v>
      </c>
      <c r="B668">
        <v>1</v>
      </c>
    </row>
    <row r="669" spans="1:2" x14ac:dyDescent="0.3">
      <c r="A669" t="s">
        <v>2311</v>
      </c>
      <c r="B669">
        <v>1</v>
      </c>
    </row>
    <row r="670" spans="1:2" x14ac:dyDescent="0.3">
      <c r="A670" t="s">
        <v>2313</v>
      </c>
      <c r="B670">
        <v>1</v>
      </c>
    </row>
    <row r="671" spans="1:2" x14ac:dyDescent="0.3">
      <c r="A671" t="s">
        <v>2316</v>
      </c>
      <c r="B671">
        <v>1</v>
      </c>
    </row>
    <row r="672" spans="1:2" x14ac:dyDescent="0.3">
      <c r="A672" t="s">
        <v>2825</v>
      </c>
      <c r="B672">
        <v>1</v>
      </c>
    </row>
    <row r="673" spans="1:2" x14ac:dyDescent="0.3">
      <c r="A673" t="s">
        <v>2826</v>
      </c>
      <c r="B673">
        <v>1</v>
      </c>
    </row>
    <row r="674" spans="1:2" x14ac:dyDescent="0.3">
      <c r="A674" t="s">
        <v>2325</v>
      </c>
      <c r="B674">
        <v>1</v>
      </c>
    </row>
    <row r="675" spans="1:2" x14ac:dyDescent="0.3">
      <c r="A675" t="s">
        <v>2827</v>
      </c>
      <c r="B675">
        <v>1</v>
      </c>
    </row>
    <row r="676" spans="1:2" x14ac:dyDescent="0.3">
      <c r="A676" t="s">
        <v>2327</v>
      </c>
      <c r="B676">
        <v>1</v>
      </c>
    </row>
    <row r="677" spans="1:2" x14ac:dyDescent="0.3">
      <c r="A677" t="s">
        <v>2329</v>
      </c>
      <c r="B677">
        <v>1</v>
      </c>
    </row>
    <row r="678" spans="1:2" x14ac:dyDescent="0.3">
      <c r="A678" t="s">
        <v>2828</v>
      </c>
      <c r="B678">
        <v>1</v>
      </c>
    </row>
    <row r="679" spans="1:2" x14ac:dyDescent="0.3">
      <c r="A679" t="s">
        <v>2332</v>
      </c>
      <c r="B679">
        <v>1</v>
      </c>
    </row>
    <row r="680" spans="1:2" x14ac:dyDescent="0.3">
      <c r="A680" t="s">
        <v>2333</v>
      </c>
      <c r="B680">
        <v>1</v>
      </c>
    </row>
    <row r="681" spans="1:2" x14ac:dyDescent="0.3">
      <c r="A681" t="s">
        <v>2335</v>
      </c>
      <c r="B681">
        <v>1</v>
      </c>
    </row>
    <row r="682" spans="1:2" x14ac:dyDescent="0.3">
      <c r="A682" t="s">
        <v>2337</v>
      </c>
      <c r="B682">
        <v>1</v>
      </c>
    </row>
    <row r="683" spans="1:2" x14ac:dyDescent="0.3">
      <c r="A683" t="s">
        <v>2338</v>
      </c>
      <c r="B683">
        <v>1</v>
      </c>
    </row>
    <row r="684" spans="1:2" x14ac:dyDescent="0.3">
      <c r="A684" t="s">
        <v>2340</v>
      </c>
      <c r="B684">
        <v>1</v>
      </c>
    </row>
    <row r="685" spans="1:2" x14ac:dyDescent="0.3">
      <c r="A685" t="s">
        <v>2343</v>
      </c>
      <c r="B685">
        <v>1</v>
      </c>
    </row>
    <row r="686" spans="1:2" x14ac:dyDescent="0.3">
      <c r="A686" t="s">
        <v>2344</v>
      </c>
      <c r="B686">
        <v>1</v>
      </c>
    </row>
    <row r="687" spans="1:2" x14ac:dyDescent="0.3">
      <c r="A687" t="s">
        <v>2346</v>
      </c>
      <c r="B687">
        <v>1</v>
      </c>
    </row>
    <row r="688" spans="1:2" x14ac:dyDescent="0.3">
      <c r="A688" t="s">
        <v>2348</v>
      </c>
      <c r="B688">
        <v>1</v>
      </c>
    </row>
    <row r="689" spans="1:2" x14ac:dyDescent="0.3">
      <c r="A689" t="s">
        <v>2350</v>
      </c>
      <c r="B689">
        <v>1</v>
      </c>
    </row>
    <row r="690" spans="1:2" x14ac:dyDescent="0.3">
      <c r="A690" t="s">
        <v>2352</v>
      </c>
      <c r="B690">
        <v>1</v>
      </c>
    </row>
    <row r="691" spans="1:2" x14ac:dyDescent="0.3">
      <c r="A691" t="s">
        <v>2357</v>
      </c>
      <c r="B691">
        <v>1</v>
      </c>
    </row>
    <row r="692" spans="1:2" x14ac:dyDescent="0.3">
      <c r="A692" t="s">
        <v>2358</v>
      </c>
      <c r="B692">
        <v>1</v>
      </c>
    </row>
    <row r="693" spans="1:2" x14ac:dyDescent="0.3">
      <c r="A693" t="s">
        <v>2362</v>
      </c>
      <c r="B693">
        <v>1</v>
      </c>
    </row>
    <row r="694" spans="1:2" x14ac:dyDescent="0.3">
      <c r="A694" t="s">
        <v>2364</v>
      </c>
      <c r="B694">
        <v>1</v>
      </c>
    </row>
    <row r="695" spans="1:2" x14ac:dyDescent="0.3">
      <c r="A695" t="s">
        <v>2365</v>
      </c>
      <c r="B695">
        <v>1</v>
      </c>
    </row>
    <row r="696" spans="1:2" x14ac:dyDescent="0.3">
      <c r="A696" t="s">
        <v>2367</v>
      </c>
      <c r="B696">
        <v>1</v>
      </c>
    </row>
    <row r="697" spans="1:2" x14ac:dyDescent="0.3">
      <c r="A697" t="s">
        <v>2368</v>
      </c>
      <c r="B697">
        <v>1</v>
      </c>
    </row>
    <row r="698" spans="1:2" x14ac:dyDescent="0.3">
      <c r="A698" t="s">
        <v>2370</v>
      </c>
      <c r="B698">
        <v>1</v>
      </c>
    </row>
    <row r="699" spans="1:2" x14ac:dyDescent="0.3">
      <c r="A699" t="s">
        <v>2829</v>
      </c>
      <c r="B699">
        <v>1</v>
      </c>
    </row>
    <row r="700" spans="1:2" x14ac:dyDescent="0.3">
      <c r="A700" t="s">
        <v>2830</v>
      </c>
      <c r="B700">
        <v>1</v>
      </c>
    </row>
    <row r="701" spans="1:2" x14ac:dyDescent="0.3">
      <c r="A701" t="s">
        <v>2831</v>
      </c>
      <c r="B701">
        <v>1</v>
      </c>
    </row>
    <row r="702" spans="1:2" x14ac:dyDescent="0.3">
      <c r="A702" t="s">
        <v>2375</v>
      </c>
      <c r="B702">
        <v>1</v>
      </c>
    </row>
    <row r="703" spans="1:2" x14ac:dyDescent="0.3">
      <c r="A703" t="s">
        <v>2832</v>
      </c>
      <c r="B703">
        <v>1</v>
      </c>
    </row>
    <row r="704" spans="1:2" x14ac:dyDescent="0.3">
      <c r="A704" t="s">
        <v>2377</v>
      </c>
      <c r="B704">
        <v>1</v>
      </c>
    </row>
    <row r="705" spans="1:2" x14ac:dyDescent="0.3">
      <c r="A705" t="s">
        <v>2833</v>
      </c>
      <c r="B705">
        <v>1</v>
      </c>
    </row>
    <row r="706" spans="1:2" x14ac:dyDescent="0.3">
      <c r="A706" t="s">
        <v>2380</v>
      </c>
      <c r="B706">
        <v>1</v>
      </c>
    </row>
    <row r="707" spans="1:2" x14ac:dyDescent="0.3">
      <c r="A707" t="s">
        <v>2382</v>
      </c>
      <c r="B707">
        <v>1</v>
      </c>
    </row>
    <row r="708" spans="1:2" x14ac:dyDescent="0.3">
      <c r="A708" t="s">
        <v>2385</v>
      </c>
      <c r="B708">
        <v>1</v>
      </c>
    </row>
    <row r="709" spans="1:2" x14ac:dyDescent="0.3">
      <c r="A709" t="s">
        <v>2387</v>
      </c>
      <c r="B709">
        <v>1</v>
      </c>
    </row>
    <row r="710" spans="1:2" x14ac:dyDescent="0.3">
      <c r="A710" t="s">
        <v>2834</v>
      </c>
      <c r="B710">
        <v>1</v>
      </c>
    </row>
    <row r="711" spans="1:2" x14ac:dyDescent="0.3">
      <c r="A711" t="s">
        <v>2835</v>
      </c>
      <c r="B711">
        <v>1</v>
      </c>
    </row>
    <row r="712" spans="1:2" x14ac:dyDescent="0.3">
      <c r="A712" t="s">
        <v>2390</v>
      </c>
      <c r="B712">
        <v>1</v>
      </c>
    </row>
    <row r="713" spans="1:2" x14ac:dyDescent="0.3">
      <c r="A713" t="s">
        <v>2391</v>
      </c>
      <c r="B713">
        <v>1</v>
      </c>
    </row>
    <row r="714" spans="1:2" x14ac:dyDescent="0.3">
      <c r="A714" t="s">
        <v>2836</v>
      </c>
      <c r="B714">
        <v>1</v>
      </c>
    </row>
    <row r="715" spans="1:2" x14ac:dyDescent="0.3">
      <c r="A715" t="s">
        <v>2837</v>
      </c>
      <c r="B715">
        <v>1</v>
      </c>
    </row>
    <row r="716" spans="1:2" x14ac:dyDescent="0.3">
      <c r="A716" t="s">
        <v>2838</v>
      </c>
      <c r="B716">
        <v>1</v>
      </c>
    </row>
    <row r="717" spans="1:2" x14ac:dyDescent="0.3">
      <c r="A717" t="s">
        <v>2839</v>
      </c>
      <c r="B717">
        <v>1</v>
      </c>
    </row>
    <row r="718" spans="1:2" x14ac:dyDescent="0.3">
      <c r="A718" t="s">
        <v>2644</v>
      </c>
      <c r="B718">
        <v>1</v>
      </c>
    </row>
    <row r="719" spans="1:2" x14ac:dyDescent="0.3">
      <c r="A719" t="s">
        <v>2840</v>
      </c>
      <c r="B719">
        <v>1</v>
      </c>
    </row>
    <row r="720" spans="1:2" x14ac:dyDescent="0.3">
      <c r="A720" t="s">
        <v>2841</v>
      </c>
      <c r="B720">
        <v>1</v>
      </c>
    </row>
    <row r="721" spans="1:2" x14ac:dyDescent="0.3">
      <c r="A721" t="s">
        <v>2408</v>
      </c>
      <c r="B721">
        <v>1</v>
      </c>
    </row>
    <row r="722" spans="1:2" x14ac:dyDescent="0.3">
      <c r="A722" t="s">
        <v>2411</v>
      </c>
      <c r="B722">
        <v>1</v>
      </c>
    </row>
    <row r="723" spans="1:2" x14ac:dyDescent="0.3">
      <c r="A723" t="s">
        <v>2414</v>
      </c>
      <c r="B723">
        <v>1</v>
      </c>
    </row>
    <row r="724" spans="1:2" x14ac:dyDescent="0.3">
      <c r="A724" t="s">
        <v>2416</v>
      </c>
      <c r="B724">
        <v>1</v>
      </c>
    </row>
    <row r="725" spans="1:2" x14ac:dyDescent="0.3">
      <c r="A725" t="s">
        <v>2842</v>
      </c>
      <c r="B725">
        <v>1</v>
      </c>
    </row>
    <row r="726" spans="1:2" x14ac:dyDescent="0.3">
      <c r="A726" t="s">
        <v>2420</v>
      </c>
      <c r="B726">
        <v>1</v>
      </c>
    </row>
    <row r="727" spans="1:2" x14ac:dyDescent="0.3">
      <c r="A727" t="s">
        <v>2843</v>
      </c>
      <c r="B727">
        <v>1</v>
      </c>
    </row>
    <row r="728" spans="1:2" x14ac:dyDescent="0.3">
      <c r="A728" t="s">
        <v>2424</v>
      </c>
      <c r="B728">
        <v>1</v>
      </c>
    </row>
    <row r="729" spans="1:2" x14ac:dyDescent="0.3">
      <c r="A729" t="s">
        <v>2427</v>
      </c>
      <c r="B729">
        <v>1</v>
      </c>
    </row>
    <row r="730" spans="1:2" x14ac:dyDescent="0.3">
      <c r="A730" t="s">
        <v>2428</v>
      </c>
      <c r="B730">
        <v>1</v>
      </c>
    </row>
    <row r="731" spans="1:2" x14ac:dyDescent="0.3">
      <c r="A731" t="s">
        <v>2844</v>
      </c>
      <c r="B731">
        <v>1</v>
      </c>
    </row>
    <row r="732" spans="1:2" x14ac:dyDescent="0.3">
      <c r="A732" t="s">
        <v>2432</v>
      </c>
      <c r="B732">
        <v>1</v>
      </c>
    </row>
    <row r="733" spans="1:2" x14ac:dyDescent="0.3">
      <c r="A733" t="s">
        <v>2434</v>
      </c>
      <c r="B733">
        <v>1</v>
      </c>
    </row>
    <row r="734" spans="1:2" x14ac:dyDescent="0.3">
      <c r="A734" t="s">
        <v>2438</v>
      </c>
      <c r="B734">
        <v>1</v>
      </c>
    </row>
    <row r="735" spans="1:2" x14ac:dyDescent="0.3">
      <c r="A735" t="s">
        <v>2439</v>
      </c>
      <c r="B735">
        <v>1</v>
      </c>
    </row>
    <row r="736" spans="1:2" x14ac:dyDescent="0.3">
      <c r="A736" t="s">
        <v>2441</v>
      </c>
      <c r="B736">
        <v>1</v>
      </c>
    </row>
    <row r="737" spans="1:2" x14ac:dyDescent="0.3">
      <c r="A737" t="s">
        <v>2443</v>
      </c>
      <c r="B737">
        <v>1</v>
      </c>
    </row>
    <row r="738" spans="1:2" x14ac:dyDescent="0.3">
      <c r="A738" t="s">
        <v>2445</v>
      </c>
      <c r="B738">
        <v>1</v>
      </c>
    </row>
    <row r="739" spans="1:2" x14ac:dyDescent="0.3">
      <c r="A739" t="s">
        <v>2447</v>
      </c>
      <c r="B739">
        <v>1</v>
      </c>
    </row>
    <row r="740" spans="1:2" x14ac:dyDescent="0.3">
      <c r="A740" t="s">
        <v>2449</v>
      </c>
      <c r="B740">
        <v>1</v>
      </c>
    </row>
    <row r="741" spans="1:2" x14ac:dyDescent="0.3">
      <c r="A741" t="s">
        <v>2451</v>
      </c>
      <c r="B741">
        <v>1</v>
      </c>
    </row>
    <row r="742" spans="1:2" x14ac:dyDescent="0.3">
      <c r="A742" t="s">
        <v>2454</v>
      </c>
      <c r="B742">
        <v>1</v>
      </c>
    </row>
    <row r="743" spans="1:2" x14ac:dyDescent="0.3">
      <c r="A743" t="s">
        <v>2456</v>
      </c>
      <c r="B743">
        <v>1</v>
      </c>
    </row>
    <row r="744" spans="1:2" x14ac:dyDescent="0.3">
      <c r="A744" t="s">
        <v>2458</v>
      </c>
      <c r="B744">
        <v>1</v>
      </c>
    </row>
    <row r="745" spans="1:2" x14ac:dyDescent="0.3">
      <c r="A745" t="s">
        <v>2460</v>
      </c>
      <c r="B745">
        <v>1</v>
      </c>
    </row>
    <row r="746" spans="1:2" x14ac:dyDescent="0.3">
      <c r="A746" t="s">
        <v>2845</v>
      </c>
      <c r="B746">
        <v>1</v>
      </c>
    </row>
    <row r="747" spans="1:2" x14ac:dyDescent="0.3">
      <c r="A747" t="s">
        <v>2464</v>
      </c>
      <c r="B747">
        <v>1</v>
      </c>
    </row>
    <row r="748" spans="1:2" x14ac:dyDescent="0.3">
      <c r="A748" t="s">
        <v>2468</v>
      </c>
      <c r="B748">
        <v>1</v>
      </c>
    </row>
    <row r="749" spans="1:2" x14ac:dyDescent="0.3">
      <c r="A749" t="s">
        <v>2469</v>
      </c>
      <c r="B749">
        <v>1</v>
      </c>
    </row>
    <row r="750" spans="1:2" x14ac:dyDescent="0.3">
      <c r="A750" t="s">
        <v>2473</v>
      </c>
      <c r="B750">
        <v>1</v>
      </c>
    </row>
    <row r="751" spans="1:2" x14ac:dyDescent="0.3">
      <c r="A751" t="s">
        <v>2846</v>
      </c>
      <c r="B751">
        <v>1</v>
      </c>
    </row>
    <row r="752" spans="1:2" x14ac:dyDescent="0.3">
      <c r="A752" t="s">
        <v>2847</v>
      </c>
      <c r="B752">
        <v>1</v>
      </c>
    </row>
    <row r="753" spans="1:2" x14ac:dyDescent="0.3">
      <c r="A753" t="s">
        <v>2479</v>
      </c>
      <c r="B753">
        <v>1</v>
      </c>
    </row>
    <row r="754" spans="1:2" x14ac:dyDescent="0.3">
      <c r="A754" t="s">
        <v>2481</v>
      </c>
      <c r="B754">
        <v>1</v>
      </c>
    </row>
    <row r="755" spans="1:2" x14ac:dyDescent="0.3">
      <c r="A755" t="s">
        <v>2483</v>
      </c>
      <c r="B755">
        <v>1</v>
      </c>
    </row>
    <row r="756" spans="1:2" x14ac:dyDescent="0.3">
      <c r="A756" t="s">
        <v>2848</v>
      </c>
      <c r="B756">
        <v>1</v>
      </c>
    </row>
    <row r="757" spans="1:2" x14ac:dyDescent="0.3">
      <c r="A757" t="s">
        <v>2488</v>
      </c>
      <c r="B757">
        <v>1</v>
      </c>
    </row>
    <row r="758" spans="1:2" x14ac:dyDescent="0.3">
      <c r="A758" t="s">
        <v>2491</v>
      </c>
      <c r="B758">
        <v>1</v>
      </c>
    </row>
    <row r="759" spans="1:2" x14ac:dyDescent="0.3">
      <c r="A759" t="s">
        <v>2493</v>
      </c>
      <c r="B759">
        <v>1</v>
      </c>
    </row>
    <row r="760" spans="1:2" x14ac:dyDescent="0.3">
      <c r="A760" t="s">
        <v>2849</v>
      </c>
      <c r="B760">
        <v>1</v>
      </c>
    </row>
    <row r="761" spans="1:2" x14ac:dyDescent="0.3">
      <c r="A761" t="s">
        <v>2498</v>
      </c>
      <c r="B761">
        <v>1</v>
      </c>
    </row>
    <row r="762" spans="1:2" x14ac:dyDescent="0.3">
      <c r="A762" t="s">
        <v>2850</v>
      </c>
      <c r="B762">
        <v>1</v>
      </c>
    </row>
    <row r="763" spans="1:2" x14ac:dyDescent="0.3">
      <c r="A763" t="s">
        <v>2500</v>
      </c>
      <c r="B763">
        <v>1</v>
      </c>
    </row>
    <row r="764" spans="1:2" x14ac:dyDescent="0.3">
      <c r="A764" t="s">
        <v>2501</v>
      </c>
      <c r="B764">
        <v>1</v>
      </c>
    </row>
    <row r="765" spans="1:2" x14ac:dyDescent="0.3">
      <c r="A765" t="s">
        <v>2503</v>
      </c>
      <c r="B765">
        <v>1</v>
      </c>
    </row>
    <row r="766" spans="1:2" x14ac:dyDescent="0.3">
      <c r="A766" t="s">
        <v>2504</v>
      </c>
      <c r="B766">
        <v>1</v>
      </c>
    </row>
    <row r="767" spans="1:2" x14ac:dyDescent="0.3">
      <c r="A767" t="s">
        <v>2505</v>
      </c>
      <c r="B767">
        <v>1</v>
      </c>
    </row>
    <row r="768" spans="1:2" x14ac:dyDescent="0.3">
      <c r="A768" t="s">
        <v>2507</v>
      </c>
      <c r="B768">
        <v>1</v>
      </c>
    </row>
    <row r="769" spans="1:2" x14ac:dyDescent="0.3">
      <c r="A769" t="s">
        <v>2508</v>
      </c>
      <c r="B769">
        <v>1</v>
      </c>
    </row>
    <row r="770" spans="1:2" x14ac:dyDescent="0.3">
      <c r="A770" t="s">
        <v>2509</v>
      </c>
      <c r="B770">
        <v>1</v>
      </c>
    </row>
    <row r="771" spans="1:2" x14ac:dyDescent="0.3">
      <c r="A771" t="s">
        <v>2511</v>
      </c>
      <c r="B771">
        <v>1</v>
      </c>
    </row>
    <row r="772" spans="1:2" x14ac:dyDescent="0.3">
      <c r="A772" t="s">
        <v>2513</v>
      </c>
      <c r="B772">
        <v>1</v>
      </c>
    </row>
    <row r="773" spans="1:2" x14ac:dyDescent="0.3">
      <c r="A773" t="s">
        <v>2520</v>
      </c>
      <c r="B773">
        <v>1</v>
      </c>
    </row>
    <row r="774" spans="1:2" x14ac:dyDescent="0.3">
      <c r="A774" t="s">
        <v>2521</v>
      </c>
      <c r="B774">
        <v>1</v>
      </c>
    </row>
    <row r="775" spans="1:2" x14ac:dyDescent="0.3">
      <c r="A775" t="s">
        <v>2525</v>
      </c>
      <c r="B775">
        <v>1</v>
      </c>
    </row>
    <row r="776" spans="1:2" x14ac:dyDescent="0.3">
      <c r="A776" t="s">
        <v>2528</v>
      </c>
      <c r="B776">
        <v>1</v>
      </c>
    </row>
    <row r="777" spans="1:2" x14ac:dyDescent="0.3">
      <c r="A777" t="s">
        <v>2531</v>
      </c>
      <c r="B777">
        <v>1</v>
      </c>
    </row>
    <row r="778" spans="1:2" x14ac:dyDescent="0.3">
      <c r="A778" t="s">
        <v>2533</v>
      </c>
      <c r="B778">
        <v>1</v>
      </c>
    </row>
    <row r="779" spans="1:2" x14ac:dyDescent="0.3">
      <c r="A779" t="s">
        <v>2535</v>
      </c>
      <c r="B779">
        <v>1</v>
      </c>
    </row>
    <row r="780" spans="1:2" x14ac:dyDescent="0.3">
      <c r="A780" t="s">
        <v>2538</v>
      </c>
      <c r="B780">
        <v>1</v>
      </c>
    </row>
    <row r="781" spans="1:2" x14ac:dyDescent="0.3">
      <c r="A781" t="s">
        <v>2540</v>
      </c>
      <c r="B781">
        <v>1</v>
      </c>
    </row>
    <row r="782" spans="1:2" x14ac:dyDescent="0.3">
      <c r="A782" t="s">
        <v>2544</v>
      </c>
      <c r="B782">
        <v>1</v>
      </c>
    </row>
    <row r="783" spans="1:2" x14ac:dyDescent="0.3">
      <c r="A783" t="s">
        <v>2851</v>
      </c>
      <c r="B783">
        <v>1</v>
      </c>
    </row>
    <row r="784" spans="1:2" x14ac:dyDescent="0.3">
      <c r="A784" t="s">
        <v>2591</v>
      </c>
      <c r="B784">
        <v>1</v>
      </c>
    </row>
  </sheetData>
  <autoFilter ref="A1:B1" xr:uid="{00000000-0009-0000-0000-000009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F6434"/>
  <sheetViews>
    <sheetView workbookViewId="0">
      <selection activeCell="E17" sqref="E17"/>
    </sheetView>
  </sheetViews>
  <sheetFormatPr defaultRowHeight="14.4" x14ac:dyDescent="0.3"/>
  <cols>
    <col min="1" max="1" width="12.88671875" bestFit="1" customWidth="1"/>
    <col min="2" max="2" width="9.5546875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9765</v>
      </c>
      <c r="D2" t="str">
        <f t="shared" ref="D2:D16" si="0">IF(LEFT(A2,2)="SP",MID(A2,4,4),IF(LEFT(A2,1)="X",MID(A2,3,4),""))</f>
        <v/>
      </c>
      <c r="E2" t="str">
        <f t="shared" ref="E2:E16" si="1">IF(OR(LEFT(A2,2)="SP",AND(LEFT(A2,1)="X",LEN(A2)&gt;9)),RIGHT(A2,1),"")</f>
        <v/>
      </c>
      <c r="F2" t="str">
        <f t="shared" ref="F2:F16" si="2">IF(LEFT(A2,1)="X",MID(A2,8,2),"")</f>
        <v/>
      </c>
    </row>
    <row r="3" spans="1:6" x14ac:dyDescent="0.3">
      <c r="A3" t="s">
        <v>176</v>
      </c>
      <c r="B3" s="38">
        <v>1</v>
      </c>
      <c r="D3" t="str">
        <f t="shared" si="0"/>
        <v/>
      </c>
      <c r="E3" t="str">
        <f t="shared" si="1"/>
        <v/>
      </c>
      <c r="F3" t="str">
        <f t="shared" si="2"/>
        <v/>
      </c>
    </row>
    <row r="4" spans="1:6" x14ac:dyDescent="0.3">
      <c r="A4" t="s">
        <v>937</v>
      </c>
      <c r="B4">
        <v>2</v>
      </c>
      <c r="D4" t="str">
        <f t="shared" si="0"/>
        <v/>
      </c>
      <c r="E4" t="str">
        <f t="shared" si="1"/>
        <v/>
      </c>
      <c r="F4" t="str">
        <f t="shared" si="2"/>
        <v/>
      </c>
    </row>
    <row r="5" spans="1:6" x14ac:dyDescent="0.3">
      <c r="A5" t="s">
        <v>934</v>
      </c>
      <c r="B5">
        <v>24</v>
      </c>
      <c r="D5" t="str">
        <f t="shared" si="0"/>
        <v/>
      </c>
      <c r="E5" t="str">
        <f t="shared" si="1"/>
        <v/>
      </c>
      <c r="F5" t="str">
        <f t="shared" si="2"/>
        <v/>
      </c>
    </row>
    <row r="6" spans="1:6" x14ac:dyDescent="0.3">
      <c r="A6" t="s">
        <v>944</v>
      </c>
      <c r="B6">
        <v>40</v>
      </c>
      <c r="D6" t="str">
        <f t="shared" si="0"/>
        <v/>
      </c>
      <c r="E6" t="str">
        <f t="shared" si="1"/>
        <v/>
      </c>
      <c r="F6" t="str">
        <f t="shared" si="2"/>
        <v/>
      </c>
    </row>
    <row r="7" spans="1:6" x14ac:dyDescent="0.3">
      <c r="A7" t="s">
        <v>938</v>
      </c>
      <c r="B7">
        <v>3</v>
      </c>
      <c r="D7" t="str">
        <f t="shared" si="0"/>
        <v/>
      </c>
      <c r="E7" t="str">
        <f t="shared" si="1"/>
        <v/>
      </c>
      <c r="F7" t="str">
        <f t="shared" si="2"/>
        <v/>
      </c>
    </row>
    <row r="8" spans="1:6" x14ac:dyDescent="0.3">
      <c r="A8" t="s">
        <v>2552</v>
      </c>
      <c r="B8">
        <v>9385</v>
      </c>
      <c r="D8" t="str">
        <f t="shared" si="0"/>
        <v/>
      </c>
      <c r="E8" t="str">
        <f t="shared" si="1"/>
        <v/>
      </c>
      <c r="F8" t="str">
        <f t="shared" si="2"/>
        <v/>
      </c>
    </row>
    <row r="9" spans="1:6" x14ac:dyDescent="0.3">
      <c r="A9" t="s">
        <v>2550</v>
      </c>
      <c r="B9">
        <v>234</v>
      </c>
      <c r="D9" t="str">
        <f t="shared" si="0"/>
        <v/>
      </c>
      <c r="E9" t="str">
        <f t="shared" si="1"/>
        <v/>
      </c>
      <c r="F9" t="str">
        <f t="shared" si="2"/>
        <v/>
      </c>
    </row>
    <row r="10" spans="1:6" x14ac:dyDescent="0.3">
      <c r="A10" t="s">
        <v>2551</v>
      </c>
      <c r="B10">
        <v>146</v>
      </c>
      <c r="D10" t="str">
        <f t="shared" si="0"/>
        <v/>
      </c>
      <c r="E10" t="str">
        <f t="shared" si="1"/>
        <v/>
      </c>
      <c r="F10" t="str">
        <f t="shared" si="2"/>
        <v/>
      </c>
    </row>
    <row r="11" spans="1:6" x14ac:dyDescent="0.3">
      <c r="A11" t="s">
        <v>935</v>
      </c>
      <c r="B11">
        <v>1</v>
      </c>
      <c r="D11" t="str">
        <f t="shared" si="0"/>
        <v/>
      </c>
      <c r="E11" t="str">
        <f t="shared" si="1"/>
        <v/>
      </c>
      <c r="F11" t="str">
        <f t="shared" si="2"/>
        <v/>
      </c>
    </row>
    <row r="12" spans="1:6" x14ac:dyDescent="0.3">
      <c r="A12" t="s">
        <v>945</v>
      </c>
      <c r="B12">
        <v>5</v>
      </c>
      <c r="D12" t="str">
        <f t="shared" si="0"/>
        <v/>
      </c>
      <c r="E12" t="str">
        <f t="shared" si="1"/>
        <v/>
      </c>
      <c r="F12" t="str">
        <f t="shared" si="2"/>
        <v/>
      </c>
    </row>
    <row r="13" spans="1:6" x14ac:dyDescent="0.3">
      <c r="A13" t="s">
        <v>939</v>
      </c>
      <c r="B13">
        <v>1</v>
      </c>
      <c r="D13" t="str">
        <f t="shared" si="0"/>
        <v/>
      </c>
      <c r="E13" t="str">
        <f t="shared" si="1"/>
        <v/>
      </c>
      <c r="F13" t="str">
        <f t="shared" si="2"/>
        <v/>
      </c>
    </row>
    <row r="14" spans="1:6" x14ac:dyDescent="0.3">
      <c r="A14" t="s">
        <v>942</v>
      </c>
      <c r="B14">
        <v>1</v>
      </c>
      <c r="D14" t="str">
        <f t="shared" si="0"/>
        <v/>
      </c>
      <c r="E14" t="str">
        <f t="shared" si="1"/>
        <v/>
      </c>
      <c r="F14" t="str">
        <f t="shared" si="2"/>
        <v/>
      </c>
    </row>
    <row r="15" spans="1:6" x14ac:dyDescent="0.3">
      <c r="A15" t="s">
        <v>950</v>
      </c>
      <c r="B15">
        <v>2</v>
      </c>
      <c r="D15" t="str">
        <f t="shared" si="0"/>
        <v/>
      </c>
      <c r="E15" t="str">
        <f t="shared" si="1"/>
        <v/>
      </c>
      <c r="F15" t="str">
        <f t="shared" si="2"/>
        <v/>
      </c>
    </row>
    <row r="16" spans="1:6" x14ac:dyDescent="0.3">
      <c r="A16" t="s">
        <v>2553</v>
      </c>
      <c r="B16">
        <v>2</v>
      </c>
      <c r="D16" t="str">
        <f t="shared" si="0"/>
        <v/>
      </c>
      <c r="E16" t="str">
        <f t="shared" si="1"/>
        <v/>
      </c>
      <c r="F16" t="str">
        <f t="shared" si="2"/>
        <v/>
      </c>
    </row>
    <row r="17" spans="1:6" x14ac:dyDescent="0.3">
      <c r="A17" t="s">
        <v>976</v>
      </c>
      <c r="B17">
        <v>1</v>
      </c>
      <c r="D17" t="str">
        <f t="shared" ref="D17:D48" si="3">IF(LEFT(A17,2)="SP",MID(A17,4,4),IF(LEFT(A17,1)="X",MID(A17,3,4),""))</f>
        <v>0007</v>
      </c>
      <c r="E17" t="str">
        <f t="shared" ref="E17:E48" si="4">IF(OR(LEFT(A17,2)="SP",AND(LEFT(A17,1)="X",LEN(A17)&gt;9)),RIGHT(A17,1),"")</f>
        <v>2</v>
      </c>
      <c r="F17" t="str">
        <f>IF(LEFT(A17,1)="X",MID(A17,8,2),"")</f>
        <v/>
      </c>
    </row>
    <row r="18" spans="1:6" x14ac:dyDescent="0.3">
      <c r="A18" t="s">
        <v>978</v>
      </c>
      <c r="B18">
        <v>1</v>
      </c>
      <c r="D18" t="str">
        <f t="shared" si="3"/>
        <v>0008</v>
      </c>
      <c r="E18" t="str">
        <f t="shared" si="4"/>
        <v>2</v>
      </c>
      <c r="F18" t="str">
        <f t="shared" ref="F18:F81" si="5">IF(LEFT(A18,1)="X",MID(A18,8,2),"")</f>
        <v/>
      </c>
    </row>
    <row r="19" spans="1:6" x14ac:dyDescent="0.3">
      <c r="A19" t="s">
        <v>979</v>
      </c>
      <c r="B19">
        <v>1</v>
      </c>
      <c r="D19" t="str">
        <f t="shared" si="3"/>
        <v>0009</v>
      </c>
      <c r="E19" t="str">
        <f t="shared" si="4"/>
        <v>0</v>
      </c>
      <c r="F19" t="str">
        <f t="shared" si="5"/>
        <v/>
      </c>
    </row>
    <row r="20" spans="1:6" x14ac:dyDescent="0.3">
      <c r="A20" t="s">
        <v>981</v>
      </c>
      <c r="B20">
        <v>1</v>
      </c>
      <c r="D20" t="str">
        <f t="shared" si="3"/>
        <v>0010</v>
      </c>
      <c r="E20" t="str">
        <f t="shared" si="4"/>
        <v>2</v>
      </c>
      <c r="F20" t="str">
        <f t="shared" si="5"/>
        <v/>
      </c>
    </row>
    <row r="21" spans="1:6" x14ac:dyDescent="0.3">
      <c r="A21" t="s">
        <v>983</v>
      </c>
      <c r="B21">
        <v>1</v>
      </c>
      <c r="D21" t="str">
        <f t="shared" si="3"/>
        <v>0015</v>
      </c>
      <c r="E21" t="str">
        <f t="shared" si="4"/>
        <v>2</v>
      </c>
      <c r="F21" t="str">
        <f t="shared" si="5"/>
        <v/>
      </c>
    </row>
    <row r="22" spans="1:6" x14ac:dyDescent="0.3">
      <c r="A22" t="s">
        <v>985</v>
      </c>
      <c r="B22">
        <v>1</v>
      </c>
      <c r="D22" t="str">
        <f t="shared" si="3"/>
        <v>0019</v>
      </c>
      <c r="E22" t="str">
        <f t="shared" si="4"/>
        <v>2</v>
      </c>
      <c r="F22" t="str">
        <f t="shared" si="5"/>
        <v/>
      </c>
    </row>
    <row r="23" spans="1:6" x14ac:dyDescent="0.3">
      <c r="A23" t="s">
        <v>986</v>
      </c>
      <c r="B23">
        <v>1</v>
      </c>
      <c r="D23" t="str">
        <f t="shared" si="3"/>
        <v>0020</v>
      </c>
      <c r="E23" t="str">
        <f t="shared" si="4"/>
        <v>0</v>
      </c>
      <c r="F23" t="str">
        <f t="shared" si="5"/>
        <v/>
      </c>
    </row>
    <row r="24" spans="1:6" x14ac:dyDescent="0.3">
      <c r="A24" t="s">
        <v>988</v>
      </c>
      <c r="B24">
        <v>1</v>
      </c>
      <c r="D24" t="str">
        <f t="shared" si="3"/>
        <v>0021</v>
      </c>
      <c r="E24" t="str">
        <f t="shared" si="4"/>
        <v>2</v>
      </c>
      <c r="F24" t="str">
        <f t="shared" si="5"/>
        <v/>
      </c>
    </row>
    <row r="25" spans="1:6" x14ac:dyDescent="0.3">
      <c r="A25" t="s">
        <v>990</v>
      </c>
      <c r="B25">
        <v>1</v>
      </c>
      <c r="D25" t="str">
        <f t="shared" si="3"/>
        <v>0022</v>
      </c>
      <c r="E25" t="str">
        <f t="shared" si="4"/>
        <v>2</v>
      </c>
      <c r="F25" t="str">
        <f t="shared" si="5"/>
        <v/>
      </c>
    </row>
    <row r="26" spans="1:6" x14ac:dyDescent="0.3">
      <c r="A26" t="s">
        <v>992</v>
      </c>
      <c r="B26">
        <v>1</v>
      </c>
      <c r="D26" t="str">
        <f t="shared" si="3"/>
        <v>0023</v>
      </c>
      <c r="E26" t="str">
        <f t="shared" si="4"/>
        <v>2</v>
      </c>
      <c r="F26" t="str">
        <f t="shared" si="5"/>
        <v/>
      </c>
    </row>
    <row r="27" spans="1:6" x14ac:dyDescent="0.3">
      <c r="A27" t="s">
        <v>994</v>
      </c>
      <c r="B27">
        <v>1</v>
      </c>
      <c r="D27" t="str">
        <f t="shared" si="3"/>
        <v>0024</v>
      </c>
      <c r="E27" t="str">
        <f t="shared" si="4"/>
        <v>2</v>
      </c>
      <c r="F27" t="str">
        <f t="shared" si="5"/>
        <v/>
      </c>
    </row>
    <row r="28" spans="1:6" x14ac:dyDescent="0.3">
      <c r="A28" t="s">
        <v>996</v>
      </c>
      <c r="B28">
        <v>1</v>
      </c>
      <c r="D28" t="str">
        <f t="shared" si="3"/>
        <v>0030</v>
      </c>
      <c r="E28" t="str">
        <f t="shared" si="4"/>
        <v>2</v>
      </c>
      <c r="F28" t="str">
        <f t="shared" si="5"/>
        <v/>
      </c>
    </row>
    <row r="29" spans="1:6" x14ac:dyDescent="0.3">
      <c r="A29" t="s">
        <v>998</v>
      </c>
      <c r="B29">
        <v>1</v>
      </c>
      <c r="D29" t="str">
        <f t="shared" si="3"/>
        <v>0031</v>
      </c>
      <c r="E29" t="str">
        <f t="shared" si="4"/>
        <v>2</v>
      </c>
      <c r="F29" t="str">
        <f t="shared" si="5"/>
        <v/>
      </c>
    </row>
    <row r="30" spans="1:6" x14ac:dyDescent="0.3">
      <c r="A30" t="s">
        <v>999</v>
      </c>
      <c r="B30">
        <v>1</v>
      </c>
      <c r="D30" t="str">
        <f t="shared" si="3"/>
        <v>0032</v>
      </c>
      <c r="E30" t="str">
        <f t="shared" si="4"/>
        <v>0</v>
      </c>
      <c r="F30" t="str">
        <f t="shared" si="5"/>
        <v/>
      </c>
    </row>
    <row r="31" spans="1:6" x14ac:dyDescent="0.3">
      <c r="A31" t="s">
        <v>1000</v>
      </c>
      <c r="B31">
        <v>1</v>
      </c>
      <c r="D31" t="str">
        <f t="shared" si="3"/>
        <v>0033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1001</v>
      </c>
      <c r="B32">
        <v>1</v>
      </c>
      <c r="D32" t="str">
        <f t="shared" si="3"/>
        <v>0034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1003</v>
      </c>
      <c r="B33">
        <v>1</v>
      </c>
      <c r="D33" t="str">
        <f t="shared" si="3"/>
        <v>0046</v>
      </c>
      <c r="E33" t="str">
        <f t="shared" si="4"/>
        <v>2</v>
      </c>
      <c r="F33" t="str">
        <f t="shared" si="5"/>
        <v/>
      </c>
    </row>
    <row r="34" spans="1:6" x14ac:dyDescent="0.3">
      <c r="A34" t="s">
        <v>1005</v>
      </c>
      <c r="B34">
        <v>1</v>
      </c>
      <c r="D34" t="str">
        <f t="shared" si="3"/>
        <v>0047</v>
      </c>
      <c r="E34" t="str">
        <f t="shared" si="4"/>
        <v>2</v>
      </c>
      <c r="F34" t="str">
        <f t="shared" si="5"/>
        <v/>
      </c>
    </row>
    <row r="35" spans="1:6" x14ac:dyDescent="0.3">
      <c r="A35" t="s">
        <v>1007</v>
      </c>
      <c r="B35">
        <v>1</v>
      </c>
      <c r="D35" t="str">
        <f t="shared" si="3"/>
        <v>0048</v>
      </c>
      <c r="E35" t="str">
        <f t="shared" si="4"/>
        <v>2</v>
      </c>
      <c r="F35" t="str">
        <f t="shared" si="5"/>
        <v/>
      </c>
    </row>
    <row r="36" spans="1:6" x14ac:dyDescent="0.3">
      <c r="A36" t="s">
        <v>1008</v>
      </c>
      <c r="B36">
        <v>1</v>
      </c>
      <c r="D36" t="str">
        <f t="shared" si="3"/>
        <v>0049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1009</v>
      </c>
      <c r="B37">
        <v>1</v>
      </c>
      <c r="D37" t="str">
        <f t="shared" si="3"/>
        <v>0050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1010</v>
      </c>
      <c r="B38">
        <v>1</v>
      </c>
      <c r="D38" t="str">
        <f t="shared" si="3"/>
        <v>0059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1011</v>
      </c>
      <c r="B39">
        <v>1</v>
      </c>
      <c r="D39" t="str">
        <f t="shared" si="3"/>
        <v>0060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1012</v>
      </c>
      <c r="B40">
        <v>1</v>
      </c>
      <c r="D40" t="str">
        <f t="shared" si="3"/>
        <v>0063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1013</v>
      </c>
      <c r="B41">
        <v>1</v>
      </c>
      <c r="D41" t="str">
        <f t="shared" si="3"/>
        <v>0064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1015</v>
      </c>
      <c r="B42">
        <v>1</v>
      </c>
      <c r="D42" t="str">
        <f t="shared" si="3"/>
        <v>0074</v>
      </c>
      <c r="E42" t="str">
        <f t="shared" si="4"/>
        <v>2</v>
      </c>
      <c r="F42" t="str">
        <f t="shared" si="5"/>
        <v/>
      </c>
    </row>
    <row r="43" spans="1:6" x14ac:dyDescent="0.3">
      <c r="A43" t="s">
        <v>1016</v>
      </c>
      <c r="B43">
        <v>1</v>
      </c>
      <c r="D43" t="str">
        <f t="shared" si="3"/>
        <v>0075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1019</v>
      </c>
      <c r="B44">
        <v>1</v>
      </c>
      <c r="D44" t="str">
        <f t="shared" si="3"/>
        <v>0076</v>
      </c>
      <c r="E44" t="str">
        <f t="shared" si="4"/>
        <v>2</v>
      </c>
      <c r="F44" t="str">
        <f t="shared" si="5"/>
        <v/>
      </c>
    </row>
    <row r="45" spans="1:6" x14ac:dyDescent="0.3">
      <c r="A45" t="s">
        <v>1020</v>
      </c>
      <c r="B45">
        <v>1</v>
      </c>
      <c r="D45" t="str">
        <f t="shared" si="3"/>
        <v>0077</v>
      </c>
      <c r="E45" t="str">
        <f t="shared" si="4"/>
        <v>0</v>
      </c>
      <c r="F45" t="str">
        <f t="shared" si="5"/>
        <v/>
      </c>
    </row>
    <row r="46" spans="1:6" x14ac:dyDescent="0.3">
      <c r="A46" t="s">
        <v>1021</v>
      </c>
      <c r="B46">
        <v>1</v>
      </c>
      <c r="D46" t="str">
        <f t="shared" si="3"/>
        <v>0078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1022</v>
      </c>
      <c r="B47">
        <v>1</v>
      </c>
      <c r="D47" t="str">
        <f t="shared" si="3"/>
        <v>0079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1024</v>
      </c>
      <c r="B48">
        <v>1</v>
      </c>
      <c r="D48" t="str">
        <f t="shared" si="3"/>
        <v>0080</v>
      </c>
      <c r="E48" t="str">
        <f t="shared" si="4"/>
        <v>2</v>
      </c>
      <c r="F48" t="str">
        <f t="shared" si="5"/>
        <v/>
      </c>
    </row>
    <row r="49" spans="1:6" x14ac:dyDescent="0.3">
      <c r="A49" t="s">
        <v>1026</v>
      </c>
      <c r="B49">
        <v>1</v>
      </c>
      <c r="D49" t="str">
        <f t="shared" ref="D49:D80" si="6">IF(LEFT(A49,2)="SP",MID(A49,4,4),IF(LEFT(A49,1)="X",MID(A49,3,4),""))</f>
        <v>0081</v>
      </c>
      <c r="E49" t="str">
        <f t="shared" ref="E49:E80" si="7">IF(OR(LEFT(A49,2)="SP",AND(LEFT(A49,1)="X",LEN(A49)&gt;9)),RIGHT(A49,1),"")</f>
        <v>2</v>
      </c>
      <c r="F49" t="str">
        <f t="shared" si="5"/>
        <v/>
      </c>
    </row>
    <row r="50" spans="1:6" x14ac:dyDescent="0.3">
      <c r="A50" t="s">
        <v>1028</v>
      </c>
      <c r="B50">
        <v>1</v>
      </c>
      <c r="D50" t="str">
        <f t="shared" si="6"/>
        <v>0082</v>
      </c>
      <c r="E50" t="str">
        <f t="shared" si="7"/>
        <v>2</v>
      </c>
      <c r="F50" t="str">
        <f t="shared" si="5"/>
        <v/>
      </c>
    </row>
    <row r="51" spans="1:6" x14ac:dyDescent="0.3">
      <c r="A51" t="s">
        <v>1030</v>
      </c>
      <c r="B51">
        <v>1</v>
      </c>
      <c r="D51" t="str">
        <f t="shared" si="6"/>
        <v>0083</v>
      </c>
      <c r="E51" t="str">
        <f t="shared" si="7"/>
        <v>2</v>
      </c>
      <c r="F51" t="str">
        <f t="shared" si="5"/>
        <v/>
      </c>
    </row>
    <row r="52" spans="1:6" x14ac:dyDescent="0.3">
      <c r="A52" t="s">
        <v>1032</v>
      </c>
      <c r="B52">
        <v>1</v>
      </c>
      <c r="D52" t="str">
        <f t="shared" si="6"/>
        <v>0087</v>
      </c>
      <c r="E52" t="str">
        <f t="shared" si="7"/>
        <v>2</v>
      </c>
      <c r="F52" t="str">
        <f t="shared" si="5"/>
        <v/>
      </c>
    </row>
    <row r="53" spans="1:6" x14ac:dyDescent="0.3">
      <c r="A53" t="s">
        <v>1033</v>
      </c>
      <c r="B53">
        <v>1</v>
      </c>
      <c r="D53" t="str">
        <f t="shared" si="6"/>
        <v>0088</v>
      </c>
      <c r="E53" t="str">
        <f t="shared" si="7"/>
        <v>0</v>
      </c>
      <c r="F53" t="str">
        <f t="shared" si="5"/>
        <v/>
      </c>
    </row>
    <row r="54" spans="1:6" x14ac:dyDescent="0.3">
      <c r="A54" t="s">
        <v>1035</v>
      </c>
      <c r="B54">
        <v>1</v>
      </c>
      <c r="D54" t="str">
        <f t="shared" si="6"/>
        <v>0089</v>
      </c>
      <c r="E54" t="str">
        <f t="shared" si="7"/>
        <v>2</v>
      </c>
      <c r="F54" t="str">
        <f t="shared" si="5"/>
        <v/>
      </c>
    </row>
    <row r="55" spans="1:6" x14ac:dyDescent="0.3">
      <c r="A55" t="s">
        <v>1036</v>
      </c>
      <c r="B55">
        <v>1</v>
      </c>
      <c r="D55" t="str">
        <f t="shared" si="6"/>
        <v>0090</v>
      </c>
      <c r="E55" t="str">
        <f t="shared" si="7"/>
        <v>0</v>
      </c>
      <c r="F55" t="str">
        <f t="shared" si="5"/>
        <v/>
      </c>
    </row>
    <row r="56" spans="1:6" x14ac:dyDescent="0.3">
      <c r="A56" t="s">
        <v>1038</v>
      </c>
      <c r="B56">
        <v>1</v>
      </c>
      <c r="D56" t="str">
        <f t="shared" si="6"/>
        <v>0091</v>
      </c>
      <c r="E56" t="str">
        <f t="shared" si="7"/>
        <v>2</v>
      </c>
      <c r="F56" t="str">
        <f t="shared" si="5"/>
        <v/>
      </c>
    </row>
    <row r="57" spans="1:6" x14ac:dyDescent="0.3">
      <c r="A57" t="s">
        <v>1039</v>
      </c>
      <c r="B57">
        <v>1</v>
      </c>
      <c r="D57" t="str">
        <f t="shared" si="6"/>
        <v>0100</v>
      </c>
      <c r="E57" t="str">
        <f t="shared" si="7"/>
        <v>0</v>
      </c>
      <c r="F57" t="str">
        <f t="shared" si="5"/>
        <v/>
      </c>
    </row>
    <row r="58" spans="1:6" x14ac:dyDescent="0.3">
      <c r="A58" t="s">
        <v>1041</v>
      </c>
      <c r="B58">
        <v>1</v>
      </c>
      <c r="D58" t="str">
        <f t="shared" si="6"/>
        <v>0103</v>
      </c>
      <c r="E58" t="str">
        <f t="shared" si="7"/>
        <v>2</v>
      </c>
      <c r="F58" t="str">
        <f t="shared" si="5"/>
        <v/>
      </c>
    </row>
    <row r="59" spans="1:6" x14ac:dyDescent="0.3">
      <c r="A59" t="s">
        <v>1042</v>
      </c>
      <c r="B59">
        <v>1</v>
      </c>
      <c r="D59" t="str">
        <f t="shared" si="6"/>
        <v>0104</v>
      </c>
      <c r="E59" t="str">
        <f t="shared" si="7"/>
        <v>0</v>
      </c>
      <c r="F59" t="str">
        <f t="shared" si="5"/>
        <v/>
      </c>
    </row>
    <row r="60" spans="1:6" x14ac:dyDescent="0.3">
      <c r="A60" t="s">
        <v>1043</v>
      </c>
      <c r="B60">
        <v>1</v>
      </c>
      <c r="D60" t="str">
        <f t="shared" si="6"/>
        <v>0105</v>
      </c>
      <c r="E60" t="str">
        <f t="shared" si="7"/>
        <v>0</v>
      </c>
      <c r="F60" t="str">
        <f t="shared" si="5"/>
        <v/>
      </c>
    </row>
    <row r="61" spans="1:6" x14ac:dyDescent="0.3">
      <c r="A61" t="s">
        <v>1044</v>
      </c>
      <c r="B61">
        <v>1</v>
      </c>
      <c r="D61" t="str">
        <f t="shared" si="6"/>
        <v>0106</v>
      </c>
      <c r="E61" t="str">
        <f t="shared" si="7"/>
        <v>0</v>
      </c>
      <c r="F61" t="str">
        <f t="shared" si="5"/>
        <v/>
      </c>
    </row>
    <row r="62" spans="1:6" x14ac:dyDescent="0.3">
      <c r="A62" t="s">
        <v>1046</v>
      </c>
      <c r="B62">
        <v>1</v>
      </c>
      <c r="D62" t="str">
        <f t="shared" si="6"/>
        <v>0107</v>
      </c>
      <c r="E62" t="str">
        <f t="shared" si="7"/>
        <v>2</v>
      </c>
      <c r="F62" t="str">
        <f t="shared" si="5"/>
        <v/>
      </c>
    </row>
    <row r="63" spans="1:6" x14ac:dyDescent="0.3">
      <c r="A63" t="s">
        <v>1048</v>
      </c>
      <c r="B63">
        <v>1</v>
      </c>
      <c r="D63" t="str">
        <f t="shared" si="6"/>
        <v>0108</v>
      </c>
      <c r="E63" t="str">
        <f t="shared" si="7"/>
        <v>2</v>
      </c>
      <c r="F63" t="str">
        <f t="shared" si="5"/>
        <v/>
      </c>
    </row>
    <row r="64" spans="1:6" x14ac:dyDescent="0.3">
      <c r="A64" t="s">
        <v>1050</v>
      </c>
      <c r="B64">
        <v>1</v>
      </c>
      <c r="D64" t="str">
        <f t="shared" si="6"/>
        <v>0109</v>
      </c>
      <c r="E64" t="str">
        <f t="shared" si="7"/>
        <v>2</v>
      </c>
      <c r="F64" t="str">
        <f t="shared" si="5"/>
        <v/>
      </c>
    </row>
    <row r="65" spans="1:6" x14ac:dyDescent="0.3">
      <c r="A65" t="s">
        <v>1052</v>
      </c>
      <c r="B65">
        <v>1</v>
      </c>
      <c r="D65" t="str">
        <f t="shared" si="6"/>
        <v>0110</v>
      </c>
      <c r="E65" t="str">
        <f t="shared" si="7"/>
        <v>2</v>
      </c>
      <c r="F65" t="str">
        <f t="shared" si="5"/>
        <v/>
      </c>
    </row>
    <row r="66" spans="1:6" x14ac:dyDescent="0.3">
      <c r="A66" t="s">
        <v>1053</v>
      </c>
      <c r="B66">
        <v>1</v>
      </c>
      <c r="D66" t="str">
        <f t="shared" si="6"/>
        <v>0111</v>
      </c>
      <c r="E66" t="str">
        <f t="shared" si="7"/>
        <v>0</v>
      </c>
      <c r="F66" t="str">
        <f t="shared" si="5"/>
        <v/>
      </c>
    </row>
    <row r="67" spans="1:6" x14ac:dyDescent="0.3">
      <c r="A67" t="s">
        <v>1054</v>
      </c>
      <c r="B67">
        <v>1</v>
      </c>
      <c r="D67" t="str">
        <f t="shared" si="6"/>
        <v>0112</v>
      </c>
      <c r="E67" t="str">
        <f t="shared" si="7"/>
        <v>0</v>
      </c>
      <c r="F67" t="str">
        <f t="shared" si="5"/>
        <v/>
      </c>
    </row>
    <row r="68" spans="1:6" x14ac:dyDescent="0.3">
      <c r="A68" t="s">
        <v>1055</v>
      </c>
      <c r="B68">
        <v>1</v>
      </c>
      <c r="D68" t="str">
        <f t="shared" si="6"/>
        <v>0113</v>
      </c>
      <c r="E68" t="str">
        <f t="shared" si="7"/>
        <v>0</v>
      </c>
      <c r="F68" t="str">
        <f t="shared" si="5"/>
        <v/>
      </c>
    </row>
    <row r="69" spans="1:6" x14ac:dyDescent="0.3">
      <c r="A69" t="s">
        <v>1057</v>
      </c>
      <c r="B69">
        <v>1</v>
      </c>
      <c r="D69" t="str">
        <f t="shared" si="6"/>
        <v>0114</v>
      </c>
      <c r="E69" t="str">
        <f t="shared" si="7"/>
        <v>0</v>
      </c>
      <c r="F69" t="str">
        <f t="shared" si="5"/>
        <v/>
      </c>
    </row>
    <row r="70" spans="1:6" x14ac:dyDescent="0.3">
      <c r="A70" t="s">
        <v>1058</v>
      </c>
      <c r="B70">
        <v>1</v>
      </c>
      <c r="D70" t="str">
        <f t="shared" si="6"/>
        <v>0121</v>
      </c>
      <c r="E70" t="str">
        <f t="shared" si="7"/>
        <v>0</v>
      </c>
      <c r="F70" t="str">
        <f t="shared" si="5"/>
        <v/>
      </c>
    </row>
    <row r="71" spans="1:6" x14ac:dyDescent="0.3">
      <c r="A71" t="s">
        <v>1059</v>
      </c>
      <c r="B71">
        <v>1</v>
      </c>
      <c r="D71" t="str">
        <f t="shared" si="6"/>
        <v>0130</v>
      </c>
      <c r="E71" t="str">
        <f t="shared" si="7"/>
        <v>0</v>
      </c>
      <c r="F71" t="str">
        <f t="shared" si="5"/>
        <v/>
      </c>
    </row>
    <row r="72" spans="1:6" x14ac:dyDescent="0.3">
      <c r="A72" t="s">
        <v>1060</v>
      </c>
      <c r="B72">
        <v>1</v>
      </c>
      <c r="D72" t="str">
        <f t="shared" si="6"/>
        <v>0132</v>
      </c>
      <c r="E72" t="str">
        <f t="shared" si="7"/>
        <v>0</v>
      </c>
      <c r="F72" t="str">
        <f t="shared" si="5"/>
        <v/>
      </c>
    </row>
    <row r="73" spans="1:6" x14ac:dyDescent="0.3">
      <c r="A73" t="s">
        <v>1061</v>
      </c>
      <c r="B73">
        <v>1</v>
      </c>
      <c r="D73" t="str">
        <f t="shared" si="6"/>
        <v>0133</v>
      </c>
      <c r="E73" t="str">
        <f t="shared" si="7"/>
        <v>0</v>
      </c>
      <c r="F73" t="str">
        <f t="shared" si="5"/>
        <v/>
      </c>
    </row>
    <row r="74" spans="1:6" x14ac:dyDescent="0.3">
      <c r="A74" t="s">
        <v>1063</v>
      </c>
      <c r="B74">
        <v>1</v>
      </c>
      <c r="D74" t="str">
        <f t="shared" si="6"/>
        <v>0134</v>
      </c>
      <c r="E74" t="str">
        <f t="shared" si="7"/>
        <v>2</v>
      </c>
      <c r="F74" t="str">
        <f t="shared" si="5"/>
        <v/>
      </c>
    </row>
    <row r="75" spans="1:6" x14ac:dyDescent="0.3">
      <c r="A75" t="s">
        <v>1065</v>
      </c>
      <c r="B75">
        <v>1</v>
      </c>
      <c r="D75" t="str">
        <f t="shared" si="6"/>
        <v>0135</v>
      </c>
      <c r="E75" t="str">
        <f t="shared" si="7"/>
        <v>2</v>
      </c>
      <c r="F75" t="str">
        <f t="shared" si="5"/>
        <v/>
      </c>
    </row>
    <row r="76" spans="1:6" x14ac:dyDescent="0.3">
      <c r="A76" t="s">
        <v>1066</v>
      </c>
      <c r="B76">
        <v>1</v>
      </c>
      <c r="D76" t="str">
        <f t="shared" si="6"/>
        <v>0265</v>
      </c>
      <c r="E76" t="str">
        <f t="shared" si="7"/>
        <v>0</v>
      </c>
      <c r="F76" t="str">
        <f t="shared" si="5"/>
        <v/>
      </c>
    </row>
    <row r="77" spans="1:6" x14ac:dyDescent="0.3">
      <c r="A77" t="s">
        <v>1069</v>
      </c>
      <c r="B77">
        <v>1</v>
      </c>
      <c r="D77" t="str">
        <f t="shared" si="6"/>
        <v>0268</v>
      </c>
      <c r="E77" t="str">
        <f t="shared" si="7"/>
        <v>2</v>
      </c>
      <c r="F77" t="str">
        <f t="shared" si="5"/>
        <v/>
      </c>
    </row>
    <row r="78" spans="1:6" x14ac:dyDescent="0.3">
      <c r="A78" t="s">
        <v>1071</v>
      </c>
      <c r="B78">
        <v>1</v>
      </c>
      <c r="D78" t="str">
        <f t="shared" si="6"/>
        <v>0269</v>
      </c>
      <c r="E78" t="str">
        <f t="shared" si="7"/>
        <v>2</v>
      </c>
      <c r="F78" t="str">
        <f t="shared" si="5"/>
        <v/>
      </c>
    </row>
    <row r="79" spans="1:6" x14ac:dyDescent="0.3">
      <c r="A79" t="s">
        <v>1072</v>
      </c>
      <c r="B79">
        <v>1</v>
      </c>
      <c r="D79" t="str">
        <f t="shared" si="6"/>
        <v>0270</v>
      </c>
      <c r="E79" t="str">
        <f t="shared" si="7"/>
        <v>0</v>
      </c>
      <c r="F79" t="str">
        <f t="shared" si="5"/>
        <v/>
      </c>
    </row>
    <row r="80" spans="1:6" x14ac:dyDescent="0.3">
      <c r="A80" t="s">
        <v>1075</v>
      </c>
      <c r="B80">
        <v>1</v>
      </c>
      <c r="D80" t="str">
        <f t="shared" si="6"/>
        <v>0271</v>
      </c>
      <c r="E80" t="str">
        <f t="shared" si="7"/>
        <v>2</v>
      </c>
      <c r="F80" t="str">
        <f t="shared" si="5"/>
        <v/>
      </c>
    </row>
    <row r="81" spans="1:6" x14ac:dyDescent="0.3">
      <c r="A81" t="s">
        <v>1076</v>
      </c>
      <c r="B81">
        <v>1</v>
      </c>
      <c r="D81" t="str">
        <f t="shared" ref="D81:D112" si="8">IF(LEFT(A81,2)="SP",MID(A81,4,4),IF(LEFT(A81,1)="X",MID(A81,3,4),""))</f>
        <v>0272</v>
      </c>
      <c r="E81" t="str">
        <f t="shared" ref="E81:E112" si="9">IF(OR(LEFT(A81,2)="SP",AND(LEFT(A81,1)="X",LEN(A81)&gt;9)),RIGHT(A81,1),"")</f>
        <v>0</v>
      </c>
      <c r="F81" t="str">
        <f t="shared" si="5"/>
        <v/>
      </c>
    </row>
    <row r="82" spans="1:6" x14ac:dyDescent="0.3">
      <c r="A82" t="s">
        <v>1078</v>
      </c>
      <c r="B82">
        <v>1</v>
      </c>
      <c r="D82" t="str">
        <f t="shared" si="8"/>
        <v>0275</v>
      </c>
      <c r="E82" t="str">
        <f t="shared" si="9"/>
        <v>0</v>
      </c>
      <c r="F82" t="str">
        <f t="shared" ref="F82:F145" si="10">IF(LEFT(A82,1)="X",MID(A82,8,2),"")</f>
        <v/>
      </c>
    </row>
    <row r="83" spans="1:6" x14ac:dyDescent="0.3">
      <c r="A83" t="s">
        <v>1080</v>
      </c>
      <c r="B83">
        <v>1</v>
      </c>
      <c r="D83" t="str">
        <f t="shared" si="8"/>
        <v>0313</v>
      </c>
      <c r="E83" t="str">
        <f t="shared" si="9"/>
        <v>2</v>
      </c>
      <c r="F83" t="str">
        <f t="shared" si="10"/>
        <v/>
      </c>
    </row>
    <row r="84" spans="1:6" x14ac:dyDescent="0.3">
      <c r="A84" t="s">
        <v>1082</v>
      </c>
      <c r="B84">
        <v>1</v>
      </c>
      <c r="D84" t="str">
        <f t="shared" si="8"/>
        <v>0314</v>
      </c>
      <c r="E84" t="str">
        <f t="shared" si="9"/>
        <v>2</v>
      </c>
      <c r="F84" t="str">
        <f t="shared" si="10"/>
        <v/>
      </c>
    </row>
    <row r="85" spans="1:6" x14ac:dyDescent="0.3">
      <c r="A85" t="s">
        <v>1084</v>
      </c>
      <c r="B85">
        <v>1</v>
      </c>
      <c r="D85" t="str">
        <f t="shared" si="8"/>
        <v>0315</v>
      </c>
      <c r="E85" t="str">
        <f t="shared" si="9"/>
        <v>2</v>
      </c>
      <c r="F85" t="str">
        <f t="shared" si="10"/>
        <v/>
      </c>
    </row>
    <row r="86" spans="1:6" x14ac:dyDescent="0.3">
      <c r="A86" t="s">
        <v>1086</v>
      </c>
      <c r="B86">
        <v>1</v>
      </c>
      <c r="D86" t="str">
        <f t="shared" si="8"/>
        <v>0316</v>
      </c>
      <c r="E86" t="str">
        <f t="shared" si="9"/>
        <v>2</v>
      </c>
      <c r="F86" t="str">
        <f t="shared" si="10"/>
        <v/>
      </c>
    </row>
    <row r="87" spans="1:6" x14ac:dyDescent="0.3">
      <c r="A87" t="s">
        <v>1087</v>
      </c>
      <c r="B87">
        <v>1</v>
      </c>
      <c r="D87" t="str">
        <f t="shared" si="8"/>
        <v>0319</v>
      </c>
      <c r="E87" t="str">
        <f t="shared" si="9"/>
        <v>0</v>
      </c>
      <c r="F87" t="str">
        <f t="shared" si="10"/>
        <v/>
      </c>
    </row>
    <row r="88" spans="1:6" x14ac:dyDescent="0.3">
      <c r="A88" t="s">
        <v>1089</v>
      </c>
      <c r="B88">
        <v>1</v>
      </c>
      <c r="D88" t="str">
        <f t="shared" si="8"/>
        <v>0323</v>
      </c>
      <c r="E88" t="str">
        <f t="shared" si="9"/>
        <v>2</v>
      </c>
      <c r="F88" t="str">
        <f t="shared" si="10"/>
        <v/>
      </c>
    </row>
    <row r="89" spans="1:6" x14ac:dyDescent="0.3">
      <c r="A89" t="s">
        <v>1091</v>
      </c>
      <c r="B89">
        <v>1</v>
      </c>
      <c r="D89" t="str">
        <f t="shared" si="8"/>
        <v>0328</v>
      </c>
      <c r="E89" t="str">
        <f t="shared" si="9"/>
        <v>2</v>
      </c>
      <c r="F89" t="str">
        <f t="shared" si="10"/>
        <v/>
      </c>
    </row>
    <row r="90" spans="1:6" x14ac:dyDescent="0.3">
      <c r="A90" t="s">
        <v>1092</v>
      </c>
      <c r="B90">
        <v>1</v>
      </c>
      <c r="D90" t="str">
        <f t="shared" si="8"/>
        <v>0335</v>
      </c>
      <c r="E90" t="str">
        <f t="shared" si="9"/>
        <v>0</v>
      </c>
      <c r="F90" t="str">
        <f t="shared" si="10"/>
        <v/>
      </c>
    </row>
    <row r="91" spans="1:6" x14ac:dyDescent="0.3">
      <c r="A91" t="s">
        <v>1094</v>
      </c>
      <c r="B91">
        <v>1</v>
      </c>
      <c r="D91" t="str">
        <f t="shared" si="8"/>
        <v>0336</v>
      </c>
      <c r="E91" t="str">
        <f t="shared" si="9"/>
        <v>2</v>
      </c>
      <c r="F91" t="str">
        <f t="shared" si="10"/>
        <v/>
      </c>
    </row>
    <row r="92" spans="1:6" x14ac:dyDescent="0.3">
      <c r="A92" t="s">
        <v>1096</v>
      </c>
      <c r="B92">
        <v>1</v>
      </c>
      <c r="D92" t="str">
        <f t="shared" si="8"/>
        <v>0341</v>
      </c>
      <c r="E92" t="str">
        <f t="shared" si="9"/>
        <v>2</v>
      </c>
      <c r="F92" t="str">
        <f t="shared" si="10"/>
        <v/>
      </c>
    </row>
    <row r="93" spans="1:6" x14ac:dyDescent="0.3">
      <c r="A93" t="s">
        <v>1098</v>
      </c>
      <c r="B93">
        <v>1</v>
      </c>
      <c r="D93" t="str">
        <f t="shared" si="8"/>
        <v>0347</v>
      </c>
      <c r="E93" t="str">
        <f t="shared" si="9"/>
        <v>2</v>
      </c>
      <c r="F93" t="str">
        <f t="shared" si="10"/>
        <v/>
      </c>
    </row>
    <row r="94" spans="1:6" x14ac:dyDescent="0.3">
      <c r="A94" t="s">
        <v>1099</v>
      </c>
      <c r="B94">
        <v>1</v>
      </c>
      <c r="D94" t="str">
        <f t="shared" si="8"/>
        <v>0348</v>
      </c>
      <c r="E94" t="str">
        <f t="shared" si="9"/>
        <v>0</v>
      </c>
      <c r="F94" t="str">
        <f t="shared" si="10"/>
        <v/>
      </c>
    </row>
    <row r="95" spans="1:6" x14ac:dyDescent="0.3">
      <c r="A95" t="s">
        <v>1100</v>
      </c>
      <c r="B95">
        <v>1</v>
      </c>
      <c r="D95" t="str">
        <f t="shared" si="8"/>
        <v>0349</v>
      </c>
      <c r="E95" t="str">
        <f t="shared" si="9"/>
        <v>0</v>
      </c>
      <c r="F95" t="str">
        <f t="shared" si="10"/>
        <v/>
      </c>
    </row>
    <row r="96" spans="1:6" x14ac:dyDescent="0.3">
      <c r="A96" t="s">
        <v>1103</v>
      </c>
      <c r="B96">
        <v>1</v>
      </c>
      <c r="D96" t="str">
        <f t="shared" si="8"/>
        <v>0350</v>
      </c>
      <c r="E96" t="str">
        <f t="shared" si="9"/>
        <v>2</v>
      </c>
      <c r="F96" t="str">
        <f t="shared" si="10"/>
        <v/>
      </c>
    </row>
    <row r="97" spans="1:6" x14ac:dyDescent="0.3">
      <c r="A97" t="s">
        <v>1104</v>
      </c>
      <c r="B97">
        <v>1</v>
      </c>
      <c r="D97" t="str">
        <f t="shared" si="8"/>
        <v>0351</v>
      </c>
      <c r="E97" t="str">
        <f t="shared" si="9"/>
        <v>0</v>
      </c>
      <c r="F97" t="str">
        <f t="shared" si="10"/>
        <v/>
      </c>
    </row>
    <row r="98" spans="1:6" x14ac:dyDescent="0.3">
      <c r="A98" t="s">
        <v>1106</v>
      </c>
      <c r="B98">
        <v>1</v>
      </c>
      <c r="D98" t="str">
        <f t="shared" si="8"/>
        <v>0353</v>
      </c>
      <c r="E98" t="str">
        <f t="shared" si="9"/>
        <v>2</v>
      </c>
      <c r="F98" t="str">
        <f t="shared" si="10"/>
        <v/>
      </c>
    </row>
    <row r="99" spans="1:6" x14ac:dyDescent="0.3">
      <c r="A99" t="s">
        <v>1108</v>
      </c>
      <c r="B99">
        <v>1</v>
      </c>
      <c r="D99" t="str">
        <f t="shared" si="8"/>
        <v>0359</v>
      </c>
      <c r="E99" t="str">
        <f t="shared" si="9"/>
        <v>2</v>
      </c>
      <c r="F99" t="str">
        <f t="shared" si="10"/>
        <v/>
      </c>
    </row>
    <row r="100" spans="1:6" x14ac:dyDescent="0.3">
      <c r="A100" t="s">
        <v>1109</v>
      </c>
      <c r="B100">
        <v>1</v>
      </c>
      <c r="D100" t="str">
        <f t="shared" si="8"/>
        <v>0364</v>
      </c>
      <c r="E100" t="str">
        <f t="shared" si="9"/>
        <v>0</v>
      </c>
      <c r="F100" t="str">
        <f t="shared" si="10"/>
        <v/>
      </c>
    </row>
    <row r="101" spans="1:6" x14ac:dyDescent="0.3">
      <c r="A101" t="s">
        <v>1111</v>
      </c>
      <c r="B101">
        <v>1</v>
      </c>
      <c r="D101" t="str">
        <f t="shared" si="8"/>
        <v>0366</v>
      </c>
      <c r="E101" t="str">
        <f t="shared" si="9"/>
        <v>2</v>
      </c>
      <c r="F101" t="str">
        <f t="shared" si="10"/>
        <v/>
      </c>
    </row>
    <row r="102" spans="1:6" x14ac:dyDescent="0.3">
      <c r="A102" t="s">
        <v>1113</v>
      </c>
      <c r="B102">
        <v>1</v>
      </c>
      <c r="D102" t="str">
        <f t="shared" si="8"/>
        <v>0367</v>
      </c>
      <c r="E102" t="str">
        <f t="shared" si="9"/>
        <v>2</v>
      </c>
      <c r="F102" t="str">
        <f t="shared" si="10"/>
        <v/>
      </c>
    </row>
    <row r="103" spans="1:6" x14ac:dyDescent="0.3">
      <c r="A103" t="s">
        <v>1114</v>
      </c>
      <c r="B103">
        <v>1</v>
      </c>
      <c r="D103" t="str">
        <f t="shared" si="8"/>
        <v>0369</v>
      </c>
      <c r="E103" t="str">
        <f t="shared" si="9"/>
        <v>0</v>
      </c>
      <c r="F103" t="str">
        <f t="shared" si="10"/>
        <v/>
      </c>
    </row>
    <row r="104" spans="1:6" x14ac:dyDescent="0.3">
      <c r="A104" t="s">
        <v>1116</v>
      </c>
      <c r="B104">
        <v>1</v>
      </c>
      <c r="D104" t="str">
        <f t="shared" si="8"/>
        <v>0375</v>
      </c>
      <c r="E104" t="str">
        <f t="shared" si="9"/>
        <v>0</v>
      </c>
      <c r="F104" t="str">
        <f t="shared" si="10"/>
        <v/>
      </c>
    </row>
    <row r="105" spans="1:6" x14ac:dyDescent="0.3">
      <c r="A105" t="s">
        <v>1118</v>
      </c>
      <c r="B105">
        <v>1</v>
      </c>
      <c r="D105" t="str">
        <f t="shared" si="8"/>
        <v>0377</v>
      </c>
      <c r="E105" t="str">
        <f t="shared" si="9"/>
        <v>2</v>
      </c>
      <c r="F105" t="str">
        <f t="shared" si="10"/>
        <v/>
      </c>
    </row>
    <row r="106" spans="1:6" x14ac:dyDescent="0.3">
      <c r="A106" t="s">
        <v>1119</v>
      </c>
      <c r="B106">
        <v>1</v>
      </c>
      <c r="D106" t="str">
        <f t="shared" si="8"/>
        <v>0378</v>
      </c>
      <c r="E106" t="str">
        <f t="shared" si="9"/>
        <v>0</v>
      </c>
      <c r="F106" t="str">
        <f t="shared" si="10"/>
        <v/>
      </c>
    </row>
    <row r="107" spans="1:6" x14ac:dyDescent="0.3">
      <c r="A107" t="s">
        <v>1121</v>
      </c>
      <c r="B107">
        <v>1</v>
      </c>
      <c r="D107" t="str">
        <f t="shared" si="8"/>
        <v>0380</v>
      </c>
      <c r="E107" t="str">
        <f t="shared" si="9"/>
        <v>2</v>
      </c>
      <c r="F107" t="str">
        <f t="shared" si="10"/>
        <v/>
      </c>
    </row>
    <row r="108" spans="1:6" x14ac:dyDescent="0.3">
      <c r="A108" t="s">
        <v>1123</v>
      </c>
      <c r="B108">
        <v>1</v>
      </c>
      <c r="D108" t="str">
        <f t="shared" si="8"/>
        <v>0385</v>
      </c>
      <c r="E108" t="str">
        <f t="shared" si="9"/>
        <v>2</v>
      </c>
      <c r="F108" t="str">
        <f t="shared" si="10"/>
        <v/>
      </c>
    </row>
    <row r="109" spans="1:6" x14ac:dyDescent="0.3">
      <c r="A109" t="s">
        <v>1125</v>
      </c>
      <c r="B109">
        <v>1</v>
      </c>
      <c r="D109" t="str">
        <f t="shared" si="8"/>
        <v>0387</v>
      </c>
      <c r="E109" t="str">
        <f t="shared" si="9"/>
        <v>2</v>
      </c>
      <c r="F109" t="str">
        <f t="shared" si="10"/>
        <v/>
      </c>
    </row>
    <row r="110" spans="1:6" x14ac:dyDescent="0.3">
      <c r="A110" t="s">
        <v>1127</v>
      </c>
      <c r="B110">
        <v>1</v>
      </c>
      <c r="D110" t="str">
        <f t="shared" si="8"/>
        <v>0391</v>
      </c>
      <c r="E110" t="str">
        <f t="shared" si="9"/>
        <v>2</v>
      </c>
      <c r="F110" t="str">
        <f t="shared" si="10"/>
        <v/>
      </c>
    </row>
    <row r="111" spans="1:6" x14ac:dyDescent="0.3">
      <c r="A111" t="s">
        <v>1129</v>
      </c>
      <c r="B111">
        <v>1</v>
      </c>
      <c r="D111" t="str">
        <f t="shared" si="8"/>
        <v>0392</v>
      </c>
      <c r="E111" t="str">
        <f t="shared" si="9"/>
        <v>2</v>
      </c>
      <c r="F111" t="str">
        <f t="shared" si="10"/>
        <v/>
      </c>
    </row>
    <row r="112" spans="1:6" x14ac:dyDescent="0.3">
      <c r="A112" t="s">
        <v>1131</v>
      </c>
      <c r="B112">
        <v>1</v>
      </c>
      <c r="D112" t="str">
        <f t="shared" si="8"/>
        <v>0393</v>
      </c>
      <c r="E112" t="str">
        <f t="shared" si="9"/>
        <v>2</v>
      </c>
      <c r="F112" t="str">
        <f t="shared" si="10"/>
        <v/>
      </c>
    </row>
    <row r="113" spans="1:6" x14ac:dyDescent="0.3">
      <c r="A113" t="s">
        <v>1133</v>
      </c>
      <c r="B113">
        <v>1</v>
      </c>
      <c r="D113" t="str">
        <f t="shared" ref="D113:D144" si="11">IF(LEFT(A113,2)="SP",MID(A113,4,4),IF(LEFT(A113,1)="X",MID(A113,3,4),""))</f>
        <v>0397</v>
      </c>
      <c r="E113" t="str">
        <f t="shared" ref="E113:E144" si="12">IF(OR(LEFT(A113,2)="SP",AND(LEFT(A113,1)="X",LEN(A113)&gt;9)),RIGHT(A113,1),"")</f>
        <v>2</v>
      </c>
      <c r="F113" t="str">
        <f t="shared" si="10"/>
        <v/>
      </c>
    </row>
    <row r="114" spans="1:6" x14ac:dyDescent="0.3">
      <c r="A114" t="s">
        <v>1135</v>
      </c>
      <c r="B114">
        <v>1</v>
      </c>
      <c r="D114" t="str">
        <f t="shared" si="11"/>
        <v>0398</v>
      </c>
      <c r="E114" t="str">
        <f t="shared" si="12"/>
        <v>2</v>
      </c>
      <c r="F114" t="str">
        <f t="shared" si="10"/>
        <v/>
      </c>
    </row>
    <row r="115" spans="1:6" x14ac:dyDescent="0.3">
      <c r="A115" t="s">
        <v>1137</v>
      </c>
      <c r="B115">
        <v>1</v>
      </c>
      <c r="D115" t="str">
        <f t="shared" si="11"/>
        <v>0399</v>
      </c>
      <c r="E115" t="str">
        <f t="shared" si="12"/>
        <v>2</v>
      </c>
      <c r="F115" t="str">
        <f t="shared" si="10"/>
        <v/>
      </c>
    </row>
    <row r="116" spans="1:6" x14ac:dyDescent="0.3">
      <c r="A116" t="s">
        <v>1138</v>
      </c>
      <c r="B116">
        <v>1</v>
      </c>
      <c r="D116" t="str">
        <f t="shared" si="11"/>
        <v>0400</v>
      </c>
      <c r="E116" t="str">
        <f t="shared" si="12"/>
        <v>0</v>
      </c>
      <c r="F116" t="str">
        <f t="shared" si="10"/>
        <v/>
      </c>
    </row>
    <row r="117" spans="1:6" x14ac:dyDescent="0.3">
      <c r="A117" t="s">
        <v>1139</v>
      </c>
      <c r="B117">
        <v>1</v>
      </c>
      <c r="D117" t="str">
        <f t="shared" si="11"/>
        <v>0404</v>
      </c>
      <c r="E117" t="str">
        <f t="shared" si="12"/>
        <v>0</v>
      </c>
      <c r="F117" t="str">
        <f t="shared" si="10"/>
        <v/>
      </c>
    </row>
    <row r="118" spans="1:6" x14ac:dyDescent="0.3">
      <c r="A118" t="s">
        <v>1140</v>
      </c>
      <c r="B118">
        <v>1</v>
      </c>
      <c r="D118" t="str">
        <f t="shared" si="11"/>
        <v>0405</v>
      </c>
      <c r="E118" t="str">
        <f t="shared" si="12"/>
        <v>0</v>
      </c>
      <c r="F118" t="str">
        <f t="shared" si="10"/>
        <v/>
      </c>
    </row>
    <row r="119" spans="1:6" x14ac:dyDescent="0.3">
      <c r="A119" t="s">
        <v>1141</v>
      </c>
      <c r="B119">
        <v>1</v>
      </c>
      <c r="D119" t="str">
        <f t="shared" si="11"/>
        <v>0412</v>
      </c>
      <c r="E119" t="str">
        <f t="shared" si="12"/>
        <v>0</v>
      </c>
      <c r="F119" t="str">
        <f t="shared" si="10"/>
        <v/>
      </c>
    </row>
    <row r="120" spans="1:6" x14ac:dyDescent="0.3">
      <c r="A120" t="s">
        <v>1143</v>
      </c>
      <c r="B120">
        <v>1</v>
      </c>
      <c r="D120" t="str">
        <f t="shared" si="11"/>
        <v>0420</v>
      </c>
      <c r="E120" t="str">
        <f t="shared" si="12"/>
        <v>2</v>
      </c>
      <c r="F120" t="str">
        <f t="shared" si="10"/>
        <v/>
      </c>
    </row>
    <row r="121" spans="1:6" x14ac:dyDescent="0.3">
      <c r="A121" t="s">
        <v>1145</v>
      </c>
      <c r="B121">
        <v>1</v>
      </c>
      <c r="D121" t="str">
        <f t="shared" si="11"/>
        <v>0421</v>
      </c>
      <c r="E121" t="str">
        <f t="shared" si="12"/>
        <v>2</v>
      </c>
      <c r="F121" t="str">
        <f t="shared" si="10"/>
        <v/>
      </c>
    </row>
    <row r="122" spans="1:6" x14ac:dyDescent="0.3">
      <c r="A122" t="s">
        <v>1147</v>
      </c>
      <c r="B122">
        <v>1</v>
      </c>
      <c r="D122" t="str">
        <f t="shared" si="11"/>
        <v>0425</v>
      </c>
      <c r="E122" t="str">
        <f t="shared" si="12"/>
        <v>2</v>
      </c>
      <c r="F122" t="str">
        <f t="shared" si="10"/>
        <v/>
      </c>
    </row>
    <row r="123" spans="1:6" x14ac:dyDescent="0.3">
      <c r="A123" t="s">
        <v>1149</v>
      </c>
      <c r="B123">
        <v>1</v>
      </c>
      <c r="D123" t="str">
        <f t="shared" si="11"/>
        <v>0434</v>
      </c>
      <c r="E123" t="str">
        <f t="shared" si="12"/>
        <v>2</v>
      </c>
      <c r="F123" t="str">
        <f t="shared" si="10"/>
        <v/>
      </c>
    </row>
    <row r="124" spans="1:6" x14ac:dyDescent="0.3">
      <c r="A124" t="s">
        <v>1151</v>
      </c>
      <c r="B124">
        <v>1</v>
      </c>
      <c r="D124" t="str">
        <f t="shared" si="11"/>
        <v>0435</v>
      </c>
      <c r="E124" t="str">
        <f t="shared" si="12"/>
        <v>2</v>
      </c>
      <c r="F124" t="str">
        <f t="shared" si="10"/>
        <v/>
      </c>
    </row>
    <row r="125" spans="1:6" x14ac:dyDescent="0.3">
      <c r="A125" t="s">
        <v>1152</v>
      </c>
      <c r="B125">
        <v>1</v>
      </c>
      <c r="D125" t="str">
        <f t="shared" si="11"/>
        <v>0436</v>
      </c>
      <c r="E125" t="str">
        <f t="shared" si="12"/>
        <v>0</v>
      </c>
      <c r="F125" t="str">
        <f t="shared" si="10"/>
        <v/>
      </c>
    </row>
    <row r="126" spans="1:6" x14ac:dyDescent="0.3">
      <c r="A126" t="s">
        <v>1154</v>
      </c>
      <c r="B126">
        <v>1</v>
      </c>
      <c r="D126" t="str">
        <f t="shared" si="11"/>
        <v>0437</v>
      </c>
      <c r="E126" t="str">
        <f t="shared" si="12"/>
        <v>2</v>
      </c>
      <c r="F126" t="str">
        <f t="shared" si="10"/>
        <v/>
      </c>
    </row>
    <row r="127" spans="1:6" x14ac:dyDescent="0.3">
      <c r="A127" t="s">
        <v>1156</v>
      </c>
      <c r="B127">
        <v>1</v>
      </c>
      <c r="D127" t="str">
        <f t="shared" si="11"/>
        <v>0438</v>
      </c>
      <c r="E127" t="str">
        <f t="shared" si="12"/>
        <v>2</v>
      </c>
      <c r="F127" t="str">
        <f t="shared" si="10"/>
        <v/>
      </c>
    </row>
    <row r="128" spans="1:6" x14ac:dyDescent="0.3">
      <c r="A128" t="s">
        <v>1158</v>
      </c>
      <c r="B128">
        <v>1</v>
      </c>
      <c r="D128" t="str">
        <f t="shared" si="11"/>
        <v>0439</v>
      </c>
      <c r="E128" t="str">
        <f t="shared" si="12"/>
        <v>2</v>
      </c>
      <c r="F128" t="str">
        <f t="shared" si="10"/>
        <v/>
      </c>
    </row>
    <row r="129" spans="1:6" x14ac:dyDescent="0.3">
      <c r="A129" t="s">
        <v>1160</v>
      </c>
      <c r="B129">
        <v>1</v>
      </c>
      <c r="D129" t="str">
        <f t="shared" si="11"/>
        <v>0458</v>
      </c>
      <c r="E129" t="str">
        <f t="shared" si="12"/>
        <v>2</v>
      </c>
      <c r="F129" t="str">
        <f t="shared" si="10"/>
        <v/>
      </c>
    </row>
    <row r="130" spans="1:6" x14ac:dyDescent="0.3">
      <c r="A130" t="s">
        <v>1161</v>
      </c>
      <c r="B130">
        <v>1</v>
      </c>
      <c r="D130" t="str">
        <f t="shared" si="11"/>
        <v>0459</v>
      </c>
      <c r="E130" t="str">
        <f t="shared" si="12"/>
        <v>0</v>
      </c>
      <c r="F130" t="str">
        <f t="shared" si="10"/>
        <v/>
      </c>
    </row>
    <row r="131" spans="1:6" x14ac:dyDescent="0.3">
      <c r="A131" t="s">
        <v>1163</v>
      </c>
      <c r="B131">
        <v>1</v>
      </c>
      <c r="D131" t="str">
        <f t="shared" si="11"/>
        <v>0461</v>
      </c>
      <c r="E131" t="str">
        <f t="shared" si="12"/>
        <v>2</v>
      </c>
      <c r="F131" t="str">
        <f t="shared" si="10"/>
        <v/>
      </c>
    </row>
    <row r="132" spans="1:6" x14ac:dyDescent="0.3">
      <c r="A132" t="s">
        <v>1165</v>
      </c>
      <c r="B132">
        <v>1</v>
      </c>
      <c r="D132" t="str">
        <f t="shared" si="11"/>
        <v>0485</v>
      </c>
      <c r="E132" t="str">
        <f t="shared" si="12"/>
        <v>2</v>
      </c>
      <c r="F132" t="str">
        <f t="shared" si="10"/>
        <v/>
      </c>
    </row>
    <row r="133" spans="1:6" x14ac:dyDescent="0.3">
      <c r="A133" t="s">
        <v>1167</v>
      </c>
      <c r="B133">
        <v>1</v>
      </c>
      <c r="D133" t="str">
        <f t="shared" si="11"/>
        <v>0486</v>
      </c>
      <c r="E133" t="str">
        <f t="shared" si="12"/>
        <v>2</v>
      </c>
      <c r="F133" t="str">
        <f t="shared" si="10"/>
        <v/>
      </c>
    </row>
    <row r="134" spans="1:6" x14ac:dyDescent="0.3">
      <c r="A134" t="s">
        <v>1169</v>
      </c>
      <c r="B134">
        <v>1</v>
      </c>
      <c r="D134" t="str">
        <f t="shared" si="11"/>
        <v>0487</v>
      </c>
      <c r="E134" t="str">
        <f t="shared" si="12"/>
        <v>2</v>
      </c>
      <c r="F134" t="str">
        <f t="shared" si="10"/>
        <v/>
      </c>
    </row>
    <row r="135" spans="1:6" x14ac:dyDescent="0.3">
      <c r="A135" t="s">
        <v>1171</v>
      </c>
      <c r="B135">
        <v>1</v>
      </c>
      <c r="D135" t="str">
        <f t="shared" si="11"/>
        <v>0488</v>
      </c>
      <c r="E135" t="str">
        <f t="shared" si="12"/>
        <v>2</v>
      </c>
      <c r="F135" t="str">
        <f t="shared" si="10"/>
        <v/>
      </c>
    </row>
    <row r="136" spans="1:6" x14ac:dyDescent="0.3">
      <c r="A136" t="s">
        <v>1172</v>
      </c>
      <c r="B136">
        <v>1</v>
      </c>
      <c r="D136" t="str">
        <f t="shared" si="11"/>
        <v>0489</v>
      </c>
      <c r="E136" t="str">
        <f t="shared" si="12"/>
        <v>0</v>
      </c>
      <c r="F136" t="str">
        <f t="shared" si="10"/>
        <v/>
      </c>
    </row>
    <row r="137" spans="1:6" x14ac:dyDescent="0.3">
      <c r="A137" t="s">
        <v>1175</v>
      </c>
      <c r="B137">
        <v>1</v>
      </c>
      <c r="D137" t="str">
        <f t="shared" si="11"/>
        <v>0498</v>
      </c>
      <c r="E137" t="str">
        <f t="shared" si="12"/>
        <v>2</v>
      </c>
      <c r="F137" t="str">
        <f t="shared" si="10"/>
        <v/>
      </c>
    </row>
    <row r="138" spans="1:6" x14ac:dyDescent="0.3">
      <c r="A138" t="s">
        <v>1177</v>
      </c>
      <c r="B138">
        <v>1</v>
      </c>
      <c r="D138" t="str">
        <f t="shared" si="11"/>
        <v>0499</v>
      </c>
      <c r="E138" t="str">
        <f t="shared" si="12"/>
        <v>2</v>
      </c>
      <c r="F138" t="str">
        <f t="shared" si="10"/>
        <v/>
      </c>
    </row>
    <row r="139" spans="1:6" x14ac:dyDescent="0.3">
      <c r="A139" t="s">
        <v>1180</v>
      </c>
      <c r="B139">
        <v>1</v>
      </c>
      <c r="D139" t="str">
        <f t="shared" si="11"/>
        <v>0001</v>
      </c>
      <c r="E139" t="str">
        <f t="shared" si="12"/>
        <v/>
      </c>
      <c r="F139" t="str">
        <f t="shared" si="10"/>
        <v>DR</v>
      </c>
    </row>
    <row r="140" spans="1:6" x14ac:dyDescent="0.3">
      <c r="A140" t="s">
        <v>1181</v>
      </c>
      <c r="B140">
        <v>1</v>
      </c>
      <c r="D140" t="str">
        <f t="shared" si="11"/>
        <v>0002</v>
      </c>
      <c r="E140" t="str">
        <f t="shared" si="12"/>
        <v/>
      </c>
      <c r="F140" t="str">
        <f t="shared" si="10"/>
        <v>CR</v>
      </c>
    </row>
    <row r="141" spans="1:6" x14ac:dyDescent="0.3">
      <c r="A141" t="s">
        <v>1184</v>
      </c>
      <c r="B141">
        <v>1</v>
      </c>
      <c r="D141" t="str">
        <f t="shared" si="11"/>
        <v>0003</v>
      </c>
      <c r="E141" t="str">
        <f t="shared" si="12"/>
        <v/>
      </c>
      <c r="F141" t="str">
        <f t="shared" si="10"/>
        <v>CS</v>
      </c>
    </row>
    <row r="142" spans="1:6" x14ac:dyDescent="0.3">
      <c r="A142" t="s">
        <v>1185</v>
      </c>
      <c r="B142">
        <v>1</v>
      </c>
      <c r="D142" t="str">
        <f t="shared" si="11"/>
        <v>0004</v>
      </c>
      <c r="E142" t="str">
        <f t="shared" si="12"/>
        <v/>
      </c>
      <c r="F142" t="str">
        <f t="shared" si="10"/>
        <v>CN</v>
      </c>
    </row>
    <row r="143" spans="1:6" x14ac:dyDescent="0.3">
      <c r="A143" t="s">
        <v>1188</v>
      </c>
      <c r="B143">
        <v>1</v>
      </c>
      <c r="D143" t="str">
        <f t="shared" si="11"/>
        <v>0005</v>
      </c>
      <c r="E143" t="str">
        <f t="shared" si="12"/>
        <v/>
      </c>
      <c r="F143" t="str">
        <f t="shared" si="10"/>
        <v>CN</v>
      </c>
    </row>
    <row r="144" spans="1:6" x14ac:dyDescent="0.3">
      <c r="A144" t="s">
        <v>1191</v>
      </c>
      <c r="B144">
        <v>1</v>
      </c>
      <c r="D144" t="str">
        <f t="shared" si="11"/>
        <v>0006</v>
      </c>
      <c r="E144" t="str">
        <f t="shared" si="12"/>
        <v/>
      </c>
      <c r="F144" t="str">
        <f t="shared" si="10"/>
        <v>CN</v>
      </c>
    </row>
    <row r="145" spans="1:6" x14ac:dyDescent="0.3">
      <c r="A145" t="s">
        <v>1194</v>
      </c>
      <c r="B145">
        <v>1</v>
      </c>
      <c r="D145" t="str">
        <f t="shared" ref="D145:D176" si="13">IF(LEFT(A145,2)="SP",MID(A145,4,4),IF(LEFT(A145,1)="X",MID(A145,3,4),""))</f>
        <v>0007</v>
      </c>
      <c r="E145" t="str">
        <f t="shared" ref="E145:E176" si="14">IF(OR(LEFT(A145,2)="SP",AND(LEFT(A145,1)="X",LEN(A145)&gt;9)),RIGHT(A145,1),"")</f>
        <v>1</v>
      </c>
      <c r="F145" t="str">
        <f t="shared" si="10"/>
        <v>CN</v>
      </c>
    </row>
    <row r="146" spans="1:6" x14ac:dyDescent="0.3">
      <c r="A146" t="s">
        <v>1195</v>
      </c>
      <c r="B146">
        <v>1</v>
      </c>
      <c r="D146" t="str">
        <f t="shared" si="13"/>
        <v>0007</v>
      </c>
      <c r="E146" t="str">
        <f t="shared" si="14"/>
        <v>3</v>
      </c>
      <c r="F146" t="str">
        <f t="shared" ref="F146:F209" si="15">IF(LEFT(A146,1)="X",MID(A146,8,2),"")</f>
        <v>CN</v>
      </c>
    </row>
    <row r="147" spans="1:6" x14ac:dyDescent="0.3">
      <c r="A147" t="s">
        <v>1197</v>
      </c>
      <c r="B147">
        <v>1</v>
      </c>
      <c r="D147" t="str">
        <f t="shared" si="13"/>
        <v>0007</v>
      </c>
      <c r="E147" t="str">
        <f t="shared" si="14"/>
        <v>2</v>
      </c>
      <c r="F147" t="str">
        <f t="shared" si="15"/>
        <v>CR</v>
      </c>
    </row>
    <row r="148" spans="1:6" x14ac:dyDescent="0.3">
      <c r="A148" t="s">
        <v>1199</v>
      </c>
      <c r="B148">
        <v>1</v>
      </c>
      <c r="D148" t="str">
        <f t="shared" si="13"/>
        <v>0008</v>
      </c>
      <c r="E148" t="str">
        <f t="shared" si="14"/>
        <v>3</v>
      </c>
      <c r="F148" t="str">
        <f t="shared" si="15"/>
        <v>CN</v>
      </c>
    </row>
    <row r="149" spans="1:6" x14ac:dyDescent="0.3">
      <c r="A149" t="s">
        <v>1201</v>
      </c>
      <c r="B149">
        <v>1</v>
      </c>
      <c r="D149" t="str">
        <f t="shared" si="13"/>
        <v>0008</v>
      </c>
      <c r="E149" t="str">
        <f t="shared" si="14"/>
        <v>2</v>
      </c>
      <c r="F149" t="str">
        <f t="shared" si="15"/>
        <v>CR</v>
      </c>
    </row>
    <row r="150" spans="1:6" x14ac:dyDescent="0.3">
      <c r="A150" t="s">
        <v>1203</v>
      </c>
      <c r="B150">
        <v>1</v>
      </c>
      <c r="D150" t="str">
        <f t="shared" si="13"/>
        <v>0008</v>
      </c>
      <c r="E150" t="str">
        <f t="shared" si="14"/>
        <v>1</v>
      </c>
      <c r="F150" t="str">
        <f t="shared" si="15"/>
        <v>CS</v>
      </c>
    </row>
    <row r="151" spans="1:6" x14ac:dyDescent="0.3">
      <c r="A151" t="s">
        <v>1204</v>
      </c>
      <c r="B151">
        <v>1</v>
      </c>
      <c r="D151" t="str">
        <f t="shared" si="13"/>
        <v>0009</v>
      </c>
      <c r="E151" t="str">
        <f t="shared" si="14"/>
        <v/>
      </c>
      <c r="F151" t="str">
        <f t="shared" si="15"/>
        <v>CN</v>
      </c>
    </row>
    <row r="152" spans="1:6" x14ac:dyDescent="0.3">
      <c r="A152" t="s">
        <v>1207</v>
      </c>
      <c r="B152">
        <v>1</v>
      </c>
      <c r="D152" t="str">
        <f t="shared" si="13"/>
        <v>0010</v>
      </c>
      <c r="E152" t="str">
        <f t="shared" si="14"/>
        <v>1</v>
      </c>
      <c r="F152" t="str">
        <f t="shared" si="15"/>
        <v>CN</v>
      </c>
    </row>
    <row r="153" spans="1:6" x14ac:dyDescent="0.3">
      <c r="A153" t="s">
        <v>1208</v>
      </c>
      <c r="B153">
        <v>1</v>
      </c>
      <c r="D153" t="str">
        <f t="shared" si="13"/>
        <v>0010</v>
      </c>
      <c r="E153" t="str">
        <f t="shared" si="14"/>
        <v>3</v>
      </c>
      <c r="F153" t="str">
        <f t="shared" si="15"/>
        <v>CN</v>
      </c>
    </row>
    <row r="154" spans="1:6" x14ac:dyDescent="0.3">
      <c r="A154" t="s">
        <v>1210</v>
      </c>
      <c r="B154">
        <v>1</v>
      </c>
      <c r="D154" t="str">
        <f t="shared" si="13"/>
        <v>0010</v>
      </c>
      <c r="E154" t="str">
        <f t="shared" si="14"/>
        <v>2</v>
      </c>
      <c r="F154" t="str">
        <f t="shared" si="15"/>
        <v>CR</v>
      </c>
    </row>
    <row r="155" spans="1:6" x14ac:dyDescent="0.3">
      <c r="A155" t="s">
        <v>1213</v>
      </c>
      <c r="B155">
        <v>1</v>
      </c>
      <c r="D155" t="str">
        <f t="shared" si="13"/>
        <v>0011</v>
      </c>
      <c r="E155" t="str">
        <f t="shared" si="14"/>
        <v/>
      </c>
      <c r="F155" t="str">
        <f t="shared" si="15"/>
        <v>CS</v>
      </c>
    </row>
    <row r="156" spans="1:6" x14ac:dyDescent="0.3">
      <c r="A156" t="s">
        <v>1215</v>
      </c>
      <c r="B156">
        <v>1</v>
      </c>
      <c r="D156" t="str">
        <f t="shared" si="13"/>
        <v>0012</v>
      </c>
      <c r="E156" t="str">
        <f t="shared" si="14"/>
        <v/>
      </c>
      <c r="F156" t="str">
        <f t="shared" si="15"/>
        <v>CN</v>
      </c>
    </row>
    <row r="157" spans="1:6" x14ac:dyDescent="0.3">
      <c r="A157" t="s">
        <v>1218</v>
      </c>
      <c r="B157">
        <v>1</v>
      </c>
      <c r="D157" t="str">
        <f t="shared" si="13"/>
        <v>0013</v>
      </c>
      <c r="E157" t="str">
        <f t="shared" si="14"/>
        <v/>
      </c>
      <c r="F157" t="str">
        <f t="shared" si="15"/>
        <v>CN</v>
      </c>
    </row>
    <row r="158" spans="1:6" x14ac:dyDescent="0.3">
      <c r="A158" t="s">
        <v>1220</v>
      </c>
      <c r="B158">
        <v>1</v>
      </c>
      <c r="D158" t="str">
        <f t="shared" si="13"/>
        <v>0014</v>
      </c>
      <c r="E158" t="str">
        <f t="shared" si="14"/>
        <v/>
      </c>
      <c r="F158" t="str">
        <f t="shared" si="15"/>
        <v>CN</v>
      </c>
    </row>
    <row r="159" spans="1:6" x14ac:dyDescent="0.3">
      <c r="A159" t="s">
        <v>1222</v>
      </c>
      <c r="B159">
        <v>1</v>
      </c>
      <c r="D159" t="str">
        <f t="shared" si="13"/>
        <v>0015</v>
      </c>
      <c r="E159" t="str">
        <f t="shared" si="14"/>
        <v>1</v>
      </c>
      <c r="F159" t="str">
        <f t="shared" si="15"/>
        <v>CN</v>
      </c>
    </row>
    <row r="160" spans="1:6" x14ac:dyDescent="0.3">
      <c r="A160" t="s">
        <v>1224</v>
      </c>
      <c r="B160">
        <v>1</v>
      </c>
      <c r="D160" t="str">
        <f t="shared" si="13"/>
        <v>0015</v>
      </c>
      <c r="E160" t="str">
        <f t="shared" si="14"/>
        <v>2</v>
      </c>
      <c r="F160" t="str">
        <f t="shared" si="15"/>
        <v>CR</v>
      </c>
    </row>
    <row r="161" spans="1:6" x14ac:dyDescent="0.3">
      <c r="A161" t="s">
        <v>2593</v>
      </c>
      <c r="B161">
        <v>1</v>
      </c>
      <c r="D161" t="str">
        <f t="shared" si="13"/>
        <v>0015</v>
      </c>
      <c r="E161" t="str">
        <f t="shared" si="14"/>
        <v>3</v>
      </c>
      <c r="F161" t="str">
        <f t="shared" si="15"/>
        <v>MS</v>
      </c>
    </row>
    <row r="162" spans="1:6" x14ac:dyDescent="0.3">
      <c r="A162" t="s">
        <v>1225</v>
      </c>
      <c r="B162">
        <v>1</v>
      </c>
      <c r="D162" t="str">
        <f t="shared" si="13"/>
        <v>0016</v>
      </c>
      <c r="E162" t="str">
        <f t="shared" si="14"/>
        <v/>
      </c>
      <c r="F162" t="str">
        <f t="shared" si="15"/>
        <v>CN</v>
      </c>
    </row>
    <row r="163" spans="1:6" x14ac:dyDescent="0.3">
      <c r="A163" t="s">
        <v>1231</v>
      </c>
      <c r="B163">
        <v>1</v>
      </c>
      <c r="D163" t="str">
        <f t="shared" si="13"/>
        <v>0017</v>
      </c>
      <c r="E163" t="str">
        <f t="shared" si="14"/>
        <v/>
      </c>
      <c r="F163" t="str">
        <f t="shared" si="15"/>
        <v>DN</v>
      </c>
    </row>
    <row r="164" spans="1:6" x14ac:dyDescent="0.3">
      <c r="A164" t="s">
        <v>1232</v>
      </c>
      <c r="B164">
        <v>1</v>
      </c>
      <c r="D164" t="str">
        <f t="shared" si="13"/>
        <v>0018</v>
      </c>
      <c r="E164" t="str">
        <f t="shared" si="14"/>
        <v/>
      </c>
      <c r="F164" t="str">
        <f t="shared" si="15"/>
        <v>CN</v>
      </c>
    </row>
    <row r="165" spans="1:6" x14ac:dyDescent="0.3">
      <c r="A165" t="s">
        <v>1235</v>
      </c>
      <c r="B165">
        <v>1</v>
      </c>
      <c r="D165" t="str">
        <f t="shared" si="13"/>
        <v>0019</v>
      </c>
      <c r="E165" t="str">
        <f t="shared" si="14"/>
        <v>1</v>
      </c>
      <c r="F165" t="str">
        <f t="shared" si="15"/>
        <v>CN</v>
      </c>
    </row>
    <row r="166" spans="1:6" x14ac:dyDescent="0.3">
      <c r="A166" t="s">
        <v>1237</v>
      </c>
      <c r="B166">
        <v>1</v>
      </c>
      <c r="D166" t="str">
        <f t="shared" si="13"/>
        <v>0019</v>
      </c>
      <c r="E166" t="str">
        <f t="shared" si="14"/>
        <v>2</v>
      </c>
      <c r="F166" t="str">
        <f t="shared" si="15"/>
        <v>CR</v>
      </c>
    </row>
    <row r="167" spans="1:6" x14ac:dyDescent="0.3">
      <c r="A167" t="s">
        <v>1238</v>
      </c>
      <c r="B167">
        <v>1</v>
      </c>
      <c r="D167" t="str">
        <f t="shared" si="13"/>
        <v>0019</v>
      </c>
      <c r="E167" t="str">
        <f t="shared" si="14"/>
        <v>3</v>
      </c>
      <c r="F167" t="str">
        <f t="shared" si="15"/>
        <v>DN</v>
      </c>
    </row>
    <row r="168" spans="1:6" x14ac:dyDescent="0.3">
      <c r="A168" t="s">
        <v>1240</v>
      </c>
      <c r="B168">
        <v>1</v>
      </c>
      <c r="D168" t="str">
        <f t="shared" si="13"/>
        <v>0020</v>
      </c>
      <c r="E168" t="str">
        <f t="shared" si="14"/>
        <v/>
      </c>
      <c r="F168" t="str">
        <f t="shared" si="15"/>
        <v>CN</v>
      </c>
    </row>
    <row r="169" spans="1:6" x14ac:dyDescent="0.3">
      <c r="A169" t="s">
        <v>1242</v>
      </c>
      <c r="B169">
        <v>1</v>
      </c>
      <c r="D169" t="str">
        <f t="shared" si="13"/>
        <v>0021</v>
      </c>
      <c r="E169" t="str">
        <f t="shared" si="14"/>
        <v>1</v>
      </c>
      <c r="F169" t="str">
        <f t="shared" si="15"/>
        <v>CN</v>
      </c>
    </row>
    <row r="170" spans="1:6" x14ac:dyDescent="0.3">
      <c r="A170" t="s">
        <v>1245</v>
      </c>
      <c r="B170">
        <v>1</v>
      </c>
      <c r="D170" t="str">
        <f t="shared" si="13"/>
        <v>0021</v>
      </c>
      <c r="E170" t="str">
        <f t="shared" si="14"/>
        <v>2</v>
      </c>
      <c r="F170" t="str">
        <f t="shared" ref="F170" si="16">IF(LEFT(A170,1)="X",MID(A170,8,2),"")</f>
        <v>CR</v>
      </c>
    </row>
    <row r="171" spans="1:6" x14ac:dyDescent="0.3">
      <c r="A171" t="s">
        <v>2594</v>
      </c>
      <c r="B171">
        <v>1</v>
      </c>
      <c r="D171" t="str">
        <f t="shared" si="13"/>
        <v>0021</v>
      </c>
      <c r="E171" t="str">
        <f t="shared" si="14"/>
        <v>3</v>
      </c>
      <c r="F171" t="str">
        <f t="shared" si="15"/>
        <v>MS</v>
      </c>
    </row>
    <row r="172" spans="1:6" x14ac:dyDescent="0.3">
      <c r="A172" t="s">
        <v>1246</v>
      </c>
      <c r="B172">
        <v>1</v>
      </c>
      <c r="D172" t="str">
        <f t="shared" si="13"/>
        <v>0022</v>
      </c>
      <c r="E172" t="str">
        <f t="shared" si="14"/>
        <v>1</v>
      </c>
      <c r="F172" t="str">
        <f t="shared" si="15"/>
        <v>CN</v>
      </c>
    </row>
    <row r="173" spans="1:6" x14ac:dyDescent="0.3">
      <c r="A173" t="s">
        <v>1247</v>
      </c>
      <c r="B173">
        <v>1</v>
      </c>
      <c r="D173" t="str">
        <f t="shared" si="13"/>
        <v>0022</v>
      </c>
      <c r="E173" t="str">
        <f t="shared" si="14"/>
        <v>3</v>
      </c>
      <c r="F173" t="str">
        <f t="shared" si="15"/>
        <v>CN</v>
      </c>
    </row>
    <row r="174" spans="1:6" x14ac:dyDescent="0.3">
      <c r="A174" t="s">
        <v>1249</v>
      </c>
      <c r="B174">
        <v>1</v>
      </c>
      <c r="D174" t="str">
        <f t="shared" si="13"/>
        <v>0022</v>
      </c>
      <c r="E174" t="str">
        <f t="shared" si="14"/>
        <v>2</v>
      </c>
      <c r="F174" t="str">
        <f t="shared" ref="F174" si="17">IF(LEFT(A174,1)="X",MID(A174,8,2),"")</f>
        <v>CR</v>
      </c>
    </row>
    <row r="175" spans="1:6" x14ac:dyDescent="0.3">
      <c r="A175" t="s">
        <v>1251</v>
      </c>
      <c r="B175">
        <v>1</v>
      </c>
      <c r="D175" t="str">
        <f t="shared" si="13"/>
        <v>0023</v>
      </c>
      <c r="E175" t="str">
        <f t="shared" si="14"/>
        <v>1</v>
      </c>
      <c r="F175" t="str">
        <f t="shared" si="15"/>
        <v>CN</v>
      </c>
    </row>
    <row r="176" spans="1:6" x14ac:dyDescent="0.3">
      <c r="A176" t="s">
        <v>1252</v>
      </c>
      <c r="B176">
        <v>1</v>
      </c>
      <c r="D176" t="str">
        <f t="shared" si="13"/>
        <v>0023</v>
      </c>
      <c r="E176" t="str">
        <f t="shared" si="14"/>
        <v>3</v>
      </c>
      <c r="F176" t="str">
        <f t="shared" si="15"/>
        <v>CN</v>
      </c>
    </row>
    <row r="177" spans="1:6" x14ac:dyDescent="0.3">
      <c r="A177" t="s">
        <v>1254</v>
      </c>
      <c r="B177">
        <v>1</v>
      </c>
      <c r="D177" t="str">
        <f t="shared" ref="D177:D178" si="18">IF(LEFT(A177,2)="SP",MID(A177,4,4),IF(LEFT(A177,1)="X",MID(A177,3,4),""))</f>
        <v>0023</v>
      </c>
      <c r="E177" t="str">
        <f t="shared" ref="E177:E178" si="19">IF(OR(LEFT(A177,2)="SP",AND(LEFT(A177,1)="X",LEN(A177)&gt;9)),RIGHT(A177,1),"")</f>
        <v>2</v>
      </c>
      <c r="F177" t="str">
        <f t="shared" ref="F177:F178" si="20">IF(LEFT(A177,1)="X",MID(A177,8,2),"")</f>
        <v>CR</v>
      </c>
    </row>
    <row r="178" spans="1:6" x14ac:dyDescent="0.3">
      <c r="A178" t="s">
        <v>1256</v>
      </c>
      <c r="B178">
        <v>1</v>
      </c>
      <c r="D178" t="str">
        <f t="shared" si="18"/>
        <v>0024</v>
      </c>
      <c r="E178" t="str">
        <f t="shared" si="19"/>
        <v>2</v>
      </c>
      <c r="F178" t="str">
        <f t="shared" si="20"/>
        <v>CR</v>
      </c>
    </row>
    <row r="179" spans="1:6" x14ac:dyDescent="0.3">
      <c r="A179" t="s">
        <v>2595</v>
      </c>
      <c r="B179">
        <v>1</v>
      </c>
      <c r="D179" t="str">
        <f t="shared" ref="D179:D210" si="21">IF(LEFT(A179,2)="SP",MID(A179,4,4),IF(LEFT(A179,1)="X",MID(A179,3,4),""))</f>
        <v>0024</v>
      </c>
      <c r="E179" t="str">
        <f t="shared" ref="E179:E210" si="22">IF(OR(LEFT(A179,2)="SP",AND(LEFT(A179,1)="X",LEN(A179)&gt;9)),RIGHT(A179,1),"")</f>
        <v>1</v>
      </c>
      <c r="F179" t="str">
        <f t="shared" si="15"/>
        <v>MS</v>
      </c>
    </row>
    <row r="180" spans="1:6" x14ac:dyDescent="0.3">
      <c r="A180" t="s">
        <v>2596</v>
      </c>
      <c r="B180">
        <v>1</v>
      </c>
      <c r="D180" t="str">
        <f t="shared" si="21"/>
        <v>0024</v>
      </c>
      <c r="E180" t="str">
        <f t="shared" si="22"/>
        <v>3</v>
      </c>
      <c r="F180" t="str">
        <f t="shared" si="15"/>
        <v>MS</v>
      </c>
    </row>
    <row r="181" spans="1:6" x14ac:dyDescent="0.3">
      <c r="A181" t="s">
        <v>2597</v>
      </c>
      <c r="B181">
        <v>1</v>
      </c>
      <c r="D181" t="str">
        <f t="shared" si="21"/>
        <v>0025</v>
      </c>
      <c r="E181" t="str">
        <f t="shared" si="22"/>
        <v/>
      </c>
      <c r="F181" t="str">
        <f t="shared" si="15"/>
        <v>MS</v>
      </c>
    </row>
    <row r="182" spans="1:6" x14ac:dyDescent="0.3">
      <c r="A182" t="s">
        <v>1264</v>
      </c>
      <c r="B182">
        <v>1</v>
      </c>
      <c r="D182" t="str">
        <f t="shared" si="21"/>
        <v>0026</v>
      </c>
      <c r="E182" t="str">
        <f t="shared" si="22"/>
        <v/>
      </c>
      <c r="F182" t="str">
        <f t="shared" si="15"/>
        <v>CS</v>
      </c>
    </row>
    <row r="183" spans="1:6" x14ac:dyDescent="0.3">
      <c r="A183" t="s">
        <v>1266</v>
      </c>
      <c r="B183">
        <v>1</v>
      </c>
      <c r="D183" t="str">
        <f t="shared" si="21"/>
        <v>0027</v>
      </c>
      <c r="E183" t="str">
        <f t="shared" si="22"/>
        <v/>
      </c>
      <c r="F183" t="str">
        <f t="shared" si="15"/>
        <v>CS</v>
      </c>
    </row>
    <row r="184" spans="1:6" x14ac:dyDescent="0.3">
      <c r="A184" t="s">
        <v>1268</v>
      </c>
      <c r="B184">
        <v>1</v>
      </c>
      <c r="D184" t="str">
        <f t="shared" si="21"/>
        <v>0028</v>
      </c>
      <c r="E184" t="str">
        <f t="shared" si="22"/>
        <v/>
      </c>
      <c r="F184" t="str">
        <f t="shared" si="15"/>
        <v>CS</v>
      </c>
    </row>
    <row r="185" spans="1:6" x14ac:dyDescent="0.3">
      <c r="A185" t="s">
        <v>2580</v>
      </c>
      <c r="B185">
        <v>1</v>
      </c>
      <c r="D185" t="str">
        <f t="shared" si="21"/>
        <v>0029</v>
      </c>
      <c r="E185" t="str">
        <f t="shared" si="22"/>
        <v/>
      </c>
      <c r="F185" t="str">
        <f t="shared" si="15"/>
        <v>MS</v>
      </c>
    </row>
    <row r="186" spans="1:6" x14ac:dyDescent="0.3">
      <c r="A186" t="s">
        <v>1273</v>
      </c>
      <c r="B186">
        <v>1</v>
      </c>
      <c r="D186" t="str">
        <f t="shared" si="21"/>
        <v>0030</v>
      </c>
      <c r="E186" t="str">
        <f t="shared" si="22"/>
        <v>2</v>
      </c>
      <c r="F186" t="str">
        <f t="shared" ref="F186" si="23">IF(LEFT(A186,1)="X",MID(A186,8,2),"")</f>
        <v>BR</v>
      </c>
    </row>
    <row r="187" spans="1:6" x14ac:dyDescent="0.3">
      <c r="A187" t="s">
        <v>1274</v>
      </c>
      <c r="B187">
        <v>1</v>
      </c>
      <c r="D187" t="str">
        <f t="shared" si="21"/>
        <v>0030</v>
      </c>
      <c r="E187" t="str">
        <f t="shared" si="22"/>
        <v>3</v>
      </c>
      <c r="F187" t="str">
        <f t="shared" si="15"/>
        <v>CS</v>
      </c>
    </row>
    <row r="188" spans="1:6" x14ac:dyDescent="0.3">
      <c r="A188" t="s">
        <v>2598</v>
      </c>
      <c r="B188">
        <v>1</v>
      </c>
      <c r="D188" t="str">
        <f t="shared" si="21"/>
        <v>0030</v>
      </c>
      <c r="E188" t="str">
        <f t="shared" si="22"/>
        <v>1</v>
      </c>
      <c r="F188" t="str">
        <f t="shared" si="15"/>
        <v>MS</v>
      </c>
    </row>
    <row r="189" spans="1:6" x14ac:dyDescent="0.3">
      <c r="A189" t="s">
        <v>1275</v>
      </c>
      <c r="B189">
        <v>1</v>
      </c>
      <c r="D189" t="str">
        <f t="shared" si="21"/>
        <v>0031</v>
      </c>
      <c r="E189" t="str">
        <f t="shared" si="22"/>
        <v>1</v>
      </c>
      <c r="F189" t="str">
        <f t="shared" si="15"/>
        <v>CN</v>
      </c>
    </row>
    <row r="190" spans="1:6" x14ac:dyDescent="0.3">
      <c r="A190" t="s">
        <v>1276</v>
      </c>
      <c r="B190">
        <v>1</v>
      </c>
      <c r="D190" t="str">
        <f t="shared" si="21"/>
        <v>0031</v>
      </c>
      <c r="E190" t="str">
        <f t="shared" si="22"/>
        <v>3</v>
      </c>
      <c r="F190" t="str">
        <f t="shared" si="15"/>
        <v>CN</v>
      </c>
    </row>
    <row r="191" spans="1:6" x14ac:dyDescent="0.3">
      <c r="A191" t="s">
        <v>1278</v>
      </c>
      <c r="B191">
        <v>1</v>
      </c>
      <c r="D191" t="str">
        <f t="shared" si="21"/>
        <v>0031</v>
      </c>
      <c r="E191" t="str">
        <f t="shared" si="22"/>
        <v>2</v>
      </c>
      <c r="F191" t="str">
        <f t="shared" ref="F191" si="24">IF(LEFT(A191,1)="X",MID(A191,8,2),"")</f>
        <v>CR</v>
      </c>
    </row>
    <row r="192" spans="1:6" x14ac:dyDescent="0.3">
      <c r="A192" t="s">
        <v>1280</v>
      </c>
      <c r="B192">
        <v>1</v>
      </c>
      <c r="D192" t="str">
        <f t="shared" si="21"/>
        <v>0032</v>
      </c>
      <c r="E192" t="str">
        <f t="shared" si="22"/>
        <v/>
      </c>
      <c r="F192" t="str">
        <f t="shared" si="15"/>
        <v>CN</v>
      </c>
    </row>
    <row r="193" spans="1:6" x14ac:dyDescent="0.3">
      <c r="A193" t="s">
        <v>1282</v>
      </c>
      <c r="B193">
        <v>1</v>
      </c>
      <c r="D193" t="str">
        <f t="shared" si="21"/>
        <v>0033</v>
      </c>
      <c r="E193" t="str">
        <f t="shared" si="22"/>
        <v/>
      </c>
      <c r="F193" t="str">
        <f t="shared" si="15"/>
        <v>CN</v>
      </c>
    </row>
    <row r="194" spans="1:6" x14ac:dyDescent="0.3">
      <c r="A194" t="s">
        <v>1284</v>
      </c>
      <c r="B194">
        <v>1</v>
      </c>
      <c r="D194" t="str">
        <f t="shared" si="21"/>
        <v>0034</v>
      </c>
      <c r="E194" t="str">
        <f t="shared" si="22"/>
        <v/>
      </c>
      <c r="F194" t="str">
        <f t="shared" si="15"/>
        <v>CN</v>
      </c>
    </row>
    <row r="195" spans="1:6" x14ac:dyDescent="0.3">
      <c r="A195" t="s">
        <v>1286</v>
      </c>
      <c r="B195">
        <v>1</v>
      </c>
      <c r="D195" t="str">
        <f t="shared" si="21"/>
        <v>0035</v>
      </c>
      <c r="E195" t="str">
        <f t="shared" si="22"/>
        <v/>
      </c>
      <c r="F195" t="str">
        <f t="shared" si="15"/>
        <v>CN</v>
      </c>
    </row>
    <row r="196" spans="1:6" x14ac:dyDescent="0.3">
      <c r="A196" t="s">
        <v>2556</v>
      </c>
      <c r="B196">
        <v>1</v>
      </c>
      <c r="D196" t="str">
        <f t="shared" si="21"/>
        <v>0036</v>
      </c>
      <c r="E196" t="str">
        <f t="shared" si="22"/>
        <v/>
      </c>
      <c r="F196" t="str">
        <f t="shared" si="15"/>
        <v>MS</v>
      </c>
    </row>
    <row r="197" spans="1:6" x14ac:dyDescent="0.3">
      <c r="A197" t="s">
        <v>1290</v>
      </c>
      <c r="B197">
        <v>1</v>
      </c>
      <c r="D197" t="str">
        <f t="shared" si="21"/>
        <v>0037</v>
      </c>
      <c r="E197" t="str">
        <f t="shared" si="22"/>
        <v/>
      </c>
      <c r="F197" t="str">
        <f t="shared" si="15"/>
        <v>CN</v>
      </c>
    </row>
    <row r="198" spans="1:6" x14ac:dyDescent="0.3">
      <c r="A198" t="s">
        <v>1292</v>
      </c>
      <c r="B198">
        <v>1</v>
      </c>
      <c r="D198" t="str">
        <f t="shared" si="21"/>
        <v>0038</v>
      </c>
      <c r="E198" t="str">
        <f t="shared" si="22"/>
        <v/>
      </c>
      <c r="F198" t="str">
        <f t="shared" si="15"/>
        <v>CN</v>
      </c>
    </row>
    <row r="199" spans="1:6" x14ac:dyDescent="0.3">
      <c r="A199" t="s">
        <v>1294</v>
      </c>
      <c r="B199">
        <v>1</v>
      </c>
      <c r="D199" t="str">
        <f t="shared" si="21"/>
        <v>0039</v>
      </c>
      <c r="E199" t="str">
        <f t="shared" si="22"/>
        <v/>
      </c>
      <c r="F199" t="str">
        <f t="shared" si="15"/>
        <v>CN</v>
      </c>
    </row>
    <row r="200" spans="1:6" x14ac:dyDescent="0.3">
      <c r="A200" t="s">
        <v>2599</v>
      </c>
      <c r="B200">
        <v>1</v>
      </c>
      <c r="D200" t="str">
        <f t="shared" si="21"/>
        <v>0040</v>
      </c>
      <c r="E200" t="str">
        <f t="shared" si="22"/>
        <v/>
      </c>
      <c r="F200" t="str">
        <f t="shared" si="15"/>
        <v>MS</v>
      </c>
    </row>
    <row r="201" spans="1:6" x14ac:dyDescent="0.3">
      <c r="A201" t="s">
        <v>1298</v>
      </c>
      <c r="B201">
        <v>1</v>
      </c>
      <c r="D201" t="str">
        <f t="shared" si="21"/>
        <v>0041</v>
      </c>
      <c r="E201" t="str">
        <f t="shared" si="22"/>
        <v/>
      </c>
      <c r="F201" t="str">
        <f t="shared" si="15"/>
        <v>CN</v>
      </c>
    </row>
    <row r="202" spans="1:6" x14ac:dyDescent="0.3">
      <c r="A202" t="s">
        <v>1300</v>
      </c>
      <c r="B202">
        <v>1</v>
      </c>
      <c r="D202" t="str">
        <f t="shared" si="21"/>
        <v>0042</v>
      </c>
      <c r="E202" t="str">
        <f t="shared" si="22"/>
        <v/>
      </c>
      <c r="F202" t="str">
        <f t="shared" si="15"/>
        <v>CN</v>
      </c>
    </row>
    <row r="203" spans="1:6" x14ac:dyDescent="0.3">
      <c r="A203" t="s">
        <v>1302</v>
      </c>
      <c r="B203">
        <v>1</v>
      </c>
      <c r="D203" t="str">
        <f t="shared" si="21"/>
        <v>0043</v>
      </c>
      <c r="E203" t="str">
        <f t="shared" si="22"/>
        <v/>
      </c>
      <c r="F203" t="str">
        <f t="shared" si="15"/>
        <v>CN</v>
      </c>
    </row>
    <row r="204" spans="1:6" x14ac:dyDescent="0.3">
      <c r="A204" t="s">
        <v>1307</v>
      </c>
      <c r="B204">
        <v>1</v>
      </c>
      <c r="D204" t="str">
        <f t="shared" si="21"/>
        <v>0044</v>
      </c>
      <c r="E204" t="str">
        <f t="shared" si="22"/>
        <v/>
      </c>
      <c r="F204" t="str">
        <f t="shared" si="15"/>
        <v>CS</v>
      </c>
    </row>
    <row r="205" spans="1:6" x14ac:dyDescent="0.3">
      <c r="A205" t="s">
        <v>1308</v>
      </c>
      <c r="B205">
        <v>1</v>
      </c>
      <c r="D205" t="str">
        <f t="shared" si="21"/>
        <v>0045</v>
      </c>
      <c r="E205" t="str">
        <f t="shared" si="22"/>
        <v/>
      </c>
      <c r="F205" t="str">
        <f t="shared" si="15"/>
        <v>CN</v>
      </c>
    </row>
    <row r="206" spans="1:6" x14ac:dyDescent="0.3">
      <c r="A206" t="s">
        <v>1311</v>
      </c>
      <c r="B206">
        <v>1</v>
      </c>
      <c r="D206" t="str">
        <f t="shared" si="21"/>
        <v>0046</v>
      </c>
      <c r="E206" t="str">
        <f t="shared" si="22"/>
        <v>3</v>
      </c>
      <c r="F206" t="str">
        <f t="shared" si="15"/>
        <v>CN</v>
      </c>
    </row>
    <row r="207" spans="1:6" x14ac:dyDescent="0.3">
      <c r="A207" t="s">
        <v>1313</v>
      </c>
      <c r="B207">
        <v>1</v>
      </c>
      <c r="D207" t="str">
        <f t="shared" si="21"/>
        <v>0046</v>
      </c>
      <c r="E207" t="str">
        <f t="shared" si="22"/>
        <v>2</v>
      </c>
      <c r="F207" t="str">
        <f t="shared" ref="F207" si="25">IF(LEFT(A207,1)="X",MID(A207,8,2),"")</f>
        <v>CR</v>
      </c>
    </row>
    <row r="208" spans="1:6" x14ac:dyDescent="0.3">
      <c r="A208" t="s">
        <v>1315</v>
      </c>
      <c r="B208">
        <v>1</v>
      </c>
      <c r="D208" t="str">
        <f t="shared" si="21"/>
        <v>0046</v>
      </c>
      <c r="E208" t="str">
        <f t="shared" si="22"/>
        <v>1</v>
      </c>
      <c r="F208" t="str">
        <f t="shared" si="15"/>
        <v>DS</v>
      </c>
    </row>
    <row r="209" spans="1:6" x14ac:dyDescent="0.3">
      <c r="A209" t="s">
        <v>1317</v>
      </c>
      <c r="B209">
        <v>1</v>
      </c>
      <c r="D209" t="str">
        <f t="shared" si="21"/>
        <v>0047</v>
      </c>
      <c r="E209" t="str">
        <f t="shared" si="22"/>
        <v>1</v>
      </c>
      <c r="F209" t="str">
        <f t="shared" si="15"/>
        <v>CN</v>
      </c>
    </row>
    <row r="210" spans="1:6" x14ac:dyDescent="0.3">
      <c r="A210" t="s">
        <v>1318</v>
      </c>
      <c r="B210">
        <v>1</v>
      </c>
      <c r="D210" t="str">
        <f t="shared" si="21"/>
        <v>0047</v>
      </c>
      <c r="E210" t="str">
        <f t="shared" si="22"/>
        <v>3</v>
      </c>
      <c r="F210" t="str">
        <f t="shared" ref="F210:F273" si="26">IF(LEFT(A210,1)="X",MID(A210,8,2),"")</f>
        <v>CN</v>
      </c>
    </row>
    <row r="211" spans="1:6" x14ac:dyDescent="0.3">
      <c r="A211" t="s">
        <v>1320</v>
      </c>
      <c r="B211">
        <v>1</v>
      </c>
      <c r="D211" t="str">
        <f t="shared" ref="D211:D212" si="27">IF(LEFT(A211,2)="SP",MID(A211,4,4),IF(LEFT(A211,1)="X",MID(A211,3,4),""))</f>
        <v>0047</v>
      </c>
      <c r="E211" t="str">
        <f t="shared" ref="E211:E212" si="28">IF(OR(LEFT(A211,2)="SP",AND(LEFT(A211,1)="X",LEN(A211)&gt;9)),RIGHT(A211,1),"")</f>
        <v>2</v>
      </c>
      <c r="F211" t="str">
        <f t="shared" si="26"/>
        <v>CR</v>
      </c>
    </row>
    <row r="212" spans="1:6" x14ac:dyDescent="0.3">
      <c r="A212" t="s">
        <v>1323</v>
      </c>
      <c r="B212">
        <v>1</v>
      </c>
      <c r="D212" t="str">
        <f t="shared" si="27"/>
        <v>0048</v>
      </c>
      <c r="E212" t="str">
        <f t="shared" si="28"/>
        <v>2</v>
      </c>
      <c r="F212" t="str">
        <f t="shared" si="26"/>
        <v>CR</v>
      </c>
    </row>
    <row r="213" spans="1:6" x14ac:dyDescent="0.3">
      <c r="A213" t="s">
        <v>1324</v>
      </c>
      <c r="B213">
        <v>1</v>
      </c>
      <c r="D213" t="str">
        <f t="shared" ref="D213:D276" si="29">IF(LEFT(A213,2)="SP",MID(A213,4,4),IF(LEFT(A213,1)="X",MID(A213,3,4),""))</f>
        <v>0048</v>
      </c>
      <c r="E213" t="str">
        <f t="shared" ref="E213:E276" si="30">IF(OR(LEFT(A213,2)="SP",AND(LEFT(A213,1)="X",LEN(A213)&gt;9)),RIGHT(A213,1),"")</f>
        <v>1</v>
      </c>
      <c r="F213" t="str">
        <f t="shared" si="26"/>
        <v>CS</v>
      </c>
    </row>
    <row r="214" spans="1:6" x14ac:dyDescent="0.3">
      <c r="A214" t="s">
        <v>1325</v>
      </c>
      <c r="B214">
        <v>1</v>
      </c>
      <c r="D214" t="str">
        <f t="shared" si="29"/>
        <v>0048</v>
      </c>
      <c r="E214" t="str">
        <f t="shared" si="30"/>
        <v>3</v>
      </c>
      <c r="F214" t="str">
        <f t="shared" si="26"/>
        <v>DN</v>
      </c>
    </row>
    <row r="215" spans="1:6" x14ac:dyDescent="0.3">
      <c r="A215" t="s">
        <v>1326</v>
      </c>
      <c r="B215">
        <v>1</v>
      </c>
      <c r="D215" t="str">
        <f t="shared" si="29"/>
        <v>0049</v>
      </c>
      <c r="E215" t="str">
        <f t="shared" si="30"/>
        <v/>
      </c>
      <c r="F215" t="str">
        <f t="shared" si="26"/>
        <v>CN</v>
      </c>
    </row>
    <row r="216" spans="1:6" x14ac:dyDescent="0.3">
      <c r="A216" t="s">
        <v>1328</v>
      </c>
      <c r="B216">
        <v>1</v>
      </c>
      <c r="D216" t="str">
        <f t="shared" si="29"/>
        <v>0050</v>
      </c>
      <c r="E216" t="str">
        <f t="shared" si="30"/>
        <v/>
      </c>
      <c r="F216" t="str">
        <f t="shared" si="26"/>
        <v>CN</v>
      </c>
    </row>
    <row r="217" spans="1:6" x14ac:dyDescent="0.3">
      <c r="A217" t="s">
        <v>1332</v>
      </c>
      <c r="B217">
        <v>1</v>
      </c>
      <c r="D217" t="str">
        <f t="shared" si="29"/>
        <v>0051</v>
      </c>
      <c r="E217" t="str">
        <f t="shared" si="30"/>
        <v/>
      </c>
      <c r="F217" t="str">
        <f t="shared" si="26"/>
        <v>CS</v>
      </c>
    </row>
    <row r="218" spans="1:6" x14ac:dyDescent="0.3">
      <c r="A218" t="s">
        <v>1333</v>
      </c>
      <c r="B218">
        <v>1</v>
      </c>
      <c r="D218" t="str">
        <f t="shared" si="29"/>
        <v>0052</v>
      </c>
      <c r="E218" t="str">
        <f t="shared" si="30"/>
        <v/>
      </c>
      <c r="F218" t="str">
        <f t="shared" si="26"/>
        <v>CN</v>
      </c>
    </row>
    <row r="219" spans="1:6" x14ac:dyDescent="0.3">
      <c r="A219" t="s">
        <v>1335</v>
      </c>
      <c r="B219">
        <v>1</v>
      </c>
      <c r="D219" t="str">
        <f t="shared" si="29"/>
        <v>0053</v>
      </c>
      <c r="E219" t="str">
        <f t="shared" si="30"/>
        <v/>
      </c>
      <c r="F219" t="str">
        <f t="shared" si="26"/>
        <v>CN</v>
      </c>
    </row>
    <row r="220" spans="1:6" x14ac:dyDescent="0.3">
      <c r="A220" t="s">
        <v>1337</v>
      </c>
      <c r="B220">
        <v>1</v>
      </c>
      <c r="D220" t="str">
        <f t="shared" si="29"/>
        <v>0054</v>
      </c>
      <c r="E220" t="str">
        <f t="shared" si="30"/>
        <v/>
      </c>
      <c r="F220" t="str">
        <f t="shared" si="26"/>
        <v>CN</v>
      </c>
    </row>
    <row r="221" spans="1:6" x14ac:dyDescent="0.3">
      <c r="A221" t="s">
        <v>1339</v>
      </c>
      <c r="B221">
        <v>1</v>
      </c>
      <c r="D221" t="str">
        <f t="shared" si="29"/>
        <v>0055</v>
      </c>
      <c r="E221" t="str">
        <f t="shared" si="30"/>
        <v/>
      </c>
      <c r="F221" t="str">
        <f t="shared" si="26"/>
        <v>CN</v>
      </c>
    </row>
    <row r="222" spans="1:6" x14ac:dyDescent="0.3">
      <c r="A222" t="s">
        <v>2600</v>
      </c>
      <c r="B222">
        <v>1</v>
      </c>
      <c r="D222" t="str">
        <f t="shared" si="29"/>
        <v>0056</v>
      </c>
      <c r="E222" t="str">
        <f t="shared" si="30"/>
        <v/>
      </c>
      <c r="F222" t="str">
        <f t="shared" si="26"/>
        <v>MS</v>
      </c>
    </row>
    <row r="223" spans="1:6" x14ac:dyDescent="0.3">
      <c r="A223" t="s">
        <v>1343</v>
      </c>
      <c r="B223">
        <v>1</v>
      </c>
      <c r="D223" t="str">
        <f t="shared" si="29"/>
        <v>0057</v>
      </c>
      <c r="E223" t="str">
        <f t="shared" si="30"/>
        <v/>
      </c>
      <c r="F223" t="str">
        <f t="shared" si="26"/>
        <v>CN</v>
      </c>
    </row>
    <row r="224" spans="1:6" x14ac:dyDescent="0.3">
      <c r="A224" t="s">
        <v>1345</v>
      </c>
      <c r="B224">
        <v>1</v>
      </c>
      <c r="D224" t="str">
        <f t="shared" si="29"/>
        <v>0058</v>
      </c>
      <c r="E224" t="str">
        <f t="shared" si="30"/>
        <v/>
      </c>
      <c r="F224" t="str">
        <f t="shared" si="26"/>
        <v>CN</v>
      </c>
    </row>
    <row r="225" spans="1:6" x14ac:dyDescent="0.3">
      <c r="A225" t="s">
        <v>1348</v>
      </c>
      <c r="B225">
        <v>1</v>
      </c>
      <c r="D225" t="str">
        <f t="shared" si="29"/>
        <v>0059</v>
      </c>
      <c r="E225" t="str">
        <f t="shared" si="30"/>
        <v/>
      </c>
      <c r="F225" t="str">
        <f t="shared" si="26"/>
        <v>CN</v>
      </c>
    </row>
    <row r="226" spans="1:6" x14ac:dyDescent="0.3">
      <c r="A226" t="s">
        <v>1350</v>
      </c>
      <c r="B226">
        <v>1</v>
      </c>
      <c r="D226" t="str">
        <f t="shared" si="29"/>
        <v>0060</v>
      </c>
      <c r="E226" t="str">
        <f t="shared" si="30"/>
        <v/>
      </c>
      <c r="F226" t="str">
        <f t="shared" si="26"/>
        <v>CN</v>
      </c>
    </row>
    <row r="227" spans="1:6" x14ac:dyDescent="0.3">
      <c r="A227" t="s">
        <v>1352</v>
      </c>
      <c r="B227">
        <v>1</v>
      </c>
      <c r="D227" t="str">
        <f t="shared" si="29"/>
        <v>0061</v>
      </c>
      <c r="E227" t="str">
        <f t="shared" si="30"/>
        <v/>
      </c>
      <c r="F227" t="str">
        <f t="shared" si="26"/>
        <v>CN</v>
      </c>
    </row>
    <row r="228" spans="1:6" x14ac:dyDescent="0.3">
      <c r="A228" t="s">
        <v>1354</v>
      </c>
      <c r="B228">
        <v>1</v>
      </c>
      <c r="D228" t="str">
        <f t="shared" si="29"/>
        <v>0062</v>
      </c>
      <c r="E228" t="str">
        <f t="shared" si="30"/>
        <v/>
      </c>
      <c r="F228" t="str">
        <f t="shared" si="26"/>
        <v>CN</v>
      </c>
    </row>
    <row r="229" spans="1:6" x14ac:dyDescent="0.3">
      <c r="A229" t="s">
        <v>1356</v>
      </c>
      <c r="B229">
        <v>1</v>
      </c>
      <c r="D229" t="str">
        <f t="shared" si="29"/>
        <v>0063</v>
      </c>
      <c r="E229" t="str">
        <f t="shared" si="30"/>
        <v/>
      </c>
      <c r="F229" t="str">
        <f t="shared" si="26"/>
        <v>CN</v>
      </c>
    </row>
    <row r="230" spans="1:6" x14ac:dyDescent="0.3">
      <c r="A230" t="s">
        <v>1358</v>
      </c>
      <c r="B230">
        <v>1</v>
      </c>
      <c r="D230" t="str">
        <f t="shared" si="29"/>
        <v>0064</v>
      </c>
      <c r="E230" t="str">
        <f t="shared" si="30"/>
        <v/>
      </c>
      <c r="F230" t="str">
        <f t="shared" si="26"/>
        <v>CN</v>
      </c>
    </row>
    <row r="231" spans="1:6" x14ac:dyDescent="0.3">
      <c r="A231" t="s">
        <v>1360</v>
      </c>
      <c r="B231">
        <v>1</v>
      </c>
      <c r="D231" t="str">
        <f t="shared" si="29"/>
        <v>0065</v>
      </c>
      <c r="E231" t="str">
        <f t="shared" si="30"/>
        <v/>
      </c>
      <c r="F231" t="str">
        <f t="shared" si="26"/>
        <v>CN</v>
      </c>
    </row>
    <row r="232" spans="1:6" x14ac:dyDescent="0.3">
      <c r="A232" t="s">
        <v>1362</v>
      </c>
      <c r="B232">
        <v>1</v>
      </c>
      <c r="D232" t="str">
        <f t="shared" si="29"/>
        <v>0066</v>
      </c>
      <c r="E232" t="str">
        <f t="shared" si="30"/>
        <v/>
      </c>
      <c r="F232" t="str">
        <f t="shared" si="26"/>
        <v>CN</v>
      </c>
    </row>
    <row r="233" spans="1:6" x14ac:dyDescent="0.3">
      <c r="A233" t="s">
        <v>1366</v>
      </c>
      <c r="B233">
        <v>1</v>
      </c>
      <c r="D233" t="str">
        <f t="shared" si="29"/>
        <v>0067</v>
      </c>
      <c r="E233" t="str">
        <f t="shared" si="30"/>
        <v/>
      </c>
      <c r="F233" t="str">
        <f t="shared" si="26"/>
        <v>DN</v>
      </c>
    </row>
    <row r="234" spans="1:6" x14ac:dyDescent="0.3">
      <c r="A234" t="s">
        <v>1367</v>
      </c>
      <c r="B234">
        <v>1</v>
      </c>
      <c r="D234" t="str">
        <f t="shared" si="29"/>
        <v>0068</v>
      </c>
      <c r="E234" t="str">
        <f t="shared" si="30"/>
        <v/>
      </c>
      <c r="F234" t="str">
        <f t="shared" si="26"/>
        <v>CN</v>
      </c>
    </row>
    <row r="235" spans="1:6" x14ac:dyDescent="0.3">
      <c r="A235" t="s">
        <v>1371</v>
      </c>
      <c r="B235">
        <v>1</v>
      </c>
      <c r="D235" t="str">
        <f t="shared" si="29"/>
        <v>0069</v>
      </c>
      <c r="E235" t="str">
        <f t="shared" si="30"/>
        <v/>
      </c>
      <c r="F235" t="str">
        <f t="shared" si="26"/>
        <v>DS</v>
      </c>
    </row>
    <row r="236" spans="1:6" x14ac:dyDescent="0.3">
      <c r="A236" t="s">
        <v>1372</v>
      </c>
      <c r="B236">
        <v>1</v>
      </c>
      <c r="D236" t="str">
        <f t="shared" si="29"/>
        <v>0070</v>
      </c>
      <c r="E236" t="str">
        <f t="shared" si="30"/>
        <v/>
      </c>
      <c r="F236" t="str">
        <f t="shared" si="26"/>
        <v>CN</v>
      </c>
    </row>
    <row r="237" spans="1:6" x14ac:dyDescent="0.3">
      <c r="A237" t="s">
        <v>1374</v>
      </c>
      <c r="B237">
        <v>1</v>
      </c>
      <c r="D237" t="str">
        <f t="shared" si="29"/>
        <v>0071</v>
      </c>
      <c r="E237" t="str">
        <f t="shared" si="30"/>
        <v/>
      </c>
      <c r="F237" t="str">
        <f t="shared" si="26"/>
        <v>CN</v>
      </c>
    </row>
    <row r="238" spans="1:6" x14ac:dyDescent="0.3">
      <c r="A238" t="s">
        <v>1376</v>
      </c>
      <c r="B238">
        <v>1</v>
      </c>
      <c r="D238" t="str">
        <f t="shared" si="29"/>
        <v>0072</v>
      </c>
      <c r="E238" t="str">
        <f t="shared" si="30"/>
        <v/>
      </c>
      <c r="F238" t="str">
        <f t="shared" si="26"/>
        <v>CN</v>
      </c>
    </row>
    <row r="239" spans="1:6" x14ac:dyDescent="0.3">
      <c r="A239" t="s">
        <v>1378</v>
      </c>
      <c r="B239">
        <v>1</v>
      </c>
      <c r="D239" t="str">
        <f t="shared" si="29"/>
        <v>0073</v>
      </c>
      <c r="E239" t="str">
        <f t="shared" si="30"/>
        <v/>
      </c>
      <c r="F239" t="str">
        <f t="shared" si="26"/>
        <v>CN</v>
      </c>
    </row>
    <row r="240" spans="1:6" x14ac:dyDescent="0.3">
      <c r="A240" t="s">
        <v>1382</v>
      </c>
      <c r="B240">
        <v>1</v>
      </c>
      <c r="D240" t="str">
        <f t="shared" si="29"/>
        <v>0074</v>
      </c>
      <c r="E240" t="str">
        <f t="shared" si="30"/>
        <v>3</v>
      </c>
      <c r="F240" t="str">
        <f t="shared" si="26"/>
        <v>CN</v>
      </c>
    </row>
    <row r="241" spans="1:6" x14ac:dyDescent="0.3">
      <c r="A241" t="s">
        <v>1384</v>
      </c>
      <c r="B241">
        <v>1</v>
      </c>
      <c r="D241" t="str">
        <f t="shared" si="29"/>
        <v>0074</v>
      </c>
      <c r="E241" t="str">
        <f t="shared" si="30"/>
        <v>2</v>
      </c>
      <c r="F241" t="str">
        <f t="shared" si="26"/>
        <v>CR</v>
      </c>
    </row>
    <row r="242" spans="1:6" x14ac:dyDescent="0.3">
      <c r="A242" t="s">
        <v>1385</v>
      </c>
      <c r="B242">
        <v>1</v>
      </c>
      <c r="D242" t="str">
        <f t="shared" si="29"/>
        <v>0074</v>
      </c>
      <c r="E242" t="str">
        <f t="shared" si="30"/>
        <v>1</v>
      </c>
      <c r="F242" t="str">
        <f t="shared" si="26"/>
        <v>CS</v>
      </c>
    </row>
    <row r="243" spans="1:6" x14ac:dyDescent="0.3">
      <c r="A243" t="s">
        <v>1386</v>
      </c>
      <c r="B243">
        <v>1</v>
      </c>
      <c r="D243" t="str">
        <f t="shared" si="29"/>
        <v>0075</v>
      </c>
      <c r="E243" t="str">
        <f t="shared" si="30"/>
        <v/>
      </c>
      <c r="F243" t="str">
        <f t="shared" si="26"/>
        <v>CN</v>
      </c>
    </row>
    <row r="244" spans="1:6" x14ac:dyDescent="0.3">
      <c r="A244" t="s">
        <v>1391</v>
      </c>
      <c r="B244">
        <v>1</v>
      </c>
      <c r="D244" t="str">
        <f t="shared" si="29"/>
        <v>0076</v>
      </c>
      <c r="E244" t="str">
        <f t="shared" si="30"/>
        <v>1</v>
      </c>
      <c r="F244" t="str">
        <f t="shared" si="26"/>
        <v>CN</v>
      </c>
    </row>
    <row r="245" spans="1:6" x14ac:dyDescent="0.3">
      <c r="A245" t="s">
        <v>1394</v>
      </c>
      <c r="B245">
        <v>1</v>
      </c>
      <c r="D245" t="str">
        <f t="shared" si="29"/>
        <v>0076</v>
      </c>
      <c r="E245" t="str">
        <f t="shared" si="30"/>
        <v>2</v>
      </c>
      <c r="F245" t="str">
        <f t="shared" si="26"/>
        <v>CR</v>
      </c>
    </row>
    <row r="246" spans="1:6" x14ac:dyDescent="0.3">
      <c r="A246" t="s">
        <v>1395</v>
      </c>
      <c r="B246">
        <v>1</v>
      </c>
      <c r="D246" t="str">
        <f t="shared" si="29"/>
        <v>0076</v>
      </c>
      <c r="E246" t="str">
        <f t="shared" si="30"/>
        <v>3</v>
      </c>
      <c r="F246" t="str">
        <f t="shared" si="26"/>
        <v>CS</v>
      </c>
    </row>
    <row r="247" spans="1:6" x14ac:dyDescent="0.3">
      <c r="A247" t="s">
        <v>1396</v>
      </c>
      <c r="B247">
        <v>1</v>
      </c>
      <c r="D247" t="str">
        <f t="shared" si="29"/>
        <v>0077</v>
      </c>
      <c r="E247" t="str">
        <f t="shared" si="30"/>
        <v/>
      </c>
      <c r="F247" t="str">
        <f t="shared" si="26"/>
        <v>CN</v>
      </c>
    </row>
    <row r="248" spans="1:6" x14ac:dyDescent="0.3">
      <c r="A248" t="s">
        <v>1398</v>
      </c>
      <c r="B248">
        <v>1</v>
      </c>
      <c r="D248" t="str">
        <f t="shared" si="29"/>
        <v>0078</v>
      </c>
      <c r="E248" t="str">
        <f t="shared" si="30"/>
        <v/>
      </c>
      <c r="F248" t="str">
        <f t="shared" si="26"/>
        <v>CN</v>
      </c>
    </row>
    <row r="249" spans="1:6" x14ac:dyDescent="0.3">
      <c r="A249" t="s">
        <v>1400</v>
      </c>
      <c r="B249">
        <v>1</v>
      </c>
      <c r="D249" t="str">
        <f t="shared" si="29"/>
        <v>0079</v>
      </c>
      <c r="E249" t="str">
        <f t="shared" si="30"/>
        <v/>
      </c>
      <c r="F249" t="str">
        <f t="shared" si="26"/>
        <v>CN</v>
      </c>
    </row>
    <row r="250" spans="1:6" x14ac:dyDescent="0.3">
      <c r="A250" t="s">
        <v>1405</v>
      </c>
      <c r="B250">
        <v>1</v>
      </c>
      <c r="D250" t="str">
        <f t="shared" si="29"/>
        <v>0080</v>
      </c>
      <c r="E250" t="str">
        <f t="shared" si="30"/>
        <v>3</v>
      </c>
      <c r="F250" t="str">
        <f t="shared" si="26"/>
        <v>CN</v>
      </c>
    </row>
    <row r="251" spans="1:6" x14ac:dyDescent="0.3">
      <c r="A251" t="s">
        <v>1407</v>
      </c>
      <c r="B251">
        <v>1</v>
      </c>
      <c r="D251" t="str">
        <f t="shared" si="29"/>
        <v>0080</v>
      </c>
      <c r="E251" t="str">
        <f t="shared" si="30"/>
        <v>2</v>
      </c>
      <c r="F251" t="str">
        <f t="shared" si="26"/>
        <v>CR</v>
      </c>
    </row>
    <row r="252" spans="1:6" x14ac:dyDescent="0.3">
      <c r="A252" t="s">
        <v>1408</v>
      </c>
      <c r="B252">
        <v>1</v>
      </c>
      <c r="D252" t="str">
        <f t="shared" si="29"/>
        <v>0080</v>
      </c>
      <c r="E252" t="str">
        <f t="shared" si="30"/>
        <v>1</v>
      </c>
      <c r="F252" t="str">
        <f t="shared" si="26"/>
        <v>CS</v>
      </c>
    </row>
    <row r="253" spans="1:6" x14ac:dyDescent="0.3">
      <c r="A253" t="s">
        <v>1410</v>
      </c>
      <c r="B253">
        <v>1</v>
      </c>
      <c r="D253" t="str">
        <f t="shared" si="29"/>
        <v>0081</v>
      </c>
      <c r="E253" t="str">
        <f t="shared" si="30"/>
        <v>1</v>
      </c>
      <c r="F253" t="str">
        <f t="shared" si="26"/>
        <v>CN</v>
      </c>
    </row>
    <row r="254" spans="1:6" x14ac:dyDescent="0.3">
      <c r="A254" t="s">
        <v>1411</v>
      </c>
      <c r="B254">
        <v>1</v>
      </c>
      <c r="D254" t="str">
        <f t="shared" si="29"/>
        <v>0081</v>
      </c>
      <c r="E254" t="str">
        <f t="shared" si="30"/>
        <v>3</v>
      </c>
      <c r="F254" t="str">
        <f t="shared" si="26"/>
        <v>CN</v>
      </c>
    </row>
    <row r="255" spans="1:6" x14ac:dyDescent="0.3">
      <c r="A255" t="s">
        <v>1413</v>
      </c>
      <c r="B255">
        <v>1</v>
      </c>
      <c r="D255" t="str">
        <f t="shared" si="29"/>
        <v>0081</v>
      </c>
      <c r="E255" t="str">
        <f t="shared" si="30"/>
        <v>2</v>
      </c>
      <c r="F255" t="str">
        <f t="shared" si="26"/>
        <v>CR</v>
      </c>
    </row>
    <row r="256" spans="1:6" x14ac:dyDescent="0.3">
      <c r="A256" t="s">
        <v>1419</v>
      </c>
      <c r="B256">
        <v>1</v>
      </c>
      <c r="D256" t="str">
        <f t="shared" si="29"/>
        <v>0082</v>
      </c>
      <c r="E256" t="str">
        <f t="shared" si="30"/>
        <v>1</v>
      </c>
      <c r="F256" t="str">
        <f t="shared" si="26"/>
        <v>CS</v>
      </c>
    </row>
    <row r="257" spans="1:6" x14ac:dyDescent="0.3">
      <c r="A257" t="s">
        <v>1420</v>
      </c>
      <c r="B257">
        <v>1</v>
      </c>
      <c r="D257" t="str">
        <f t="shared" si="29"/>
        <v>0082</v>
      </c>
      <c r="E257" t="str">
        <f t="shared" si="30"/>
        <v>3</v>
      </c>
      <c r="F257" t="str">
        <f t="shared" si="26"/>
        <v>CS</v>
      </c>
    </row>
    <row r="258" spans="1:6" x14ac:dyDescent="0.3">
      <c r="A258" t="s">
        <v>2601</v>
      </c>
      <c r="B258">
        <v>1</v>
      </c>
      <c r="D258" t="str">
        <f t="shared" si="29"/>
        <v>0082</v>
      </c>
      <c r="E258" t="str">
        <f t="shared" si="30"/>
        <v>2</v>
      </c>
      <c r="F258" t="str">
        <f t="shared" si="26"/>
        <v>FR</v>
      </c>
    </row>
    <row r="259" spans="1:6" x14ac:dyDescent="0.3">
      <c r="A259" t="s">
        <v>1421</v>
      </c>
      <c r="B259">
        <v>1</v>
      </c>
      <c r="D259" t="str">
        <f t="shared" si="29"/>
        <v>0083</v>
      </c>
      <c r="E259" t="str">
        <f t="shared" si="30"/>
        <v>3</v>
      </c>
      <c r="F259" t="str">
        <f t="shared" si="26"/>
        <v>CN</v>
      </c>
    </row>
    <row r="260" spans="1:6" x14ac:dyDescent="0.3">
      <c r="A260" t="s">
        <v>1423</v>
      </c>
      <c r="B260">
        <v>1</v>
      </c>
      <c r="D260" t="str">
        <f t="shared" si="29"/>
        <v>0083</v>
      </c>
      <c r="E260" t="str">
        <f t="shared" si="30"/>
        <v>2</v>
      </c>
      <c r="F260" t="str">
        <f t="shared" si="26"/>
        <v>CR</v>
      </c>
    </row>
    <row r="261" spans="1:6" x14ac:dyDescent="0.3">
      <c r="A261" t="s">
        <v>1424</v>
      </c>
      <c r="B261">
        <v>1</v>
      </c>
      <c r="D261" t="str">
        <f t="shared" si="29"/>
        <v>0083</v>
      </c>
      <c r="E261" t="str">
        <f t="shared" si="30"/>
        <v>1</v>
      </c>
      <c r="F261" t="str">
        <f t="shared" si="26"/>
        <v>CS</v>
      </c>
    </row>
    <row r="262" spans="1:6" x14ac:dyDescent="0.3">
      <c r="A262" t="s">
        <v>1425</v>
      </c>
      <c r="B262">
        <v>1</v>
      </c>
      <c r="D262" t="str">
        <f t="shared" si="29"/>
        <v>0084</v>
      </c>
      <c r="E262" t="str">
        <f t="shared" si="30"/>
        <v/>
      </c>
      <c r="F262" t="str">
        <f t="shared" si="26"/>
        <v>CN</v>
      </c>
    </row>
    <row r="263" spans="1:6" x14ac:dyDescent="0.3">
      <c r="A263" t="s">
        <v>1427</v>
      </c>
      <c r="B263">
        <v>1</v>
      </c>
      <c r="D263" t="str">
        <f t="shared" si="29"/>
        <v>0085</v>
      </c>
      <c r="E263" t="str">
        <f t="shared" si="30"/>
        <v/>
      </c>
      <c r="F263" t="str">
        <f t="shared" si="26"/>
        <v>CN</v>
      </c>
    </row>
    <row r="264" spans="1:6" x14ac:dyDescent="0.3">
      <c r="A264" t="s">
        <v>1431</v>
      </c>
      <c r="B264">
        <v>1</v>
      </c>
      <c r="D264" t="str">
        <f t="shared" si="29"/>
        <v>0086</v>
      </c>
      <c r="E264" t="str">
        <f t="shared" si="30"/>
        <v/>
      </c>
      <c r="F264" t="str">
        <f t="shared" si="26"/>
        <v>DN</v>
      </c>
    </row>
    <row r="265" spans="1:6" x14ac:dyDescent="0.3">
      <c r="A265" t="s">
        <v>1433</v>
      </c>
      <c r="B265">
        <v>1</v>
      </c>
      <c r="D265" t="str">
        <f t="shared" si="29"/>
        <v>0087</v>
      </c>
      <c r="E265" t="str">
        <f t="shared" si="30"/>
        <v>1</v>
      </c>
      <c r="F265" t="str">
        <f t="shared" si="26"/>
        <v>CN</v>
      </c>
    </row>
    <row r="266" spans="1:6" x14ac:dyDescent="0.3">
      <c r="A266" t="s">
        <v>1434</v>
      </c>
      <c r="B266">
        <v>1</v>
      </c>
      <c r="D266" t="str">
        <f t="shared" si="29"/>
        <v>0087</v>
      </c>
      <c r="E266" t="str">
        <f t="shared" si="30"/>
        <v>3</v>
      </c>
      <c r="F266" t="str">
        <f t="shared" si="26"/>
        <v>CN</v>
      </c>
    </row>
    <row r="267" spans="1:6" x14ac:dyDescent="0.3">
      <c r="A267" t="s">
        <v>1436</v>
      </c>
      <c r="B267">
        <v>1</v>
      </c>
      <c r="D267" t="str">
        <f t="shared" si="29"/>
        <v>0087</v>
      </c>
      <c r="E267" t="str">
        <f t="shared" si="30"/>
        <v>2</v>
      </c>
      <c r="F267" t="str">
        <f t="shared" si="26"/>
        <v>CR</v>
      </c>
    </row>
    <row r="268" spans="1:6" x14ac:dyDescent="0.3">
      <c r="A268" t="s">
        <v>1437</v>
      </c>
      <c r="B268">
        <v>1</v>
      </c>
      <c r="D268" t="str">
        <f t="shared" si="29"/>
        <v>0088</v>
      </c>
      <c r="E268" t="str">
        <f t="shared" si="30"/>
        <v/>
      </c>
      <c r="F268" t="str">
        <f t="shared" si="26"/>
        <v>CN</v>
      </c>
    </row>
    <row r="269" spans="1:6" x14ac:dyDescent="0.3">
      <c r="A269" t="s">
        <v>1440</v>
      </c>
      <c r="B269">
        <v>1</v>
      </c>
      <c r="D269" t="str">
        <f t="shared" si="29"/>
        <v>0089</v>
      </c>
      <c r="E269" t="str">
        <f t="shared" si="30"/>
        <v>1</v>
      </c>
      <c r="F269" t="str">
        <f t="shared" si="26"/>
        <v>CN</v>
      </c>
    </row>
    <row r="270" spans="1:6" x14ac:dyDescent="0.3">
      <c r="A270" t="s">
        <v>1441</v>
      </c>
      <c r="B270">
        <v>1</v>
      </c>
      <c r="D270" t="str">
        <f t="shared" si="29"/>
        <v>0089</v>
      </c>
      <c r="E270" t="str">
        <f t="shared" si="30"/>
        <v>3</v>
      </c>
      <c r="F270" t="str">
        <f t="shared" si="26"/>
        <v>CN</v>
      </c>
    </row>
    <row r="271" spans="1:6" x14ac:dyDescent="0.3">
      <c r="A271" t="s">
        <v>1443</v>
      </c>
      <c r="B271">
        <v>1</v>
      </c>
      <c r="D271" t="str">
        <f t="shared" si="29"/>
        <v>0089</v>
      </c>
      <c r="E271" t="str">
        <f t="shared" si="30"/>
        <v>2</v>
      </c>
      <c r="F271" t="str">
        <f t="shared" si="26"/>
        <v>CR</v>
      </c>
    </row>
    <row r="272" spans="1:6" x14ac:dyDescent="0.3">
      <c r="A272" t="s">
        <v>2581</v>
      </c>
      <c r="B272">
        <v>1</v>
      </c>
      <c r="D272" t="str">
        <f t="shared" si="29"/>
        <v>0090</v>
      </c>
      <c r="E272" t="str">
        <f t="shared" si="30"/>
        <v/>
      </c>
      <c r="F272" t="str">
        <f t="shared" si="26"/>
        <v>MS</v>
      </c>
    </row>
    <row r="273" spans="1:6" x14ac:dyDescent="0.3">
      <c r="A273" t="s">
        <v>1447</v>
      </c>
      <c r="B273">
        <v>1</v>
      </c>
      <c r="D273" t="str">
        <f t="shared" si="29"/>
        <v>0091</v>
      </c>
      <c r="E273" t="str">
        <f t="shared" si="30"/>
        <v>1</v>
      </c>
      <c r="F273" t="str">
        <f t="shared" si="26"/>
        <v>CN</v>
      </c>
    </row>
    <row r="274" spans="1:6" x14ac:dyDescent="0.3">
      <c r="A274" t="s">
        <v>1448</v>
      </c>
      <c r="B274">
        <v>1</v>
      </c>
      <c r="D274" t="str">
        <f t="shared" si="29"/>
        <v>0091</v>
      </c>
      <c r="E274" t="str">
        <f t="shared" si="30"/>
        <v>3</v>
      </c>
      <c r="F274" t="str">
        <f t="shared" ref="F274:F337" si="31">IF(LEFT(A274,1)="X",MID(A274,8,2),"")</f>
        <v>CN</v>
      </c>
    </row>
    <row r="275" spans="1:6" x14ac:dyDescent="0.3">
      <c r="A275" t="s">
        <v>1450</v>
      </c>
      <c r="B275">
        <v>1</v>
      </c>
      <c r="D275" t="str">
        <f t="shared" si="29"/>
        <v>0091</v>
      </c>
      <c r="E275" t="str">
        <f t="shared" si="30"/>
        <v>2</v>
      </c>
      <c r="F275" t="str">
        <f t="shared" si="31"/>
        <v>CR</v>
      </c>
    </row>
    <row r="276" spans="1:6" x14ac:dyDescent="0.3">
      <c r="A276" t="s">
        <v>1451</v>
      </c>
      <c r="B276">
        <v>1</v>
      </c>
      <c r="D276" t="str">
        <f t="shared" si="29"/>
        <v>0092</v>
      </c>
      <c r="E276" t="str">
        <f t="shared" si="30"/>
        <v/>
      </c>
      <c r="F276" t="str">
        <f t="shared" si="31"/>
        <v>CN</v>
      </c>
    </row>
    <row r="277" spans="1:6" x14ac:dyDescent="0.3">
      <c r="A277" t="s">
        <v>2602</v>
      </c>
      <c r="B277">
        <v>1</v>
      </c>
      <c r="D277" t="str">
        <f t="shared" ref="D277:D340" si="32">IF(LEFT(A277,2)="SP",MID(A277,4,4),IF(LEFT(A277,1)="X",MID(A277,3,4),""))</f>
        <v>0093</v>
      </c>
      <c r="E277" t="str">
        <f t="shared" ref="E277:E340" si="33">IF(OR(LEFT(A277,2)="SP",AND(LEFT(A277,1)="X",LEN(A277)&gt;9)),RIGHT(A277,1),"")</f>
        <v/>
      </c>
      <c r="F277" t="str">
        <f t="shared" si="31"/>
        <v>MS</v>
      </c>
    </row>
    <row r="278" spans="1:6" x14ac:dyDescent="0.3">
      <c r="A278" t="s">
        <v>1455</v>
      </c>
      <c r="B278">
        <v>1</v>
      </c>
      <c r="D278" t="str">
        <f t="shared" si="32"/>
        <v>0094</v>
      </c>
      <c r="E278" t="str">
        <f t="shared" si="33"/>
        <v/>
      </c>
      <c r="F278" t="str">
        <f t="shared" si="31"/>
        <v>CN</v>
      </c>
    </row>
    <row r="279" spans="1:6" x14ac:dyDescent="0.3">
      <c r="A279" t="s">
        <v>1457</v>
      </c>
      <c r="B279">
        <v>1</v>
      </c>
      <c r="D279" t="str">
        <f t="shared" si="32"/>
        <v>0095</v>
      </c>
      <c r="E279" t="str">
        <f t="shared" si="33"/>
        <v/>
      </c>
      <c r="F279" t="str">
        <f t="shared" si="31"/>
        <v>CN</v>
      </c>
    </row>
    <row r="280" spans="1:6" x14ac:dyDescent="0.3">
      <c r="A280" t="s">
        <v>1459</v>
      </c>
      <c r="B280">
        <v>1</v>
      </c>
      <c r="D280" t="str">
        <f t="shared" si="32"/>
        <v>0096</v>
      </c>
      <c r="E280" t="str">
        <f t="shared" si="33"/>
        <v/>
      </c>
      <c r="F280" t="str">
        <f t="shared" si="31"/>
        <v>CN</v>
      </c>
    </row>
    <row r="281" spans="1:6" x14ac:dyDescent="0.3">
      <c r="A281" t="s">
        <v>1461</v>
      </c>
      <c r="B281">
        <v>1</v>
      </c>
      <c r="D281" t="str">
        <f t="shared" si="32"/>
        <v>0097</v>
      </c>
      <c r="E281" t="str">
        <f t="shared" si="33"/>
        <v/>
      </c>
      <c r="F281" t="str">
        <f t="shared" si="31"/>
        <v>CN</v>
      </c>
    </row>
    <row r="282" spans="1:6" x14ac:dyDescent="0.3">
      <c r="A282" t="s">
        <v>1466</v>
      </c>
      <c r="B282">
        <v>1</v>
      </c>
      <c r="D282" t="str">
        <f t="shared" si="32"/>
        <v>0098</v>
      </c>
      <c r="E282" t="str">
        <f t="shared" si="33"/>
        <v/>
      </c>
      <c r="F282" t="str">
        <f t="shared" si="31"/>
        <v>DS</v>
      </c>
    </row>
    <row r="283" spans="1:6" x14ac:dyDescent="0.3">
      <c r="A283" t="s">
        <v>1467</v>
      </c>
      <c r="B283">
        <v>1</v>
      </c>
      <c r="D283" t="str">
        <f t="shared" si="32"/>
        <v>0099</v>
      </c>
      <c r="E283" t="str">
        <f t="shared" si="33"/>
        <v/>
      </c>
      <c r="F283" t="str">
        <f t="shared" si="31"/>
        <v>CN</v>
      </c>
    </row>
    <row r="284" spans="1:6" x14ac:dyDescent="0.3">
      <c r="A284" t="s">
        <v>1470</v>
      </c>
      <c r="B284">
        <v>1</v>
      </c>
      <c r="D284" t="str">
        <f t="shared" si="32"/>
        <v>0100</v>
      </c>
      <c r="E284" t="str">
        <f t="shared" si="33"/>
        <v/>
      </c>
      <c r="F284" t="str">
        <f t="shared" si="31"/>
        <v>CN</v>
      </c>
    </row>
    <row r="285" spans="1:6" x14ac:dyDescent="0.3">
      <c r="A285" t="s">
        <v>1472</v>
      </c>
      <c r="B285">
        <v>1</v>
      </c>
      <c r="D285" t="str">
        <f t="shared" si="32"/>
        <v>0101</v>
      </c>
      <c r="E285" t="str">
        <f t="shared" si="33"/>
        <v/>
      </c>
      <c r="F285" t="str">
        <f t="shared" si="31"/>
        <v>CN</v>
      </c>
    </row>
    <row r="286" spans="1:6" x14ac:dyDescent="0.3">
      <c r="A286" t="s">
        <v>2603</v>
      </c>
      <c r="B286">
        <v>1</v>
      </c>
      <c r="D286" t="str">
        <f t="shared" si="32"/>
        <v>0102</v>
      </c>
      <c r="E286" t="str">
        <f t="shared" si="33"/>
        <v/>
      </c>
      <c r="F286" t="str">
        <f t="shared" si="31"/>
        <v>MS</v>
      </c>
    </row>
    <row r="287" spans="1:6" x14ac:dyDescent="0.3">
      <c r="A287" t="s">
        <v>1478</v>
      </c>
      <c r="B287">
        <v>1</v>
      </c>
      <c r="D287" t="str">
        <f t="shared" si="32"/>
        <v>0103</v>
      </c>
      <c r="E287" t="str">
        <f t="shared" si="33"/>
        <v>1</v>
      </c>
      <c r="F287" t="str">
        <f t="shared" si="31"/>
        <v>CN</v>
      </c>
    </row>
    <row r="288" spans="1:6" x14ac:dyDescent="0.3">
      <c r="A288" t="s">
        <v>1480</v>
      </c>
      <c r="B288">
        <v>1</v>
      </c>
      <c r="D288" t="str">
        <f t="shared" si="32"/>
        <v>0103</v>
      </c>
      <c r="E288" t="str">
        <f t="shared" si="33"/>
        <v>2</v>
      </c>
      <c r="F288" t="str">
        <f t="shared" si="31"/>
        <v>CR</v>
      </c>
    </row>
    <row r="289" spans="1:6" x14ac:dyDescent="0.3">
      <c r="A289" t="s">
        <v>1481</v>
      </c>
      <c r="B289">
        <v>1</v>
      </c>
      <c r="D289" t="str">
        <f t="shared" si="32"/>
        <v>0103</v>
      </c>
      <c r="E289" t="str">
        <f t="shared" si="33"/>
        <v>3</v>
      </c>
      <c r="F289" t="str">
        <f t="shared" si="31"/>
        <v>CS</v>
      </c>
    </row>
    <row r="290" spans="1:6" x14ac:dyDescent="0.3">
      <c r="A290" t="s">
        <v>1482</v>
      </c>
      <c r="B290">
        <v>1</v>
      </c>
      <c r="D290" t="str">
        <f t="shared" si="32"/>
        <v>0104</v>
      </c>
      <c r="E290" t="str">
        <f t="shared" si="33"/>
        <v/>
      </c>
      <c r="F290" t="str">
        <f t="shared" si="31"/>
        <v>CN</v>
      </c>
    </row>
    <row r="291" spans="1:6" x14ac:dyDescent="0.3">
      <c r="A291" t="s">
        <v>1484</v>
      </c>
      <c r="B291">
        <v>1</v>
      </c>
      <c r="D291" t="str">
        <f t="shared" si="32"/>
        <v>0105</v>
      </c>
      <c r="E291" t="str">
        <f t="shared" si="33"/>
        <v/>
      </c>
      <c r="F291" t="str">
        <f t="shared" si="31"/>
        <v>CN</v>
      </c>
    </row>
    <row r="292" spans="1:6" x14ac:dyDescent="0.3">
      <c r="A292" t="s">
        <v>2604</v>
      </c>
      <c r="B292">
        <v>1</v>
      </c>
      <c r="D292" t="str">
        <f t="shared" si="32"/>
        <v>0106</v>
      </c>
      <c r="E292" t="str">
        <f t="shared" si="33"/>
        <v/>
      </c>
      <c r="F292" t="str">
        <f t="shared" si="31"/>
        <v>MS</v>
      </c>
    </row>
    <row r="293" spans="1:6" x14ac:dyDescent="0.3">
      <c r="A293" t="s">
        <v>1491</v>
      </c>
      <c r="B293">
        <v>1</v>
      </c>
      <c r="D293" t="str">
        <f t="shared" si="32"/>
        <v>0107</v>
      </c>
      <c r="E293" t="str">
        <f t="shared" si="33"/>
        <v>1</v>
      </c>
      <c r="F293" t="str">
        <f t="shared" si="31"/>
        <v>CN</v>
      </c>
    </row>
    <row r="294" spans="1:6" x14ac:dyDescent="0.3">
      <c r="A294" t="s">
        <v>1494</v>
      </c>
      <c r="B294">
        <v>1</v>
      </c>
      <c r="D294" t="str">
        <f t="shared" si="32"/>
        <v>0107</v>
      </c>
      <c r="E294" t="str">
        <f t="shared" si="33"/>
        <v>2</v>
      </c>
      <c r="F294" t="str">
        <f t="shared" si="31"/>
        <v>CR</v>
      </c>
    </row>
    <row r="295" spans="1:6" x14ac:dyDescent="0.3">
      <c r="A295" t="s">
        <v>2558</v>
      </c>
      <c r="B295">
        <v>1</v>
      </c>
      <c r="D295" t="str">
        <f t="shared" si="32"/>
        <v>0107</v>
      </c>
      <c r="E295" t="str">
        <f t="shared" si="33"/>
        <v>3</v>
      </c>
      <c r="F295" t="str">
        <f t="shared" si="31"/>
        <v>MS</v>
      </c>
    </row>
    <row r="296" spans="1:6" x14ac:dyDescent="0.3">
      <c r="A296" t="s">
        <v>1495</v>
      </c>
      <c r="B296">
        <v>1</v>
      </c>
      <c r="D296" t="str">
        <f t="shared" si="32"/>
        <v>0108</v>
      </c>
      <c r="E296" t="str">
        <f t="shared" si="33"/>
        <v>1</v>
      </c>
      <c r="F296" t="str">
        <f t="shared" si="31"/>
        <v>CN</v>
      </c>
    </row>
    <row r="297" spans="1:6" x14ac:dyDescent="0.3">
      <c r="A297" t="s">
        <v>1496</v>
      </c>
      <c r="B297">
        <v>1</v>
      </c>
      <c r="D297" t="str">
        <f t="shared" si="32"/>
        <v>0108</v>
      </c>
      <c r="E297" t="str">
        <f t="shared" si="33"/>
        <v>3</v>
      </c>
      <c r="F297" t="str">
        <f t="shared" si="31"/>
        <v>CN</v>
      </c>
    </row>
    <row r="298" spans="1:6" x14ac:dyDescent="0.3">
      <c r="A298" t="s">
        <v>1498</v>
      </c>
      <c r="B298">
        <v>1</v>
      </c>
      <c r="D298" t="str">
        <f t="shared" si="32"/>
        <v>0108</v>
      </c>
      <c r="E298" t="str">
        <f t="shared" si="33"/>
        <v>2</v>
      </c>
      <c r="F298" t="str">
        <f t="shared" si="31"/>
        <v>CR</v>
      </c>
    </row>
    <row r="299" spans="1:6" x14ac:dyDescent="0.3">
      <c r="A299" t="s">
        <v>1501</v>
      </c>
      <c r="B299">
        <v>1</v>
      </c>
      <c r="D299" t="str">
        <f t="shared" si="32"/>
        <v>0109</v>
      </c>
      <c r="E299" t="str">
        <f t="shared" si="33"/>
        <v>1</v>
      </c>
      <c r="F299" t="str">
        <f t="shared" si="31"/>
        <v>CN</v>
      </c>
    </row>
    <row r="300" spans="1:6" x14ac:dyDescent="0.3">
      <c r="A300" t="s">
        <v>1502</v>
      </c>
      <c r="B300">
        <v>1</v>
      </c>
      <c r="D300" t="str">
        <f t="shared" si="32"/>
        <v>0109</v>
      </c>
      <c r="E300" t="str">
        <f t="shared" si="33"/>
        <v>3</v>
      </c>
      <c r="F300" t="str">
        <f t="shared" si="31"/>
        <v>CN</v>
      </c>
    </row>
    <row r="301" spans="1:6" x14ac:dyDescent="0.3">
      <c r="A301" t="s">
        <v>1504</v>
      </c>
      <c r="B301">
        <v>1</v>
      </c>
      <c r="D301" t="str">
        <f t="shared" si="32"/>
        <v>0109</v>
      </c>
      <c r="E301" t="str">
        <f t="shared" si="33"/>
        <v>2</v>
      </c>
      <c r="F301" t="str">
        <f t="shared" si="31"/>
        <v>CR</v>
      </c>
    </row>
    <row r="302" spans="1:6" x14ac:dyDescent="0.3">
      <c r="A302" t="s">
        <v>1506</v>
      </c>
      <c r="B302">
        <v>1</v>
      </c>
      <c r="D302" t="str">
        <f t="shared" si="32"/>
        <v>0110</v>
      </c>
      <c r="E302" t="str">
        <f t="shared" si="33"/>
        <v>3</v>
      </c>
      <c r="F302" t="str">
        <f t="shared" si="31"/>
        <v>CN</v>
      </c>
    </row>
    <row r="303" spans="1:6" x14ac:dyDescent="0.3">
      <c r="A303" t="s">
        <v>1508</v>
      </c>
      <c r="B303">
        <v>1</v>
      </c>
      <c r="D303" t="str">
        <f t="shared" si="32"/>
        <v>0110</v>
      </c>
      <c r="E303" t="str">
        <f t="shared" si="33"/>
        <v>2</v>
      </c>
      <c r="F303" t="str">
        <f t="shared" si="31"/>
        <v>CR</v>
      </c>
    </row>
    <row r="304" spans="1:6" x14ac:dyDescent="0.3">
      <c r="A304" t="s">
        <v>1509</v>
      </c>
      <c r="B304">
        <v>1</v>
      </c>
      <c r="D304" t="str">
        <f t="shared" si="32"/>
        <v>0110</v>
      </c>
      <c r="E304" t="str">
        <f t="shared" si="33"/>
        <v>1</v>
      </c>
      <c r="F304" t="str">
        <f t="shared" si="31"/>
        <v>CS</v>
      </c>
    </row>
    <row r="305" spans="1:6" x14ac:dyDescent="0.3">
      <c r="A305" t="s">
        <v>1512</v>
      </c>
      <c r="B305">
        <v>1</v>
      </c>
      <c r="D305" t="str">
        <f t="shared" si="32"/>
        <v>0111</v>
      </c>
      <c r="E305" t="str">
        <f t="shared" si="33"/>
        <v/>
      </c>
      <c r="F305" t="str">
        <f t="shared" si="31"/>
        <v>CR</v>
      </c>
    </row>
    <row r="306" spans="1:6" x14ac:dyDescent="0.3">
      <c r="A306" t="s">
        <v>1514</v>
      </c>
      <c r="B306">
        <v>1</v>
      </c>
      <c r="D306" t="str">
        <f t="shared" si="32"/>
        <v>0112</v>
      </c>
      <c r="E306" t="str">
        <f t="shared" si="33"/>
        <v/>
      </c>
      <c r="F306" t="str">
        <f t="shared" si="31"/>
        <v>CS</v>
      </c>
    </row>
    <row r="307" spans="1:6" x14ac:dyDescent="0.3">
      <c r="A307" t="s">
        <v>2605</v>
      </c>
      <c r="B307">
        <v>1</v>
      </c>
      <c r="D307" t="str">
        <f t="shared" si="32"/>
        <v>0113</v>
      </c>
      <c r="E307" t="str">
        <f t="shared" si="33"/>
        <v/>
      </c>
      <c r="F307" t="str">
        <f t="shared" si="31"/>
        <v>MS</v>
      </c>
    </row>
    <row r="308" spans="1:6" x14ac:dyDescent="0.3">
      <c r="A308" t="s">
        <v>1517</v>
      </c>
      <c r="B308">
        <v>1</v>
      </c>
      <c r="D308" t="str">
        <f t="shared" si="32"/>
        <v>0114</v>
      </c>
      <c r="E308" t="str">
        <f t="shared" si="33"/>
        <v/>
      </c>
      <c r="F308" t="str">
        <f t="shared" si="31"/>
        <v>CN</v>
      </c>
    </row>
    <row r="309" spans="1:6" x14ac:dyDescent="0.3">
      <c r="A309" t="s">
        <v>1519</v>
      </c>
      <c r="B309">
        <v>1</v>
      </c>
      <c r="D309" t="str">
        <f t="shared" si="32"/>
        <v>0115</v>
      </c>
      <c r="E309" t="str">
        <f t="shared" si="33"/>
        <v/>
      </c>
      <c r="F309" t="str">
        <f t="shared" si="31"/>
        <v>CN</v>
      </c>
    </row>
    <row r="310" spans="1:6" x14ac:dyDescent="0.3">
      <c r="A310" t="s">
        <v>1521</v>
      </c>
      <c r="B310">
        <v>1</v>
      </c>
      <c r="D310" t="str">
        <f t="shared" si="32"/>
        <v>0116</v>
      </c>
      <c r="E310" t="str">
        <f t="shared" si="33"/>
        <v/>
      </c>
      <c r="F310" t="str">
        <f t="shared" si="31"/>
        <v>CN</v>
      </c>
    </row>
    <row r="311" spans="1:6" x14ac:dyDescent="0.3">
      <c r="A311" t="s">
        <v>1523</v>
      </c>
      <c r="B311">
        <v>1</v>
      </c>
      <c r="D311" t="str">
        <f t="shared" si="32"/>
        <v>0117</v>
      </c>
      <c r="E311" t="str">
        <f t="shared" si="33"/>
        <v/>
      </c>
      <c r="F311" t="str">
        <f t="shared" si="31"/>
        <v>CN</v>
      </c>
    </row>
    <row r="312" spans="1:6" x14ac:dyDescent="0.3">
      <c r="A312" t="s">
        <v>1526</v>
      </c>
      <c r="B312">
        <v>1</v>
      </c>
      <c r="D312" t="str">
        <f t="shared" si="32"/>
        <v>0118</v>
      </c>
      <c r="E312" t="str">
        <f t="shared" si="33"/>
        <v/>
      </c>
      <c r="F312" t="str">
        <f t="shared" si="31"/>
        <v>CN</v>
      </c>
    </row>
    <row r="313" spans="1:6" x14ac:dyDescent="0.3">
      <c r="A313" t="s">
        <v>1528</v>
      </c>
      <c r="B313">
        <v>1</v>
      </c>
      <c r="D313" t="str">
        <f t="shared" si="32"/>
        <v>0119</v>
      </c>
      <c r="E313" t="str">
        <f t="shared" si="33"/>
        <v/>
      </c>
      <c r="F313" t="str">
        <f t="shared" si="31"/>
        <v>CN</v>
      </c>
    </row>
    <row r="314" spans="1:6" x14ac:dyDescent="0.3">
      <c r="A314" t="s">
        <v>1530</v>
      </c>
      <c r="B314">
        <v>1</v>
      </c>
      <c r="D314" t="str">
        <f t="shared" si="32"/>
        <v>0120</v>
      </c>
      <c r="E314" t="str">
        <f t="shared" si="33"/>
        <v/>
      </c>
      <c r="F314" t="str">
        <f t="shared" si="31"/>
        <v>CN</v>
      </c>
    </row>
    <row r="315" spans="1:6" x14ac:dyDescent="0.3">
      <c r="A315" t="s">
        <v>1532</v>
      </c>
      <c r="B315">
        <v>1</v>
      </c>
      <c r="D315" t="str">
        <f t="shared" si="32"/>
        <v>0121</v>
      </c>
      <c r="E315" t="str">
        <f t="shared" si="33"/>
        <v/>
      </c>
      <c r="F315" t="str">
        <f t="shared" si="31"/>
        <v>CN</v>
      </c>
    </row>
    <row r="316" spans="1:6" x14ac:dyDescent="0.3">
      <c r="A316" t="s">
        <v>1534</v>
      </c>
      <c r="B316">
        <v>1</v>
      </c>
      <c r="D316" t="str">
        <f t="shared" si="32"/>
        <v>0122</v>
      </c>
      <c r="E316" t="str">
        <f t="shared" si="33"/>
        <v/>
      </c>
      <c r="F316" t="str">
        <f t="shared" si="31"/>
        <v>CN</v>
      </c>
    </row>
    <row r="317" spans="1:6" x14ac:dyDescent="0.3">
      <c r="A317" t="s">
        <v>1536</v>
      </c>
      <c r="B317">
        <v>1</v>
      </c>
      <c r="D317" t="str">
        <f t="shared" si="32"/>
        <v>0123</v>
      </c>
      <c r="E317" t="str">
        <f t="shared" si="33"/>
        <v/>
      </c>
      <c r="F317" t="str">
        <f t="shared" si="31"/>
        <v>CN</v>
      </c>
    </row>
    <row r="318" spans="1:6" x14ac:dyDescent="0.3">
      <c r="A318" t="s">
        <v>1540</v>
      </c>
      <c r="B318">
        <v>1</v>
      </c>
      <c r="D318" t="str">
        <f t="shared" si="32"/>
        <v>0124</v>
      </c>
      <c r="E318" t="str">
        <f t="shared" si="33"/>
        <v/>
      </c>
      <c r="F318" t="str">
        <f t="shared" si="31"/>
        <v>CS</v>
      </c>
    </row>
    <row r="319" spans="1:6" x14ac:dyDescent="0.3">
      <c r="A319" t="s">
        <v>1541</v>
      </c>
      <c r="B319">
        <v>1</v>
      </c>
      <c r="D319" t="str">
        <f t="shared" si="32"/>
        <v>0125</v>
      </c>
      <c r="E319" t="str">
        <f t="shared" si="33"/>
        <v/>
      </c>
      <c r="F319" t="str">
        <f t="shared" si="31"/>
        <v>CN</v>
      </c>
    </row>
    <row r="320" spans="1:6" x14ac:dyDescent="0.3">
      <c r="A320" t="s">
        <v>1543</v>
      </c>
      <c r="B320">
        <v>1</v>
      </c>
      <c r="D320" t="str">
        <f t="shared" si="32"/>
        <v>0126</v>
      </c>
      <c r="E320" t="str">
        <f t="shared" si="33"/>
        <v/>
      </c>
      <c r="F320" t="str">
        <f t="shared" si="31"/>
        <v>CN</v>
      </c>
    </row>
    <row r="321" spans="1:6" x14ac:dyDescent="0.3">
      <c r="A321" t="s">
        <v>2606</v>
      </c>
      <c r="B321">
        <v>1</v>
      </c>
      <c r="D321" t="str">
        <f t="shared" si="32"/>
        <v>0127</v>
      </c>
      <c r="E321" t="str">
        <f t="shared" si="33"/>
        <v/>
      </c>
      <c r="F321" t="str">
        <f t="shared" si="31"/>
        <v>MS</v>
      </c>
    </row>
    <row r="322" spans="1:6" x14ac:dyDescent="0.3">
      <c r="A322" t="s">
        <v>1548</v>
      </c>
      <c r="B322">
        <v>1</v>
      </c>
      <c r="D322" t="str">
        <f t="shared" si="32"/>
        <v>0128</v>
      </c>
      <c r="E322" t="str">
        <f t="shared" si="33"/>
        <v/>
      </c>
      <c r="F322" t="str">
        <f t="shared" si="31"/>
        <v>CN</v>
      </c>
    </row>
    <row r="323" spans="1:6" x14ac:dyDescent="0.3">
      <c r="A323" t="s">
        <v>1550</v>
      </c>
      <c r="B323">
        <v>1</v>
      </c>
      <c r="D323" t="str">
        <f t="shared" si="32"/>
        <v>0129</v>
      </c>
      <c r="E323" t="str">
        <f t="shared" si="33"/>
        <v/>
      </c>
      <c r="F323" t="str">
        <f t="shared" si="31"/>
        <v>CN</v>
      </c>
    </row>
    <row r="324" spans="1:6" x14ac:dyDescent="0.3">
      <c r="A324" t="s">
        <v>1553</v>
      </c>
      <c r="B324">
        <v>1</v>
      </c>
      <c r="D324" t="str">
        <f t="shared" si="32"/>
        <v>0130</v>
      </c>
      <c r="E324" t="str">
        <f t="shared" si="33"/>
        <v/>
      </c>
      <c r="F324" t="str">
        <f t="shared" si="31"/>
        <v>CN</v>
      </c>
    </row>
    <row r="325" spans="1:6" x14ac:dyDescent="0.3">
      <c r="A325" t="s">
        <v>1556</v>
      </c>
      <c r="B325">
        <v>1</v>
      </c>
      <c r="D325" t="str">
        <f t="shared" si="32"/>
        <v>0131</v>
      </c>
      <c r="E325" t="str">
        <f t="shared" si="33"/>
        <v/>
      </c>
      <c r="F325" t="str">
        <f t="shared" si="31"/>
        <v>CN</v>
      </c>
    </row>
    <row r="326" spans="1:6" x14ac:dyDescent="0.3">
      <c r="A326" t="s">
        <v>1558</v>
      </c>
      <c r="B326">
        <v>1</v>
      </c>
      <c r="D326" t="str">
        <f t="shared" si="32"/>
        <v>0132</v>
      </c>
      <c r="E326" t="str">
        <f t="shared" si="33"/>
        <v/>
      </c>
      <c r="F326" t="str">
        <f t="shared" si="31"/>
        <v>CN</v>
      </c>
    </row>
    <row r="327" spans="1:6" x14ac:dyDescent="0.3">
      <c r="A327" t="s">
        <v>1561</v>
      </c>
      <c r="B327">
        <v>1</v>
      </c>
      <c r="D327" t="str">
        <f t="shared" si="32"/>
        <v>0133</v>
      </c>
      <c r="E327" t="str">
        <f t="shared" si="33"/>
        <v/>
      </c>
      <c r="F327" t="str">
        <f t="shared" si="31"/>
        <v>CN</v>
      </c>
    </row>
    <row r="328" spans="1:6" x14ac:dyDescent="0.3">
      <c r="A328" t="s">
        <v>1564</v>
      </c>
      <c r="B328">
        <v>1</v>
      </c>
      <c r="D328" t="str">
        <f t="shared" si="32"/>
        <v>0134</v>
      </c>
      <c r="E328" t="str">
        <f t="shared" si="33"/>
        <v>1</v>
      </c>
      <c r="F328" t="str">
        <f t="shared" si="31"/>
        <v>CN</v>
      </c>
    </row>
    <row r="329" spans="1:6" x14ac:dyDescent="0.3">
      <c r="A329" t="s">
        <v>1565</v>
      </c>
      <c r="B329">
        <v>1</v>
      </c>
      <c r="D329" t="str">
        <f t="shared" si="32"/>
        <v>0134</v>
      </c>
      <c r="E329" t="str">
        <f t="shared" si="33"/>
        <v>3</v>
      </c>
      <c r="F329" t="str">
        <f t="shared" si="31"/>
        <v>CN</v>
      </c>
    </row>
    <row r="330" spans="1:6" x14ac:dyDescent="0.3">
      <c r="A330" t="s">
        <v>1567</v>
      </c>
      <c r="B330">
        <v>1</v>
      </c>
      <c r="D330" t="str">
        <f t="shared" si="32"/>
        <v>0134</v>
      </c>
      <c r="E330" t="str">
        <f t="shared" si="33"/>
        <v>2</v>
      </c>
      <c r="F330" t="str">
        <f t="shared" si="31"/>
        <v>CR</v>
      </c>
    </row>
    <row r="331" spans="1:6" x14ac:dyDescent="0.3">
      <c r="A331" t="s">
        <v>1570</v>
      </c>
      <c r="B331">
        <v>1</v>
      </c>
      <c r="D331" t="str">
        <f t="shared" si="32"/>
        <v>0135</v>
      </c>
      <c r="E331" t="str">
        <f t="shared" si="33"/>
        <v>3</v>
      </c>
      <c r="F331" t="str">
        <f t="shared" si="31"/>
        <v>CN</v>
      </c>
    </row>
    <row r="332" spans="1:6" x14ac:dyDescent="0.3">
      <c r="A332" t="s">
        <v>1572</v>
      </c>
      <c r="B332">
        <v>1</v>
      </c>
      <c r="D332" t="str">
        <f t="shared" si="32"/>
        <v>0135</v>
      </c>
      <c r="E332" t="str">
        <f t="shared" si="33"/>
        <v>2</v>
      </c>
      <c r="F332" t="str">
        <f t="shared" si="31"/>
        <v>CR</v>
      </c>
    </row>
    <row r="333" spans="1:6" x14ac:dyDescent="0.3">
      <c r="A333" t="s">
        <v>1573</v>
      </c>
      <c r="B333">
        <v>1</v>
      </c>
      <c r="D333" t="str">
        <f t="shared" si="32"/>
        <v>0135</v>
      </c>
      <c r="E333" t="str">
        <f t="shared" si="33"/>
        <v>1</v>
      </c>
      <c r="F333" t="str">
        <f t="shared" si="31"/>
        <v>DS</v>
      </c>
    </row>
    <row r="334" spans="1:6" x14ac:dyDescent="0.3">
      <c r="A334" t="s">
        <v>1574</v>
      </c>
      <c r="B334">
        <v>1</v>
      </c>
      <c r="D334" t="str">
        <f t="shared" si="32"/>
        <v>0136</v>
      </c>
      <c r="E334" t="str">
        <f t="shared" si="33"/>
        <v/>
      </c>
      <c r="F334" t="str">
        <f t="shared" si="31"/>
        <v>CN</v>
      </c>
    </row>
    <row r="335" spans="1:6" x14ac:dyDescent="0.3">
      <c r="A335" t="s">
        <v>1576</v>
      </c>
      <c r="B335">
        <v>1</v>
      </c>
      <c r="D335" t="str">
        <f t="shared" si="32"/>
        <v>0137</v>
      </c>
      <c r="E335" t="str">
        <f t="shared" si="33"/>
        <v/>
      </c>
      <c r="F335" t="str">
        <f t="shared" si="31"/>
        <v>CN</v>
      </c>
    </row>
    <row r="336" spans="1:6" x14ac:dyDescent="0.3">
      <c r="A336" t="s">
        <v>1578</v>
      </c>
      <c r="B336">
        <v>1</v>
      </c>
      <c r="D336" t="str">
        <f t="shared" si="32"/>
        <v>0138</v>
      </c>
      <c r="E336" t="str">
        <f t="shared" si="33"/>
        <v/>
      </c>
      <c r="F336" t="str">
        <f t="shared" si="31"/>
        <v>CN</v>
      </c>
    </row>
    <row r="337" spans="1:6" x14ac:dyDescent="0.3">
      <c r="A337" t="s">
        <v>1580</v>
      </c>
      <c r="B337">
        <v>1</v>
      </c>
      <c r="D337" t="str">
        <f t="shared" si="32"/>
        <v>0139</v>
      </c>
      <c r="E337" t="str">
        <f t="shared" si="33"/>
        <v/>
      </c>
      <c r="F337" t="str">
        <f t="shared" si="31"/>
        <v>CN</v>
      </c>
    </row>
    <row r="338" spans="1:6" x14ac:dyDescent="0.3">
      <c r="A338" t="s">
        <v>1582</v>
      </c>
      <c r="B338">
        <v>1</v>
      </c>
      <c r="D338" t="str">
        <f t="shared" si="32"/>
        <v>0140</v>
      </c>
      <c r="E338" t="str">
        <f t="shared" si="33"/>
        <v/>
      </c>
      <c r="F338" t="str">
        <f t="shared" ref="F338:F401" si="34">IF(LEFT(A338,1)="X",MID(A338,8,2),"")</f>
        <v>CN</v>
      </c>
    </row>
    <row r="339" spans="1:6" x14ac:dyDescent="0.3">
      <c r="A339" t="s">
        <v>1584</v>
      </c>
      <c r="B339">
        <v>1</v>
      </c>
      <c r="D339" t="str">
        <f t="shared" si="32"/>
        <v>0141</v>
      </c>
      <c r="E339" t="str">
        <f t="shared" si="33"/>
        <v/>
      </c>
      <c r="F339" t="str">
        <f t="shared" si="34"/>
        <v>CN</v>
      </c>
    </row>
    <row r="340" spans="1:6" x14ac:dyDescent="0.3">
      <c r="A340" t="s">
        <v>1586</v>
      </c>
      <c r="B340">
        <v>1</v>
      </c>
      <c r="D340" t="str">
        <f t="shared" si="32"/>
        <v>0142</v>
      </c>
      <c r="E340" t="str">
        <f t="shared" si="33"/>
        <v/>
      </c>
      <c r="F340" t="str">
        <f t="shared" si="34"/>
        <v>CN</v>
      </c>
    </row>
    <row r="341" spans="1:6" x14ac:dyDescent="0.3">
      <c r="A341" t="s">
        <v>1588</v>
      </c>
      <c r="B341">
        <v>1</v>
      </c>
      <c r="D341" t="str">
        <f t="shared" ref="D341:D404" si="35">IF(LEFT(A341,2)="SP",MID(A341,4,4),IF(LEFT(A341,1)="X",MID(A341,3,4),""))</f>
        <v>0143</v>
      </c>
      <c r="E341" t="str">
        <f t="shared" ref="E341:E404" si="36">IF(OR(LEFT(A341,2)="SP",AND(LEFT(A341,1)="X",LEN(A341)&gt;9)),RIGHT(A341,1),"")</f>
        <v/>
      </c>
      <c r="F341" t="str">
        <f t="shared" si="34"/>
        <v>CN</v>
      </c>
    </row>
    <row r="342" spans="1:6" x14ac:dyDescent="0.3">
      <c r="A342" t="s">
        <v>1590</v>
      </c>
      <c r="B342">
        <v>1</v>
      </c>
      <c r="D342" t="str">
        <f t="shared" si="35"/>
        <v>0144</v>
      </c>
      <c r="E342" t="str">
        <f t="shared" si="36"/>
        <v/>
      </c>
      <c r="F342" t="str">
        <f t="shared" si="34"/>
        <v>CN</v>
      </c>
    </row>
    <row r="343" spans="1:6" x14ac:dyDescent="0.3">
      <c r="A343" t="s">
        <v>1592</v>
      </c>
      <c r="B343">
        <v>1</v>
      </c>
      <c r="D343" t="str">
        <f t="shared" si="35"/>
        <v>0145</v>
      </c>
      <c r="E343" t="str">
        <f t="shared" si="36"/>
        <v/>
      </c>
      <c r="F343" t="str">
        <f t="shared" si="34"/>
        <v>CN</v>
      </c>
    </row>
    <row r="344" spans="1:6" x14ac:dyDescent="0.3">
      <c r="A344" t="s">
        <v>1595</v>
      </c>
      <c r="B344">
        <v>1</v>
      </c>
      <c r="D344" t="str">
        <f t="shared" si="35"/>
        <v>0146</v>
      </c>
      <c r="E344" t="str">
        <f t="shared" si="36"/>
        <v/>
      </c>
      <c r="F344" t="str">
        <f t="shared" si="34"/>
        <v>CS</v>
      </c>
    </row>
    <row r="345" spans="1:6" x14ac:dyDescent="0.3">
      <c r="A345" t="s">
        <v>1598</v>
      </c>
      <c r="B345">
        <v>1</v>
      </c>
      <c r="D345" t="str">
        <f t="shared" si="35"/>
        <v>0147</v>
      </c>
      <c r="E345" t="str">
        <f t="shared" si="36"/>
        <v/>
      </c>
      <c r="F345" t="str">
        <f t="shared" si="34"/>
        <v>DN</v>
      </c>
    </row>
    <row r="346" spans="1:6" x14ac:dyDescent="0.3">
      <c r="A346" t="s">
        <v>1599</v>
      </c>
      <c r="B346">
        <v>1</v>
      </c>
      <c r="D346" t="str">
        <f t="shared" si="35"/>
        <v>0148</v>
      </c>
      <c r="E346" t="str">
        <f t="shared" si="36"/>
        <v/>
      </c>
      <c r="F346" t="str">
        <f t="shared" si="34"/>
        <v>CN</v>
      </c>
    </row>
    <row r="347" spans="1:6" x14ac:dyDescent="0.3">
      <c r="A347" t="s">
        <v>1601</v>
      </c>
      <c r="B347">
        <v>1</v>
      </c>
      <c r="D347" t="str">
        <f t="shared" si="35"/>
        <v>0149</v>
      </c>
      <c r="E347" t="str">
        <f t="shared" si="36"/>
        <v/>
      </c>
      <c r="F347" t="str">
        <f t="shared" si="34"/>
        <v>CN</v>
      </c>
    </row>
    <row r="348" spans="1:6" x14ac:dyDescent="0.3">
      <c r="A348" t="s">
        <v>1603</v>
      </c>
      <c r="B348">
        <v>1</v>
      </c>
      <c r="D348" t="str">
        <f t="shared" si="35"/>
        <v>0150</v>
      </c>
      <c r="E348" t="str">
        <f t="shared" si="36"/>
        <v/>
      </c>
      <c r="F348" t="str">
        <f t="shared" si="34"/>
        <v>CN</v>
      </c>
    </row>
    <row r="349" spans="1:6" x14ac:dyDescent="0.3">
      <c r="A349" t="s">
        <v>1605</v>
      </c>
      <c r="B349">
        <v>1</v>
      </c>
      <c r="D349" t="str">
        <f t="shared" si="35"/>
        <v>0151</v>
      </c>
      <c r="E349" t="str">
        <f t="shared" si="36"/>
        <v/>
      </c>
      <c r="F349" t="str">
        <f t="shared" si="34"/>
        <v>CN</v>
      </c>
    </row>
    <row r="350" spans="1:6" x14ac:dyDescent="0.3">
      <c r="A350" t="s">
        <v>1610</v>
      </c>
      <c r="B350">
        <v>1</v>
      </c>
      <c r="D350" t="str">
        <f t="shared" si="35"/>
        <v>0152</v>
      </c>
      <c r="E350" t="str">
        <f t="shared" si="36"/>
        <v/>
      </c>
      <c r="F350" t="str">
        <f t="shared" si="34"/>
        <v>DN</v>
      </c>
    </row>
    <row r="351" spans="1:6" x14ac:dyDescent="0.3">
      <c r="A351" t="s">
        <v>2607</v>
      </c>
      <c r="B351">
        <v>1</v>
      </c>
      <c r="D351" t="str">
        <f t="shared" si="35"/>
        <v>0153</v>
      </c>
      <c r="E351" t="str">
        <f t="shared" si="36"/>
        <v/>
      </c>
      <c r="F351" t="str">
        <f t="shared" si="34"/>
        <v>MS</v>
      </c>
    </row>
    <row r="352" spans="1:6" x14ac:dyDescent="0.3">
      <c r="A352" t="s">
        <v>1613</v>
      </c>
      <c r="B352">
        <v>1</v>
      </c>
      <c r="D352" t="str">
        <f t="shared" si="35"/>
        <v>0154</v>
      </c>
      <c r="E352" t="str">
        <f t="shared" si="36"/>
        <v/>
      </c>
      <c r="F352" t="str">
        <f t="shared" si="34"/>
        <v>CN</v>
      </c>
    </row>
    <row r="353" spans="1:6" x14ac:dyDescent="0.3">
      <c r="A353" t="s">
        <v>1615</v>
      </c>
      <c r="B353">
        <v>1</v>
      </c>
      <c r="D353" t="str">
        <f t="shared" si="35"/>
        <v>0155</v>
      </c>
      <c r="E353" t="str">
        <f t="shared" si="36"/>
        <v/>
      </c>
      <c r="F353" t="str">
        <f t="shared" si="34"/>
        <v>CN</v>
      </c>
    </row>
    <row r="354" spans="1:6" x14ac:dyDescent="0.3">
      <c r="A354" t="s">
        <v>1620</v>
      </c>
      <c r="B354">
        <v>1</v>
      </c>
      <c r="D354" t="str">
        <f t="shared" si="35"/>
        <v>0156</v>
      </c>
      <c r="E354" t="str">
        <f t="shared" si="36"/>
        <v/>
      </c>
      <c r="F354" t="str">
        <f t="shared" si="34"/>
        <v>DN</v>
      </c>
    </row>
    <row r="355" spans="1:6" x14ac:dyDescent="0.3">
      <c r="A355" t="s">
        <v>1622</v>
      </c>
      <c r="B355">
        <v>1</v>
      </c>
      <c r="D355" t="str">
        <f t="shared" si="35"/>
        <v>0157</v>
      </c>
      <c r="E355" t="str">
        <f t="shared" si="36"/>
        <v/>
      </c>
      <c r="F355" t="str">
        <f t="shared" si="34"/>
        <v>CS</v>
      </c>
    </row>
    <row r="356" spans="1:6" x14ac:dyDescent="0.3">
      <c r="A356" t="s">
        <v>1623</v>
      </c>
      <c r="B356">
        <v>1</v>
      </c>
      <c r="D356" t="str">
        <f t="shared" si="35"/>
        <v>0158</v>
      </c>
      <c r="E356" t="str">
        <f t="shared" si="36"/>
        <v/>
      </c>
      <c r="F356" t="str">
        <f t="shared" si="34"/>
        <v>CN</v>
      </c>
    </row>
    <row r="357" spans="1:6" x14ac:dyDescent="0.3">
      <c r="A357" t="s">
        <v>1627</v>
      </c>
      <c r="B357">
        <v>1</v>
      </c>
      <c r="D357" t="str">
        <f t="shared" si="35"/>
        <v>0159</v>
      </c>
      <c r="E357" t="str">
        <f t="shared" si="36"/>
        <v/>
      </c>
      <c r="F357" t="str">
        <f t="shared" si="34"/>
        <v>DS</v>
      </c>
    </row>
    <row r="358" spans="1:6" x14ac:dyDescent="0.3">
      <c r="A358" t="s">
        <v>1629</v>
      </c>
      <c r="B358">
        <v>1</v>
      </c>
      <c r="D358" t="str">
        <f t="shared" si="35"/>
        <v>0160</v>
      </c>
      <c r="E358" t="str">
        <f t="shared" si="36"/>
        <v/>
      </c>
      <c r="F358" t="str">
        <f t="shared" si="34"/>
        <v>CS</v>
      </c>
    </row>
    <row r="359" spans="1:6" x14ac:dyDescent="0.3">
      <c r="A359" t="s">
        <v>2559</v>
      </c>
      <c r="B359">
        <v>1</v>
      </c>
      <c r="D359" t="str">
        <f t="shared" si="35"/>
        <v>0161</v>
      </c>
      <c r="E359" t="str">
        <f t="shared" si="36"/>
        <v/>
      </c>
      <c r="F359" t="str">
        <f t="shared" si="34"/>
        <v>MS</v>
      </c>
    </row>
    <row r="360" spans="1:6" x14ac:dyDescent="0.3">
      <c r="A360" t="s">
        <v>2608</v>
      </c>
      <c r="B360">
        <v>1</v>
      </c>
      <c r="D360" t="str">
        <f t="shared" si="35"/>
        <v>0162</v>
      </c>
      <c r="E360" t="str">
        <f t="shared" si="36"/>
        <v/>
      </c>
      <c r="F360" t="str">
        <f t="shared" si="34"/>
        <v>MS</v>
      </c>
    </row>
    <row r="361" spans="1:6" x14ac:dyDescent="0.3">
      <c r="A361" t="s">
        <v>1634</v>
      </c>
      <c r="B361">
        <v>1</v>
      </c>
      <c r="D361" t="str">
        <f t="shared" si="35"/>
        <v>0163</v>
      </c>
      <c r="E361" t="str">
        <f t="shared" si="36"/>
        <v/>
      </c>
      <c r="F361" t="str">
        <f t="shared" si="34"/>
        <v>CN</v>
      </c>
    </row>
    <row r="362" spans="1:6" x14ac:dyDescent="0.3">
      <c r="A362" t="s">
        <v>1636</v>
      </c>
      <c r="B362">
        <v>1</v>
      </c>
      <c r="D362" t="str">
        <f t="shared" si="35"/>
        <v>0164</v>
      </c>
      <c r="E362" t="str">
        <f t="shared" si="36"/>
        <v/>
      </c>
      <c r="F362" t="str">
        <f t="shared" si="34"/>
        <v>CN</v>
      </c>
    </row>
    <row r="363" spans="1:6" x14ac:dyDescent="0.3">
      <c r="A363" t="s">
        <v>1638</v>
      </c>
      <c r="B363">
        <v>1</v>
      </c>
      <c r="D363" t="str">
        <f t="shared" si="35"/>
        <v>0165</v>
      </c>
      <c r="E363" t="str">
        <f t="shared" si="36"/>
        <v/>
      </c>
      <c r="F363" t="str">
        <f t="shared" si="34"/>
        <v>CN</v>
      </c>
    </row>
    <row r="364" spans="1:6" x14ac:dyDescent="0.3">
      <c r="A364" t="s">
        <v>1640</v>
      </c>
      <c r="B364">
        <v>1</v>
      </c>
      <c r="D364" t="str">
        <f t="shared" si="35"/>
        <v>0166</v>
      </c>
      <c r="E364" t="str">
        <f t="shared" si="36"/>
        <v/>
      </c>
      <c r="F364" t="str">
        <f t="shared" si="34"/>
        <v>CN</v>
      </c>
    </row>
    <row r="365" spans="1:6" x14ac:dyDescent="0.3">
      <c r="A365" t="s">
        <v>1642</v>
      </c>
      <c r="B365">
        <v>1</v>
      </c>
      <c r="D365" t="str">
        <f t="shared" si="35"/>
        <v>0167</v>
      </c>
      <c r="E365" t="str">
        <f t="shared" si="36"/>
        <v/>
      </c>
      <c r="F365" t="str">
        <f t="shared" si="34"/>
        <v>CN</v>
      </c>
    </row>
    <row r="366" spans="1:6" x14ac:dyDescent="0.3">
      <c r="A366" t="s">
        <v>2609</v>
      </c>
      <c r="B366">
        <v>1</v>
      </c>
      <c r="D366" t="str">
        <f t="shared" si="35"/>
        <v>0168</v>
      </c>
      <c r="E366" t="str">
        <f t="shared" si="36"/>
        <v/>
      </c>
      <c r="F366" t="str">
        <f t="shared" si="34"/>
        <v>MS</v>
      </c>
    </row>
    <row r="367" spans="1:6" x14ac:dyDescent="0.3">
      <c r="A367" t="s">
        <v>1648</v>
      </c>
      <c r="B367">
        <v>1</v>
      </c>
      <c r="D367" t="str">
        <f t="shared" si="35"/>
        <v>0169</v>
      </c>
      <c r="E367" t="str">
        <f t="shared" si="36"/>
        <v/>
      </c>
      <c r="F367" t="str">
        <f t="shared" si="34"/>
        <v>CS</v>
      </c>
    </row>
    <row r="368" spans="1:6" x14ac:dyDescent="0.3">
      <c r="A368" t="s">
        <v>1649</v>
      </c>
      <c r="B368">
        <v>1</v>
      </c>
      <c r="D368" t="str">
        <f t="shared" si="35"/>
        <v>0170</v>
      </c>
      <c r="E368" t="str">
        <f t="shared" si="36"/>
        <v/>
      </c>
      <c r="F368" t="str">
        <f t="shared" si="34"/>
        <v>CN</v>
      </c>
    </row>
    <row r="369" spans="1:6" x14ac:dyDescent="0.3">
      <c r="A369" t="s">
        <v>1651</v>
      </c>
      <c r="B369">
        <v>1</v>
      </c>
      <c r="D369" t="str">
        <f t="shared" si="35"/>
        <v>0171</v>
      </c>
      <c r="E369" t="str">
        <f t="shared" si="36"/>
        <v/>
      </c>
      <c r="F369" t="str">
        <f t="shared" si="34"/>
        <v>CN</v>
      </c>
    </row>
    <row r="370" spans="1:6" x14ac:dyDescent="0.3">
      <c r="A370" t="s">
        <v>1653</v>
      </c>
      <c r="B370">
        <v>1</v>
      </c>
      <c r="D370" t="str">
        <f t="shared" si="35"/>
        <v>0172</v>
      </c>
      <c r="E370" t="str">
        <f t="shared" si="36"/>
        <v/>
      </c>
      <c r="F370" t="str">
        <f t="shared" si="34"/>
        <v>CN</v>
      </c>
    </row>
    <row r="371" spans="1:6" x14ac:dyDescent="0.3">
      <c r="A371" t="s">
        <v>1659</v>
      </c>
      <c r="B371">
        <v>1</v>
      </c>
      <c r="D371" t="str">
        <f t="shared" si="35"/>
        <v>0173</v>
      </c>
      <c r="E371" t="str">
        <f t="shared" si="36"/>
        <v/>
      </c>
      <c r="F371" t="str">
        <f t="shared" si="34"/>
        <v>DS</v>
      </c>
    </row>
    <row r="372" spans="1:6" x14ac:dyDescent="0.3">
      <c r="A372" t="s">
        <v>1660</v>
      </c>
      <c r="B372">
        <v>1</v>
      </c>
      <c r="D372" t="str">
        <f t="shared" si="35"/>
        <v>0174</v>
      </c>
      <c r="E372" t="str">
        <f t="shared" si="36"/>
        <v/>
      </c>
      <c r="F372" t="str">
        <f t="shared" si="34"/>
        <v>CN</v>
      </c>
    </row>
    <row r="373" spans="1:6" x14ac:dyDescent="0.3">
      <c r="A373" t="s">
        <v>1663</v>
      </c>
      <c r="B373">
        <v>1</v>
      </c>
      <c r="D373" t="str">
        <f t="shared" si="35"/>
        <v>0175</v>
      </c>
      <c r="E373" t="str">
        <f t="shared" si="36"/>
        <v/>
      </c>
      <c r="F373" t="str">
        <f t="shared" si="34"/>
        <v>CN</v>
      </c>
    </row>
    <row r="374" spans="1:6" x14ac:dyDescent="0.3">
      <c r="A374" t="s">
        <v>1665</v>
      </c>
      <c r="B374">
        <v>1</v>
      </c>
      <c r="D374" t="str">
        <f t="shared" si="35"/>
        <v>0176</v>
      </c>
      <c r="E374" t="str">
        <f t="shared" si="36"/>
        <v/>
      </c>
      <c r="F374" t="str">
        <f t="shared" si="34"/>
        <v>CN</v>
      </c>
    </row>
    <row r="375" spans="1:6" x14ac:dyDescent="0.3">
      <c r="A375" t="s">
        <v>1667</v>
      </c>
      <c r="B375">
        <v>1</v>
      </c>
      <c r="D375" t="str">
        <f t="shared" si="35"/>
        <v>0177</v>
      </c>
      <c r="E375" t="str">
        <f t="shared" si="36"/>
        <v/>
      </c>
      <c r="F375" t="str">
        <f t="shared" si="34"/>
        <v>CN</v>
      </c>
    </row>
    <row r="376" spans="1:6" x14ac:dyDescent="0.3">
      <c r="A376" t="s">
        <v>2610</v>
      </c>
      <c r="B376">
        <v>1</v>
      </c>
      <c r="D376" t="str">
        <f t="shared" si="35"/>
        <v>0178</v>
      </c>
      <c r="E376" t="str">
        <f t="shared" si="36"/>
        <v/>
      </c>
      <c r="F376" t="str">
        <f t="shared" si="34"/>
        <v>MS</v>
      </c>
    </row>
    <row r="377" spans="1:6" x14ac:dyDescent="0.3">
      <c r="A377" t="s">
        <v>1671</v>
      </c>
      <c r="B377">
        <v>1</v>
      </c>
      <c r="D377" t="str">
        <f t="shared" si="35"/>
        <v>0179</v>
      </c>
      <c r="E377" t="str">
        <f t="shared" si="36"/>
        <v/>
      </c>
      <c r="F377" t="str">
        <f t="shared" si="34"/>
        <v>BS</v>
      </c>
    </row>
    <row r="378" spans="1:6" x14ac:dyDescent="0.3">
      <c r="A378" t="s">
        <v>2611</v>
      </c>
      <c r="B378">
        <v>1</v>
      </c>
      <c r="D378" t="str">
        <f t="shared" si="35"/>
        <v>0180</v>
      </c>
      <c r="E378" t="str">
        <f t="shared" si="36"/>
        <v/>
      </c>
      <c r="F378" t="str">
        <f t="shared" si="34"/>
        <v>MS</v>
      </c>
    </row>
    <row r="379" spans="1:6" x14ac:dyDescent="0.3">
      <c r="A379" t="s">
        <v>1677</v>
      </c>
      <c r="B379">
        <v>1</v>
      </c>
      <c r="D379" t="str">
        <f t="shared" si="35"/>
        <v>0181</v>
      </c>
      <c r="E379" t="str">
        <f t="shared" si="36"/>
        <v/>
      </c>
      <c r="F379" t="str">
        <f t="shared" si="34"/>
        <v>CN</v>
      </c>
    </row>
    <row r="380" spans="1:6" x14ac:dyDescent="0.3">
      <c r="A380" t="s">
        <v>1678</v>
      </c>
      <c r="B380">
        <v>1</v>
      </c>
      <c r="D380" t="str">
        <f t="shared" si="35"/>
        <v>0182</v>
      </c>
      <c r="E380" t="str">
        <f t="shared" si="36"/>
        <v/>
      </c>
      <c r="F380" t="str">
        <f t="shared" si="34"/>
        <v>CN</v>
      </c>
    </row>
    <row r="381" spans="1:6" x14ac:dyDescent="0.3">
      <c r="A381" t="s">
        <v>1681</v>
      </c>
      <c r="B381">
        <v>1</v>
      </c>
      <c r="D381" t="str">
        <f t="shared" si="35"/>
        <v>0183</v>
      </c>
      <c r="E381" t="str">
        <f t="shared" si="36"/>
        <v/>
      </c>
      <c r="F381" t="str">
        <f t="shared" si="34"/>
        <v>CN</v>
      </c>
    </row>
    <row r="382" spans="1:6" x14ac:dyDescent="0.3">
      <c r="A382" t="s">
        <v>1684</v>
      </c>
      <c r="B382">
        <v>1</v>
      </c>
      <c r="D382" t="str">
        <f t="shared" si="35"/>
        <v>0184</v>
      </c>
      <c r="E382" t="str">
        <f t="shared" si="36"/>
        <v/>
      </c>
      <c r="F382" t="str">
        <f t="shared" si="34"/>
        <v>CN</v>
      </c>
    </row>
    <row r="383" spans="1:6" x14ac:dyDescent="0.3">
      <c r="A383" t="s">
        <v>1687</v>
      </c>
      <c r="B383">
        <v>1</v>
      </c>
      <c r="D383" t="str">
        <f t="shared" si="35"/>
        <v>0185</v>
      </c>
      <c r="E383" t="str">
        <f t="shared" si="36"/>
        <v/>
      </c>
      <c r="F383" t="str">
        <f t="shared" si="34"/>
        <v>BS</v>
      </c>
    </row>
    <row r="384" spans="1:6" x14ac:dyDescent="0.3">
      <c r="A384" t="s">
        <v>1690</v>
      </c>
      <c r="B384">
        <v>1</v>
      </c>
      <c r="D384" t="str">
        <f t="shared" si="35"/>
        <v>0186</v>
      </c>
      <c r="E384" t="str">
        <f t="shared" si="36"/>
        <v/>
      </c>
      <c r="F384" t="str">
        <f t="shared" si="34"/>
        <v>BS</v>
      </c>
    </row>
    <row r="385" spans="1:6" x14ac:dyDescent="0.3">
      <c r="A385" t="s">
        <v>2560</v>
      </c>
      <c r="B385">
        <v>1</v>
      </c>
      <c r="D385" t="str">
        <f t="shared" si="35"/>
        <v>0187</v>
      </c>
      <c r="E385" t="str">
        <f t="shared" si="36"/>
        <v/>
      </c>
      <c r="F385" t="str">
        <f t="shared" si="34"/>
        <v>MS</v>
      </c>
    </row>
    <row r="386" spans="1:6" x14ac:dyDescent="0.3">
      <c r="A386" t="s">
        <v>1696</v>
      </c>
      <c r="B386">
        <v>1</v>
      </c>
      <c r="D386" t="str">
        <f t="shared" si="35"/>
        <v>0188</v>
      </c>
      <c r="E386" t="str">
        <f t="shared" si="36"/>
        <v/>
      </c>
      <c r="F386" t="str">
        <f t="shared" si="34"/>
        <v>CN</v>
      </c>
    </row>
    <row r="387" spans="1:6" x14ac:dyDescent="0.3">
      <c r="A387" t="s">
        <v>1698</v>
      </c>
      <c r="B387">
        <v>1</v>
      </c>
      <c r="D387" t="str">
        <f t="shared" si="35"/>
        <v>0189</v>
      </c>
      <c r="E387" t="str">
        <f t="shared" si="36"/>
        <v/>
      </c>
      <c r="F387" t="str">
        <f t="shared" si="34"/>
        <v>CN</v>
      </c>
    </row>
    <row r="388" spans="1:6" x14ac:dyDescent="0.3">
      <c r="A388" t="s">
        <v>1700</v>
      </c>
      <c r="B388">
        <v>1</v>
      </c>
      <c r="D388" t="str">
        <f t="shared" si="35"/>
        <v>0190</v>
      </c>
      <c r="E388" t="str">
        <f t="shared" si="36"/>
        <v/>
      </c>
      <c r="F388" t="str">
        <f t="shared" si="34"/>
        <v>BS</v>
      </c>
    </row>
    <row r="389" spans="1:6" x14ac:dyDescent="0.3">
      <c r="A389" t="s">
        <v>2612</v>
      </c>
      <c r="B389">
        <v>1</v>
      </c>
      <c r="D389" t="str">
        <f t="shared" si="35"/>
        <v>0191</v>
      </c>
      <c r="E389" t="str">
        <f t="shared" si="36"/>
        <v/>
      </c>
      <c r="F389" t="str">
        <f t="shared" si="34"/>
        <v>MS</v>
      </c>
    </row>
    <row r="390" spans="1:6" x14ac:dyDescent="0.3">
      <c r="A390" t="s">
        <v>1705</v>
      </c>
      <c r="B390">
        <v>1</v>
      </c>
      <c r="D390" t="str">
        <f t="shared" si="35"/>
        <v>0192</v>
      </c>
      <c r="E390" t="str">
        <f t="shared" si="36"/>
        <v/>
      </c>
      <c r="F390" t="str">
        <f t="shared" si="34"/>
        <v>CN</v>
      </c>
    </row>
    <row r="391" spans="1:6" x14ac:dyDescent="0.3">
      <c r="A391" t="s">
        <v>1707</v>
      </c>
      <c r="B391">
        <v>1</v>
      </c>
      <c r="D391" t="str">
        <f t="shared" si="35"/>
        <v>0193</v>
      </c>
      <c r="E391" t="str">
        <f t="shared" si="36"/>
        <v/>
      </c>
      <c r="F391" t="str">
        <f t="shared" si="34"/>
        <v>CN</v>
      </c>
    </row>
    <row r="392" spans="1:6" x14ac:dyDescent="0.3">
      <c r="A392" t="s">
        <v>1710</v>
      </c>
      <c r="B392">
        <v>1</v>
      </c>
      <c r="D392" t="str">
        <f t="shared" si="35"/>
        <v>0194</v>
      </c>
      <c r="E392" t="str">
        <f t="shared" si="36"/>
        <v/>
      </c>
      <c r="F392" t="str">
        <f t="shared" si="34"/>
        <v>CS</v>
      </c>
    </row>
    <row r="393" spans="1:6" x14ac:dyDescent="0.3">
      <c r="A393" t="s">
        <v>1711</v>
      </c>
      <c r="B393">
        <v>1</v>
      </c>
      <c r="D393" t="str">
        <f t="shared" si="35"/>
        <v>0195</v>
      </c>
      <c r="E393" t="str">
        <f t="shared" si="36"/>
        <v/>
      </c>
      <c r="F393" t="str">
        <f t="shared" si="34"/>
        <v>BS</v>
      </c>
    </row>
    <row r="394" spans="1:6" x14ac:dyDescent="0.3">
      <c r="A394" t="s">
        <v>1715</v>
      </c>
      <c r="B394">
        <v>1</v>
      </c>
      <c r="D394" t="str">
        <f t="shared" si="35"/>
        <v>0196</v>
      </c>
      <c r="E394" t="str">
        <f t="shared" si="36"/>
        <v/>
      </c>
      <c r="F394" t="str">
        <f t="shared" si="34"/>
        <v>CS</v>
      </c>
    </row>
    <row r="395" spans="1:6" x14ac:dyDescent="0.3">
      <c r="A395" t="s">
        <v>1716</v>
      </c>
      <c r="B395">
        <v>1</v>
      </c>
      <c r="D395" t="str">
        <f t="shared" si="35"/>
        <v>0197</v>
      </c>
      <c r="E395" t="str">
        <f t="shared" si="36"/>
        <v/>
      </c>
      <c r="F395" t="str">
        <f t="shared" si="34"/>
        <v>CN</v>
      </c>
    </row>
    <row r="396" spans="1:6" x14ac:dyDescent="0.3">
      <c r="A396" t="s">
        <v>1717</v>
      </c>
      <c r="B396">
        <v>1</v>
      </c>
      <c r="D396" t="str">
        <f t="shared" si="35"/>
        <v>0198</v>
      </c>
      <c r="E396" t="str">
        <f t="shared" si="36"/>
        <v/>
      </c>
      <c r="F396" t="str">
        <f t="shared" si="34"/>
        <v>CN</v>
      </c>
    </row>
    <row r="397" spans="1:6" x14ac:dyDescent="0.3">
      <c r="A397" t="s">
        <v>1718</v>
      </c>
      <c r="B397">
        <v>1</v>
      </c>
      <c r="D397" t="str">
        <f t="shared" si="35"/>
        <v>0199</v>
      </c>
      <c r="E397" t="str">
        <f t="shared" si="36"/>
        <v/>
      </c>
      <c r="F397" t="str">
        <f t="shared" si="34"/>
        <v>BS</v>
      </c>
    </row>
    <row r="398" spans="1:6" x14ac:dyDescent="0.3">
      <c r="A398" t="s">
        <v>1721</v>
      </c>
      <c r="B398">
        <v>1</v>
      </c>
      <c r="D398" t="str">
        <f t="shared" si="35"/>
        <v>0200</v>
      </c>
      <c r="E398" t="str">
        <f t="shared" si="36"/>
        <v/>
      </c>
      <c r="F398" t="str">
        <f t="shared" si="34"/>
        <v>CN</v>
      </c>
    </row>
    <row r="399" spans="1:6" x14ac:dyDescent="0.3">
      <c r="A399" t="s">
        <v>1723</v>
      </c>
      <c r="B399">
        <v>1</v>
      </c>
      <c r="D399" t="str">
        <f t="shared" si="35"/>
        <v>0201</v>
      </c>
      <c r="E399" t="str">
        <f t="shared" si="36"/>
        <v/>
      </c>
      <c r="F399" t="str">
        <f t="shared" si="34"/>
        <v>CN</v>
      </c>
    </row>
    <row r="400" spans="1:6" x14ac:dyDescent="0.3">
      <c r="A400" t="s">
        <v>2613</v>
      </c>
      <c r="B400">
        <v>1</v>
      </c>
      <c r="D400" t="str">
        <f t="shared" si="35"/>
        <v>0202</v>
      </c>
      <c r="E400" t="str">
        <f t="shared" si="36"/>
        <v/>
      </c>
      <c r="F400" t="str">
        <f t="shared" si="34"/>
        <v>MS</v>
      </c>
    </row>
    <row r="401" spans="1:6" x14ac:dyDescent="0.3">
      <c r="A401" t="s">
        <v>1726</v>
      </c>
      <c r="B401">
        <v>1</v>
      </c>
      <c r="D401" t="str">
        <f t="shared" si="35"/>
        <v>0203</v>
      </c>
      <c r="E401" t="str">
        <f t="shared" si="36"/>
        <v/>
      </c>
      <c r="F401" t="str">
        <f t="shared" si="34"/>
        <v>CN</v>
      </c>
    </row>
    <row r="402" spans="1:6" x14ac:dyDescent="0.3">
      <c r="A402" t="s">
        <v>2614</v>
      </c>
      <c r="B402">
        <v>1</v>
      </c>
      <c r="D402" t="str">
        <f t="shared" si="35"/>
        <v>0204</v>
      </c>
      <c r="E402" t="str">
        <f t="shared" si="36"/>
        <v/>
      </c>
      <c r="F402" t="str">
        <f t="shared" ref="F402:F465" si="37">IF(LEFT(A402,1)="X",MID(A402,8,2),"")</f>
        <v>MS</v>
      </c>
    </row>
    <row r="403" spans="1:6" x14ac:dyDescent="0.3">
      <c r="A403" t="s">
        <v>1730</v>
      </c>
      <c r="B403">
        <v>1</v>
      </c>
      <c r="D403" t="str">
        <f t="shared" si="35"/>
        <v>0205</v>
      </c>
      <c r="E403" t="str">
        <f t="shared" si="36"/>
        <v/>
      </c>
      <c r="F403" t="str">
        <f t="shared" si="37"/>
        <v>CN</v>
      </c>
    </row>
    <row r="404" spans="1:6" x14ac:dyDescent="0.3">
      <c r="A404" t="s">
        <v>1733</v>
      </c>
      <c r="B404">
        <v>1</v>
      </c>
      <c r="D404" t="str">
        <f t="shared" si="35"/>
        <v>0206</v>
      </c>
      <c r="E404" t="str">
        <f t="shared" si="36"/>
        <v/>
      </c>
      <c r="F404" t="str">
        <f t="shared" si="37"/>
        <v>BS</v>
      </c>
    </row>
    <row r="405" spans="1:6" x14ac:dyDescent="0.3">
      <c r="A405" t="s">
        <v>1736</v>
      </c>
      <c r="B405">
        <v>1</v>
      </c>
      <c r="D405" t="str">
        <f t="shared" ref="D405:D468" si="38">IF(LEFT(A405,2)="SP",MID(A405,4,4),IF(LEFT(A405,1)="X",MID(A405,3,4),""))</f>
        <v>0207</v>
      </c>
      <c r="E405" t="str">
        <f t="shared" ref="E405:E468" si="39">IF(OR(LEFT(A405,2)="SP",AND(LEFT(A405,1)="X",LEN(A405)&gt;9)),RIGHT(A405,1),"")</f>
        <v/>
      </c>
      <c r="F405" t="str">
        <f t="shared" si="37"/>
        <v>CN</v>
      </c>
    </row>
    <row r="406" spans="1:6" x14ac:dyDescent="0.3">
      <c r="A406" t="s">
        <v>1740</v>
      </c>
      <c r="B406">
        <v>1</v>
      </c>
      <c r="D406" t="str">
        <f t="shared" si="38"/>
        <v>0208</v>
      </c>
      <c r="E406" t="str">
        <f t="shared" si="39"/>
        <v/>
      </c>
      <c r="F406" t="str">
        <f t="shared" si="37"/>
        <v>BS</v>
      </c>
    </row>
    <row r="407" spans="1:6" x14ac:dyDescent="0.3">
      <c r="A407" t="s">
        <v>1743</v>
      </c>
      <c r="B407">
        <v>1</v>
      </c>
      <c r="D407" t="str">
        <f t="shared" si="38"/>
        <v>0209</v>
      </c>
      <c r="E407" t="str">
        <f t="shared" si="39"/>
        <v/>
      </c>
      <c r="F407" t="str">
        <f t="shared" si="37"/>
        <v>BS</v>
      </c>
    </row>
    <row r="408" spans="1:6" x14ac:dyDescent="0.3">
      <c r="A408" t="s">
        <v>1747</v>
      </c>
      <c r="B408">
        <v>1</v>
      </c>
      <c r="D408" t="str">
        <f t="shared" si="38"/>
        <v>0210</v>
      </c>
      <c r="E408" t="str">
        <f t="shared" si="39"/>
        <v/>
      </c>
      <c r="F408" t="str">
        <f t="shared" si="37"/>
        <v>BR</v>
      </c>
    </row>
    <row r="409" spans="1:6" x14ac:dyDescent="0.3">
      <c r="A409" t="s">
        <v>1753</v>
      </c>
      <c r="B409">
        <v>1</v>
      </c>
      <c r="D409" t="str">
        <f t="shared" si="38"/>
        <v>0211</v>
      </c>
      <c r="E409" t="str">
        <f t="shared" si="39"/>
        <v/>
      </c>
      <c r="F409" t="str">
        <f t="shared" si="37"/>
        <v>CS</v>
      </c>
    </row>
    <row r="410" spans="1:6" x14ac:dyDescent="0.3">
      <c r="A410" t="s">
        <v>1754</v>
      </c>
      <c r="B410">
        <v>1</v>
      </c>
      <c r="D410" t="str">
        <f t="shared" si="38"/>
        <v>0212</v>
      </c>
      <c r="E410" t="str">
        <f t="shared" si="39"/>
        <v/>
      </c>
      <c r="F410" t="str">
        <f t="shared" si="37"/>
        <v>CN</v>
      </c>
    </row>
    <row r="411" spans="1:6" x14ac:dyDescent="0.3">
      <c r="A411" t="s">
        <v>1756</v>
      </c>
      <c r="B411">
        <v>1</v>
      </c>
      <c r="D411" t="str">
        <f t="shared" si="38"/>
        <v>0213</v>
      </c>
      <c r="E411" t="str">
        <f t="shared" si="39"/>
        <v/>
      </c>
      <c r="F411" t="str">
        <f t="shared" si="37"/>
        <v>CN</v>
      </c>
    </row>
    <row r="412" spans="1:6" x14ac:dyDescent="0.3">
      <c r="A412" t="s">
        <v>1759</v>
      </c>
      <c r="B412">
        <v>1</v>
      </c>
      <c r="D412" t="str">
        <f t="shared" si="38"/>
        <v>0214</v>
      </c>
      <c r="E412" t="str">
        <f t="shared" si="39"/>
        <v/>
      </c>
      <c r="F412" t="str">
        <f t="shared" si="37"/>
        <v>CS</v>
      </c>
    </row>
    <row r="413" spans="1:6" x14ac:dyDescent="0.3">
      <c r="A413" t="s">
        <v>1761</v>
      </c>
      <c r="B413">
        <v>1</v>
      </c>
      <c r="D413" t="str">
        <f t="shared" si="38"/>
        <v>0215</v>
      </c>
      <c r="E413" t="str">
        <f t="shared" si="39"/>
        <v/>
      </c>
      <c r="F413" t="str">
        <f t="shared" si="37"/>
        <v>CN</v>
      </c>
    </row>
    <row r="414" spans="1:6" x14ac:dyDescent="0.3">
      <c r="A414" t="s">
        <v>1765</v>
      </c>
      <c r="B414">
        <v>1</v>
      </c>
      <c r="D414" t="str">
        <f t="shared" si="38"/>
        <v>0216</v>
      </c>
      <c r="E414" t="str">
        <f t="shared" si="39"/>
        <v/>
      </c>
      <c r="F414" t="str">
        <f t="shared" si="37"/>
        <v>CS</v>
      </c>
    </row>
    <row r="415" spans="1:6" x14ac:dyDescent="0.3">
      <c r="A415" t="s">
        <v>1766</v>
      </c>
      <c r="B415">
        <v>1</v>
      </c>
      <c r="D415" t="str">
        <f t="shared" si="38"/>
        <v>0217</v>
      </c>
      <c r="E415" t="str">
        <f t="shared" si="39"/>
        <v/>
      </c>
      <c r="F415" t="str">
        <f t="shared" si="37"/>
        <v>BS</v>
      </c>
    </row>
    <row r="416" spans="1:6" x14ac:dyDescent="0.3">
      <c r="A416" t="s">
        <v>1769</v>
      </c>
      <c r="B416">
        <v>1</v>
      </c>
      <c r="D416" t="str">
        <f t="shared" si="38"/>
        <v>0218</v>
      </c>
      <c r="E416" t="str">
        <f t="shared" si="39"/>
        <v/>
      </c>
      <c r="F416" t="str">
        <f t="shared" si="37"/>
        <v>CN</v>
      </c>
    </row>
    <row r="417" spans="1:6" x14ac:dyDescent="0.3">
      <c r="A417" t="s">
        <v>1772</v>
      </c>
      <c r="B417">
        <v>1</v>
      </c>
      <c r="D417" t="str">
        <f t="shared" si="38"/>
        <v>0219</v>
      </c>
      <c r="E417" t="str">
        <f t="shared" si="39"/>
        <v/>
      </c>
      <c r="F417" t="str">
        <f t="shared" si="37"/>
        <v>BS</v>
      </c>
    </row>
    <row r="418" spans="1:6" x14ac:dyDescent="0.3">
      <c r="A418" t="s">
        <v>1777</v>
      </c>
      <c r="B418">
        <v>1</v>
      </c>
      <c r="D418" t="str">
        <f t="shared" si="38"/>
        <v>0220</v>
      </c>
      <c r="E418" t="str">
        <f t="shared" si="39"/>
        <v/>
      </c>
      <c r="F418" t="str">
        <f t="shared" si="37"/>
        <v>CS</v>
      </c>
    </row>
    <row r="419" spans="1:6" x14ac:dyDescent="0.3">
      <c r="A419" t="s">
        <v>1778</v>
      </c>
      <c r="B419">
        <v>1</v>
      </c>
      <c r="D419" t="str">
        <f t="shared" si="38"/>
        <v>0221</v>
      </c>
      <c r="E419" t="str">
        <f t="shared" si="39"/>
        <v/>
      </c>
      <c r="F419" t="str">
        <f t="shared" si="37"/>
        <v>BS</v>
      </c>
    </row>
    <row r="420" spans="1:6" x14ac:dyDescent="0.3">
      <c r="A420" t="s">
        <v>1782</v>
      </c>
      <c r="B420">
        <v>1</v>
      </c>
      <c r="D420" t="str">
        <f t="shared" si="38"/>
        <v>0222</v>
      </c>
      <c r="E420" t="str">
        <f t="shared" si="39"/>
        <v/>
      </c>
      <c r="F420" t="str">
        <f t="shared" si="37"/>
        <v>CS</v>
      </c>
    </row>
    <row r="421" spans="1:6" x14ac:dyDescent="0.3">
      <c r="A421" t="s">
        <v>1784</v>
      </c>
      <c r="B421">
        <v>1</v>
      </c>
      <c r="D421" t="str">
        <f t="shared" si="38"/>
        <v>0223</v>
      </c>
      <c r="E421" t="str">
        <f t="shared" si="39"/>
        <v/>
      </c>
      <c r="F421" t="str">
        <f t="shared" si="37"/>
        <v>CS</v>
      </c>
    </row>
    <row r="422" spans="1:6" x14ac:dyDescent="0.3">
      <c r="A422" t="s">
        <v>1786</v>
      </c>
      <c r="B422">
        <v>1</v>
      </c>
      <c r="D422" t="str">
        <f t="shared" si="38"/>
        <v>0224</v>
      </c>
      <c r="E422" t="str">
        <f t="shared" si="39"/>
        <v/>
      </c>
      <c r="F422" t="str">
        <f t="shared" si="37"/>
        <v>CN</v>
      </c>
    </row>
    <row r="423" spans="1:6" x14ac:dyDescent="0.3">
      <c r="A423" t="s">
        <v>1788</v>
      </c>
      <c r="B423">
        <v>1</v>
      </c>
      <c r="D423" t="str">
        <f t="shared" si="38"/>
        <v>0225</v>
      </c>
      <c r="E423" t="str">
        <f t="shared" si="39"/>
        <v/>
      </c>
      <c r="F423" t="str">
        <f t="shared" si="37"/>
        <v>CN</v>
      </c>
    </row>
    <row r="424" spans="1:6" x14ac:dyDescent="0.3">
      <c r="A424" t="s">
        <v>1791</v>
      </c>
      <c r="B424">
        <v>1</v>
      </c>
      <c r="D424" t="str">
        <f t="shared" si="38"/>
        <v>0226</v>
      </c>
      <c r="E424" t="str">
        <f t="shared" si="39"/>
        <v/>
      </c>
      <c r="F424" t="str">
        <f t="shared" si="37"/>
        <v>BS</v>
      </c>
    </row>
    <row r="425" spans="1:6" x14ac:dyDescent="0.3">
      <c r="A425" t="s">
        <v>1794</v>
      </c>
      <c r="B425">
        <v>1</v>
      </c>
      <c r="D425" t="str">
        <f t="shared" si="38"/>
        <v>0227</v>
      </c>
      <c r="E425" t="str">
        <f t="shared" si="39"/>
        <v/>
      </c>
      <c r="F425" t="str">
        <f t="shared" si="37"/>
        <v>CN</v>
      </c>
    </row>
    <row r="426" spans="1:6" x14ac:dyDescent="0.3">
      <c r="A426" t="s">
        <v>1796</v>
      </c>
      <c r="B426">
        <v>1</v>
      </c>
      <c r="D426" t="str">
        <f t="shared" si="38"/>
        <v>0228</v>
      </c>
      <c r="E426" t="str">
        <f t="shared" si="39"/>
        <v/>
      </c>
      <c r="F426" t="str">
        <f t="shared" si="37"/>
        <v>BS</v>
      </c>
    </row>
    <row r="427" spans="1:6" x14ac:dyDescent="0.3">
      <c r="A427" t="s">
        <v>1800</v>
      </c>
      <c r="B427">
        <v>1</v>
      </c>
      <c r="D427" t="str">
        <f t="shared" si="38"/>
        <v>0229</v>
      </c>
      <c r="E427" t="str">
        <f t="shared" si="39"/>
        <v/>
      </c>
      <c r="F427" t="str">
        <f t="shared" si="37"/>
        <v>CN</v>
      </c>
    </row>
    <row r="428" spans="1:6" x14ac:dyDescent="0.3">
      <c r="A428" t="s">
        <v>1803</v>
      </c>
      <c r="B428">
        <v>1</v>
      </c>
      <c r="D428" t="str">
        <f t="shared" si="38"/>
        <v>0230</v>
      </c>
      <c r="E428" t="str">
        <f t="shared" si="39"/>
        <v/>
      </c>
      <c r="F428" t="str">
        <f t="shared" si="37"/>
        <v>CN</v>
      </c>
    </row>
    <row r="429" spans="1:6" x14ac:dyDescent="0.3">
      <c r="A429" t="s">
        <v>1805</v>
      </c>
      <c r="B429">
        <v>1</v>
      </c>
      <c r="D429" t="str">
        <f t="shared" si="38"/>
        <v>0231</v>
      </c>
      <c r="E429" t="str">
        <f t="shared" si="39"/>
        <v/>
      </c>
      <c r="F429" t="str">
        <f t="shared" si="37"/>
        <v>CN</v>
      </c>
    </row>
    <row r="430" spans="1:6" x14ac:dyDescent="0.3">
      <c r="A430" t="s">
        <v>1809</v>
      </c>
      <c r="B430">
        <v>1</v>
      </c>
      <c r="D430" t="str">
        <f t="shared" si="38"/>
        <v>0232</v>
      </c>
      <c r="E430" t="str">
        <f t="shared" si="39"/>
        <v/>
      </c>
      <c r="F430" t="str">
        <f t="shared" si="37"/>
        <v>CS</v>
      </c>
    </row>
    <row r="431" spans="1:6" x14ac:dyDescent="0.3">
      <c r="A431" t="s">
        <v>1811</v>
      </c>
      <c r="B431">
        <v>1</v>
      </c>
      <c r="D431" t="str">
        <f t="shared" si="38"/>
        <v>0233</v>
      </c>
      <c r="E431" t="str">
        <f t="shared" si="39"/>
        <v/>
      </c>
      <c r="F431" t="str">
        <f t="shared" si="37"/>
        <v>BS</v>
      </c>
    </row>
    <row r="432" spans="1:6" x14ac:dyDescent="0.3">
      <c r="A432" t="s">
        <v>1814</v>
      </c>
      <c r="B432">
        <v>1</v>
      </c>
      <c r="D432" t="str">
        <f t="shared" si="38"/>
        <v>0234</v>
      </c>
      <c r="E432" t="str">
        <f t="shared" si="39"/>
        <v/>
      </c>
      <c r="F432" t="str">
        <f t="shared" si="37"/>
        <v>BS</v>
      </c>
    </row>
    <row r="433" spans="1:6" x14ac:dyDescent="0.3">
      <c r="A433" t="s">
        <v>1817</v>
      </c>
      <c r="B433">
        <v>1</v>
      </c>
      <c r="D433" t="str">
        <f t="shared" si="38"/>
        <v>0235</v>
      </c>
      <c r="E433" t="str">
        <f t="shared" si="39"/>
        <v/>
      </c>
      <c r="F433" t="str">
        <f t="shared" si="37"/>
        <v>CN</v>
      </c>
    </row>
    <row r="434" spans="1:6" x14ac:dyDescent="0.3">
      <c r="A434" t="s">
        <v>1820</v>
      </c>
      <c r="B434">
        <v>1</v>
      </c>
      <c r="D434" t="str">
        <f t="shared" si="38"/>
        <v>0236</v>
      </c>
      <c r="E434" t="str">
        <f t="shared" si="39"/>
        <v/>
      </c>
      <c r="F434" t="str">
        <f t="shared" si="37"/>
        <v>CN</v>
      </c>
    </row>
    <row r="435" spans="1:6" x14ac:dyDescent="0.3">
      <c r="A435" t="s">
        <v>1822</v>
      </c>
      <c r="B435">
        <v>1</v>
      </c>
      <c r="D435" t="str">
        <f t="shared" si="38"/>
        <v>0237</v>
      </c>
      <c r="E435" t="str">
        <f t="shared" si="39"/>
        <v/>
      </c>
      <c r="F435" t="str">
        <f t="shared" si="37"/>
        <v>CN</v>
      </c>
    </row>
    <row r="436" spans="1:6" x14ac:dyDescent="0.3">
      <c r="A436" t="s">
        <v>2615</v>
      </c>
      <c r="B436">
        <v>1</v>
      </c>
      <c r="D436" t="str">
        <f t="shared" si="38"/>
        <v>0238</v>
      </c>
      <c r="E436" t="str">
        <f t="shared" si="39"/>
        <v/>
      </c>
      <c r="F436" t="str">
        <f t="shared" si="37"/>
        <v>MS</v>
      </c>
    </row>
    <row r="437" spans="1:6" x14ac:dyDescent="0.3">
      <c r="A437" t="s">
        <v>1826</v>
      </c>
      <c r="B437">
        <v>1</v>
      </c>
      <c r="D437" t="str">
        <f t="shared" si="38"/>
        <v>0239</v>
      </c>
      <c r="E437" t="str">
        <f t="shared" si="39"/>
        <v/>
      </c>
      <c r="F437" t="str">
        <f t="shared" si="37"/>
        <v>BS</v>
      </c>
    </row>
    <row r="438" spans="1:6" x14ac:dyDescent="0.3">
      <c r="A438" t="s">
        <v>1831</v>
      </c>
      <c r="B438">
        <v>1</v>
      </c>
      <c r="D438" t="str">
        <f t="shared" si="38"/>
        <v>0240</v>
      </c>
      <c r="E438" t="str">
        <f t="shared" si="39"/>
        <v/>
      </c>
      <c r="F438" t="str">
        <f t="shared" si="37"/>
        <v>CS</v>
      </c>
    </row>
    <row r="439" spans="1:6" x14ac:dyDescent="0.3">
      <c r="A439" t="s">
        <v>1832</v>
      </c>
      <c r="B439">
        <v>1</v>
      </c>
      <c r="D439" t="str">
        <f t="shared" si="38"/>
        <v>0241</v>
      </c>
      <c r="E439" t="str">
        <f t="shared" si="39"/>
        <v/>
      </c>
      <c r="F439" t="str">
        <f t="shared" si="37"/>
        <v>BS</v>
      </c>
    </row>
    <row r="440" spans="1:6" x14ac:dyDescent="0.3">
      <c r="A440" t="s">
        <v>1837</v>
      </c>
      <c r="B440">
        <v>1</v>
      </c>
      <c r="D440" t="str">
        <f t="shared" si="38"/>
        <v>0242</v>
      </c>
      <c r="E440" t="str">
        <f t="shared" si="39"/>
        <v/>
      </c>
      <c r="F440" t="str">
        <f t="shared" si="37"/>
        <v>CS</v>
      </c>
    </row>
    <row r="441" spans="1:6" x14ac:dyDescent="0.3">
      <c r="A441" t="s">
        <v>1839</v>
      </c>
      <c r="B441">
        <v>1</v>
      </c>
      <c r="D441" t="str">
        <f t="shared" si="38"/>
        <v>0243</v>
      </c>
      <c r="E441" t="str">
        <f t="shared" si="39"/>
        <v/>
      </c>
      <c r="F441" t="str">
        <f t="shared" si="37"/>
        <v>CN</v>
      </c>
    </row>
    <row r="442" spans="1:6" x14ac:dyDescent="0.3">
      <c r="A442" t="s">
        <v>2616</v>
      </c>
      <c r="B442">
        <v>1</v>
      </c>
      <c r="D442" t="str">
        <f t="shared" si="38"/>
        <v>0244</v>
      </c>
      <c r="E442" t="str">
        <f t="shared" si="39"/>
        <v/>
      </c>
      <c r="F442" t="str">
        <f t="shared" si="37"/>
        <v>MS</v>
      </c>
    </row>
    <row r="443" spans="1:6" x14ac:dyDescent="0.3">
      <c r="A443" t="s">
        <v>1843</v>
      </c>
      <c r="B443">
        <v>1</v>
      </c>
      <c r="D443" t="str">
        <f t="shared" si="38"/>
        <v>0245</v>
      </c>
      <c r="E443" t="str">
        <f t="shared" si="39"/>
        <v/>
      </c>
      <c r="F443" t="str">
        <f t="shared" si="37"/>
        <v>CN</v>
      </c>
    </row>
    <row r="444" spans="1:6" x14ac:dyDescent="0.3">
      <c r="A444" t="s">
        <v>1845</v>
      </c>
      <c r="B444">
        <v>1</v>
      </c>
      <c r="D444" t="str">
        <f t="shared" si="38"/>
        <v>0246</v>
      </c>
      <c r="E444" t="str">
        <f t="shared" si="39"/>
        <v/>
      </c>
      <c r="F444" t="str">
        <f t="shared" si="37"/>
        <v>BS</v>
      </c>
    </row>
    <row r="445" spans="1:6" x14ac:dyDescent="0.3">
      <c r="A445" t="s">
        <v>1849</v>
      </c>
      <c r="B445">
        <v>1</v>
      </c>
      <c r="D445" t="str">
        <f t="shared" si="38"/>
        <v>0247</v>
      </c>
      <c r="E445" t="str">
        <f t="shared" si="39"/>
        <v/>
      </c>
      <c r="F445" t="str">
        <f t="shared" si="37"/>
        <v>CS</v>
      </c>
    </row>
    <row r="446" spans="1:6" x14ac:dyDescent="0.3">
      <c r="A446" t="s">
        <v>1850</v>
      </c>
      <c r="B446">
        <v>1</v>
      </c>
      <c r="D446" t="str">
        <f t="shared" si="38"/>
        <v>0248</v>
      </c>
      <c r="E446" t="str">
        <f t="shared" si="39"/>
        <v/>
      </c>
      <c r="F446" t="str">
        <f t="shared" si="37"/>
        <v>BS</v>
      </c>
    </row>
    <row r="447" spans="1:6" x14ac:dyDescent="0.3">
      <c r="A447" t="s">
        <v>1853</v>
      </c>
      <c r="B447">
        <v>1</v>
      </c>
      <c r="D447" t="str">
        <f t="shared" si="38"/>
        <v>0249</v>
      </c>
      <c r="E447" t="str">
        <f t="shared" si="39"/>
        <v/>
      </c>
      <c r="F447" t="str">
        <f t="shared" si="37"/>
        <v>CN</v>
      </c>
    </row>
    <row r="448" spans="1:6" x14ac:dyDescent="0.3">
      <c r="A448" t="s">
        <v>1857</v>
      </c>
      <c r="B448">
        <v>1</v>
      </c>
      <c r="D448" t="str">
        <f t="shared" si="38"/>
        <v>0250</v>
      </c>
      <c r="E448" t="str">
        <f t="shared" si="39"/>
        <v/>
      </c>
      <c r="F448" t="str">
        <f t="shared" si="37"/>
        <v>CS</v>
      </c>
    </row>
    <row r="449" spans="1:6" x14ac:dyDescent="0.3">
      <c r="A449" t="s">
        <v>2617</v>
      </c>
      <c r="B449">
        <v>1</v>
      </c>
      <c r="D449" t="str">
        <f t="shared" si="38"/>
        <v>0251</v>
      </c>
      <c r="E449" t="str">
        <f t="shared" si="39"/>
        <v/>
      </c>
      <c r="F449" t="str">
        <f t="shared" si="37"/>
        <v>MS</v>
      </c>
    </row>
    <row r="450" spans="1:6" x14ac:dyDescent="0.3">
      <c r="A450" t="s">
        <v>2618</v>
      </c>
      <c r="B450">
        <v>1</v>
      </c>
      <c r="D450" t="str">
        <f t="shared" si="38"/>
        <v>0252</v>
      </c>
      <c r="E450" t="str">
        <f t="shared" si="39"/>
        <v/>
      </c>
      <c r="F450" t="str">
        <f t="shared" si="37"/>
        <v>MS</v>
      </c>
    </row>
    <row r="451" spans="1:6" x14ac:dyDescent="0.3">
      <c r="A451" t="s">
        <v>1863</v>
      </c>
      <c r="B451">
        <v>1</v>
      </c>
      <c r="D451" t="str">
        <f t="shared" si="38"/>
        <v>0253</v>
      </c>
      <c r="E451" t="str">
        <f t="shared" si="39"/>
        <v/>
      </c>
      <c r="F451" t="str">
        <f t="shared" si="37"/>
        <v>CN</v>
      </c>
    </row>
    <row r="452" spans="1:6" x14ac:dyDescent="0.3">
      <c r="A452" t="s">
        <v>1864</v>
      </c>
      <c r="B452">
        <v>1</v>
      </c>
      <c r="D452" t="str">
        <f t="shared" si="38"/>
        <v>0254</v>
      </c>
      <c r="E452" t="str">
        <f t="shared" si="39"/>
        <v/>
      </c>
      <c r="F452" t="str">
        <f t="shared" si="37"/>
        <v>CN</v>
      </c>
    </row>
    <row r="453" spans="1:6" x14ac:dyDescent="0.3">
      <c r="A453" t="s">
        <v>1866</v>
      </c>
      <c r="B453">
        <v>1</v>
      </c>
      <c r="D453" t="str">
        <f t="shared" si="38"/>
        <v>0255</v>
      </c>
      <c r="E453" t="str">
        <f t="shared" si="39"/>
        <v/>
      </c>
      <c r="F453" t="str">
        <f t="shared" si="37"/>
        <v>BS</v>
      </c>
    </row>
    <row r="454" spans="1:6" x14ac:dyDescent="0.3">
      <c r="A454" t="s">
        <v>1870</v>
      </c>
      <c r="B454">
        <v>1</v>
      </c>
      <c r="D454" t="str">
        <f t="shared" si="38"/>
        <v>0256</v>
      </c>
      <c r="E454" t="str">
        <f t="shared" si="39"/>
        <v/>
      </c>
      <c r="F454" t="str">
        <f t="shared" si="37"/>
        <v>BS</v>
      </c>
    </row>
    <row r="455" spans="1:6" x14ac:dyDescent="0.3">
      <c r="A455" t="s">
        <v>1873</v>
      </c>
      <c r="B455">
        <v>1</v>
      </c>
      <c r="D455" t="str">
        <f t="shared" si="38"/>
        <v>0257</v>
      </c>
      <c r="E455" t="str">
        <f t="shared" si="39"/>
        <v/>
      </c>
      <c r="F455" t="str">
        <f t="shared" si="37"/>
        <v>CN</v>
      </c>
    </row>
    <row r="456" spans="1:6" x14ac:dyDescent="0.3">
      <c r="A456" t="s">
        <v>1875</v>
      </c>
      <c r="B456">
        <v>1</v>
      </c>
      <c r="D456" t="str">
        <f t="shared" si="38"/>
        <v>0258</v>
      </c>
      <c r="E456" t="str">
        <f t="shared" si="39"/>
        <v/>
      </c>
      <c r="F456" t="str">
        <f t="shared" si="37"/>
        <v>CN</v>
      </c>
    </row>
    <row r="457" spans="1:6" x14ac:dyDescent="0.3">
      <c r="A457" t="s">
        <v>2619</v>
      </c>
      <c r="B457">
        <v>1</v>
      </c>
      <c r="D457" t="str">
        <f t="shared" si="38"/>
        <v>0259</v>
      </c>
      <c r="E457" t="str">
        <f t="shared" si="39"/>
        <v/>
      </c>
      <c r="F457" t="str">
        <f t="shared" si="37"/>
        <v>MS</v>
      </c>
    </row>
    <row r="458" spans="1:6" x14ac:dyDescent="0.3">
      <c r="A458" t="s">
        <v>1880</v>
      </c>
      <c r="B458">
        <v>1</v>
      </c>
      <c r="D458" t="str">
        <f t="shared" si="38"/>
        <v>0260</v>
      </c>
      <c r="E458" t="str">
        <f t="shared" si="39"/>
        <v/>
      </c>
      <c r="F458" t="str">
        <f t="shared" si="37"/>
        <v>BS</v>
      </c>
    </row>
    <row r="459" spans="1:6" x14ac:dyDescent="0.3">
      <c r="A459" t="s">
        <v>1883</v>
      </c>
      <c r="B459">
        <v>1</v>
      </c>
      <c r="D459" t="str">
        <f t="shared" si="38"/>
        <v>0261</v>
      </c>
      <c r="E459" t="str">
        <f t="shared" si="39"/>
        <v/>
      </c>
      <c r="F459" t="str">
        <f t="shared" si="37"/>
        <v>BS</v>
      </c>
    </row>
    <row r="460" spans="1:6" x14ac:dyDescent="0.3">
      <c r="A460" t="s">
        <v>1887</v>
      </c>
      <c r="B460">
        <v>1</v>
      </c>
      <c r="D460" t="str">
        <f t="shared" si="38"/>
        <v>0262</v>
      </c>
      <c r="E460" t="str">
        <f t="shared" si="39"/>
        <v/>
      </c>
      <c r="F460" t="str">
        <f t="shared" si="37"/>
        <v>CS</v>
      </c>
    </row>
    <row r="461" spans="1:6" x14ac:dyDescent="0.3">
      <c r="A461" t="s">
        <v>2620</v>
      </c>
      <c r="B461">
        <v>1</v>
      </c>
      <c r="D461" t="str">
        <f t="shared" si="38"/>
        <v>0263</v>
      </c>
      <c r="E461" t="str">
        <f t="shared" si="39"/>
        <v/>
      </c>
      <c r="F461" t="str">
        <f t="shared" si="37"/>
        <v>MS</v>
      </c>
    </row>
    <row r="462" spans="1:6" x14ac:dyDescent="0.3">
      <c r="A462" t="s">
        <v>1892</v>
      </c>
      <c r="B462">
        <v>1</v>
      </c>
      <c r="D462" t="str">
        <f t="shared" si="38"/>
        <v>0264</v>
      </c>
      <c r="E462" t="str">
        <f t="shared" si="39"/>
        <v/>
      </c>
      <c r="F462" t="str">
        <f t="shared" si="37"/>
        <v>CS</v>
      </c>
    </row>
    <row r="463" spans="1:6" x14ac:dyDescent="0.3">
      <c r="A463" t="s">
        <v>2563</v>
      </c>
      <c r="B463">
        <v>1</v>
      </c>
      <c r="D463" t="str">
        <f t="shared" si="38"/>
        <v>0265</v>
      </c>
      <c r="E463" t="str">
        <f t="shared" si="39"/>
        <v/>
      </c>
      <c r="F463" t="str">
        <f t="shared" si="37"/>
        <v>MS</v>
      </c>
    </row>
    <row r="464" spans="1:6" x14ac:dyDescent="0.3">
      <c r="A464" t="s">
        <v>1898</v>
      </c>
      <c r="B464">
        <v>1</v>
      </c>
      <c r="D464" t="str">
        <f t="shared" si="38"/>
        <v>0266</v>
      </c>
      <c r="E464" t="str">
        <f t="shared" si="39"/>
        <v/>
      </c>
      <c r="F464" t="str">
        <f t="shared" si="37"/>
        <v>BS</v>
      </c>
    </row>
    <row r="465" spans="1:6" x14ac:dyDescent="0.3">
      <c r="A465" t="s">
        <v>1901</v>
      </c>
      <c r="B465">
        <v>1</v>
      </c>
      <c r="D465" t="str">
        <f t="shared" si="38"/>
        <v>0267</v>
      </c>
      <c r="E465" t="str">
        <f t="shared" si="39"/>
        <v/>
      </c>
      <c r="F465" t="str">
        <f t="shared" si="37"/>
        <v>CS</v>
      </c>
    </row>
    <row r="466" spans="1:6" x14ac:dyDescent="0.3">
      <c r="A466" t="s">
        <v>1902</v>
      </c>
      <c r="B466">
        <v>1</v>
      </c>
      <c r="D466" t="str">
        <f t="shared" si="38"/>
        <v>0268</v>
      </c>
      <c r="E466" t="str">
        <f t="shared" si="39"/>
        <v>1</v>
      </c>
      <c r="F466" t="str">
        <f t="shared" ref="F466:F529" si="40">IF(LEFT(A466,1)="X",MID(A466,8,2),"")</f>
        <v>CN</v>
      </c>
    </row>
    <row r="467" spans="1:6" x14ac:dyDescent="0.3">
      <c r="A467" t="s">
        <v>1904</v>
      </c>
      <c r="B467">
        <v>1</v>
      </c>
      <c r="D467" t="str">
        <f t="shared" si="38"/>
        <v>0268</v>
      </c>
      <c r="E467" t="str">
        <f t="shared" si="39"/>
        <v>2</v>
      </c>
      <c r="F467" t="str">
        <f t="shared" si="40"/>
        <v>CR</v>
      </c>
    </row>
    <row r="468" spans="1:6" x14ac:dyDescent="0.3">
      <c r="A468" t="s">
        <v>2621</v>
      </c>
      <c r="B468">
        <v>1</v>
      </c>
      <c r="D468" t="str">
        <f t="shared" si="38"/>
        <v>0268</v>
      </c>
      <c r="E468" t="str">
        <f t="shared" si="39"/>
        <v>3</v>
      </c>
      <c r="F468" t="str">
        <f t="shared" si="40"/>
        <v>MS</v>
      </c>
    </row>
    <row r="469" spans="1:6" x14ac:dyDescent="0.3">
      <c r="A469" t="s">
        <v>1905</v>
      </c>
      <c r="B469">
        <v>1</v>
      </c>
      <c r="D469" t="str">
        <f t="shared" ref="D469:D532" si="41">IF(LEFT(A469,2)="SP",MID(A469,4,4),IF(LEFT(A469,1)="X",MID(A469,3,4),""))</f>
        <v>0269</v>
      </c>
      <c r="E469" t="str">
        <f t="shared" ref="E469:E532" si="42">IF(OR(LEFT(A469,2)="SP",AND(LEFT(A469,1)="X",LEN(A469)&gt;9)),RIGHT(A469,1),"")</f>
        <v>1</v>
      </c>
      <c r="F469" t="str">
        <f t="shared" si="40"/>
        <v>CN</v>
      </c>
    </row>
    <row r="470" spans="1:6" x14ac:dyDescent="0.3">
      <c r="A470" t="s">
        <v>1907</v>
      </c>
      <c r="B470">
        <v>1</v>
      </c>
      <c r="D470" t="str">
        <f t="shared" si="41"/>
        <v>0269</v>
      </c>
      <c r="E470" t="str">
        <f t="shared" si="42"/>
        <v>2</v>
      </c>
      <c r="F470" t="str">
        <f t="shared" si="40"/>
        <v>CR</v>
      </c>
    </row>
    <row r="471" spans="1:6" x14ac:dyDescent="0.3">
      <c r="A471" t="s">
        <v>2585</v>
      </c>
      <c r="B471">
        <v>1</v>
      </c>
      <c r="D471" t="str">
        <f t="shared" si="41"/>
        <v>0269</v>
      </c>
      <c r="E471" t="str">
        <f t="shared" si="42"/>
        <v>3</v>
      </c>
      <c r="F471" t="str">
        <f t="shared" si="40"/>
        <v>MS</v>
      </c>
    </row>
    <row r="472" spans="1:6" x14ac:dyDescent="0.3">
      <c r="A472" t="s">
        <v>1910</v>
      </c>
      <c r="B472">
        <v>1</v>
      </c>
      <c r="D472" t="str">
        <f t="shared" si="41"/>
        <v>0270</v>
      </c>
      <c r="E472" t="str">
        <f t="shared" si="42"/>
        <v/>
      </c>
      <c r="F472" t="str">
        <f t="shared" si="40"/>
        <v>CR</v>
      </c>
    </row>
    <row r="473" spans="1:6" x14ac:dyDescent="0.3">
      <c r="A473" t="s">
        <v>1912</v>
      </c>
      <c r="B473">
        <v>1</v>
      </c>
      <c r="D473" t="str">
        <f t="shared" si="41"/>
        <v>0271</v>
      </c>
      <c r="E473" t="str">
        <f t="shared" si="42"/>
        <v>1</v>
      </c>
      <c r="F473" t="str">
        <f t="shared" si="40"/>
        <v>BS</v>
      </c>
    </row>
    <row r="474" spans="1:6" x14ac:dyDescent="0.3">
      <c r="A474" t="s">
        <v>1915</v>
      </c>
      <c r="B474">
        <v>1</v>
      </c>
      <c r="D474" t="str">
        <f t="shared" si="41"/>
        <v>0271</v>
      </c>
      <c r="E474" t="str">
        <f t="shared" si="42"/>
        <v>2</v>
      </c>
      <c r="F474" t="str">
        <f t="shared" si="40"/>
        <v>CR</v>
      </c>
    </row>
    <row r="475" spans="1:6" x14ac:dyDescent="0.3">
      <c r="A475" t="s">
        <v>1916</v>
      </c>
      <c r="B475">
        <v>1</v>
      </c>
      <c r="D475" t="str">
        <f t="shared" si="41"/>
        <v>0271</v>
      </c>
      <c r="E475" t="str">
        <f t="shared" si="42"/>
        <v>3</v>
      </c>
      <c r="F475" t="str">
        <f t="shared" si="40"/>
        <v>CS</v>
      </c>
    </row>
    <row r="476" spans="1:6" x14ac:dyDescent="0.3">
      <c r="A476" t="s">
        <v>1918</v>
      </c>
      <c r="B476">
        <v>1</v>
      </c>
      <c r="D476" t="str">
        <f t="shared" si="41"/>
        <v>0272</v>
      </c>
      <c r="E476" t="str">
        <f t="shared" si="42"/>
        <v/>
      </c>
      <c r="F476" t="str">
        <f t="shared" si="40"/>
        <v>CN</v>
      </c>
    </row>
    <row r="477" spans="1:6" x14ac:dyDescent="0.3">
      <c r="A477" t="s">
        <v>1922</v>
      </c>
      <c r="B477">
        <v>1</v>
      </c>
      <c r="D477" t="str">
        <f t="shared" si="41"/>
        <v>0273</v>
      </c>
      <c r="E477" t="str">
        <f t="shared" si="42"/>
        <v/>
      </c>
      <c r="F477" t="str">
        <f t="shared" si="40"/>
        <v>BS</v>
      </c>
    </row>
    <row r="478" spans="1:6" x14ac:dyDescent="0.3">
      <c r="A478" t="s">
        <v>1924</v>
      </c>
      <c r="B478">
        <v>1</v>
      </c>
      <c r="D478" t="str">
        <f t="shared" si="41"/>
        <v>0274</v>
      </c>
      <c r="E478" t="str">
        <f t="shared" si="42"/>
        <v/>
      </c>
      <c r="F478" t="str">
        <f t="shared" si="40"/>
        <v>CN</v>
      </c>
    </row>
    <row r="479" spans="1:6" x14ac:dyDescent="0.3">
      <c r="A479" t="s">
        <v>1926</v>
      </c>
      <c r="B479">
        <v>1</v>
      </c>
      <c r="D479" t="str">
        <f t="shared" si="41"/>
        <v>0275</v>
      </c>
      <c r="E479" t="str">
        <f t="shared" si="42"/>
        <v/>
      </c>
      <c r="F479" t="str">
        <f t="shared" si="40"/>
        <v>BS</v>
      </c>
    </row>
    <row r="480" spans="1:6" x14ac:dyDescent="0.3">
      <c r="A480" t="s">
        <v>1927</v>
      </c>
      <c r="B480">
        <v>1</v>
      </c>
      <c r="D480" t="str">
        <f t="shared" si="41"/>
        <v>0276</v>
      </c>
      <c r="E480" t="str">
        <f t="shared" si="42"/>
        <v/>
      </c>
      <c r="F480" t="str">
        <f t="shared" si="40"/>
        <v>CN</v>
      </c>
    </row>
    <row r="481" spans="1:6" x14ac:dyDescent="0.3">
      <c r="A481" t="s">
        <v>1929</v>
      </c>
      <c r="B481">
        <v>1</v>
      </c>
      <c r="D481" t="str">
        <f t="shared" si="41"/>
        <v>0277</v>
      </c>
      <c r="E481" t="str">
        <f t="shared" si="42"/>
        <v/>
      </c>
      <c r="F481" t="str">
        <f t="shared" si="40"/>
        <v>CN</v>
      </c>
    </row>
    <row r="482" spans="1:6" x14ac:dyDescent="0.3">
      <c r="A482" t="s">
        <v>1932</v>
      </c>
      <c r="B482">
        <v>1</v>
      </c>
      <c r="D482" t="str">
        <f t="shared" si="41"/>
        <v>0278</v>
      </c>
      <c r="E482" t="str">
        <f t="shared" si="42"/>
        <v/>
      </c>
      <c r="F482" t="str">
        <f t="shared" si="40"/>
        <v>CN</v>
      </c>
    </row>
    <row r="483" spans="1:6" x14ac:dyDescent="0.3">
      <c r="A483" t="s">
        <v>1934</v>
      </c>
      <c r="B483">
        <v>1</v>
      </c>
      <c r="D483" t="str">
        <f t="shared" si="41"/>
        <v>0279</v>
      </c>
      <c r="E483" t="str">
        <f t="shared" si="42"/>
        <v/>
      </c>
      <c r="F483" t="str">
        <f t="shared" si="40"/>
        <v>CN</v>
      </c>
    </row>
    <row r="484" spans="1:6" x14ac:dyDescent="0.3">
      <c r="A484" t="s">
        <v>1936</v>
      </c>
      <c r="B484">
        <v>1</v>
      </c>
      <c r="D484" t="str">
        <f t="shared" si="41"/>
        <v>0280</v>
      </c>
      <c r="E484" t="str">
        <f t="shared" si="42"/>
        <v/>
      </c>
      <c r="F484" t="str">
        <f t="shared" si="40"/>
        <v>CN</v>
      </c>
    </row>
    <row r="485" spans="1:6" x14ac:dyDescent="0.3">
      <c r="A485" t="s">
        <v>1939</v>
      </c>
      <c r="B485">
        <v>1</v>
      </c>
      <c r="D485" t="str">
        <f t="shared" si="41"/>
        <v>0281</v>
      </c>
      <c r="E485" t="str">
        <f t="shared" si="42"/>
        <v/>
      </c>
      <c r="F485" t="str">
        <f t="shared" si="40"/>
        <v>CN</v>
      </c>
    </row>
    <row r="486" spans="1:6" x14ac:dyDescent="0.3">
      <c r="A486" t="s">
        <v>1941</v>
      </c>
      <c r="B486">
        <v>1</v>
      </c>
      <c r="D486" t="str">
        <f t="shared" si="41"/>
        <v>0282</v>
      </c>
      <c r="E486" t="str">
        <f t="shared" si="42"/>
        <v/>
      </c>
      <c r="F486" t="str">
        <f t="shared" si="40"/>
        <v>CN</v>
      </c>
    </row>
    <row r="487" spans="1:6" x14ac:dyDescent="0.3">
      <c r="A487" t="s">
        <v>1943</v>
      </c>
      <c r="B487">
        <v>1</v>
      </c>
      <c r="D487" t="str">
        <f t="shared" si="41"/>
        <v>0283</v>
      </c>
      <c r="E487" t="str">
        <f t="shared" si="42"/>
        <v/>
      </c>
      <c r="F487" t="str">
        <f t="shared" si="40"/>
        <v>CN</v>
      </c>
    </row>
    <row r="488" spans="1:6" x14ac:dyDescent="0.3">
      <c r="A488" t="s">
        <v>1945</v>
      </c>
      <c r="B488">
        <v>1</v>
      </c>
      <c r="D488" t="str">
        <f t="shared" si="41"/>
        <v>0284</v>
      </c>
      <c r="E488" t="str">
        <f t="shared" si="42"/>
        <v/>
      </c>
      <c r="F488" t="str">
        <f t="shared" si="40"/>
        <v>CN</v>
      </c>
    </row>
    <row r="489" spans="1:6" x14ac:dyDescent="0.3">
      <c r="A489" t="s">
        <v>1947</v>
      </c>
      <c r="B489">
        <v>1</v>
      </c>
      <c r="D489" t="str">
        <f t="shared" si="41"/>
        <v>0285</v>
      </c>
      <c r="E489" t="str">
        <f t="shared" si="42"/>
        <v/>
      </c>
      <c r="F489" t="str">
        <f t="shared" si="40"/>
        <v>CN</v>
      </c>
    </row>
    <row r="490" spans="1:6" x14ac:dyDescent="0.3">
      <c r="A490" t="s">
        <v>1950</v>
      </c>
      <c r="B490">
        <v>1</v>
      </c>
      <c r="D490" t="str">
        <f t="shared" si="41"/>
        <v>0286</v>
      </c>
      <c r="E490" t="str">
        <f t="shared" si="42"/>
        <v/>
      </c>
      <c r="F490" t="str">
        <f t="shared" si="40"/>
        <v>CN</v>
      </c>
    </row>
    <row r="491" spans="1:6" x14ac:dyDescent="0.3">
      <c r="A491" t="s">
        <v>1952</v>
      </c>
      <c r="B491">
        <v>1</v>
      </c>
      <c r="D491" t="str">
        <f t="shared" si="41"/>
        <v>0287</v>
      </c>
      <c r="E491" t="str">
        <f t="shared" si="42"/>
        <v/>
      </c>
      <c r="F491" t="str">
        <f t="shared" si="40"/>
        <v>CN</v>
      </c>
    </row>
    <row r="492" spans="1:6" x14ac:dyDescent="0.3">
      <c r="A492" t="s">
        <v>1955</v>
      </c>
      <c r="B492">
        <v>1</v>
      </c>
      <c r="D492" t="str">
        <f t="shared" si="41"/>
        <v>0288</v>
      </c>
      <c r="E492" t="str">
        <f t="shared" si="42"/>
        <v/>
      </c>
      <c r="F492" t="str">
        <f t="shared" si="40"/>
        <v>CN</v>
      </c>
    </row>
    <row r="493" spans="1:6" x14ac:dyDescent="0.3">
      <c r="A493" t="s">
        <v>1957</v>
      </c>
      <c r="B493">
        <v>1</v>
      </c>
      <c r="D493" t="str">
        <f t="shared" si="41"/>
        <v>0289</v>
      </c>
      <c r="E493" t="str">
        <f t="shared" si="42"/>
        <v/>
      </c>
      <c r="F493" t="str">
        <f t="shared" si="40"/>
        <v>CN</v>
      </c>
    </row>
    <row r="494" spans="1:6" x14ac:dyDescent="0.3">
      <c r="A494" t="s">
        <v>1959</v>
      </c>
      <c r="B494">
        <v>1</v>
      </c>
      <c r="D494" t="str">
        <f t="shared" si="41"/>
        <v>0290</v>
      </c>
      <c r="E494" t="str">
        <f t="shared" si="42"/>
        <v/>
      </c>
      <c r="F494" t="str">
        <f t="shared" si="40"/>
        <v>CN</v>
      </c>
    </row>
    <row r="495" spans="1:6" x14ac:dyDescent="0.3">
      <c r="A495" t="s">
        <v>1961</v>
      </c>
      <c r="B495">
        <v>1</v>
      </c>
      <c r="D495" t="str">
        <f t="shared" si="41"/>
        <v>0291</v>
      </c>
      <c r="E495" t="str">
        <f t="shared" si="42"/>
        <v/>
      </c>
      <c r="F495" t="str">
        <f t="shared" si="40"/>
        <v>CN</v>
      </c>
    </row>
    <row r="496" spans="1:6" x14ac:dyDescent="0.3">
      <c r="A496" t="s">
        <v>1963</v>
      </c>
      <c r="B496">
        <v>1</v>
      </c>
      <c r="D496" t="str">
        <f t="shared" si="41"/>
        <v>0292</v>
      </c>
      <c r="E496" t="str">
        <f t="shared" si="42"/>
        <v/>
      </c>
      <c r="F496" t="str">
        <f t="shared" si="40"/>
        <v>CN</v>
      </c>
    </row>
    <row r="497" spans="1:6" x14ac:dyDescent="0.3">
      <c r="A497" t="s">
        <v>1965</v>
      </c>
      <c r="B497">
        <v>1</v>
      </c>
      <c r="D497" t="str">
        <f t="shared" si="41"/>
        <v>0293</v>
      </c>
      <c r="E497" t="str">
        <f t="shared" si="42"/>
        <v/>
      </c>
      <c r="F497" t="str">
        <f t="shared" si="40"/>
        <v>CN</v>
      </c>
    </row>
    <row r="498" spans="1:6" x14ac:dyDescent="0.3">
      <c r="A498" t="s">
        <v>1967</v>
      </c>
      <c r="B498">
        <v>1</v>
      </c>
      <c r="D498" t="str">
        <f t="shared" si="41"/>
        <v>0294</v>
      </c>
      <c r="E498" t="str">
        <f t="shared" si="42"/>
        <v/>
      </c>
      <c r="F498" t="str">
        <f t="shared" si="40"/>
        <v>CN</v>
      </c>
    </row>
    <row r="499" spans="1:6" x14ac:dyDescent="0.3">
      <c r="A499" t="s">
        <v>1969</v>
      </c>
      <c r="B499">
        <v>1</v>
      </c>
      <c r="D499" t="str">
        <f t="shared" si="41"/>
        <v>0295</v>
      </c>
      <c r="E499" t="str">
        <f t="shared" si="42"/>
        <v/>
      </c>
      <c r="F499" t="str">
        <f t="shared" si="40"/>
        <v>CN</v>
      </c>
    </row>
    <row r="500" spans="1:6" x14ac:dyDescent="0.3">
      <c r="A500" t="s">
        <v>1971</v>
      </c>
      <c r="B500">
        <v>1</v>
      </c>
      <c r="D500" t="str">
        <f t="shared" si="41"/>
        <v>0296</v>
      </c>
      <c r="E500" t="str">
        <f t="shared" si="42"/>
        <v/>
      </c>
      <c r="F500" t="str">
        <f t="shared" si="40"/>
        <v>CN</v>
      </c>
    </row>
    <row r="501" spans="1:6" x14ac:dyDescent="0.3">
      <c r="A501" t="s">
        <v>1973</v>
      </c>
      <c r="B501">
        <v>1</v>
      </c>
      <c r="D501" t="str">
        <f t="shared" si="41"/>
        <v>0297</v>
      </c>
      <c r="E501" t="str">
        <f t="shared" si="42"/>
        <v/>
      </c>
      <c r="F501" t="str">
        <f t="shared" si="40"/>
        <v>CN</v>
      </c>
    </row>
    <row r="502" spans="1:6" x14ac:dyDescent="0.3">
      <c r="A502" t="s">
        <v>1976</v>
      </c>
      <c r="B502">
        <v>1</v>
      </c>
      <c r="D502" t="str">
        <f t="shared" si="41"/>
        <v>0298</v>
      </c>
      <c r="E502" t="str">
        <f t="shared" si="42"/>
        <v/>
      </c>
      <c r="F502" t="str">
        <f t="shared" si="40"/>
        <v>CN</v>
      </c>
    </row>
    <row r="503" spans="1:6" x14ac:dyDescent="0.3">
      <c r="A503" t="s">
        <v>1978</v>
      </c>
      <c r="B503">
        <v>1</v>
      </c>
      <c r="D503" t="str">
        <f t="shared" si="41"/>
        <v>0299</v>
      </c>
      <c r="E503" t="str">
        <f t="shared" si="42"/>
        <v/>
      </c>
      <c r="F503" t="str">
        <f t="shared" si="40"/>
        <v>CN</v>
      </c>
    </row>
    <row r="504" spans="1:6" x14ac:dyDescent="0.3">
      <c r="A504" t="s">
        <v>1981</v>
      </c>
      <c r="B504">
        <v>1</v>
      </c>
      <c r="D504" t="str">
        <f t="shared" si="41"/>
        <v>0300</v>
      </c>
      <c r="E504" t="str">
        <f t="shared" si="42"/>
        <v/>
      </c>
      <c r="F504" t="str">
        <f t="shared" si="40"/>
        <v>CN</v>
      </c>
    </row>
    <row r="505" spans="1:6" x14ac:dyDescent="0.3">
      <c r="A505" t="s">
        <v>1983</v>
      </c>
      <c r="B505">
        <v>1</v>
      </c>
      <c r="D505" t="str">
        <f t="shared" si="41"/>
        <v>0301</v>
      </c>
      <c r="E505" t="str">
        <f t="shared" si="42"/>
        <v/>
      </c>
      <c r="F505" t="str">
        <f t="shared" si="40"/>
        <v>CN</v>
      </c>
    </row>
    <row r="506" spans="1:6" x14ac:dyDescent="0.3">
      <c r="A506" t="s">
        <v>1988</v>
      </c>
      <c r="B506">
        <v>1</v>
      </c>
      <c r="D506" t="str">
        <f t="shared" si="41"/>
        <v>0302</v>
      </c>
      <c r="E506" t="str">
        <f t="shared" si="42"/>
        <v/>
      </c>
      <c r="F506" t="str">
        <f t="shared" si="40"/>
        <v>CS</v>
      </c>
    </row>
    <row r="507" spans="1:6" x14ac:dyDescent="0.3">
      <c r="A507" t="s">
        <v>1989</v>
      </c>
      <c r="B507">
        <v>1</v>
      </c>
      <c r="D507" t="str">
        <f t="shared" si="41"/>
        <v>0303</v>
      </c>
      <c r="E507" t="str">
        <f t="shared" si="42"/>
        <v/>
      </c>
      <c r="F507" t="str">
        <f t="shared" si="40"/>
        <v>CN</v>
      </c>
    </row>
    <row r="508" spans="1:6" x14ac:dyDescent="0.3">
      <c r="A508" t="s">
        <v>2622</v>
      </c>
      <c r="B508">
        <v>1</v>
      </c>
      <c r="D508" t="str">
        <f t="shared" si="41"/>
        <v>0304</v>
      </c>
      <c r="E508" t="str">
        <f t="shared" si="42"/>
        <v/>
      </c>
      <c r="F508" t="str">
        <f t="shared" si="40"/>
        <v>MS</v>
      </c>
    </row>
    <row r="509" spans="1:6" x14ac:dyDescent="0.3">
      <c r="A509" t="s">
        <v>2623</v>
      </c>
      <c r="B509">
        <v>1</v>
      </c>
      <c r="D509" t="str">
        <f t="shared" si="41"/>
        <v>0305</v>
      </c>
      <c r="E509" t="str">
        <f t="shared" si="42"/>
        <v/>
      </c>
      <c r="F509" t="str">
        <f t="shared" si="40"/>
        <v>MS</v>
      </c>
    </row>
    <row r="510" spans="1:6" x14ac:dyDescent="0.3">
      <c r="A510" t="s">
        <v>1996</v>
      </c>
      <c r="B510">
        <v>1</v>
      </c>
      <c r="D510" t="str">
        <f t="shared" si="41"/>
        <v>0306</v>
      </c>
      <c r="E510" t="str">
        <f t="shared" si="42"/>
        <v/>
      </c>
      <c r="F510" t="str">
        <f t="shared" si="40"/>
        <v>CN</v>
      </c>
    </row>
    <row r="511" spans="1:6" x14ac:dyDescent="0.3">
      <c r="A511" t="s">
        <v>2624</v>
      </c>
      <c r="B511">
        <v>1</v>
      </c>
      <c r="D511" t="str">
        <f t="shared" si="41"/>
        <v>0307</v>
      </c>
      <c r="E511" t="str">
        <f t="shared" si="42"/>
        <v/>
      </c>
      <c r="F511" t="str">
        <f t="shared" si="40"/>
        <v>MS</v>
      </c>
    </row>
    <row r="512" spans="1:6" x14ac:dyDescent="0.3">
      <c r="A512" t="s">
        <v>2000</v>
      </c>
      <c r="B512">
        <v>1</v>
      </c>
      <c r="D512" t="str">
        <f t="shared" si="41"/>
        <v>0308</v>
      </c>
      <c r="E512" t="str">
        <f t="shared" si="42"/>
        <v/>
      </c>
      <c r="F512" t="str">
        <f t="shared" si="40"/>
        <v>CN</v>
      </c>
    </row>
    <row r="513" spans="1:6" x14ac:dyDescent="0.3">
      <c r="A513" t="s">
        <v>2002</v>
      </c>
      <c r="B513">
        <v>1</v>
      </c>
      <c r="D513" t="str">
        <f t="shared" si="41"/>
        <v>0309</v>
      </c>
      <c r="E513" t="str">
        <f t="shared" si="42"/>
        <v/>
      </c>
      <c r="F513" t="str">
        <f t="shared" si="40"/>
        <v>CN</v>
      </c>
    </row>
    <row r="514" spans="1:6" x14ac:dyDescent="0.3">
      <c r="A514" t="s">
        <v>2004</v>
      </c>
      <c r="B514">
        <v>1</v>
      </c>
      <c r="D514" t="str">
        <f t="shared" si="41"/>
        <v>0310</v>
      </c>
      <c r="E514" t="str">
        <f t="shared" si="42"/>
        <v/>
      </c>
      <c r="F514" t="str">
        <f t="shared" si="40"/>
        <v>CN</v>
      </c>
    </row>
    <row r="515" spans="1:6" x14ac:dyDescent="0.3">
      <c r="A515" t="s">
        <v>2007</v>
      </c>
      <c r="B515">
        <v>1</v>
      </c>
      <c r="D515" t="str">
        <f t="shared" si="41"/>
        <v>0311</v>
      </c>
      <c r="E515" t="str">
        <f t="shared" si="42"/>
        <v/>
      </c>
      <c r="F515" t="str">
        <f t="shared" si="40"/>
        <v>CN</v>
      </c>
    </row>
    <row r="516" spans="1:6" x14ac:dyDescent="0.3">
      <c r="A516" t="s">
        <v>2009</v>
      </c>
      <c r="B516">
        <v>1</v>
      </c>
      <c r="D516" t="str">
        <f t="shared" si="41"/>
        <v>0312</v>
      </c>
      <c r="E516" t="str">
        <f t="shared" si="42"/>
        <v/>
      </c>
      <c r="F516" t="str">
        <f t="shared" si="40"/>
        <v>CN</v>
      </c>
    </row>
    <row r="517" spans="1:6" x14ac:dyDescent="0.3">
      <c r="A517" t="s">
        <v>2012</v>
      </c>
      <c r="B517">
        <v>1</v>
      </c>
      <c r="D517" t="str">
        <f t="shared" si="41"/>
        <v>0313</v>
      </c>
      <c r="E517" t="str">
        <f t="shared" si="42"/>
        <v>1</v>
      </c>
      <c r="F517" t="str">
        <f t="shared" si="40"/>
        <v>CN</v>
      </c>
    </row>
    <row r="518" spans="1:6" x14ac:dyDescent="0.3">
      <c r="A518" t="s">
        <v>2015</v>
      </c>
      <c r="B518">
        <v>1</v>
      </c>
      <c r="D518" t="str">
        <f t="shared" si="41"/>
        <v>0313</v>
      </c>
      <c r="E518" t="str">
        <f t="shared" si="42"/>
        <v>2</v>
      </c>
      <c r="F518" t="str">
        <f t="shared" si="40"/>
        <v>CR</v>
      </c>
    </row>
    <row r="519" spans="1:6" x14ac:dyDescent="0.3">
      <c r="A519" t="s">
        <v>2016</v>
      </c>
      <c r="B519">
        <v>1</v>
      </c>
      <c r="D519" t="str">
        <f t="shared" si="41"/>
        <v>0313</v>
      </c>
      <c r="E519" t="str">
        <f t="shared" si="42"/>
        <v>3</v>
      </c>
      <c r="F519" t="str">
        <f t="shared" si="40"/>
        <v>DS</v>
      </c>
    </row>
    <row r="520" spans="1:6" x14ac:dyDescent="0.3">
      <c r="A520" t="s">
        <v>2017</v>
      </c>
      <c r="B520">
        <v>1</v>
      </c>
      <c r="D520" t="str">
        <f t="shared" si="41"/>
        <v>0314</v>
      </c>
      <c r="E520" t="str">
        <f t="shared" si="42"/>
        <v>1</v>
      </c>
      <c r="F520" t="str">
        <f t="shared" si="40"/>
        <v>CN</v>
      </c>
    </row>
    <row r="521" spans="1:6" x14ac:dyDescent="0.3">
      <c r="A521" t="s">
        <v>2019</v>
      </c>
      <c r="B521">
        <v>1</v>
      </c>
      <c r="D521" t="str">
        <f t="shared" si="41"/>
        <v>0314</v>
      </c>
      <c r="E521" t="str">
        <f t="shared" si="42"/>
        <v>2</v>
      </c>
      <c r="F521" t="str">
        <f t="shared" si="40"/>
        <v>CR</v>
      </c>
    </row>
    <row r="522" spans="1:6" x14ac:dyDescent="0.3">
      <c r="A522" t="s">
        <v>2021</v>
      </c>
      <c r="B522">
        <v>1</v>
      </c>
      <c r="D522" t="str">
        <f t="shared" si="41"/>
        <v>0314</v>
      </c>
      <c r="E522" t="str">
        <f t="shared" si="42"/>
        <v>3</v>
      </c>
      <c r="F522" t="str">
        <f t="shared" si="40"/>
        <v>CS</v>
      </c>
    </row>
    <row r="523" spans="1:6" x14ac:dyDescent="0.3">
      <c r="A523" t="s">
        <v>2023</v>
      </c>
      <c r="B523">
        <v>1</v>
      </c>
      <c r="D523" t="str">
        <f t="shared" si="41"/>
        <v>0315</v>
      </c>
      <c r="E523" t="str">
        <f t="shared" si="42"/>
        <v>1</v>
      </c>
      <c r="F523" t="str">
        <f t="shared" si="40"/>
        <v>CN</v>
      </c>
    </row>
    <row r="524" spans="1:6" x14ac:dyDescent="0.3">
      <c r="A524" t="s">
        <v>2024</v>
      </c>
      <c r="B524">
        <v>1</v>
      </c>
      <c r="D524" t="str">
        <f t="shared" si="41"/>
        <v>0315</v>
      </c>
      <c r="E524" t="str">
        <f t="shared" si="42"/>
        <v>3</v>
      </c>
      <c r="F524" t="str">
        <f t="shared" si="40"/>
        <v>CN</v>
      </c>
    </row>
    <row r="525" spans="1:6" x14ac:dyDescent="0.3">
      <c r="A525" t="s">
        <v>2026</v>
      </c>
      <c r="B525">
        <v>1</v>
      </c>
      <c r="D525" t="str">
        <f t="shared" si="41"/>
        <v>0315</v>
      </c>
      <c r="E525" t="str">
        <f t="shared" si="42"/>
        <v>2</v>
      </c>
      <c r="F525" t="str">
        <f t="shared" si="40"/>
        <v>CR</v>
      </c>
    </row>
    <row r="526" spans="1:6" x14ac:dyDescent="0.3">
      <c r="A526" t="s">
        <v>2029</v>
      </c>
      <c r="B526">
        <v>1</v>
      </c>
      <c r="D526" t="str">
        <f t="shared" si="41"/>
        <v>0316</v>
      </c>
      <c r="E526" t="str">
        <f t="shared" si="42"/>
        <v>3</v>
      </c>
      <c r="F526" t="str">
        <f t="shared" si="40"/>
        <v>CN</v>
      </c>
    </row>
    <row r="527" spans="1:6" x14ac:dyDescent="0.3">
      <c r="A527" t="s">
        <v>2031</v>
      </c>
      <c r="B527">
        <v>1</v>
      </c>
      <c r="D527" t="str">
        <f t="shared" si="41"/>
        <v>0316</v>
      </c>
      <c r="E527" t="str">
        <f t="shared" si="42"/>
        <v>2</v>
      </c>
      <c r="F527" t="str">
        <f t="shared" si="40"/>
        <v>CR</v>
      </c>
    </row>
    <row r="528" spans="1:6" x14ac:dyDescent="0.3">
      <c r="A528" t="s">
        <v>2032</v>
      </c>
      <c r="B528">
        <v>1</v>
      </c>
      <c r="D528" t="str">
        <f t="shared" si="41"/>
        <v>0316</v>
      </c>
      <c r="E528" t="str">
        <f t="shared" si="42"/>
        <v>1</v>
      </c>
      <c r="F528" t="str">
        <f t="shared" si="40"/>
        <v>CS</v>
      </c>
    </row>
    <row r="529" spans="1:6" x14ac:dyDescent="0.3">
      <c r="A529" t="s">
        <v>2036</v>
      </c>
      <c r="B529">
        <v>1</v>
      </c>
      <c r="D529" t="str">
        <f t="shared" si="41"/>
        <v>0317</v>
      </c>
      <c r="E529" t="str">
        <f t="shared" si="42"/>
        <v/>
      </c>
      <c r="F529" t="str">
        <f t="shared" si="40"/>
        <v>DS</v>
      </c>
    </row>
    <row r="530" spans="1:6" x14ac:dyDescent="0.3">
      <c r="A530" t="s">
        <v>2625</v>
      </c>
      <c r="B530">
        <v>1</v>
      </c>
      <c r="D530" t="str">
        <f t="shared" si="41"/>
        <v>0318</v>
      </c>
      <c r="E530" t="str">
        <f t="shared" si="42"/>
        <v/>
      </c>
      <c r="F530" t="str">
        <f t="shared" ref="F530:F593" si="43">IF(LEFT(A530,1)="X",MID(A530,8,2),"")</f>
        <v>MS</v>
      </c>
    </row>
    <row r="531" spans="1:6" x14ac:dyDescent="0.3">
      <c r="A531" t="s">
        <v>2626</v>
      </c>
      <c r="B531">
        <v>1</v>
      </c>
      <c r="D531" t="str">
        <f t="shared" si="41"/>
        <v>0319</v>
      </c>
      <c r="E531" t="str">
        <f t="shared" si="42"/>
        <v/>
      </c>
      <c r="F531" t="str">
        <f t="shared" si="43"/>
        <v>MS</v>
      </c>
    </row>
    <row r="532" spans="1:6" x14ac:dyDescent="0.3">
      <c r="A532" t="s">
        <v>2586</v>
      </c>
      <c r="B532">
        <v>1</v>
      </c>
      <c r="D532" t="str">
        <f t="shared" si="41"/>
        <v>0320</v>
      </c>
      <c r="E532" t="str">
        <f t="shared" si="42"/>
        <v/>
      </c>
      <c r="F532" t="str">
        <f t="shared" si="43"/>
        <v>MS</v>
      </c>
    </row>
    <row r="533" spans="1:6" x14ac:dyDescent="0.3">
      <c r="A533" t="s">
        <v>2587</v>
      </c>
      <c r="B533">
        <v>1</v>
      </c>
      <c r="D533" t="str">
        <f t="shared" ref="D533:D596" si="44">IF(LEFT(A533,2)="SP",MID(A533,4,4),IF(LEFT(A533,1)="X",MID(A533,3,4),""))</f>
        <v>0321</v>
      </c>
      <c r="E533" t="str">
        <f t="shared" ref="E533:E596" si="45">IF(OR(LEFT(A533,2)="SP",AND(LEFT(A533,1)="X",LEN(A533)&gt;9)),RIGHT(A533,1),"")</f>
        <v/>
      </c>
      <c r="F533" t="str">
        <f t="shared" si="43"/>
        <v>MS</v>
      </c>
    </row>
    <row r="534" spans="1:6" x14ac:dyDescent="0.3">
      <c r="A534" t="s">
        <v>2043</v>
      </c>
      <c r="B534">
        <v>1</v>
      </c>
      <c r="D534" t="str">
        <f t="shared" si="44"/>
        <v>0322</v>
      </c>
      <c r="E534" t="str">
        <f t="shared" si="45"/>
        <v/>
      </c>
      <c r="F534" t="str">
        <f t="shared" si="43"/>
        <v>ES</v>
      </c>
    </row>
    <row r="535" spans="1:6" x14ac:dyDescent="0.3">
      <c r="A535" t="s">
        <v>2045</v>
      </c>
      <c r="B535">
        <v>1</v>
      </c>
      <c r="D535" t="str">
        <f t="shared" si="44"/>
        <v>0323</v>
      </c>
      <c r="E535" t="str">
        <f t="shared" si="45"/>
        <v>3</v>
      </c>
      <c r="F535" t="str">
        <f t="shared" si="43"/>
        <v>CN</v>
      </c>
    </row>
    <row r="536" spans="1:6" x14ac:dyDescent="0.3">
      <c r="A536" t="s">
        <v>2047</v>
      </c>
      <c r="B536">
        <v>1</v>
      </c>
      <c r="D536" t="str">
        <f t="shared" si="44"/>
        <v>0323</v>
      </c>
      <c r="E536" t="str">
        <f t="shared" si="45"/>
        <v>2</v>
      </c>
      <c r="F536" t="str">
        <f t="shared" si="43"/>
        <v>CR</v>
      </c>
    </row>
    <row r="537" spans="1:6" x14ac:dyDescent="0.3">
      <c r="A537" t="s">
        <v>2627</v>
      </c>
      <c r="B537">
        <v>1</v>
      </c>
      <c r="D537" t="str">
        <f t="shared" si="44"/>
        <v>0323</v>
      </c>
      <c r="E537" t="str">
        <f t="shared" si="45"/>
        <v>1</v>
      </c>
      <c r="F537" t="str">
        <f t="shared" si="43"/>
        <v>MS</v>
      </c>
    </row>
    <row r="538" spans="1:6" x14ac:dyDescent="0.3">
      <c r="A538" t="s">
        <v>2048</v>
      </c>
      <c r="B538">
        <v>1</v>
      </c>
      <c r="D538" t="str">
        <f t="shared" si="44"/>
        <v>0324</v>
      </c>
      <c r="E538" t="str">
        <f t="shared" si="45"/>
        <v/>
      </c>
      <c r="F538" t="str">
        <f t="shared" si="43"/>
        <v>CN</v>
      </c>
    </row>
    <row r="539" spans="1:6" x14ac:dyDescent="0.3">
      <c r="A539" t="s">
        <v>2050</v>
      </c>
      <c r="B539">
        <v>1</v>
      </c>
      <c r="D539" t="str">
        <f t="shared" si="44"/>
        <v>0325</v>
      </c>
      <c r="E539" t="str">
        <f t="shared" si="45"/>
        <v/>
      </c>
      <c r="F539" t="str">
        <f t="shared" si="43"/>
        <v>CN</v>
      </c>
    </row>
    <row r="540" spans="1:6" x14ac:dyDescent="0.3">
      <c r="A540" t="s">
        <v>2052</v>
      </c>
      <c r="B540">
        <v>1</v>
      </c>
      <c r="D540" t="str">
        <f t="shared" si="44"/>
        <v>0326</v>
      </c>
      <c r="E540" t="str">
        <f t="shared" si="45"/>
        <v/>
      </c>
      <c r="F540" t="str">
        <f t="shared" si="43"/>
        <v>CN</v>
      </c>
    </row>
    <row r="541" spans="1:6" x14ac:dyDescent="0.3">
      <c r="A541" t="s">
        <v>2054</v>
      </c>
      <c r="B541">
        <v>1</v>
      </c>
      <c r="D541" t="str">
        <f t="shared" si="44"/>
        <v>0327</v>
      </c>
      <c r="E541" t="str">
        <f t="shared" si="45"/>
        <v/>
      </c>
      <c r="F541" t="str">
        <f t="shared" si="43"/>
        <v>CN</v>
      </c>
    </row>
    <row r="542" spans="1:6" x14ac:dyDescent="0.3">
      <c r="A542" t="s">
        <v>2058</v>
      </c>
      <c r="B542">
        <v>1</v>
      </c>
      <c r="D542" t="str">
        <f t="shared" si="44"/>
        <v>0328</v>
      </c>
      <c r="E542" t="str">
        <f t="shared" si="45"/>
        <v>1</v>
      </c>
      <c r="F542" t="str">
        <f t="shared" si="43"/>
        <v>CN</v>
      </c>
    </row>
    <row r="543" spans="1:6" x14ac:dyDescent="0.3">
      <c r="A543" t="s">
        <v>2059</v>
      </c>
      <c r="B543">
        <v>1</v>
      </c>
      <c r="D543" t="str">
        <f t="shared" si="44"/>
        <v>0328</v>
      </c>
      <c r="E543" t="str">
        <f t="shared" si="45"/>
        <v>3</v>
      </c>
      <c r="F543" t="str">
        <f t="shared" si="43"/>
        <v>CN</v>
      </c>
    </row>
    <row r="544" spans="1:6" x14ac:dyDescent="0.3">
      <c r="A544" t="s">
        <v>2061</v>
      </c>
      <c r="B544">
        <v>1</v>
      </c>
      <c r="D544" t="str">
        <f t="shared" si="44"/>
        <v>0328</v>
      </c>
      <c r="E544" t="str">
        <f t="shared" si="45"/>
        <v>2</v>
      </c>
      <c r="F544" t="str">
        <f t="shared" si="43"/>
        <v>CR</v>
      </c>
    </row>
    <row r="545" spans="1:6" x14ac:dyDescent="0.3">
      <c r="A545" t="s">
        <v>2062</v>
      </c>
      <c r="B545">
        <v>1</v>
      </c>
      <c r="D545" t="str">
        <f t="shared" si="44"/>
        <v>0329</v>
      </c>
      <c r="E545" t="str">
        <f t="shared" si="45"/>
        <v/>
      </c>
      <c r="F545" t="str">
        <f t="shared" si="43"/>
        <v>CN</v>
      </c>
    </row>
    <row r="546" spans="1:6" x14ac:dyDescent="0.3">
      <c r="A546" t="s">
        <v>2063</v>
      </c>
      <c r="B546">
        <v>1</v>
      </c>
      <c r="D546" t="str">
        <f t="shared" si="44"/>
        <v>0330</v>
      </c>
      <c r="E546" t="str">
        <f t="shared" si="45"/>
        <v/>
      </c>
      <c r="F546" t="str">
        <f t="shared" si="43"/>
        <v>CN</v>
      </c>
    </row>
    <row r="547" spans="1:6" x14ac:dyDescent="0.3">
      <c r="A547" t="s">
        <v>2065</v>
      </c>
      <c r="B547">
        <v>1</v>
      </c>
      <c r="D547" t="str">
        <f t="shared" si="44"/>
        <v>0331</v>
      </c>
      <c r="E547" t="str">
        <f t="shared" si="45"/>
        <v/>
      </c>
      <c r="F547" t="str">
        <f t="shared" si="43"/>
        <v>CN</v>
      </c>
    </row>
    <row r="548" spans="1:6" x14ac:dyDescent="0.3">
      <c r="A548" t="s">
        <v>2067</v>
      </c>
      <c r="B548">
        <v>1</v>
      </c>
      <c r="D548" t="str">
        <f t="shared" si="44"/>
        <v>0332</v>
      </c>
      <c r="E548" t="str">
        <f t="shared" si="45"/>
        <v/>
      </c>
      <c r="F548" t="str">
        <f t="shared" si="43"/>
        <v>CN</v>
      </c>
    </row>
    <row r="549" spans="1:6" x14ac:dyDescent="0.3">
      <c r="A549" t="s">
        <v>2628</v>
      </c>
      <c r="B549">
        <v>1</v>
      </c>
      <c r="D549" t="str">
        <f t="shared" si="44"/>
        <v>0333</v>
      </c>
      <c r="E549" t="str">
        <f t="shared" si="45"/>
        <v/>
      </c>
      <c r="F549" t="str">
        <f t="shared" si="43"/>
        <v>MS</v>
      </c>
    </row>
    <row r="550" spans="1:6" x14ac:dyDescent="0.3">
      <c r="A550" t="s">
        <v>2629</v>
      </c>
      <c r="B550">
        <v>1</v>
      </c>
      <c r="D550" t="str">
        <f t="shared" si="44"/>
        <v>0334</v>
      </c>
      <c r="E550" t="str">
        <f t="shared" si="45"/>
        <v/>
      </c>
      <c r="F550" t="str">
        <f t="shared" si="43"/>
        <v>MS</v>
      </c>
    </row>
    <row r="551" spans="1:6" x14ac:dyDescent="0.3">
      <c r="A551" t="s">
        <v>2073</v>
      </c>
      <c r="B551">
        <v>1</v>
      </c>
      <c r="D551" t="str">
        <f t="shared" si="44"/>
        <v>0335</v>
      </c>
      <c r="E551" t="str">
        <f t="shared" si="45"/>
        <v/>
      </c>
      <c r="F551" t="str">
        <f t="shared" si="43"/>
        <v>CN</v>
      </c>
    </row>
    <row r="552" spans="1:6" x14ac:dyDescent="0.3">
      <c r="A552" t="s">
        <v>2076</v>
      </c>
      <c r="B552">
        <v>1</v>
      </c>
      <c r="D552" t="str">
        <f t="shared" si="44"/>
        <v>0336</v>
      </c>
      <c r="E552" t="str">
        <f t="shared" si="45"/>
        <v>1</v>
      </c>
      <c r="F552" t="str">
        <f t="shared" si="43"/>
        <v>CN</v>
      </c>
    </row>
    <row r="553" spans="1:6" x14ac:dyDescent="0.3">
      <c r="A553" t="s">
        <v>2079</v>
      </c>
      <c r="B553">
        <v>1</v>
      </c>
      <c r="D553" t="str">
        <f t="shared" si="44"/>
        <v>0336</v>
      </c>
      <c r="E553" t="str">
        <f t="shared" si="45"/>
        <v>2</v>
      </c>
      <c r="F553" t="str">
        <f t="shared" si="43"/>
        <v>CR</v>
      </c>
    </row>
    <row r="554" spans="1:6" x14ac:dyDescent="0.3">
      <c r="A554" t="s">
        <v>2080</v>
      </c>
      <c r="B554">
        <v>1</v>
      </c>
      <c r="D554" t="str">
        <f t="shared" si="44"/>
        <v>0336</v>
      </c>
      <c r="E554" t="str">
        <f t="shared" si="45"/>
        <v>3</v>
      </c>
      <c r="F554" t="str">
        <f t="shared" si="43"/>
        <v>DS</v>
      </c>
    </row>
    <row r="555" spans="1:6" x14ac:dyDescent="0.3">
      <c r="A555" t="s">
        <v>2081</v>
      </c>
      <c r="B555">
        <v>1</v>
      </c>
      <c r="D555" t="str">
        <f t="shared" si="44"/>
        <v>0337</v>
      </c>
      <c r="E555" t="str">
        <f t="shared" si="45"/>
        <v/>
      </c>
      <c r="F555" t="str">
        <f t="shared" si="43"/>
        <v>CN</v>
      </c>
    </row>
    <row r="556" spans="1:6" x14ac:dyDescent="0.3">
      <c r="A556" t="s">
        <v>2083</v>
      </c>
      <c r="B556">
        <v>1</v>
      </c>
      <c r="D556" t="str">
        <f t="shared" si="44"/>
        <v>0338</v>
      </c>
      <c r="E556" t="str">
        <f t="shared" si="45"/>
        <v/>
      </c>
      <c r="F556" t="str">
        <f t="shared" si="43"/>
        <v>CN</v>
      </c>
    </row>
    <row r="557" spans="1:6" x14ac:dyDescent="0.3">
      <c r="A557" t="s">
        <v>2085</v>
      </c>
      <c r="B557">
        <v>1</v>
      </c>
      <c r="D557" t="str">
        <f t="shared" si="44"/>
        <v>0339</v>
      </c>
      <c r="E557" t="str">
        <f t="shared" si="45"/>
        <v/>
      </c>
      <c r="F557" t="str">
        <f t="shared" si="43"/>
        <v>CN</v>
      </c>
    </row>
    <row r="558" spans="1:6" x14ac:dyDescent="0.3">
      <c r="A558" t="s">
        <v>2087</v>
      </c>
      <c r="B558">
        <v>1</v>
      </c>
      <c r="D558" t="str">
        <f t="shared" si="44"/>
        <v>0340</v>
      </c>
      <c r="E558" t="str">
        <f t="shared" si="45"/>
        <v/>
      </c>
      <c r="F558" t="str">
        <f t="shared" si="43"/>
        <v>CN</v>
      </c>
    </row>
    <row r="559" spans="1:6" x14ac:dyDescent="0.3">
      <c r="A559" t="s">
        <v>2089</v>
      </c>
      <c r="B559">
        <v>1</v>
      </c>
      <c r="D559" t="str">
        <f t="shared" si="44"/>
        <v>0341</v>
      </c>
      <c r="E559" t="str">
        <f t="shared" si="45"/>
        <v>1</v>
      </c>
      <c r="F559" t="str">
        <f t="shared" si="43"/>
        <v>CN</v>
      </c>
    </row>
    <row r="560" spans="1:6" x14ac:dyDescent="0.3">
      <c r="A560" t="s">
        <v>2090</v>
      </c>
      <c r="B560">
        <v>1</v>
      </c>
      <c r="D560" t="str">
        <f t="shared" si="44"/>
        <v>0341</v>
      </c>
      <c r="E560" t="str">
        <f t="shared" si="45"/>
        <v>3</v>
      </c>
      <c r="F560" t="str">
        <f t="shared" si="43"/>
        <v>CN</v>
      </c>
    </row>
    <row r="561" spans="1:6" x14ac:dyDescent="0.3">
      <c r="A561" t="s">
        <v>2630</v>
      </c>
      <c r="B561">
        <v>1</v>
      </c>
      <c r="D561" t="str">
        <f t="shared" si="44"/>
        <v>0341</v>
      </c>
      <c r="E561" t="str">
        <f t="shared" si="45"/>
        <v>2</v>
      </c>
      <c r="F561" t="str">
        <f t="shared" si="43"/>
        <v>FR</v>
      </c>
    </row>
    <row r="562" spans="1:6" x14ac:dyDescent="0.3">
      <c r="A562" t="s">
        <v>2096</v>
      </c>
      <c r="B562">
        <v>1</v>
      </c>
      <c r="D562" t="str">
        <f t="shared" si="44"/>
        <v>0342</v>
      </c>
      <c r="E562" t="str">
        <f t="shared" si="45"/>
        <v/>
      </c>
      <c r="F562" t="str">
        <f t="shared" si="43"/>
        <v>CS</v>
      </c>
    </row>
    <row r="563" spans="1:6" x14ac:dyDescent="0.3">
      <c r="A563" t="s">
        <v>2097</v>
      </c>
      <c r="B563">
        <v>1</v>
      </c>
      <c r="D563" t="str">
        <f t="shared" si="44"/>
        <v>0343</v>
      </c>
      <c r="E563" t="str">
        <f t="shared" si="45"/>
        <v/>
      </c>
      <c r="F563" t="str">
        <f t="shared" si="43"/>
        <v>CN</v>
      </c>
    </row>
    <row r="564" spans="1:6" x14ac:dyDescent="0.3">
      <c r="A564" t="s">
        <v>2102</v>
      </c>
      <c r="B564">
        <v>1</v>
      </c>
      <c r="D564" t="str">
        <f t="shared" si="44"/>
        <v>0344</v>
      </c>
      <c r="E564" t="str">
        <f t="shared" si="45"/>
        <v/>
      </c>
      <c r="F564" t="str">
        <f t="shared" si="43"/>
        <v>DN</v>
      </c>
    </row>
    <row r="565" spans="1:6" x14ac:dyDescent="0.3">
      <c r="A565" t="s">
        <v>2103</v>
      </c>
      <c r="B565">
        <v>1</v>
      </c>
      <c r="D565" t="str">
        <f t="shared" si="44"/>
        <v>0345</v>
      </c>
      <c r="E565" t="str">
        <f t="shared" si="45"/>
        <v/>
      </c>
      <c r="F565" t="str">
        <f t="shared" si="43"/>
        <v>CN</v>
      </c>
    </row>
    <row r="566" spans="1:6" x14ac:dyDescent="0.3">
      <c r="A566" t="s">
        <v>2105</v>
      </c>
      <c r="B566">
        <v>1</v>
      </c>
      <c r="D566" t="str">
        <f t="shared" si="44"/>
        <v>0346</v>
      </c>
      <c r="E566" t="str">
        <f t="shared" si="45"/>
        <v/>
      </c>
      <c r="F566" t="str">
        <f t="shared" si="43"/>
        <v>CN</v>
      </c>
    </row>
    <row r="567" spans="1:6" x14ac:dyDescent="0.3">
      <c r="A567" t="s">
        <v>2108</v>
      </c>
      <c r="B567">
        <v>1</v>
      </c>
      <c r="D567" t="str">
        <f t="shared" si="44"/>
        <v>0347</v>
      </c>
      <c r="E567" t="str">
        <f t="shared" si="45"/>
        <v>1</v>
      </c>
      <c r="F567" t="str">
        <f t="shared" si="43"/>
        <v>CN</v>
      </c>
    </row>
    <row r="568" spans="1:6" x14ac:dyDescent="0.3">
      <c r="A568" t="s">
        <v>2109</v>
      </c>
      <c r="B568">
        <v>1</v>
      </c>
      <c r="D568" t="str">
        <f t="shared" si="44"/>
        <v>0347</v>
      </c>
      <c r="E568" t="str">
        <f t="shared" si="45"/>
        <v>3</v>
      </c>
      <c r="F568" t="str">
        <f t="shared" si="43"/>
        <v>CN</v>
      </c>
    </row>
    <row r="569" spans="1:6" x14ac:dyDescent="0.3">
      <c r="A569" t="s">
        <v>2111</v>
      </c>
      <c r="B569">
        <v>1</v>
      </c>
      <c r="D569" t="str">
        <f t="shared" si="44"/>
        <v>0347</v>
      </c>
      <c r="E569" t="str">
        <f t="shared" si="45"/>
        <v>2</v>
      </c>
      <c r="F569" t="str">
        <f t="shared" si="43"/>
        <v>CR</v>
      </c>
    </row>
    <row r="570" spans="1:6" x14ac:dyDescent="0.3">
      <c r="A570" t="s">
        <v>2112</v>
      </c>
      <c r="B570">
        <v>1</v>
      </c>
      <c r="D570" t="str">
        <f t="shared" si="44"/>
        <v>0348</v>
      </c>
      <c r="E570" t="str">
        <f t="shared" si="45"/>
        <v/>
      </c>
      <c r="F570" t="str">
        <f t="shared" si="43"/>
        <v>CN</v>
      </c>
    </row>
    <row r="571" spans="1:6" x14ac:dyDescent="0.3">
      <c r="A571" t="s">
        <v>2114</v>
      </c>
      <c r="B571">
        <v>1</v>
      </c>
      <c r="D571" t="str">
        <f t="shared" si="44"/>
        <v>0349</v>
      </c>
      <c r="E571" t="str">
        <f t="shared" si="45"/>
        <v/>
      </c>
      <c r="F571" t="str">
        <f t="shared" si="43"/>
        <v>CN</v>
      </c>
    </row>
    <row r="572" spans="1:6" x14ac:dyDescent="0.3">
      <c r="A572" t="s">
        <v>2120</v>
      </c>
      <c r="B572">
        <v>1</v>
      </c>
      <c r="D572" t="str">
        <f t="shared" si="44"/>
        <v>0350</v>
      </c>
      <c r="E572" t="str">
        <f t="shared" si="45"/>
        <v>3</v>
      </c>
      <c r="F572" t="str">
        <f t="shared" si="43"/>
        <v>CN</v>
      </c>
    </row>
    <row r="573" spans="1:6" x14ac:dyDescent="0.3">
      <c r="A573" t="s">
        <v>2122</v>
      </c>
      <c r="B573">
        <v>1</v>
      </c>
      <c r="D573" t="str">
        <f t="shared" si="44"/>
        <v>0350</v>
      </c>
      <c r="E573" t="str">
        <f t="shared" si="45"/>
        <v>2</v>
      </c>
      <c r="F573" t="str">
        <f t="shared" si="43"/>
        <v>CR</v>
      </c>
    </row>
    <row r="574" spans="1:6" x14ac:dyDescent="0.3">
      <c r="A574" t="s">
        <v>2631</v>
      </c>
      <c r="B574">
        <v>1</v>
      </c>
      <c r="D574" t="str">
        <f t="shared" si="44"/>
        <v>0350</v>
      </c>
      <c r="E574" t="str">
        <f t="shared" si="45"/>
        <v>1</v>
      </c>
      <c r="F574" t="str">
        <f t="shared" si="43"/>
        <v>MS</v>
      </c>
    </row>
    <row r="575" spans="1:6" x14ac:dyDescent="0.3">
      <c r="A575" t="s">
        <v>2124</v>
      </c>
      <c r="B575">
        <v>1</v>
      </c>
      <c r="D575" t="str">
        <f t="shared" si="44"/>
        <v>0351</v>
      </c>
      <c r="E575" t="str">
        <f t="shared" si="45"/>
        <v/>
      </c>
      <c r="F575" t="str">
        <f t="shared" si="43"/>
        <v>ES</v>
      </c>
    </row>
    <row r="576" spans="1:6" x14ac:dyDescent="0.3">
      <c r="A576" t="s">
        <v>2126</v>
      </c>
      <c r="B576">
        <v>1</v>
      </c>
      <c r="D576" t="str">
        <f t="shared" si="44"/>
        <v>0352</v>
      </c>
      <c r="E576" t="str">
        <f t="shared" si="45"/>
        <v/>
      </c>
      <c r="F576" t="str">
        <f t="shared" si="43"/>
        <v>ES</v>
      </c>
    </row>
    <row r="577" spans="1:6" x14ac:dyDescent="0.3">
      <c r="A577" t="s">
        <v>2127</v>
      </c>
      <c r="B577">
        <v>1</v>
      </c>
      <c r="D577" t="str">
        <f t="shared" si="44"/>
        <v>0353</v>
      </c>
      <c r="E577" t="str">
        <f t="shared" si="45"/>
        <v>3</v>
      </c>
      <c r="F577" t="str">
        <f t="shared" si="43"/>
        <v>DN</v>
      </c>
    </row>
    <row r="578" spans="1:6" x14ac:dyDescent="0.3">
      <c r="A578" t="s">
        <v>2129</v>
      </c>
      <c r="B578">
        <v>1</v>
      </c>
      <c r="D578" t="str">
        <f t="shared" si="44"/>
        <v>0353</v>
      </c>
      <c r="E578" t="str">
        <f t="shared" si="45"/>
        <v>2</v>
      </c>
      <c r="F578" t="str">
        <f t="shared" si="43"/>
        <v>DR</v>
      </c>
    </row>
    <row r="579" spans="1:6" x14ac:dyDescent="0.3">
      <c r="A579" t="s">
        <v>2130</v>
      </c>
      <c r="B579">
        <v>1</v>
      </c>
      <c r="D579" t="str">
        <f t="shared" si="44"/>
        <v>0353</v>
      </c>
      <c r="E579" t="str">
        <f t="shared" si="45"/>
        <v>1</v>
      </c>
      <c r="F579" t="str">
        <f t="shared" si="43"/>
        <v>DS</v>
      </c>
    </row>
    <row r="580" spans="1:6" x14ac:dyDescent="0.3">
      <c r="A580" t="s">
        <v>2135</v>
      </c>
      <c r="B580">
        <v>1</v>
      </c>
      <c r="D580" t="str">
        <f t="shared" si="44"/>
        <v>0354</v>
      </c>
      <c r="E580" t="str">
        <f t="shared" si="45"/>
        <v/>
      </c>
      <c r="F580" t="str">
        <f t="shared" si="43"/>
        <v>DS</v>
      </c>
    </row>
    <row r="581" spans="1:6" x14ac:dyDescent="0.3">
      <c r="A581" t="s">
        <v>2137</v>
      </c>
      <c r="B581">
        <v>1</v>
      </c>
      <c r="D581" t="str">
        <f t="shared" si="44"/>
        <v>0355</v>
      </c>
      <c r="E581" t="str">
        <f t="shared" si="45"/>
        <v/>
      </c>
      <c r="F581" t="str">
        <f t="shared" si="43"/>
        <v>CN</v>
      </c>
    </row>
    <row r="582" spans="1:6" x14ac:dyDescent="0.3">
      <c r="A582" t="s">
        <v>2142</v>
      </c>
      <c r="B582">
        <v>1</v>
      </c>
      <c r="D582" t="str">
        <f t="shared" si="44"/>
        <v>0356</v>
      </c>
      <c r="E582" t="str">
        <f t="shared" si="45"/>
        <v/>
      </c>
      <c r="F582" t="str">
        <f t="shared" si="43"/>
        <v>CS</v>
      </c>
    </row>
    <row r="583" spans="1:6" x14ac:dyDescent="0.3">
      <c r="A583" t="s">
        <v>2144</v>
      </c>
      <c r="B583">
        <v>1</v>
      </c>
      <c r="D583" t="str">
        <f t="shared" si="44"/>
        <v>0357</v>
      </c>
      <c r="E583" t="str">
        <f t="shared" si="45"/>
        <v/>
      </c>
      <c r="F583" t="str">
        <f t="shared" si="43"/>
        <v>DR</v>
      </c>
    </row>
    <row r="584" spans="1:6" x14ac:dyDescent="0.3">
      <c r="A584" t="s">
        <v>2147</v>
      </c>
      <c r="B584">
        <v>1</v>
      </c>
      <c r="D584" t="str">
        <f t="shared" si="44"/>
        <v>0358</v>
      </c>
      <c r="E584" t="str">
        <f t="shared" si="45"/>
        <v/>
      </c>
      <c r="F584" t="str">
        <f t="shared" si="43"/>
        <v>DS</v>
      </c>
    </row>
    <row r="585" spans="1:6" x14ac:dyDescent="0.3">
      <c r="A585" t="s">
        <v>2148</v>
      </c>
      <c r="B585">
        <v>1</v>
      </c>
      <c r="D585" t="str">
        <f t="shared" si="44"/>
        <v>0359</v>
      </c>
      <c r="E585" t="str">
        <f t="shared" si="45"/>
        <v>1</v>
      </c>
      <c r="F585" t="str">
        <f t="shared" si="43"/>
        <v>CN</v>
      </c>
    </row>
    <row r="586" spans="1:6" x14ac:dyDescent="0.3">
      <c r="A586" t="s">
        <v>2149</v>
      </c>
      <c r="B586">
        <v>1</v>
      </c>
      <c r="D586" t="str">
        <f t="shared" si="44"/>
        <v>0359</v>
      </c>
      <c r="E586" t="str">
        <f t="shared" si="45"/>
        <v>3</v>
      </c>
      <c r="F586" t="str">
        <f t="shared" si="43"/>
        <v>CN</v>
      </c>
    </row>
    <row r="587" spans="1:6" x14ac:dyDescent="0.3">
      <c r="A587" t="s">
        <v>2151</v>
      </c>
      <c r="B587">
        <v>1</v>
      </c>
      <c r="D587" t="str">
        <f t="shared" si="44"/>
        <v>0359</v>
      </c>
      <c r="E587" t="str">
        <f t="shared" si="45"/>
        <v>2</v>
      </c>
      <c r="F587" t="str">
        <f t="shared" si="43"/>
        <v>CR</v>
      </c>
    </row>
    <row r="588" spans="1:6" x14ac:dyDescent="0.3">
      <c r="A588" t="s">
        <v>2152</v>
      </c>
      <c r="B588">
        <v>1</v>
      </c>
      <c r="D588" t="str">
        <f t="shared" si="44"/>
        <v>0360</v>
      </c>
      <c r="E588" t="str">
        <f t="shared" si="45"/>
        <v/>
      </c>
      <c r="F588" t="str">
        <f t="shared" si="43"/>
        <v>CN</v>
      </c>
    </row>
    <row r="589" spans="1:6" x14ac:dyDescent="0.3">
      <c r="A589" t="s">
        <v>2155</v>
      </c>
      <c r="B589">
        <v>1</v>
      </c>
      <c r="D589" t="str">
        <f t="shared" si="44"/>
        <v>0361</v>
      </c>
      <c r="E589" t="str">
        <f t="shared" si="45"/>
        <v/>
      </c>
      <c r="F589" t="str">
        <f t="shared" si="43"/>
        <v>CN</v>
      </c>
    </row>
    <row r="590" spans="1:6" x14ac:dyDescent="0.3">
      <c r="A590" t="s">
        <v>2157</v>
      </c>
      <c r="B590">
        <v>1</v>
      </c>
      <c r="D590" t="str">
        <f t="shared" si="44"/>
        <v>0362</v>
      </c>
      <c r="E590" t="str">
        <f t="shared" si="45"/>
        <v/>
      </c>
      <c r="F590" t="str">
        <f t="shared" si="43"/>
        <v>CN</v>
      </c>
    </row>
    <row r="591" spans="1:6" x14ac:dyDescent="0.3">
      <c r="A591" t="s">
        <v>2159</v>
      </c>
      <c r="B591">
        <v>1</v>
      </c>
      <c r="D591" t="str">
        <f t="shared" si="44"/>
        <v>0363</v>
      </c>
      <c r="E591" t="str">
        <f t="shared" si="45"/>
        <v/>
      </c>
      <c r="F591" t="str">
        <f t="shared" si="43"/>
        <v>CN</v>
      </c>
    </row>
    <row r="592" spans="1:6" x14ac:dyDescent="0.3">
      <c r="A592" t="s">
        <v>2162</v>
      </c>
      <c r="B592">
        <v>1</v>
      </c>
      <c r="D592" t="str">
        <f t="shared" si="44"/>
        <v>0364</v>
      </c>
      <c r="E592" t="str">
        <f t="shared" si="45"/>
        <v/>
      </c>
      <c r="F592" t="str">
        <f t="shared" si="43"/>
        <v>CN</v>
      </c>
    </row>
    <row r="593" spans="1:6" x14ac:dyDescent="0.3">
      <c r="A593" t="s">
        <v>2165</v>
      </c>
      <c r="B593">
        <v>1</v>
      </c>
      <c r="D593" t="str">
        <f t="shared" si="44"/>
        <v>0365</v>
      </c>
      <c r="E593" t="str">
        <f t="shared" si="45"/>
        <v/>
      </c>
      <c r="F593" t="str">
        <f t="shared" si="43"/>
        <v>DS</v>
      </c>
    </row>
    <row r="594" spans="1:6" x14ac:dyDescent="0.3">
      <c r="A594" t="s">
        <v>2166</v>
      </c>
      <c r="B594">
        <v>1</v>
      </c>
      <c r="D594" t="str">
        <f t="shared" si="44"/>
        <v>0366</v>
      </c>
      <c r="E594" t="str">
        <f t="shared" si="45"/>
        <v>1</v>
      </c>
      <c r="F594" t="str">
        <f t="shared" ref="F594:F657" si="46">IF(LEFT(A594,1)="X",MID(A594,8,2),"")</f>
        <v>DN</v>
      </c>
    </row>
    <row r="595" spans="1:6" x14ac:dyDescent="0.3">
      <c r="A595" t="s">
        <v>2169</v>
      </c>
      <c r="B595">
        <v>1</v>
      </c>
      <c r="D595" t="str">
        <f t="shared" si="44"/>
        <v>0366</v>
      </c>
      <c r="E595" t="str">
        <f t="shared" si="45"/>
        <v>2</v>
      </c>
      <c r="F595" t="str">
        <f t="shared" si="46"/>
        <v>DR</v>
      </c>
    </row>
    <row r="596" spans="1:6" x14ac:dyDescent="0.3">
      <c r="A596" t="s">
        <v>2171</v>
      </c>
      <c r="B596">
        <v>1</v>
      </c>
      <c r="D596" t="str">
        <f t="shared" si="44"/>
        <v>0366</v>
      </c>
      <c r="E596" t="str">
        <f t="shared" si="45"/>
        <v>3</v>
      </c>
      <c r="F596" t="str">
        <f t="shared" si="46"/>
        <v>DS</v>
      </c>
    </row>
    <row r="597" spans="1:6" x14ac:dyDescent="0.3">
      <c r="A597" t="s">
        <v>2173</v>
      </c>
      <c r="B597">
        <v>1</v>
      </c>
      <c r="D597" t="str">
        <f t="shared" ref="D597:D647" si="47">IF(LEFT(A597,2)="SP",MID(A597,4,4),IF(LEFT(A597,1)="X",MID(A597,3,4),""))</f>
        <v>0367</v>
      </c>
      <c r="E597" t="str">
        <f t="shared" ref="E597:E647" si="48">IF(OR(LEFT(A597,2)="SP",AND(LEFT(A597,1)="X",LEN(A597)&gt;9)),RIGHT(A597,1),"")</f>
        <v>2</v>
      </c>
      <c r="F597" t="str">
        <f t="shared" si="46"/>
        <v>DR</v>
      </c>
    </row>
    <row r="598" spans="1:6" x14ac:dyDescent="0.3">
      <c r="A598" t="s">
        <v>2174</v>
      </c>
      <c r="B598">
        <v>1</v>
      </c>
      <c r="D598" t="str">
        <f t="shared" si="47"/>
        <v>0367</v>
      </c>
      <c r="E598" t="str">
        <f t="shared" si="48"/>
        <v>1</v>
      </c>
      <c r="F598" t="str">
        <f t="shared" si="46"/>
        <v>DS</v>
      </c>
    </row>
    <row r="599" spans="1:6" x14ac:dyDescent="0.3">
      <c r="A599" t="s">
        <v>2176</v>
      </c>
      <c r="B599">
        <v>1</v>
      </c>
      <c r="D599" t="str">
        <f t="shared" si="47"/>
        <v>0367</v>
      </c>
      <c r="E599" t="str">
        <f t="shared" si="48"/>
        <v>3</v>
      </c>
      <c r="F599" t="str">
        <f t="shared" si="46"/>
        <v>ES</v>
      </c>
    </row>
    <row r="600" spans="1:6" x14ac:dyDescent="0.3">
      <c r="A600" t="s">
        <v>2177</v>
      </c>
      <c r="B600">
        <v>1</v>
      </c>
      <c r="D600" t="str">
        <f t="shared" si="47"/>
        <v>0368</v>
      </c>
      <c r="E600" t="str">
        <f t="shared" si="48"/>
        <v/>
      </c>
      <c r="F600" t="str">
        <f t="shared" si="46"/>
        <v>CN</v>
      </c>
    </row>
    <row r="601" spans="1:6" x14ac:dyDescent="0.3">
      <c r="A601" t="s">
        <v>2182</v>
      </c>
      <c r="B601">
        <v>1</v>
      </c>
      <c r="D601" t="str">
        <f t="shared" si="47"/>
        <v>0369</v>
      </c>
      <c r="E601" t="str">
        <f t="shared" si="48"/>
        <v/>
      </c>
      <c r="F601" t="str">
        <f t="shared" si="46"/>
        <v>DN</v>
      </c>
    </row>
    <row r="602" spans="1:6" x14ac:dyDescent="0.3">
      <c r="A602" t="s">
        <v>2184</v>
      </c>
      <c r="B602">
        <v>1</v>
      </c>
      <c r="D602" t="str">
        <f t="shared" si="47"/>
        <v>0370</v>
      </c>
      <c r="E602" t="str">
        <f t="shared" si="48"/>
        <v/>
      </c>
      <c r="F602" t="str">
        <f t="shared" si="46"/>
        <v>CN</v>
      </c>
    </row>
    <row r="603" spans="1:6" x14ac:dyDescent="0.3">
      <c r="A603" t="s">
        <v>2186</v>
      </c>
      <c r="B603">
        <v>1</v>
      </c>
      <c r="D603" t="str">
        <f t="shared" si="47"/>
        <v>0371</v>
      </c>
      <c r="E603" t="str">
        <f t="shared" si="48"/>
        <v/>
      </c>
      <c r="F603" t="str">
        <f t="shared" si="46"/>
        <v>CN</v>
      </c>
    </row>
    <row r="604" spans="1:6" x14ac:dyDescent="0.3">
      <c r="A604" t="s">
        <v>2188</v>
      </c>
      <c r="B604">
        <v>1</v>
      </c>
      <c r="D604" t="str">
        <f t="shared" si="47"/>
        <v>0372</v>
      </c>
      <c r="E604" t="str">
        <f t="shared" si="48"/>
        <v/>
      </c>
      <c r="F604" t="str">
        <f t="shared" si="46"/>
        <v>CN</v>
      </c>
    </row>
    <row r="605" spans="1:6" x14ac:dyDescent="0.3">
      <c r="A605" t="s">
        <v>2190</v>
      </c>
      <c r="B605">
        <v>1</v>
      </c>
      <c r="D605" t="str">
        <f t="shared" si="47"/>
        <v>0373</v>
      </c>
      <c r="E605" t="str">
        <f t="shared" si="48"/>
        <v/>
      </c>
      <c r="F605" t="str">
        <f t="shared" si="46"/>
        <v>CN</v>
      </c>
    </row>
    <row r="606" spans="1:6" x14ac:dyDescent="0.3">
      <c r="A606" t="s">
        <v>2195</v>
      </c>
      <c r="B606">
        <v>1</v>
      </c>
      <c r="D606" t="str">
        <f t="shared" si="47"/>
        <v>0374</v>
      </c>
      <c r="E606" t="str">
        <f t="shared" si="48"/>
        <v/>
      </c>
      <c r="F606" t="str">
        <f t="shared" si="46"/>
        <v>CS</v>
      </c>
    </row>
    <row r="607" spans="1:6" x14ac:dyDescent="0.3">
      <c r="A607" t="s">
        <v>2196</v>
      </c>
      <c r="B607">
        <v>1</v>
      </c>
      <c r="D607" t="str">
        <f t="shared" si="47"/>
        <v>0375</v>
      </c>
      <c r="E607" t="str">
        <f t="shared" si="48"/>
        <v/>
      </c>
      <c r="F607" t="str">
        <f t="shared" si="46"/>
        <v>CN</v>
      </c>
    </row>
    <row r="608" spans="1:6" x14ac:dyDescent="0.3">
      <c r="A608" t="s">
        <v>2198</v>
      </c>
      <c r="B608">
        <v>1</v>
      </c>
      <c r="D608" t="str">
        <f t="shared" si="47"/>
        <v>0376</v>
      </c>
      <c r="E608" t="str">
        <f t="shared" si="48"/>
        <v/>
      </c>
      <c r="F608" t="str">
        <f t="shared" si="46"/>
        <v>CN</v>
      </c>
    </row>
    <row r="609" spans="1:6" x14ac:dyDescent="0.3">
      <c r="A609" t="s">
        <v>2200</v>
      </c>
      <c r="B609">
        <v>1</v>
      </c>
      <c r="D609" t="str">
        <f t="shared" si="47"/>
        <v>0377</v>
      </c>
      <c r="E609" t="str">
        <f t="shared" si="48"/>
        <v>1</v>
      </c>
      <c r="F609" t="str">
        <f t="shared" si="46"/>
        <v>CN</v>
      </c>
    </row>
    <row r="610" spans="1:6" x14ac:dyDescent="0.3">
      <c r="A610" t="s">
        <v>2201</v>
      </c>
      <c r="B610">
        <v>1</v>
      </c>
      <c r="D610" t="str">
        <f t="shared" si="47"/>
        <v>0377</v>
      </c>
      <c r="E610" t="str">
        <f t="shared" si="48"/>
        <v>3</v>
      </c>
      <c r="F610" t="str">
        <f t="shared" si="46"/>
        <v>CN</v>
      </c>
    </row>
    <row r="611" spans="1:6" x14ac:dyDescent="0.3">
      <c r="A611" t="s">
        <v>2203</v>
      </c>
      <c r="B611">
        <v>1</v>
      </c>
      <c r="D611" t="str">
        <f t="shared" si="47"/>
        <v>0377</v>
      </c>
      <c r="E611" t="str">
        <f t="shared" si="48"/>
        <v>2</v>
      </c>
      <c r="F611" t="str">
        <f t="shared" si="46"/>
        <v>CR</v>
      </c>
    </row>
    <row r="612" spans="1:6" x14ac:dyDescent="0.3">
      <c r="A612" t="s">
        <v>2206</v>
      </c>
      <c r="B612">
        <v>1</v>
      </c>
      <c r="D612" t="str">
        <f t="shared" si="47"/>
        <v>0378</v>
      </c>
      <c r="E612" t="str">
        <f t="shared" si="48"/>
        <v/>
      </c>
      <c r="F612" t="str">
        <f t="shared" si="46"/>
        <v>CS</v>
      </c>
    </row>
    <row r="613" spans="1:6" x14ac:dyDescent="0.3">
      <c r="A613" t="s">
        <v>2566</v>
      </c>
      <c r="B613">
        <v>1</v>
      </c>
      <c r="D613" t="str">
        <f t="shared" si="47"/>
        <v>0379</v>
      </c>
      <c r="E613" t="str">
        <f t="shared" si="48"/>
        <v/>
      </c>
      <c r="F613" t="str">
        <f t="shared" si="46"/>
        <v>MS</v>
      </c>
    </row>
    <row r="614" spans="1:6" x14ac:dyDescent="0.3">
      <c r="A614" t="s">
        <v>2210</v>
      </c>
      <c r="B614">
        <v>1</v>
      </c>
      <c r="D614" t="str">
        <f t="shared" si="47"/>
        <v>0380</v>
      </c>
      <c r="E614" t="str">
        <f t="shared" si="48"/>
        <v>3</v>
      </c>
      <c r="F614" t="str">
        <f t="shared" si="46"/>
        <v>CN</v>
      </c>
    </row>
    <row r="615" spans="1:6" x14ac:dyDescent="0.3">
      <c r="A615" t="s">
        <v>2212</v>
      </c>
      <c r="B615">
        <v>1</v>
      </c>
      <c r="D615" t="str">
        <f t="shared" si="47"/>
        <v>0380</v>
      </c>
      <c r="E615" t="str">
        <f t="shared" si="48"/>
        <v>2</v>
      </c>
      <c r="F615" t="str">
        <f t="shared" si="46"/>
        <v>CR</v>
      </c>
    </row>
    <row r="616" spans="1:6" x14ac:dyDescent="0.3">
      <c r="A616" t="s">
        <v>2213</v>
      </c>
      <c r="B616">
        <v>1</v>
      </c>
      <c r="D616" t="str">
        <f t="shared" si="47"/>
        <v>0380</v>
      </c>
      <c r="E616" t="str">
        <f t="shared" si="48"/>
        <v>1</v>
      </c>
      <c r="F616" t="str">
        <f t="shared" si="46"/>
        <v>CS</v>
      </c>
    </row>
    <row r="617" spans="1:6" x14ac:dyDescent="0.3">
      <c r="A617" t="s">
        <v>2214</v>
      </c>
      <c r="B617">
        <v>1</v>
      </c>
      <c r="D617" t="str">
        <f t="shared" si="47"/>
        <v>0381</v>
      </c>
      <c r="E617" t="str">
        <f t="shared" si="48"/>
        <v/>
      </c>
      <c r="F617" t="str">
        <f t="shared" si="46"/>
        <v>CN</v>
      </c>
    </row>
    <row r="618" spans="1:6" x14ac:dyDescent="0.3">
      <c r="A618" t="s">
        <v>2217</v>
      </c>
      <c r="B618">
        <v>1</v>
      </c>
      <c r="D618" t="str">
        <f t="shared" si="47"/>
        <v>0382</v>
      </c>
      <c r="E618" t="str">
        <f t="shared" si="48"/>
        <v/>
      </c>
      <c r="F618" t="str">
        <f t="shared" si="46"/>
        <v>CN</v>
      </c>
    </row>
    <row r="619" spans="1:6" x14ac:dyDescent="0.3">
      <c r="A619" t="s">
        <v>2219</v>
      </c>
      <c r="B619">
        <v>1</v>
      </c>
      <c r="D619" t="str">
        <f t="shared" si="47"/>
        <v>0383</v>
      </c>
      <c r="E619" t="str">
        <f t="shared" si="48"/>
        <v/>
      </c>
      <c r="F619" t="str">
        <f t="shared" si="46"/>
        <v>CN</v>
      </c>
    </row>
    <row r="620" spans="1:6" x14ac:dyDescent="0.3">
      <c r="A620" t="s">
        <v>2221</v>
      </c>
      <c r="B620">
        <v>1</v>
      </c>
      <c r="D620" t="str">
        <f t="shared" si="47"/>
        <v>0384</v>
      </c>
      <c r="E620" t="str">
        <f t="shared" si="48"/>
        <v/>
      </c>
      <c r="F620" t="str">
        <f t="shared" si="46"/>
        <v>CN</v>
      </c>
    </row>
    <row r="621" spans="1:6" x14ac:dyDescent="0.3">
      <c r="A621" t="s">
        <v>2225</v>
      </c>
      <c r="B621">
        <v>1</v>
      </c>
      <c r="D621" t="str">
        <f t="shared" si="47"/>
        <v>0385</v>
      </c>
      <c r="E621" t="str">
        <f t="shared" si="48"/>
        <v>2</v>
      </c>
      <c r="F621" t="str">
        <f t="shared" si="46"/>
        <v>FR</v>
      </c>
    </row>
    <row r="622" spans="1:6" x14ac:dyDescent="0.3">
      <c r="A622" t="s">
        <v>2632</v>
      </c>
      <c r="B622">
        <v>1</v>
      </c>
      <c r="D622" t="str">
        <f t="shared" si="47"/>
        <v>0385</v>
      </c>
      <c r="E622" t="str">
        <f t="shared" si="48"/>
        <v>1</v>
      </c>
      <c r="F622" t="str">
        <f t="shared" si="46"/>
        <v>MS</v>
      </c>
    </row>
    <row r="623" spans="1:6" x14ac:dyDescent="0.3">
      <c r="A623" t="s">
        <v>2567</v>
      </c>
      <c r="B623">
        <v>1</v>
      </c>
      <c r="D623" t="str">
        <f t="shared" si="47"/>
        <v>0385</v>
      </c>
      <c r="E623" t="str">
        <f t="shared" si="48"/>
        <v>3</v>
      </c>
      <c r="F623" t="str">
        <f t="shared" si="46"/>
        <v>MS</v>
      </c>
    </row>
    <row r="624" spans="1:6" x14ac:dyDescent="0.3">
      <c r="A624" t="s">
        <v>2589</v>
      </c>
      <c r="B624">
        <v>1</v>
      </c>
      <c r="D624" t="str">
        <f t="shared" si="47"/>
        <v>0386</v>
      </c>
      <c r="E624" t="str">
        <f t="shared" si="48"/>
        <v/>
      </c>
      <c r="F624" t="str">
        <f t="shared" si="46"/>
        <v>MS</v>
      </c>
    </row>
    <row r="625" spans="1:6" x14ac:dyDescent="0.3">
      <c r="A625" t="s">
        <v>2229</v>
      </c>
      <c r="B625">
        <v>1</v>
      </c>
      <c r="D625" t="str">
        <f t="shared" si="47"/>
        <v>0387</v>
      </c>
      <c r="E625" t="str">
        <f t="shared" si="48"/>
        <v>3</v>
      </c>
      <c r="F625" t="str">
        <f t="shared" si="46"/>
        <v>CN</v>
      </c>
    </row>
    <row r="626" spans="1:6" x14ac:dyDescent="0.3">
      <c r="A626" t="s">
        <v>2633</v>
      </c>
      <c r="B626">
        <v>1</v>
      </c>
      <c r="D626" t="str">
        <f t="shared" si="47"/>
        <v>0387</v>
      </c>
      <c r="E626" t="str">
        <f t="shared" si="48"/>
        <v>2</v>
      </c>
      <c r="F626" t="str">
        <f t="shared" si="46"/>
        <v>FR</v>
      </c>
    </row>
    <row r="627" spans="1:6" x14ac:dyDescent="0.3">
      <c r="A627" t="s">
        <v>2634</v>
      </c>
      <c r="B627">
        <v>1</v>
      </c>
      <c r="D627" t="str">
        <f t="shared" si="47"/>
        <v>0387</v>
      </c>
      <c r="E627" t="str">
        <f t="shared" si="48"/>
        <v>1</v>
      </c>
      <c r="F627" t="str">
        <f t="shared" si="46"/>
        <v>MS</v>
      </c>
    </row>
    <row r="628" spans="1:6" x14ac:dyDescent="0.3">
      <c r="A628" t="s">
        <v>2231</v>
      </c>
      <c r="B628">
        <v>1</v>
      </c>
      <c r="D628" t="str">
        <f t="shared" si="47"/>
        <v>0388</v>
      </c>
      <c r="E628" t="str">
        <f t="shared" si="48"/>
        <v/>
      </c>
      <c r="F628" t="str">
        <f t="shared" si="46"/>
        <v>CN</v>
      </c>
    </row>
    <row r="629" spans="1:6" x14ac:dyDescent="0.3">
      <c r="A629" t="s">
        <v>2233</v>
      </c>
      <c r="B629">
        <v>1</v>
      </c>
      <c r="D629" t="str">
        <f t="shared" si="47"/>
        <v>0389</v>
      </c>
      <c r="E629" t="str">
        <f t="shared" si="48"/>
        <v/>
      </c>
      <c r="F629" t="str">
        <f t="shared" si="46"/>
        <v>CN</v>
      </c>
    </row>
    <row r="630" spans="1:6" x14ac:dyDescent="0.3">
      <c r="A630" t="s">
        <v>2235</v>
      </c>
      <c r="B630">
        <v>1</v>
      </c>
      <c r="D630" t="str">
        <f t="shared" si="47"/>
        <v>0390</v>
      </c>
      <c r="E630" t="str">
        <f t="shared" si="48"/>
        <v/>
      </c>
      <c r="F630" t="str">
        <f t="shared" si="46"/>
        <v>CN</v>
      </c>
    </row>
    <row r="631" spans="1:6" x14ac:dyDescent="0.3">
      <c r="A631" t="s">
        <v>2238</v>
      </c>
      <c r="B631">
        <v>1</v>
      </c>
      <c r="D631" t="str">
        <f t="shared" si="47"/>
        <v>0391</v>
      </c>
      <c r="E631" t="str">
        <f t="shared" si="48"/>
        <v>3</v>
      </c>
      <c r="F631" t="str">
        <f t="shared" si="46"/>
        <v>CN</v>
      </c>
    </row>
    <row r="632" spans="1:6" x14ac:dyDescent="0.3">
      <c r="A632" t="s">
        <v>2240</v>
      </c>
      <c r="B632">
        <v>1</v>
      </c>
      <c r="D632" t="str">
        <f t="shared" si="47"/>
        <v>0391</v>
      </c>
      <c r="E632" t="str">
        <f t="shared" si="48"/>
        <v>2</v>
      </c>
      <c r="F632" t="str">
        <f t="shared" si="46"/>
        <v>CR</v>
      </c>
    </row>
    <row r="633" spans="1:6" x14ac:dyDescent="0.3">
      <c r="A633" t="s">
        <v>2241</v>
      </c>
      <c r="B633">
        <v>1</v>
      </c>
      <c r="D633" t="str">
        <f t="shared" si="47"/>
        <v>0391</v>
      </c>
      <c r="E633" t="str">
        <f t="shared" si="48"/>
        <v>1</v>
      </c>
      <c r="F633" t="str">
        <f t="shared" si="46"/>
        <v>CS</v>
      </c>
    </row>
    <row r="634" spans="1:6" x14ac:dyDescent="0.3">
      <c r="A634" t="s">
        <v>2245</v>
      </c>
      <c r="B634">
        <v>1</v>
      </c>
      <c r="D634" t="str">
        <f t="shared" si="47"/>
        <v>0392</v>
      </c>
      <c r="E634" t="str">
        <f t="shared" si="48"/>
        <v>1</v>
      </c>
      <c r="F634" t="str">
        <f t="shared" si="46"/>
        <v>CN</v>
      </c>
    </row>
    <row r="635" spans="1:6" x14ac:dyDescent="0.3">
      <c r="A635" t="s">
        <v>2247</v>
      </c>
      <c r="B635">
        <v>1</v>
      </c>
      <c r="D635" t="str">
        <f t="shared" si="47"/>
        <v>0392</v>
      </c>
      <c r="E635" t="str">
        <f t="shared" si="48"/>
        <v>2</v>
      </c>
      <c r="F635" t="str">
        <f t="shared" si="46"/>
        <v>CR</v>
      </c>
    </row>
    <row r="636" spans="1:6" x14ac:dyDescent="0.3">
      <c r="A636" t="s">
        <v>2635</v>
      </c>
      <c r="B636">
        <v>1</v>
      </c>
      <c r="D636" t="str">
        <f t="shared" si="47"/>
        <v>0392</v>
      </c>
      <c r="E636" t="str">
        <f t="shared" si="48"/>
        <v>3</v>
      </c>
      <c r="F636" t="str">
        <f t="shared" si="46"/>
        <v>MS</v>
      </c>
    </row>
    <row r="637" spans="1:6" x14ac:dyDescent="0.3">
      <c r="A637" t="s">
        <v>2250</v>
      </c>
      <c r="B637">
        <v>1</v>
      </c>
      <c r="D637" t="str">
        <f t="shared" si="47"/>
        <v>0393</v>
      </c>
      <c r="E637" t="str">
        <f t="shared" si="48"/>
        <v>3</v>
      </c>
      <c r="F637" t="str">
        <f t="shared" si="46"/>
        <v>CN</v>
      </c>
    </row>
    <row r="638" spans="1:6" x14ac:dyDescent="0.3">
      <c r="A638" t="s">
        <v>2252</v>
      </c>
      <c r="B638">
        <v>1</v>
      </c>
      <c r="D638" t="str">
        <f t="shared" si="47"/>
        <v>0393</v>
      </c>
      <c r="E638" t="str">
        <f t="shared" si="48"/>
        <v>2</v>
      </c>
      <c r="F638" t="str">
        <f t="shared" si="46"/>
        <v>CR</v>
      </c>
    </row>
    <row r="639" spans="1:6" x14ac:dyDescent="0.3">
      <c r="A639" t="s">
        <v>2636</v>
      </c>
      <c r="B639">
        <v>1</v>
      </c>
      <c r="D639" t="str">
        <f t="shared" si="47"/>
        <v>0393</v>
      </c>
      <c r="E639" t="str">
        <f t="shared" si="48"/>
        <v>1</v>
      </c>
      <c r="F639" t="str">
        <f t="shared" si="46"/>
        <v>MS</v>
      </c>
    </row>
    <row r="640" spans="1:6" x14ac:dyDescent="0.3">
      <c r="A640" t="s">
        <v>2253</v>
      </c>
      <c r="B640">
        <v>1</v>
      </c>
      <c r="D640" t="str">
        <f t="shared" si="47"/>
        <v>0394</v>
      </c>
      <c r="E640" t="str">
        <f t="shared" si="48"/>
        <v/>
      </c>
      <c r="F640" t="str">
        <f t="shared" si="46"/>
        <v>CN</v>
      </c>
    </row>
    <row r="641" spans="1:6" x14ac:dyDescent="0.3">
      <c r="A641" t="s">
        <v>2255</v>
      </c>
      <c r="B641">
        <v>1</v>
      </c>
      <c r="D641" t="str">
        <f t="shared" si="47"/>
        <v>0395</v>
      </c>
      <c r="E641" t="str">
        <f t="shared" si="48"/>
        <v/>
      </c>
      <c r="F641" t="str">
        <f t="shared" si="46"/>
        <v>CN</v>
      </c>
    </row>
    <row r="642" spans="1:6" x14ac:dyDescent="0.3">
      <c r="A642" t="s">
        <v>2257</v>
      </c>
      <c r="B642">
        <v>1</v>
      </c>
      <c r="D642" t="str">
        <f t="shared" si="47"/>
        <v>0396</v>
      </c>
      <c r="E642" t="str">
        <f t="shared" si="48"/>
        <v/>
      </c>
      <c r="F642" t="str">
        <f t="shared" si="46"/>
        <v>CN</v>
      </c>
    </row>
    <row r="643" spans="1:6" x14ac:dyDescent="0.3">
      <c r="A643" t="s">
        <v>2261</v>
      </c>
      <c r="B643">
        <v>1</v>
      </c>
      <c r="D643" t="str">
        <f t="shared" si="47"/>
        <v>0397</v>
      </c>
      <c r="E643" t="str">
        <f t="shared" si="48"/>
        <v>3</v>
      </c>
      <c r="F643" t="str">
        <f t="shared" si="46"/>
        <v>CN</v>
      </c>
    </row>
    <row r="644" spans="1:6" x14ac:dyDescent="0.3">
      <c r="A644" t="s">
        <v>2264</v>
      </c>
      <c r="B644">
        <v>1</v>
      </c>
      <c r="D644" t="str">
        <f t="shared" si="47"/>
        <v>0397</v>
      </c>
      <c r="E644" t="str">
        <f t="shared" si="48"/>
        <v>1</v>
      </c>
      <c r="F644" t="str">
        <f t="shared" si="46"/>
        <v>DN</v>
      </c>
    </row>
    <row r="645" spans="1:6" x14ac:dyDescent="0.3">
      <c r="A645" t="s">
        <v>2637</v>
      </c>
      <c r="B645">
        <v>1</v>
      </c>
      <c r="D645" t="str">
        <f t="shared" si="47"/>
        <v>0397</v>
      </c>
      <c r="E645" t="str">
        <f t="shared" si="48"/>
        <v>2</v>
      </c>
      <c r="F645" t="str">
        <f t="shared" si="46"/>
        <v>FR</v>
      </c>
    </row>
    <row r="646" spans="1:6" x14ac:dyDescent="0.3">
      <c r="A646" t="s">
        <v>2266</v>
      </c>
      <c r="B646">
        <v>1</v>
      </c>
      <c r="D646" t="str">
        <f t="shared" si="47"/>
        <v>0398</v>
      </c>
      <c r="E646" t="str">
        <f t="shared" si="48"/>
        <v>1</v>
      </c>
      <c r="F646" t="str">
        <f t="shared" si="46"/>
        <v>CN</v>
      </c>
    </row>
    <row r="647" spans="1:6" x14ac:dyDescent="0.3">
      <c r="A647" t="s">
        <v>2267</v>
      </c>
      <c r="B647">
        <v>1</v>
      </c>
      <c r="D647" t="str">
        <f t="shared" si="47"/>
        <v>0398</v>
      </c>
      <c r="E647" t="str">
        <f t="shared" si="48"/>
        <v>3</v>
      </c>
      <c r="F647" t="str">
        <f t="shared" si="46"/>
        <v>CN</v>
      </c>
    </row>
    <row r="648" spans="1:6" x14ac:dyDescent="0.3">
      <c r="A648" t="s">
        <v>2269</v>
      </c>
      <c r="B648">
        <v>1</v>
      </c>
      <c r="D648" t="str">
        <f t="shared" ref="D648:D649" si="49">IF(LEFT(A648,2)="SP",MID(A648,4,4),IF(LEFT(A648,1)="X",MID(A648,3,4),""))</f>
        <v>0398</v>
      </c>
      <c r="E648" t="str">
        <f t="shared" ref="E648:E649" si="50">IF(OR(LEFT(A648,2)="SP",AND(LEFT(A648,1)="X",LEN(A648)&gt;9)),RIGHT(A648,1),"")</f>
        <v>2</v>
      </c>
      <c r="F648" t="str">
        <f t="shared" si="46"/>
        <v>CR</v>
      </c>
    </row>
    <row r="649" spans="1:6" x14ac:dyDescent="0.3">
      <c r="A649" t="s">
        <v>2272</v>
      </c>
      <c r="B649">
        <v>1</v>
      </c>
      <c r="D649" t="str">
        <f t="shared" si="49"/>
        <v>0399</v>
      </c>
      <c r="E649" t="str">
        <f t="shared" si="50"/>
        <v>2</v>
      </c>
      <c r="F649" t="str">
        <f t="shared" si="46"/>
        <v>DR</v>
      </c>
    </row>
    <row r="650" spans="1:6" x14ac:dyDescent="0.3">
      <c r="A650" t="s">
        <v>2273</v>
      </c>
      <c r="B650">
        <v>1</v>
      </c>
      <c r="D650" t="str">
        <f t="shared" ref="D650:D681" si="51">IF(LEFT(A650,2)="SP",MID(A650,4,4),IF(LEFT(A650,1)="X",MID(A650,3,4),""))</f>
        <v>0399</v>
      </c>
      <c r="E650" t="str">
        <f t="shared" ref="E650:E681" si="52">IF(OR(LEFT(A650,2)="SP",AND(LEFT(A650,1)="X",LEN(A650)&gt;9)),RIGHT(A650,1),"")</f>
        <v>1</v>
      </c>
      <c r="F650" t="str">
        <f t="shared" si="46"/>
        <v>ES</v>
      </c>
    </row>
    <row r="651" spans="1:6" x14ac:dyDescent="0.3">
      <c r="A651" t="s">
        <v>2274</v>
      </c>
      <c r="B651">
        <v>1</v>
      </c>
      <c r="D651" t="str">
        <f t="shared" si="51"/>
        <v>0399</v>
      </c>
      <c r="E651" t="str">
        <f t="shared" si="52"/>
        <v>3</v>
      </c>
      <c r="F651" t="str">
        <f t="shared" si="46"/>
        <v>ES</v>
      </c>
    </row>
    <row r="652" spans="1:6" x14ac:dyDescent="0.3">
      <c r="A652" t="s">
        <v>2275</v>
      </c>
      <c r="B652">
        <v>1</v>
      </c>
      <c r="D652" t="str">
        <f t="shared" si="51"/>
        <v>0400</v>
      </c>
      <c r="E652" t="str">
        <f t="shared" si="52"/>
        <v/>
      </c>
      <c r="F652" t="str">
        <f t="shared" si="46"/>
        <v>ES</v>
      </c>
    </row>
    <row r="653" spans="1:6" x14ac:dyDescent="0.3">
      <c r="A653" t="s">
        <v>2278</v>
      </c>
      <c r="B653">
        <v>1</v>
      </c>
      <c r="D653" t="str">
        <f t="shared" si="51"/>
        <v>0401</v>
      </c>
      <c r="E653" t="str">
        <f t="shared" si="52"/>
        <v/>
      </c>
      <c r="F653" t="str">
        <f t="shared" si="46"/>
        <v>DS</v>
      </c>
    </row>
    <row r="654" spans="1:6" x14ac:dyDescent="0.3">
      <c r="A654" t="s">
        <v>2280</v>
      </c>
      <c r="B654">
        <v>1</v>
      </c>
      <c r="D654" t="str">
        <f t="shared" si="51"/>
        <v>0402</v>
      </c>
      <c r="E654" t="str">
        <f t="shared" si="52"/>
        <v/>
      </c>
      <c r="F654" t="str">
        <f t="shared" si="46"/>
        <v>CN</v>
      </c>
    </row>
    <row r="655" spans="1:6" x14ac:dyDescent="0.3">
      <c r="A655" t="s">
        <v>2284</v>
      </c>
      <c r="B655">
        <v>1</v>
      </c>
      <c r="D655" t="str">
        <f t="shared" si="51"/>
        <v>0403</v>
      </c>
      <c r="E655" t="str">
        <f t="shared" si="52"/>
        <v/>
      </c>
      <c r="F655" t="str">
        <f t="shared" si="46"/>
        <v>CS</v>
      </c>
    </row>
    <row r="656" spans="1:6" x14ac:dyDescent="0.3">
      <c r="A656" t="s">
        <v>2638</v>
      </c>
      <c r="B656">
        <v>1</v>
      </c>
      <c r="D656" t="str">
        <f t="shared" si="51"/>
        <v>0404</v>
      </c>
      <c r="E656" t="str">
        <f t="shared" si="52"/>
        <v/>
      </c>
      <c r="F656" t="str">
        <f t="shared" si="46"/>
        <v>MS</v>
      </c>
    </row>
    <row r="657" spans="1:6" x14ac:dyDescent="0.3">
      <c r="A657" t="s">
        <v>2289</v>
      </c>
      <c r="B657">
        <v>1</v>
      </c>
      <c r="D657" t="str">
        <f t="shared" si="51"/>
        <v>0405</v>
      </c>
      <c r="E657" t="str">
        <f t="shared" si="52"/>
        <v/>
      </c>
      <c r="F657" t="str">
        <f t="shared" si="46"/>
        <v>CS</v>
      </c>
    </row>
    <row r="658" spans="1:6" x14ac:dyDescent="0.3">
      <c r="A658" t="s">
        <v>2290</v>
      </c>
      <c r="B658">
        <v>1</v>
      </c>
      <c r="D658" t="str">
        <f t="shared" si="51"/>
        <v>0406</v>
      </c>
      <c r="E658" t="str">
        <f t="shared" si="52"/>
        <v/>
      </c>
      <c r="F658" t="str">
        <f t="shared" ref="F658:F721" si="53">IF(LEFT(A658,1)="X",MID(A658,8,2),"")</f>
        <v>CN</v>
      </c>
    </row>
    <row r="659" spans="1:6" x14ac:dyDescent="0.3">
      <c r="A659" t="s">
        <v>2292</v>
      </c>
      <c r="B659">
        <v>1</v>
      </c>
      <c r="D659" t="str">
        <f t="shared" si="51"/>
        <v>0407</v>
      </c>
      <c r="E659" t="str">
        <f t="shared" si="52"/>
        <v/>
      </c>
      <c r="F659" t="str">
        <f t="shared" si="53"/>
        <v>CN</v>
      </c>
    </row>
    <row r="660" spans="1:6" x14ac:dyDescent="0.3">
      <c r="A660" t="s">
        <v>2294</v>
      </c>
      <c r="B660">
        <v>1</v>
      </c>
      <c r="D660" t="str">
        <f t="shared" si="51"/>
        <v>0408</v>
      </c>
      <c r="E660" t="str">
        <f t="shared" si="52"/>
        <v/>
      </c>
      <c r="F660" t="str">
        <f t="shared" si="53"/>
        <v>CN</v>
      </c>
    </row>
    <row r="661" spans="1:6" x14ac:dyDescent="0.3">
      <c r="A661" t="s">
        <v>2296</v>
      </c>
      <c r="B661">
        <v>1</v>
      </c>
      <c r="D661" t="str">
        <f t="shared" si="51"/>
        <v>0409</v>
      </c>
      <c r="E661" t="str">
        <f t="shared" si="52"/>
        <v/>
      </c>
      <c r="F661" t="str">
        <f t="shared" si="53"/>
        <v>CN</v>
      </c>
    </row>
    <row r="662" spans="1:6" x14ac:dyDescent="0.3">
      <c r="A662" t="s">
        <v>2639</v>
      </c>
      <c r="B662">
        <v>1</v>
      </c>
      <c r="D662" t="str">
        <f t="shared" si="51"/>
        <v>0410</v>
      </c>
      <c r="E662" t="str">
        <f t="shared" si="52"/>
        <v/>
      </c>
      <c r="F662" t="str">
        <f t="shared" si="53"/>
        <v>MS</v>
      </c>
    </row>
    <row r="663" spans="1:6" x14ac:dyDescent="0.3">
      <c r="A663" t="s">
        <v>2300</v>
      </c>
      <c r="B663">
        <v>1</v>
      </c>
      <c r="D663" t="str">
        <f t="shared" si="51"/>
        <v>0411</v>
      </c>
      <c r="E663" t="str">
        <f t="shared" si="52"/>
        <v/>
      </c>
      <c r="F663" t="str">
        <f t="shared" si="53"/>
        <v>CN</v>
      </c>
    </row>
    <row r="664" spans="1:6" x14ac:dyDescent="0.3">
      <c r="A664" t="s">
        <v>2302</v>
      </c>
      <c r="B664">
        <v>1</v>
      </c>
      <c r="D664" t="str">
        <f t="shared" si="51"/>
        <v>0412</v>
      </c>
      <c r="E664" t="str">
        <f t="shared" si="52"/>
        <v/>
      </c>
      <c r="F664" t="str">
        <f t="shared" si="53"/>
        <v>CN</v>
      </c>
    </row>
    <row r="665" spans="1:6" x14ac:dyDescent="0.3">
      <c r="A665" t="s">
        <v>2304</v>
      </c>
      <c r="B665">
        <v>1</v>
      </c>
      <c r="D665" t="str">
        <f t="shared" si="51"/>
        <v>0413</v>
      </c>
      <c r="E665" t="str">
        <f t="shared" si="52"/>
        <v/>
      </c>
      <c r="F665" t="str">
        <f t="shared" si="53"/>
        <v>CN</v>
      </c>
    </row>
    <row r="666" spans="1:6" x14ac:dyDescent="0.3">
      <c r="A666" t="s">
        <v>2307</v>
      </c>
      <c r="B666">
        <v>1</v>
      </c>
      <c r="D666" t="str">
        <f t="shared" si="51"/>
        <v>0414</v>
      </c>
      <c r="E666" t="str">
        <f t="shared" si="52"/>
        <v/>
      </c>
      <c r="F666" t="str">
        <f t="shared" si="53"/>
        <v>CN</v>
      </c>
    </row>
    <row r="667" spans="1:6" x14ac:dyDescent="0.3">
      <c r="A667" t="s">
        <v>2309</v>
      </c>
      <c r="B667">
        <v>1</v>
      </c>
      <c r="D667" t="str">
        <f t="shared" si="51"/>
        <v>0415</v>
      </c>
      <c r="E667" t="str">
        <f t="shared" si="52"/>
        <v/>
      </c>
      <c r="F667" t="str">
        <f t="shared" si="53"/>
        <v>CN</v>
      </c>
    </row>
    <row r="668" spans="1:6" x14ac:dyDescent="0.3">
      <c r="A668" t="s">
        <v>2311</v>
      </c>
      <c r="B668">
        <v>1</v>
      </c>
      <c r="D668" t="str">
        <f t="shared" si="51"/>
        <v>0416</v>
      </c>
      <c r="E668" t="str">
        <f t="shared" si="52"/>
        <v/>
      </c>
      <c r="F668" t="str">
        <f t="shared" si="53"/>
        <v>CN</v>
      </c>
    </row>
    <row r="669" spans="1:6" x14ac:dyDescent="0.3">
      <c r="A669" t="s">
        <v>2315</v>
      </c>
      <c r="B669">
        <v>1</v>
      </c>
      <c r="D669" t="str">
        <f t="shared" si="51"/>
        <v>0417</v>
      </c>
      <c r="E669" t="str">
        <f t="shared" si="52"/>
        <v/>
      </c>
      <c r="F669" t="str">
        <f t="shared" si="53"/>
        <v>DN</v>
      </c>
    </row>
    <row r="670" spans="1:6" x14ac:dyDescent="0.3">
      <c r="A670" t="s">
        <v>2319</v>
      </c>
      <c r="B670">
        <v>1</v>
      </c>
      <c r="D670" t="str">
        <f t="shared" si="51"/>
        <v>0418</v>
      </c>
      <c r="E670" t="str">
        <f t="shared" si="52"/>
        <v/>
      </c>
      <c r="F670" t="str">
        <f t="shared" si="53"/>
        <v>DN</v>
      </c>
    </row>
    <row r="671" spans="1:6" x14ac:dyDescent="0.3">
      <c r="A671" t="s">
        <v>2320</v>
      </c>
      <c r="B671">
        <v>1</v>
      </c>
      <c r="D671" t="str">
        <f t="shared" si="51"/>
        <v>0419</v>
      </c>
      <c r="E671" t="str">
        <f t="shared" si="52"/>
        <v/>
      </c>
      <c r="F671" t="str">
        <f t="shared" si="53"/>
        <v>CN</v>
      </c>
    </row>
    <row r="672" spans="1:6" x14ac:dyDescent="0.3">
      <c r="A672" t="s">
        <v>2323</v>
      </c>
      <c r="B672">
        <v>1</v>
      </c>
      <c r="D672" t="str">
        <f t="shared" si="51"/>
        <v>0420</v>
      </c>
      <c r="E672" t="str">
        <f t="shared" si="52"/>
        <v>3</v>
      </c>
      <c r="F672" t="str">
        <f t="shared" si="53"/>
        <v>CN</v>
      </c>
    </row>
    <row r="673" spans="1:6" x14ac:dyDescent="0.3">
      <c r="A673" t="s">
        <v>2325</v>
      </c>
      <c r="B673">
        <v>1</v>
      </c>
      <c r="D673" t="str">
        <f t="shared" si="51"/>
        <v>0420</v>
      </c>
      <c r="E673" t="str">
        <f t="shared" si="52"/>
        <v>2</v>
      </c>
      <c r="F673" t="str">
        <f t="shared" si="53"/>
        <v>CR</v>
      </c>
    </row>
    <row r="674" spans="1:6" x14ac:dyDescent="0.3">
      <c r="A674" t="s">
        <v>2640</v>
      </c>
      <c r="B674">
        <v>1</v>
      </c>
      <c r="D674" t="str">
        <f t="shared" si="51"/>
        <v>0420</v>
      </c>
      <c r="E674" t="str">
        <f t="shared" si="52"/>
        <v>1</v>
      </c>
      <c r="F674" t="str">
        <f t="shared" si="53"/>
        <v>MS</v>
      </c>
    </row>
    <row r="675" spans="1:6" x14ac:dyDescent="0.3">
      <c r="A675" t="s">
        <v>2327</v>
      </c>
      <c r="B675">
        <v>1</v>
      </c>
      <c r="D675" t="str">
        <f t="shared" si="51"/>
        <v>0421</v>
      </c>
      <c r="E675" t="str">
        <f t="shared" si="52"/>
        <v>3</v>
      </c>
      <c r="F675" t="str">
        <f t="shared" si="53"/>
        <v>CN</v>
      </c>
    </row>
    <row r="676" spans="1:6" x14ac:dyDescent="0.3">
      <c r="A676" t="s">
        <v>2329</v>
      </c>
      <c r="B676">
        <v>1</v>
      </c>
      <c r="D676" t="str">
        <f t="shared" si="51"/>
        <v>0421</v>
      </c>
      <c r="E676" t="str">
        <f t="shared" si="52"/>
        <v>2</v>
      </c>
      <c r="F676" t="str">
        <f t="shared" si="53"/>
        <v>CR</v>
      </c>
    </row>
    <row r="677" spans="1:6" x14ac:dyDescent="0.3">
      <c r="A677" t="s">
        <v>2330</v>
      </c>
      <c r="B677">
        <v>1</v>
      </c>
      <c r="D677" t="str">
        <f t="shared" si="51"/>
        <v>0421</v>
      </c>
      <c r="E677" t="str">
        <f t="shared" si="52"/>
        <v>1</v>
      </c>
      <c r="F677" t="str">
        <f t="shared" si="53"/>
        <v>DN</v>
      </c>
    </row>
    <row r="678" spans="1:6" x14ac:dyDescent="0.3">
      <c r="A678" t="s">
        <v>2332</v>
      </c>
      <c r="B678">
        <v>1</v>
      </c>
      <c r="D678" t="str">
        <f t="shared" si="51"/>
        <v>0422</v>
      </c>
      <c r="E678" t="str">
        <f t="shared" si="52"/>
        <v/>
      </c>
      <c r="F678" t="str">
        <f t="shared" si="53"/>
        <v>CR</v>
      </c>
    </row>
    <row r="679" spans="1:6" x14ac:dyDescent="0.3">
      <c r="A679" t="s">
        <v>2333</v>
      </c>
      <c r="B679">
        <v>1</v>
      </c>
      <c r="D679" t="str">
        <f t="shared" si="51"/>
        <v>0423</v>
      </c>
      <c r="E679" t="str">
        <f t="shared" si="52"/>
        <v/>
      </c>
      <c r="F679" t="str">
        <f t="shared" si="53"/>
        <v>CN</v>
      </c>
    </row>
    <row r="680" spans="1:6" x14ac:dyDescent="0.3">
      <c r="A680" t="s">
        <v>2335</v>
      </c>
      <c r="B680">
        <v>1</v>
      </c>
      <c r="D680" t="str">
        <f t="shared" si="51"/>
        <v>0424</v>
      </c>
      <c r="E680" t="str">
        <f t="shared" si="52"/>
        <v/>
      </c>
      <c r="F680" t="str">
        <f t="shared" si="53"/>
        <v>CN</v>
      </c>
    </row>
    <row r="681" spans="1:6" x14ac:dyDescent="0.3">
      <c r="A681" t="s">
        <v>2337</v>
      </c>
      <c r="B681">
        <v>1</v>
      </c>
      <c r="D681" t="str">
        <f t="shared" si="51"/>
        <v>0425</v>
      </c>
      <c r="E681" t="str">
        <f t="shared" si="52"/>
        <v>1</v>
      </c>
      <c r="F681" t="str">
        <f t="shared" si="53"/>
        <v>CN</v>
      </c>
    </row>
    <row r="682" spans="1:6" x14ac:dyDescent="0.3">
      <c r="A682" t="s">
        <v>2338</v>
      </c>
      <c r="B682">
        <v>1</v>
      </c>
      <c r="D682" t="str">
        <f t="shared" ref="D682:D710" si="54">IF(LEFT(A682,2)="SP",MID(A682,4,4),IF(LEFT(A682,1)="X",MID(A682,3,4),""))</f>
        <v>0425</v>
      </c>
      <c r="E682" t="str">
        <f t="shared" ref="E682:E710" si="55">IF(OR(LEFT(A682,2)="SP",AND(LEFT(A682,1)="X",LEN(A682)&gt;9)),RIGHT(A682,1),"")</f>
        <v>3</v>
      </c>
      <c r="F682" t="str">
        <f t="shared" si="53"/>
        <v>CN</v>
      </c>
    </row>
    <row r="683" spans="1:6" x14ac:dyDescent="0.3">
      <c r="A683" t="s">
        <v>2340</v>
      </c>
      <c r="B683">
        <v>1</v>
      </c>
      <c r="D683" t="str">
        <f t="shared" si="54"/>
        <v>0425</v>
      </c>
      <c r="E683" t="str">
        <f t="shared" si="55"/>
        <v>2</v>
      </c>
      <c r="F683" t="str">
        <f t="shared" si="53"/>
        <v>CR</v>
      </c>
    </row>
    <row r="684" spans="1:6" x14ac:dyDescent="0.3">
      <c r="A684" t="s">
        <v>2343</v>
      </c>
      <c r="B684">
        <v>1</v>
      </c>
      <c r="D684" t="str">
        <f t="shared" si="54"/>
        <v>0426</v>
      </c>
      <c r="E684" t="str">
        <f t="shared" si="55"/>
        <v/>
      </c>
      <c r="F684" t="str">
        <f t="shared" si="53"/>
        <v>CS</v>
      </c>
    </row>
    <row r="685" spans="1:6" x14ac:dyDescent="0.3">
      <c r="A685" t="s">
        <v>2641</v>
      </c>
      <c r="B685">
        <v>1</v>
      </c>
      <c r="D685" t="str">
        <f t="shared" si="54"/>
        <v>0427</v>
      </c>
      <c r="E685" t="str">
        <f t="shared" si="55"/>
        <v/>
      </c>
      <c r="F685" t="str">
        <f t="shared" si="53"/>
        <v>MS</v>
      </c>
    </row>
    <row r="686" spans="1:6" x14ac:dyDescent="0.3">
      <c r="A686" t="s">
        <v>2346</v>
      </c>
      <c r="B686">
        <v>1</v>
      </c>
      <c r="D686" t="str">
        <f t="shared" si="54"/>
        <v>0428</v>
      </c>
      <c r="E686" t="str">
        <f t="shared" si="55"/>
        <v/>
      </c>
      <c r="F686" t="str">
        <f t="shared" si="53"/>
        <v>CN</v>
      </c>
    </row>
    <row r="687" spans="1:6" x14ac:dyDescent="0.3">
      <c r="A687" t="s">
        <v>2348</v>
      </c>
      <c r="B687">
        <v>1</v>
      </c>
      <c r="D687" t="str">
        <f t="shared" si="54"/>
        <v>0429</v>
      </c>
      <c r="E687" t="str">
        <f t="shared" si="55"/>
        <v/>
      </c>
      <c r="F687" t="str">
        <f t="shared" si="53"/>
        <v>CN</v>
      </c>
    </row>
    <row r="688" spans="1:6" x14ac:dyDescent="0.3">
      <c r="A688" t="s">
        <v>2350</v>
      </c>
      <c r="B688">
        <v>1</v>
      </c>
      <c r="D688" t="str">
        <f t="shared" si="54"/>
        <v>0430</v>
      </c>
      <c r="E688" t="str">
        <f t="shared" si="55"/>
        <v/>
      </c>
      <c r="F688" t="str">
        <f t="shared" si="53"/>
        <v>CN</v>
      </c>
    </row>
    <row r="689" spans="1:6" x14ac:dyDescent="0.3">
      <c r="A689" t="s">
        <v>2352</v>
      </c>
      <c r="B689">
        <v>1</v>
      </c>
      <c r="D689" t="str">
        <f t="shared" si="54"/>
        <v>0431</v>
      </c>
      <c r="E689" t="str">
        <f t="shared" si="55"/>
        <v/>
      </c>
      <c r="F689" t="str">
        <f t="shared" si="53"/>
        <v>CN</v>
      </c>
    </row>
    <row r="690" spans="1:6" x14ac:dyDescent="0.3">
      <c r="A690" t="s">
        <v>2355</v>
      </c>
      <c r="B690">
        <v>1</v>
      </c>
      <c r="D690" t="str">
        <f t="shared" si="54"/>
        <v>0432</v>
      </c>
      <c r="E690" t="str">
        <f t="shared" si="55"/>
        <v/>
      </c>
      <c r="F690" t="str">
        <f t="shared" si="53"/>
        <v>CN</v>
      </c>
    </row>
    <row r="691" spans="1:6" x14ac:dyDescent="0.3">
      <c r="A691" t="s">
        <v>2358</v>
      </c>
      <c r="B691">
        <v>1</v>
      </c>
      <c r="D691" t="str">
        <f t="shared" si="54"/>
        <v>0433</v>
      </c>
      <c r="E691" t="str">
        <f t="shared" si="55"/>
        <v/>
      </c>
      <c r="F691" t="str">
        <f t="shared" si="53"/>
        <v>CN</v>
      </c>
    </row>
    <row r="692" spans="1:6" x14ac:dyDescent="0.3">
      <c r="A692" t="s">
        <v>2362</v>
      </c>
      <c r="B692">
        <v>1</v>
      </c>
      <c r="D692" t="str">
        <f t="shared" si="54"/>
        <v>0434</v>
      </c>
      <c r="E692" t="str">
        <f t="shared" si="55"/>
        <v>1</v>
      </c>
      <c r="F692" t="str">
        <f t="shared" si="53"/>
        <v>CN</v>
      </c>
    </row>
    <row r="693" spans="1:6" x14ac:dyDescent="0.3">
      <c r="A693" t="s">
        <v>2363</v>
      </c>
      <c r="B693">
        <v>1</v>
      </c>
      <c r="D693" t="str">
        <f t="shared" si="54"/>
        <v>0434</v>
      </c>
      <c r="E693" t="str">
        <f t="shared" si="55"/>
        <v>3</v>
      </c>
      <c r="F693" t="str">
        <f t="shared" si="53"/>
        <v>CN</v>
      </c>
    </row>
    <row r="694" spans="1:6" x14ac:dyDescent="0.3">
      <c r="A694" t="s">
        <v>2364</v>
      </c>
      <c r="B694">
        <v>1</v>
      </c>
      <c r="D694" t="str">
        <f t="shared" si="54"/>
        <v>0434</v>
      </c>
      <c r="E694" t="str">
        <f t="shared" si="55"/>
        <v>2</v>
      </c>
      <c r="F694" t="str">
        <f t="shared" si="53"/>
        <v>CR</v>
      </c>
    </row>
    <row r="695" spans="1:6" x14ac:dyDescent="0.3">
      <c r="A695" t="s">
        <v>2368</v>
      </c>
      <c r="B695">
        <v>1</v>
      </c>
      <c r="D695" t="str">
        <f t="shared" si="54"/>
        <v>0435</v>
      </c>
      <c r="E695" t="str">
        <f t="shared" si="55"/>
        <v>3</v>
      </c>
      <c r="F695" t="str">
        <f t="shared" si="53"/>
        <v>CN</v>
      </c>
    </row>
    <row r="696" spans="1:6" x14ac:dyDescent="0.3">
      <c r="A696" t="s">
        <v>2370</v>
      </c>
      <c r="B696">
        <v>1</v>
      </c>
      <c r="D696" t="str">
        <f t="shared" si="54"/>
        <v>0435</v>
      </c>
      <c r="E696" t="str">
        <f t="shared" si="55"/>
        <v>2</v>
      </c>
      <c r="F696" t="str">
        <f t="shared" si="53"/>
        <v>CR</v>
      </c>
    </row>
    <row r="697" spans="1:6" x14ac:dyDescent="0.3">
      <c r="A697" t="s">
        <v>2642</v>
      </c>
      <c r="B697">
        <v>1</v>
      </c>
      <c r="D697" t="str">
        <f t="shared" si="54"/>
        <v>0435</v>
      </c>
      <c r="E697" t="str">
        <f t="shared" si="55"/>
        <v>1</v>
      </c>
      <c r="F697" t="str">
        <f t="shared" si="53"/>
        <v>MS</v>
      </c>
    </row>
    <row r="698" spans="1:6" x14ac:dyDescent="0.3">
      <c r="A698" t="s">
        <v>2371</v>
      </c>
      <c r="B698">
        <v>1</v>
      </c>
      <c r="D698" t="str">
        <f t="shared" si="54"/>
        <v>0436</v>
      </c>
      <c r="E698" t="str">
        <f t="shared" si="55"/>
        <v/>
      </c>
      <c r="F698" t="str">
        <f t="shared" si="53"/>
        <v>CN</v>
      </c>
    </row>
    <row r="699" spans="1:6" x14ac:dyDescent="0.3">
      <c r="A699" t="s">
        <v>2374</v>
      </c>
      <c r="B699">
        <v>1</v>
      </c>
      <c r="D699" t="str">
        <f t="shared" si="54"/>
        <v>0437</v>
      </c>
      <c r="E699" t="str">
        <f t="shared" si="55"/>
        <v>3</v>
      </c>
      <c r="F699" t="str">
        <f t="shared" si="53"/>
        <v>DN</v>
      </c>
    </row>
    <row r="700" spans="1:6" x14ac:dyDescent="0.3">
      <c r="A700" t="s">
        <v>2375</v>
      </c>
      <c r="B700">
        <v>1</v>
      </c>
      <c r="D700" t="str">
        <f t="shared" si="54"/>
        <v>0437</v>
      </c>
      <c r="E700" t="str">
        <f t="shared" si="55"/>
        <v>2</v>
      </c>
      <c r="F700" t="str">
        <f t="shared" si="53"/>
        <v>DR</v>
      </c>
    </row>
    <row r="701" spans="1:6" x14ac:dyDescent="0.3">
      <c r="A701" t="s">
        <v>2377</v>
      </c>
      <c r="B701">
        <v>1</v>
      </c>
      <c r="D701" t="str">
        <f t="shared" si="54"/>
        <v>0437</v>
      </c>
      <c r="E701" t="str">
        <f t="shared" si="55"/>
        <v>1</v>
      </c>
      <c r="F701" t="str">
        <f t="shared" si="53"/>
        <v>ES</v>
      </c>
    </row>
    <row r="702" spans="1:6" x14ac:dyDescent="0.3">
      <c r="A702" t="s">
        <v>2380</v>
      </c>
      <c r="B702">
        <v>1</v>
      </c>
      <c r="D702" t="str">
        <f t="shared" si="54"/>
        <v>0438</v>
      </c>
      <c r="E702" t="str">
        <f t="shared" si="55"/>
        <v>2</v>
      </c>
      <c r="F702" t="str">
        <f t="shared" si="53"/>
        <v>DR</v>
      </c>
    </row>
    <row r="703" spans="1:6" x14ac:dyDescent="0.3">
      <c r="A703" t="s">
        <v>2381</v>
      </c>
      <c r="B703">
        <v>1</v>
      </c>
      <c r="D703" t="str">
        <f t="shared" si="54"/>
        <v>0438</v>
      </c>
      <c r="E703" t="str">
        <f t="shared" si="55"/>
        <v>3</v>
      </c>
      <c r="F703" t="str">
        <f t="shared" si="53"/>
        <v>DS</v>
      </c>
    </row>
    <row r="704" spans="1:6" x14ac:dyDescent="0.3">
      <c r="A704" t="s">
        <v>2382</v>
      </c>
      <c r="B704">
        <v>1</v>
      </c>
      <c r="D704" t="str">
        <f t="shared" si="54"/>
        <v>0438</v>
      </c>
      <c r="E704" t="str">
        <f t="shared" si="55"/>
        <v>1</v>
      </c>
      <c r="F704" t="str">
        <f t="shared" si="53"/>
        <v>ES</v>
      </c>
    </row>
    <row r="705" spans="1:6" x14ac:dyDescent="0.3">
      <c r="A705" t="s">
        <v>2384</v>
      </c>
      <c r="B705">
        <v>1</v>
      </c>
      <c r="D705" t="str">
        <f t="shared" si="54"/>
        <v>0439</v>
      </c>
      <c r="E705" t="str">
        <f t="shared" si="55"/>
        <v>1</v>
      </c>
      <c r="F705" t="str">
        <f t="shared" si="53"/>
        <v>ES</v>
      </c>
    </row>
    <row r="706" spans="1:6" x14ac:dyDescent="0.3">
      <c r="A706" t="s">
        <v>2385</v>
      </c>
      <c r="B706">
        <v>1</v>
      </c>
      <c r="D706" t="str">
        <f t="shared" si="54"/>
        <v>0439</v>
      </c>
      <c r="E706" t="str">
        <f t="shared" si="55"/>
        <v>3</v>
      </c>
      <c r="F706" t="str">
        <f t="shared" si="53"/>
        <v>ES</v>
      </c>
    </row>
    <row r="707" spans="1:6" x14ac:dyDescent="0.3">
      <c r="A707" t="s">
        <v>2387</v>
      </c>
      <c r="B707">
        <v>1</v>
      </c>
      <c r="D707" t="str">
        <f t="shared" si="54"/>
        <v>0439</v>
      </c>
      <c r="E707" t="str">
        <f t="shared" si="55"/>
        <v>2</v>
      </c>
      <c r="F707" t="str">
        <f t="shared" si="53"/>
        <v>FR</v>
      </c>
    </row>
    <row r="708" spans="1:6" x14ac:dyDescent="0.3">
      <c r="A708" t="s">
        <v>2388</v>
      </c>
      <c r="B708">
        <v>1</v>
      </c>
      <c r="D708" t="str">
        <f t="shared" si="54"/>
        <v>0440</v>
      </c>
      <c r="E708" t="str">
        <f t="shared" si="55"/>
        <v/>
      </c>
      <c r="F708" t="str">
        <f t="shared" si="53"/>
        <v>CN</v>
      </c>
    </row>
    <row r="709" spans="1:6" x14ac:dyDescent="0.3">
      <c r="A709" t="s">
        <v>2390</v>
      </c>
      <c r="B709">
        <v>1</v>
      </c>
      <c r="D709" t="str">
        <f t="shared" si="54"/>
        <v>0441</v>
      </c>
      <c r="E709" t="str">
        <f t="shared" si="55"/>
        <v/>
      </c>
      <c r="F709" t="str">
        <f t="shared" si="53"/>
        <v>CS</v>
      </c>
    </row>
    <row r="710" spans="1:6" x14ac:dyDescent="0.3">
      <c r="A710" t="s">
        <v>2391</v>
      </c>
      <c r="B710">
        <v>1</v>
      </c>
      <c r="D710" t="str">
        <f t="shared" si="54"/>
        <v>0442</v>
      </c>
      <c r="E710" t="str">
        <f t="shared" si="55"/>
        <v/>
      </c>
      <c r="F710" t="str">
        <f t="shared" si="53"/>
        <v>CN</v>
      </c>
    </row>
    <row r="711" spans="1:6" x14ac:dyDescent="0.3">
      <c r="A711" t="s">
        <v>2643</v>
      </c>
      <c r="B711">
        <v>1</v>
      </c>
      <c r="D711" t="str">
        <f t="shared" ref="D711:D712" si="56">IF(LEFT(A711,2)="SP",MID(A711,4,4),IF(LEFT(A711,1)="X",MID(A711,3,4),""))</f>
        <v>0443</v>
      </c>
      <c r="E711" t="str">
        <f t="shared" ref="E711:E712" si="57">IF(OR(LEFT(A711,2)="SP",AND(LEFT(A711,1)="X",LEN(A711)&gt;9)),RIGHT(A711,1),"")</f>
        <v/>
      </c>
      <c r="F711" t="str">
        <f t="shared" si="53"/>
        <v>DR</v>
      </c>
    </row>
    <row r="712" spans="1:6" x14ac:dyDescent="0.3">
      <c r="A712" t="s">
        <v>2397</v>
      </c>
      <c r="B712">
        <v>1</v>
      </c>
      <c r="D712" t="str">
        <f t="shared" si="56"/>
        <v>0444</v>
      </c>
      <c r="E712" t="str">
        <f t="shared" si="57"/>
        <v/>
      </c>
      <c r="F712" t="str">
        <f t="shared" si="53"/>
        <v>CR</v>
      </c>
    </row>
    <row r="713" spans="1:6" x14ac:dyDescent="0.3">
      <c r="A713" t="s">
        <v>2398</v>
      </c>
      <c r="B713">
        <v>1</v>
      </c>
      <c r="D713" t="str">
        <f t="shared" ref="D713:D776" si="58">IF(LEFT(A713,2)="SP",MID(A713,4,4),IF(LEFT(A713,1)="X",MID(A713,3,4),""))</f>
        <v>0445</v>
      </c>
      <c r="E713" t="str">
        <f t="shared" ref="E713:E744" si="59">IF(OR(LEFT(A713,2)="SP",AND(LEFT(A713,1)="X",LEN(A713)&gt;9)),RIGHT(A713,1),"")</f>
        <v/>
      </c>
      <c r="F713" t="str">
        <f t="shared" si="53"/>
        <v>BS</v>
      </c>
    </row>
    <row r="714" spans="1:6" x14ac:dyDescent="0.3">
      <c r="A714" t="s">
        <v>2400</v>
      </c>
      <c r="B714">
        <v>1</v>
      </c>
      <c r="D714" t="str">
        <f t="shared" si="58"/>
        <v>0446</v>
      </c>
      <c r="E714" t="str">
        <f t="shared" si="59"/>
        <v/>
      </c>
      <c r="F714" t="str">
        <f t="shared" si="53"/>
        <v>BS</v>
      </c>
    </row>
    <row r="715" spans="1:6" x14ac:dyDescent="0.3">
      <c r="A715" t="s">
        <v>2644</v>
      </c>
      <c r="B715">
        <v>1</v>
      </c>
      <c r="D715" t="str">
        <f t="shared" si="58"/>
        <v>0447</v>
      </c>
      <c r="E715" t="str">
        <f t="shared" si="59"/>
        <v/>
      </c>
      <c r="F715" t="str">
        <f t="shared" si="53"/>
        <v>MS</v>
      </c>
    </row>
    <row r="716" spans="1:6" x14ac:dyDescent="0.3">
      <c r="A716" t="s">
        <v>2405</v>
      </c>
      <c r="B716">
        <v>1</v>
      </c>
      <c r="D716" t="str">
        <f t="shared" si="58"/>
        <v>0448</v>
      </c>
      <c r="E716" t="str">
        <f t="shared" si="59"/>
        <v/>
      </c>
      <c r="F716" t="str">
        <f t="shared" si="53"/>
        <v>CS</v>
      </c>
    </row>
    <row r="717" spans="1:6" x14ac:dyDescent="0.3">
      <c r="A717" t="s">
        <v>2406</v>
      </c>
      <c r="B717">
        <v>1</v>
      </c>
      <c r="D717" t="str">
        <f t="shared" si="58"/>
        <v>0449</v>
      </c>
      <c r="E717" t="str">
        <f t="shared" si="59"/>
        <v/>
      </c>
      <c r="F717" t="str">
        <f t="shared" si="53"/>
        <v>CN</v>
      </c>
    </row>
    <row r="718" spans="1:6" x14ac:dyDescent="0.3">
      <c r="A718" t="s">
        <v>2645</v>
      </c>
      <c r="B718">
        <v>1</v>
      </c>
      <c r="D718" t="str">
        <f t="shared" si="58"/>
        <v>0450</v>
      </c>
      <c r="E718" t="str">
        <f t="shared" si="59"/>
        <v/>
      </c>
      <c r="F718" t="str">
        <f t="shared" si="53"/>
        <v>MS</v>
      </c>
    </row>
    <row r="719" spans="1:6" x14ac:dyDescent="0.3">
      <c r="A719" t="s">
        <v>2411</v>
      </c>
      <c r="B719">
        <v>1</v>
      </c>
      <c r="D719" t="str">
        <f t="shared" si="58"/>
        <v>0451</v>
      </c>
      <c r="E719" t="str">
        <f t="shared" si="59"/>
        <v/>
      </c>
      <c r="F719" t="str">
        <f t="shared" si="53"/>
        <v>CN</v>
      </c>
    </row>
    <row r="720" spans="1:6" x14ac:dyDescent="0.3">
      <c r="A720" t="s">
        <v>2414</v>
      </c>
      <c r="B720">
        <v>1</v>
      </c>
      <c r="D720" t="str">
        <f t="shared" si="58"/>
        <v>0452</v>
      </c>
      <c r="E720" t="str">
        <f t="shared" si="59"/>
        <v/>
      </c>
      <c r="F720" t="str">
        <f t="shared" si="53"/>
        <v>CS</v>
      </c>
    </row>
    <row r="721" spans="1:6" x14ac:dyDescent="0.3">
      <c r="A721" t="s">
        <v>2416</v>
      </c>
      <c r="B721">
        <v>1</v>
      </c>
      <c r="D721" t="str">
        <f t="shared" si="58"/>
        <v>0453</v>
      </c>
      <c r="E721" t="str">
        <f t="shared" si="59"/>
        <v/>
      </c>
      <c r="F721" t="str">
        <f t="shared" si="53"/>
        <v>CN</v>
      </c>
    </row>
    <row r="722" spans="1:6" x14ac:dyDescent="0.3">
      <c r="A722" t="s">
        <v>2418</v>
      </c>
      <c r="B722">
        <v>1</v>
      </c>
      <c r="D722" t="str">
        <f t="shared" si="58"/>
        <v>0454</v>
      </c>
      <c r="E722" t="str">
        <f t="shared" si="59"/>
        <v/>
      </c>
      <c r="F722" t="str">
        <f t="shared" ref="F722:F783" si="60">IF(LEFT(A722,1)="X",MID(A722,8,2),"")</f>
        <v>CN</v>
      </c>
    </row>
    <row r="723" spans="1:6" x14ac:dyDescent="0.3">
      <c r="A723" t="s">
        <v>2420</v>
      </c>
      <c r="B723">
        <v>1</v>
      </c>
      <c r="D723" t="str">
        <f t="shared" si="58"/>
        <v>0455</v>
      </c>
      <c r="E723" t="str">
        <f t="shared" si="59"/>
        <v/>
      </c>
      <c r="F723" t="str">
        <f t="shared" si="60"/>
        <v>CN</v>
      </c>
    </row>
    <row r="724" spans="1:6" x14ac:dyDescent="0.3">
      <c r="A724" t="s">
        <v>2421</v>
      </c>
      <c r="B724">
        <v>1</v>
      </c>
      <c r="D724" t="str">
        <f t="shared" si="58"/>
        <v>0456</v>
      </c>
      <c r="E724" t="str">
        <f t="shared" si="59"/>
        <v/>
      </c>
      <c r="F724" t="str">
        <f t="shared" si="60"/>
        <v>CN</v>
      </c>
    </row>
    <row r="725" spans="1:6" x14ac:dyDescent="0.3">
      <c r="A725" t="s">
        <v>2424</v>
      </c>
      <c r="B725">
        <v>1</v>
      </c>
      <c r="D725" t="str">
        <f t="shared" si="58"/>
        <v>0457</v>
      </c>
      <c r="E725" t="str">
        <f t="shared" si="59"/>
        <v/>
      </c>
      <c r="F725" t="str">
        <f t="shared" si="60"/>
        <v>CN</v>
      </c>
    </row>
    <row r="726" spans="1:6" x14ac:dyDescent="0.3">
      <c r="A726" t="s">
        <v>2427</v>
      </c>
      <c r="B726">
        <v>1</v>
      </c>
      <c r="D726" t="str">
        <f t="shared" si="58"/>
        <v>0458</v>
      </c>
      <c r="E726" t="str">
        <f t="shared" si="59"/>
        <v>1</v>
      </c>
      <c r="F726" t="str">
        <f t="shared" si="60"/>
        <v>CN</v>
      </c>
    </row>
    <row r="727" spans="1:6" x14ac:dyDescent="0.3">
      <c r="A727" t="s">
        <v>2428</v>
      </c>
      <c r="B727">
        <v>1</v>
      </c>
      <c r="D727" t="str">
        <f t="shared" si="58"/>
        <v>0458</v>
      </c>
      <c r="E727" t="str">
        <f t="shared" si="59"/>
        <v>3</v>
      </c>
      <c r="F727" t="str">
        <f t="shared" si="60"/>
        <v>CN</v>
      </c>
    </row>
    <row r="728" spans="1:6" x14ac:dyDescent="0.3">
      <c r="A728" t="s">
        <v>2646</v>
      </c>
      <c r="B728">
        <v>1</v>
      </c>
      <c r="D728" t="str">
        <f t="shared" si="58"/>
        <v>0458</v>
      </c>
      <c r="E728" t="str">
        <f t="shared" si="59"/>
        <v>2</v>
      </c>
      <c r="F728" t="str">
        <f t="shared" si="60"/>
        <v>FR</v>
      </c>
    </row>
    <row r="729" spans="1:6" x14ac:dyDescent="0.3">
      <c r="A729" t="s">
        <v>2432</v>
      </c>
      <c r="B729">
        <v>1</v>
      </c>
      <c r="D729" t="str">
        <f t="shared" si="58"/>
        <v>0459</v>
      </c>
      <c r="E729" t="str">
        <f t="shared" si="59"/>
        <v/>
      </c>
      <c r="F729" t="str">
        <f t="shared" si="60"/>
        <v>CN</v>
      </c>
    </row>
    <row r="730" spans="1:6" x14ac:dyDescent="0.3">
      <c r="A730" t="s">
        <v>2434</v>
      </c>
      <c r="B730">
        <v>1</v>
      </c>
      <c r="D730" t="str">
        <f t="shared" si="58"/>
        <v>0460</v>
      </c>
      <c r="E730" t="str">
        <f t="shared" si="59"/>
        <v/>
      </c>
      <c r="F730" t="str">
        <f t="shared" si="60"/>
        <v>CN</v>
      </c>
    </row>
    <row r="731" spans="1:6" x14ac:dyDescent="0.3">
      <c r="A731" t="s">
        <v>2439</v>
      </c>
      <c r="B731">
        <v>1</v>
      </c>
      <c r="D731" t="str">
        <f t="shared" si="58"/>
        <v>0461</v>
      </c>
      <c r="E731" t="str">
        <f t="shared" si="59"/>
        <v>3</v>
      </c>
      <c r="F731" t="str">
        <f t="shared" si="60"/>
        <v>CN</v>
      </c>
    </row>
    <row r="732" spans="1:6" x14ac:dyDescent="0.3">
      <c r="A732" t="s">
        <v>2441</v>
      </c>
      <c r="B732">
        <v>1</v>
      </c>
      <c r="D732" t="str">
        <f t="shared" si="58"/>
        <v>0461</v>
      </c>
      <c r="E732" t="str">
        <f t="shared" si="59"/>
        <v>2</v>
      </c>
      <c r="F732" t="str">
        <f t="shared" si="60"/>
        <v>CR</v>
      </c>
    </row>
    <row r="733" spans="1:6" x14ac:dyDescent="0.3">
      <c r="A733" t="s">
        <v>2442</v>
      </c>
      <c r="B733">
        <v>1</v>
      </c>
      <c r="D733" t="str">
        <f t="shared" si="58"/>
        <v>0461</v>
      </c>
      <c r="E733" t="str">
        <f t="shared" si="59"/>
        <v>1</v>
      </c>
      <c r="F733" t="str">
        <f t="shared" si="60"/>
        <v>CS</v>
      </c>
    </row>
    <row r="734" spans="1:6" x14ac:dyDescent="0.3">
      <c r="A734" t="s">
        <v>2443</v>
      </c>
      <c r="B734">
        <v>1</v>
      </c>
      <c r="D734" t="str">
        <f t="shared" si="58"/>
        <v>0462</v>
      </c>
      <c r="E734" t="str">
        <f t="shared" si="59"/>
        <v/>
      </c>
      <c r="F734" t="str">
        <f t="shared" si="60"/>
        <v>CN</v>
      </c>
    </row>
    <row r="735" spans="1:6" x14ac:dyDescent="0.3">
      <c r="A735" t="s">
        <v>2445</v>
      </c>
      <c r="B735">
        <v>1</v>
      </c>
      <c r="D735" t="str">
        <f t="shared" si="58"/>
        <v>0463</v>
      </c>
      <c r="E735" t="str">
        <f t="shared" si="59"/>
        <v/>
      </c>
      <c r="F735" t="str">
        <f t="shared" si="60"/>
        <v>CN</v>
      </c>
    </row>
    <row r="736" spans="1:6" x14ac:dyDescent="0.3">
      <c r="A736" t="s">
        <v>2447</v>
      </c>
      <c r="B736">
        <v>1</v>
      </c>
      <c r="D736" t="str">
        <f t="shared" si="58"/>
        <v>0464</v>
      </c>
      <c r="E736" t="str">
        <f t="shared" si="59"/>
        <v/>
      </c>
      <c r="F736" t="str">
        <f t="shared" si="60"/>
        <v>CN</v>
      </c>
    </row>
    <row r="737" spans="1:6" x14ac:dyDescent="0.3">
      <c r="A737" t="s">
        <v>2449</v>
      </c>
      <c r="B737">
        <v>1</v>
      </c>
      <c r="D737" t="str">
        <f t="shared" si="58"/>
        <v>0465</v>
      </c>
      <c r="E737" t="str">
        <f t="shared" si="59"/>
        <v/>
      </c>
      <c r="F737" t="str">
        <f t="shared" si="60"/>
        <v>CN</v>
      </c>
    </row>
    <row r="738" spans="1:6" x14ac:dyDescent="0.3">
      <c r="A738" t="s">
        <v>2647</v>
      </c>
      <c r="B738">
        <v>1</v>
      </c>
      <c r="D738" t="str">
        <f t="shared" si="58"/>
        <v>0466</v>
      </c>
      <c r="E738" t="str">
        <f t="shared" si="59"/>
        <v/>
      </c>
      <c r="F738" t="str">
        <f t="shared" si="60"/>
        <v>MS</v>
      </c>
    </row>
    <row r="739" spans="1:6" x14ac:dyDescent="0.3">
      <c r="A739" t="s">
        <v>2454</v>
      </c>
      <c r="B739">
        <v>1</v>
      </c>
      <c r="D739" t="str">
        <f t="shared" si="58"/>
        <v>0467</v>
      </c>
      <c r="E739" t="str">
        <f t="shared" si="59"/>
        <v/>
      </c>
      <c r="F739" t="str">
        <f t="shared" si="60"/>
        <v>CN</v>
      </c>
    </row>
    <row r="740" spans="1:6" x14ac:dyDescent="0.3">
      <c r="A740" t="s">
        <v>2456</v>
      </c>
      <c r="B740">
        <v>1</v>
      </c>
      <c r="D740" t="str">
        <f t="shared" si="58"/>
        <v>0468</v>
      </c>
      <c r="E740" t="str">
        <f t="shared" si="59"/>
        <v/>
      </c>
      <c r="F740" t="str">
        <f t="shared" si="60"/>
        <v>CN</v>
      </c>
    </row>
    <row r="741" spans="1:6" x14ac:dyDescent="0.3">
      <c r="A741" t="s">
        <v>2458</v>
      </c>
      <c r="B741">
        <v>1</v>
      </c>
      <c r="D741" t="str">
        <f t="shared" si="58"/>
        <v>0469</v>
      </c>
      <c r="E741" t="str">
        <f t="shared" si="59"/>
        <v/>
      </c>
      <c r="F741" t="str">
        <f t="shared" si="60"/>
        <v>CN</v>
      </c>
    </row>
    <row r="742" spans="1:6" x14ac:dyDescent="0.3">
      <c r="A742" t="s">
        <v>2460</v>
      </c>
      <c r="B742">
        <v>1</v>
      </c>
      <c r="D742" t="str">
        <f t="shared" si="58"/>
        <v>0470</v>
      </c>
      <c r="E742" t="str">
        <f t="shared" si="59"/>
        <v/>
      </c>
      <c r="F742" t="str">
        <f t="shared" si="60"/>
        <v>CN</v>
      </c>
    </row>
    <row r="743" spans="1:6" x14ac:dyDescent="0.3">
      <c r="A743" t="s">
        <v>2462</v>
      </c>
      <c r="B743">
        <v>1</v>
      </c>
      <c r="D743" t="str">
        <f t="shared" si="58"/>
        <v>0471</v>
      </c>
      <c r="E743" t="str">
        <f t="shared" si="59"/>
        <v/>
      </c>
      <c r="F743" t="str">
        <f t="shared" si="60"/>
        <v>CN</v>
      </c>
    </row>
    <row r="744" spans="1:6" x14ac:dyDescent="0.3">
      <c r="A744" t="s">
        <v>2464</v>
      </c>
      <c r="B744">
        <v>1</v>
      </c>
      <c r="D744" t="str">
        <f t="shared" si="58"/>
        <v>0472</v>
      </c>
      <c r="E744" t="str">
        <f t="shared" si="59"/>
        <v/>
      </c>
      <c r="F744" t="str">
        <f t="shared" si="60"/>
        <v>CN</v>
      </c>
    </row>
    <row r="745" spans="1:6" x14ac:dyDescent="0.3">
      <c r="A745" t="s">
        <v>2466</v>
      </c>
      <c r="B745">
        <v>1</v>
      </c>
      <c r="D745" t="str">
        <f t="shared" si="58"/>
        <v>0473</v>
      </c>
      <c r="E745" t="str">
        <f t="shared" ref="E745:E776" si="61">IF(OR(LEFT(A745,2)="SP",AND(LEFT(A745,1)="X",LEN(A745)&gt;9)),RIGHT(A745,1),"")</f>
        <v/>
      </c>
      <c r="F745" t="str">
        <f t="shared" si="60"/>
        <v>CN</v>
      </c>
    </row>
    <row r="746" spans="1:6" x14ac:dyDescent="0.3">
      <c r="A746" t="s">
        <v>2469</v>
      </c>
      <c r="B746">
        <v>1</v>
      </c>
      <c r="D746" t="str">
        <f t="shared" si="58"/>
        <v>0474</v>
      </c>
      <c r="E746" t="str">
        <f t="shared" si="61"/>
        <v/>
      </c>
      <c r="F746" t="str">
        <f t="shared" si="60"/>
        <v>CN</v>
      </c>
    </row>
    <row r="747" spans="1:6" x14ac:dyDescent="0.3">
      <c r="A747" t="s">
        <v>2473</v>
      </c>
      <c r="B747">
        <v>1</v>
      </c>
      <c r="D747" t="str">
        <f t="shared" si="58"/>
        <v>0475</v>
      </c>
      <c r="E747" t="str">
        <f t="shared" si="61"/>
        <v/>
      </c>
      <c r="F747" t="str">
        <f t="shared" si="60"/>
        <v>CN</v>
      </c>
    </row>
    <row r="748" spans="1:6" x14ac:dyDescent="0.3">
      <c r="A748" t="s">
        <v>2475</v>
      </c>
      <c r="B748">
        <v>1</v>
      </c>
      <c r="D748" t="str">
        <f t="shared" si="58"/>
        <v>0476</v>
      </c>
      <c r="E748" t="str">
        <f t="shared" si="61"/>
        <v/>
      </c>
      <c r="F748" t="str">
        <f t="shared" si="60"/>
        <v>CN</v>
      </c>
    </row>
    <row r="749" spans="1:6" x14ac:dyDescent="0.3">
      <c r="A749" t="s">
        <v>2477</v>
      </c>
      <c r="B749">
        <v>1</v>
      </c>
      <c r="D749" t="str">
        <f t="shared" si="58"/>
        <v>0477</v>
      </c>
      <c r="E749" t="str">
        <f t="shared" si="61"/>
        <v/>
      </c>
      <c r="F749" t="str">
        <f t="shared" si="60"/>
        <v>CN</v>
      </c>
    </row>
    <row r="750" spans="1:6" x14ac:dyDescent="0.3">
      <c r="A750" t="s">
        <v>2479</v>
      </c>
      <c r="B750">
        <v>1</v>
      </c>
      <c r="D750" t="str">
        <f t="shared" si="58"/>
        <v>0478</v>
      </c>
      <c r="E750" t="str">
        <f t="shared" si="61"/>
        <v/>
      </c>
      <c r="F750" t="str">
        <f t="shared" si="60"/>
        <v>CN</v>
      </c>
    </row>
    <row r="751" spans="1:6" x14ac:dyDescent="0.3">
      <c r="A751" t="s">
        <v>2481</v>
      </c>
      <c r="B751">
        <v>1</v>
      </c>
      <c r="D751" t="str">
        <f t="shared" si="58"/>
        <v>0479</v>
      </c>
      <c r="E751" t="str">
        <f t="shared" si="61"/>
        <v/>
      </c>
      <c r="F751" t="str">
        <f t="shared" si="60"/>
        <v>CN</v>
      </c>
    </row>
    <row r="752" spans="1:6" x14ac:dyDescent="0.3">
      <c r="A752" t="s">
        <v>2483</v>
      </c>
      <c r="B752">
        <v>1</v>
      </c>
      <c r="D752" t="str">
        <f t="shared" si="58"/>
        <v>0480</v>
      </c>
      <c r="E752" t="str">
        <f t="shared" si="61"/>
        <v/>
      </c>
      <c r="F752" t="str">
        <f t="shared" si="60"/>
        <v>CN</v>
      </c>
    </row>
    <row r="753" spans="1:6" x14ac:dyDescent="0.3">
      <c r="A753" t="s">
        <v>2486</v>
      </c>
      <c r="B753">
        <v>1</v>
      </c>
      <c r="D753" t="str">
        <f t="shared" si="58"/>
        <v>0481</v>
      </c>
      <c r="E753" t="str">
        <f t="shared" si="61"/>
        <v/>
      </c>
      <c r="F753" t="str">
        <f t="shared" si="60"/>
        <v>CN</v>
      </c>
    </row>
    <row r="754" spans="1:6" x14ac:dyDescent="0.3">
      <c r="A754" t="s">
        <v>2648</v>
      </c>
      <c r="B754">
        <v>1</v>
      </c>
      <c r="D754" t="str">
        <f t="shared" si="58"/>
        <v>0482</v>
      </c>
      <c r="E754" t="str">
        <f t="shared" si="61"/>
        <v/>
      </c>
      <c r="F754" t="str">
        <f t="shared" si="60"/>
        <v>MS</v>
      </c>
    </row>
    <row r="755" spans="1:6" x14ac:dyDescent="0.3">
      <c r="A755" t="s">
        <v>2491</v>
      </c>
      <c r="B755">
        <v>1</v>
      </c>
      <c r="D755" t="str">
        <f t="shared" si="58"/>
        <v>0483</v>
      </c>
      <c r="E755" t="str">
        <f t="shared" si="61"/>
        <v/>
      </c>
      <c r="F755" t="str">
        <f t="shared" si="60"/>
        <v>CN</v>
      </c>
    </row>
    <row r="756" spans="1:6" x14ac:dyDescent="0.3">
      <c r="A756" t="s">
        <v>2493</v>
      </c>
      <c r="B756">
        <v>1</v>
      </c>
      <c r="D756" t="str">
        <f t="shared" si="58"/>
        <v>0484</v>
      </c>
      <c r="E756" t="str">
        <f t="shared" si="61"/>
        <v/>
      </c>
      <c r="F756" t="str">
        <f t="shared" si="60"/>
        <v>CN</v>
      </c>
    </row>
    <row r="757" spans="1:6" x14ac:dyDescent="0.3">
      <c r="A757" t="s">
        <v>2496</v>
      </c>
      <c r="B757">
        <v>1</v>
      </c>
      <c r="D757" t="str">
        <f t="shared" si="58"/>
        <v>0485</v>
      </c>
      <c r="E757" t="str">
        <f t="shared" si="61"/>
        <v>3</v>
      </c>
      <c r="F757" t="str">
        <f t="shared" si="60"/>
        <v>CN</v>
      </c>
    </row>
    <row r="758" spans="1:6" x14ac:dyDescent="0.3">
      <c r="A758" t="s">
        <v>2498</v>
      </c>
      <c r="B758">
        <v>1</v>
      </c>
      <c r="D758" t="str">
        <f t="shared" si="58"/>
        <v>0485</v>
      </c>
      <c r="E758" t="str">
        <f t="shared" si="61"/>
        <v>2</v>
      </c>
      <c r="F758" t="str">
        <f t="shared" si="60"/>
        <v>CR</v>
      </c>
    </row>
    <row r="759" spans="1:6" x14ac:dyDescent="0.3">
      <c r="A759" t="s">
        <v>2499</v>
      </c>
      <c r="B759">
        <v>1</v>
      </c>
      <c r="D759" t="str">
        <f t="shared" si="58"/>
        <v>0485</v>
      </c>
      <c r="E759" t="str">
        <f t="shared" si="61"/>
        <v>1</v>
      </c>
      <c r="F759" t="str">
        <f t="shared" si="60"/>
        <v>DN</v>
      </c>
    </row>
    <row r="760" spans="1:6" x14ac:dyDescent="0.3">
      <c r="A760" t="s">
        <v>2500</v>
      </c>
      <c r="B760">
        <v>1</v>
      </c>
      <c r="D760" t="str">
        <f t="shared" si="58"/>
        <v>0486</v>
      </c>
      <c r="E760" t="str">
        <f t="shared" si="61"/>
        <v>1</v>
      </c>
      <c r="F760" t="str">
        <f t="shared" si="60"/>
        <v>CN</v>
      </c>
    </row>
    <row r="761" spans="1:6" x14ac:dyDescent="0.3">
      <c r="A761" t="s">
        <v>2503</v>
      </c>
      <c r="B761">
        <v>1</v>
      </c>
      <c r="D761" t="str">
        <f t="shared" si="58"/>
        <v>0486</v>
      </c>
      <c r="E761" t="str">
        <f t="shared" si="61"/>
        <v>2</v>
      </c>
      <c r="F761" t="str">
        <f t="shared" si="60"/>
        <v>CR</v>
      </c>
    </row>
    <row r="762" spans="1:6" x14ac:dyDescent="0.3">
      <c r="A762" t="s">
        <v>2649</v>
      </c>
      <c r="B762">
        <v>1</v>
      </c>
      <c r="D762" t="str">
        <f t="shared" si="58"/>
        <v>0486</v>
      </c>
      <c r="E762" t="str">
        <f t="shared" si="61"/>
        <v>3</v>
      </c>
      <c r="F762" t="str">
        <f t="shared" si="60"/>
        <v>MS</v>
      </c>
    </row>
    <row r="763" spans="1:6" x14ac:dyDescent="0.3">
      <c r="A763" t="s">
        <v>2504</v>
      </c>
      <c r="B763">
        <v>1</v>
      </c>
      <c r="D763" t="str">
        <f t="shared" si="58"/>
        <v>0487</v>
      </c>
      <c r="E763" t="str">
        <f t="shared" si="61"/>
        <v>1</v>
      </c>
      <c r="F763" t="str">
        <f t="shared" si="60"/>
        <v>CN</v>
      </c>
    </row>
    <row r="764" spans="1:6" x14ac:dyDescent="0.3">
      <c r="A764" t="s">
        <v>2505</v>
      </c>
      <c r="B764">
        <v>1</v>
      </c>
      <c r="D764" t="str">
        <f t="shared" si="58"/>
        <v>0487</v>
      </c>
      <c r="E764" t="str">
        <f t="shared" si="61"/>
        <v>3</v>
      </c>
      <c r="F764" t="str">
        <f t="shared" si="60"/>
        <v>CN</v>
      </c>
    </row>
    <row r="765" spans="1:6" x14ac:dyDescent="0.3">
      <c r="A765" t="s">
        <v>2507</v>
      </c>
      <c r="B765">
        <v>1</v>
      </c>
      <c r="D765" t="str">
        <f t="shared" si="58"/>
        <v>0487</v>
      </c>
      <c r="E765" t="str">
        <f t="shared" si="61"/>
        <v>2</v>
      </c>
      <c r="F765" t="str">
        <f t="shared" si="60"/>
        <v>CR</v>
      </c>
    </row>
    <row r="766" spans="1:6" x14ac:dyDescent="0.3">
      <c r="A766" t="s">
        <v>2508</v>
      </c>
      <c r="B766">
        <v>1</v>
      </c>
      <c r="D766" t="str">
        <f t="shared" si="58"/>
        <v>0488</v>
      </c>
      <c r="E766" t="str">
        <f t="shared" si="61"/>
        <v>1</v>
      </c>
      <c r="F766" t="str">
        <f t="shared" si="60"/>
        <v>CN</v>
      </c>
    </row>
    <row r="767" spans="1:6" x14ac:dyDescent="0.3">
      <c r="A767" t="s">
        <v>2511</v>
      </c>
      <c r="B767">
        <v>1</v>
      </c>
      <c r="D767" t="str">
        <f t="shared" si="58"/>
        <v>0488</v>
      </c>
      <c r="E767" t="str">
        <f t="shared" si="61"/>
        <v>2</v>
      </c>
      <c r="F767" t="str">
        <f t="shared" si="60"/>
        <v>CR</v>
      </c>
    </row>
    <row r="768" spans="1:6" x14ac:dyDescent="0.3">
      <c r="A768" t="s">
        <v>2512</v>
      </c>
      <c r="B768">
        <v>1</v>
      </c>
      <c r="D768" t="str">
        <f t="shared" si="58"/>
        <v>0488</v>
      </c>
      <c r="E768" t="str">
        <f t="shared" si="61"/>
        <v>3</v>
      </c>
      <c r="F768" t="str">
        <f t="shared" si="60"/>
        <v>CS</v>
      </c>
    </row>
    <row r="769" spans="1:6" x14ac:dyDescent="0.3">
      <c r="A769" t="s">
        <v>2513</v>
      </c>
      <c r="B769">
        <v>1</v>
      </c>
      <c r="D769" t="str">
        <f t="shared" si="58"/>
        <v>0489</v>
      </c>
      <c r="E769" t="str">
        <f t="shared" si="61"/>
        <v/>
      </c>
      <c r="F769" t="str">
        <f t="shared" si="60"/>
        <v>CN</v>
      </c>
    </row>
    <row r="770" spans="1:6" x14ac:dyDescent="0.3">
      <c r="A770" t="s">
        <v>2520</v>
      </c>
      <c r="B770">
        <v>1</v>
      </c>
      <c r="D770" t="str">
        <f t="shared" si="58"/>
        <v>0490</v>
      </c>
      <c r="E770" t="str">
        <f t="shared" si="61"/>
        <v/>
      </c>
      <c r="F770" t="str">
        <f t="shared" si="60"/>
        <v>DS</v>
      </c>
    </row>
    <row r="771" spans="1:6" x14ac:dyDescent="0.3">
      <c r="A771" t="s">
        <v>2524</v>
      </c>
      <c r="B771">
        <v>1</v>
      </c>
      <c r="D771" t="str">
        <f t="shared" si="58"/>
        <v>0491</v>
      </c>
      <c r="E771" t="str">
        <f t="shared" si="61"/>
        <v/>
      </c>
      <c r="F771" t="str">
        <f t="shared" si="60"/>
        <v>DS</v>
      </c>
    </row>
    <row r="772" spans="1:6" x14ac:dyDescent="0.3">
      <c r="A772" t="s">
        <v>2525</v>
      </c>
      <c r="B772">
        <v>1</v>
      </c>
      <c r="D772" t="str">
        <f t="shared" si="58"/>
        <v>0492</v>
      </c>
      <c r="E772" t="str">
        <f t="shared" si="61"/>
        <v/>
      </c>
      <c r="F772" t="str">
        <f t="shared" si="60"/>
        <v>CN</v>
      </c>
    </row>
    <row r="773" spans="1:6" x14ac:dyDescent="0.3">
      <c r="A773" t="s">
        <v>2528</v>
      </c>
      <c r="B773">
        <v>1</v>
      </c>
      <c r="D773" t="str">
        <f t="shared" si="58"/>
        <v>0493</v>
      </c>
      <c r="E773" t="str">
        <f t="shared" si="61"/>
        <v/>
      </c>
      <c r="F773" t="str">
        <f t="shared" si="60"/>
        <v>CN</v>
      </c>
    </row>
    <row r="774" spans="1:6" x14ac:dyDescent="0.3">
      <c r="A774" t="s">
        <v>2531</v>
      </c>
      <c r="B774">
        <v>1</v>
      </c>
      <c r="D774" t="str">
        <f t="shared" si="58"/>
        <v>0494</v>
      </c>
      <c r="E774" t="str">
        <f t="shared" si="61"/>
        <v/>
      </c>
      <c r="F774" t="str">
        <f t="shared" si="60"/>
        <v>CN</v>
      </c>
    </row>
    <row r="775" spans="1:6" x14ac:dyDescent="0.3">
      <c r="A775" t="s">
        <v>2533</v>
      </c>
      <c r="B775">
        <v>1</v>
      </c>
      <c r="D775" t="str">
        <f t="shared" si="58"/>
        <v>0495</v>
      </c>
      <c r="E775" t="str">
        <f t="shared" si="61"/>
        <v/>
      </c>
      <c r="F775" t="str">
        <f t="shared" si="60"/>
        <v>CN</v>
      </c>
    </row>
    <row r="776" spans="1:6" x14ac:dyDescent="0.3">
      <c r="A776" t="s">
        <v>2535</v>
      </c>
      <c r="B776">
        <v>1</v>
      </c>
      <c r="D776" t="str">
        <f t="shared" si="58"/>
        <v>0496</v>
      </c>
      <c r="E776" t="str">
        <f t="shared" si="61"/>
        <v/>
      </c>
      <c r="F776" t="str">
        <f t="shared" si="60"/>
        <v>CN</v>
      </c>
    </row>
    <row r="777" spans="1:6" x14ac:dyDescent="0.3">
      <c r="A777" t="s">
        <v>2538</v>
      </c>
      <c r="B777">
        <v>1</v>
      </c>
      <c r="D777" t="str">
        <f t="shared" ref="D777:D840" si="62">IF(LEFT(A777,2)="SP",MID(A777,4,4),IF(LEFT(A777,1)="X",MID(A777,3,4),""))</f>
        <v>0497</v>
      </c>
      <c r="E777" t="str">
        <f t="shared" ref="E777:E783" si="63">IF(OR(LEFT(A777,2)="SP",AND(LEFT(A777,1)="X",LEN(A777)&gt;9)),RIGHT(A777,1),"")</f>
        <v/>
      </c>
      <c r="F777" t="str">
        <f t="shared" si="60"/>
        <v>CN</v>
      </c>
    </row>
    <row r="778" spans="1:6" x14ac:dyDescent="0.3">
      <c r="A778" t="s">
        <v>2541</v>
      </c>
      <c r="B778">
        <v>1</v>
      </c>
      <c r="D778" t="str">
        <f t="shared" si="62"/>
        <v>0498</v>
      </c>
      <c r="E778" t="str">
        <f t="shared" si="63"/>
        <v>1</v>
      </c>
      <c r="F778" t="str">
        <f t="shared" si="60"/>
        <v>CN</v>
      </c>
    </row>
    <row r="779" spans="1:6" x14ac:dyDescent="0.3">
      <c r="A779" t="s">
        <v>2543</v>
      </c>
      <c r="B779">
        <v>1</v>
      </c>
      <c r="D779" t="str">
        <f t="shared" si="62"/>
        <v>0498</v>
      </c>
      <c r="E779" t="str">
        <f t="shared" si="63"/>
        <v>3</v>
      </c>
      <c r="F779" t="str">
        <f t="shared" si="60"/>
        <v>DS</v>
      </c>
    </row>
    <row r="780" spans="1:6" x14ac:dyDescent="0.3">
      <c r="A780" t="s">
        <v>2650</v>
      </c>
      <c r="B780">
        <v>1</v>
      </c>
      <c r="D780" t="str">
        <f t="shared" si="62"/>
        <v>0498</v>
      </c>
      <c r="E780" t="str">
        <f t="shared" si="63"/>
        <v>2</v>
      </c>
      <c r="F780" t="str">
        <f t="shared" si="60"/>
        <v>FR</v>
      </c>
    </row>
    <row r="781" spans="1:6" x14ac:dyDescent="0.3">
      <c r="A781" t="s">
        <v>2544</v>
      </c>
      <c r="B781">
        <v>1</v>
      </c>
      <c r="D781" t="str">
        <f t="shared" si="62"/>
        <v>0499</v>
      </c>
      <c r="E781" t="str">
        <f t="shared" si="63"/>
        <v>1</v>
      </c>
      <c r="F781" t="str">
        <f t="shared" si="60"/>
        <v>CN</v>
      </c>
    </row>
    <row r="782" spans="1:6" x14ac:dyDescent="0.3">
      <c r="A782" t="s">
        <v>2545</v>
      </c>
      <c r="B782">
        <v>1</v>
      </c>
      <c r="D782" t="str">
        <f t="shared" si="62"/>
        <v>0499</v>
      </c>
      <c r="E782" t="str">
        <f t="shared" si="63"/>
        <v>3</v>
      </c>
      <c r="F782" t="str">
        <f t="shared" si="60"/>
        <v>CN</v>
      </c>
    </row>
    <row r="783" spans="1:6" x14ac:dyDescent="0.3">
      <c r="A783" t="s">
        <v>2547</v>
      </c>
      <c r="B783">
        <v>1</v>
      </c>
      <c r="D783" t="str">
        <f t="shared" si="62"/>
        <v>0499</v>
      </c>
      <c r="E783" t="str">
        <f t="shared" si="63"/>
        <v>2</v>
      </c>
      <c r="F783" t="str">
        <f t="shared" si="60"/>
        <v>CR</v>
      </c>
    </row>
    <row r="784" spans="1:6" x14ac:dyDescent="0.3">
      <c r="D784" t="str">
        <f t="shared" si="62"/>
        <v/>
      </c>
    </row>
    <row r="785" spans="4:4" x14ac:dyDescent="0.3">
      <c r="D785" t="str">
        <f t="shared" si="62"/>
        <v/>
      </c>
    </row>
    <row r="786" spans="4:4" x14ac:dyDescent="0.3">
      <c r="D786" t="str">
        <f t="shared" si="62"/>
        <v/>
      </c>
    </row>
    <row r="787" spans="4:4" x14ac:dyDescent="0.3">
      <c r="D787" t="str">
        <f t="shared" si="62"/>
        <v/>
      </c>
    </row>
    <row r="788" spans="4:4" x14ac:dyDescent="0.3">
      <c r="D788" t="str">
        <f t="shared" si="62"/>
        <v/>
      </c>
    </row>
    <row r="789" spans="4:4" x14ac:dyDescent="0.3">
      <c r="D789" t="str">
        <f t="shared" si="62"/>
        <v/>
      </c>
    </row>
    <row r="790" spans="4:4" x14ac:dyDescent="0.3">
      <c r="D790" t="str">
        <f t="shared" si="62"/>
        <v/>
      </c>
    </row>
    <row r="791" spans="4:4" x14ac:dyDescent="0.3">
      <c r="D791" t="str">
        <f t="shared" si="62"/>
        <v/>
      </c>
    </row>
    <row r="792" spans="4:4" x14ac:dyDescent="0.3">
      <c r="D792" t="str">
        <f t="shared" si="62"/>
        <v/>
      </c>
    </row>
    <row r="793" spans="4:4" x14ac:dyDescent="0.3">
      <c r="D793" t="str">
        <f t="shared" si="62"/>
        <v/>
      </c>
    </row>
    <row r="794" spans="4:4" x14ac:dyDescent="0.3">
      <c r="D794" t="str">
        <f t="shared" si="62"/>
        <v/>
      </c>
    </row>
    <row r="795" spans="4:4" x14ac:dyDescent="0.3">
      <c r="D795" t="str">
        <f t="shared" si="62"/>
        <v/>
      </c>
    </row>
    <row r="796" spans="4:4" x14ac:dyDescent="0.3">
      <c r="D796" t="str">
        <f t="shared" si="62"/>
        <v/>
      </c>
    </row>
    <row r="797" spans="4:4" x14ac:dyDescent="0.3">
      <c r="D797" t="str">
        <f t="shared" si="62"/>
        <v/>
      </c>
    </row>
    <row r="798" spans="4:4" x14ac:dyDescent="0.3">
      <c r="D798" t="str">
        <f t="shared" si="62"/>
        <v/>
      </c>
    </row>
    <row r="799" spans="4:4" x14ac:dyDescent="0.3">
      <c r="D799" t="str">
        <f t="shared" si="62"/>
        <v/>
      </c>
    </row>
    <row r="800" spans="4:4" x14ac:dyDescent="0.3">
      <c r="D800" t="str">
        <f t="shared" si="62"/>
        <v/>
      </c>
    </row>
    <row r="801" spans="4:4" x14ac:dyDescent="0.3">
      <c r="D801" t="str">
        <f t="shared" si="62"/>
        <v/>
      </c>
    </row>
    <row r="802" spans="4:4" x14ac:dyDescent="0.3">
      <c r="D802" t="str">
        <f t="shared" si="62"/>
        <v/>
      </c>
    </row>
    <row r="803" spans="4:4" x14ac:dyDescent="0.3">
      <c r="D803" t="str">
        <f t="shared" si="62"/>
        <v/>
      </c>
    </row>
    <row r="804" spans="4:4" x14ac:dyDescent="0.3">
      <c r="D804" t="str">
        <f t="shared" si="62"/>
        <v/>
      </c>
    </row>
    <row r="805" spans="4:4" x14ac:dyDescent="0.3">
      <c r="D805" t="str">
        <f t="shared" si="62"/>
        <v/>
      </c>
    </row>
    <row r="806" spans="4:4" x14ac:dyDescent="0.3">
      <c r="D806" t="str">
        <f t="shared" si="62"/>
        <v/>
      </c>
    </row>
    <row r="807" spans="4:4" x14ac:dyDescent="0.3">
      <c r="D807" t="str">
        <f t="shared" si="62"/>
        <v/>
      </c>
    </row>
    <row r="808" spans="4:4" x14ac:dyDescent="0.3">
      <c r="D808" t="str">
        <f t="shared" si="62"/>
        <v/>
      </c>
    </row>
    <row r="809" spans="4:4" x14ac:dyDescent="0.3">
      <c r="D809" t="str">
        <f t="shared" si="62"/>
        <v/>
      </c>
    </row>
    <row r="810" spans="4:4" x14ac:dyDescent="0.3">
      <c r="D810" t="str">
        <f t="shared" si="62"/>
        <v/>
      </c>
    </row>
    <row r="811" spans="4:4" x14ac:dyDescent="0.3">
      <c r="D811" t="str">
        <f t="shared" si="62"/>
        <v/>
      </c>
    </row>
    <row r="812" spans="4:4" x14ac:dyDescent="0.3">
      <c r="D812" t="str">
        <f t="shared" si="62"/>
        <v/>
      </c>
    </row>
    <row r="813" spans="4:4" x14ac:dyDescent="0.3">
      <c r="D813" t="str">
        <f t="shared" si="62"/>
        <v/>
      </c>
    </row>
    <row r="814" spans="4:4" x14ac:dyDescent="0.3">
      <c r="D814" t="str">
        <f t="shared" si="62"/>
        <v/>
      </c>
    </row>
    <row r="815" spans="4:4" x14ac:dyDescent="0.3">
      <c r="D815" t="str">
        <f t="shared" si="62"/>
        <v/>
      </c>
    </row>
    <row r="816" spans="4:4" x14ac:dyDescent="0.3">
      <c r="D816" t="str">
        <f t="shared" si="62"/>
        <v/>
      </c>
    </row>
    <row r="817" spans="4:4" x14ac:dyDescent="0.3">
      <c r="D817" t="str">
        <f t="shared" si="62"/>
        <v/>
      </c>
    </row>
    <row r="818" spans="4:4" x14ac:dyDescent="0.3">
      <c r="D818" t="str">
        <f t="shared" si="62"/>
        <v/>
      </c>
    </row>
    <row r="819" spans="4:4" x14ac:dyDescent="0.3">
      <c r="D819" t="str">
        <f t="shared" si="62"/>
        <v/>
      </c>
    </row>
    <row r="820" spans="4:4" x14ac:dyDescent="0.3">
      <c r="D820" t="str">
        <f t="shared" si="62"/>
        <v/>
      </c>
    </row>
    <row r="821" spans="4:4" x14ac:dyDescent="0.3">
      <c r="D821" t="str">
        <f t="shared" si="62"/>
        <v/>
      </c>
    </row>
    <row r="822" spans="4:4" x14ac:dyDescent="0.3">
      <c r="D822" t="str">
        <f t="shared" si="62"/>
        <v/>
      </c>
    </row>
    <row r="823" spans="4:4" x14ac:dyDescent="0.3">
      <c r="D823" t="str">
        <f t="shared" si="62"/>
        <v/>
      </c>
    </row>
    <row r="824" spans="4:4" x14ac:dyDescent="0.3">
      <c r="D824" t="str">
        <f t="shared" si="62"/>
        <v/>
      </c>
    </row>
    <row r="825" spans="4:4" x14ac:dyDescent="0.3">
      <c r="D825" t="str">
        <f t="shared" si="62"/>
        <v/>
      </c>
    </row>
    <row r="826" spans="4:4" x14ac:dyDescent="0.3">
      <c r="D826" t="str">
        <f t="shared" si="62"/>
        <v/>
      </c>
    </row>
    <row r="827" spans="4:4" x14ac:dyDescent="0.3">
      <c r="D827" t="str">
        <f t="shared" si="62"/>
        <v/>
      </c>
    </row>
    <row r="828" spans="4:4" x14ac:dyDescent="0.3">
      <c r="D828" t="str">
        <f t="shared" si="62"/>
        <v/>
      </c>
    </row>
    <row r="829" spans="4:4" x14ac:dyDescent="0.3">
      <c r="D829" t="str">
        <f t="shared" si="62"/>
        <v/>
      </c>
    </row>
    <row r="830" spans="4:4" x14ac:dyDescent="0.3">
      <c r="D830" t="str">
        <f t="shared" si="62"/>
        <v/>
      </c>
    </row>
    <row r="831" spans="4:4" x14ac:dyDescent="0.3">
      <c r="D831" t="str">
        <f t="shared" si="62"/>
        <v/>
      </c>
    </row>
    <row r="832" spans="4:4" x14ac:dyDescent="0.3">
      <c r="D832" t="str">
        <f t="shared" si="62"/>
        <v/>
      </c>
    </row>
    <row r="833" spans="4:4" x14ac:dyDescent="0.3">
      <c r="D833" t="str">
        <f t="shared" si="62"/>
        <v/>
      </c>
    </row>
    <row r="834" spans="4:4" x14ac:dyDescent="0.3">
      <c r="D834" t="str">
        <f t="shared" si="62"/>
        <v/>
      </c>
    </row>
    <row r="835" spans="4:4" x14ac:dyDescent="0.3">
      <c r="D835" t="str">
        <f t="shared" si="62"/>
        <v/>
      </c>
    </row>
    <row r="836" spans="4:4" x14ac:dyDescent="0.3">
      <c r="D836" t="str">
        <f t="shared" si="62"/>
        <v/>
      </c>
    </row>
    <row r="837" spans="4:4" x14ac:dyDescent="0.3">
      <c r="D837" t="str">
        <f t="shared" si="62"/>
        <v/>
      </c>
    </row>
    <row r="838" spans="4:4" x14ac:dyDescent="0.3">
      <c r="D838" t="str">
        <f t="shared" si="62"/>
        <v/>
      </c>
    </row>
    <row r="839" spans="4:4" x14ac:dyDescent="0.3">
      <c r="D839" t="str">
        <f t="shared" si="62"/>
        <v/>
      </c>
    </row>
    <row r="840" spans="4:4" x14ac:dyDescent="0.3">
      <c r="D840" t="str">
        <f t="shared" si="62"/>
        <v/>
      </c>
    </row>
    <row r="841" spans="4:4" x14ac:dyDescent="0.3">
      <c r="D841" t="str">
        <f t="shared" ref="D841:D904" si="64">IF(LEFT(A841,2)="SP",MID(A841,4,4),IF(LEFT(A841,1)="X",MID(A841,3,4),""))</f>
        <v/>
      </c>
    </row>
    <row r="842" spans="4:4" x14ac:dyDescent="0.3">
      <c r="D842" t="str">
        <f t="shared" si="64"/>
        <v/>
      </c>
    </row>
    <row r="843" spans="4:4" x14ac:dyDescent="0.3">
      <c r="D843" t="str">
        <f t="shared" si="64"/>
        <v/>
      </c>
    </row>
    <row r="844" spans="4:4" x14ac:dyDescent="0.3">
      <c r="D844" t="str">
        <f t="shared" si="64"/>
        <v/>
      </c>
    </row>
    <row r="845" spans="4:4" x14ac:dyDescent="0.3">
      <c r="D845" t="str">
        <f t="shared" si="64"/>
        <v/>
      </c>
    </row>
    <row r="846" spans="4:4" x14ac:dyDescent="0.3">
      <c r="D846" t="str">
        <f t="shared" si="64"/>
        <v/>
      </c>
    </row>
    <row r="847" spans="4:4" x14ac:dyDescent="0.3">
      <c r="D847" t="str">
        <f t="shared" si="64"/>
        <v/>
      </c>
    </row>
    <row r="848" spans="4:4" x14ac:dyDescent="0.3">
      <c r="D848" t="str">
        <f t="shared" si="64"/>
        <v/>
      </c>
    </row>
    <row r="849" spans="4:4" x14ac:dyDescent="0.3">
      <c r="D849" t="str">
        <f t="shared" si="64"/>
        <v/>
      </c>
    </row>
    <row r="850" spans="4:4" x14ac:dyDescent="0.3">
      <c r="D850" t="str">
        <f t="shared" si="64"/>
        <v/>
      </c>
    </row>
    <row r="851" spans="4:4" x14ac:dyDescent="0.3">
      <c r="D851" t="str">
        <f t="shared" si="64"/>
        <v/>
      </c>
    </row>
    <row r="852" spans="4:4" x14ac:dyDescent="0.3">
      <c r="D852" t="str">
        <f t="shared" si="64"/>
        <v/>
      </c>
    </row>
    <row r="853" spans="4:4" x14ac:dyDescent="0.3">
      <c r="D853" t="str">
        <f t="shared" si="64"/>
        <v/>
      </c>
    </row>
    <row r="854" spans="4:4" x14ac:dyDescent="0.3">
      <c r="D854" t="str">
        <f t="shared" si="64"/>
        <v/>
      </c>
    </row>
    <row r="855" spans="4:4" x14ac:dyDescent="0.3">
      <c r="D855" t="str">
        <f t="shared" si="64"/>
        <v/>
      </c>
    </row>
    <row r="856" spans="4:4" x14ac:dyDescent="0.3">
      <c r="D856" t="str">
        <f t="shared" si="64"/>
        <v/>
      </c>
    </row>
    <row r="857" spans="4:4" x14ac:dyDescent="0.3">
      <c r="D857" t="str">
        <f t="shared" si="64"/>
        <v/>
      </c>
    </row>
    <row r="858" spans="4:4" x14ac:dyDescent="0.3">
      <c r="D858" t="str">
        <f t="shared" si="64"/>
        <v/>
      </c>
    </row>
    <row r="859" spans="4:4" x14ac:dyDescent="0.3">
      <c r="D859" t="str">
        <f t="shared" si="64"/>
        <v/>
      </c>
    </row>
    <row r="860" spans="4:4" x14ac:dyDescent="0.3">
      <c r="D860" t="str">
        <f t="shared" si="64"/>
        <v/>
      </c>
    </row>
    <row r="861" spans="4:4" x14ac:dyDescent="0.3">
      <c r="D861" t="str">
        <f t="shared" si="64"/>
        <v/>
      </c>
    </row>
    <row r="862" spans="4:4" x14ac:dyDescent="0.3">
      <c r="D862" t="str">
        <f t="shared" si="64"/>
        <v/>
      </c>
    </row>
    <row r="863" spans="4:4" x14ac:dyDescent="0.3">
      <c r="D863" t="str">
        <f t="shared" si="64"/>
        <v/>
      </c>
    </row>
    <row r="864" spans="4:4" x14ac:dyDescent="0.3">
      <c r="D864" t="str">
        <f t="shared" si="64"/>
        <v/>
      </c>
    </row>
    <row r="865" spans="4:4" x14ac:dyDescent="0.3">
      <c r="D865" t="str">
        <f t="shared" si="64"/>
        <v/>
      </c>
    </row>
    <row r="866" spans="4:4" x14ac:dyDescent="0.3">
      <c r="D866" t="str">
        <f t="shared" si="64"/>
        <v/>
      </c>
    </row>
    <row r="867" spans="4:4" x14ac:dyDescent="0.3">
      <c r="D867" t="str">
        <f t="shared" si="64"/>
        <v/>
      </c>
    </row>
    <row r="868" spans="4:4" x14ac:dyDescent="0.3">
      <c r="D868" t="str">
        <f t="shared" si="64"/>
        <v/>
      </c>
    </row>
    <row r="869" spans="4:4" x14ac:dyDescent="0.3">
      <c r="D869" t="str">
        <f t="shared" si="64"/>
        <v/>
      </c>
    </row>
    <row r="870" spans="4:4" x14ac:dyDescent="0.3">
      <c r="D870" t="str">
        <f t="shared" si="64"/>
        <v/>
      </c>
    </row>
    <row r="871" spans="4:4" x14ac:dyDescent="0.3">
      <c r="D871" t="str">
        <f t="shared" si="64"/>
        <v/>
      </c>
    </row>
    <row r="872" spans="4:4" x14ac:dyDescent="0.3">
      <c r="D872" t="str">
        <f t="shared" si="64"/>
        <v/>
      </c>
    </row>
    <row r="873" spans="4:4" x14ac:dyDescent="0.3">
      <c r="D873" t="str">
        <f t="shared" si="64"/>
        <v/>
      </c>
    </row>
    <row r="874" spans="4:4" x14ac:dyDescent="0.3">
      <c r="D874" t="str">
        <f t="shared" si="64"/>
        <v/>
      </c>
    </row>
    <row r="875" spans="4:4" x14ac:dyDescent="0.3">
      <c r="D875" t="str">
        <f t="shared" si="64"/>
        <v/>
      </c>
    </row>
    <row r="876" spans="4:4" x14ac:dyDescent="0.3">
      <c r="D876" t="str">
        <f t="shared" si="64"/>
        <v/>
      </c>
    </row>
    <row r="877" spans="4:4" x14ac:dyDescent="0.3">
      <c r="D877" t="str">
        <f t="shared" si="64"/>
        <v/>
      </c>
    </row>
    <row r="878" spans="4:4" x14ac:dyDescent="0.3">
      <c r="D878" t="str">
        <f t="shared" si="64"/>
        <v/>
      </c>
    </row>
    <row r="879" spans="4:4" x14ac:dyDescent="0.3">
      <c r="D879" t="str">
        <f t="shared" si="64"/>
        <v/>
      </c>
    </row>
    <row r="880" spans="4:4" x14ac:dyDescent="0.3">
      <c r="D880" t="str">
        <f t="shared" si="64"/>
        <v/>
      </c>
    </row>
    <row r="881" spans="4:4" x14ac:dyDescent="0.3">
      <c r="D881" t="str">
        <f t="shared" si="64"/>
        <v/>
      </c>
    </row>
    <row r="882" spans="4:4" x14ac:dyDescent="0.3">
      <c r="D882" t="str">
        <f t="shared" si="64"/>
        <v/>
      </c>
    </row>
    <row r="883" spans="4:4" x14ac:dyDescent="0.3">
      <c r="D883" t="str">
        <f t="shared" si="64"/>
        <v/>
      </c>
    </row>
    <row r="884" spans="4:4" x14ac:dyDescent="0.3">
      <c r="D884" t="str">
        <f t="shared" si="64"/>
        <v/>
      </c>
    </row>
    <row r="885" spans="4:4" x14ac:dyDescent="0.3">
      <c r="D885" t="str">
        <f t="shared" si="64"/>
        <v/>
      </c>
    </row>
    <row r="886" spans="4:4" x14ac:dyDescent="0.3">
      <c r="D886" t="str">
        <f t="shared" si="64"/>
        <v/>
      </c>
    </row>
    <row r="887" spans="4:4" x14ac:dyDescent="0.3">
      <c r="D887" t="str">
        <f t="shared" si="64"/>
        <v/>
      </c>
    </row>
    <row r="888" spans="4:4" x14ac:dyDescent="0.3">
      <c r="D888" t="str">
        <f t="shared" si="64"/>
        <v/>
      </c>
    </row>
    <row r="889" spans="4:4" x14ac:dyDescent="0.3">
      <c r="D889" t="str">
        <f t="shared" si="64"/>
        <v/>
      </c>
    </row>
    <row r="890" spans="4:4" x14ac:dyDescent="0.3">
      <c r="D890" t="str">
        <f t="shared" si="64"/>
        <v/>
      </c>
    </row>
    <row r="891" spans="4:4" x14ac:dyDescent="0.3">
      <c r="D891" t="str">
        <f t="shared" si="64"/>
        <v/>
      </c>
    </row>
    <row r="892" spans="4:4" x14ac:dyDescent="0.3">
      <c r="D892" t="str">
        <f t="shared" si="64"/>
        <v/>
      </c>
    </row>
    <row r="893" spans="4:4" x14ac:dyDescent="0.3">
      <c r="D893" t="str">
        <f t="shared" si="64"/>
        <v/>
      </c>
    </row>
    <row r="894" spans="4:4" x14ac:dyDescent="0.3">
      <c r="D894" t="str">
        <f t="shared" si="64"/>
        <v/>
      </c>
    </row>
    <row r="895" spans="4:4" x14ac:dyDescent="0.3">
      <c r="D895" t="str">
        <f t="shared" si="64"/>
        <v/>
      </c>
    </row>
    <row r="896" spans="4:4" x14ac:dyDescent="0.3">
      <c r="D896" t="str">
        <f t="shared" si="64"/>
        <v/>
      </c>
    </row>
    <row r="897" spans="4:4" x14ac:dyDescent="0.3">
      <c r="D897" t="str">
        <f t="shared" si="64"/>
        <v/>
      </c>
    </row>
    <row r="898" spans="4:4" x14ac:dyDescent="0.3">
      <c r="D898" t="str">
        <f t="shared" si="64"/>
        <v/>
      </c>
    </row>
    <row r="899" spans="4:4" x14ac:dyDescent="0.3">
      <c r="D899" t="str">
        <f t="shared" si="64"/>
        <v/>
      </c>
    </row>
    <row r="900" spans="4:4" x14ac:dyDescent="0.3">
      <c r="D900" t="str">
        <f t="shared" si="64"/>
        <v/>
      </c>
    </row>
    <row r="901" spans="4:4" x14ac:dyDescent="0.3">
      <c r="D901" t="str">
        <f t="shared" si="64"/>
        <v/>
      </c>
    </row>
    <row r="902" spans="4:4" x14ac:dyDescent="0.3">
      <c r="D902" t="str">
        <f t="shared" si="64"/>
        <v/>
      </c>
    </row>
    <row r="903" spans="4:4" x14ac:dyDescent="0.3">
      <c r="D903" t="str">
        <f t="shared" si="64"/>
        <v/>
      </c>
    </row>
    <row r="904" spans="4:4" x14ac:dyDescent="0.3">
      <c r="D904" t="str">
        <f t="shared" si="64"/>
        <v/>
      </c>
    </row>
    <row r="905" spans="4:4" x14ac:dyDescent="0.3">
      <c r="D905" t="str">
        <f t="shared" ref="D905:D968" si="65">IF(LEFT(A905,2)="SP",MID(A905,4,4),IF(LEFT(A905,1)="X",MID(A905,3,4),""))</f>
        <v/>
      </c>
    </row>
    <row r="906" spans="4:4" x14ac:dyDescent="0.3">
      <c r="D906" t="str">
        <f t="shared" si="65"/>
        <v/>
      </c>
    </row>
    <row r="907" spans="4:4" x14ac:dyDescent="0.3">
      <c r="D907" t="str">
        <f t="shared" si="65"/>
        <v/>
      </c>
    </row>
    <row r="908" spans="4:4" x14ac:dyDescent="0.3">
      <c r="D908" t="str">
        <f t="shared" si="65"/>
        <v/>
      </c>
    </row>
    <row r="909" spans="4:4" x14ac:dyDescent="0.3">
      <c r="D909" t="str">
        <f t="shared" si="65"/>
        <v/>
      </c>
    </row>
    <row r="910" spans="4:4" x14ac:dyDescent="0.3">
      <c r="D910" t="str">
        <f t="shared" si="65"/>
        <v/>
      </c>
    </row>
    <row r="911" spans="4:4" x14ac:dyDescent="0.3">
      <c r="D911" t="str">
        <f t="shared" si="65"/>
        <v/>
      </c>
    </row>
    <row r="912" spans="4:4" x14ac:dyDescent="0.3">
      <c r="D912" t="str">
        <f t="shared" si="65"/>
        <v/>
      </c>
    </row>
    <row r="913" spans="4:4" x14ac:dyDescent="0.3">
      <c r="D913" t="str">
        <f t="shared" si="65"/>
        <v/>
      </c>
    </row>
    <row r="914" spans="4:4" x14ac:dyDescent="0.3">
      <c r="D914" t="str">
        <f t="shared" si="65"/>
        <v/>
      </c>
    </row>
    <row r="915" spans="4:4" x14ac:dyDescent="0.3">
      <c r="D915" t="str">
        <f t="shared" si="65"/>
        <v/>
      </c>
    </row>
    <row r="916" spans="4:4" x14ac:dyDescent="0.3">
      <c r="D916" t="str">
        <f t="shared" si="65"/>
        <v/>
      </c>
    </row>
    <row r="917" spans="4:4" x14ac:dyDescent="0.3">
      <c r="D917" t="str">
        <f t="shared" si="65"/>
        <v/>
      </c>
    </row>
    <row r="918" spans="4:4" x14ac:dyDescent="0.3">
      <c r="D918" t="str">
        <f t="shared" si="65"/>
        <v/>
      </c>
    </row>
    <row r="919" spans="4:4" x14ac:dyDescent="0.3">
      <c r="D919" t="str">
        <f t="shared" si="65"/>
        <v/>
      </c>
    </row>
    <row r="920" spans="4:4" x14ac:dyDescent="0.3">
      <c r="D920" t="str">
        <f t="shared" si="65"/>
        <v/>
      </c>
    </row>
    <row r="921" spans="4:4" x14ac:dyDescent="0.3">
      <c r="D921" t="str">
        <f t="shared" si="65"/>
        <v/>
      </c>
    </row>
    <row r="922" spans="4:4" x14ac:dyDescent="0.3">
      <c r="D922" t="str">
        <f t="shared" si="65"/>
        <v/>
      </c>
    </row>
    <row r="923" spans="4:4" x14ac:dyDescent="0.3">
      <c r="D923" t="str">
        <f t="shared" si="65"/>
        <v/>
      </c>
    </row>
    <row r="924" spans="4:4" x14ac:dyDescent="0.3">
      <c r="D924" t="str">
        <f t="shared" si="65"/>
        <v/>
      </c>
    </row>
    <row r="925" spans="4:4" x14ac:dyDescent="0.3">
      <c r="D925" t="str">
        <f t="shared" si="65"/>
        <v/>
      </c>
    </row>
    <row r="926" spans="4:4" x14ac:dyDescent="0.3">
      <c r="D926" t="str">
        <f t="shared" si="65"/>
        <v/>
      </c>
    </row>
    <row r="927" spans="4:4" x14ac:dyDescent="0.3">
      <c r="D927" t="str">
        <f t="shared" si="65"/>
        <v/>
      </c>
    </row>
    <row r="928" spans="4:4" x14ac:dyDescent="0.3">
      <c r="D928" t="str">
        <f t="shared" si="65"/>
        <v/>
      </c>
    </row>
    <row r="929" spans="4:4" x14ac:dyDescent="0.3">
      <c r="D929" t="str">
        <f t="shared" si="65"/>
        <v/>
      </c>
    </row>
    <row r="930" spans="4:4" x14ac:dyDescent="0.3">
      <c r="D930" t="str">
        <f t="shared" si="65"/>
        <v/>
      </c>
    </row>
    <row r="931" spans="4:4" x14ac:dyDescent="0.3">
      <c r="D931" t="str">
        <f t="shared" si="65"/>
        <v/>
      </c>
    </row>
    <row r="932" spans="4:4" x14ac:dyDescent="0.3">
      <c r="D932" t="str">
        <f t="shared" si="65"/>
        <v/>
      </c>
    </row>
    <row r="933" spans="4:4" x14ac:dyDescent="0.3">
      <c r="D933" t="str">
        <f t="shared" si="65"/>
        <v/>
      </c>
    </row>
    <row r="934" spans="4:4" x14ac:dyDescent="0.3">
      <c r="D934" t="str">
        <f t="shared" si="65"/>
        <v/>
      </c>
    </row>
    <row r="935" spans="4:4" x14ac:dyDescent="0.3">
      <c r="D935" t="str">
        <f t="shared" si="65"/>
        <v/>
      </c>
    </row>
    <row r="936" spans="4:4" x14ac:dyDescent="0.3">
      <c r="D936" t="str">
        <f t="shared" si="65"/>
        <v/>
      </c>
    </row>
    <row r="937" spans="4:4" x14ac:dyDescent="0.3">
      <c r="D937" t="str">
        <f t="shared" si="65"/>
        <v/>
      </c>
    </row>
    <row r="938" spans="4:4" x14ac:dyDescent="0.3">
      <c r="D938" t="str">
        <f t="shared" si="65"/>
        <v/>
      </c>
    </row>
    <row r="939" spans="4:4" x14ac:dyDescent="0.3">
      <c r="D939" t="str">
        <f t="shared" si="65"/>
        <v/>
      </c>
    </row>
    <row r="940" spans="4:4" x14ac:dyDescent="0.3">
      <c r="D940" t="str">
        <f t="shared" si="65"/>
        <v/>
      </c>
    </row>
    <row r="941" spans="4:4" x14ac:dyDescent="0.3">
      <c r="D941" t="str">
        <f t="shared" si="65"/>
        <v/>
      </c>
    </row>
    <row r="942" spans="4:4" x14ac:dyDescent="0.3">
      <c r="D942" t="str">
        <f t="shared" si="65"/>
        <v/>
      </c>
    </row>
    <row r="943" spans="4:4" x14ac:dyDescent="0.3">
      <c r="D943" t="str">
        <f t="shared" si="65"/>
        <v/>
      </c>
    </row>
    <row r="944" spans="4:4" x14ac:dyDescent="0.3">
      <c r="D944" t="str">
        <f t="shared" si="65"/>
        <v/>
      </c>
    </row>
    <row r="945" spans="4:4" x14ac:dyDescent="0.3">
      <c r="D945" t="str">
        <f t="shared" si="65"/>
        <v/>
      </c>
    </row>
    <row r="946" spans="4:4" x14ac:dyDescent="0.3">
      <c r="D946" t="str">
        <f t="shared" si="65"/>
        <v/>
      </c>
    </row>
    <row r="947" spans="4:4" x14ac:dyDescent="0.3">
      <c r="D947" t="str">
        <f t="shared" si="65"/>
        <v/>
      </c>
    </row>
    <row r="948" spans="4:4" x14ac:dyDescent="0.3">
      <c r="D948" t="str">
        <f t="shared" si="65"/>
        <v/>
      </c>
    </row>
    <row r="949" spans="4:4" x14ac:dyDescent="0.3">
      <c r="D949" t="str">
        <f t="shared" si="65"/>
        <v/>
      </c>
    </row>
    <row r="950" spans="4:4" x14ac:dyDescent="0.3">
      <c r="D950" t="str">
        <f t="shared" si="65"/>
        <v/>
      </c>
    </row>
    <row r="951" spans="4:4" x14ac:dyDescent="0.3">
      <c r="D951" t="str">
        <f t="shared" si="65"/>
        <v/>
      </c>
    </row>
    <row r="952" spans="4:4" x14ac:dyDescent="0.3">
      <c r="D952" t="str">
        <f t="shared" si="65"/>
        <v/>
      </c>
    </row>
    <row r="953" spans="4:4" x14ac:dyDescent="0.3">
      <c r="D953" t="str">
        <f t="shared" si="65"/>
        <v/>
      </c>
    </row>
    <row r="954" spans="4:4" x14ac:dyDescent="0.3">
      <c r="D954" t="str">
        <f t="shared" si="65"/>
        <v/>
      </c>
    </row>
    <row r="955" spans="4:4" x14ac:dyDescent="0.3">
      <c r="D955" t="str">
        <f t="shared" si="65"/>
        <v/>
      </c>
    </row>
    <row r="956" spans="4:4" x14ac:dyDescent="0.3">
      <c r="D956" t="str">
        <f t="shared" si="65"/>
        <v/>
      </c>
    </row>
    <row r="957" spans="4:4" x14ac:dyDescent="0.3">
      <c r="D957" t="str">
        <f t="shared" si="65"/>
        <v/>
      </c>
    </row>
    <row r="958" spans="4:4" x14ac:dyDescent="0.3">
      <c r="D958" t="str">
        <f t="shared" si="65"/>
        <v/>
      </c>
    </row>
    <row r="959" spans="4:4" x14ac:dyDescent="0.3">
      <c r="D959" t="str">
        <f t="shared" si="65"/>
        <v/>
      </c>
    </row>
    <row r="960" spans="4:4" x14ac:dyDescent="0.3">
      <c r="D960" t="str">
        <f t="shared" si="65"/>
        <v/>
      </c>
    </row>
    <row r="961" spans="4:4" x14ac:dyDescent="0.3">
      <c r="D961" t="str">
        <f t="shared" si="65"/>
        <v/>
      </c>
    </row>
    <row r="962" spans="4:4" x14ac:dyDescent="0.3">
      <c r="D962" t="str">
        <f t="shared" si="65"/>
        <v/>
      </c>
    </row>
    <row r="963" spans="4:4" x14ac:dyDescent="0.3">
      <c r="D963" t="str">
        <f t="shared" si="65"/>
        <v/>
      </c>
    </row>
    <row r="964" spans="4:4" x14ac:dyDescent="0.3">
      <c r="D964" t="str">
        <f t="shared" si="65"/>
        <v/>
      </c>
    </row>
    <row r="965" spans="4:4" x14ac:dyDescent="0.3">
      <c r="D965" t="str">
        <f t="shared" si="65"/>
        <v/>
      </c>
    </row>
    <row r="966" spans="4:4" x14ac:dyDescent="0.3">
      <c r="D966" t="str">
        <f t="shared" si="65"/>
        <v/>
      </c>
    </row>
    <row r="967" spans="4:4" x14ac:dyDescent="0.3">
      <c r="D967" t="str">
        <f t="shared" si="65"/>
        <v/>
      </c>
    </row>
    <row r="968" spans="4:4" x14ac:dyDescent="0.3">
      <c r="D968" t="str">
        <f t="shared" si="65"/>
        <v/>
      </c>
    </row>
    <row r="969" spans="4:4" x14ac:dyDescent="0.3">
      <c r="D969" t="str">
        <f t="shared" ref="D969:D1032" si="66">IF(LEFT(A969,2)="SP",MID(A969,4,4),IF(LEFT(A969,1)="X",MID(A969,3,4),""))</f>
        <v/>
      </c>
    </row>
    <row r="970" spans="4:4" x14ac:dyDescent="0.3">
      <c r="D970" t="str">
        <f t="shared" si="66"/>
        <v/>
      </c>
    </row>
    <row r="971" spans="4:4" x14ac:dyDescent="0.3">
      <c r="D971" t="str">
        <f t="shared" si="66"/>
        <v/>
      </c>
    </row>
    <row r="972" spans="4:4" x14ac:dyDescent="0.3">
      <c r="D972" t="str">
        <f t="shared" si="66"/>
        <v/>
      </c>
    </row>
    <row r="973" spans="4:4" x14ac:dyDescent="0.3">
      <c r="D973" t="str">
        <f t="shared" si="66"/>
        <v/>
      </c>
    </row>
    <row r="974" spans="4:4" x14ac:dyDescent="0.3">
      <c r="D974" t="str">
        <f t="shared" si="66"/>
        <v/>
      </c>
    </row>
    <row r="975" spans="4:4" x14ac:dyDescent="0.3">
      <c r="D975" t="str">
        <f t="shared" si="66"/>
        <v/>
      </c>
    </row>
    <row r="976" spans="4:4" x14ac:dyDescent="0.3">
      <c r="D976" t="str">
        <f t="shared" si="66"/>
        <v/>
      </c>
    </row>
    <row r="977" spans="4:4" x14ac:dyDescent="0.3">
      <c r="D977" t="str">
        <f t="shared" si="66"/>
        <v/>
      </c>
    </row>
    <row r="978" spans="4:4" x14ac:dyDescent="0.3">
      <c r="D978" t="str">
        <f t="shared" si="66"/>
        <v/>
      </c>
    </row>
    <row r="979" spans="4:4" x14ac:dyDescent="0.3">
      <c r="D979" t="str">
        <f t="shared" si="66"/>
        <v/>
      </c>
    </row>
    <row r="980" spans="4:4" x14ac:dyDescent="0.3">
      <c r="D980" t="str">
        <f t="shared" si="66"/>
        <v/>
      </c>
    </row>
    <row r="981" spans="4:4" x14ac:dyDescent="0.3">
      <c r="D981" t="str">
        <f t="shared" si="66"/>
        <v/>
      </c>
    </row>
    <row r="982" spans="4:4" x14ac:dyDescent="0.3">
      <c r="D982" t="str">
        <f t="shared" si="66"/>
        <v/>
      </c>
    </row>
    <row r="983" spans="4:4" x14ac:dyDescent="0.3">
      <c r="D983" t="str">
        <f t="shared" si="66"/>
        <v/>
      </c>
    </row>
    <row r="984" spans="4:4" x14ac:dyDescent="0.3">
      <c r="D984" t="str">
        <f t="shared" si="66"/>
        <v/>
      </c>
    </row>
    <row r="985" spans="4:4" x14ac:dyDescent="0.3">
      <c r="D985" t="str">
        <f t="shared" si="66"/>
        <v/>
      </c>
    </row>
    <row r="986" spans="4:4" x14ac:dyDescent="0.3">
      <c r="D986" t="str">
        <f t="shared" si="66"/>
        <v/>
      </c>
    </row>
    <row r="987" spans="4:4" x14ac:dyDescent="0.3">
      <c r="D987" t="str">
        <f t="shared" si="66"/>
        <v/>
      </c>
    </row>
    <row r="988" spans="4:4" x14ac:dyDescent="0.3">
      <c r="D988" t="str">
        <f t="shared" si="66"/>
        <v/>
      </c>
    </row>
    <row r="989" spans="4:4" x14ac:dyDescent="0.3">
      <c r="D989" t="str">
        <f t="shared" si="66"/>
        <v/>
      </c>
    </row>
    <row r="990" spans="4:4" x14ac:dyDescent="0.3">
      <c r="D990" t="str">
        <f t="shared" si="66"/>
        <v/>
      </c>
    </row>
    <row r="991" spans="4:4" x14ac:dyDescent="0.3">
      <c r="D991" t="str">
        <f t="shared" si="66"/>
        <v/>
      </c>
    </row>
    <row r="992" spans="4:4" x14ac:dyDescent="0.3">
      <c r="D992" t="str">
        <f t="shared" si="66"/>
        <v/>
      </c>
    </row>
    <row r="993" spans="4:4" x14ac:dyDescent="0.3">
      <c r="D993" t="str">
        <f t="shared" si="66"/>
        <v/>
      </c>
    </row>
    <row r="994" spans="4:4" x14ac:dyDescent="0.3">
      <c r="D994" t="str">
        <f t="shared" si="66"/>
        <v/>
      </c>
    </row>
    <row r="995" spans="4:4" x14ac:dyDescent="0.3">
      <c r="D995" t="str">
        <f t="shared" si="66"/>
        <v/>
      </c>
    </row>
    <row r="996" spans="4:4" x14ac:dyDescent="0.3">
      <c r="D996" t="str">
        <f t="shared" si="66"/>
        <v/>
      </c>
    </row>
    <row r="997" spans="4:4" x14ac:dyDescent="0.3">
      <c r="D997" t="str">
        <f t="shared" si="66"/>
        <v/>
      </c>
    </row>
    <row r="998" spans="4:4" x14ac:dyDescent="0.3">
      <c r="D998" t="str">
        <f t="shared" si="66"/>
        <v/>
      </c>
    </row>
    <row r="999" spans="4:4" x14ac:dyDescent="0.3">
      <c r="D999" t="str">
        <f t="shared" si="66"/>
        <v/>
      </c>
    </row>
    <row r="1000" spans="4:4" x14ac:dyDescent="0.3">
      <c r="D1000" t="str">
        <f t="shared" si="66"/>
        <v/>
      </c>
    </row>
    <row r="1001" spans="4:4" x14ac:dyDescent="0.3">
      <c r="D1001" t="str">
        <f t="shared" si="66"/>
        <v/>
      </c>
    </row>
    <row r="1002" spans="4:4" x14ac:dyDescent="0.3">
      <c r="D1002" t="str">
        <f t="shared" si="66"/>
        <v/>
      </c>
    </row>
    <row r="1003" spans="4:4" x14ac:dyDescent="0.3">
      <c r="D1003" t="str">
        <f t="shared" si="66"/>
        <v/>
      </c>
    </row>
    <row r="1004" spans="4:4" x14ac:dyDescent="0.3">
      <c r="D1004" t="str">
        <f t="shared" si="66"/>
        <v/>
      </c>
    </row>
    <row r="1005" spans="4:4" x14ac:dyDescent="0.3">
      <c r="D1005" t="str">
        <f t="shared" si="66"/>
        <v/>
      </c>
    </row>
    <row r="1006" spans="4:4" x14ac:dyDescent="0.3">
      <c r="D1006" t="str">
        <f t="shared" si="66"/>
        <v/>
      </c>
    </row>
    <row r="1007" spans="4:4" x14ac:dyDescent="0.3">
      <c r="D1007" t="str">
        <f t="shared" si="66"/>
        <v/>
      </c>
    </row>
    <row r="1008" spans="4:4" x14ac:dyDescent="0.3">
      <c r="D1008" t="str">
        <f t="shared" si="66"/>
        <v/>
      </c>
    </row>
    <row r="1009" spans="4:4" x14ac:dyDescent="0.3">
      <c r="D1009" t="str">
        <f t="shared" si="66"/>
        <v/>
      </c>
    </row>
    <row r="1010" spans="4:4" x14ac:dyDescent="0.3">
      <c r="D1010" t="str">
        <f t="shared" si="66"/>
        <v/>
      </c>
    </row>
    <row r="1011" spans="4:4" x14ac:dyDescent="0.3">
      <c r="D1011" t="str">
        <f t="shared" si="66"/>
        <v/>
      </c>
    </row>
    <row r="1012" spans="4:4" x14ac:dyDescent="0.3">
      <c r="D1012" t="str">
        <f t="shared" si="66"/>
        <v/>
      </c>
    </row>
    <row r="1013" spans="4:4" x14ac:dyDescent="0.3">
      <c r="D1013" t="str">
        <f t="shared" si="66"/>
        <v/>
      </c>
    </row>
    <row r="1014" spans="4:4" x14ac:dyDescent="0.3">
      <c r="D1014" t="str">
        <f t="shared" si="66"/>
        <v/>
      </c>
    </row>
    <row r="1015" spans="4:4" x14ac:dyDescent="0.3">
      <c r="D1015" t="str">
        <f t="shared" si="66"/>
        <v/>
      </c>
    </row>
    <row r="1016" spans="4:4" x14ac:dyDescent="0.3">
      <c r="D1016" t="str">
        <f t="shared" si="66"/>
        <v/>
      </c>
    </row>
    <row r="1017" spans="4:4" x14ac:dyDescent="0.3">
      <c r="D1017" t="str">
        <f t="shared" si="66"/>
        <v/>
      </c>
    </row>
    <row r="1018" spans="4:4" x14ac:dyDescent="0.3">
      <c r="D1018" t="str">
        <f t="shared" si="66"/>
        <v/>
      </c>
    </row>
    <row r="1019" spans="4:4" x14ac:dyDescent="0.3">
      <c r="D1019" t="str">
        <f t="shared" si="66"/>
        <v/>
      </c>
    </row>
    <row r="1020" spans="4:4" x14ac:dyDescent="0.3">
      <c r="D1020" t="str">
        <f t="shared" si="66"/>
        <v/>
      </c>
    </row>
    <row r="1021" spans="4:4" x14ac:dyDescent="0.3">
      <c r="D1021" t="str">
        <f t="shared" si="66"/>
        <v/>
      </c>
    </row>
    <row r="1022" spans="4:4" x14ac:dyDescent="0.3">
      <c r="D1022" t="str">
        <f t="shared" si="66"/>
        <v/>
      </c>
    </row>
    <row r="1023" spans="4:4" x14ac:dyDescent="0.3">
      <c r="D1023" t="str">
        <f t="shared" si="66"/>
        <v/>
      </c>
    </row>
    <row r="1024" spans="4:4" x14ac:dyDescent="0.3">
      <c r="D1024" t="str">
        <f t="shared" si="66"/>
        <v/>
      </c>
    </row>
    <row r="1025" spans="4:4" x14ac:dyDescent="0.3">
      <c r="D1025" t="str">
        <f t="shared" si="66"/>
        <v/>
      </c>
    </row>
    <row r="1026" spans="4:4" x14ac:dyDescent="0.3">
      <c r="D1026" t="str">
        <f t="shared" si="66"/>
        <v/>
      </c>
    </row>
    <row r="1027" spans="4:4" x14ac:dyDescent="0.3">
      <c r="D1027" t="str">
        <f t="shared" si="66"/>
        <v/>
      </c>
    </row>
    <row r="1028" spans="4:4" x14ac:dyDescent="0.3">
      <c r="D1028" t="str">
        <f t="shared" si="66"/>
        <v/>
      </c>
    </row>
    <row r="1029" spans="4:4" x14ac:dyDescent="0.3">
      <c r="D1029" t="str">
        <f t="shared" si="66"/>
        <v/>
      </c>
    </row>
    <row r="1030" spans="4:4" x14ac:dyDescent="0.3">
      <c r="D1030" t="str">
        <f t="shared" si="66"/>
        <v/>
      </c>
    </row>
    <row r="1031" spans="4:4" x14ac:dyDescent="0.3">
      <c r="D1031" t="str">
        <f t="shared" si="66"/>
        <v/>
      </c>
    </row>
    <row r="1032" spans="4:4" x14ac:dyDescent="0.3">
      <c r="D1032" t="str">
        <f t="shared" si="66"/>
        <v/>
      </c>
    </row>
    <row r="1033" spans="4:4" x14ac:dyDescent="0.3">
      <c r="D1033" t="str">
        <f t="shared" ref="D1033:D1096" si="67">IF(LEFT(A1033,2)="SP",MID(A1033,4,4),IF(LEFT(A1033,1)="X",MID(A1033,3,4),""))</f>
        <v/>
      </c>
    </row>
    <row r="1034" spans="4:4" x14ac:dyDescent="0.3">
      <c r="D1034" t="str">
        <f t="shared" si="67"/>
        <v/>
      </c>
    </row>
    <row r="1035" spans="4:4" x14ac:dyDescent="0.3">
      <c r="D1035" t="str">
        <f t="shared" si="67"/>
        <v/>
      </c>
    </row>
    <row r="1036" spans="4:4" x14ac:dyDescent="0.3">
      <c r="D1036" t="str">
        <f t="shared" si="67"/>
        <v/>
      </c>
    </row>
    <row r="1037" spans="4:4" x14ac:dyDescent="0.3">
      <c r="D1037" t="str">
        <f t="shared" si="67"/>
        <v/>
      </c>
    </row>
    <row r="1038" spans="4:4" x14ac:dyDescent="0.3">
      <c r="D1038" t="str">
        <f t="shared" si="67"/>
        <v/>
      </c>
    </row>
    <row r="1039" spans="4:4" x14ac:dyDescent="0.3">
      <c r="D1039" t="str">
        <f t="shared" si="67"/>
        <v/>
      </c>
    </row>
    <row r="1040" spans="4:4" x14ac:dyDescent="0.3">
      <c r="D1040" t="str">
        <f t="shared" si="67"/>
        <v/>
      </c>
    </row>
    <row r="1041" spans="4:4" x14ac:dyDescent="0.3">
      <c r="D1041" t="str">
        <f t="shared" si="67"/>
        <v/>
      </c>
    </row>
    <row r="1042" spans="4:4" x14ac:dyDescent="0.3">
      <c r="D1042" t="str">
        <f t="shared" si="67"/>
        <v/>
      </c>
    </row>
    <row r="1043" spans="4:4" x14ac:dyDescent="0.3">
      <c r="D1043" t="str">
        <f t="shared" si="67"/>
        <v/>
      </c>
    </row>
    <row r="1044" spans="4:4" x14ac:dyDescent="0.3">
      <c r="D1044" t="str">
        <f t="shared" si="67"/>
        <v/>
      </c>
    </row>
    <row r="1045" spans="4:4" x14ac:dyDescent="0.3">
      <c r="D1045" t="str">
        <f t="shared" si="67"/>
        <v/>
      </c>
    </row>
    <row r="1046" spans="4:4" x14ac:dyDescent="0.3">
      <c r="D1046" t="str">
        <f t="shared" si="67"/>
        <v/>
      </c>
    </row>
    <row r="1047" spans="4:4" x14ac:dyDescent="0.3">
      <c r="D1047" t="str">
        <f t="shared" si="67"/>
        <v/>
      </c>
    </row>
    <row r="1048" spans="4:4" x14ac:dyDescent="0.3">
      <c r="D1048" t="str">
        <f t="shared" si="67"/>
        <v/>
      </c>
    </row>
    <row r="1049" spans="4:4" x14ac:dyDescent="0.3">
      <c r="D1049" t="str">
        <f t="shared" si="67"/>
        <v/>
      </c>
    </row>
    <row r="1050" spans="4:4" x14ac:dyDescent="0.3">
      <c r="D1050" t="str">
        <f t="shared" si="67"/>
        <v/>
      </c>
    </row>
    <row r="1051" spans="4:4" x14ac:dyDescent="0.3">
      <c r="D1051" t="str">
        <f t="shared" si="67"/>
        <v/>
      </c>
    </row>
    <row r="1052" spans="4:4" x14ac:dyDescent="0.3">
      <c r="D1052" t="str">
        <f t="shared" si="67"/>
        <v/>
      </c>
    </row>
    <row r="1053" spans="4:4" x14ac:dyDescent="0.3">
      <c r="D1053" t="str">
        <f t="shared" si="67"/>
        <v/>
      </c>
    </row>
    <row r="1054" spans="4:4" x14ac:dyDescent="0.3">
      <c r="D1054" t="str">
        <f t="shared" si="67"/>
        <v/>
      </c>
    </row>
    <row r="1055" spans="4:4" x14ac:dyDescent="0.3">
      <c r="D1055" t="str">
        <f t="shared" si="67"/>
        <v/>
      </c>
    </row>
    <row r="1056" spans="4:4" x14ac:dyDescent="0.3">
      <c r="D1056" t="str">
        <f t="shared" si="67"/>
        <v/>
      </c>
    </row>
    <row r="1057" spans="4:4" x14ac:dyDescent="0.3">
      <c r="D1057" t="str">
        <f t="shared" si="67"/>
        <v/>
      </c>
    </row>
    <row r="1058" spans="4:4" x14ac:dyDescent="0.3">
      <c r="D1058" t="str">
        <f t="shared" si="67"/>
        <v/>
      </c>
    </row>
    <row r="1059" spans="4:4" x14ac:dyDescent="0.3">
      <c r="D1059" t="str">
        <f t="shared" si="67"/>
        <v/>
      </c>
    </row>
    <row r="1060" spans="4:4" x14ac:dyDescent="0.3">
      <c r="D1060" t="str">
        <f t="shared" si="67"/>
        <v/>
      </c>
    </row>
    <row r="1061" spans="4:4" x14ac:dyDescent="0.3">
      <c r="D1061" t="str">
        <f t="shared" si="67"/>
        <v/>
      </c>
    </row>
    <row r="1062" spans="4:4" x14ac:dyDescent="0.3">
      <c r="D1062" t="str">
        <f t="shared" si="67"/>
        <v/>
      </c>
    </row>
    <row r="1063" spans="4:4" x14ac:dyDescent="0.3">
      <c r="D1063" t="str">
        <f t="shared" si="67"/>
        <v/>
      </c>
    </row>
    <row r="1064" spans="4:4" x14ac:dyDescent="0.3">
      <c r="D1064" t="str">
        <f t="shared" si="67"/>
        <v/>
      </c>
    </row>
    <row r="1065" spans="4:4" x14ac:dyDescent="0.3">
      <c r="D1065" t="str">
        <f t="shared" si="67"/>
        <v/>
      </c>
    </row>
    <row r="1066" spans="4:4" x14ac:dyDescent="0.3">
      <c r="D1066" t="str">
        <f t="shared" si="67"/>
        <v/>
      </c>
    </row>
    <row r="1067" spans="4:4" x14ac:dyDescent="0.3">
      <c r="D1067" t="str">
        <f t="shared" si="67"/>
        <v/>
      </c>
    </row>
    <row r="1068" spans="4:4" x14ac:dyDescent="0.3">
      <c r="D1068" t="str">
        <f t="shared" si="67"/>
        <v/>
      </c>
    </row>
    <row r="1069" spans="4:4" x14ac:dyDescent="0.3">
      <c r="D1069" t="str">
        <f t="shared" si="67"/>
        <v/>
      </c>
    </row>
    <row r="1070" spans="4:4" x14ac:dyDescent="0.3">
      <c r="D1070" t="str">
        <f t="shared" si="67"/>
        <v/>
      </c>
    </row>
    <row r="1071" spans="4:4" x14ac:dyDescent="0.3">
      <c r="D1071" t="str">
        <f t="shared" si="67"/>
        <v/>
      </c>
    </row>
    <row r="1072" spans="4:4" x14ac:dyDescent="0.3">
      <c r="D1072" t="str">
        <f t="shared" si="67"/>
        <v/>
      </c>
    </row>
    <row r="1073" spans="4:4" x14ac:dyDescent="0.3">
      <c r="D1073" t="str">
        <f t="shared" si="67"/>
        <v/>
      </c>
    </row>
    <row r="1074" spans="4:4" x14ac:dyDescent="0.3">
      <c r="D1074" t="str">
        <f t="shared" si="67"/>
        <v/>
      </c>
    </row>
    <row r="1075" spans="4:4" x14ac:dyDescent="0.3">
      <c r="D1075" t="str">
        <f t="shared" si="67"/>
        <v/>
      </c>
    </row>
    <row r="1076" spans="4:4" x14ac:dyDescent="0.3">
      <c r="D1076" t="str">
        <f t="shared" si="67"/>
        <v/>
      </c>
    </row>
    <row r="1077" spans="4:4" x14ac:dyDescent="0.3">
      <c r="D1077" t="str">
        <f t="shared" si="67"/>
        <v/>
      </c>
    </row>
    <row r="1078" spans="4:4" x14ac:dyDescent="0.3">
      <c r="D1078" t="str">
        <f t="shared" si="67"/>
        <v/>
      </c>
    </row>
    <row r="1079" spans="4:4" x14ac:dyDescent="0.3">
      <c r="D1079" t="str">
        <f t="shared" si="67"/>
        <v/>
      </c>
    </row>
    <row r="1080" spans="4:4" x14ac:dyDescent="0.3">
      <c r="D1080" t="str">
        <f t="shared" si="67"/>
        <v/>
      </c>
    </row>
    <row r="1081" spans="4:4" x14ac:dyDescent="0.3">
      <c r="D1081" t="str">
        <f t="shared" si="67"/>
        <v/>
      </c>
    </row>
    <row r="1082" spans="4:4" x14ac:dyDescent="0.3">
      <c r="D1082" t="str">
        <f t="shared" si="67"/>
        <v/>
      </c>
    </row>
    <row r="1083" spans="4:4" x14ac:dyDescent="0.3">
      <c r="D1083" t="str">
        <f t="shared" si="67"/>
        <v/>
      </c>
    </row>
    <row r="1084" spans="4:4" x14ac:dyDescent="0.3">
      <c r="D1084" t="str">
        <f t="shared" si="67"/>
        <v/>
      </c>
    </row>
    <row r="1085" spans="4:4" x14ac:dyDescent="0.3">
      <c r="D1085" t="str">
        <f t="shared" si="67"/>
        <v/>
      </c>
    </row>
    <row r="1086" spans="4:4" x14ac:dyDescent="0.3">
      <c r="D1086" t="str">
        <f t="shared" si="67"/>
        <v/>
      </c>
    </row>
    <row r="1087" spans="4:4" x14ac:dyDescent="0.3">
      <c r="D1087" t="str">
        <f t="shared" si="67"/>
        <v/>
      </c>
    </row>
    <row r="1088" spans="4:4" x14ac:dyDescent="0.3">
      <c r="D1088" t="str">
        <f t="shared" si="67"/>
        <v/>
      </c>
    </row>
    <row r="1089" spans="4:4" x14ac:dyDescent="0.3">
      <c r="D1089" t="str">
        <f t="shared" si="67"/>
        <v/>
      </c>
    </row>
    <row r="1090" spans="4:4" x14ac:dyDescent="0.3">
      <c r="D1090" t="str">
        <f t="shared" si="67"/>
        <v/>
      </c>
    </row>
    <row r="1091" spans="4:4" x14ac:dyDescent="0.3">
      <c r="D1091" t="str">
        <f t="shared" si="67"/>
        <v/>
      </c>
    </row>
    <row r="1092" spans="4:4" x14ac:dyDescent="0.3">
      <c r="D1092" t="str">
        <f t="shared" si="67"/>
        <v/>
      </c>
    </row>
    <row r="1093" spans="4:4" x14ac:dyDescent="0.3">
      <c r="D1093" t="str">
        <f t="shared" si="67"/>
        <v/>
      </c>
    </row>
    <row r="1094" spans="4:4" x14ac:dyDescent="0.3">
      <c r="D1094" t="str">
        <f t="shared" si="67"/>
        <v/>
      </c>
    </row>
    <row r="1095" spans="4:4" x14ac:dyDescent="0.3">
      <c r="D1095" t="str">
        <f t="shared" si="67"/>
        <v/>
      </c>
    </row>
    <row r="1096" spans="4:4" x14ac:dyDescent="0.3">
      <c r="D1096" t="str">
        <f t="shared" si="67"/>
        <v/>
      </c>
    </row>
    <row r="1097" spans="4:4" x14ac:dyDescent="0.3">
      <c r="D1097" t="str">
        <f t="shared" ref="D1097:D1160" si="68">IF(LEFT(A1097,2)="SP",MID(A1097,4,4),IF(LEFT(A1097,1)="X",MID(A1097,3,4),""))</f>
        <v/>
      </c>
    </row>
    <row r="1098" spans="4:4" x14ac:dyDescent="0.3">
      <c r="D1098" t="str">
        <f t="shared" si="68"/>
        <v/>
      </c>
    </row>
    <row r="1099" spans="4:4" x14ac:dyDescent="0.3">
      <c r="D1099" t="str">
        <f t="shared" si="68"/>
        <v/>
      </c>
    </row>
    <row r="1100" spans="4:4" x14ac:dyDescent="0.3">
      <c r="D1100" t="str">
        <f t="shared" si="68"/>
        <v/>
      </c>
    </row>
    <row r="1101" spans="4:4" x14ac:dyDescent="0.3">
      <c r="D1101" t="str">
        <f t="shared" si="68"/>
        <v/>
      </c>
    </row>
    <row r="1102" spans="4:4" x14ac:dyDescent="0.3">
      <c r="D1102" t="str">
        <f t="shared" si="68"/>
        <v/>
      </c>
    </row>
    <row r="1103" spans="4:4" x14ac:dyDescent="0.3">
      <c r="D1103" t="str">
        <f t="shared" si="68"/>
        <v/>
      </c>
    </row>
    <row r="1104" spans="4:4" x14ac:dyDescent="0.3">
      <c r="D1104" t="str">
        <f t="shared" si="68"/>
        <v/>
      </c>
    </row>
    <row r="1105" spans="4:4" x14ac:dyDescent="0.3">
      <c r="D1105" t="str">
        <f t="shared" si="68"/>
        <v/>
      </c>
    </row>
    <row r="1106" spans="4:4" x14ac:dyDescent="0.3">
      <c r="D1106" t="str">
        <f t="shared" si="68"/>
        <v/>
      </c>
    </row>
    <row r="1107" spans="4:4" x14ac:dyDescent="0.3">
      <c r="D1107" t="str">
        <f t="shared" si="68"/>
        <v/>
      </c>
    </row>
    <row r="1108" spans="4:4" x14ac:dyDescent="0.3">
      <c r="D1108" t="str">
        <f t="shared" si="68"/>
        <v/>
      </c>
    </row>
    <row r="1109" spans="4:4" x14ac:dyDescent="0.3">
      <c r="D1109" t="str">
        <f t="shared" si="68"/>
        <v/>
      </c>
    </row>
    <row r="1110" spans="4:4" x14ac:dyDescent="0.3">
      <c r="D1110" t="str">
        <f t="shared" si="68"/>
        <v/>
      </c>
    </row>
    <row r="1111" spans="4:4" x14ac:dyDescent="0.3">
      <c r="D1111" t="str">
        <f t="shared" si="68"/>
        <v/>
      </c>
    </row>
    <row r="1112" spans="4:4" x14ac:dyDescent="0.3">
      <c r="D1112" t="str">
        <f t="shared" si="68"/>
        <v/>
      </c>
    </row>
    <row r="1113" spans="4:4" x14ac:dyDescent="0.3">
      <c r="D1113" t="str">
        <f t="shared" si="68"/>
        <v/>
      </c>
    </row>
    <row r="1114" spans="4:4" x14ac:dyDescent="0.3">
      <c r="D1114" t="str">
        <f t="shared" si="68"/>
        <v/>
      </c>
    </row>
    <row r="1115" spans="4:4" x14ac:dyDescent="0.3">
      <c r="D1115" t="str">
        <f t="shared" si="68"/>
        <v/>
      </c>
    </row>
    <row r="1116" spans="4:4" x14ac:dyDescent="0.3">
      <c r="D1116" t="str">
        <f t="shared" si="68"/>
        <v/>
      </c>
    </row>
    <row r="1117" spans="4:4" x14ac:dyDescent="0.3">
      <c r="D1117" t="str">
        <f t="shared" si="68"/>
        <v/>
      </c>
    </row>
    <row r="1118" spans="4:4" x14ac:dyDescent="0.3">
      <c r="D1118" t="str">
        <f t="shared" si="68"/>
        <v/>
      </c>
    </row>
    <row r="1119" spans="4:4" x14ac:dyDescent="0.3">
      <c r="D1119" t="str">
        <f t="shared" si="68"/>
        <v/>
      </c>
    </row>
    <row r="1120" spans="4:4" x14ac:dyDescent="0.3">
      <c r="D1120" t="str">
        <f t="shared" si="68"/>
        <v/>
      </c>
    </row>
    <row r="1121" spans="4:4" x14ac:dyDescent="0.3">
      <c r="D1121" t="str">
        <f t="shared" si="68"/>
        <v/>
      </c>
    </row>
    <row r="1122" spans="4:4" x14ac:dyDescent="0.3">
      <c r="D1122" t="str">
        <f t="shared" si="68"/>
        <v/>
      </c>
    </row>
    <row r="1123" spans="4:4" x14ac:dyDescent="0.3">
      <c r="D1123" t="str">
        <f t="shared" si="68"/>
        <v/>
      </c>
    </row>
    <row r="1124" spans="4:4" x14ac:dyDescent="0.3">
      <c r="D1124" t="str">
        <f t="shared" si="68"/>
        <v/>
      </c>
    </row>
    <row r="1125" spans="4:4" x14ac:dyDescent="0.3">
      <c r="D1125" t="str">
        <f t="shared" si="68"/>
        <v/>
      </c>
    </row>
    <row r="1126" spans="4:4" x14ac:dyDescent="0.3">
      <c r="D1126" t="str">
        <f t="shared" si="68"/>
        <v/>
      </c>
    </row>
    <row r="1127" spans="4:4" x14ac:dyDescent="0.3">
      <c r="D1127" t="str">
        <f t="shared" si="68"/>
        <v/>
      </c>
    </row>
    <row r="1128" spans="4:4" x14ac:dyDescent="0.3">
      <c r="D1128" t="str">
        <f t="shared" si="68"/>
        <v/>
      </c>
    </row>
    <row r="1129" spans="4:4" x14ac:dyDescent="0.3">
      <c r="D1129" t="str">
        <f t="shared" si="68"/>
        <v/>
      </c>
    </row>
    <row r="1130" spans="4:4" x14ac:dyDescent="0.3">
      <c r="D1130" t="str">
        <f t="shared" si="68"/>
        <v/>
      </c>
    </row>
    <row r="1131" spans="4:4" x14ac:dyDescent="0.3">
      <c r="D1131" t="str">
        <f t="shared" si="68"/>
        <v/>
      </c>
    </row>
    <row r="1132" spans="4:4" x14ac:dyDescent="0.3">
      <c r="D1132" t="str">
        <f t="shared" si="68"/>
        <v/>
      </c>
    </row>
    <row r="1133" spans="4:4" x14ac:dyDescent="0.3">
      <c r="D1133" t="str">
        <f t="shared" si="68"/>
        <v/>
      </c>
    </row>
    <row r="1134" spans="4:4" x14ac:dyDescent="0.3">
      <c r="D1134" t="str">
        <f t="shared" si="68"/>
        <v/>
      </c>
    </row>
    <row r="1135" spans="4:4" x14ac:dyDescent="0.3">
      <c r="D1135" t="str">
        <f t="shared" si="68"/>
        <v/>
      </c>
    </row>
    <row r="1136" spans="4:4" x14ac:dyDescent="0.3">
      <c r="D1136" t="str">
        <f t="shared" si="68"/>
        <v/>
      </c>
    </row>
    <row r="1137" spans="4:4" x14ac:dyDescent="0.3">
      <c r="D1137" t="str">
        <f t="shared" si="68"/>
        <v/>
      </c>
    </row>
    <row r="1138" spans="4:4" x14ac:dyDescent="0.3">
      <c r="D1138" t="str">
        <f t="shared" si="68"/>
        <v/>
      </c>
    </row>
    <row r="1139" spans="4:4" x14ac:dyDescent="0.3">
      <c r="D1139" t="str">
        <f t="shared" si="68"/>
        <v/>
      </c>
    </row>
    <row r="1140" spans="4:4" x14ac:dyDescent="0.3">
      <c r="D1140" t="str">
        <f t="shared" si="68"/>
        <v/>
      </c>
    </row>
    <row r="1141" spans="4:4" x14ac:dyDescent="0.3">
      <c r="D1141" t="str">
        <f t="shared" si="68"/>
        <v/>
      </c>
    </row>
    <row r="1142" spans="4:4" x14ac:dyDescent="0.3">
      <c r="D1142" t="str">
        <f t="shared" si="68"/>
        <v/>
      </c>
    </row>
    <row r="1143" spans="4:4" x14ac:dyDescent="0.3">
      <c r="D1143" t="str">
        <f t="shared" si="68"/>
        <v/>
      </c>
    </row>
    <row r="1144" spans="4:4" x14ac:dyDescent="0.3">
      <c r="D1144" t="str">
        <f t="shared" si="68"/>
        <v/>
      </c>
    </row>
    <row r="1145" spans="4:4" x14ac:dyDescent="0.3">
      <c r="D1145" t="str">
        <f t="shared" si="68"/>
        <v/>
      </c>
    </row>
    <row r="1146" spans="4:4" x14ac:dyDescent="0.3">
      <c r="D1146" t="str">
        <f t="shared" si="68"/>
        <v/>
      </c>
    </row>
    <row r="1147" spans="4:4" x14ac:dyDescent="0.3">
      <c r="D1147" t="str">
        <f t="shared" si="68"/>
        <v/>
      </c>
    </row>
    <row r="1148" spans="4:4" x14ac:dyDescent="0.3">
      <c r="D1148" t="str">
        <f t="shared" si="68"/>
        <v/>
      </c>
    </row>
    <row r="1149" spans="4:4" x14ac:dyDescent="0.3">
      <c r="D1149" t="str">
        <f t="shared" si="68"/>
        <v/>
      </c>
    </row>
    <row r="1150" spans="4:4" x14ac:dyDescent="0.3">
      <c r="D1150" t="str">
        <f t="shared" si="68"/>
        <v/>
      </c>
    </row>
    <row r="1151" spans="4:4" x14ac:dyDescent="0.3">
      <c r="D1151" t="str">
        <f t="shared" si="68"/>
        <v/>
      </c>
    </row>
    <row r="1152" spans="4:4" x14ac:dyDescent="0.3">
      <c r="D1152" t="str">
        <f t="shared" si="68"/>
        <v/>
      </c>
    </row>
    <row r="1153" spans="4:4" x14ac:dyDescent="0.3">
      <c r="D1153" t="str">
        <f t="shared" si="68"/>
        <v/>
      </c>
    </row>
    <row r="1154" spans="4:4" x14ac:dyDescent="0.3">
      <c r="D1154" t="str">
        <f t="shared" si="68"/>
        <v/>
      </c>
    </row>
    <row r="1155" spans="4:4" x14ac:dyDescent="0.3">
      <c r="D1155" t="str">
        <f t="shared" si="68"/>
        <v/>
      </c>
    </row>
    <row r="1156" spans="4:4" x14ac:dyDescent="0.3">
      <c r="D1156" t="str">
        <f t="shared" si="68"/>
        <v/>
      </c>
    </row>
    <row r="1157" spans="4:4" x14ac:dyDescent="0.3">
      <c r="D1157" t="str">
        <f t="shared" si="68"/>
        <v/>
      </c>
    </row>
    <row r="1158" spans="4:4" x14ac:dyDescent="0.3">
      <c r="D1158" t="str">
        <f t="shared" si="68"/>
        <v/>
      </c>
    </row>
    <row r="1159" spans="4:4" x14ac:dyDescent="0.3">
      <c r="D1159" t="str">
        <f t="shared" si="68"/>
        <v/>
      </c>
    </row>
    <row r="1160" spans="4:4" x14ac:dyDescent="0.3">
      <c r="D1160" t="str">
        <f t="shared" si="68"/>
        <v/>
      </c>
    </row>
    <row r="1161" spans="4:4" x14ac:dyDescent="0.3">
      <c r="D1161" t="str">
        <f t="shared" ref="D1161:D1224" si="69">IF(LEFT(A1161,2)="SP",MID(A1161,4,4),IF(LEFT(A1161,1)="X",MID(A1161,3,4),""))</f>
        <v/>
      </c>
    </row>
    <row r="1162" spans="4:4" x14ac:dyDescent="0.3">
      <c r="D1162" t="str">
        <f t="shared" si="69"/>
        <v/>
      </c>
    </row>
    <row r="1163" spans="4:4" x14ac:dyDescent="0.3">
      <c r="D1163" t="str">
        <f t="shared" si="69"/>
        <v/>
      </c>
    </row>
    <row r="1164" spans="4:4" x14ac:dyDescent="0.3">
      <c r="D1164" t="str">
        <f t="shared" si="69"/>
        <v/>
      </c>
    </row>
    <row r="1165" spans="4:4" x14ac:dyDescent="0.3">
      <c r="D1165" t="str">
        <f t="shared" si="69"/>
        <v/>
      </c>
    </row>
    <row r="1166" spans="4:4" x14ac:dyDescent="0.3">
      <c r="D1166" t="str">
        <f t="shared" si="69"/>
        <v/>
      </c>
    </row>
    <row r="1167" spans="4:4" x14ac:dyDescent="0.3">
      <c r="D1167" t="str">
        <f t="shared" si="69"/>
        <v/>
      </c>
    </row>
    <row r="1168" spans="4:4" x14ac:dyDescent="0.3">
      <c r="D1168" t="str">
        <f t="shared" si="69"/>
        <v/>
      </c>
    </row>
    <row r="1169" spans="4:4" x14ac:dyDescent="0.3">
      <c r="D1169" t="str">
        <f t="shared" si="69"/>
        <v/>
      </c>
    </row>
    <row r="1170" spans="4:4" x14ac:dyDescent="0.3">
      <c r="D1170" t="str">
        <f t="shared" si="69"/>
        <v/>
      </c>
    </row>
    <row r="1171" spans="4:4" x14ac:dyDescent="0.3">
      <c r="D1171" t="str">
        <f t="shared" si="69"/>
        <v/>
      </c>
    </row>
    <row r="1172" spans="4:4" x14ac:dyDescent="0.3">
      <c r="D1172" t="str">
        <f t="shared" si="69"/>
        <v/>
      </c>
    </row>
    <row r="1173" spans="4:4" x14ac:dyDescent="0.3">
      <c r="D1173" t="str">
        <f t="shared" si="69"/>
        <v/>
      </c>
    </row>
    <row r="1174" spans="4:4" x14ac:dyDescent="0.3">
      <c r="D1174" t="str">
        <f t="shared" si="69"/>
        <v/>
      </c>
    </row>
    <row r="1175" spans="4:4" x14ac:dyDescent="0.3">
      <c r="D1175" t="str">
        <f t="shared" si="69"/>
        <v/>
      </c>
    </row>
    <row r="1176" spans="4:4" x14ac:dyDescent="0.3">
      <c r="D1176" t="str">
        <f t="shared" si="69"/>
        <v/>
      </c>
    </row>
    <row r="1177" spans="4:4" x14ac:dyDescent="0.3">
      <c r="D1177" t="str">
        <f t="shared" si="69"/>
        <v/>
      </c>
    </row>
    <row r="1178" spans="4:4" x14ac:dyDescent="0.3">
      <c r="D1178" t="str">
        <f t="shared" si="69"/>
        <v/>
      </c>
    </row>
    <row r="1179" spans="4:4" x14ac:dyDescent="0.3">
      <c r="D1179" t="str">
        <f t="shared" si="69"/>
        <v/>
      </c>
    </row>
    <row r="1180" spans="4:4" x14ac:dyDescent="0.3">
      <c r="D1180" t="str">
        <f t="shared" si="69"/>
        <v/>
      </c>
    </row>
    <row r="1181" spans="4:4" x14ac:dyDescent="0.3">
      <c r="D1181" t="str">
        <f t="shared" si="69"/>
        <v/>
      </c>
    </row>
    <row r="1182" spans="4:4" x14ac:dyDescent="0.3">
      <c r="D1182" t="str">
        <f t="shared" si="69"/>
        <v/>
      </c>
    </row>
    <row r="1183" spans="4:4" x14ac:dyDescent="0.3">
      <c r="D1183" t="str">
        <f t="shared" si="69"/>
        <v/>
      </c>
    </row>
    <row r="1184" spans="4:4" x14ac:dyDescent="0.3">
      <c r="D1184" t="str">
        <f t="shared" si="69"/>
        <v/>
      </c>
    </row>
    <row r="1185" spans="4:4" x14ac:dyDescent="0.3">
      <c r="D1185" t="str">
        <f t="shared" si="69"/>
        <v/>
      </c>
    </row>
    <row r="1186" spans="4:4" x14ac:dyDescent="0.3">
      <c r="D1186" t="str">
        <f t="shared" si="69"/>
        <v/>
      </c>
    </row>
    <row r="1187" spans="4:4" x14ac:dyDescent="0.3">
      <c r="D1187" t="str">
        <f t="shared" si="69"/>
        <v/>
      </c>
    </row>
    <row r="1188" spans="4:4" x14ac:dyDescent="0.3">
      <c r="D1188" t="str">
        <f t="shared" si="69"/>
        <v/>
      </c>
    </row>
    <row r="1189" spans="4:4" x14ac:dyDescent="0.3">
      <c r="D1189" t="str">
        <f t="shared" si="69"/>
        <v/>
      </c>
    </row>
    <row r="1190" spans="4:4" x14ac:dyDescent="0.3">
      <c r="D1190" t="str">
        <f t="shared" si="69"/>
        <v/>
      </c>
    </row>
    <row r="1191" spans="4:4" x14ac:dyDescent="0.3">
      <c r="D1191" t="str">
        <f t="shared" si="69"/>
        <v/>
      </c>
    </row>
    <row r="1192" spans="4:4" x14ac:dyDescent="0.3">
      <c r="D1192" t="str">
        <f t="shared" si="69"/>
        <v/>
      </c>
    </row>
    <row r="1193" spans="4:4" x14ac:dyDescent="0.3">
      <c r="D1193" t="str">
        <f t="shared" si="69"/>
        <v/>
      </c>
    </row>
    <row r="1194" spans="4:4" x14ac:dyDescent="0.3">
      <c r="D1194" t="str">
        <f t="shared" si="69"/>
        <v/>
      </c>
    </row>
    <row r="1195" spans="4:4" x14ac:dyDescent="0.3">
      <c r="D1195" t="str">
        <f t="shared" si="69"/>
        <v/>
      </c>
    </row>
    <row r="1196" spans="4:4" x14ac:dyDescent="0.3">
      <c r="D1196" t="str">
        <f t="shared" si="69"/>
        <v/>
      </c>
    </row>
    <row r="1197" spans="4:4" x14ac:dyDescent="0.3">
      <c r="D1197" t="str">
        <f t="shared" si="69"/>
        <v/>
      </c>
    </row>
    <row r="1198" spans="4:4" x14ac:dyDescent="0.3">
      <c r="D1198" t="str">
        <f t="shared" si="69"/>
        <v/>
      </c>
    </row>
    <row r="1199" spans="4:4" x14ac:dyDescent="0.3">
      <c r="D1199" t="str">
        <f t="shared" si="69"/>
        <v/>
      </c>
    </row>
    <row r="1200" spans="4:4" x14ac:dyDescent="0.3">
      <c r="D1200" t="str">
        <f t="shared" si="69"/>
        <v/>
      </c>
    </row>
    <row r="1201" spans="4:4" x14ac:dyDescent="0.3">
      <c r="D1201" t="str">
        <f t="shared" si="69"/>
        <v/>
      </c>
    </row>
    <row r="1202" spans="4:4" x14ac:dyDescent="0.3">
      <c r="D1202" t="str">
        <f t="shared" si="69"/>
        <v/>
      </c>
    </row>
    <row r="1203" spans="4:4" x14ac:dyDescent="0.3">
      <c r="D1203" t="str">
        <f t="shared" si="69"/>
        <v/>
      </c>
    </row>
    <row r="1204" spans="4:4" x14ac:dyDescent="0.3">
      <c r="D1204" t="str">
        <f t="shared" si="69"/>
        <v/>
      </c>
    </row>
    <row r="1205" spans="4:4" x14ac:dyDescent="0.3">
      <c r="D1205" t="str">
        <f t="shared" si="69"/>
        <v/>
      </c>
    </row>
    <row r="1206" spans="4:4" x14ac:dyDescent="0.3">
      <c r="D1206" t="str">
        <f t="shared" si="69"/>
        <v/>
      </c>
    </row>
    <row r="1207" spans="4:4" x14ac:dyDescent="0.3">
      <c r="D1207" t="str">
        <f t="shared" si="69"/>
        <v/>
      </c>
    </row>
    <row r="1208" spans="4:4" x14ac:dyDescent="0.3">
      <c r="D1208" t="str">
        <f t="shared" si="69"/>
        <v/>
      </c>
    </row>
    <row r="1209" spans="4:4" x14ac:dyDescent="0.3">
      <c r="D1209" t="str">
        <f t="shared" si="69"/>
        <v/>
      </c>
    </row>
    <row r="1210" spans="4:4" x14ac:dyDescent="0.3">
      <c r="D1210" t="str">
        <f t="shared" si="69"/>
        <v/>
      </c>
    </row>
    <row r="1211" spans="4:4" x14ac:dyDescent="0.3">
      <c r="D1211" t="str">
        <f t="shared" si="69"/>
        <v/>
      </c>
    </row>
    <row r="1212" spans="4:4" x14ac:dyDescent="0.3">
      <c r="D1212" t="str">
        <f t="shared" si="69"/>
        <v/>
      </c>
    </row>
    <row r="1213" spans="4:4" x14ac:dyDescent="0.3">
      <c r="D1213" t="str">
        <f t="shared" si="69"/>
        <v/>
      </c>
    </row>
    <row r="1214" spans="4:4" x14ac:dyDescent="0.3">
      <c r="D1214" t="str">
        <f t="shared" si="69"/>
        <v/>
      </c>
    </row>
    <row r="1215" spans="4:4" x14ac:dyDescent="0.3">
      <c r="D1215" t="str">
        <f t="shared" si="69"/>
        <v/>
      </c>
    </row>
    <row r="1216" spans="4:4" x14ac:dyDescent="0.3">
      <c r="D1216" t="str">
        <f t="shared" si="69"/>
        <v/>
      </c>
    </row>
    <row r="1217" spans="4:4" x14ac:dyDescent="0.3">
      <c r="D1217" t="str">
        <f t="shared" si="69"/>
        <v/>
      </c>
    </row>
    <row r="1218" spans="4:4" x14ac:dyDescent="0.3">
      <c r="D1218" t="str">
        <f t="shared" si="69"/>
        <v/>
      </c>
    </row>
    <row r="1219" spans="4:4" x14ac:dyDescent="0.3">
      <c r="D1219" t="str">
        <f t="shared" si="69"/>
        <v/>
      </c>
    </row>
    <row r="1220" spans="4:4" x14ac:dyDescent="0.3">
      <c r="D1220" t="str">
        <f t="shared" si="69"/>
        <v/>
      </c>
    </row>
    <row r="1221" spans="4:4" x14ac:dyDescent="0.3">
      <c r="D1221" t="str">
        <f t="shared" si="69"/>
        <v/>
      </c>
    </row>
    <row r="1222" spans="4:4" x14ac:dyDescent="0.3">
      <c r="D1222" t="str">
        <f t="shared" si="69"/>
        <v/>
      </c>
    </row>
    <row r="1223" spans="4:4" x14ac:dyDescent="0.3">
      <c r="D1223" t="str">
        <f t="shared" si="69"/>
        <v/>
      </c>
    </row>
    <row r="1224" spans="4:4" x14ac:dyDescent="0.3">
      <c r="D1224" t="str">
        <f t="shared" si="69"/>
        <v/>
      </c>
    </row>
    <row r="1225" spans="4:4" x14ac:dyDescent="0.3">
      <c r="D1225" t="str">
        <f t="shared" ref="D1225:D1288" si="70">IF(LEFT(A1225,2)="SP",MID(A1225,4,4),IF(LEFT(A1225,1)="X",MID(A1225,3,4),""))</f>
        <v/>
      </c>
    </row>
    <row r="1226" spans="4:4" x14ac:dyDescent="0.3">
      <c r="D1226" t="str">
        <f t="shared" si="70"/>
        <v/>
      </c>
    </row>
    <row r="1227" spans="4:4" x14ac:dyDescent="0.3">
      <c r="D1227" t="str">
        <f t="shared" si="70"/>
        <v/>
      </c>
    </row>
    <row r="1228" spans="4:4" x14ac:dyDescent="0.3">
      <c r="D1228" t="str">
        <f t="shared" si="70"/>
        <v/>
      </c>
    </row>
    <row r="1229" spans="4:4" x14ac:dyDescent="0.3">
      <c r="D1229" t="str">
        <f t="shared" si="70"/>
        <v/>
      </c>
    </row>
    <row r="1230" spans="4:4" x14ac:dyDescent="0.3">
      <c r="D1230" t="str">
        <f t="shared" si="70"/>
        <v/>
      </c>
    </row>
    <row r="1231" spans="4:4" x14ac:dyDescent="0.3">
      <c r="D1231" t="str">
        <f t="shared" si="70"/>
        <v/>
      </c>
    </row>
    <row r="1232" spans="4:4" x14ac:dyDescent="0.3">
      <c r="D1232" t="str">
        <f t="shared" si="70"/>
        <v/>
      </c>
    </row>
    <row r="1233" spans="4:4" x14ac:dyDescent="0.3">
      <c r="D1233" t="str">
        <f t="shared" si="70"/>
        <v/>
      </c>
    </row>
    <row r="1234" spans="4:4" x14ac:dyDescent="0.3">
      <c r="D1234" t="str">
        <f t="shared" si="70"/>
        <v/>
      </c>
    </row>
    <row r="1235" spans="4:4" x14ac:dyDescent="0.3">
      <c r="D1235" t="str">
        <f t="shared" si="70"/>
        <v/>
      </c>
    </row>
    <row r="1236" spans="4:4" x14ac:dyDescent="0.3">
      <c r="D1236" t="str">
        <f t="shared" si="70"/>
        <v/>
      </c>
    </row>
    <row r="1237" spans="4:4" x14ac:dyDescent="0.3">
      <c r="D1237" t="str">
        <f t="shared" si="70"/>
        <v/>
      </c>
    </row>
    <row r="1238" spans="4:4" x14ac:dyDescent="0.3">
      <c r="D1238" t="str">
        <f t="shared" si="70"/>
        <v/>
      </c>
    </row>
    <row r="1239" spans="4:4" x14ac:dyDescent="0.3">
      <c r="D1239" t="str">
        <f t="shared" si="70"/>
        <v/>
      </c>
    </row>
    <row r="1240" spans="4:4" x14ac:dyDescent="0.3">
      <c r="D1240" t="str">
        <f t="shared" si="70"/>
        <v/>
      </c>
    </row>
    <row r="1241" spans="4:4" x14ac:dyDescent="0.3">
      <c r="D1241" t="str">
        <f t="shared" si="70"/>
        <v/>
      </c>
    </row>
    <row r="1242" spans="4:4" x14ac:dyDescent="0.3">
      <c r="D1242" t="str">
        <f t="shared" si="70"/>
        <v/>
      </c>
    </row>
    <row r="1243" spans="4:4" x14ac:dyDescent="0.3">
      <c r="D1243" t="str">
        <f t="shared" si="70"/>
        <v/>
      </c>
    </row>
    <row r="1244" spans="4:4" x14ac:dyDescent="0.3">
      <c r="D1244" t="str">
        <f t="shared" si="70"/>
        <v/>
      </c>
    </row>
    <row r="1245" spans="4:4" x14ac:dyDescent="0.3">
      <c r="D1245" t="str">
        <f t="shared" si="70"/>
        <v/>
      </c>
    </row>
    <row r="1246" spans="4:4" x14ac:dyDescent="0.3">
      <c r="D1246" t="str">
        <f t="shared" si="70"/>
        <v/>
      </c>
    </row>
    <row r="1247" spans="4:4" x14ac:dyDescent="0.3">
      <c r="D1247" t="str">
        <f t="shared" si="70"/>
        <v/>
      </c>
    </row>
    <row r="1248" spans="4:4" x14ac:dyDescent="0.3">
      <c r="D1248" t="str">
        <f t="shared" si="70"/>
        <v/>
      </c>
    </row>
    <row r="1249" spans="4:4" x14ac:dyDescent="0.3">
      <c r="D1249" t="str">
        <f t="shared" si="70"/>
        <v/>
      </c>
    </row>
    <row r="1250" spans="4:4" x14ac:dyDescent="0.3">
      <c r="D1250" t="str">
        <f t="shared" si="70"/>
        <v/>
      </c>
    </row>
    <row r="1251" spans="4:4" x14ac:dyDescent="0.3">
      <c r="D1251" t="str">
        <f t="shared" si="70"/>
        <v/>
      </c>
    </row>
    <row r="1252" spans="4:4" x14ac:dyDescent="0.3">
      <c r="D1252" t="str">
        <f t="shared" si="70"/>
        <v/>
      </c>
    </row>
    <row r="1253" spans="4:4" x14ac:dyDescent="0.3">
      <c r="D1253" t="str">
        <f t="shared" si="70"/>
        <v/>
      </c>
    </row>
    <row r="1254" spans="4:4" x14ac:dyDescent="0.3">
      <c r="D1254" t="str">
        <f t="shared" si="70"/>
        <v/>
      </c>
    </row>
    <row r="1255" spans="4:4" x14ac:dyDescent="0.3">
      <c r="D1255" t="str">
        <f t="shared" si="70"/>
        <v/>
      </c>
    </row>
    <row r="1256" spans="4:4" x14ac:dyDescent="0.3">
      <c r="D1256" t="str">
        <f t="shared" si="70"/>
        <v/>
      </c>
    </row>
    <row r="1257" spans="4:4" x14ac:dyDescent="0.3">
      <c r="D1257" t="str">
        <f t="shared" si="70"/>
        <v/>
      </c>
    </row>
    <row r="1258" spans="4:4" x14ac:dyDescent="0.3">
      <c r="D1258" t="str">
        <f t="shared" si="70"/>
        <v/>
      </c>
    </row>
    <row r="1259" spans="4:4" x14ac:dyDescent="0.3">
      <c r="D1259" t="str">
        <f t="shared" si="70"/>
        <v/>
      </c>
    </row>
    <row r="1260" spans="4:4" x14ac:dyDescent="0.3">
      <c r="D1260" t="str">
        <f t="shared" si="70"/>
        <v/>
      </c>
    </row>
    <row r="1261" spans="4:4" x14ac:dyDescent="0.3">
      <c r="D1261" t="str">
        <f t="shared" si="70"/>
        <v/>
      </c>
    </row>
    <row r="1262" spans="4:4" x14ac:dyDescent="0.3">
      <c r="D1262" t="str">
        <f t="shared" si="70"/>
        <v/>
      </c>
    </row>
    <row r="1263" spans="4:4" x14ac:dyDescent="0.3">
      <c r="D1263" t="str">
        <f t="shared" si="70"/>
        <v/>
      </c>
    </row>
    <row r="1264" spans="4:4" x14ac:dyDescent="0.3">
      <c r="D1264" t="str">
        <f t="shared" si="70"/>
        <v/>
      </c>
    </row>
    <row r="1265" spans="4:4" x14ac:dyDescent="0.3">
      <c r="D1265" t="str">
        <f t="shared" si="70"/>
        <v/>
      </c>
    </row>
    <row r="1266" spans="4:4" x14ac:dyDescent="0.3">
      <c r="D1266" t="str">
        <f t="shared" si="70"/>
        <v/>
      </c>
    </row>
    <row r="1267" spans="4:4" x14ac:dyDescent="0.3">
      <c r="D1267" t="str">
        <f t="shared" si="70"/>
        <v/>
      </c>
    </row>
    <row r="1268" spans="4:4" x14ac:dyDescent="0.3">
      <c r="D1268" t="str">
        <f t="shared" si="70"/>
        <v/>
      </c>
    </row>
    <row r="1269" spans="4:4" x14ac:dyDescent="0.3">
      <c r="D1269" t="str">
        <f t="shared" si="70"/>
        <v/>
      </c>
    </row>
    <row r="1270" spans="4:4" x14ac:dyDescent="0.3">
      <c r="D1270" t="str">
        <f t="shared" si="70"/>
        <v/>
      </c>
    </row>
    <row r="1271" spans="4:4" x14ac:dyDescent="0.3">
      <c r="D1271" t="str">
        <f t="shared" si="70"/>
        <v/>
      </c>
    </row>
    <row r="1272" spans="4:4" x14ac:dyDescent="0.3">
      <c r="D1272" t="str">
        <f t="shared" si="70"/>
        <v/>
      </c>
    </row>
    <row r="1273" spans="4:4" x14ac:dyDescent="0.3">
      <c r="D1273" t="str">
        <f t="shared" si="70"/>
        <v/>
      </c>
    </row>
    <row r="1274" spans="4:4" x14ac:dyDescent="0.3">
      <c r="D1274" t="str">
        <f t="shared" si="70"/>
        <v/>
      </c>
    </row>
    <row r="1275" spans="4:4" x14ac:dyDescent="0.3">
      <c r="D1275" t="str">
        <f t="shared" si="70"/>
        <v/>
      </c>
    </row>
    <row r="1276" spans="4:4" x14ac:dyDescent="0.3">
      <c r="D1276" t="str">
        <f t="shared" si="70"/>
        <v/>
      </c>
    </row>
    <row r="1277" spans="4:4" x14ac:dyDescent="0.3">
      <c r="D1277" t="str">
        <f t="shared" si="70"/>
        <v/>
      </c>
    </row>
    <row r="1278" spans="4:4" x14ac:dyDescent="0.3">
      <c r="D1278" t="str">
        <f t="shared" si="70"/>
        <v/>
      </c>
    </row>
    <row r="1279" spans="4:4" x14ac:dyDescent="0.3">
      <c r="D1279" t="str">
        <f t="shared" si="70"/>
        <v/>
      </c>
    </row>
    <row r="1280" spans="4:4" x14ac:dyDescent="0.3">
      <c r="D1280" t="str">
        <f t="shared" si="70"/>
        <v/>
      </c>
    </row>
    <row r="1281" spans="4:4" x14ac:dyDescent="0.3">
      <c r="D1281" t="str">
        <f t="shared" si="70"/>
        <v/>
      </c>
    </row>
    <row r="1282" spans="4:4" x14ac:dyDescent="0.3">
      <c r="D1282" t="str">
        <f t="shared" si="70"/>
        <v/>
      </c>
    </row>
    <row r="1283" spans="4:4" x14ac:dyDescent="0.3">
      <c r="D1283" t="str">
        <f t="shared" si="70"/>
        <v/>
      </c>
    </row>
    <row r="1284" spans="4:4" x14ac:dyDescent="0.3">
      <c r="D1284" t="str">
        <f t="shared" si="70"/>
        <v/>
      </c>
    </row>
    <row r="1285" spans="4:4" x14ac:dyDescent="0.3">
      <c r="D1285" t="str">
        <f t="shared" si="70"/>
        <v/>
      </c>
    </row>
    <row r="1286" spans="4:4" x14ac:dyDescent="0.3">
      <c r="D1286" t="str">
        <f t="shared" si="70"/>
        <v/>
      </c>
    </row>
    <row r="1287" spans="4:4" x14ac:dyDescent="0.3">
      <c r="D1287" t="str">
        <f t="shared" si="70"/>
        <v/>
      </c>
    </row>
    <row r="1288" spans="4:4" x14ac:dyDescent="0.3">
      <c r="D1288" t="str">
        <f t="shared" si="70"/>
        <v/>
      </c>
    </row>
    <row r="1289" spans="4:4" x14ac:dyDescent="0.3">
      <c r="D1289" t="str">
        <f t="shared" ref="D1289:D1352" si="71">IF(LEFT(A1289,2)="SP",MID(A1289,4,4),IF(LEFT(A1289,1)="X",MID(A1289,3,4),""))</f>
        <v/>
      </c>
    </row>
    <row r="1290" spans="4:4" x14ac:dyDescent="0.3">
      <c r="D1290" t="str">
        <f t="shared" si="71"/>
        <v/>
      </c>
    </row>
    <row r="1291" spans="4:4" x14ac:dyDescent="0.3">
      <c r="D1291" t="str">
        <f t="shared" si="71"/>
        <v/>
      </c>
    </row>
    <row r="1292" spans="4:4" x14ac:dyDescent="0.3">
      <c r="D1292" t="str">
        <f t="shared" si="71"/>
        <v/>
      </c>
    </row>
    <row r="1293" spans="4:4" x14ac:dyDescent="0.3">
      <c r="D1293" t="str">
        <f t="shared" si="71"/>
        <v/>
      </c>
    </row>
    <row r="1294" spans="4:4" x14ac:dyDescent="0.3">
      <c r="D1294" t="str">
        <f t="shared" si="71"/>
        <v/>
      </c>
    </row>
    <row r="1295" spans="4:4" x14ac:dyDescent="0.3">
      <c r="D1295" t="str">
        <f t="shared" si="71"/>
        <v/>
      </c>
    </row>
    <row r="1296" spans="4:4" x14ac:dyDescent="0.3">
      <c r="D1296" t="str">
        <f t="shared" si="71"/>
        <v/>
      </c>
    </row>
    <row r="1297" spans="4:4" x14ac:dyDescent="0.3">
      <c r="D1297" t="str">
        <f t="shared" si="71"/>
        <v/>
      </c>
    </row>
    <row r="1298" spans="4:4" x14ac:dyDescent="0.3">
      <c r="D1298" t="str">
        <f t="shared" si="71"/>
        <v/>
      </c>
    </row>
    <row r="1299" spans="4:4" x14ac:dyDescent="0.3">
      <c r="D1299" t="str">
        <f t="shared" si="71"/>
        <v/>
      </c>
    </row>
    <row r="1300" spans="4:4" x14ac:dyDescent="0.3">
      <c r="D1300" t="str">
        <f t="shared" si="71"/>
        <v/>
      </c>
    </row>
    <row r="1301" spans="4:4" x14ac:dyDescent="0.3">
      <c r="D1301" t="str">
        <f t="shared" si="71"/>
        <v/>
      </c>
    </row>
    <row r="1302" spans="4:4" x14ac:dyDescent="0.3">
      <c r="D1302" t="str">
        <f t="shared" si="71"/>
        <v/>
      </c>
    </row>
    <row r="1303" spans="4:4" x14ac:dyDescent="0.3">
      <c r="D1303" t="str">
        <f t="shared" si="71"/>
        <v/>
      </c>
    </row>
    <row r="1304" spans="4:4" x14ac:dyDescent="0.3">
      <c r="D1304" t="str">
        <f t="shared" si="71"/>
        <v/>
      </c>
    </row>
    <row r="1305" spans="4:4" x14ac:dyDescent="0.3">
      <c r="D1305" t="str">
        <f t="shared" si="71"/>
        <v/>
      </c>
    </row>
    <row r="1306" spans="4:4" x14ac:dyDescent="0.3">
      <c r="D1306" t="str">
        <f t="shared" si="71"/>
        <v/>
      </c>
    </row>
    <row r="1307" spans="4:4" x14ac:dyDescent="0.3">
      <c r="D1307" t="str">
        <f t="shared" si="71"/>
        <v/>
      </c>
    </row>
    <row r="1308" spans="4:4" x14ac:dyDescent="0.3">
      <c r="D1308" t="str">
        <f t="shared" si="71"/>
        <v/>
      </c>
    </row>
    <row r="1309" spans="4:4" x14ac:dyDescent="0.3">
      <c r="D1309" t="str">
        <f t="shared" si="71"/>
        <v/>
      </c>
    </row>
    <row r="1310" spans="4:4" x14ac:dyDescent="0.3">
      <c r="D1310" t="str">
        <f t="shared" si="71"/>
        <v/>
      </c>
    </row>
    <row r="1311" spans="4:4" x14ac:dyDescent="0.3">
      <c r="D1311" t="str">
        <f t="shared" si="71"/>
        <v/>
      </c>
    </row>
    <row r="1312" spans="4:4" x14ac:dyDescent="0.3">
      <c r="D1312" t="str">
        <f t="shared" si="71"/>
        <v/>
      </c>
    </row>
    <row r="1313" spans="4:4" x14ac:dyDescent="0.3">
      <c r="D1313" t="str">
        <f t="shared" si="71"/>
        <v/>
      </c>
    </row>
    <row r="1314" spans="4:4" x14ac:dyDescent="0.3">
      <c r="D1314" t="str">
        <f t="shared" si="71"/>
        <v/>
      </c>
    </row>
    <row r="1315" spans="4:4" x14ac:dyDescent="0.3">
      <c r="D1315" t="str">
        <f t="shared" si="71"/>
        <v/>
      </c>
    </row>
    <row r="1316" spans="4:4" x14ac:dyDescent="0.3">
      <c r="D1316" t="str">
        <f t="shared" si="71"/>
        <v/>
      </c>
    </row>
    <row r="1317" spans="4:4" x14ac:dyDescent="0.3">
      <c r="D1317" t="str">
        <f t="shared" si="71"/>
        <v/>
      </c>
    </row>
    <row r="1318" spans="4:4" x14ac:dyDescent="0.3">
      <c r="D1318" t="str">
        <f t="shared" si="71"/>
        <v/>
      </c>
    </row>
    <row r="1319" spans="4:4" x14ac:dyDescent="0.3">
      <c r="D1319" t="str">
        <f t="shared" si="71"/>
        <v/>
      </c>
    </row>
    <row r="1320" spans="4:4" x14ac:dyDescent="0.3">
      <c r="D1320" t="str">
        <f t="shared" si="71"/>
        <v/>
      </c>
    </row>
    <row r="1321" spans="4:4" x14ac:dyDescent="0.3">
      <c r="D1321" t="str">
        <f t="shared" si="71"/>
        <v/>
      </c>
    </row>
    <row r="1322" spans="4:4" x14ac:dyDescent="0.3">
      <c r="D1322" t="str">
        <f t="shared" si="71"/>
        <v/>
      </c>
    </row>
    <row r="1323" spans="4:4" x14ac:dyDescent="0.3">
      <c r="D1323" t="str">
        <f t="shared" si="71"/>
        <v/>
      </c>
    </row>
    <row r="1324" spans="4:4" x14ac:dyDescent="0.3">
      <c r="D1324" t="str">
        <f t="shared" si="71"/>
        <v/>
      </c>
    </row>
    <row r="1325" spans="4:4" x14ac:dyDescent="0.3">
      <c r="D1325" t="str">
        <f t="shared" si="71"/>
        <v/>
      </c>
    </row>
    <row r="1326" spans="4:4" x14ac:dyDescent="0.3">
      <c r="D1326" t="str">
        <f t="shared" si="71"/>
        <v/>
      </c>
    </row>
    <row r="1327" spans="4:4" x14ac:dyDescent="0.3">
      <c r="D1327" t="str">
        <f t="shared" si="71"/>
        <v/>
      </c>
    </row>
    <row r="1328" spans="4:4" x14ac:dyDescent="0.3">
      <c r="D1328" t="str">
        <f t="shared" si="71"/>
        <v/>
      </c>
    </row>
    <row r="1329" spans="4:4" x14ac:dyDescent="0.3">
      <c r="D1329" t="str">
        <f t="shared" si="71"/>
        <v/>
      </c>
    </row>
    <row r="1330" spans="4:4" x14ac:dyDescent="0.3">
      <c r="D1330" t="str">
        <f t="shared" si="71"/>
        <v/>
      </c>
    </row>
    <row r="1331" spans="4:4" x14ac:dyDescent="0.3">
      <c r="D1331" t="str">
        <f t="shared" si="71"/>
        <v/>
      </c>
    </row>
    <row r="1332" spans="4:4" x14ac:dyDescent="0.3">
      <c r="D1332" t="str">
        <f t="shared" si="71"/>
        <v/>
      </c>
    </row>
    <row r="1333" spans="4:4" x14ac:dyDescent="0.3">
      <c r="D1333" t="str">
        <f t="shared" si="71"/>
        <v/>
      </c>
    </row>
    <row r="1334" spans="4:4" x14ac:dyDescent="0.3">
      <c r="D1334" t="str">
        <f t="shared" si="71"/>
        <v/>
      </c>
    </row>
    <row r="1335" spans="4:4" x14ac:dyDescent="0.3">
      <c r="D1335" t="str">
        <f t="shared" si="71"/>
        <v/>
      </c>
    </row>
    <row r="1336" spans="4:4" x14ac:dyDescent="0.3">
      <c r="D1336" t="str">
        <f t="shared" si="71"/>
        <v/>
      </c>
    </row>
    <row r="1337" spans="4:4" x14ac:dyDescent="0.3">
      <c r="D1337" t="str">
        <f t="shared" si="71"/>
        <v/>
      </c>
    </row>
    <row r="1338" spans="4:4" x14ac:dyDescent="0.3">
      <c r="D1338" t="str">
        <f t="shared" si="71"/>
        <v/>
      </c>
    </row>
    <row r="1339" spans="4:4" x14ac:dyDescent="0.3">
      <c r="D1339" t="str">
        <f t="shared" si="71"/>
        <v/>
      </c>
    </row>
    <row r="1340" spans="4:4" x14ac:dyDescent="0.3">
      <c r="D1340" t="str">
        <f t="shared" si="71"/>
        <v/>
      </c>
    </row>
    <row r="1341" spans="4:4" x14ac:dyDescent="0.3">
      <c r="D1341" t="str">
        <f t="shared" si="71"/>
        <v/>
      </c>
    </row>
    <row r="1342" spans="4:4" x14ac:dyDescent="0.3">
      <c r="D1342" t="str">
        <f t="shared" si="71"/>
        <v/>
      </c>
    </row>
    <row r="1343" spans="4:4" x14ac:dyDescent="0.3">
      <c r="D1343" t="str">
        <f t="shared" si="71"/>
        <v/>
      </c>
    </row>
    <row r="1344" spans="4:4" x14ac:dyDescent="0.3">
      <c r="D1344" t="str">
        <f t="shared" si="71"/>
        <v/>
      </c>
    </row>
    <row r="1345" spans="4:4" x14ac:dyDescent="0.3">
      <c r="D1345" t="str">
        <f t="shared" si="71"/>
        <v/>
      </c>
    </row>
    <row r="1346" spans="4:4" x14ac:dyDescent="0.3">
      <c r="D1346" t="str">
        <f t="shared" si="71"/>
        <v/>
      </c>
    </row>
    <row r="1347" spans="4:4" x14ac:dyDescent="0.3">
      <c r="D1347" t="str">
        <f t="shared" si="71"/>
        <v/>
      </c>
    </row>
    <row r="1348" spans="4:4" x14ac:dyDescent="0.3">
      <c r="D1348" t="str">
        <f t="shared" si="71"/>
        <v/>
      </c>
    </row>
    <row r="1349" spans="4:4" x14ac:dyDescent="0.3">
      <c r="D1349" t="str">
        <f t="shared" si="71"/>
        <v/>
      </c>
    </row>
    <row r="1350" spans="4:4" x14ac:dyDescent="0.3">
      <c r="D1350" t="str">
        <f t="shared" si="71"/>
        <v/>
      </c>
    </row>
    <row r="1351" spans="4:4" x14ac:dyDescent="0.3">
      <c r="D1351" t="str">
        <f t="shared" si="71"/>
        <v/>
      </c>
    </row>
    <row r="1352" spans="4:4" x14ac:dyDescent="0.3">
      <c r="D1352" t="str">
        <f t="shared" si="71"/>
        <v/>
      </c>
    </row>
    <row r="1353" spans="4:4" x14ac:dyDescent="0.3">
      <c r="D1353" t="str">
        <f t="shared" ref="D1353:D1416" si="72">IF(LEFT(A1353,2)="SP",MID(A1353,4,4),IF(LEFT(A1353,1)="X",MID(A1353,3,4),""))</f>
        <v/>
      </c>
    </row>
    <row r="1354" spans="4:4" x14ac:dyDescent="0.3">
      <c r="D1354" t="str">
        <f t="shared" si="72"/>
        <v/>
      </c>
    </row>
    <row r="1355" spans="4:4" x14ac:dyDescent="0.3">
      <c r="D1355" t="str">
        <f t="shared" si="72"/>
        <v/>
      </c>
    </row>
    <row r="1356" spans="4:4" x14ac:dyDescent="0.3">
      <c r="D1356" t="str">
        <f t="shared" si="72"/>
        <v/>
      </c>
    </row>
    <row r="1357" spans="4:4" x14ac:dyDescent="0.3">
      <c r="D1357" t="str">
        <f t="shared" si="72"/>
        <v/>
      </c>
    </row>
    <row r="1358" spans="4:4" x14ac:dyDescent="0.3">
      <c r="D1358" t="str">
        <f t="shared" si="72"/>
        <v/>
      </c>
    </row>
    <row r="1359" spans="4:4" x14ac:dyDescent="0.3">
      <c r="D1359" t="str">
        <f t="shared" si="72"/>
        <v/>
      </c>
    </row>
    <row r="1360" spans="4:4" x14ac:dyDescent="0.3">
      <c r="D1360" t="str">
        <f t="shared" si="72"/>
        <v/>
      </c>
    </row>
    <row r="1361" spans="4:4" x14ac:dyDescent="0.3">
      <c r="D1361" t="str">
        <f t="shared" si="72"/>
        <v/>
      </c>
    </row>
    <row r="1362" spans="4:4" x14ac:dyDescent="0.3">
      <c r="D1362" t="str">
        <f t="shared" si="72"/>
        <v/>
      </c>
    </row>
    <row r="1363" spans="4:4" x14ac:dyDescent="0.3">
      <c r="D1363" t="str">
        <f t="shared" si="72"/>
        <v/>
      </c>
    </row>
    <row r="1364" spans="4:4" x14ac:dyDescent="0.3">
      <c r="D1364" t="str">
        <f t="shared" si="72"/>
        <v/>
      </c>
    </row>
    <row r="1365" spans="4:4" x14ac:dyDescent="0.3">
      <c r="D1365" t="str">
        <f t="shared" si="72"/>
        <v/>
      </c>
    </row>
    <row r="1366" spans="4:4" x14ac:dyDescent="0.3">
      <c r="D1366" t="str">
        <f t="shared" si="72"/>
        <v/>
      </c>
    </row>
    <row r="1367" spans="4:4" x14ac:dyDescent="0.3">
      <c r="D1367" t="str">
        <f t="shared" si="72"/>
        <v/>
      </c>
    </row>
    <row r="1368" spans="4:4" x14ac:dyDescent="0.3">
      <c r="D1368" t="str">
        <f t="shared" si="72"/>
        <v/>
      </c>
    </row>
    <row r="1369" spans="4:4" x14ac:dyDescent="0.3">
      <c r="D1369" t="str">
        <f t="shared" si="72"/>
        <v/>
      </c>
    </row>
    <row r="1370" spans="4:4" x14ac:dyDescent="0.3">
      <c r="D1370" t="str">
        <f t="shared" si="72"/>
        <v/>
      </c>
    </row>
    <row r="1371" spans="4:4" x14ac:dyDescent="0.3">
      <c r="D1371" t="str">
        <f t="shared" si="72"/>
        <v/>
      </c>
    </row>
    <row r="1372" spans="4:4" x14ac:dyDescent="0.3">
      <c r="D1372" t="str">
        <f t="shared" si="72"/>
        <v/>
      </c>
    </row>
    <row r="1373" spans="4:4" x14ac:dyDescent="0.3">
      <c r="D1373" t="str">
        <f t="shared" si="72"/>
        <v/>
      </c>
    </row>
    <row r="1374" spans="4:4" x14ac:dyDescent="0.3">
      <c r="D1374" t="str">
        <f t="shared" si="72"/>
        <v/>
      </c>
    </row>
    <row r="1375" spans="4:4" x14ac:dyDescent="0.3">
      <c r="D1375" t="str">
        <f t="shared" si="72"/>
        <v/>
      </c>
    </row>
    <row r="1376" spans="4:4" x14ac:dyDescent="0.3">
      <c r="D1376" t="str">
        <f t="shared" si="72"/>
        <v/>
      </c>
    </row>
    <row r="1377" spans="4:4" x14ac:dyDescent="0.3">
      <c r="D1377" t="str">
        <f t="shared" si="72"/>
        <v/>
      </c>
    </row>
    <row r="1378" spans="4:4" x14ac:dyDescent="0.3">
      <c r="D1378" t="str">
        <f t="shared" si="72"/>
        <v/>
      </c>
    </row>
    <row r="1379" spans="4:4" x14ac:dyDescent="0.3">
      <c r="D1379" t="str">
        <f t="shared" si="72"/>
        <v/>
      </c>
    </row>
    <row r="1380" spans="4:4" x14ac:dyDescent="0.3">
      <c r="D1380" t="str">
        <f t="shared" si="72"/>
        <v/>
      </c>
    </row>
    <row r="1381" spans="4:4" x14ac:dyDescent="0.3">
      <c r="D1381" t="str">
        <f t="shared" si="72"/>
        <v/>
      </c>
    </row>
    <row r="1382" spans="4:4" x14ac:dyDescent="0.3">
      <c r="D1382" t="str">
        <f t="shared" si="72"/>
        <v/>
      </c>
    </row>
    <row r="1383" spans="4:4" x14ac:dyDescent="0.3">
      <c r="D1383" t="str">
        <f t="shared" si="72"/>
        <v/>
      </c>
    </row>
    <row r="1384" spans="4:4" x14ac:dyDescent="0.3">
      <c r="D1384" t="str">
        <f t="shared" si="72"/>
        <v/>
      </c>
    </row>
    <row r="1385" spans="4:4" x14ac:dyDescent="0.3">
      <c r="D1385" t="str">
        <f t="shared" si="72"/>
        <v/>
      </c>
    </row>
    <row r="1386" spans="4:4" x14ac:dyDescent="0.3">
      <c r="D1386" t="str">
        <f t="shared" si="72"/>
        <v/>
      </c>
    </row>
    <row r="1387" spans="4:4" x14ac:dyDescent="0.3">
      <c r="D1387" t="str">
        <f t="shared" si="72"/>
        <v/>
      </c>
    </row>
    <row r="1388" spans="4:4" x14ac:dyDescent="0.3">
      <c r="D1388" t="str">
        <f t="shared" si="72"/>
        <v/>
      </c>
    </row>
    <row r="1389" spans="4:4" x14ac:dyDescent="0.3">
      <c r="D1389" t="str">
        <f t="shared" si="72"/>
        <v/>
      </c>
    </row>
    <row r="1390" spans="4:4" x14ac:dyDescent="0.3">
      <c r="D1390" t="str">
        <f t="shared" si="72"/>
        <v/>
      </c>
    </row>
    <row r="1391" spans="4:4" x14ac:dyDescent="0.3">
      <c r="D1391" t="str">
        <f t="shared" si="72"/>
        <v/>
      </c>
    </row>
    <row r="1392" spans="4:4" x14ac:dyDescent="0.3">
      <c r="D1392" t="str">
        <f t="shared" si="72"/>
        <v/>
      </c>
    </row>
    <row r="1393" spans="4:4" x14ac:dyDescent="0.3">
      <c r="D1393" t="str">
        <f t="shared" si="72"/>
        <v/>
      </c>
    </row>
    <row r="1394" spans="4:4" x14ac:dyDescent="0.3">
      <c r="D1394" t="str">
        <f t="shared" si="72"/>
        <v/>
      </c>
    </row>
    <row r="1395" spans="4:4" x14ac:dyDescent="0.3">
      <c r="D1395" t="str">
        <f t="shared" si="72"/>
        <v/>
      </c>
    </row>
    <row r="1396" spans="4:4" x14ac:dyDescent="0.3">
      <c r="D1396" t="str">
        <f t="shared" si="72"/>
        <v/>
      </c>
    </row>
    <row r="1397" spans="4:4" x14ac:dyDescent="0.3">
      <c r="D1397" t="str">
        <f t="shared" si="72"/>
        <v/>
      </c>
    </row>
    <row r="1398" spans="4:4" x14ac:dyDescent="0.3">
      <c r="D1398" t="str">
        <f t="shared" si="72"/>
        <v/>
      </c>
    </row>
    <row r="1399" spans="4:4" x14ac:dyDescent="0.3">
      <c r="D1399" t="str">
        <f t="shared" si="72"/>
        <v/>
      </c>
    </row>
    <row r="1400" spans="4:4" x14ac:dyDescent="0.3">
      <c r="D1400" t="str">
        <f t="shared" si="72"/>
        <v/>
      </c>
    </row>
    <row r="1401" spans="4:4" x14ac:dyDescent="0.3">
      <c r="D1401" t="str">
        <f t="shared" si="72"/>
        <v/>
      </c>
    </row>
    <row r="1402" spans="4:4" x14ac:dyDescent="0.3">
      <c r="D1402" t="str">
        <f t="shared" si="72"/>
        <v/>
      </c>
    </row>
    <row r="1403" spans="4:4" x14ac:dyDescent="0.3">
      <c r="D1403" t="str">
        <f t="shared" si="72"/>
        <v/>
      </c>
    </row>
    <row r="1404" spans="4:4" x14ac:dyDescent="0.3">
      <c r="D1404" t="str">
        <f t="shared" si="72"/>
        <v/>
      </c>
    </row>
    <row r="1405" spans="4:4" x14ac:dyDescent="0.3">
      <c r="D1405" t="str">
        <f t="shared" si="72"/>
        <v/>
      </c>
    </row>
    <row r="1406" spans="4:4" x14ac:dyDescent="0.3">
      <c r="D1406" t="str">
        <f t="shared" si="72"/>
        <v/>
      </c>
    </row>
    <row r="1407" spans="4:4" x14ac:dyDescent="0.3">
      <c r="D1407" t="str">
        <f t="shared" si="72"/>
        <v/>
      </c>
    </row>
    <row r="1408" spans="4:4" x14ac:dyDescent="0.3">
      <c r="D1408" t="str">
        <f t="shared" si="72"/>
        <v/>
      </c>
    </row>
    <row r="1409" spans="4:4" x14ac:dyDescent="0.3">
      <c r="D1409" t="str">
        <f t="shared" si="72"/>
        <v/>
      </c>
    </row>
    <row r="1410" spans="4:4" x14ac:dyDescent="0.3">
      <c r="D1410" t="str">
        <f t="shared" si="72"/>
        <v/>
      </c>
    </row>
    <row r="1411" spans="4:4" x14ac:dyDescent="0.3">
      <c r="D1411" t="str">
        <f t="shared" si="72"/>
        <v/>
      </c>
    </row>
    <row r="1412" spans="4:4" x14ac:dyDescent="0.3">
      <c r="D1412" t="str">
        <f t="shared" si="72"/>
        <v/>
      </c>
    </row>
    <row r="1413" spans="4:4" x14ac:dyDescent="0.3">
      <c r="D1413" t="str">
        <f t="shared" si="72"/>
        <v/>
      </c>
    </row>
    <row r="1414" spans="4:4" x14ac:dyDescent="0.3">
      <c r="D1414" t="str">
        <f t="shared" si="72"/>
        <v/>
      </c>
    </row>
    <row r="1415" spans="4:4" x14ac:dyDescent="0.3">
      <c r="D1415" t="str">
        <f t="shared" si="72"/>
        <v/>
      </c>
    </row>
    <row r="1416" spans="4:4" x14ac:dyDescent="0.3">
      <c r="D1416" t="str">
        <f t="shared" si="72"/>
        <v/>
      </c>
    </row>
    <row r="1417" spans="4:4" x14ac:dyDescent="0.3">
      <c r="D1417" t="str">
        <f t="shared" ref="D1417:D1480" si="73">IF(LEFT(A1417,2)="SP",MID(A1417,4,4),IF(LEFT(A1417,1)="X",MID(A1417,3,4),""))</f>
        <v/>
      </c>
    </row>
    <row r="1418" spans="4:4" x14ac:dyDescent="0.3">
      <c r="D1418" t="str">
        <f t="shared" si="73"/>
        <v/>
      </c>
    </row>
    <row r="1419" spans="4:4" x14ac:dyDescent="0.3">
      <c r="D1419" t="str">
        <f t="shared" si="73"/>
        <v/>
      </c>
    </row>
    <row r="1420" spans="4:4" x14ac:dyDescent="0.3">
      <c r="D1420" t="str">
        <f t="shared" si="73"/>
        <v/>
      </c>
    </row>
    <row r="1421" spans="4:4" x14ac:dyDescent="0.3">
      <c r="D1421" t="str">
        <f t="shared" si="73"/>
        <v/>
      </c>
    </row>
    <row r="1422" spans="4:4" x14ac:dyDescent="0.3">
      <c r="D1422" t="str">
        <f t="shared" si="73"/>
        <v/>
      </c>
    </row>
    <row r="1423" spans="4:4" x14ac:dyDescent="0.3">
      <c r="D1423" t="str">
        <f t="shared" si="73"/>
        <v/>
      </c>
    </row>
    <row r="1424" spans="4:4" x14ac:dyDescent="0.3">
      <c r="D1424" t="str">
        <f t="shared" si="73"/>
        <v/>
      </c>
    </row>
    <row r="1425" spans="4:4" x14ac:dyDescent="0.3">
      <c r="D1425" t="str">
        <f t="shared" si="73"/>
        <v/>
      </c>
    </row>
    <row r="1426" spans="4:4" x14ac:dyDescent="0.3">
      <c r="D1426" t="str">
        <f t="shared" si="73"/>
        <v/>
      </c>
    </row>
    <row r="1427" spans="4:4" x14ac:dyDescent="0.3">
      <c r="D1427" t="str">
        <f t="shared" si="73"/>
        <v/>
      </c>
    </row>
    <row r="1428" spans="4:4" x14ac:dyDescent="0.3">
      <c r="D1428" t="str">
        <f t="shared" si="73"/>
        <v/>
      </c>
    </row>
    <row r="1429" spans="4:4" x14ac:dyDescent="0.3">
      <c r="D1429" t="str">
        <f t="shared" si="73"/>
        <v/>
      </c>
    </row>
    <row r="1430" spans="4:4" x14ac:dyDescent="0.3">
      <c r="D1430" t="str">
        <f t="shared" si="73"/>
        <v/>
      </c>
    </row>
    <row r="1431" spans="4:4" x14ac:dyDescent="0.3">
      <c r="D1431" t="str">
        <f t="shared" si="73"/>
        <v/>
      </c>
    </row>
    <row r="1432" spans="4:4" x14ac:dyDescent="0.3">
      <c r="D1432" t="str">
        <f t="shared" si="73"/>
        <v/>
      </c>
    </row>
    <row r="1433" spans="4:4" x14ac:dyDescent="0.3">
      <c r="D1433" t="str">
        <f t="shared" si="73"/>
        <v/>
      </c>
    </row>
    <row r="1434" spans="4:4" x14ac:dyDescent="0.3">
      <c r="D1434" t="str">
        <f t="shared" si="73"/>
        <v/>
      </c>
    </row>
    <row r="1435" spans="4:4" x14ac:dyDescent="0.3">
      <c r="D1435" t="str">
        <f t="shared" si="73"/>
        <v/>
      </c>
    </row>
    <row r="1436" spans="4:4" x14ac:dyDescent="0.3">
      <c r="D1436" t="str">
        <f t="shared" si="73"/>
        <v/>
      </c>
    </row>
    <row r="1437" spans="4:4" x14ac:dyDescent="0.3">
      <c r="D1437" t="str">
        <f t="shared" si="73"/>
        <v/>
      </c>
    </row>
    <row r="1438" spans="4:4" x14ac:dyDescent="0.3">
      <c r="D1438" t="str">
        <f t="shared" si="73"/>
        <v/>
      </c>
    </row>
    <row r="1439" spans="4:4" x14ac:dyDescent="0.3">
      <c r="D1439" t="str">
        <f t="shared" si="73"/>
        <v/>
      </c>
    </row>
    <row r="1440" spans="4:4" x14ac:dyDescent="0.3">
      <c r="D1440" t="str">
        <f t="shared" si="73"/>
        <v/>
      </c>
    </row>
    <row r="1441" spans="4:4" x14ac:dyDescent="0.3">
      <c r="D1441" t="str">
        <f t="shared" si="73"/>
        <v/>
      </c>
    </row>
    <row r="1442" spans="4:4" x14ac:dyDescent="0.3">
      <c r="D1442" t="str">
        <f t="shared" si="73"/>
        <v/>
      </c>
    </row>
    <row r="1443" spans="4:4" x14ac:dyDescent="0.3">
      <c r="D1443" t="str">
        <f t="shared" si="73"/>
        <v/>
      </c>
    </row>
    <row r="1444" spans="4:4" x14ac:dyDescent="0.3">
      <c r="D1444" t="str">
        <f t="shared" si="73"/>
        <v/>
      </c>
    </row>
    <row r="1445" spans="4:4" x14ac:dyDescent="0.3">
      <c r="D1445" t="str">
        <f t="shared" si="73"/>
        <v/>
      </c>
    </row>
    <row r="1446" spans="4:4" x14ac:dyDescent="0.3">
      <c r="D1446" t="str">
        <f t="shared" si="73"/>
        <v/>
      </c>
    </row>
    <row r="1447" spans="4:4" x14ac:dyDescent="0.3">
      <c r="D1447" t="str">
        <f t="shared" si="73"/>
        <v/>
      </c>
    </row>
    <row r="1448" spans="4:4" x14ac:dyDescent="0.3">
      <c r="D1448" t="str">
        <f t="shared" si="73"/>
        <v/>
      </c>
    </row>
    <row r="1449" spans="4:4" x14ac:dyDescent="0.3">
      <c r="D1449" t="str">
        <f t="shared" si="73"/>
        <v/>
      </c>
    </row>
    <row r="1450" spans="4:4" x14ac:dyDescent="0.3">
      <c r="D1450" t="str">
        <f t="shared" si="73"/>
        <v/>
      </c>
    </row>
    <row r="1451" spans="4:4" x14ac:dyDescent="0.3">
      <c r="D1451" t="str">
        <f t="shared" si="73"/>
        <v/>
      </c>
    </row>
    <row r="1452" spans="4:4" x14ac:dyDescent="0.3">
      <c r="D1452" t="str">
        <f t="shared" si="73"/>
        <v/>
      </c>
    </row>
    <row r="1453" spans="4:4" x14ac:dyDescent="0.3">
      <c r="D1453" t="str">
        <f t="shared" si="73"/>
        <v/>
      </c>
    </row>
    <row r="1454" spans="4:4" x14ac:dyDescent="0.3">
      <c r="D1454" t="str">
        <f t="shared" si="73"/>
        <v/>
      </c>
    </row>
    <row r="1455" spans="4:4" x14ac:dyDescent="0.3">
      <c r="D1455" t="str">
        <f t="shared" si="73"/>
        <v/>
      </c>
    </row>
    <row r="1456" spans="4:4" x14ac:dyDescent="0.3">
      <c r="D1456" t="str">
        <f t="shared" si="73"/>
        <v/>
      </c>
    </row>
    <row r="1457" spans="4:4" x14ac:dyDescent="0.3">
      <c r="D1457" t="str">
        <f t="shared" si="73"/>
        <v/>
      </c>
    </row>
    <row r="1458" spans="4:4" x14ac:dyDescent="0.3">
      <c r="D1458" t="str">
        <f t="shared" si="73"/>
        <v/>
      </c>
    </row>
    <row r="1459" spans="4:4" x14ac:dyDescent="0.3">
      <c r="D1459" t="str">
        <f t="shared" si="73"/>
        <v/>
      </c>
    </row>
    <row r="1460" spans="4:4" x14ac:dyDescent="0.3">
      <c r="D1460" t="str">
        <f t="shared" si="73"/>
        <v/>
      </c>
    </row>
    <row r="1461" spans="4:4" x14ac:dyDescent="0.3">
      <c r="D1461" t="str">
        <f t="shared" si="73"/>
        <v/>
      </c>
    </row>
    <row r="1462" spans="4:4" x14ac:dyDescent="0.3">
      <c r="D1462" t="str">
        <f t="shared" si="73"/>
        <v/>
      </c>
    </row>
    <row r="1463" spans="4:4" x14ac:dyDescent="0.3">
      <c r="D1463" t="str">
        <f t="shared" si="73"/>
        <v/>
      </c>
    </row>
    <row r="1464" spans="4:4" x14ac:dyDescent="0.3">
      <c r="D1464" t="str">
        <f t="shared" si="73"/>
        <v/>
      </c>
    </row>
    <row r="1465" spans="4:4" x14ac:dyDescent="0.3">
      <c r="D1465" t="str">
        <f t="shared" si="73"/>
        <v/>
      </c>
    </row>
    <row r="1466" spans="4:4" x14ac:dyDescent="0.3">
      <c r="D1466" t="str">
        <f t="shared" si="73"/>
        <v/>
      </c>
    </row>
    <row r="1467" spans="4:4" x14ac:dyDescent="0.3">
      <c r="D1467" t="str">
        <f t="shared" si="73"/>
        <v/>
      </c>
    </row>
    <row r="1468" spans="4:4" x14ac:dyDescent="0.3">
      <c r="D1468" t="str">
        <f t="shared" si="73"/>
        <v/>
      </c>
    </row>
    <row r="1469" spans="4:4" x14ac:dyDescent="0.3">
      <c r="D1469" t="str">
        <f t="shared" si="73"/>
        <v/>
      </c>
    </row>
    <row r="1470" spans="4:4" x14ac:dyDescent="0.3">
      <c r="D1470" t="str">
        <f t="shared" si="73"/>
        <v/>
      </c>
    </row>
    <row r="1471" spans="4:4" x14ac:dyDescent="0.3">
      <c r="D1471" t="str">
        <f t="shared" si="73"/>
        <v/>
      </c>
    </row>
    <row r="1472" spans="4:4" x14ac:dyDescent="0.3">
      <c r="D1472" t="str">
        <f t="shared" si="73"/>
        <v/>
      </c>
    </row>
    <row r="1473" spans="4:4" x14ac:dyDescent="0.3">
      <c r="D1473" t="str">
        <f t="shared" si="73"/>
        <v/>
      </c>
    </row>
    <row r="1474" spans="4:4" x14ac:dyDescent="0.3">
      <c r="D1474" t="str">
        <f t="shared" si="73"/>
        <v/>
      </c>
    </row>
    <row r="1475" spans="4:4" x14ac:dyDescent="0.3">
      <c r="D1475" t="str">
        <f t="shared" si="73"/>
        <v/>
      </c>
    </row>
    <row r="1476" spans="4:4" x14ac:dyDescent="0.3">
      <c r="D1476" t="str">
        <f t="shared" si="73"/>
        <v/>
      </c>
    </row>
    <row r="1477" spans="4:4" x14ac:dyDescent="0.3">
      <c r="D1477" t="str">
        <f t="shared" si="73"/>
        <v/>
      </c>
    </row>
    <row r="1478" spans="4:4" x14ac:dyDescent="0.3">
      <c r="D1478" t="str">
        <f t="shared" si="73"/>
        <v/>
      </c>
    </row>
    <row r="1479" spans="4:4" x14ac:dyDescent="0.3">
      <c r="D1479" t="str">
        <f t="shared" si="73"/>
        <v/>
      </c>
    </row>
    <row r="1480" spans="4:4" x14ac:dyDescent="0.3">
      <c r="D1480" t="str">
        <f t="shared" si="73"/>
        <v/>
      </c>
    </row>
    <row r="1481" spans="4:4" x14ac:dyDescent="0.3">
      <c r="D1481" t="str">
        <f t="shared" ref="D1481:D1544" si="74">IF(LEFT(A1481,2)="SP",MID(A1481,4,4),IF(LEFT(A1481,1)="X",MID(A1481,3,4),""))</f>
        <v/>
      </c>
    </row>
    <row r="1482" spans="4:4" x14ac:dyDescent="0.3">
      <c r="D1482" t="str">
        <f t="shared" si="74"/>
        <v/>
      </c>
    </row>
    <row r="1483" spans="4:4" x14ac:dyDescent="0.3">
      <c r="D1483" t="str">
        <f t="shared" si="74"/>
        <v/>
      </c>
    </row>
    <row r="1484" spans="4:4" x14ac:dyDescent="0.3">
      <c r="D1484" t="str">
        <f t="shared" si="74"/>
        <v/>
      </c>
    </row>
    <row r="1485" spans="4:4" x14ac:dyDescent="0.3">
      <c r="D1485" t="str">
        <f t="shared" si="74"/>
        <v/>
      </c>
    </row>
    <row r="1486" spans="4:4" x14ac:dyDescent="0.3">
      <c r="D1486" t="str">
        <f t="shared" si="74"/>
        <v/>
      </c>
    </row>
    <row r="1487" spans="4:4" x14ac:dyDescent="0.3">
      <c r="D1487" t="str">
        <f t="shared" si="74"/>
        <v/>
      </c>
    </row>
    <row r="1488" spans="4:4" x14ac:dyDescent="0.3">
      <c r="D1488" t="str">
        <f t="shared" si="74"/>
        <v/>
      </c>
    </row>
    <row r="1489" spans="4:4" x14ac:dyDescent="0.3">
      <c r="D1489" t="str">
        <f t="shared" si="74"/>
        <v/>
      </c>
    </row>
    <row r="1490" spans="4:4" x14ac:dyDescent="0.3">
      <c r="D1490" t="str">
        <f t="shared" si="74"/>
        <v/>
      </c>
    </row>
    <row r="1491" spans="4:4" x14ac:dyDescent="0.3">
      <c r="D1491" t="str">
        <f t="shared" si="74"/>
        <v/>
      </c>
    </row>
    <row r="1492" spans="4:4" x14ac:dyDescent="0.3">
      <c r="D1492" t="str">
        <f t="shared" si="74"/>
        <v/>
      </c>
    </row>
    <row r="1493" spans="4:4" x14ac:dyDescent="0.3">
      <c r="D1493" t="str">
        <f t="shared" si="74"/>
        <v/>
      </c>
    </row>
    <row r="1494" spans="4:4" x14ac:dyDescent="0.3">
      <c r="D1494" t="str">
        <f t="shared" si="74"/>
        <v/>
      </c>
    </row>
    <row r="1495" spans="4:4" x14ac:dyDescent="0.3">
      <c r="D1495" t="str">
        <f t="shared" si="74"/>
        <v/>
      </c>
    </row>
    <row r="1496" spans="4:4" x14ac:dyDescent="0.3">
      <c r="D1496" t="str">
        <f t="shared" si="74"/>
        <v/>
      </c>
    </row>
    <row r="1497" spans="4:4" x14ac:dyDescent="0.3">
      <c r="D1497" t="str">
        <f t="shared" si="74"/>
        <v/>
      </c>
    </row>
    <row r="1498" spans="4:4" x14ac:dyDescent="0.3">
      <c r="D1498" t="str">
        <f t="shared" si="74"/>
        <v/>
      </c>
    </row>
    <row r="1499" spans="4:4" x14ac:dyDescent="0.3">
      <c r="D1499" t="str">
        <f t="shared" si="74"/>
        <v/>
      </c>
    </row>
    <row r="1500" spans="4:4" x14ac:dyDescent="0.3">
      <c r="D1500" t="str">
        <f t="shared" si="74"/>
        <v/>
      </c>
    </row>
    <row r="1501" spans="4:4" x14ac:dyDescent="0.3">
      <c r="D1501" t="str">
        <f t="shared" si="74"/>
        <v/>
      </c>
    </row>
    <row r="1502" spans="4:4" x14ac:dyDescent="0.3">
      <c r="D1502" t="str">
        <f t="shared" si="74"/>
        <v/>
      </c>
    </row>
    <row r="1503" spans="4:4" x14ac:dyDescent="0.3">
      <c r="D1503" t="str">
        <f t="shared" si="74"/>
        <v/>
      </c>
    </row>
    <row r="1504" spans="4:4" x14ac:dyDescent="0.3">
      <c r="D1504" t="str">
        <f t="shared" si="74"/>
        <v/>
      </c>
    </row>
    <row r="1505" spans="4:4" x14ac:dyDescent="0.3">
      <c r="D1505" t="str">
        <f t="shared" si="74"/>
        <v/>
      </c>
    </row>
    <row r="1506" spans="4:4" x14ac:dyDescent="0.3">
      <c r="D1506" t="str">
        <f t="shared" si="74"/>
        <v/>
      </c>
    </row>
    <row r="1507" spans="4:4" x14ac:dyDescent="0.3">
      <c r="D1507" t="str">
        <f t="shared" si="74"/>
        <v/>
      </c>
    </row>
    <row r="1508" spans="4:4" x14ac:dyDescent="0.3">
      <c r="D1508" t="str">
        <f t="shared" si="74"/>
        <v/>
      </c>
    </row>
    <row r="1509" spans="4:4" x14ac:dyDescent="0.3">
      <c r="D1509" t="str">
        <f t="shared" si="74"/>
        <v/>
      </c>
    </row>
    <row r="1510" spans="4:4" x14ac:dyDescent="0.3">
      <c r="D1510" t="str">
        <f t="shared" si="74"/>
        <v/>
      </c>
    </row>
    <row r="1511" spans="4:4" x14ac:dyDescent="0.3">
      <c r="D1511" t="str">
        <f t="shared" si="74"/>
        <v/>
      </c>
    </row>
    <row r="1512" spans="4:4" x14ac:dyDescent="0.3">
      <c r="D1512" t="str">
        <f t="shared" si="74"/>
        <v/>
      </c>
    </row>
    <row r="1513" spans="4:4" x14ac:dyDescent="0.3">
      <c r="D1513" t="str">
        <f t="shared" si="74"/>
        <v/>
      </c>
    </row>
    <row r="1514" spans="4:4" x14ac:dyDescent="0.3">
      <c r="D1514" t="str">
        <f t="shared" si="74"/>
        <v/>
      </c>
    </row>
    <row r="1515" spans="4:4" x14ac:dyDescent="0.3">
      <c r="D1515" t="str">
        <f t="shared" si="74"/>
        <v/>
      </c>
    </row>
    <row r="1516" spans="4:4" x14ac:dyDescent="0.3">
      <c r="D1516" t="str">
        <f t="shared" si="74"/>
        <v/>
      </c>
    </row>
    <row r="1517" spans="4:4" x14ac:dyDescent="0.3">
      <c r="D1517" t="str">
        <f t="shared" si="74"/>
        <v/>
      </c>
    </row>
    <row r="1518" spans="4:4" x14ac:dyDescent="0.3">
      <c r="D1518" t="str">
        <f t="shared" si="74"/>
        <v/>
      </c>
    </row>
    <row r="1519" spans="4:4" x14ac:dyDescent="0.3">
      <c r="D1519" t="str">
        <f t="shared" si="74"/>
        <v/>
      </c>
    </row>
    <row r="1520" spans="4:4" x14ac:dyDescent="0.3">
      <c r="D1520" t="str">
        <f t="shared" si="74"/>
        <v/>
      </c>
    </row>
    <row r="1521" spans="4:4" x14ac:dyDescent="0.3">
      <c r="D1521" t="str">
        <f t="shared" si="74"/>
        <v/>
      </c>
    </row>
    <row r="1522" spans="4:4" x14ac:dyDescent="0.3">
      <c r="D1522" t="str">
        <f t="shared" si="74"/>
        <v/>
      </c>
    </row>
    <row r="1523" spans="4:4" x14ac:dyDescent="0.3">
      <c r="D1523" t="str">
        <f t="shared" si="74"/>
        <v/>
      </c>
    </row>
    <row r="1524" spans="4:4" x14ac:dyDescent="0.3">
      <c r="D1524" t="str">
        <f t="shared" si="74"/>
        <v/>
      </c>
    </row>
    <row r="1525" spans="4:4" x14ac:dyDescent="0.3">
      <c r="D1525" t="str">
        <f t="shared" si="74"/>
        <v/>
      </c>
    </row>
    <row r="1526" spans="4:4" x14ac:dyDescent="0.3">
      <c r="D1526" t="str">
        <f t="shared" si="74"/>
        <v/>
      </c>
    </row>
    <row r="1527" spans="4:4" x14ac:dyDescent="0.3">
      <c r="D1527" t="str">
        <f t="shared" si="74"/>
        <v/>
      </c>
    </row>
    <row r="1528" spans="4:4" x14ac:dyDescent="0.3">
      <c r="D1528" t="str">
        <f t="shared" si="74"/>
        <v/>
      </c>
    </row>
    <row r="1529" spans="4:4" x14ac:dyDescent="0.3">
      <c r="D1529" t="str">
        <f t="shared" si="74"/>
        <v/>
      </c>
    </row>
    <row r="1530" spans="4:4" x14ac:dyDescent="0.3">
      <c r="D1530" t="str">
        <f t="shared" si="74"/>
        <v/>
      </c>
    </row>
    <row r="1531" spans="4:4" x14ac:dyDescent="0.3">
      <c r="D1531" t="str">
        <f t="shared" si="74"/>
        <v/>
      </c>
    </row>
    <row r="1532" spans="4:4" x14ac:dyDescent="0.3">
      <c r="D1532" t="str">
        <f t="shared" si="74"/>
        <v/>
      </c>
    </row>
    <row r="1533" spans="4:4" x14ac:dyDescent="0.3">
      <c r="D1533" t="str">
        <f t="shared" si="74"/>
        <v/>
      </c>
    </row>
    <row r="1534" spans="4:4" x14ac:dyDescent="0.3">
      <c r="D1534" t="str">
        <f t="shared" si="74"/>
        <v/>
      </c>
    </row>
    <row r="1535" spans="4:4" x14ac:dyDescent="0.3">
      <c r="D1535" t="str">
        <f t="shared" si="74"/>
        <v/>
      </c>
    </row>
    <row r="1536" spans="4:4" x14ac:dyDescent="0.3">
      <c r="D1536" t="str">
        <f t="shared" si="74"/>
        <v/>
      </c>
    </row>
    <row r="1537" spans="4:4" x14ac:dyDescent="0.3">
      <c r="D1537" t="str">
        <f t="shared" si="74"/>
        <v/>
      </c>
    </row>
    <row r="1538" spans="4:4" x14ac:dyDescent="0.3">
      <c r="D1538" t="str">
        <f t="shared" si="74"/>
        <v/>
      </c>
    </row>
    <row r="1539" spans="4:4" x14ac:dyDescent="0.3">
      <c r="D1539" t="str">
        <f t="shared" si="74"/>
        <v/>
      </c>
    </row>
    <row r="1540" spans="4:4" x14ac:dyDescent="0.3">
      <c r="D1540" t="str">
        <f t="shared" si="74"/>
        <v/>
      </c>
    </row>
    <row r="1541" spans="4:4" x14ac:dyDescent="0.3">
      <c r="D1541" t="str">
        <f t="shared" si="74"/>
        <v/>
      </c>
    </row>
    <row r="1542" spans="4:4" x14ac:dyDescent="0.3">
      <c r="D1542" t="str">
        <f t="shared" si="74"/>
        <v/>
      </c>
    </row>
    <row r="1543" spans="4:4" x14ac:dyDescent="0.3">
      <c r="D1543" t="str">
        <f t="shared" si="74"/>
        <v/>
      </c>
    </row>
    <row r="1544" spans="4:4" x14ac:dyDescent="0.3">
      <c r="D1544" t="str">
        <f t="shared" si="74"/>
        <v/>
      </c>
    </row>
    <row r="1545" spans="4:4" x14ac:dyDescent="0.3">
      <c r="D1545" t="str">
        <f t="shared" ref="D1545:D1608" si="75">IF(LEFT(A1545,2)="SP",MID(A1545,4,4),IF(LEFT(A1545,1)="X",MID(A1545,3,4),""))</f>
        <v/>
      </c>
    </row>
    <row r="1546" spans="4:4" x14ac:dyDescent="0.3">
      <c r="D1546" t="str">
        <f t="shared" si="75"/>
        <v/>
      </c>
    </row>
    <row r="1547" spans="4:4" x14ac:dyDescent="0.3">
      <c r="D1547" t="str">
        <f t="shared" si="75"/>
        <v/>
      </c>
    </row>
    <row r="1548" spans="4:4" x14ac:dyDescent="0.3">
      <c r="D1548" t="str">
        <f t="shared" si="75"/>
        <v/>
      </c>
    </row>
    <row r="1549" spans="4:4" x14ac:dyDescent="0.3">
      <c r="D1549" t="str">
        <f t="shared" si="75"/>
        <v/>
      </c>
    </row>
    <row r="1550" spans="4:4" x14ac:dyDescent="0.3">
      <c r="D1550" t="str">
        <f t="shared" si="75"/>
        <v/>
      </c>
    </row>
    <row r="1551" spans="4:4" x14ac:dyDescent="0.3">
      <c r="D1551" t="str">
        <f t="shared" si="75"/>
        <v/>
      </c>
    </row>
    <row r="1552" spans="4:4" x14ac:dyDescent="0.3">
      <c r="D1552" t="str">
        <f t="shared" si="75"/>
        <v/>
      </c>
    </row>
    <row r="1553" spans="4:4" x14ac:dyDescent="0.3">
      <c r="D1553" t="str">
        <f t="shared" si="75"/>
        <v/>
      </c>
    </row>
    <row r="1554" spans="4:4" x14ac:dyDescent="0.3">
      <c r="D1554" t="str">
        <f t="shared" si="75"/>
        <v/>
      </c>
    </row>
    <row r="1555" spans="4:4" x14ac:dyDescent="0.3">
      <c r="D1555" t="str">
        <f t="shared" si="75"/>
        <v/>
      </c>
    </row>
    <row r="1556" spans="4:4" x14ac:dyDescent="0.3">
      <c r="D1556" t="str">
        <f t="shared" si="75"/>
        <v/>
      </c>
    </row>
    <row r="1557" spans="4:4" x14ac:dyDescent="0.3">
      <c r="D1557" t="str">
        <f t="shared" si="75"/>
        <v/>
      </c>
    </row>
    <row r="1558" spans="4:4" x14ac:dyDescent="0.3">
      <c r="D1558" t="str">
        <f t="shared" si="75"/>
        <v/>
      </c>
    </row>
    <row r="1559" spans="4:4" x14ac:dyDescent="0.3">
      <c r="D1559" t="str">
        <f t="shared" si="75"/>
        <v/>
      </c>
    </row>
    <row r="1560" spans="4:4" x14ac:dyDescent="0.3">
      <c r="D1560" t="str">
        <f t="shared" si="75"/>
        <v/>
      </c>
    </row>
    <row r="1561" spans="4:4" x14ac:dyDescent="0.3">
      <c r="D1561" t="str">
        <f t="shared" si="75"/>
        <v/>
      </c>
    </row>
    <row r="1562" spans="4:4" x14ac:dyDescent="0.3">
      <c r="D1562" t="str">
        <f t="shared" si="75"/>
        <v/>
      </c>
    </row>
    <row r="1563" spans="4:4" x14ac:dyDescent="0.3">
      <c r="D1563" t="str">
        <f t="shared" si="75"/>
        <v/>
      </c>
    </row>
    <row r="1564" spans="4:4" x14ac:dyDescent="0.3">
      <c r="D1564" t="str">
        <f t="shared" si="75"/>
        <v/>
      </c>
    </row>
    <row r="1565" spans="4:4" x14ac:dyDescent="0.3">
      <c r="D1565" t="str">
        <f t="shared" si="75"/>
        <v/>
      </c>
    </row>
    <row r="1566" spans="4:4" x14ac:dyDescent="0.3">
      <c r="D1566" t="str">
        <f t="shared" si="75"/>
        <v/>
      </c>
    </row>
    <row r="1567" spans="4:4" x14ac:dyDescent="0.3">
      <c r="D1567" t="str">
        <f t="shared" si="75"/>
        <v/>
      </c>
    </row>
    <row r="1568" spans="4:4" x14ac:dyDescent="0.3">
      <c r="D1568" t="str">
        <f t="shared" si="75"/>
        <v/>
      </c>
    </row>
    <row r="1569" spans="4:4" x14ac:dyDescent="0.3">
      <c r="D1569" t="str">
        <f t="shared" si="75"/>
        <v/>
      </c>
    </row>
    <row r="1570" spans="4:4" x14ac:dyDescent="0.3">
      <c r="D1570" t="str">
        <f t="shared" si="75"/>
        <v/>
      </c>
    </row>
    <row r="1571" spans="4:4" x14ac:dyDescent="0.3">
      <c r="D1571" t="str">
        <f t="shared" si="75"/>
        <v/>
      </c>
    </row>
    <row r="1572" spans="4:4" x14ac:dyDescent="0.3">
      <c r="D1572" t="str">
        <f t="shared" si="75"/>
        <v/>
      </c>
    </row>
    <row r="1573" spans="4:4" x14ac:dyDescent="0.3">
      <c r="D1573" t="str">
        <f t="shared" si="75"/>
        <v/>
      </c>
    </row>
    <row r="1574" spans="4:4" x14ac:dyDescent="0.3">
      <c r="D1574" t="str">
        <f t="shared" si="75"/>
        <v/>
      </c>
    </row>
    <row r="1575" spans="4:4" x14ac:dyDescent="0.3">
      <c r="D1575" t="str">
        <f t="shared" si="75"/>
        <v/>
      </c>
    </row>
    <row r="1576" spans="4:4" x14ac:dyDescent="0.3">
      <c r="D1576" t="str">
        <f t="shared" si="75"/>
        <v/>
      </c>
    </row>
    <row r="1577" spans="4:4" x14ac:dyDescent="0.3">
      <c r="D1577" t="str">
        <f t="shared" si="75"/>
        <v/>
      </c>
    </row>
    <row r="1578" spans="4:4" x14ac:dyDescent="0.3">
      <c r="D1578" t="str">
        <f t="shared" si="75"/>
        <v/>
      </c>
    </row>
    <row r="1579" spans="4:4" x14ac:dyDescent="0.3">
      <c r="D1579" t="str">
        <f t="shared" si="75"/>
        <v/>
      </c>
    </row>
    <row r="1580" spans="4:4" x14ac:dyDescent="0.3">
      <c r="D1580" t="str">
        <f t="shared" si="75"/>
        <v/>
      </c>
    </row>
    <row r="1581" spans="4:4" x14ac:dyDescent="0.3">
      <c r="D1581" t="str">
        <f t="shared" si="75"/>
        <v/>
      </c>
    </row>
    <row r="1582" spans="4:4" x14ac:dyDescent="0.3">
      <c r="D1582" t="str">
        <f t="shared" si="75"/>
        <v/>
      </c>
    </row>
    <row r="1583" spans="4:4" x14ac:dyDescent="0.3">
      <c r="D1583" t="str">
        <f t="shared" si="75"/>
        <v/>
      </c>
    </row>
    <row r="1584" spans="4:4" x14ac:dyDescent="0.3">
      <c r="D1584" t="str">
        <f t="shared" si="75"/>
        <v/>
      </c>
    </row>
    <row r="1585" spans="4:4" x14ac:dyDescent="0.3">
      <c r="D1585" t="str">
        <f t="shared" si="75"/>
        <v/>
      </c>
    </row>
    <row r="1586" spans="4:4" x14ac:dyDescent="0.3">
      <c r="D1586" t="str">
        <f t="shared" si="75"/>
        <v/>
      </c>
    </row>
    <row r="1587" spans="4:4" x14ac:dyDescent="0.3">
      <c r="D1587" t="str">
        <f t="shared" si="75"/>
        <v/>
      </c>
    </row>
    <row r="1588" spans="4:4" x14ac:dyDescent="0.3">
      <c r="D1588" t="str">
        <f t="shared" si="75"/>
        <v/>
      </c>
    </row>
    <row r="1589" spans="4:4" x14ac:dyDescent="0.3">
      <c r="D1589" t="str">
        <f t="shared" si="75"/>
        <v/>
      </c>
    </row>
    <row r="1590" spans="4:4" x14ac:dyDescent="0.3">
      <c r="D1590" t="str">
        <f t="shared" si="75"/>
        <v/>
      </c>
    </row>
    <row r="1591" spans="4:4" x14ac:dyDescent="0.3">
      <c r="D1591" t="str">
        <f t="shared" si="75"/>
        <v/>
      </c>
    </row>
    <row r="1592" spans="4:4" x14ac:dyDescent="0.3">
      <c r="D1592" t="str">
        <f t="shared" si="75"/>
        <v/>
      </c>
    </row>
    <row r="1593" spans="4:4" x14ac:dyDescent="0.3">
      <c r="D1593" t="str">
        <f t="shared" si="75"/>
        <v/>
      </c>
    </row>
    <row r="1594" spans="4:4" x14ac:dyDescent="0.3">
      <c r="D1594" t="str">
        <f t="shared" si="75"/>
        <v/>
      </c>
    </row>
    <row r="1595" spans="4:4" x14ac:dyDescent="0.3">
      <c r="D1595" t="str">
        <f t="shared" si="75"/>
        <v/>
      </c>
    </row>
    <row r="1596" spans="4:4" x14ac:dyDescent="0.3">
      <c r="D1596" t="str">
        <f t="shared" si="75"/>
        <v/>
      </c>
    </row>
    <row r="1597" spans="4:4" x14ac:dyDescent="0.3">
      <c r="D1597" t="str">
        <f t="shared" si="75"/>
        <v/>
      </c>
    </row>
    <row r="1598" spans="4:4" x14ac:dyDescent="0.3">
      <c r="D1598" t="str">
        <f t="shared" si="75"/>
        <v/>
      </c>
    </row>
    <row r="1599" spans="4:4" x14ac:dyDescent="0.3">
      <c r="D1599" t="str">
        <f t="shared" si="75"/>
        <v/>
      </c>
    </row>
    <row r="1600" spans="4:4" x14ac:dyDescent="0.3">
      <c r="D1600" t="str">
        <f t="shared" si="75"/>
        <v/>
      </c>
    </row>
    <row r="1601" spans="4:4" x14ac:dyDescent="0.3">
      <c r="D1601" t="str">
        <f t="shared" si="75"/>
        <v/>
      </c>
    </row>
    <row r="1602" spans="4:4" x14ac:dyDescent="0.3">
      <c r="D1602" t="str">
        <f t="shared" si="75"/>
        <v/>
      </c>
    </row>
    <row r="1603" spans="4:4" x14ac:dyDescent="0.3">
      <c r="D1603" t="str">
        <f t="shared" si="75"/>
        <v/>
      </c>
    </row>
    <row r="1604" spans="4:4" x14ac:dyDescent="0.3">
      <c r="D1604" t="str">
        <f t="shared" si="75"/>
        <v/>
      </c>
    </row>
    <row r="1605" spans="4:4" x14ac:dyDescent="0.3">
      <c r="D1605" t="str">
        <f t="shared" si="75"/>
        <v/>
      </c>
    </row>
    <row r="1606" spans="4:4" x14ac:dyDescent="0.3">
      <c r="D1606" t="str">
        <f t="shared" si="75"/>
        <v/>
      </c>
    </row>
    <row r="1607" spans="4:4" x14ac:dyDescent="0.3">
      <c r="D1607" t="str">
        <f t="shared" si="75"/>
        <v/>
      </c>
    </row>
    <row r="1608" spans="4:4" x14ac:dyDescent="0.3">
      <c r="D1608" t="str">
        <f t="shared" si="75"/>
        <v/>
      </c>
    </row>
    <row r="1609" spans="4:4" x14ac:dyDescent="0.3">
      <c r="D1609" t="str">
        <f t="shared" ref="D1609:D1672" si="76">IF(LEFT(A1609,2)="SP",MID(A1609,4,4),IF(LEFT(A1609,1)="X",MID(A1609,3,4),""))</f>
        <v/>
      </c>
    </row>
    <row r="1610" spans="4:4" x14ac:dyDescent="0.3">
      <c r="D1610" t="str">
        <f t="shared" si="76"/>
        <v/>
      </c>
    </row>
    <row r="1611" spans="4:4" x14ac:dyDescent="0.3">
      <c r="D1611" t="str">
        <f t="shared" si="76"/>
        <v/>
      </c>
    </row>
    <row r="1612" spans="4:4" x14ac:dyDescent="0.3">
      <c r="D1612" t="str">
        <f t="shared" si="76"/>
        <v/>
      </c>
    </row>
    <row r="1613" spans="4:4" x14ac:dyDescent="0.3">
      <c r="D1613" t="str">
        <f t="shared" si="76"/>
        <v/>
      </c>
    </row>
    <row r="1614" spans="4:4" x14ac:dyDescent="0.3">
      <c r="D1614" t="str">
        <f t="shared" si="76"/>
        <v/>
      </c>
    </row>
    <row r="1615" spans="4:4" x14ac:dyDescent="0.3">
      <c r="D1615" t="str">
        <f t="shared" si="76"/>
        <v/>
      </c>
    </row>
    <row r="1616" spans="4:4" x14ac:dyDescent="0.3">
      <c r="D1616" t="str">
        <f t="shared" si="76"/>
        <v/>
      </c>
    </row>
    <row r="1617" spans="4:4" x14ac:dyDescent="0.3">
      <c r="D1617" t="str">
        <f t="shared" si="76"/>
        <v/>
      </c>
    </row>
    <row r="1618" spans="4:4" x14ac:dyDescent="0.3">
      <c r="D1618" t="str">
        <f t="shared" si="76"/>
        <v/>
      </c>
    </row>
    <row r="1619" spans="4:4" x14ac:dyDescent="0.3">
      <c r="D1619" t="str">
        <f t="shared" si="76"/>
        <v/>
      </c>
    </row>
    <row r="1620" spans="4:4" x14ac:dyDescent="0.3">
      <c r="D1620" t="str">
        <f t="shared" si="76"/>
        <v/>
      </c>
    </row>
    <row r="1621" spans="4:4" x14ac:dyDescent="0.3">
      <c r="D1621" t="str">
        <f t="shared" si="76"/>
        <v/>
      </c>
    </row>
    <row r="1622" spans="4:4" x14ac:dyDescent="0.3">
      <c r="D1622" t="str">
        <f t="shared" si="76"/>
        <v/>
      </c>
    </row>
    <row r="1623" spans="4:4" x14ac:dyDescent="0.3">
      <c r="D1623" t="str">
        <f t="shared" si="76"/>
        <v/>
      </c>
    </row>
    <row r="1624" spans="4:4" x14ac:dyDescent="0.3">
      <c r="D1624" t="str">
        <f t="shared" si="76"/>
        <v/>
      </c>
    </row>
    <row r="1625" spans="4:4" x14ac:dyDescent="0.3">
      <c r="D1625" t="str">
        <f t="shared" si="76"/>
        <v/>
      </c>
    </row>
    <row r="1626" spans="4:4" x14ac:dyDescent="0.3">
      <c r="D1626" t="str">
        <f t="shared" si="76"/>
        <v/>
      </c>
    </row>
    <row r="1627" spans="4:4" x14ac:dyDescent="0.3">
      <c r="D1627" t="str">
        <f t="shared" si="76"/>
        <v/>
      </c>
    </row>
    <row r="1628" spans="4:4" x14ac:dyDescent="0.3">
      <c r="D1628" t="str">
        <f t="shared" si="76"/>
        <v/>
      </c>
    </row>
    <row r="1629" spans="4:4" x14ac:dyDescent="0.3">
      <c r="D1629" t="str">
        <f t="shared" si="76"/>
        <v/>
      </c>
    </row>
    <row r="1630" spans="4:4" x14ac:dyDescent="0.3">
      <c r="D1630" t="str">
        <f t="shared" si="76"/>
        <v/>
      </c>
    </row>
    <row r="1631" spans="4:4" x14ac:dyDescent="0.3">
      <c r="D1631" t="str">
        <f t="shared" si="76"/>
        <v/>
      </c>
    </row>
    <row r="1632" spans="4:4" x14ac:dyDescent="0.3">
      <c r="D1632" t="str">
        <f t="shared" si="76"/>
        <v/>
      </c>
    </row>
    <row r="1633" spans="4:4" x14ac:dyDescent="0.3">
      <c r="D1633" t="str">
        <f t="shared" si="76"/>
        <v/>
      </c>
    </row>
    <row r="1634" spans="4:4" x14ac:dyDescent="0.3">
      <c r="D1634" t="str">
        <f t="shared" si="76"/>
        <v/>
      </c>
    </row>
    <row r="1635" spans="4:4" x14ac:dyDescent="0.3">
      <c r="D1635" t="str">
        <f t="shared" si="76"/>
        <v/>
      </c>
    </row>
    <row r="1636" spans="4:4" x14ac:dyDescent="0.3">
      <c r="D1636" t="str">
        <f t="shared" si="76"/>
        <v/>
      </c>
    </row>
    <row r="1637" spans="4:4" x14ac:dyDescent="0.3">
      <c r="D1637" t="str">
        <f t="shared" si="76"/>
        <v/>
      </c>
    </row>
    <row r="1638" spans="4:4" x14ac:dyDescent="0.3">
      <c r="D1638" t="str">
        <f t="shared" si="76"/>
        <v/>
      </c>
    </row>
    <row r="1639" spans="4:4" x14ac:dyDescent="0.3">
      <c r="D1639" t="str">
        <f t="shared" si="76"/>
        <v/>
      </c>
    </row>
    <row r="1640" spans="4:4" x14ac:dyDescent="0.3">
      <c r="D1640" t="str">
        <f t="shared" si="76"/>
        <v/>
      </c>
    </row>
    <row r="1641" spans="4:4" x14ac:dyDescent="0.3">
      <c r="D1641" t="str">
        <f t="shared" si="76"/>
        <v/>
      </c>
    </row>
    <row r="1642" spans="4:4" x14ac:dyDescent="0.3">
      <c r="D1642" t="str">
        <f t="shared" si="76"/>
        <v/>
      </c>
    </row>
    <row r="1643" spans="4:4" x14ac:dyDescent="0.3">
      <c r="D1643" t="str">
        <f t="shared" si="76"/>
        <v/>
      </c>
    </row>
    <row r="1644" spans="4:4" x14ac:dyDescent="0.3">
      <c r="D1644" t="str">
        <f t="shared" si="76"/>
        <v/>
      </c>
    </row>
    <row r="1645" spans="4:4" x14ac:dyDescent="0.3">
      <c r="D1645" t="str">
        <f t="shared" si="76"/>
        <v/>
      </c>
    </row>
    <row r="1646" spans="4:4" x14ac:dyDescent="0.3">
      <c r="D1646" t="str">
        <f t="shared" si="76"/>
        <v/>
      </c>
    </row>
    <row r="1647" spans="4:4" x14ac:dyDescent="0.3">
      <c r="D1647" t="str">
        <f t="shared" si="76"/>
        <v/>
      </c>
    </row>
    <row r="1648" spans="4:4" x14ac:dyDescent="0.3">
      <c r="D1648" t="str">
        <f t="shared" si="76"/>
        <v/>
      </c>
    </row>
    <row r="1649" spans="4:4" x14ac:dyDescent="0.3">
      <c r="D1649" t="str">
        <f t="shared" si="76"/>
        <v/>
      </c>
    </row>
    <row r="1650" spans="4:4" x14ac:dyDescent="0.3">
      <c r="D1650" t="str">
        <f t="shared" si="76"/>
        <v/>
      </c>
    </row>
    <row r="1651" spans="4:4" x14ac:dyDescent="0.3">
      <c r="D1651" t="str">
        <f t="shared" si="76"/>
        <v/>
      </c>
    </row>
    <row r="1652" spans="4:4" x14ac:dyDescent="0.3">
      <c r="D1652" t="str">
        <f t="shared" si="76"/>
        <v/>
      </c>
    </row>
    <row r="1653" spans="4:4" x14ac:dyDescent="0.3">
      <c r="D1653" t="str">
        <f t="shared" si="76"/>
        <v/>
      </c>
    </row>
    <row r="1654" spans="4:4" x14ac:dyDescent="0.3">
      <c r="D1654" t="str">
        <f t="shared" si="76"/>
        <v/>
      </c>
    </row>
    <row r="1655" spans="4:4" x14ac:dyDescent="0.3">
      <c r="D1655" t="str">
        <f t="shared" si="76"/>
        <v/>
      </c>
    </row>
    <row r="1656" spans="4:4" x14ac:dyDescent="0.3">
      <c r="D1656" t="str">
        <f t="shared" si="76"/>
        <v/>
      </c>
    </row>
    <row r="1657" spans="4:4" x14ac:dyDescent="0.3">
      <c r="D1657" t="str">
        <f t="shared" si="76"/>
        <v/>
      </c>
    </row>
    <row r="1658" spans="4:4" x14ac:dyDescent="0.3">
      <c r="D1658" t="str">
        <f t="shared" si="76"/>
        <v/>
      </c>
    </row>
    <row r="1659" spans="4:4" x14ac:dyDescent="0.3">
      <c r="D1659" t="str">
        <f t="shared" si="76"/>
        <v/>
      </c>
    </row>
    <row r="1660" spans="4:4" x14ac:dyDescent="0.3">
      <c r="D1660" t="str">
        <f t="shared" si="76"/>
        <v/>
      </c>
    </row>
    <row r="1661" spans="4:4" x14ac:dyDescent="0.3">
      <c r="D1661" t="str">
        <f t="shared" si="76"/>
        <v/>
      </c>
    </row>
    <row r="1662" spans="4:4" x14ac:dyDescent="0.3">
      <c r="D1662" t="str">
        <f t="shared" si="76"/>
        <v/>
      </c>
    </row>
    <row r="1663" spans="4:4" x14ac:dyDescent="0.3">
      <c r="D1663" t="str">
        <f t="shared" si="76"/>
        <v/>
      </c>
    </row>
    <row r="1664" spans="4:4" x14ac:dyDescent="0.3">
      <c r="D1664" t="str">
        <f t="shared" si="76"/>
        <v/>
      </c>
    </row>
    <row r="1665" spans="4:4" x14ac:dyDescent="0.3">
      <c r="D1665" t="str">
        <f t="shared" si="76"/>
        <v/>
      </c>
    </row>
    <row r="1666" spans="4:4" x14ac:dyDescent="0.3">
      <c r="D1666" t="str">
        <f t="shared" si="76"/>
        <v/>
      </c>
    </row>
    <row r="1667" spans="4:4" x14ac:dyDescent="0.3">
      <c r="D1667" t="str">
        <f t="shared" si="76"/>
        <v/>
      </c>
    </row>
    <row r="1668" spans="4:4" x14ac:dyDescent="0.3">
      <c r="D1668" t="str">
        <f t="shared" si="76"/>
        <v/>
      </c>
    </row>
    <row r="1669" spans="4:4" x14ac:dyDescent="0.3">
      <c r="D1669" t="str">
        <f t="shared" si="76"/>
        <v/>
      </c>
    </row>
    <row r="1670" spans="4:4" x14ac:dyDescent="0.3">
      <c r="D1670" t="str">
        <f t="shared" si="76"/>
        <v/>
      </c>
    </row>
    <row r="1671" spans="4:4" x14ac:dyDescent="0.3">
      <c r="D1671" t="str">
        <f t="shared" si="76"/>
        <v/>
      </c>
    </row>
    <row r="1672" spans="4:4" x14ac:dyDescent="0.3">
      <c r="D1672" t="str">
        <f t="shared" si="76"/>
        <v/>
      </c>
    </row>
    <row r="1673" spans="4:4" x14ac:dyDescent="0.3">
      <c r="D1673" t="str">
        <f t="shared" ref="D1673:D1736" si="77">IF(LEFT(A1673,2)="SP",MID(A1673,4,4),IF(LEFT(A1673,1)="X",MID(A1673,3,4),""))</f>
        <v/>
      </c>
    </row>
    <row r="1674" spans="4:4" x14ac:dyDescent="0.3">
      <c r="D1674" t="str">
        <f t="shared" si="77"/>
        <v/>
      </c>
    </row>
    <row r="1675" spans="4:4" x14ac:dyDescent="0.3">
      <c r="D1675" t="str">
        <f t="shared" si="77"/>
        <v/>
      </c>
    </row>
    <row r="1676" spans="4:4" x14ac:dyDescent="0.3">
      <c r="D1676" t="str">
        <f t="shared" si="77"/>
        <v/>
      </c>
    </row>
    <row r="1677" spans="4:4" x14ac:dyDescent="0.3">
      <c r="D1677" t="str">
        <f t="shared" si="77"/>
        <v/>
      </c>
    </row>
    <row r="1678" spans="4:4" x14ac:dyDescent="0.3">
      <c r="D1678" t="str">
        <f t="shared" si="77"/>
        <v/>
      </c>
    </row>
    <row r="1679" spans="4:4" x14ac:dyDescent="0.3">
      <c r="D1679" t="str">
        <f t="shared" si="77"/>
        <v/>
      </c>
    </row>
    <row r="1680" spans="4:4" x14ac:dyDescent="0.3">
      <c r="D1680" t="str">
        <f t="shared" si="77"/>
        <v/>
      </c>
    </row>
    <row r="1681" spans="4:4" x14ac:dyDescent="0.3">
      <c r="D1681" t="str">
        <f t="shared" si="77"/>
        <v/>
      </c>
    </row>
    <row r="1682" spans="4:4" x14ac:dyDescent="0.3">
      <c r="D1682" t="str">
        <f t="shared" si="77"/>
        <v/>
      </c>
    </row>
    <row r="1683" spans="4:4" x14ac:dyDescent="0.3">
      <c r="D1683" t="str">
        <f t="shared" si="77"/>
        <v/>
      </c>
    </row>
    <row r="1684" spans="4:4" x14ac:dyDescent="0.3">
      <c r="D1684" t="str">
        <f t="shared" si="77"/>
        <v/>
      </c>
    </row>
    <row r="1685" spans="4:4" x14ac:dyDescent="0.3">
      <c r="D1685" t="str">
        <f t="shared" si="77"/>
        <v/>
      </c>
    </row>
    <row r="1686" spans="4:4" x14ac:dyDescent="0.3">
      <c r="D1686" t="str">
        <f t="shared" si="77"/>
        <v/>
      </c>
    </row>
    <row r="1687" spans="4:4" x14ac:dyDescent="0.3">
      <c r="D1687" t="str">
        <f t="shared" si="77"/>
        <v/>
      </c>
    </row>
    <row r="1688" spans="4:4" x14ac:dyDescent="0.3">
      <c r="D1688" t="str">
        <f t="shared" si="77"/>
        <v/>
      </c>
    </row>
    <row r="1689" spans="4:4" x14ac:dyDescent="0.3">
      <c r="D1689" t="str">
        <f t="shared" si="77"/>
        <v/>
      </c>
    </row>
    <row r="1690" spans="4:4" x14ac:dyDescent="0.3">
      <c r="D1690" t="str">
        <f t="shared" si="77"/>
        <v/>
      </c>
    </row>
    <row r="1691" spans="4:4" x14ac:dyDescent="0.3">
      <c r="D1691" t="str">
        <f t="shared" si="77"/>
        <v/>
      </c>
    </row>
    <row r="1692" spans="4:4" x14ac:dyDescent="0.3">
      <c r="D1692" t="str">
        <f t="shared" si="77"/>
        <v/>
      </c>
    </row>
    <row r="1693" spans="4:4" x14ac:dyDescent="0.3">
      <c r="D1693" t="str">
        <f t="shared" si="77"/>
        <v/>
      </c>
    </row>
    <row r="1694" spans="4:4" x14ac:dyDescent="0.3">
      <c r="D1694" t="str">
        <f t="shared" si="77"/>
        <v/>
      </c>
    </row>
    <row r="1695" spans="4:4" x14ac:dyDescent="0.3">
      <c r="D1695" t="str">
        <f t="shared" si="77"/>
        <v/>
      </c>
    </row>
    <row r="1696" spans="4:4" x14ac:dyDescent="0.3">
      <c r="D1696" t="str">
        <f t="shared" si="77"/>
        <v/>
      </c>
    </row>
    <row r="1697" spans="4:4" x14ac:dyDescent="0.3">
      <c r="D1697" t="str">
        <f t="shared" si="77"/>
        <v/>
      </c>
    </row>
    <row r="1698" spans="4:4" x14ac:dyDescent="0.3">
      <c r="D1698" t="str">
        <f t="shared" si="77"/>
        <v/>
      </c>
    </row>
    <row r="1699" spans="4:4" x14ac:dyDescent="0.3">
      <c r="D1699" t="str">
        <f t="shared" si="77"/>
        <v/>
      </c>
    </row>
    <row r="1700" spans="4:4" x14ac:dyDescent="0.3">
      <c r="D1700" t="str">
        <f t="shared" si="77"/>
        <v/>
      </c>
    </row>
    <row r="1701" spans="4:4" x14ac:dyDescent="0.3">
      <c r="D1701" t="str">
        <f t="shared" si="77"/>
        <v/>
      </c>
    </row>
    <row r="1702" spans="4:4" x14ac:dyDescent="0.3">
      <c r="D1702" t="str">
        <f t="shared" si="77"/>
        <v/>
      </c>
    </row>
    <row r="1703" spans="4:4" x14ac:dyDescent="0.3">
      <c r="D1703" t="str">
        <f t="shared" si="77"/>
        <v/>
      </c>
    </row>
    <row r="1704" spans="4:4" x14ac:dyDescent="0.3">
      <c r="D1704" t="str">
        <f t="shared" si="77"/>
        <v/>
      </c>
    </row>
    <row r="1705" spans="4:4" x14ac:dyDescent="0.3">
      <c r="D1705" t="str">
        <f t="shared" si="77"/>
        <v/>
      </c>
    </row>
    <row r="1706" spans="4:4" x14ac:dyDescent="0.3">
      <c r="D1706" t="str">
        <f t="shared" si="77"/>
        <v/>
      </c>
    </row>
    <row r="1707" spans="4:4" x14ac:dyDescent="0.3">
      <c r="D1707" t="str">
        <f t="shared" si="77"/>
        <v/>
      </c>
    </row>
    <row r="1708" spans="4:4" x14ac:dyDescent="0.3">
      <c r="D1708" t="str">
        <f t="shared" si="77"/>
        <v/>
      </c>
    </row>
    <row r="1709" spans="4:4" x14ac:dyDescent="0.3">
      <c r="D1709" t="str">
        <f t="shared" si="77"/>
        <v/>
      </c>
    </row>
    <row r="1710" spans="4:4" x14ac:dyDescent="0.3">
      <c r="D1710" t="str">
        <f t="shared" si="77"/>
        <v/>
      </c>
    </row>
    <row r="1711" spans="4:4" x14ac:dyDescent="0.3">
      <c r="D1711" t="str">
        <f t="shared" si="77"/>
        <v/>
      </c>
    </row>
    <row r="1712" spans="4:4" x14ac:dyDescent="0.3">
      <c r="D1712" t="str">
        <f t="shared" si="77"/>
        <v/>
      </c>
    </row>
    <row r="1713" spans="4:4" x14ac:dyDescent="0.3">
      <c r="D1713" t="str">
        <f t="shared" si="77"/>
        <v/>
      </c>
    </row>
    <row r="1714" spans="4:4" x14ac:dyDescent="0.3">
      <c r="D1714" t="str">
        <f t="shared" si="77"/>
        <v/>
      </c>
    </row>
    <row r="1715" spans="4:4" x14ac:dyDescent="0.3">
      <c r="D1715" t="str">
        <f t="shared" si="77"/>
        <v/>
      </c>
    </row>
    <row r="1716" spans="4:4" x14ac:dyDescent="0.3">
      <c r="D1716" t="str">
        <f t="shared" si="77"/>
        <v/>
      </c>
    </row>
    <row r="1717" spans="4:4" x14ac:dyDescent="0.3">
      <c r="D1717" t="str">
        <f t="shared" si="77"/>
        <v/>
      </c>
    </row>
    <row r="1718" spans="4:4" x14ac:dyDescent="0.3">
      <c r="D1718" t="str">
        <f t="shared" si="77"/>
        <v/>
      </c>
    </row>
    <row r="1719" spans="4:4" x14ac:dyDescent="0.3">
      <c r="D1719" t="str">
        <f t="shared" si="77"/>
        <v/>
      </c>
    </row>
    <row r="1720" spans="4:4" x14ac:dyDescent="0.3">
      <c r="D1720" t="str">
        <f t="shared" si="77"/>
        <v/>
      </c>
    </row>
    <row r="1721" spans="4:4" x14ac:dyDescent="0.3">
      <c r="D1721" t="str">
        <f t="shared" si="77"/>
        <v/>
      </c>
    </row>
    <row r="1722" spans="4:4" x14ac:dyDescent="0.3">
      <c r="D1722" t="str">
        <f t="shared" si="77"/>
        <v/>
      </c>
    </row>
    <row r="1723" spans="4:4" x14ac:dyDescent="0.3">
      <c r="D1723" t="str">
        <f t="shared" si="77"/>
        <v/>
      </c>
    </row>
    <row r="1724" spans="4:4" x14ac:dyDescent="0.3">
      <c r="D1724" t="str">
        <f t="shared" si="77"/>
        <v/>
      </c>
    </row>
    <row r="1725" spans="4:4" x14ac:dyDescent="0.3">
      <c r="D1725" t="str">
        <f t="shared" si="77"/>
        <v/>
      </c>
    </row>
    <row r="1726" spans="4:4" x14ac:dyDescent="0.3">
      <c r="D1726" t="str">
        <f t="shared" si="77"/>
        <v/>
      </c>
    </row>
    <row r="1727" spans="4:4" x14ac:dyDescent="0.3">
      <c r="D1727" t="str">
        <f t="shared" si="77"/>
        <v/>
      </c>
    </row>
    <row r="1728" spans="4:4" x14ac:dyDescent="0.3">
      <c r="D1728" t="str">
        <f t="shared" si="77"/>
        <v/>
      </c>
    </row>
    <row r="1729" spans="4:4" x14ac:dyDescent="0.3">
      <c r="D1729" t="str">
        <f t="shared" si="77"/>
        <v/>
      </c>
    </row>
    <row r="1730" spans="4:4" x14ac:dyDescent="0.3">
      <c r="D1730" t="str">
        <f t="shared" si="77"/>
        <v/>
      </c>
    </row>
    <row r="1731" spans="4:4" x14ac:dyDescent="0.3">
      <c r="D1731" t="str">
        <f t="shared" si="77"/>
        <v/>
      </c>
    </row>
    <row r="1732" spans="4:4" x14ac:dyDescent="0.3">
      <c r="D1732" t="str">
        <f t="shared" si="77"/>
        <v/>
      </c>
    </row>
    <row r="1733" spans="4:4" x14ac:dyDescent="0.3">
      <c r="D1733" t="str">
        <f t="shared" si="77"/>
        <v/>
      </c>
    </row>
    <row r="1734" spans="4:4" x14ac:dyDescent="0.3">
      <c r="D1734" t="str">
        <f t="shared" si="77"/>
        <v/>
      </c>
    </row>
    <row r="1735" spans="4:4" x14ac:dyDescent="0.3">
      <c r="D1735" t="str">
        <f t="shared" si="77"/>
        <v/>
      </c>
    </row>
    <row r="1736" spans="4:4" x14ac:dyDescent="0.3">
      <c r="D1736" t="str">
        <f t="shared" si="77"/>
        <v/>
      </c>
    </row>
    <row r="1737" spans="4:4" x14ac:dyDescent="0.3">
      <c r="D1737" t="str">
        <f t="shared" ref="D1737:D1800" si="78">IF(LEFT(A1737,2)="SP",MID(A1737,4,4),IF(LEFT(A1737,1)="X",MID(A1737,3,4),""))</f>
        <v/>
      </c>
    </row>
    <row r="1738" spans="4:4" x14ac:dyDescent="0.3">
      <c r="D1738" t="str">
        <f t="shared" si="78"/>
        <v/>
      </c>
    </row>
    <row r="1739" spans="4:4" x14ac:dyDescent="0.3">
      <c r="D1739" t="str">
        <f t="shared" si="78"/>
        <v/>
      </c>
    </row>
    <row r="1740" spans="4:4" x14ac:dyDescent="0.3">
      <c r="D1740" t="str">
        <f t="shared" si="78"/>
        <v/>
      </c>
    </row>
    <row r="1741" spans="4:4" x14ac:dyDescent="0.3">
      <c r="D1741" t="str">
        <f t="shared" si="78"/>
        <v/>
      </c>
    </row>
    <row r="1742" spans="4:4" x14ac:dyDescent="0.3">
      <c r="D1742" t="str">
        <f t="shared" si="78"/>
        <v/>
      </c>
    </row>
    <row r="1743" spans="4:4" x14ac:dyDescent="0.3">
      <c r="D1743" t="str">
        <f t="shared" si="78"/>
        <v/>
      </c>
    </row>
    <row r="1744" spans="4:4" x14ac:dyDescent="0.3">
      <c r="D1744" t="str">
        <f t="shared" si="78"/>
        <v/>
      </c>
    </row>
    <row r="1745" spans="4:4" x14ac:dyDescent="0.3">
      <c r="D1745" t="str">
        <f t="shared" si="78"/>
        <v/>
      </c>
    </row>
    <row r="1746" spans="4:4" x14ac:dyDescent="0.3">
      <c r="D1746" t="str">
        <f t="shared" si="78"/>
        <v/>
      </c>
    </row>
    <row r="1747" spans="4:4" x14ac:dyDescent="0.3">
      <c r="D1747" t="str">
        <f t="shared" si="78"/>
        <v/>
      </c>
    </row>
    <row r="1748" spans="4:4" x14ac:dyDescent="0.3">
      <c r="D1748" t="str">
        <f t="shared" si="78"/>
        <v/>
      </c>
    </row>
    <row r="1749" spans="4:4" x14ac:dyDescent="0.3">
      <c r="D1749" t="str">
        <f t="shared" si="78"/>
        <v/>
      </c>
    </row>
    <row r="1750" spans="4:4" x14ac:dyDescent="0.3">
      <c r="D1750" t="str">
        <f t="shared" si="78"/>
        <v/>
      </c>
    </row>
    <row r="1751" spans="4:4" x14ac:dyDescent="0.3">
      <c r="D1751" t="str">
        <f t="shared" si="78"/>
        <v/>
      </c>
    </row>
    <row r="1752" spans="4:4" x14ac:dyDescent="0.3">
      <c r="D1752" t="str">
        <f t="shared" si="78"/>
        <v/>
      </c>
    </row>
    <row r="1753" spans="4:4" x14ac:dyDescent="0.3">
      <c r="D1753" t="str">
        <f t="shared" si="78"/>
        <v/>
      </c>
    </row>
    <row r="1754" spans="4:4" x14ac:dyDescent="0.3">
      <c r="D1754" t="str">
        <f t="shared" si="78"/>
        <v/>
      </c>
    </row>
    <row r="1755" spans="4:4" x14ac:dyDescent="0.3">
      <c r="D1755" t="str">
        <f t="shared" si="78"/>
        <v/>
      </c>
    </row>
    <row r="1756" spans="4:4" x14ac:dyDescent="0.3">
      <c r="D1756" t="str">
        <f t="shared" si="78"/>
        <v/>
      </c>
    </row>
    <row r="1757" spans="4:4" x14ac:dyDescent="0.3">
      <c r="D1757" t="str">
        <f t="shared" si="78"/>
        <v/>
      </c>
    </row>
    <row r="1758" spans="4:4" x14ac:dyDescent="0.3">
      <c r="D1758" t="str">
        <f t="shared" si="78"/>
        <v/>
      </c>
    </row>
    <row r="1759" spans="4:4" x14ac:dyDescent="0.3">
      <c r="D1759" t="str">
        <f t="shared" si="78"/>
        <v/>
      </c>
    </row>
    <row r="1760" spans="4:4" x14ac:dyDescent="0.3">
      <c r="D1760" t="str">
        <f t="shared" si="78"/>
        <v/>
      </c>
    </row>
    <row r="1761" spans="4:4" x14ac:dyDescent="0.3">
      <c r="D1761" t="str">
        <f t="shared" si="78"/>
        <v/>
      </c>
    </row>
    <row r="1762" spans="4:4" x14ac:dyDescent="0.3">
      <c r="D1762" t="str">
        <f t="shared" si="78"/>
        <v/>
      </c>
    </row>
    <row r="1763" spans="4:4" x14ac:dyDescent="0.3">
      <c r="D1763" t="str">
        <f t="shared" si="78"/>
        <v/>
      </c>
    </row>
    <row r="1764" spans="4:4" x14ac:dyDescent="0.3">
      <c r="D1764" t="str">
        <f t="shared" si="78"/>
        <v/>
      </c>
    </row>
    <row r="1765" spans="4:4" x14ac:dyDescent="0.3">
      <c r="D1765" t="str">
        <f t="shared" si="78"/>
        <v/>
      </c>
    </row>
    <row r="1766" spans="4:4" x14ac:dyDescent="0.3">
      <c r="D1766" t="str">
        <f t="shared" si="78"/>
        <v/>
      </c>
    </row>
    <row r="1767" spans="4:4" x14ac:dyDescent="0.3">
      <c r="D1767" t="str">
        <f t="shared" si="78"/>
        <v/>
      </c>
    </row>
    <row r="1768" spans="4:4" x14ac:dyDescent="0.3">
      <c r="D1768" t="str">
        <f t="shared" si="78"/>
        <v/>
      </c>
    </row>
    <row r="1769" spans="4:4" x14ac:dyDescent="0.3">
      <c r="D1769" t="str">
        <f t="shared" si="78"/>
        <v/>
      </c>
    </row>
    <row r="1770" spans="4:4" x14ac:dyDescent="0.3">
      <c r="D1770" t="str">
        <f t="shared" si="78"/>
        <v/>
      </c>
    </row>
    <row r="1771" spans="4:4" x14ac:dyDescent="0.3">
      <c r="D1771" t="str">
        <f t="shared" si="78"/>
        <v/>
      </c>
    </row>
    <row r="1772" spans="4:4" x14ac:dyDescent="0.3">
      <c r="D1772" t="str">
        <f t="shared" si="78"/>
        <v/>
      </c>
    </row>
    <row r="1773" spans="4:4" x14ac:dyDescent="0.3">
      <c r="D1773" t="str">
        <f t="shared" si="78"/>
        <v/>
      </c>
    </row>
    <row r="1774" spans="4:4" x14ac:dyDescent="0.3">
      <c r="D1774" t="str">
        <f t="shared" si="78"/>
        <v/>
      </c>
    </row>
    <row r="1775" spans="4:4" x14ac:dyDescent="0.3">
      <c r="D1775" t="str">
        <f t="shared" si="78"/>
        <v/>
      </c>
    </row>
    <row r="1776" spans="4:4" x14ac:dyDescent="0.3">
      <c r="D1776" t="str">
        <f t="shared" si="78"/>
        <v/>
      </c>
    </row>
    <row r="1777" spans="4:4" x14ac:dyDescent="0.3">
      <c r="D1777" t="str">
        <f t="shared" si="78"/>
        <v/>
      </c>
    </row>
    <row r="1778" spans="4:4" x14ac:dyDescent="0.3">
      <c r="D1778" t="str">
        <f t="shared" si="78"/>
        <v/>
      </c>
    </row>
    <row r="1779" spans="4:4" x14ac:dyDescent="0.3">
      <c r="D1779" t="str">
        <f t="shared" si="78"/>
        <v/>
      </c>
    </row>
    <row r="1780" spans="4:4" x14ac:dyDescent="0.3">
      <c r="D1780" t="str">
        <f t="shared" si="78"/>
        <v/>
      </c>
    </row>
    <row r="1781" spans="4:4" x14ac:dyDescent="0.3">
      <c r="D1781" t="str">
        <f t="shared" si="78"/>
        <v/>
      </c>
    </row>
    <row r="1782" spans="4:4" x14ac:dyDescent="0.3">
      <c r="D1782" t="str">
        <f t="shared" si="78"/>
        <v/>
      </c>
    </row>
    <row r="1783" spans="4:4" x14ac:dyDescent="0.3">
      <c r="D1783" t="str">
        <f t="shared" si="78"/>
        <v/>
      </c>
    </row>
    <row r="1784" spans="4:4" x14ac:dyDescent="0.3">
      <c r="D1784" t="str">
        <f t="shared" si="78"/>
        <v/>
      </c>
    </row>
    <row r="1785" spans="4:4" x14ac:dyDescent="0.3">
      <c r="D1785" t="str">
        <f t="shared" si="78"/>
        <v/>
      </c>
    </row>
    <row r="1786" spans="4:4" x14ac:dyDescent="0.3">
      <c r="D1786" t="str">
        <f t="shared" si="78"/>
        <v/>
      </c>
    </row>
    <row r="1787" spans="4:4" x14ac:dyDescent="0.3">
      <c r="D1787" t="str">
        <f t="shared" si="78"/>
        <v/>
      </c>
    </row>
    <row r="1788" spans="4:4" x14ac:dyDescent="0.3">
      <c r="D1788" t="str">
        <f t="shared" si="78"/>
        <v/>
      </c>
    </row>
    <row r="1789" spans="4:4" x14ac:dyDescent="0.3">
      <c r="D1789" t="str">
        <f t="shared" si="78"/>
        <v/>
      </c>
    </row>
    <row r="1790" spans="4:4" x14ac:dyDescent="0.3">
      <c r="D1790" t="str">
        <f t="shared" si="78"/>
        <v/>
      </c>
    </row>
    <row r="1791" spans="4:4" x14ac:dyDescent="0.3">
      <c r="D1791" t="str">
        <f t="shared" si="78"/>
        <v/>
      </c>
    </row>
    <row r="1792" spans="4:4" x14ac:dyDescent="0.3">
      <c r="D1792" t="str">
        <f t="shared" si="78"/>
        <v/>
      </c>
    </row>
    <row r="1793" spans="4:4" x14ac:dyDescent="0.3">
      <c r="D1793" t="str">
        <f t="shared" si="78"/>
        <v/>
      </c>
    </row>
    <row r="1794" spans="4:4" x14ac:dyDescent="0.3">
      <c r="D1794" t="str">
        <f t="shared" si="78"/>
        <v/>
      </c>
    </row>
    <row r="1795" spans="4:4" x14ac:dyDescent="0.3">
      <c r="D1795" t="str">
        <f t="shared" si="78"/>
        <v/>
      </c>
    </row>
    <row r="1796" spans="4:4" x14ac:dyDescent="0.3">
      <c r="D1796" t="str">
        <f t="shared" si="78"/>
        <v/>
      </c>
    </row>
    <row r="1797" spans="4:4" x14ac:dyDescent="0.3">
      <c r="D1797" t="str">
        <f t="shared" si="78"/>
        <v/>
      </c>
    </row>
    <row r="1798" spans="4:4" x14ac:dyDescent="0.3">
      <c r="D1798" t="str">
        <f t="shared" si="78"/>
        <v/>
      </c>
    </row>
    <row r="1799" spans="4:4" x14ac:dyDescent="0.3">
      <c r="D1799" t="str">
        <f t="shared" si="78"/>
        <v/>
      </c>
    </row>
    <row r="1800" spans="4:4" x14ac:dyDescent="0.3">
      <c r="D1800" t="str">
        <f t="shared" si="78"/>
        <v/>
      </c>
    </row>
    <row r="1801" spans="4:4" x14ac:dyDescent="0.3">
      <c r="D1801" t="str">
        <f t="shared" ref="D1801:D1864" si="79">IF(LEFT(A1801,2)="SP",MID(A1801,4,4),IF(LEFT(A1801,1)="X",MID(A1801,3,4),""))</f>
        <v/>
      </c>
    </row>
    <row r="1802" spans="4:4" x14ac:dyDescent="0.3">
      <c r="D1802" t="str">
        <f t="shared" si="79"/>
        <v/>
      </c>
    </row>
    <row r="1803" spans="4:4" x14ac:dyDescent="0.3">
      <c r="D1803" t="str">
        <f t="shared" si="79"/>
        <v/>
      </c>
    </row>
    <row r="1804" spans="4:4" x14ac:dyDescent="0.3">
      <c r="D1804" t="str">
        <f t="shared" si="79"/>
        <v/>
      </c>
    </row>
    <row r="1805" spans="4:4" x14ac:dyDescent="0.3">
      <c r="D1805" t="str">
        <f t="shared" si="79"/>
        <v/>
      </c>
    </row>
    <row r="1806" spans="4:4" x14ac:dyDescent="0.3">
      <c r="D1806" t="str">
        <f t="shared" si="79"/>
        <v/>
      </c>
    </row>
    <row r="1807" spans="4:4" x14ac:dyDescent="0.3">
      <c r="D1807" t="str">
        <f t="shared" si="79"/>
        <v/>
      </c>
    </row>
    <row r="1808" spans="4:4" x14ac:dyDescent="0.3">
      <c r="D1808" t="str">
        <f t="shared" si="79"/>
        <v/>
      </c>
    </row>
    <row r="1809" spans="4:4" x14ac:dyDescent="0.3">
      <c r="D1809" t="str">
        <f t="shared" si="79"/>
        <v/>
      </c>
    </row>
    <row r="1810" spans="4:4" x14ac:dyDescent="0.3">
      <c r="D1810" t="str">
        <f t="shared" si="79"/>
        <v/>
      </c>
    </row>
    <row r="1811" spans="4:4" x14ac:dyDescent="0.3">
      <c r="D1811" t="str">
        <f t="shared" si="79"/>
        <v/>
      </c>
    </row>
    <row r="1812" spans="4:4" x14ac:dyDescent="0.3">
      <c r="D1812" t="str">
        <f t="shared" si="79"/>
        <v/>
      </c>
    </row>
    <row r="1813" spans="4:4" x14ac:dyDescent="0.3">
      <c r="D1813" t="str">
        <f t="shared" si="79"/>
        <v/>
      </c>
    </row>
    <row r="1814" spans="4:4" x14ac:dyDescent="0.3">
      <c r="D1814" t="str">
        <f t="shared" si="79"/>
        <v/>
      </c>
    </row>
    <row r="1815" spans="4:4" x14ac:dyDescent="0.3">
      <c r="D1815" t="str">
        <f t="shared" si="79"/>
        <v/>
      </c>
    </row>
    <row r="1816" spans="4:4" x14ac:dyDescent="0.3">
      <c r="D1816" t="str">
        <f t="shared" si="79"/>
        <v/>
      </c>
    </row>
    <row r="1817" spans="4:4" x14ac:dyDescent="0.3">
      <c r="D1817" t="str">
        <f t="shared" si="79"/>
        <v/>
      </c>
    </row>
    <row r="1818" spans="4:4" x14ac:dyDescent="0.3">
      <c r="D1818" t="str">
        <f t="shared" si="79"/>
        <v/>
      </c>
    </row>
    <row r="1819" spans="4:4" x14ac:dyDescent="0.3">
      <c r="D1819" t="str">
        <f t="shared" si="79"/>
        <v/>
      </c>
    </row>
    <row r="1820" spans="4:4" x14ac:dyDescent="0.3">
      <c r="D1820" t="str">
        <f t="shared" si="79"/>
        <v/>
      </c>
    </row>
    <row r="1821" spans="4:4" x14ac:dyDescent="0.3">
      <c r="D1821" t="str">
        <f t="shared" si="79"/>
        <v/>
      </c>
    </row>
    <row r="1822" spans="4:4" x14ac:dyDescent="0.3">
      <c r="D1822" t="str">
        <f t="shared" si="79"/>
        <v/>
      </c>
    </row>
    <row r="1823" spans="4:4" x14ac:dyDescent="0.3">
      <c r="D1823" t="str">
        <f t="shared" si="79"/>
        <v/>
      </c>
    </row>
    <row r="1824" spans="4:4" x14ac:dyDescent="0.3">
      <c r="D1824" t="str">
        <f t="shared" si="79"/>
        <v/>
      </c>
    </row>
    <row r="1825" spans="4:4" x14ac:dyDescent="0.3">
      <c r="D1825" t="str">
        <f t="shared" si="79"/>
        <v/>
      </c>
    </row>
    <row r="1826" spans="4:4" x14ac:dyDescent="0.3">
      <c r="D1826" t="str">
        <f t="shared" si="79"/>
        <v/>
      </c>
    </row>
    <row r="1827" spans="4:4" x14ac:dyDescent="0.3">
      <c r="D1827" t="str">
        <f t="shared" si="79"/>
        <v/>
      </c>
    </row>
    <row r="1828" spans="4:4" x14ac:dyDescent="0.3">
      <c r="D1828" t="str">
        <f t="shared" si="79"/>
        <v/>
      </c>
    </row>
    <row r="1829" spans="4:4" x14ac:dyDescent="0.3">
      <c r="D1829" t="str">
        <f t="shared" si="79"/>
        <v/>
      </c>
    </row>
    <row r="1830" spans="4:4" x14ac:dyDescent="0.3">
      <c r="D1830" t="str">
        <f t="shared" si="79"/>
        <v/>
      </c>
    </row>
    <row r="1831" spans="4:4" x14ac:dyDescent="0.3">
      <c r="D1831" t="str">
        <f t="shared" si="79"/>
        <v/>
      </c>
    </row>
    <row r="1832" spans="4:4" x14ac:dyDescent="0.3">
      <c r="D1832" t="str">
        <f t="shared" si="79"/>
        <v/>
      </c>
    </row>
    <row r="1833" spans="4:4" x14ac:dyDescent="0.3">
      <c r="D1833" t="str">
        <f t="shared" si="79"/>
        <v/>
      </c>
    </row>
    <row r="1834" spans="4:4" x14ac:dyDescent="0.3">
      <c r="D1834" t="str">
        <f t="shared" si="79"/>
        <v/>
      </c>
    </row>
    <row r="1835" spans="4:4" x14ac:dyDescent="0.3">
      <c r="D1835" t="str">
        <f t="shared" si="79"/>
        <v/>
      </c>
    </row>
    <row r="1836" spans="4:4" x14ac:dyDescent="0.3">
      <c r="D1836" t="str">
        <f t="shared" si="79"/>
        <v/>
      </c>
    </row>
    <row r="1837" spans="4:4" x14ac:dyDescent="0.3">
      <c r="D1837" t="str">
        <f t="shared" si="79"/>
        <v/>
      </c>
    </row>
    <row r="1838" spans="4:4" x14ac:dyDescent="0.3">
      <c r="D1838" t="str">
        <f t="shared" si="79"/>
        <v/>
      </c>
    </row>
    <row r="1839" spans="4:4" x14ac:dyDescent="0.3">
      <c r="D1839" t="str">
        <f t="shared" si="79"/>
        <v/>
      </c>
    </row>
    <row r="1840" spans="4:4" x14ac:dyDescent="0.3">
      <c r="D1840" t="str">
        <f t="shared" si="79"/>
        <v/>
      </c>
    </row>
    <row r="1841" spans="4:4" x14ac:dyDescent="0.3">
      <c r="D1841" t="str">
        <f t="shared" si="79"/>
        <v/>
      </c>
    </row>
    <row r="1842" spans="4:4" x14ac:dyDescent="0.3">
      <c r="D1842" t="str">
        <f t="shared" si="79"/>
        <v/>
      </c>
    </row>
    <row r="1843" spans="4:4" x14ac:dyDescent="0.3">
      <c r="D1843" t="str">
        <f t="shared" si="79"/>
        <v/>
      </c>
    </row>
    <row r="1844" spans="4:4" x14ac:dyDescent="0.3">
      <c r="D1844" t="str">
        <f t="shared" si="79"/>
        <v/>
      </c>
    </row>
    <row r="1845" spans="4:4" x14ac:dyDescent="0.3">
      <c r="D1845" t="str">
        <f t="shared" si="79"/>
        <v/>
      </c>
    </row>
    <row r="1846" spans="4:4" x14ac:dyDescent="0.3">
      <c r="D1846" t="str">
        <f t="shared" si="79"/>
        <v/>
      </c>
    </row>
    <row r="1847" spans="4:4" x14ac:dyDescent="0.3">
      <c r="D1847" t="str">
        <f t="shared" si="79"/>
        <v/>
      </c>
    </row>
    <row r="1848" spans="4:4" x14ac:dyDescent="0.3">
      <c r="D1848" t="str">
        <f t="shared" si="79"/>
        <v/>
      </c>
    </row>
    <row r="1849" spans="4:4" x14ac:dyDescent="0.3">
      <c r="D1849" t="str">
        <f t="shared" si="79"/>
        <v/>
      </c>
    </row>
    <row r="1850" spans="4:4" x14ac:dyDescent="0.3">
      <c r="D1850" t="str">
        <f t="shared" si="79"/>
        <v/>
      </c>
    </row>
    <row r="1851" spans="4:4" x14ac:dyDescent="0.3">
      <c r="D1851" t="str">
        <f t="shared" si="79"/>
        <v/>
      </c>
    </row>
    <row r="1852" spans="4:4" x14ac:dyDescent="0.3">
      <c r="D1852" t="str">
        <f t="shared" si="79"/>
        <v/>
      </c>
    </row>
    <row r="1853" spans="4:4" x14ac:dyDescent="0.3">
      <c r="D1853" t="str">
        <f t="shared" si="79"/>
        <v/>
      </c>
    </row>
    <row r="1854" spans="4:4" x14ac:dyDescent="0.3">
      <c r="D1854" t="str">
        <f t="shared" si="79"/>
        <v/>
      </c>
    </row>
    <row r="1855" spans="4:4" x14ac:dyDescent="0.3">
      <c r="D1855" t="str">
        <f t="shared" si="79"/>
        <v/>
      </c>
    </row>
    <row r="1856" spans="4:4" x14ac:dyDescent="0.3">
      <c r="D1856" t="str">
        <f t="shared" si="79"/>
        <v/>
      </c>
    </row>
    <row r="1857" spans="4:4" x14ac:dyDescent="0.3">
      <c r="D1857" t="str">
        <f t="shared" si="79"/>
        <v/>
      </c>
    </row>
    <row r="1858" spans="4:4" x14ac:dyDescent="0.3">
      <c r="D1858" t="str">
        <f t="shared" si="79"/>
        <v/>
      </c>
    </row>
    <row r="1859" spans="4:4" x14ac:dyDescent="0.3">
      <c r="D1859" t="str">
        <f t="shared" si="79"/>
        <v/>
      </c>
    </row>
    <row r="1860" spans="4:4" x14ac:dyDescent="0.3">
      <c r="D1860" t="str">
        <f t="shared" si="79"/>
        <v/>
      </c>
    </row>
    <row r="1861" spans="4:4" x14ac:dyDescent="0.3">
      <c r="D1861" t="str">
        <f t="shared" si="79"/>
        <v/>
      </c>
    </row>
    <row r="1862" spans="4:4" x14ac:dyDescent="0.3">
      <c r="D1862" t="str">
        <f t="shared" si="79"/>
        <v/>
      </c>
    </row>
    <row r="1863" spans="4:4" x14ac:dyDescent="0.3">
      <c r="D1863" t="str">
        <f t="shared" si="79"/>
        <v/>
      </c>
    </row>
    <row r="1864" spans="4:4" x14ac:dyDescent="0.3">
      <c r="D1864" t="str">
        <f t="shared" si="79"/>
        <v/>
      </c>
    </row>
    <row r="1865" spans="4:4" x14ac:dyDescent="0.3">
      <c r="D1865" t="str">
        <f t="shared" ref="D1865:D1928" si="80">IF(LEFT(A1865,2)="SP",MID(A1865,4,4),IF(LEFT(A1865,1)="X",MID(A1865,3,4),""))</f>
        <v/>
      </c>
    </row>
    <row r="1866" spans="4:4" x14ac:dyDescent="0.3">
      <c r="D1866" t="str">
        <f t="shared" si="80"/>
        <v/>
      </c>
    </row>
    <row r="1867" spans="4:4" x14ac:dyDescent="0.3">
      <c r="D1867" t="str">
        <f t="shared" si="80"/>
        <v/>
      </c>
    </row>
    <row r="1868" spans="4:4" x14ac:dyDescent="0.3">
      <c r="D1868" t="str">
        <f t="shared" si="80"/>
        <v/>
      </c>
    </row>
    <row r="1869" spans="4:4" x14ac:dyDescent="0.3">
      <c r="D1869" t="str">
        <f t="shared" si="80"/>
        <v/>
      </c>
    </row>
    <row r="1870" spans="4:4" x14ac:dyDescent="0.3">
      <c r="D1870" t="str">
        <f t="shared" si="80"/>
        <v/>
      </c>
    </row>
    <row r="1871" spans="4:4" x14ac:dyDescent="0.3">
      <c r="D1871" t="str">
        <f t="shared" si="80"/>
        <v/>
      </c>
    </row>
    <row r="1872" spans="4:4" x14ac:dyDescent="0.3">
      <c r="D1872" t="str">
        <f t="shared" si="80"/>
        <v/>
      </c>
    </row>
    <row r="1873" spans="4:4" x14ac:dyDescent="0.3">
      <c r="D1873" t="str">
        <f t="shared" si="80"/>
        <v/>
      </c>
    </row>
    <row r="1874" spans="4:4" x14ac:dyDescent="0.3">
      <c r="D1874" t="str">
        <f t="shared" si="80"/>
        <v/>
      </c>
    </row>
    <row r="1875" spans="4:4" x14ac:dyDescent="0.3">
      <c r="D1875" t="str">
        <f t="shared" si="80"/>
        <v/>
      </c>
    </row>
    <row r="1876" spans="4:4" x14ac:dyDescent="0.3">
      <c r="D1876" t="str">
        <f t="shared" si="80"/>
        <v/>
      </c>
    </row>
    <row r="1877" spans="4:4" x14ac:dyDescent="0.3">
      <c r="D1877" t="str">
        <f t="shared" si="80"/>
        <v/>
      </c>
    </row>
    <row r="1878" spans="4:4" x14ac:dyDescent="0.3">
      <c r="D1878" t="str">
        <f t="shared" si="80"/>
        <v/>
      </c>
    </row>
    <row r="1879" spans="4:4" x14ac:dyDescent="0.3">
      <c r="D1879" t="str">
        <f t="shared" si="80"/>
        <v/>
      </c>
    </row>
    <row r="1880" spans="4:4" x14ac:dyDescent="0.3">
      <c r="D1880" t="str">
        <f t="shared" si="80"/>
        <v/>
      </c>
    </row>
    <row r="1881" spans="4:4" x14ac:dyDescent="0.3">
      <c r="D1881" t="str">
        <f t="shared" si="80"/>
        <v/>
      </c>
    </row>
    <row r="1882" spans="4:4" x14ac:dyDescent="0.3">
      <c r="D1882" t="str">
        <f t="shared" si="80"/>
        <v/>
      </c>
    </row>
    <row r="1883" spans="4:4" x14ac:dyDescent="0.3">
      <c r="D1883" t="str">
        <f t="shared" si="80"/>
        <v/>
      </c>
    </row>
    <row r="1884" spans="4:4" x14ac:dyDescent="0.3">
      <c r="D1884" t="str">
        <f t="shared" si="80"/>
        <v/>
      </c>
    </row>
    <row r="1885" spans="4:4" x14ac:dyDescent="0.3">
      <c r="D1885" t="str">
        <f t="shared" si="80"/>
        <v/>
      </c>
    </row>
    <row r="1886" spans="4:4" x14ac:dyDescent="0.3">
      <c r="D1886" t="str">
        <f t="shared" si="80"/>
        <v/>
      </c>
    </row>
    <row r="1887" spans="4:4" x14ac:dyDescent="0.3">
      <c r="D1887" t="str">
        <f t="shared" si="80"/>
        <v/>
      </c>
    </row>
    <row r="1888" spans="4:4" x14ac:dyDescent="0.3">
      <c r="D1888" t="str">
        <f t="shared" si="80"/>
        <v/>
      </c>
    </row>
    <row r="1889" spans="4:4" x14ac:dyDescent="0.3">
      <c r="D1889" t="str">
        <f t="shared" si="80"/>
        <v/>
      </c>
    </row>
    <row r="1890" spans="4:4" x14ac:dyDescent="0.3">
      <c r="D1890" t="str">
        <f t="shared" si="80"/>
        <v/>
      </c>
    </row>
    <row r="1891" spans="4:4" x14ac:dyDescent="0.3">
      <c r="D1891" t="str">
        <f t="shared" si="80"/>
        <v/>
      </c>
    </row>
    <row r="1892" spans="4:4" x14ac:dyDescent="0.3">
      <c r="D1892" t="str">
        <f t="shared" si="80"/>
        <v/>
      </c>
    </row>
    <row r="1893" spans="4:4" x14ac:dyDescent="0.3">
      <c r="D1893" t="str">
        <f t="shared" si="80"/>
        <v/>
      </c>
    </row>
    <row r="1894" spans="4:4" x14ac:dyDescent="0.3">
      <c r="D1894" t="str">
        <f t="shared" si="80"/>
        <v/>
      </c>
    </row>
    <row r="1895" spans="4:4" x14ac:dyDescent="0.3">
      <c r="D1895" t="str">
        <f t="shared" si="80"/>
        <v/>
      </c>
    </row>
    <row r="1896" spans="4:4" x14ac:dyDescent="0.3">
      <c r="D1896" t="str">
        <f t="shared" si="80"/>
        <v/>
      </c>
    </row>
    <row r="1897" spans="4:4" x14ac:dyDescent="0.3">
      <c r="D1897" t="str">
        <f t="shared" si="80"/>
        <v/>
      </c>
    </row>
    <row r="1898" spans="4:4" x14ac:dyDescent="0.3">
      <c r="D1898" t="str">
        <f t="shared" si="80"/>
        <v/>
      </c>
    </row>
    <row r="1899" spans="4:4" x14ac:dyDescent="0.3">
      <c r="D1899" t="str">
        <f t="shared" si="80"/>
        <v/>
      </c>
    </row>
    <row r="1900" spans="4:4" x14ac:dyDescent="0.3">
      <c r="D1900" t="str">
        <f t="shared" si="80"/>
        <v/>
      </c>
    </row>
    <row r="1901" spans="4:4" x14ac:dyDescent="0.3">
      <c r="D1901" t="str">
        <f t="shared" si="80"/>
        <v/>
      </c>
    </row>
    <row r="1902" spans="4:4" x14ac:dyDescent="0.3">
      <c r="D1902" t="str">
        <f t="shared" si="80"/>
        <v/>
      </c>
    </row>
    <row r="1903" spans="4:4" x14ac:dyDescent="0.3">
      <c r="D1903" t="str">
        <f t="shared" si="80"/>
        <v/>
      </c>
    </row>
    <row r="1904" spans="4:4" x14ac:dyDescent="0.3">
      <c r="D1904" t="str">
        <f t="shared" si="80"/>
        <v/>
      </c>
    </row>
    <row r="1905" spans="4:4" x14ac:dyDescent="0.3">
      <c r="D1905" t="str">
        <f t="shared" si="80"/>
        <v/>
      </c>
    </row>
    <row r="1906" spans="4:4" x14ac:dyDescent="0.3">
      <c r="D1906" t="str">
        <f t="shared" si="80"/>
        <v/>
      </c>
    </row>
    <row r="1907" spans="4:4" x14ac:dyDescent="0.3">
      <c r="D1907" t="str">
        <f t="shared" si="80"/>
        <v/>
      </c>
    </row>
    <row r="1908" spans="4:4" x14ac:dyDescent="0.3">
      <c r="D1908" t="str">
        <f t="shared" si="80"/>
        <v/>
      </c>
    </row>
    <row r="1909" spans="4:4" x14ac:dyDescent="0.3">
      <c r="D1909" t="str">
        <f t="shared" si="80"/>
        <v/>
      </c>
    </row>
    <row r="1910" spans="4:4" x14ac:dyDescent="0.3">
      <c r="D1910" t="str">
        <f t="shared" si="80"/>
        <v/>
      </c>
    </row>
    <row r="1911" spans="4:4" x14ac:dyDescent="0.3">
      <c r="D1911" t="str">
        <f t="shared" si="80"/>
        <v/>
      </c>
    </row>
    <row r="1912" spans="4:4" x14ac:dyDescent="0.3">
      <c r="D1912" t="str">
        <f t="shared" si="80"/>
        <v/>
      </c>
    </row>
    <row r="1913" spans="4:4" x14ac:dyDescent="0.3">
      <c r="D1913" t="str">
        <f t="shared" si="80"/>
        <v/>
      </c>
    </row>
    <row r="1914" spans="4:4" x14ac:dyDescent="0.3">
      <c r="D1914" t="str">
        <f t="shared" si="80"/>
        <v/>
      </c>
    </row>
    <row r="1915" spans="4:4" x14ac:dyDescent="0.3">
      <c r="D1915" t="str">
        <f t="shared" si="80"/>
        <v/>
      </c>
    </row>
    <row r="1916" spans="4:4" x14ac:dyDescent="0.3">
      <c r="D1916" t="str">
        <f t="shared" si="80"/>
        <v/>
      </c>
    </row>
    <row r="1917" spans="4:4" x14ac:dyDescent="0.3">
      <c r="D1917" t="str">
        <f t="shared" si="80"/>
        <v/>
      </c>
    </row>
    <row r="1918" spans="4:4" x14ac:dyDescent="0.3">
      <c r="D1918" t="str">
        <f t="shared" si="80"/>
        <v/>
      </c>
    </row>
    <row r="1919" spans="4:4" x14ac:dyDescent="0.3">
      <c r="D1919" t="str">
        <f t="shared" si="80"/>
        <v/>
      </c>
    </row>
    <row r="1920" spans="4:4" x14ac:dyDescent="0.3">
      <c r="D1920" t="str">
        <f t="shared" si="80"/>
        <v/>
      </c>
    </row>
    <row r="1921" spans="4:4" x14ac:dyDescent="0.3">
      <c r="D1921" t="str">
        <f t="shared" si="80"/>
        <v/>
      </c>
    </row>
    <row r="1922" spans="4:4" x14ac:dyDescent="0.3">
      <c r="D1922" t="str">
        <f t="shared" si="80"/>
        <v/>
      </c>
    </row>
    <row r="1923" spans="4:4" x14ac:dyDescent="0.3">
      <c r="D1923" t="str">
        <f t="shared" si="80"/>
        <v/>
      </c>
    </row>
    <row r="1924" spans="4:4" x14ac:dyDescent="0.3">
      <c r="D1924" t="str">
        <f t="shared" si="80"/>
        <v/>
      </c>
    </row>
    <row r="1925" spans="4:4" x14ac:dyDescent="0.3">
      <c r="D1925" t="str">
        <f t="shared" si="80"/>
        <v/>
      </c>
    </row>
    <row r="1926" spans="4:4" x14ac:dyDescent="0.3">
      <c r="D1926" t="str">
        <f t="shared" si="80"/>
        <v/>
      </c>
    </row>
    <row r="1927" spans="4:4" x14ac:dyDescent="0.3">
      <c r="D1927" t="str">
        <f t="shared" si="80"/>
        <v/>
      </c>
    </row>
    <row r="1928" spans="4:4" x14ac:dyDescent="0.3">
      <c r="D1928" t="str">
        <f t="shared" si="80"/>
        <v/>
      </c>
    </row>
    <row r="1929" spans="4:4" x14ac:dyDescent="0.3">
      <c r="D1929" t="str">
        <f t="shared" ref="D1929:D1992" si="81">IF(LEFT(A1929,2)="SP",MID(A1929,4,4),IF(LEFT(A1929,1)="X",MID(A1929,3,4),""))</f>
        <v/>
      </c>
    </row>
    <row r="1930" spans="4:4" x14ac:dyDescent="0.3">
      <c r="D1930" t="str">
        <f t="shared" si="81"/>
        <v/>
      </c>
    </row>
    <row r="1931" spans="4:4" x14ac:dyDescent="0.3">
      <c r="D1931" t="str">
        <f t="shared" si="81"/>
        <v/>
      </c>
    </row>
    <row r="1932" spans="4:4" x14ac:dyDescent="0.3">
      <c r="D1932" t="str">
        <f t="shared" si="81"/>
        <v/>
      </c>
    </row>
    <row r="1933" spans="4:4" x14ac:dyDescent="0.3">
      <c r="D1933" t="str">
        <f t="shared" si="81"/>
        <v/>
      </c>
    </row>
    <row r="1934" spans="4:4" x14ac:dyDescent="0.3">
      <c r="D1934" t="str">
        <f t="shared" si="81"/>
        <v/>
      </c>
    </row>
    <row r="1935" spans="4:4" x14ac:dyDescent="0.3">
      <c r="D1935" t="str">
        <f t="shared" si="81"/>
        <v/>
      </c>
    </row>
    <row r="1936" spans="4:4" x14ac:dyDescent="0.3">
      <c r="D1936" t="str">
        <f t="shared" si="81"/>
        <v/>
      </c>
    </row>
    <row r="1937" spans="4:4" x14ac:dyDescent="0.3">
      <c r="D1937" t="str">
        <f t="shared" si="81"/>
        <v/>
      </c>
    </row>
    <row r="1938" spans="4:4" x14ac:dyDescent="0.3">
      <c r="D1938" t="str">
        <f t="shared" si="81"/>
        <v/>
      </c>
    </row>
    <row r="1939" spans="4:4" x14ac:dyDescent="0.3">
      <c r="D1939" t="str">
        <f t="shared" si="81"/>
        <v/>
      </c>
    </row>
    <row r="1940" spans="4:4" x14ac:dyDescent="0.3">
      <c r="D1940" t="str">
        <f t="shared" si="81"/>
        <v/>
      </c>
    </row>
    <row r="1941" spans="4:4" x14ac:dyDescent="0.3">
      <c r="D1941" t="str">
        <f t="shared" si="81"/>
        <v/>
      </c>
    </row>
    <row r="1942" spans="4:4" x14ac:dyDescent="0.3">
      <c r="D1942" t="str">
        <f t="shared" si="81"/>
        <v/>
      </c>
    </row>
    <row r="1943" spans="4:4" x14ac:dyDescent="0.3">
      <c r="D1943" t="str">
        <f t="shared" si="81"/>
        <v/>
      </c>
    </row>
    <row r="1944" spans="4:4" x14ac:dyDescent="0.3">
      <c r="D1944" t="str">
        <f t="shared" si="81"/>
        <v/>
      </c>
    </row>
    <row r="1945" spans="4:4" x14ac:dyDescent="0.3">
      <c r="D1945" t="str">
        <f t="shared" si="81"/>
        <v/>
      </c>
    </row>
    <row r="1946" spans="4:4" x14ac:dyDescent="0.3">
      <c r="D1946" t="str">
        <f t="shared" si="81"/>
        <v/>
      </c>
    </row>
    <row r="1947" spans="4:4" x14ac:dyDescent="0.3">
      <c r="D1947" t="str">
        <f t="shared" si="81"/>
        <v/>
      </c>
    </row>
    <row r="1948" spans="4:4" x14ac:dyDescent="0.3">
      <c r="D1948" t="str">
        <f t="shared" si="81"/>
        <v/>
      </c>
    </row>
    <row r="1949" spans="4:4" x14ac:dyDescent="0.3">
      <c r="D1949" t="str">
        <f t="shared" si="81"/>
        <v/>
      </c>
    </row>
    <row r="1950" spans="4:4" x14ac:dyDescent="0.3">
      <c r="D1950" t="str">
        <f t="shared" si="81"/>
        <v/>
      </c>
    </row>
    <row r="1951" spans="4:4" x14ac:dyDescent="0.3">
      <c r="D1951" t="str">
        <f t="shared" si="81"/>
        <v/>
      </c>
    </row>
    <row r="1952" spans="4:4" x14ac:dyDescent="0.3">
      <c r="D1952" t="str">
        <f t="shared" si="81"/>
        <v/>
      </c>
    </row>
    <row r="1953" spans="4:4" x14ac:dyDescent="0.3">
      <c r="D1953" t="str">
        <f t="shared" si="81"/>
        <v/>
      </c>
    </row>
    <row r="1954" spans="4:4" x14ac:dyDescent="0.3">
      <c r="D1954" t="str">
        <f t="shared" si="81"/>
        <v/>
      </c>
    </row>
    <row r="1955" spans="4:4" x14ac:dyDescent="0.3">
      <c r="D1955" t="str">
        <f t="shared" si="81"/>
        <v/>
      </c>
    </row>
    <row r="1956" spans="4:4" x14ac:dyDescent="0.3">
      <c r="D1956" t="str">
        <f t="shared" si="81"/>
        <v/>
      </c>
    </row>
    <row r="1957" spans="4:4" x14ac:dyDescent="0.3">
      <c r="D1957" t="str">
        <f t="shared" si="81"/>
        <v/>
      </c>
    </row>
    <row r="1958" spans="4:4" x14ac:dyDescent="0.3">
      <c r="D1958" t="str">
        <f t="shared" si="81"/>
        <v/>
      </c>
    </row>
    <row r="1959" spans="4:4" x14ac:dyDescent="0.3">
      <c r="D1959" t="str">
        <f t="shared" si="81"/>
        <v/>
      </c>
    </row>
    <row r="1960" spans="4:4" x14ac:dyDescent="0.3">
      <c r="D1960" t="str">
        <f t="shared" si="81"/>
        <v/>
      </c>
    </row>
    <row r="1961" spans="4:4" x14ac:dyDescent="0.3">
      <c r="D1961" t="str">
        <f t="shared" si="81"/>
        <v/>
      </c>
    </row>
    <row r="1962" spans="4:4" x14ac:dyDescent="0.3">
      <c r="D1962" t="str">
        <f t="shared" si="81"/>
        <v/>
      </c>
    </row>
    <row r="1963" spans="4:4" x14ac:dyDescent="0.3">
      <c r="D1963" t="str">
        <f t="shared" si="81"/>
        <v/>
      </c>
    </row>
    <row r="1964" spans="4:4" x14ac:dyDescent="0.3">
      <c r="D1964" t="str">
        <f t="shared" si="81"/>
        <v/>
      </c>
    </row>
    <row r="1965" spans="4:4" x14ac:dyDescent="0.3">
      <c r="D1965" t="str">
        <f t="shared" si="81"/>
        <v/>
      </c>
    </row>
    <row r="1966" spans="4:4" x14ac:dyDescent="0.3">
      <c r="D1966" t="str">
        <f t="shared" si="81"/>
        <v/>
      </c>
    </row>
    <row r="1967" spans="4:4" x14ac:dyDescent="0.3">
      <c r="D1967" t="str">
        <f t="shared" si="81"/>
        <v/>
      </c>
    </row>
    <row r="1968" spans="4:4" x14ac:dyDescent="0.3">
      <c r="D1968" t="str">
        <f t="shared" si="81"/>
        <v/>
      </c>
    </row>
    <row r="1969" spans="4:4" x14ac:dyDescent="0.3">
      <c r="D1969" t="str">
        <f t="shared" si="81"/>
        <v/>
      </c>
    </row>
    <row r="1970" spans="4:4" x14ac:dyDescent="0.3">
      <c r="D1970" t="str">
        <f t="shared" si="81"/>
        <v/>
      </c>
    </row>
    <row r="1971" spans="4:4" x14ac:dyDescent="0.3">
      <c r="D1971" t="str">
        <f t="shared" si="81"/>
        <v/>
      </c>
    </row>
    <row r="1972" spans="4:4" x14ac:dyDescent="0.3">
      <c r="D1972" t="str">
        <f t="shared" si="81"/>
        <v/>
      </c>
    </row>
    <row r="1973" spans="4:4" x14ac:dyDescent="0.3">
      <c r="D1973" t="str">
        <f t="shared" si="81"/>
        <v/>
      </c>
    </row>
    <row r="1974" spans="4:4" x14ac:dyDescent="0.3">
      <c r="D1974" t="str">
        <f t="shared" si="81"/>
        <v/>
      </c>
    </row>
    <row r="1975" spans="4:4" x14ac:dyDescent="0.3">
      <c r="D1975" t="str">
        <f t="shared" si="81"/>
        <v/>
      </c>
    </row>
    <row r="1976" spans="4:4" x14ac:dyDescent="0.3">
      <c r="D1976" t="str">
        <f t="shared" si="81"/>
        <v/>
      </c>
    </row>
    <row r="1977" spans="4:4" x14ac:dyDescent="0.3">
      <c r="D1977" t="str">
        <f t="shared" si="81"/>
        <v/>
      </c>
    </row>
    <row r="1978" spans="4:4" x14ac:dyDescent="0.3">
      <c r="D1978" t="str">
        <f t="shared" si="81"/>
        <v/>
      </c>
    </row>
    <row r="1979" spans="4:4" x14ac:dyDescent="0.3">
      <c r="D1979" t="str">
        <f t="shared" si="81"/>
        <v/>
      </c>
    </row>
    <row r="1980" spans="4:4" x14ac:dyDescent="0.3">
      <c r="D1980" t="str">
        <f t="shared" si="81"/>
        <v/>
      </c>
    </row>
    <row r="1981" spans="4:4" x14ac:dyDescent="0.3">
      <c r="D1981" t="str">
        <f t="shared" si="81"/>
        <v/>
      </c>
    </row>
    <row r="1982" spans="4:4" x14ac:dyDescent="0.3">
      <c r="D1982" t="str">
        <f t="shared" si="81"/>
        <v/>
      </c>
    </row>
    <row r="1983" spans="4:4" x14ac:dyDescent="0.3">
      <c r="D1983" t="str">
        <f t="shared" si="81"/>
        <v/>
      </c>
    </row>
    <row r="1984" spans="4:4" x14ac:dyDescent="0.3">
      <c r="D1984" t="str">
        <f t="shared" si="81"/>
        <v/>
      </c>
    </row>
    <row r="1985" spans="4:4" x14ac:dyDescent="0.3">
      <c r="D1985" t="str">
        <f t="shared" si="81"/>
        <v/>
      </c>
    </row>
    <row r="1986" spans="4:4" x14ac:dyDescent="0.3">
      <c r="D1986" t="str">
        <f t="shared" si="81"/>
        <v/>
      </c>
    </row>
    <row r="1987" spans="4:4" x14ac:dyDescent="0.3">
      <c r="D1987" t="str">
        <f t="shared" si="81"/>
        <v/>
      </c>
    </row>
    <row r="1988" spans="4:4" x14ac:dyDescent="0.3">
      <c r="D1988" t="str">
        <f t="shared" si="81"/>
        <v/>
      </c>
    </row>
    <row r="1989" spans="4:4" x14ac:dyDescent="0.3">
      <c r="D1989" t="str">
        <f t="shared" si="81"/>
        <v/>
      </c>
    </row>
    <row r="1990" spans="4:4" x14ac:dyDescent="0.3">
      <c r="D1990" t="str">
        <f t="shared" si="81"/>
        <v/>
      </c>
    </row>
    <row r="1991" spans="4:4" x14ac:dyDescent="0.3">
      <c r="D1991" t="str">
        <f t="shared" si="81"/>
        <v/>
      </c>
    </row>
    <row r="1992" spans="4:4" x14ac:dyDescent="0.3">
      <c r="D1992" t="str">
        <f t="shared" si="81"/>
        <v/>
      </c>
    </row>
    <row r="1993" spans="4:4" x14ac:dyDescent="0.3">
      <c r="D1993" t="str">
        <f t="shared" ref="D1993:D2056" si="82">IF(LEFT(A1993,2)="SP",MID(A1993,4,4),IF(LEFT(A1993,1)="X",MID(A1993,3,4),""))</f>
        <v/>
      </c>
    </row>
    <row r="1994" spans="4:4" x14ac:dyDescent="0.3">
      <c r="D1994" t="str">
        <f t="shared" si="82"/>
        <v/>
      </c>
    </row>
    <row r="1995" spans="4:4" x14ac:dyDescent="0.3">
      <c r="D1995" t="str">
        <f t="shared" si="82"/>
        <v/>
      </c>
    </row>
    <row r="1996" spans="4:4" x14ac:dyDescent="0.3">
      <c r="D1996" t="str">
        <f t="shared" si="82"/>
        <v/>
      </c>
    </row>
    <row r="1997" spans="4:4" x14ac:dyDescent="0.3">
      <c r="D1997" t="str">
        <f t="shared" si="82"/>
        <v/>
      </c>
    </row>
    <row r="1998" spans="4:4" x14ac:dyDescent="0.3">
      <c r="D1998" t="str">
        <f t="shared" si="82"/>
        <v/>
      </c>
    </row>
    <row r="1999" spans="4:4" x14ac:dyDescent="0.3">
      <c r="D1999" t="str">
        <f t="shared" si="82"/>
        <v/>
      </c>
    </row>
    <row r="2000" spans="4:4" x14ac:dyDescent="0.3">
      <c r="D2000" t="str">
        <f t="shared" si="82"/>
        <v/>
      </c>
    </row>
    <row r="2001" spans="4:4" x14ac:dyDescent="0.3">
      <c r="D2001" t="str">
        <f t="shared" si="82"/>
        <v/>
      </c>
    </row>
    <row r="2002" spans="4:4" x14ac:dyDescent="0.3">
      <c r="D2002" t="str">
        <f t="shared" si="82"/>
        <v/>
      </c>
    </row>
    <row r="2003" spans="4:4" x14ac:dyDescent="0.3">
      <c r="D2003" t="str">
        <f t="shared" si="82"/>
        <v/>
      </c>
    </row>
    <row r="2004" spans="4:4" x14ac:dyDescent="0.3">
      <c r="D2004" t="str">
        <f t="shared" si="82"/>
        <v/>
      </c>
    </row>
    <row r="2005" spans="4:4" x14ac:dyDescent="0.3">
      <c r="D2005" t="str">
        <f t="shared" si="82"/>
        <v/>
      </c>
    </row>
    <row r="2006" spans="4:4" x14ac:dyDescent="0.3">
      <c r="D2006" t="str">
        <f t="shared" si="82"/>
        <v/>
      </c>
    </row>
    <row r="2007" spans="4:4" x14ac:dyDescent="0.3">
      <c r="D2007" t="str">
        <f t="shared" si="82"/>
        <v/>
      </c>
    </row>
    <row r="2008" spans="4:4" x14ac:dyDescent="0.3">
      <c r="D2008" t="str">
        <f t="shared" si="82"/>
        <v/>
      </c>
    </row>
    <row r="2009" spans="4:4" x14ac:dyDescent="0.3">
      <c r="D2009" t="str">
        <f t="shared" si="82"/>
        <v/>
      </c>
    </row>
    <row r="2010" spans="4:4" x14ac:dyDescent="0.3">
      <c r="D2010" t="str">
        <f t="shared" si="82"/>
        <v/>
      </c>
    </row>
    <row r="2011" spans="4:4" x14ac:dyDescent="0.3">
      <c r="D2011" t="str">
        <f t="shared" si="82"/>
        <v/>
      </c>
    </row>
    <row r="2012" spans="4:4" x14ac:dyDescent="0.3">
      <c r="D2012" t="str">
        <f t="shared" si="82"/>
        <v/>
      </c>
    </row>
    <row r="2013" spans="4:4" x14ac:dyDescent="0.3">
      <c r="D2013" t="str">
        <f t="shared" si="82"/>
        <v/>
      </c>
    </row>
    <row r="2014" spans="4:4" x14ac:dyDescent="0.3">
      <c r="D2014" t="str">
        <f t="shared" si="82"/>
        <v/>
      </c>
    </row>
    <row r="2015" spans="4:4" x14ac:dyDescent="0.3">
      <c r="D2015" t="str">
        <f t="shared" si="82"/>
        <v/>
      </c>
    </row>
    <row r="2016" spans="4:4" x14ac:dyDescent="0.3">
      <c r="D2016" t="str">
        <f t="shared" si="82"/>
        <v/>
      </c>
    </row>
    <row r="2017" spans="4:4" x14ac:dyDescent="0.3">
      <c r="D2017" t="str">
        <f t="shared" si="82"/>
        <v/>
      </c>
    </row>
    <row r="2018" spans="4:4" x14ac:dyDescent="0.3">
      <c r="D2018" t="str">
        <f t="shared" si="82"/>
        <v/>
      </c>
    </row>
    <row r="2019" spans="4:4" x14ac:dyDescent="0.3">
      <c r="D2019" t="str">
        <f t="shared" si="82"/>
        <v/>
      </c>
    </row>
    <row r="2020" spans="4:4" x14ac:dyDescent="0.3">
      <c r="D2020" t="str">
        <f t="shared" si="82"/>
        <v/>
      </c>
    </row>
    <row r="2021" spans="4:4" x14ac:dyDescent="0.3">
      <c r="D2021" t="str">
        <f t="shared" si="82"/>
        <v/>
      </c>
    </row>
    <row r="2022" spans="4:4" x14ac:dyDescent="0.3">
      <c r="D2022" t="str">
        <f t="shared" si="82"/>
        <v/>
      </c>
    </row>
    <row r="2023" spans="4:4" x14ac:dyDescent="0.3">
      <c r="D2023" t="str">
        <f t="shared" si="82"/>
        <v/>
      </c>
    </row>
    <row r="2024" spans="4:4" x14ac:dyDescent="0.3">
      <c r="D2024" t="str">
        <f t="shared" si="82"/>
        <v/>
      </c>
    </row>
    <row r="2025" spans="4:4" x14ac:dyDescent="0.3">
      <c r="D2025" t="str">
        <f t="shared" si="82"/>
        <v/>
      </c>
    </row>
    <row r="2026" spans="4:4" x14ac:dyDescent="0.3">
      <c r="D2026" t="str">
        <f t="shared" si="82"/>
        <v/>
      </c>
    </row>
    <row r="2027" spans="4:4" x14ac:dyDescent="0.3">
      <c r="D2027" t="str">
        <f t="shared" si="82"/>
        <v/>
      </c>
    </row>
    <row r="2028" spans="4:4" x14ac:dyDescent="0.3">
      <c r="D2028" t="str">
        <f t="shared" si="82"/>
        <v/>
      </c>
    </row>
    <row r="2029" spans="4:4" x14ac:dyDescent="0.3">
      <c r="D2029" t="str">
        <f t="shared" si="82"/>
        <v/>
      </c>
    </row>
    <row r="2030" spans="4:4" x14ac:dyDescent="0.3">
      <c r="D2030" t="str">
        <f t="shared" si="82"/>
        <v/>
      </c>
    </row>
    <row r="2031" spans="4:4" x14ac:dyDescent="0.3">
      <c r="D2031" t="str">
        <f t="shared" si="82"/>
        <v/>
      </c>
    </row>
    <row r="2032" spans="4:4" x14ac:dyDescent="0.3">
      <c r="D2032" t="str">
        <f t="shared" si="82"/>
        <v/>
      </c>
    </row>
    <row r="2033" spans="4:4" x14ac:dyDescent="0.3">
      <c r="D2033" t="str">
        <f t="shared" si="82"/>
        <v/>
      </c>
    </row>
    <row r="2034" spans="4:4" x14ac:dyDescent="0.3">
      <c r="D2034" t="str">
        <f t="shared" si="82"/>
        <v/>
      </c>
    </row>
    <row r="2035" spans="4:4" x14ac:dyDescent="0.3">
      <c r="D2035" t="str">
        <f t="shared" si="82"/>
        <v/>
      </c>
    </row>
    <row r="2036" spans="4:4" x14ac:dyDescent="0.3">
      <c r="D2036" t="str">
        <f t="shared" si="82"/>
        <v/>
      </c>
    </row>
    <row r="2037" spans="4:4" x14ac:dyDescent="0.3">
      <c r="D2037" t="str">
        <f t="shared" si="82"/>
        <v/>
      </c>
    </row>
    <row r="2038" spans="4:4" x14ac:dyDescent="0.3">
      <c r="D2038" t="str">
        <f t="shared" si="82"/>
        <v/>
      </c>
    </row>
    <row r="2039" spans="4:4" x14ac:dyDescent="0.3">
      <c r="D2039" t="str">
        <f t="shared" si="82"/>
        <v/>
      </c>
    </row>
    <row r="2040" spans="4:4" x14ac:dyDescent="0.3">
      <c r="D2040" t="str">
        <f t="shared" si="82"/>
        <v/>
      </c>
    </row>
    <row r="2041" spans="4:4" x14ac:dyDescent="0.3">
      <c r="D2041" t="str">
        <f t="shared" si="82"/>
        <v/>
      </c>
    </row>
    <row r="2042" spans="4:4" x14ac:dyDescent="0.3">
      <c r="D2042" t="str">
        <f t="shared" si="82"/>
        <v/>
      </c>
    </row>
    <row r="2043" spans="4:4" x14ac:dyDescent="0.3">
      <c r="D2043" t="str">
        <f t="shared" si="82"/>
        <v/>
      </c>
    </row>
    <row r="2044" spans="4:4" x14ac:dyDescent="0.3">
      <c r="D2044" t="str">
        <f t="shared" si="82"/>
        <v/>
      </c>
    </row>
    <row r="2045" spans="4:4" x14ac:dyDescent="0.3">
      <c r="D2045" t="str">
        <f t="shared" si="82"/>
        <v/>
      </c>
    </row>
    <row r="2046" spans="4:4" x14ac:dyDescent="0.3">
      <c r="D2046" t="str">
        <f t="shared" si="82"/>
        <v/>
      </c>
    </row>
    <row r="2047" spans="4:4" x14ac:dyDescent="0.3">
      <c r="D2047" t="str">
        <f t="shared" si="82"/>
        <v/>
      </c>
    </row>
    <row r="2048" spans="4:4" x14ac:dyDescent="0.3">
      <c r="D2048" t="str">
        <f t="shared" si="82"/>
        <v/>
      </c>
    </row>
    <row r="2049" spans="4:4" x14ac:dyDescent="0.3">
      <c r="D2049" t="str">
        <f t="shared" si="82"/>
        <v/>
      </c>
    </row>
    <row r="2050" spans="4:4" x14ac:dyDescent="0.3">
      <c r="D2050" t="str">
        <f t="shared" si="82"/>
        <v/>
      </c>
    </row>
    <row r="2051" spans="4:4" x14ac:dyDescent="0.3">
      <c r="D2051" t="str">
        <f t="shared" si="82"/>
        <v/>
      </c>
    </row>
    <row r="2052" spans="4:4" x14ac:dyDescent="0.3">
      <c r="D2052" t="str">
        <f t="shared" si="82"/>
        <v/>
      </c>
    </row>
    <row r="2053" spans="4:4" x14ac:dyDescent="0.3">
      <c r="D2053" t="str">
        <f t="shared" si="82"/>
        <v/>
      </c>
    </row>
    <row r="2054" spans="4:4" x14ac:dyDescent="0.3">
      <c r="D2054" t="str">
        <f t="shared" si="82"/>
        <v/>
      </c>
    </row>
    <row r="2055" spans="4:4" x14ac:dyDescent="0.3">
      <c r="D2055" t="str">
        <f t="shared" si="82"/>
        <v/>
      </c>
    </row>
    <row r="2056" spans="4:4" x14ac:dyDescent="0.3">
      <c r="D2056" t="str">
        <f t="shared" si="82"/>
        <v/>
      </c>
    </row>
    <row r="2057" spans="4:4" x14ac:dyDescent="0.3">
      <c r="D2057" t="str">
        <f t="shared" ref="D2057:D2120" si="83">IF(LEFT(A2057,2)="SP",MID(A2057,4,4),IF(LEFT(A2057,1)="X",MID(A2057,3,4),""))</f>
        <v/>
      </c>
    </row>
    <row r="2058" spans="4:4" x14ac:dyDescent="0.3">
      <c r="D2058" t="str">
        <f t="shared" si="83"/>
        <v/>
      </c>
    </row>
    <row r="2059" spans="4:4" x14ac:dyDescent="0.3">
      <c r="D2059" t="str">
        <f t="shared" si="83"/>
        <v/>
      </c>
    </row>
    <row r="2060" spans="4:4" x14ac:dyDescent="0.3">
      <c r="D2060" t="str">
        <f t="shared" si="83"/>
        <v/>
      </c>
    </row>
    <row r="2061" spans="4:4" x14ac:dyDescent="0.3">
      <c r="D2061" t="str">
        <f t="shared" si="83"/>
        <v/>
      </c>
    </row>
    <row r="2062" spans="4:4" x14ac:dyDescent="0.3">
      <c r="D2062" t="str">
        <f t="shared" si="83"/>
        <v/>
      </c>
    </row>
    <row r="2063" spans="4:4" x14ac:dyDescent="0.3">
      <c r="D2063" t="str">
        <f t="shared" si="83"/>
        <v/>
      </c>
    </row>
    <row r="2064" spans="4:4" x14ac:dyDescent="0.3">
      <c r="D2064" t="str">
        <f t="shared" si="83"/>
        <v/>
      </c>
    </row>
    <row r="2065" spans="4:4" x14ac:dyDescent="0.3">
      <c r="D2065" t="str">
        <f t="shared" si="83"/>
        <v/>
      </c>
    </row>
    <row r="2066" spans="4:4" x14ac:dyDescent="0.3">
      <c r="D2066" t="str">
        <f t="shared" si="83"/>
        <v/>
      </c>
    </row>
    <row r="2067" spans="4:4" x14ac:dyDescent="0.3">
      <c r="D2067" t="str">
        <f t="shared" si="83"/>
        <v/>
      </c>
    </row>
    <row r="2068" spans="4:4" x14ac:dyDescent="0.3">
      <c r="D2068" t="str">
        <f t="shared" si="83"/>
        <v/>
      </c>
    </row>
    <row r="2069" spans="4:4" x14ac:dyDescent="0.3">
      <c r="D2069" t="str">
        <f t="shared" si="83"/>
        <v/>
      </c>
    </row>
    <row r="2070" spans="4:4" x14ac:dyDescent="0.3">
      <c r="D2070" t="str">
        <f t="shared" si="83"/>
        <v/>
      </c>
    </row>
    <row r="2071" spans="4:4" x14ac:dyDescent="0.3">
      <c r="D2071" t="str">
        <f t="shared" si="83"/>
        <v/>
      </c>
    </row>
    <row r="2072" spans="4:4" x14ac:dyDescent="0.3">
      <c r="D2072" t="str">
        <f t="shared" si="83"/>
        <v/>
      </c>
    </row>
    <row r="2073" spans="4:4" x14ac:dyDescent="0.3">
      <c r="D2073" t="str">
        <f t="shared" si="83"/>
        <v/>
      </c>
    </row>
    <row r="2074" spans="4:4" x14ac:dyDescent="0.3">
      <c r="D2074" t="str">
        <f t="shared" si="83"/>
        <v/>
      </c>
    </row>
    <row r="2075" spans="4:4" x14ac:dyDescent="0.3">
      <c r="D2075" t="str">
        <f t="shared" si="83"/>
        <v/>
      </c>
    </row>
    <row r="2076" spans="4:4" x14ac:dyDescent="0.3">
      <c r="D2076" t="str">
        <f t="shared" si="83"/>
        <v/>
      </c>
    </row>
    <row r="2077" spans="4:4" x14ac:dyDescent="0.3">
      <c r="D2077" t="str">
        <f t="shared" si="83"/>
        <v/>
      </c>
    </row>
    <row r="2078" spans="4:4" x14ac:dyDescent="0.3">
      <c r="D2078" t="str">
        <f t="shared" si="83"/>
        <v/>
      </c>
    </row>
    <row r="2079" spans="4:4" x14ac:dyDescent="0.3">
      <c r="D2079" t="str">
        <f t="shared" si="83"/>
        <v/>
      </c>
    </row>
    <row r="2080" spans="4:4" x14ac:dyDescent="0.3">
      <c r="D2080" t="str">
        <f t="shared" si="83"/>
        <v/>
      </c>
    </row>
    <row r="2081" spans="4:4" x14ac:dyDescent="0.3">
      <c r="D2081" t="str">
        <f t="shared" si="83"/>
        <v/>
      </c>
    </row>
    <row r="2082" spans="4:4" x14ac:dyDescent="0.3">
      <c r="D2082" t="str">
        <f t="shared" si="83"/>
        <v/>
      </c>
    </row>
    <row r="2083" spans="4:4" x14ac:dyDescent="0.3">
      <c r="D2083" t="str">
        <f t="shared" si="83"/>
        <v/>
      </c>
    </row>
    <row r="2084" spans="4:4" x14ac:dyDescent="0.3">
      <c r="D2084" t="str">
        <f t="shared" si="83"/>
        <v/>
      </c>
    </row>
    <row r="2085" spans="4:4" x14ac:dyDescent="0.3">
      <c r="D2085" t="str">
        <f t="shared" si="83"/>
        <v/>
      </c>
    </row>
    <row r="2086" spans="4:4" x14ac:dyDescent="0.3">
      <c r="D2086" t="str">
        <f t="shared" si="83"/>
        <v/>
      </c>
    </row>
    <row r="2087" spans="4:4" x14ac:dyDescent="0.3">
      <c r="D2087" t="str">
        <f t="shared" si="83"/>
        <v/>
      </c>
    </row>
    <row r="2088" spans="4:4" x14ac:dyDescent="0.3">
      <c r="D2088" t="str">
        <f t="shared" si="83"/>
        <v/>
      </c>
    </row>
    <row r="2089" spans="4:4" x14ac:dyDescent="0.3">
      <c r="D2089" t="str">
        <f t="shared" si="83"/>
        <v/>
      </c>
    </row>
    <row r="2090" spans="4:4" x14ac:dyDescent="0.3">
      <c r="D2090" t="str">
        <f t="shared" si="83"/>
        <v/>
      </c>
    </row>
    <row r="2091" spans="4:4" x14ac:dyDescent="0.3">
      <c r="D2091" t="str">
        <f t="shared" si="83"/>
        <v/>
      </c>
    </row>
    <row r="2092" spans="4:4" x14ac:dyDescent="0.3">
      <c r="D2092" t="str">
        <f t="shared" si="83"/>
        <v/>
      </c>
    </row>
    <row r="2093" spans="4:4" x14ac:dyDescent="0.3">
      <c r="D2093" t="str">
        <f t="shared" si="83"/>
        <v/>
      </c>
    </row>
    <row r="2094" spans="4:4" x14ac:dyDescent="0.3">
      <c r="D2094" t="str">
        <f t="shared" si="83"/>
        <v/>
      </c>
    </row>
    <row r="2095" spans="4:4" x14ac:dyDescent="0.3">
      <c r="D2095" t="str">
        <f t="shared" si="83"/>
        <v/>
      </c>
    </row>
    <row r="2096" spans="4:4" x14ac:dyDescent="0.3">
      <c r="D2096" t="str">
        <f t="shared" si="83"/>
        <v/>
      </c>
    </row>
    <row r="2097" spans="4:4" x14ac:dyDescent="0.3">
      <c r="D2097" t="str">
        <f t="shared" si="83"/>
        <v/>
      </c>
    </row>
    <row r="2098" spans="4:4" x14ac:dyDescent="0.3">
      <c r="D2098" t="str">
        <f t="shared" si="83"/>
        <v/>
      </c>
    </row>
    <row r="2099" spans="4:4" x14ac:dyDescent="0.3">
      <c r="D2099" t="str">
        <f t="shared" si="83"/>
        <v/>
      </c>
    </row>
    <row r="2100" spans="4:4" x14ac:dyDescent="0.3">
      <c r="D2100" t="str">
        <f t="shared" si="83"/>
        <v/>
      </c>
    </row>
    <row r="2101" spans="4:4" x14ac:dyDescent="0.3">
      <c r="D2101" t="str">
        <f t="shared" si="83"/>
        <v/>
      </c>
    </row>
    <row r="2102" spans="4:4" x14ac:dyDescent="0.3">
      <c r="D2102" t="str">
        <f t="shared" si="83"/>
        <v/>
      </c>
    </row>
    <row r="2103" spans="4:4" x14ac:dyDescent="0.3">
      <c r="D2103" t="str">
        <f t="shared" si="83"/>
        <v/>
      </c>
    </row>
    <row r="2104" spans="4:4" x14ac:dyDescent="0.3">
      <c r="D2104" t="str">
        <f t="shared" si="83"/>
        <v/>
      </c>
    </row>
    <row r="2105" spans="4:4" x14ac:dyDescent="0.3">
      <c r="D2105" t="str">
        <f t="shared" si="83"/>
        <v/>
      </c>
    </row>
    <row r="2106" spans="4:4" x14ac:dyDescent="0.3">
      <c r="D2106" t="str">
        <f t="shared" si="83"/>
        <v/>
      </c>
    </row>
    <row r="2107" spans="4:4" x14ac:dyDescent="0.3">
      <c r="D2107" t="str">
        <f t="shared" si="83"/>
        <v/>
      </c>
    </row>
    <row r="2108" spans="4:4" x14ac:dyDescent="0.3">
      <c r="D2108" t="str">
        <f t="shared" si="83"/>
        <v/>
      </c>
    </row>
    <row r="2109" spans="4:4" x14ac:dyDescent="0.3">
      <c r="D2109" t="str">
        <f t="shared" si="83"/>
        <v/>
      </c>
    </row>
    <row r="2110" spans="4:4" x14ac:dyDescent="0.3">
      <c r="D2110" t="str">
        <f t="shared" si="83"/>
        <v/>
      </c>
    </row>
    <row r="2111" spans="4:4" x14ac:dyDescent="0.3">
      <c r="D2111" t="str">
        <f t="shared" si="83"/>
        <v/>
      </c>
    </row>
    <row r="2112" spans="4:4" x14ac:dyDescent="0.3">
      <c r="D2112" t="str">
        <f t="shared" si="83"/>
        <v/>
      </c>
    </row>
    <row r="2113" spans="4:4" x14ac:dyDescent="0.3">
      <c r="D2113" t="str">
        <f t="shared" si="83"/>
        <v/>
      </c>
    </row>
    <row r="2114" spans="4:4" x14ac:dyDescent="0.3">
      <c r="D2114" t="str">
        <f t="shared" si="83"/>
        <v/>
      </c>
    </row>
    <row r="2115" spans="4:4" x14ac:dyDescent="0.3">
      <c r="D2115" t="str">
        <f t="shared" si="83"/>
        <v/>
      </c>
    </row>
    <row r="2116" spans="4:4" x14ac:dyDescent="0.3">
      <c r="D2116" t="str">
        <f t="shared" si="83"/>
        <v/>
      </c>
    </row>
    <row r="2117" spans="4:4" x14ac:dyDescent="0.3">
      <c r="D2117" t="str">
        <f t="shared" si="83"/>
        <v/>
      </c>
    </row>
    <row r="2118" spans="4:4" x14ac:dyDescent="0.3">
      <c r="D2118" t="str">
        <f t="shared" si="83"/>
        <v/>
      </c>
    </row>
    <row r="2119" spans="4:4" x14ac:dyDescent="0.3">
      <c r="D2119" t="str">
        <f t="shared" si="83"/>
        <v/>
      </c>
    </row>
    <row r="2120" spans="4:4" x14ac:dyDescent="0.3">
      <c r="D2120" t="str">
        <f t="shared" si="83"/>
        <v/>
      </c>
    </row>
    <row r="2121" spans="4:4" x14ac:dyDescent="0.3">
      <c r="D2121" t="str">
        <f t="shared" ref="D2121:D2184" si="84">IF(LEFT(A2121,2)="SP",MID(A2121,4,4),IF(LEFT(A2121,1)="X",MID(A2121,3,4),""))</f>
        <v/>
      </c>
    </row>
    <row r="2122" spans="4:4" x14ac:dyDescent="0.3">
      <c r="D2122" t="str">
        <f t="shared" si="84"/>
        <v/>
      </c>
    </row>
    <row r="2123" spans="4:4" x14ac:dyDescent="0.3">
      <c r="D2123" t="str">
        <f t="shared" si="84"/>
        <v/>
      </c>
    </row>
    <row r="2124" spans="4:4" x14ac:dyDescent="0.3">
      <c r="D2124" t="str">
        <f t="shared" si="84"/>
        <v/>
      </c>
    </row>
    <row r="2125" spans="4:4" x14ac:dyDescent="0.3">
      <c r="D2125" t="str">
        <f t="shared" si="84"/>
        <v/>
      </c>
    </row>
    <row r="2126" spans="4:4" x14ac:dyDescent="0.3">
      <c r="D2126" t="str">
        <f t="shared" si="84"/>
        <v/>
      </c>
    </row>
    <row r="2127" spans="4:4" x14ac:dyDescent="0.3">
      <c r="D2127" t="str">
        <f t="shared" si="84"/>
        <v/>
      </c>
    </row>
    <row r="2128" spans="4:4" x14ac:dyDescent="0.3">
      <c r="D2128" t="str">
        <f t="shared" si="84"/>
        <v/>
      </c>
    </row>
    <row r="2129" spans="4:4" x14ac:dyDescent="0.3">
      <c r="D2129" t="str">
        <f t="shared" si="84"/>
        <v/>
      </c>
    </row>
    <row r="2130" spans="4:4" x14ac:dyDescent="0.3">
      <c r="D2130" t="str">
        <f t="shared" si="84"/>
        <v/>
      </c>
    </row>
    <row r="2131" spans="4:4" x14ac:dyDescent="0.3">
      <c r="D2131" t="str">
        <f t="shared" si="84"/>
        <v/>
      </c>
    </row>
    <row r="2132" spans="4:4" x14ac:dyDescent="0.3">
      <c r="D2132" t="str">
        <f t="shared" si="84"/>
        <v/>
      </c>
    </row>
    <row r="2133" spans="4:4" x14ac:dyDescent="0.3">
      <c r="D2133" t="str">
        <f t="shared" si="84"/>
        <v/>
      </c>
    </row>
    <row r="2134" spans="4:4" x14ac:dyDescent="0.3">
      <c r="D2134" t="str">
        <f t="shared" si="84"/>
        <v/>
      </c>
    </row>
    <row r="2135" spans="4:4" x14ac:dyDescent="0.3">
      <c r="D2135" t="str">
        <f t="shared" si="84"/>
        <v/>
      </c>
    </row>
    <row r="2136" spans="4:4" x14ac:dyDescent="0.3">
      <c r="D2136" t="str">
        <f t="shared" si="84"/>
        <v/>
      </c>
    </row>
    <row r="2137" spans="4:4" x14ac:dyDescent="0.3">
      <c r="D2137" t="str">
        <f t="shared" si="84"/>
        <v/>
      </c>
    </row>
    <row r="2138" spans="4:4" x14ac:dyDescent="0.3">
      <c r="D2138" t="str">
        <f t="shared" si="84"/>
        <v/>
      </c>
    </row>
    <row r="2139" spans="4:4" x14ac:dyDescent="0.3">
      <c r="D2139" t="str">
        <f t="shared" si="84"/>
        <v/>
      </c>
    </row>
    <row r="2140" spans="4:4" x14ac:dyDescent="0.3">
      <c r="D2140" t="str">
        <f t="shared" si="84"/>
        <v/>
      </c>
    </row>
    <row r="2141" spans="4:4" x14ac:dyDescent="0.3">
      <c r="D2141" t="str">
        <f t="shared" si="84"/>
        <v/>
      </c>
    </row>
    <row r="2142" spans="4:4" x14ac:dyDescent="0.3">
      <c r="D2142" t="str">
        <f t="shared" si="84"/>
        <v/>
      </c>
    </row>
    <row r="2143" spans="4:4" x14ac:dyDescent="0.3">
      <c r="D2143" t="str">
        <f t="shared" si="84"/>
        <v/>
      </c>
    </row>
    <row r="2144" spans="4:4" x14ac:dyDescent="0.3">
      <c r="D2144" t="str">
        <f t="shared" si="84"/>
        <v/>
      </c>
    </row>
    <row r="2145" spans="4:4" x14ac:dyDescent="0.3">
      <c r="D2145" t="str">
        <f t="shared" si="84"/>
        <v/>
      </c>
    </row>
    <row r="2146" spans="4:4" x14ac:dyDescent="0.3">
      <c r="D2146" t="str">
        <f t="shared" si="84"/>
        <v/>
      </c>
    </row>
    <row r="2147" spans="4:4" x14ac:dyDescent="0.3">
      <c r="D2147" t="str">
        <f t="shared" si="84"/>
        <v/>
      </c>
    </row>
    <row r="2148" spans="4:4" x14ac:dyDescent="0.3">
      <c r="D2148" t="str">
        <f t="shared" si="84"/>
        <v/>
      </c>
    </row>
    <row r="2149" spans="4:4" x14ac:dyDescent="0.3">
      <c r="D2149" t="str">
        <f t="shared" si="84"/>
        <v/>
      </c>
    </row>
    <row r="2150" spans="4:4" x14ac:dyDescent="0.3">
      <c r="D2150" t="str">
        <f t="shared" si="84"/>
        <v/>
      </c>
    </row>
    <row r="2151" spans="4:4" x14ac:dyDescent="0.3">
      <c r="D2151" t="str">
        <f t="shared" si="84"/>
        <v/>
      </c>
    </row>
    <row r="2152" spans="4:4" x14ac:dyDescent="0.3">
      <c r="D2152" t="str">
        <f t="shared" si="84"/>
        <v/>
      </c>
    </row>
    <row r="2153" spans="4:4" x14ac:dyDescent="0.3">
      <c r="D2153" t="str">
        <f t="shared" si="84"/>
        <v/>
      </c>
    </row>
    <row r="2154" spans="4:4" x14ac:dyDescent="0.3">
      <c r="D2154" t="str">
        <f t="shared" si="84"/>
        <v/>
      </c>
    </row>
    <row r="2155" spans="4:4" x14ac:dyDescent="0.3">
      <c r="D2155" t="str">
        <f t="shared" si="84"/>
        <v/>
      </c>
    </row>
    <row r="2156" spans="4:4" x14ac:dyDescent="0.3">
      <c r="D2156" t="str">
        <f t="shared" si="84"/>
        <v/>
      </c>
    </row>
    <row r="2157" spans="4:4" x14ac:dyDescent="0.3">
      <c r="D2157" t="str">
        <f t="shared" si="84"/>
        <v/>
      </c>
    </row>
    <row r="2158" spans="4:4" x14ac:dyDescent="0.3">
      <c r="D2158" t="str">
        <f t="shared" si="84"/>
        <v/>
      </c>
    </row>
    <row r="2159" spans="4:4" x14ac:dyDescent="0.3">
      <c r="D2159" t="str">
        <f t="shared" si="84"/>
        <v/>
      </c>
    </row>
    <row r="2160" spans="4:4" x14ac:dyDescent="0.3">
      <c r="D2160" t="str">
        <f t="shared" si="84"/>
        <v/>
      </c>
    </row>
    <row r="2161" spans="4:4" x14ac:dyDescent="0.3">
      <c r="D2161" t="str">
        <f t="shared" si="84"/>
        <v/>
      </c>
    </row>
    <row r="2162" spans="4:4" x14ac:dyDescent="0.3">
      <c r="D2162" t="str">
        <f t="shared" si="84"/>
        <v/>
      </c>
    </row>
    <row r="2163" spans="4:4" x14ac:dyDescent="0.3">
      <c r="D2163" t="str">
        <f t="shared" si="84"/>
        <v/>
      </c>
    </row>
    <row r="2164" spans="4:4" x14ac:dyDescent="0.3">
      <c r="D2164" t="str">
        <f t="shared" si="84"/>
        <v/>
      </c>
    </row>
    <row r="2165" spans="4:4" x14ac:dyDescent="0.3">
      <c r="D2165" t="str">
        <f t="shared" si="84"/>
        <v/>
      </c>
    </row>
    <row r="2166" spans="4:4" x14ac:dyDescent="0.3">
      <c r="D2166" t="str">
        <f t="shared" si="84"/>
        <v/>
      </c>
    </row>
    <row r="2167" spans="4:4" x14ac:dyDescent="0.3">
      <c r="D2167" t="str">
        <f t="shared" si="84"/>
        <v/>
      </c>
    </row>
    <row r="2168" spans="4:4" x14ac:dyDescent="0.3">
      <c r="D2168" t="str">
        <f t="shared" si="84"/>
        <v/>
      </c>
    </row>
    <row r="2169" spans="4:4" x14ac:dyDescent="0.3">
      <c r="D2169" t="str">
        <f t="shared" si="84"/>
        <v/>
      </c>
    </row>
    <row r="2170" spans="4:4" x14ac:dyDescent="0.3">
      <c r="D2170" t="str">
        <f t="shared" si="84"/>
        <v/>
      </c>
    </row>
    <row r="2171" spans="4:4" x14ac:dyDescent="0.3">
      <c r="D2171" t="str">
        <f t="shared" si="84"/>
        <v/>
      </c>
    </row>
    <row r="2172" spans="4:4" x14ac:dyDescent="0.3">
      <c r="D2172" t="str">
        <f t="shared" si="84"/>
        <v/>
      </c>
    </row>
    <row r="2173" spans="4:4" x14ac:dyDescent="0.3">
      <c r="D2173" t="str">
        <f t="shared" si="84"/>
        <v/>
      </c>
    </row>
    <row r="2174" spans="4:4" x14ac:dyDescent="0.3">
      <c r="D2174" t="str">
        <f t="shared" si="84"/>
        <v/>
      </c>
    </row>
    <row r="2175" spans="4:4" x14ac:dyDescent="0.3">
      <c r="D2175" t="str">
        <f t="shared" si="84"/>
        <v/>
      </c>
    </row>
    <row r="2176" spans="4:4" x14ac:dyDescent="0.3">
      <c r="D2176" t="str">
        <f t="shared" si="84"/>
        <v/>
      </c>
    </row>
    <row r="2177" spans="4:4" x14ac:dyDescent="0.3">
      <c r="D2177" t="str">
        <f t="shared" si="84"/>
        <v/>
      </c>
    </row>
    <row r="2178" spans="4:4" x14ac:dyDescent="0.3">
      <c r="D2178" t="str">
        <f t="shared" si="84"/>
        <v/>
      </c>
    </row>
    <row r="2179" spans="4:4" x14ac:dyDescent="0.3">
      <c r="D2179" t="str">
        <f t="shared" si="84"/>
        <v/>
      </c>
    </row>
    <row r="2180" spans="4:4" x14ac:dyDescent="0.3">
      <c r="D2180" t="str">
        <f t="shared" si="84"/>
        <v/>
      </c>
    </row>
    <row r="2181" spans="4:4" x14ac:dyDescent="0.3">
      <c r="D2181" t="str">
        <f t="shared" si="84"/>
        <v/>
      </c>
    </row>
    <row r="2182" spans="4:4" x14ac:dyDescent="0.3">
      <c r="D2182" t="str">
        <f t="shared" si="84"/>
        <v/>
      </c>
    </row>
    <row r="2183" spans="4:4" x14ac:dyDescent="0.3">
      <c r="D2183" t="str">
        <f t="shared" si="84"/>
        <v/>
      </c>
    </row>
    <row r="2184" spans="4:4" x14ac:dyDescent="0.3">
      <c r="D2184" t="str">
        <f t="shared" si="84"/>
        <v/>
      </c>
    </row>
    <row r="2185" spans="4:4" x14ac:dyDescent="0.3">
      <c r="D2185" t="str">
        <f t="shared" ref="D2185:D2248" si="85">IF(LEFT(A2185,2)="SP",MID(A2185,4,4),IF(LEFT(A2185,1)="X",MID(A2185,3,4),""))</f>
        <v/>
      </c>
    </row>
    <row r="2186" spans="4:4" x14ac:dyDescent="0.3">
      <c r="D2186" t="str">
        <f t="shared" si="85"/>
        <v/>
      </c>
    </row>
    <row r="2187" spans="4:4" x14ac:dyDescent="0.3">
      <c r="D2187" t="str">
        <f t="shared" si="85"/>
        <v/>
      </c>
    </row>
    <row r="2188" spans="4:4" x14ac:dyDescent="0.3">
      <c r="D2188" t="str">
        <f t="shared" si="85"/>
        <v/>
      </c>
    </row>
    <row r="2189" spans="4:4" x14ac:dyDescent="0.3">
      <c r="D2189" t="str">
        <f t="shared" si="85"/>
        <v/>
      </c>
    </row>
    <row r="2190" spans="4:4" x14ac:dyDescent="0.3">
      <c r="D2190" t="str">
        <f t="shared" si="85"/>
        <v/>
      </c>
    </row>
    <row r="2191" spans="4:4" x14ac:dyDescent="0.3">
      <c r="D2191" t="str">
        <f t="shared" si="85"/>
        <v/>
      </c>
    </row>
    <row r="2192" spans="4:4" x14ac:dyDescent="0.3">
      <c r="D2192" t="str">
        <f t="shared" si="85"/>
        <v/>
      </c>
    </row>
    <row r="2193" spans="4:4" x14ac:dyDescent="0.3">
      <c r="D2193" t="str">
        <f t="shared" si="85"/>
        <v/>
      </c>
    </row>
    <row r="2194" spans="4:4" x14ac:dyDescent="0.3">
      <c r="D2194" t="str">
        <f t="shared" si="85"/>
        <v/>
      </c>
    </row>
    <row r="2195" spans="4:4" x14ac:dyDescent="0.3">
      <c r="D2195" t="str">
        <f t="shared" si="85"/>
        <v/>
      </c>
    </row>
    <row r="2196" spans="4:4" x14ac:dyDescent="0.3">
      <c r="D2196" t="str">
        <f t="shared" si="85"/>
        <v/>
      </c>
    </row>
    <row r="2197" spans="4:4" x14ac:dyDescent="0.3">
      <c r="D2197" t="str">
        <f t="shared" si="85"/>
        <v/>
      </c>
    </row>
    <row r="2198" spans="4:4" x14ac:dyDescent="0.3">
      <c r="D2198" t="str">
        <f t="shared" si="85"/>
        <v/>
      </c>
    </row>
    <row r="2199" spans="4:4" x14ac:dyDescent="0.3">
      <c r="D2199" t="str">
        <f t="shared" si="85"/>
        <v/>
      </c>
    </row>
    <row r="2200" spans="4:4" x14ac:dyDescent="0.3">
      <c r="D2200" t="str">
        <f t="shared" si="85"/>
        <v/>
      </c>
    </row>
    <row r="2201" spans="4:4" x14ac:dyDescent="0.3">
      <c r="D2201" t="str">
        <f t="shared" si="85"/>
        <v/>
      </c>
    </row>
    <row r="2202" spans="4:4" x14ac:dyDescent="0.3">
      <c r="D2202" t="str">
        <f t="shared" si="85"/>
        <v/>
      </c>
    </row>
    <row r="2203" spans="4:4" x14ac:dyDescent="0.3">
      <c r="D2203" t="str">
        <f t="shared" si="85"/>
        <v/>
      </c>
    </row>
    <row r="2204" spans="4:4" x14ac:dyDescent="0.3">
      <c r="D2204" t="str">
        <f t="shared" si="85"/>
        <v/>
      </c>
    </row>
    <row r="2205" spans="4:4" x14ac:dyDescent="0.3">
      <c r="D2205" t="str">
        <f t="shared" si="85"/>
        <v/>
      </c>
    </row>
    <row r="2206" spans="4:4" x14ac:dyDescent="0.3">
      <c r="D2206" t="str">
        <f t="shared" si="85"/>
        <v/>
      </c>
    </row>
    <row r="2207" spans="4:4" x14ac:dyDescent="0.3">
      <c r="D2207" t="str">
        <f t="shared" si="85"/>
        <v/>
      </c>
    </row>
    <row r="2208" spans="4:4" x14ac:dyDescent="0.3">
      <c r="D2208" t="str">
        <f t="shared" si="85"/>
        <v/>
      </c>
    </row>
    <row r="2209" spans="4:4" x14ac:dyDescent="0.3">
      <c r="D2209" t="str">
        <f t="shared" si="85"/>
        <v/>
      </c>
    </row>
    <row r="2210" spans="4:4" x14ac:dyDescent="0.3">
      <c r="D2210" t="str">
        <f t="shared" si="85"/>
        <v/>
      </c>
    </row>
    <row r="2211" spans="4:4" x14ac:dyDescent="0.3">
      <c r="D2211" t="str">
        <f t="shared" si="85"/>
        <v/>
      </c>
    </row>
    <row r="2212" spans="4:4" x14ac:dyDescent="0.3">
      <c r="D2212" t="str">
        <f t="shared" si="85"/>
        <v/>
      </c>
    </row>
    <row r="2213" spans="4:4" x14ac:dyDescent="0.3">
      <c r="D2213" t="str">
        <f t="shared" si="85"/>
        <v/>
      </c>
    </row>
    <row r="2214" spans="4:4" x14ac:dyDescent="0.3">
      <c r="D2214" t="str">
        <f t="shared" si="85"/>
        <v/>
      </c>
    </row>
    <row r="2215" spans="4:4" x14ac:dyDescent="0.3">
      <c r="D2215" t="str">
        <f t="shared" si="85"/>
        <v/>
      </c>
    </row>
    <row r="2216" spans="4:4" x14ac:dyDescent="0.3">
      <c r="D2216" t="str">
        <f t="shared" si="85"/>
        <v/>
      </c>
    </row>
    <row r="2217" spans="4:4" x14ac:dyDescent="0.3">
      <c r="D2217" t="str">
        <f t="shared" si="85"/>
        <v/>
      </c>
    </row>
    <row r="2218" spans="4:4" x14ac:dyDescent="0.3">
      <c r="D2218" t="str">
        <f t="shared" si="85"/>
        <v/>
      </c>
    </row>
    <row r="2219" spans="4:4" x14ac:dyDescent="0.3">
      <c r="D2219" t="str">
        <f t="shared" si="85"/>
        <v/>
      </c>
    </row>
    <row r="2220" spans="4:4" x14ac:dyDescent="0.3">
      <c r="D2220" t="str">
        <f t="shared" si="85"/>
        <v/>
      </c>
    </row>
    <row r="2221" spans="4:4" x14ac:dyDescent="0.3">
      <c r="D2221" t="str">
        <f t="shared" si="85"/>
        <v/>
      </c>
    </row>
    <row r="2222" spans="4:4" x14ac:dyDescent="0.3">
      <c r="D2222" t="str">
        <f t="shared" si="85"/>
        <v/>
      </c>
    </row>
    <row r="2223" spans="4:4" x14ac:dyDescent="0.3">
      <c r="D2223" t="str">
        <f t="shared" si="85"/>
        <v/>
      </c>
    </row>
    <row r="2224" spans="4:4" x14ac:dyDescent="0.3">
      <c r="D2224" t="str">
        <f t="shared" si="85"/>
        <v/>
      </c>
    </row>
    <row r="2225" spans="4:4" x14ac:dyDescent="0.3">
      <c r="D2225" t="str">
        <f t="shared" si="85"/>
        <v/>
      </c>
    </row>
    <row r="2226" spans="4:4" x14ac:dyDescent="0.3">
      <c r="D2226" t="str">
        <f t="shared" si="85"/>
        <v/>
      </c>
    </row>
    <row r="2227" spans="4:4" x14ac:dyDescent="0.3">
      <c r="D2227" t="str">
        <f t="shared" si="85"/>
        <v/>
      </c>
    </row>
    <row r="2228" spans="4:4" x14ac:dyDescent="0.3">
      <c r="D2228" t="str">
        <f t="shared" si="85"/>
        <v/>
      </c>
    </row>
    <row r="2229" spans="4:4" x14ac:dyDescent="0.3">
      <c r="D2229" t="str">
        <f t="shared" si="85"/>
        <v/>
      </c>
    </row>
    <row r="2230" spans="4:4" x14ac:dyDescent="0.3">
      <c r="D2230" t="str">
        <f t="shared" si="85"/>
        <v/>
      </c>
    </row>
    <row r="2231" spans="4:4" x14ac:dyDescent="0.3">
      <c r="D2231" t="str">
        <f t="shared" si="85"/>
        <v/>
      </c>
    </row>
    <row r="2232" spans="4:4" x14ac:dyDescent="0.3">
      <c r="D2232" t="str">
        <f t="shared" si="85"/>
        <v/>
      </c>
    </row>
    <row r="2233" spans="4:4" x14ac:dyDescent="0.3">
      <c r="D2233" t="str">
        <f t="shared" si="85"/>
        <v/>
      </c>
    </row>
    <row r="2234" spans="4:4" x14ac:dyDescent="0.3">
      <c r="D2234" t="str">
        <f t="shared" si="85"/>
        <v/>
      </c>
    </row>
    <row r="2235" spans="4:4" x14ac:dyDescent="0.3">
      <c r="D2235" t="str">
        <f t="shared" si="85"/>
        <v/>
      </c>
    </row>
    <row r="2236" spans="4:4" x14ac:dyDescent="0.3">
      <c r="D2236" t="str">
        <f t="shared" si="85"/>
        <v/>
      </c>
    </row>
    <row r="2237" spans="4:4" x14ac:dyDescent="0.3">
      <c r="D2237" t="str">
        <f t="shared" si="85"/>
        <v/>
      </c>
    </row>
    <row r="2238" spans="4:4" x14ac:dyDescent="0.3">
      <c r="D2238" t="str">
        <f t="shared" si="85"/>
        <v/>
      </c>
    </row>
    <row r="2239" spans="4:4" x14ac:dyDescent="0.3">
      <c r="D2239" t="str">
        <f t="shared" si="85"/>
        <v/>
      </c>
    </row>
    <row r="2240" spans="4:4" x14ac:dyDescent="0.3">
      <c r="D2240" t="str">
        <f t="shared" si="85"/>
        <v/>
      </c>
    </row>
    <row r="2241" spans="4:4" x14ac:dyDescent="0.3">
      <c r="D2241" t="str">
        <f t="shared" si="85"/>
        <v/>
      </c>
    </row>
    <row r="2242" spans="4:4" x14ac:dyDescent="0.3">
      <c r="D2242" t="str">
        <f t="shared" si="85"/>
        <v/>
      </c>
    </row>
    <row r="2243" spans="4:4" x14ac:dyDescent="0.3">
      <c r="D2243" t="str">
        <f t="shared" si="85"/>
        <v/>
      </c>
    </row>
    <row r="2244" spans="4:4" x14ac:dyDescent="0.3">
      <c r="D2244" t="str">
        <f t="shared" si="85"/>
        <v/>
      </c>
    </row>
    <row r="2245" spans="4:4" x14ac:dyDescent="0.3">
      <c r="D2245" t="str">
        <f t="shared" si="85"/>
        <v/>
      </c>
    </row>
    <row r="2246" spans="4:4" x14ac:dyDescent="0.3">
      <c r="D2246" t="str">
        <f t="shared" si="85"/>
        <v/>
      </c>
    </row>
    <row r="2247" spans="4:4" x14ac:dyDescent="0.3">
      <c r="D2247" t="str">
        <f t="shared" si="85"/>
        <v/>
      </c>
    </row>
    <row r="2248" spans="4:4" x14ac:dyDescent="0.3">
      <c r="D2248" t="str">
        <f t="shared" si="85"/>
        <v/>
      </c>
    </row>
    <row r="2249" spans="4:4" x14ac:dyDescent="0.3">
      <c r="D2249" t="str">
        <f t="shared" ref="D2249:D2312" si="86">IF(LEFT(A2249,2)="SP",MID(A2249,4,4),IF(LEFT(A2249,1)="X",MID(A2249,3,4),""))</f>
        <v/>
      </c>
    </row>
    <row r="2250" spans="4:4" x14ac:dyDescent="0.3">
      <c r="D2250" t="str">
        <f t="shared" si="86"/>
        <v/>
      </c>
    </row>
    <row r="2251" spans="4:4" x14ac:dyDescent="0.3">
      <c r="D2251" t="str">
        <f t="shared" si="86"/>
        <v/>
      </c>
    </row>
    <row r="2252" spans="4:4" x14ac:dyDescent="0.3">
      <c r="D2252" t="str">
        <f t="shared" si="86"/>
        <v/>
      </c>
    </row>
    <row r="2253" spans="4:4" x14ac:dyDescent="0.3">
      <c r="D2253" t="str">
        <f t="shared" si="86"/>
        <v/>
      </c>
    </row>
    <row r="2254" spans="4:4" x14ac:dyDescent="0.3">
      <c r="D2254" t="str">
        <f t="shared" si="86"/>
        <v/>
      </c>
    </row>
    <row r="2255" spans="4:4" x14ac:dyDescent="0.3">
      <c r="D2255" t="str">
        <f t="shared" si="86"/>
        <v/>
      </c>
    </row>
    <row r="2256" spans="4:4" x14ac:dyDescent="0.3">
      <c r="D2256" t="str">
        <f t="shared" si="86"/>
        <v/>
      </c>
    </row>
    <row r="2257" spans="4:4" x14ac:dyDescent="0.3">
      <c r="D2257" t="str">
        <f t="shared" si="86"/>
        <v/>
      </c>
    </row>
    <row r="2258" spans="4:4" x14ac:dyDescent="0.3">
      <c r="D2258" t="str">
        <f t="shared" si="86"/>
        <v/>
      </c>
    </row>
    <row r="2259" spans="4:4" x14ac:dyDescent="0.3">
      <c r="D2259" t="str">
        <f t="shared" si="86"/>
        <v/>
      </c>
    </row>
    <row r="2260" spans="4:4" x14ac:dyDescent="0.3">
      <c r="D2260" t="str">
        <f t="shared" si="86"/>
        <v/>
      </c>
    </row>
    <row r="2261" spans="4:4" x14ac:dyDescent="0.3">
      <c r="D2261" t="str">
        <f t="shared" si="86"/>
        <v/>
      </c>
    </row>
    <row r="2262" spans="4:4" x14ac:dyDescent="0.3">
      <c r="D2262" t="str">
        <f t="shared" si="86"/>
        <v/>
      </c>
    </row>
    <row r="2263" spans="4:4" x14ac:dyDescent="0.3">
      <c r="D2263" t="str">
        <f t="shared" si="86"/>
        <v/>
      </c>
    </row>
    <row r="2264" spans="4:4" x14ac:dyDescent="0.3">
      <c r="D2264" t="str">
        <f t="shared" si="86"/>
        <v/>
      </c>
    </row>
    <row r="2265" spans="4:4" x14ac:dyDescent="0.3">
      <c r="D2265" t="str">
        <f t="shared" si="86"/>
        <v/>
      </c>
    </row>
    <row r="2266" spans="4:4" x14ac:dyDescent="0.3">
      <c r="D2266" t="str">
        <f t="shared" si="86"/>
        <v/>
      </c>
    </row>
    <row r="2267" spans="4:4" x14ac:dyDescent="0.3">
      <c r="D2267" t="str">
        <f t="shared" si="86"/>
        <v/>
      </c>
    </row>
    <row r="2268" spans="4:4" x14ac:dyDescent="0.3">
      <c r="D2268" t="str">
        <f t="shared" si="86"/>
        <v/>
      </c>
    </row>
    <row r="2269" spans="4:4" x14ac:dyDescent="0.3">
      <c r="D2269" t="str">
        <f t="shared" si="86"/>
        <v/>
      </c>
    </row>
    <row r="2270" spans="4:4" x14ac:dyDescent="0.3">
      <c r="D2270" t="str">
        <f t="shared" si="86"/>
        <v/>
      </c>
    </row>
    <row r="2271" spans="4:4" x14ac:dyDescent="0.3">
      <c r="D2271" t="str">
        <f t="shared" si="86"/>
        <v/>
      </c>
    </row>
    <row r="2272" spans="4:4" x14ac:dyDescent="0.3">
      <c r="D2272" t="str">
        <f t="shared" si="86"/>
        <v/>
      </c>
    </row>
    <row r="2273" spans="4:4" x14ac:dyDescent="0.3">
      <c r="D2273" t="str">
        <f t="shared" si="86"/>
        <v/>
      </c>
    </row>
    <row r="2274" spans="4:4" x14ac:dyDescent="0.3">
      <c r="D2274" t="str">
        <f t="shared" si="86"/>
        <v/>
      </c>
    </row>
    <row r="2275" spans="4:4" x14ac:dyDescent="0.3">
      <c r="D2275" t="str">
        <f t="shared" si="86"/>
        <v/>
      </c>
    </row>
    <row r="2276" spans="4:4" x14ac:dyDescent="0.3">
      <c r="D2276" t="str">
        <f t="shared" si="86"/>
        <v/>
      </c>
    </row>
    <row r="2277" spans="4:4" x14ac:dyDescent="0.3">
      <c r="D2277" t="str">
        <f t="shared" si="86"/>
        <v/>
      </c>
    </row>
    <row r="2278" spans="4:4" x14ac:dyDescent="0.3">
      <c r="D2278" t="str">
        <f t="shared" si="86"/>
        <v/>
      </c>
    </row>
    <row r="2279" spans="4:4" x14ac:dyDescent="0.3">
      <c r="D2279" t="str">
        <f t="shared" si="86"/>
        <v/>
      </c>
    </row>
    <row r="2280" spans="4:4" x14ac:dyDescent="0.3">
      <c r="D2280" t="str">
        <f t="shared" si="86"/>
        <v/>
      </c>
    </row>
    <row r="2281" spans="4:4" x14ac:dyDescent="0.3">
      <c r="D2281" t="str">
        <f t="shared" si="86"/>
        <v/>
      </c>
    </row>
    <row r="2282" spans="4:4" x14ac:dyDescent="0.3">
      <c r="D2282" t="str">
        <f t="shared" si="86"/>
        <v/>
      </c>
    </row>
    <row r="2283" spans="4:4" x14ac:dyDescent="0.3">
      <c r="D2283" t="str">
        <f t="shared" si="86"/>
        <v/>
      </c>
    </row>
    <row r="2284" spans="4:4" x14ac:dyDescent="0.3">
      <c r="D2284" t="str">
        <f t="shared" si="86"/>
        <v/>
      </c>
    </row>
    <row r="2285" spans="4:4" x14ac:dyDescent="0.3">
      <c r="D2285" t="str">
        <f t="shared" si="86"/>
        <v/>
      </c>
    </row>
    <row r="2286" spans="4:4" x14ac:dyDescent="0.3">
      <c r="D2286" t="str">
        <f t="shared" si="86"/>
        <v/>
      </c>
    </row>
    <row r="2287" spans="4:4" x14ac:dyDescent="0.3">
      <c r="D2287" t="str">
        <f t="shared" si="86"/>
        <v/>
      </c>
    </row>
    <row r="2288" spans="4:4" x14ac:dyDescent="0.3">
      <c r="D2288" t="str">
        <f t="shared" si="86"/>
        <v/>
      </c>
    </row>
    <row r="2289" spans="4:4" x14ac:dyDescent="0.3">
      <c r="D2289" t="str">
        <f t="shared" si="86"/>
        <v/>
      </c>
    </row>
    <row r="2290" spans="4:4" x14ac:dyDescent="0.3">
      <c r="D2290" t="str">
        <f t="shared" si="86"/>
        <v/>
      </c>
    </row>
    <row r="2291" spans="4:4" x14ac:dyDescent="0.3">
      <c r="D2291" t="str">
        <f t="shared" si="86"/>
        <v/>
      </c>
    </row>
    <row r="2292" spans="4:4" x14ac:dyDescent="0.3">
      <c r="D2292" t="str">
        <f t="shared" si="86"/>
        <v/>
      </c>
    </row>
    <row r="2293" spans="4:4" x14ac:dyDescent="0.3">
      <c r="D2293" t="str">
        <f t="shared" si="86"/>
        <v/>
      </c>
    </row>
    <row r="2294" spans="4:4" x14ac:dyDescent="0.3">
      <c r="D2294" t="str">
        <f t="shared" si="86"/>
        <v/>
      </c>
    </row>
    <row r="2295" spans="4:4" x14ac:dyDescent="0.3">
      <c r="D2295" t="str">
        <f t="shared" si="86"/>
        <v/>
      </c>
    </row>
    <row r="2296" spans="4:4" x14ac:dyDescent="0.3">
      <c r="D2296" t="str">
        <f t="shared" si="86"/>
        <v/>
      </c>
    </row>
    <row r="2297" spans="4:4" x14ac:dyDescent="0.3">
      <c r="D2297" t="str">
        <f t="shared" si="86"/>
        <v/>
      </c>
    </row>
    <row r="2298" spans="4:4" x14ac:dyDescent="0.3">
      <c r="D2298" t="str">
        <f t="shared" si="86"/>
        <v/>
      </c>
    </row>
    <row r="2299" spans="4:4" x14ac:dyDescent="0.3">
      <c r="D2299" t="str">
        <f t="shared" si="86"/>
        <v/>
      </c>
    </row>
    <row r="2300" spans="4:4" x14ac:dyDescent="0.3">
      <c r="D2300" t="str">
        <f t="shared" si="86"/>
        <v/>
      </c>
    </row>
    <row r="2301" spans="4:4" x14ac:dyDescent="0.3">
      <c r="D2301" t="str">
        <f t="shared" si="86"/>
        <v/>
      </c>
    </row>
    <row r="2302" spans="4:4" x14ac:dyDescent="0.3">
      <c r="D2302" t="str">
        <f t="shared" si="86"/>
        <v/>
      </c>
    </row>
    <row r="2303" spans="4:4" x14ac:dyDescent="0.3">
      <c r="D2303" t="str">
        <f t="shared" si="86"/>
        <v/>
      </c>
    </row>
    <row r="2304" spans="4:4" x14ac:dyDescent="0.3">
      <c r="D2304" t="str">
        <f t="shared" si="86"/>
        <v/>
      </c>
    </row>
    <row r="2305" spans="4:4" x14ac:dyDescent="0.3">
      <c r="D2305" t="str">
        <f t="shared" si="86"/>
        <v/>
      </c>
    </row>
    <row r="2306" spans="4:4" x14ac:dyDescent="0.3">
      <c r="D2306" t="str">
        <f t="shared" si="86"/>
        <v/>
      </c>
    </row>
    <row r="2307" spans="4:4" x14ac:dyDescent="0.3">
      <c r="D2307" t="str">
        <f t="shared" si="86"/>
        <v/>
      </c>
    </row>
    <row r="2308" spans="4:4" x14ac:dyDescent="0.3">
      <c r="D2308" t="str">
        <f t="shared" si="86"/>
        <v/>
      </c>
    </row>
    <row r="2309" spans="4:4" x14ac:dyDescent="0.3">
      <c r="D2309" t="str">
        <f t="shared" si="86"/>
        <v/>
      </c>
    </row>
    <row r="2310" spans="4:4" x14ac:dyDescent="0.3">
      <c r="D2310" t="str">
        <f t="shared" si="86"/>
        <v/>
      </c>
    </row>
    <row r="2311" spans="4:4" x14ac:dyDescent="0.3">
      <c r="D2311" t="str">
        <f t="shared" si="86"/>
        <v/>
      </c>
    </row>
    <row r="2312" spans="4:4" x14ac:dyDescent="0.3">
      <c r="D2312" t="str">
        <f t="shared" si="86"/>
        <v/>
      </c>
    </row>
    <row r="2313" spans="4:4" x14ac:dyDescent="0.3">
      <c r="D2313" t="str">
        <f t="shared" ref="D2313:D2376" si="87">IF(LEFT(A2313,2)="SP",MID(A2313,4,4),IF(LEFT(A2313,1)="X",MID(A2313,3,4),""))</f>
        <v/>
      </c>
    </row>
    <row r="2314" spans="4:4" x14ac:dyDescent="0.3">
      <c r="D2314" t="str">
        <f t="shared" si="87"/>
        <v/>
      </c>
    </row>
    <row r="2315" spans="4:4" x14ac:dyDescent="0.3">
      <c r="D2315" t="str">
        <f t="shared" si="87"/>
        <v/>
      </c>
    </row>
    <row r="2316" spans="4:4" x14ac:dyDescent="0.3">
      <c r="D2316" t="str">
        <f t="shared" si="87"/>
        <v/>
      </c>
    </row>
    <row r="2317" spans="4:4" x14ac:dyDescent="0.3">
      <c r="D2317" t="str">
        <f t="shared" si="87"/>
        <v/>
      </c>
    </row>
    <row r="2318" spans="4:4" x14ac:dyDescent="0.3">
      <c r="D2318" t="str">
        <f t="shared" si="87"/>
        <v/>
      </c>
    </row>
    <row r="2319" spans="4:4" x14ac:dyDescent="0.3">
      <c r="D2319" t="str">
        <f t="shared" si="87"/>
        <v/>
      </c>
    </row>
    <row r="2320" spans="4:4" x14ac:dyDescent="0.3">
      <c r="D2320" t="str">
        <f t="shared" si="87"/>
        <v/>
      </c>
    </row>
    <row r="2321" spans="4:4" x14ac:dyDescent="0.3">
      <c r="D2321" t="str">
        <f t="shared" si="87"/>
        <v/>
      </c>
    </row>
    <row r="2322" spans="4:4" x14ac:dyDescent="0.3">
      <c r="D2322" t="str">
        <f t="shared" si="87"/>
        <v/>
      </c>
    </row>
    <row r="2323" spans="4:4" x14ac:dyDescent="0.3">
      <c r="D2323" t="str">
        <f t="shared" si="87"/>
        <v/>
      </c>
    </row>
    <row r="2324" spans="4:4" x14ac:dyDescent="0.3">
      <c r="D2324" t="str">
        <f t="shared" si="87"/>
        <v/>
      </c>
    </row>
    <row r="2325" spans="4:4" x14ac:dyDescent="0.3">
      <c r="D2325" t="str">
        <f t="shared" si="87"/>
        <v/>
      </c>
    </row>
    <row r="2326" spans="4:4" x14ac:dyDescent="0.3">
      <c r="D2326" t="str">
        <f t="shared" si="87"/>
        <v/>
      </c>
    </row>
    <row r="2327" spans="4:4" x14ac:dyDescent="0.3">
      <c r="D2327" t="str">
        <f t="shared" si="87"/>
        <v/>
      </c>
    </row>
    <row r="2328" spans="4:4" x14ac:dyDescent="0.3">
      <c r="D2328" t="str">
        <f t="shared" si="87"/>
        <v/>
      </c>
    </row>
    <row r="2329" spans="4:4" x14ac:dyDescent="0.3">
      <c r="D2329" t="str">
        <f t="shared" si="87"/>
        <v/>
      </c>
    </row>
    <row r="2330" spans="4:4" x14ac:dyDescent="0.3">
      <c r="D2330" t="str">
        <f t="shared" si="87"/>
        <v/>
      </c>
    </row>
    <row r="2331" spans="4:4" x14ac:dyDescent="0.3">
      <c r="D2331" t="str">
        <f t="shared" si="87"/>
        <v/>
      </c>
    </row>
    <row r="2332" spans="4:4" x14ac:dyDescent="0.3">
      <c r="D2332" t="str">
        <f t="shared" si="87"/>
        <v/>
      </c>
    </row>
    <row r="2333" spans="4:4" x14ac:dyDescent="0.3">
      <c r="D2333" t="str">
        <f t="shared" si="87"/>
        <v/>
      </c>
    </row>
    <row r="2334" spans="4:4" x14ac:dyDescent="0.3">
      <c r="D2334" t="str">
        <f t="shared" si="87"/>
        <v/>
      </c>
    </row>
    <row r="2335" spans="4:4" x14ac:dyDescent="0.3">
      <c r="D2335" t="str">
        <f t="shared" si="87"/>
        <v/>
      </c>
    </row>
    <row r="2336" spans="4:4" x14ac:dyDescent="0.3">
      <c r="D2336" t="str">
        <f t="shared" si="87"/>
        <v/>
      </c>
    </row>
    <row r="2337" spans="4:4" x14ac:dyDescent="0.3">
      <c r="D2337" t="str">
        <f t="shared" si="87"/>
        <v/>
      </c>
    </row>
    <row r="2338" spans="4:4" x14ac:dyDescent="0.3">
      <c r="D2338" t="str">
        <f t="shared" si="87"/>
        <v/>
      </c>
    </row>
    <row r="2339" spans="4:4" x14ac:dyDescent="0.3">
      <c r="D2339" t="str">
        <f t="shared" si="87"/>
        <v/>
      </c>
    </row>
    <row r="2340" spans="4:4" x14ac:dyDescent="0.3">
      <c r="D2340" t="str">
        <f t="shared" si="87"/>
        <v/>
      </c>
    </row>
    <row r="2341" spans="4:4" x14ac:dyDescent="0.3">
      <c r="D2341" t="str">
        <f t="shared" si="87"/>
        <v/>
      </c>
    </row>
    <row r="2342" spans="4:4" x14ac:dyDescent="0.3">
      <c r="D2342" t="str">
        <f t="shared" si="87"/>
        <v/>
      </c>
    </row>
    <row r="2343" spans="4:4" x14ac:dyDescent="0.3">
      <c r="D2343" t="str">
        <f t="shared" si="87"/>
        <v/>
      </c>
    </row>
    <row r="2344" spans="4:4" x14ac:dyDescent="0.3">
      <c r="D2344" t="str">
        <f t="shared" si="87"/>
        <v/>
      </c>
    </row>
    <row r="2345" spans="4:4" x14ac:dyDescent="0.3">
      <c r="D2345" t="str">
        <f t="shared" si="87"/>
        <v/>
      </c>
    </row>
    <row r="2346" spans="4:4" x14ac:dyDescent="0.3">
      <c r="D2346" t="str">
        <f t="shared" si="87"/>
        <v/>
      </c>
    </row>
    <row r="2347" spans="4:4" x14ac:dyDescent="0.3">
      <c r="D2347" t="str">
        <f t="shared" si="87"/>
        <v/>
      </c>
    </row>
    <row r="2348" spans="4:4" x14ac:dyDescent="0.3">
      <c r="D2348" t="str">
        <f t="shared" si="87"/>
        <v/>
      </c>
    </row>
    <row r="2349" spans="4:4" x14ac:dyDescent="0.3">
      <c r="D2349" t="str">
        <f t="shared" si="87"/>
        <v/>
      </c>
    </row>
    <row r="2350" spans="4:4" x14ac:dyDescent="0.3">
      <c r="D2350" t="str">
        <f t="shared" si="87"/>
        <v/>
      </c>
    </row>
    <row r="2351" spans="4:4" x14ac:dyDescent="0.3">
      <c r="D2351" t="str">
        <f t="shared" si="87"/>
        <v/>
      </c>
    </row>
    <row r="2352" spans="4:4" x14ac:dyDescent="0.3">
      <c r="D2352" t="str">
        <f t="shared" si="87"/>
        <v/>
      </c>
    </row>
    <row r="2353" spans="4:4" x14ac:dyDescent="0.3">
      <c r="D2353" t="str">
        <f t="shared" si="87"/>
        <v/>
      </c>
    </row>
    <row r="2354" spans="4:4" x14ac:dyDescent="0.3">
      <c r="D2354" t="str">
        <f t="shared" si="87"/>
        <v/>
      </c>
    </row>
    <row r="2355" spans="4:4" x14ac:dyDescent="0.3">
      <c r="D2355" t="str">
        <f t="shared" si="87"/>
        <v/>
      </c>
    </row>
    <row r="2356" spans="4:4" x14ac:dyDescent="0.3">
      <c r="D2356" t="str">
        <f t="shared" si="87"/>
        <v/>
      </c>
    </row>
    <row r="2357" spans="4:4" x14ac:dyDescent="0.3">
      <c r="D2357" t="str">
        <f t="shared" si="87"/>
        <v/>
      </c>
    </row>
    <row r="2358" spans="4:4" x14ac:dyDescent="0.3">
      <c r="D2358" t="str">
        <f t="shared" si="87"/>
        <v/>
      </c>
    </row>
    <row r="2359" spans="4:4" x14ac:dyDescent="0.3">
      <c r="D2359" t="str">
        <f t="shared" si="87"/>
        <v/>
      </c>
    </row>
    <row r="2360" spans="4:4" x14ac:dyDescent="0.3">
      <c r="D2360" t="str">
        <f t="shared" si="87"/>
        <v/>
      </c>
    </row>
    <row r="2361" spans="4:4" x14ac:dyDescent="0.3">
      <c r="D2361" t="str">
        <f t="shared" si="87"/>
        <v/>
      </c>
    </row>
    <row r="2362" spans="4:4" x14ac:dyDescent="0.3">
      <c r="D2362" t="str">
        <f t="shared" si="87"/>
        <v/>
      </c>
    </row>
    <row r="2363" spans="4:4" x14ac:dyDescent="0.3">
      <c r="D2363" t="str">
        <f t="shared" si="87"/>
        <v/>
      </c>
    </row>
    <row r="2364" spans="4:4" x14ac:dyDescent="0.3">
      <c r="D2364" t="str">
        <f t="shared" si="87"/>
        <v/>
      </c>
    </row>
    <row r="2365" spans="4:4" x14ac:dyDescent="0.3">
      <c r="D2365" t="str">
        <f t="shared" si="87"/>
        <v/>
      </c>
    </row>
    <row r="2366" spans="4:4" x14ac:dyDescent="0.3">
      <c r="D2366" t="str">
        <f t="shared" si="87"/>
        <v/>
      </c>
    </row>
    <row r="2367" spans="4:4" x14ac:dyDescent="0.3">
      <c r="D2367" t="str">
        <f t="shared" si="87"/>
        <v/>
      </c>
    </row>
    <row r="2368" spans="4:4" x14ac:dyDescent="0.3">
      <c r="D2368" t="str">
        <f t="shared" si="87"/>
        <v/>
      </c>
    </row>
    <row r="2369" spans="4:4" x14ac:dyDescent="0.3">
      <c r="D2369" t="str">
        <f t="shared" si="87"/>
        <v/>
      </c>
    </row>
    <row r="2370" spans="4:4" x14ac:dyDescent="0.3">
      <c r="D2370" t="str">
        <f t="shared" si="87"/>
        <v/>
      </c>
    </row>
    <row r="2371" spans="4:4" x14ac:dyDescent="0.3">
      <c r="D2371" t="str">
        <f t="shared" si="87"/>
        <v/>
      </c>
    </row>
    <row r="2372" spans="4:4" x14ac:dyDescent="0.3">
      <c r="D2372" t="str">
        <f t="shared" si="87"/>
        <v/>
      </c>
    </row>
    <row r="2373" spans="4:4" x14ac:dyDescent="0.3">
      <c r="D2373" t="str">
        <f t="shared" si="87"/>
        <v/>
      </c>
    </row>
    <row r="2374" spans="4:4" x14ac:dyDescent="0.3">
      <c r="D2374" t="str">
        <f t="shared" si="87"/>
        <v/>
      </c>
    </row>
    <row r="2375" spans="4:4" x14ac:dyDescent="0.3">
      <c r="D2375" t="str">
        <f t="shared" si="87"/>
        <v/>
      </c>
    </row>
    <row r="2376" spans="4:4" x14ac:dyDescent="0.3">
      <c r="D2376" t="str">
        <f t="shared" si="87"/>
        <v/>
      </c>
    </row>
    <row r="2377" spans="4:4" x14ac:dyDescent="0.3">
      <c r="D2377" t="str">
        <f t="shared" ref="D2377:D2440" si="88">IF(LEFT(A2377,2)="SP",MID(A2377,4,4),IF(LEFT(A2377,1)="X",MID(A2377,3,4),""))</f>
        <v/>
      </c>
    </row>
    <row r="2378" spans="4:4" x14ac:dyDescent="0.3">
      <c r="D2378" t="str">
        <f t="shared" si="88"/>
        <v/>
      </c>
    </row>
    <row r="2379" spans="4:4" x14ac:dyDescent="0.3">
      <c r="D2379" t="str">
        <f t="shared" si="88"/>
        <v/>
      </c>
    </row>
    <row r="2380" spans="4:4" x14ac:dyDescent="0.3">
      <c r="D2380" t="str">
        <f t="shared" si="88"/>
        <v/>
      </c>
    </row>
    <row r="2381" spans="4:4" x14ac:dyDescent="0.3">
      <c r="D2381" t="str">
        <f t="shared" si="88"/>
        <v/>
      </c>
    </row>
    <row r="2382" spans="4:4" x14ac:dyDescent="0.3">
      <c r="D2382" t="str">
        <f t="shared" si="88"/>
        <v/>
      </c>
    </row>
    <row r="2383" spans="4:4" x14ac:dyDescent="0.3">
      <c r="D2383" t="str">
        <f t="shared" si="88"/>
        <v/>
      </c>
    </row>
    <row r="2384" spans="4:4" x14ac:dyDescent="0.3">
      <c r="D2384" t="str">
        <f t="shared" si="88"/>
        <v/>
      </c>
    </row>
    <row r="2385" spans="4:4" x14ac:dyDescent="0.3">
      <c r="D2385" t="str">
        <f t="shared" si="88"/>
        <v/>
      </c>
    </row>
    <row r="2386" spans="4:4" x14ac:dyDescent="0.3">
      <c r="D2386" t="str">
        <f t="shared" si="88"/>
        <v/>
      </c>
    </row>
    <row r="2387" spans="4:4" x14ac:dyDescent="0.3">
      <c r="D2387" t="str">
        <f t="shared" si="88"/>
        <v/>
      </c>
    </row>
    <row r="2388" spans="4:4" x14ac:dyDescent="0.3">
      <c r="D2388" t="str">
        <f t="shared" si="88"/>
        <v/>
      </c>
    </row>
    <row r="2389" spans="4:4" x14ac:dyDescent="0.3">
      <c r="D2389" t="str">
        <f t="shared" si="88"/>
        <v/>
      </c>
    </row>
    <row r="2390" spans="4:4" x14ac:dyDescent="0.3">
      <c r="D2390" t="str">
        <f t="shared" si="88"/>
        <v/>
      </c>
    </row>
    <row r="2391" spans="4:4" x14ac:dyDescent="0.3">
      <c r="D2391" t="str">
        <f t="shared" si="88"/>
        <v/>
      </c>
    </row>
    <row r="2392" spans="4:4" x14ac:dyDescent="0.3">
      <c r="D2392" t="str">
        <f t="shared" si="88"/>
        <v/>
      </c>
    </row>
    <row r="2393" spans="4:4" x14ac:dyDescent="0.3">
      <c r="D2393" t="str">
        <f t="shared" si="88"/>
        <v/>
      </c>
    </row>
    <row r="2394" spans="4:4" x14ac:dyDescent="0.3">
      <c r="D2394" t="str">
        <f t="shared" si="88"/>
        <v/>
      </c>
    </row>
    <row r="2395" spans="4:4" x14ac:dyDescent="0.3">
      <c r="D2395" t="str">
        <f t="shared" si="88"/>
        <v/>
      </c>
    </row>
    <row r="2396" spans="4:4" x14ac:dyDescent="0.3">
      <c r="D2396" t="str">
        <f t="shared" si="88"/>
        <v/>
      </c>
    </row>
    <row r="2397" spans="4:4" x14ac:dyDescent="0.3">
      <c r="D2397" t="str">
        <f t="shared" si="88"/>
        <v/>
      </c>
    </row>
    <row r="2398" spans="4:4" x14ac:dyDescent="0.3">
      <c r="D2398" t="str">
        <f t="shared" si="88"/>
        <v/>
      </c>
    </row>
    <row r="2399" spans="4:4" x14ac:dyDescent="0.3">
      <c r="D2399" t="str">
        <f t="shared" si="88"/>
        <v/>
      </c>
    </row>
    <row r="2400" spans="4:4" x14ac:dyDescent="0.3">
      <c r="D2400" t="str">
        <f t="shared" si="88"/>
        <v/>
      </c>
    </row>
    <row r="2401" spans="4:4" x14ac:dyDescent="0.3">
      <c r="D2401" t="str">
        <f t="shared" si="88"/>
        <v/>
      </c>
    </row>
    <row r="2402" spans="4:4" x14ac:dyDescent="0.3">
      <c r="D2402" t="str">
        <f t="shared" si="88"/>
        <v/>
      </c>
    </row>
    <row r="2403" spans="4:4" x14ac:dyDescent="0.3">
      <c r="D2403" t="str">
        <f t="shared" si="88"/>
        <v/>
      </c>
    </row>
    <row r="2404" spans="4:4" x14ac:dyDescent="0.3">
      <c r="D2404" t="str">
        <f t="shared" si="88"/>
        <v/>
      </c>
    </row>
    <row r="2405" spans="4:4" x14ac:dyDescent="0.3">
      <c r="D2405" t="str">
        <f t="shared" si="88"/>
        <v/>
      </c>
    </row>
    <row r="2406" spans="4:4" x14ac:dyDescent="0.3">
      <c r="D2406" t="str">
        <f t="shared" si="88"/>
        <v/>
      </c>
    </row>
    <row r="2407" spans="4:4" x14ac:dyDescent="0.3">
      <c r="D2407" t="str">
        <f t="shared" si="88"/>
        <v/>
      </c>
    </row>
    <row r="2408" spans="4:4" x14ac:dyDescent="0.3">
      <c r="D2408" t="str">
        <f t="shared" si="88"/>
        <v/>
      </c>
    </row>
    <row r="2409" spans="4:4" x14ac:dyDescent="0.3">
      <c r="D2409" t="str">
        <f t="shared" si="88"/>
        <v/>
      </c>
    </row>
    <row r="2410" spans="4:4" x14ac:dyDescent="0.3">
      <c r="D2410" t="str">
        <f t="shared" si="88"/>
        <v/>
      </c>
    </row>
    <row r="2411" spans="4:4" x14ac:dyDescent="0.3">
      <c r="D2411" t="str">
        <f t="shared" si="88"/>
        <v/>
      </c>
    </row>
    <row r="2412" spans="4:4" x14ac:dyDescent="0.3">
      <c r="D2412" t="str">
        <f t="shared" si="88"/>
        <v/>
      </c>
    </row>
    <row r="2413" spans="4:4" x14ac:dyDescent="0.3">
      <c r="D2413" t="str">
        <f t="shared" si="88"/>
        <v/>
      </c>
    </row>
    <row r="2414" spans="4:4" x14ac:dyDescent="0.3">
      <c r="D2414" t="str">
        <f t="shared" si="88"/>
        <v/>
      </c>
    </row>
    <row r="2415" spans="4:4" x14ac:dyDescent="0.3">
      <c r="D2415" t="str">
        <f t="shared" si="88"/>
        <v/>
      </c>
    </row>
    <row r="2416" spans="4:4" x14ac:dyDescent="0.3">
      <c r="D2416" t="str">
        <f t="shared" si="88"/>
        <v/>
      </c>
    </row>
    <row r="2417" spans="4:4" x14ac:dyDescent="0.3">
      <c r="D2417" t="str">
        <f t="shared" si="88"/>
        <v/>
      </c>
    </row>
    <row r="2418" spans="4:4" x14ac:dyDescent="0.3">
      <c r="D2418" t="str">
        <f t="shared" si="88"/>
        <v/>
      </c>
    </row>
    <row r="2419" spans="4:4" x14ac:dyDescent="0.3">
      <c r="D2419" t="str">
        <f t="shared" si="88"/>
        <v/>
      </c>
    </row>
    <row r="2420" spans="4:4" x14ac:dyDescent="0.3">
      <c r="D2420" t="str">
        <f t="shared" si="88"/>
        <v/>
      </c>
    </row>
    <row r="2421" spans="4:4" x14ac:dyDescent="0.3">
      <c r="D2421" t="str">
        <f t="shared" si="88"/>
        <v/>
      </c>
    </row>
    <row r="2422" spans="4:4" x14ac:dyDescent="0.3">
      <c r="D2422" t="str">
        <f t="shared" si="88"/>
        <v/>
      </c>
    </row>
    <row r="2423" spans="4:4" x14ac:dyDescent="0.3">
      <c r="D2423" t="str">
        <f t="shared" si="88"/>
        <v/>
      </c>
    </row>
    <row r="2424" spans="4:4" x14ac:dyDescent="0.3">
      <c r="D2424" t="str">
        <f t="shared" si="88"/>
        <v/>
      </c>
    </row>
    <row r="2425" spans="4:4" x14ac:dyDescent="0.3">
      <c r="D2425" t="str">
        <f t="shared" si="88"/>
        <v/>
      </c>
    </row>
    <row r="2426" spans="4:4" x14ac:dyDescent="0.3">
      <c r="D2426" t="str">
        <f t="shared" si="88"/>
        <v/>
      </c>
    </row>
    <row r="2427" spans="4:4" x14ac:dyDescent="0.3">
      <c r="D2427" t="str">
        <f t="shared" si="88"/>
        <v/>
      </c>
    </row>
    <row r="2428" spans="4:4" x14ac:dyDescent="0.3">
      <c r="D2428" t="str">
        <f t="shared" si="88"/>
        <v/>
      </c>
    </row>
    <row r="2429" spans="4:4" x14ac:dyDescent="0.3">
      <c r="D2429" t="str">
        <f t="shared" si="88"/>
        <v/>
      </c>
    </row>
    <row r="2430" spans="4:4" x14ac:dyDescent="0.3">
      <c r="D2430" t="str">
        <f t="shared" si="88"/>
        <v/>
      </c>
    </row>
    <row r="2431" spans="4:4" x14ac:dyDescent="0.3">
      <c r="D2431" t="str">
        <f t="shared" si="88"/>
        <v/>
      </c>
    </row>
    <row r="2432" spans="4:4" x14ac:dyDescent="0.3">
      <c r="D2432" t="str">
        <f t="shared" si="88"/>
        <v/>
      </c>
    </row>
    <row r="2433" spans="4:4" x14ac:dyDescent="0.3">
      <c r="D2433" t="str">
        <f t="shared" si="88"/>
        <v/>
      </c>
    </row>
    <row r="2434" spans="4:4" x14ac:dyDescent="0.3">
      <c r="D2434" t="str">
        <f t="shared" si="88"/>
        <v/>
      </c>
    </row>
    <row r="2435" spans="4:4" x14ac:dyDescent="0.3">
      <c r="D2435" t="str">
        <f t="shared" si="88"/>
        <v/>
      </c>
    </row>
    <row r="2436" spans="4:4" x14ac:dyDescent="0.3">
      <c r="D2436" t="str">
        <f t="shared" si="88"/>
        <v/>
      </c>
    </row>
    <row r="2437" spans="4:4" x14ac:dyDescent="0.3">
      <c r="D2437" t="str">
        <f t="shared" si="88"/>
        <v/>
      </c>
    </row>
    <row r="2438" spans="4:4" x14ac:dyDescent="0.3">
      <c r="D2438" t="str">
        <f t="shared" si="88"/>
        <v/>
      </c>
    </row>
    <row r="2439" spans="4:4" x14ac:dyDescent="0.3">
      <c r="D2439" t="str">
        <f t="shared" si="88"/>
        <v/>
      </c>
    </row>
    <row r="2440" spans="4:4" x14ac:dyDescent="0.3">
      <c r="D2440" t="str">
        <f t="shared" si="88"/>
        <v/>
      </c>
    </row>
    <row r="2441" spans="4:4" x14ac:dyDescent="0.3">
      <c r="D2441" t="str">
        <f t="shared" ref="D2441:D2504" si="89">IF(LEFT(A2441,2)="SP",MID(A2441,4,4),IF(LEFT(A2441,1)="X",MID(A2441,3,4),""))</f>
        <v/>
      </c>
    </row>
    <row r="2442" spans="4:4" x14ac:dyDescent="0.3">
      <c r="D2442" t="str">
        <f t="shared" si="89"/>
        <v/>
      </c>
    </row>
    <row r="2443" spans="4:4" x14ac:dyDescent="0.3">
      <c r="D2443" t="str">
        <f t="shared" si="89"/>
        <v/>
      </c>
    </row>
    <row r="2444" spans="4:4" x14ac:dyDescent="0.3">
      <c r="D2444" t="str">
        <f t="shared" si="89"/>
        <v/>
      </c>
    </row>
    <row r="2445" spans="4:4" x14ac:dyDescent="0.3">
      <c r="D2445" t="str">
        <f t="shared" si="89"/>
        <v/>
      </c>
    </row>
    <row r="2446" spans="4:4" x14ac:dyDescent="0.3">
      <c r="D2446" t="str">
        <f t="shared" si="89"/>
        <v/>
      </c>
    </row>
    <row r="2447" spans="4:4" x14ac:dyDescent="0.3">
      <c r="D2447" t="str">
        <f t="shared" si="89"/>
        <v/>
      </c>
    </row>
    <row r="2448" spans="4:4" x14ac:dyDescent="0.3">
      <c r="D2448" t="str">
        <f t="shared" si="89"/>
        <v/>
      </c>
    </row>
    <row r="2449" spans="4:4" x14ac:dyDescent="0.3">
      <c r="D2449" t="str">
        <f t="shared" si="89"/>
        <v/>
      </c>
    </row>
    <row r="2450" spans="4:4" x14ac:dyDescent="0.3">
      <c r="D2450" t="str">
        <f t="shared" si="89"/>
        <v/>
      </c>
    </row>
    <row r="2451" spans="4:4" x14ac:dyDescent="0.3">
      <c r="D2451" t="str">
        <f t="shared" si="89"/>
        <v/>
      </c>
    </row>
    <row r="2452" spans="4:4" x14ac:dyDescent="0.3">
      <c r="D2452" t="str">
        <f t="shared" si="89"/>
        <v/>
      </c>
    </row>
    <row r="2453" spans="4:4" x14ac:dyDescent="0.3">
      <c r="D2453" t="str">
        <f t="shared" si="89"/>
        <v/>
      </c>
    </row>
    <row r="2454" spans="4:4" x14ac:dyDescent="0.3">
      <c r="D2454" t="str">
        <f t="shared" si="89"/>
        <v/>
      </c>
    </row>
    <row r="2455" spans="4:4" x14ac:dyDescent="0.3">
      <c r="D2455" t="str">
        <f t="shared" si="89"/>
        <v/>
      </c>
    </row>
    <row r="2456" spans="4:4" x14ac:dyDescent="0.3">
      <c r="D2456" t="str">
        <f t="shared" si="89"/>
        <v/>
      </c>
    </row>
    <row r="2457" spans="4:4" x14ac:dyDescent="0.3">
      <c r="D2457" t="str">
        <f t="shared" si="89"/>
        <v/>
      </c>
    </row>
    <row r="2458" spans="4:4" x14ac:dyDescent="0.3">
      <c r="D2458" t="str">
        <f t="shared" si="89"/>
        <v/>
      </c>
    </row>
    <row r="2459" spans="4:4" x14ac:dyDescent="0.3">
      <c r="D2459" t="str">
        <f t="shared" si="89"/>
        <v/>
      </c>
    </row>
    <row r="2460" spans="4:4" x14ac:dyDescent="0.3">
      <c r="D2460" t="str">
        <f t="shared" si="89"/>
        <v/>
      </c>
    </row>
    <row r="2461" spans="4:4" x14ac:dyDescent="0.3">
      <c r="D2461" t="str">
        <f t="shared" si="89"/>
        <v/>
      </c>
    </row>
    <row r="2462" spans="4:4" x14ac:dyDescent="0.3">
      <c r="D2462" t="str">
        <f t="shared" si="89"/>
        <v/>
      </c>
    </row>
    <row r="2463" spans="4:4" x14ac:dyDescent="0.3">
      <c r="D2463" t="str">
        <f t="shared" si="89"/>
        <v/>
      </c>
    </row>
    <row r="2464" spans="4:4" x14ac:dyDescent="0.3">
      <c r="D2464" t="str">
        <f t="shared" si="89"/>
        <v/>
      </c>
    </row>
    <row r="2465" spans="4:4" x14ac:dyDescent="0.3">
      <c r="D2465" t="str">
        <f t="shared" si="89"/>
        <v/>
      </c>
    </row>
    <row r="2466" spans="4:4" x14ac:dyDescent="0.3">
      <c r="D2466" t="str">
        <f t="shared" si="89"/>
        <v/>
      </c>
    </row>
    <row r="2467" spans="4:4" x14ac:dyDescent="0.3">
      <c r="D2467" t="str">
        <f t="shared" si="89"/>
        <v/>
      </c>
    </row>
    <row r="2468" spans="4:4" x14ac:dyDescent="0.3">
      <c r="D2468" t="str">
        <f t="shared" si="89"/>
        <v/>
      </c>
    </row>
    <row r="2469" spans="4:4" x14ac:dyDescent="0.3">
      <c r="D2469" t="str">
        <f t="shared" si="89"/>
        <v/>
      </c>
    </row>
    <row r="2470" spans="4:4" x14ac:dyDescent="0.3">
      <c r="D2470" t="str">
        <f t="shared" si="89"/>
        <v/>
      </c>
    </row>
    <row r="2471" spans="4:4" x14ac:dyDescent="0.3">
      <c r="D2471" t="str">
        <f t="shared" si="89"/>
        <v/>
      </c>
    </row>
    <row r="2472" spans="4:4" x14ac:dyDescent="0.3">
      <c r="D2472" t="str">
        <f t="shared" si="89"/>
        <v/>
      </c>
    </row>
    <row r="2473" spans="4:4" x14ac:dyDescent="0.3">
      <c r="D2473" t="str">
        <f t="shared" si="89"/>
        <v/>
      </c>
    </row>
    <row r="2474" spans="4:4" x14ac:dyDescent="0.3">
      <c r="D2474" t="str">
        <f t="shared" si="89"/>
        <v/>
      </c>
    </row>
    <row r="2475" spans="4:4" x14ac:dyDescent="0.3">
      <c r="D2475" t="str">
        <f t="shared" si="89"/>
        <v/>
      </c>
    </row>
    <row r="2476" spans="4:4" x14ac:dyDescent="0.3">
      <c r="D2476" t="str">
        <f t="shared" si="89"/>
        <v/>
      </c>
    </row>
    <row r="2477" spans="4:4" x14ac:dyDescent="0.3">
      <c r="D2477" t="str">
        <f t="shared" si="89"/>
        <v/>
      </c>
    </row>
    <row r="2478" spans="4:4" x14ac:dyDescent="0.3">
      <c r="D2478" t="str">
        <f t="shared" si="89"/>
        <v/>
      </c>
    </row>
    <row r="2479" spans="4:4" x14ac:dyDescent="0.3">
      <c r="D2479" t="str">
        <f t="shared" si="89"/>
        <v/>
      </c>
    </row>
    <row r="2480" spans="4:4" x14ac:dyDescent="0.3">
      <c r="D2480" t="str">
        <f t="shared" si="89"/>
        <v/>
      </c>
    </row>
    <row r="2481" spans="4:4" x14ac:dyDescent="0.3">
      <c r="D2481" t="str">
        <f t="shared" si="89"/>
        <v/>
      </c>
    </row>
    <row r="2482" spans="4:4" x14ac:dyDescent="0.3">
      <c r="D2482" t="str">
        <f t="shared" si="89"/>
        <v/>
      </c>
    </row>
    <row r="2483" spans="4:4" x14ac:dyDescent="0.3">
      <c r="D2483" t="str">
        <f t="shared" si="89"/>
        <v/>
      </c>
    </row>
    <row r="2484" spans="4:4" x14ac:dyDescent="0.3">
      <c r="D2484" t="str">
        <f t="shared" si="89"/>
        <v/>
      </c>
    </row>
    <row r="2485" spans="4:4" x14ac:dyDescent="0.3">
      <c r="D2485" t="str">
        <f t="shared" si="89"/>
        <v/>
      </c>
    </row>
    <row r="2486" spans="4:4" x14ac:dyDescent="0.3">
      <c r="D2486" t="str">
        <f t="shared" si="89"/>
        <v/>
      </c>
    </row>
    <row r="2487" spans="4:4" x14ac:dyDescent="0.3">
      <c r="D2487" t="str">
        <f t="shared" si="89"/>
        <v/>
      </c>
    </row>
    <row r="2488" spans="4:4" x14ac:dyDescent="0.3">
      <c r="D2488" t="str">
        <f t="shared" si="89"/>
        <v/>
      </c>
    </row>
    <row r="2489" spans="4:4" x14ac:dyDescent="0.3">
      <c r="D2489" t="str">
        <f t="shared" si="89"/>
        <v/>
      </c>
    </row>
    <row r="2490" spans="4:4" x14ac:dyDescent="0.3">
      <c r="D2490" t="str">
        <f t="shared" si="89"/>
        <v/>
      </c>
    </row>
    <row r="2491" spans="4:4" x14ac:dyDescent="0.3">
      <c r="D2491" t="str">
        <f t="shared" si="89"/>
        <v/>
      </c>
    </row>
    <row r="2492" spans="4:4" x14ac:dyDescent="0.3">
      <c r="D2492" t="str">
        <f t="shared" si="89"/>
        <v/>
      </c>
    </row>
    <row r="2493" spans="4:4" x14ac:dyDescent="0.3">
      <c r="D2493" t="str">
        <f t="shared" si="89"/>
        <v/>
      </c>
    </row>
    <row r="2494" spans="4:4" x14ac:dyDescent="0.3">
      <c r="D2494" t="str">
        <f t="shared" si="89"/>
        <v/>
      </c>
    </row>
    <row r="2495" spans="4:4" x14ac:dyDescent="0.3">
      <c r="D2495" t="str">
        <f t="shared" si="89"/>
        <v/>
      </c>
    </row>
    <row r="2496" spans="4:4" x14ac:dyDescent="0.3">
      <c r="D2496" t="str">
        <f t="shared" si="89"/>
        <v/>
      </c>
    </row>
    <row r="2497" spans="4:4" x14ac:dyDescent="0.3">
      <c r="D2497" t="str">
        <f t="shared" si="89"/>
        <v/>
      </c>
    </row>
    <row r="2498" spans="4:4" x14ac:dyDescent="0.3">
      <c r="D2498" t="str">
        <f t="shared" si="89"/>
        <v/>
      </c>
    </row>
    <row r="2499" spans="4:4" x14ac:dyDescent="0.3">
      <c r="D2499" t="str">
        <f t="shared" si="89"/>
        <v/>
      </c>
    </row>
    <row r="2500" spans="4:4" x14ac:dyDescent="0.3">
      <c r="D2500" t="str">
        <f t="shared" si="89"/>
        <v/>
      </c>
    </row>
    <row r="2501" spans="4:4" x14ac:dyDescent="0.3">
      <c r="D2501" t="str">
        <f t="shared" si="89"/>
        <v/>
      </c>
    </row>
    <row r="2502" spans="4:4" x14ac:dyDescent="0.3">
      <c r="D2502" t="str">
        <f t="shared" si="89"/>
        <v/>
      </c>
    </row>
    <row r="2503" spans="4:4" x14ac:dyDescent="0.3">
      <c r="D2503" t="str">
        <f t="shared" si="89"/>
        <v/>
      </c>
    </row>
    <row r="2504" spans="4:4" x14ac:dyDescent="0.3">
      <c r="D2504" t="str">
        <f t="shared" si="89"/>
        <v/>
      </c>
    </row>
    <row r="2505" spans="4:4" x14ac:dyDescent="0.3">
      <c r="D2505" t="str">
        <f t="shared" ref="D2505:D2568" si="90">IF(LEFT(A2505,2)="SP",MID(A2505,4,4),IF(LEFT(A2505,1)="X",MID(A2505,3,4),""))</f>
        <v/>
      </c>
    </row>
    <row r="2506" spans="4:4" x14ac:dyDescent="0.3">
      <c r="D2506" t="str">
        <f t="shared" si="90"/>
        <v/>
      </c>
    </row>
    <row r="2507" spans="4:4" x14ac:dyDescent="0.3">
      <c r="D2507" t="str">
        <f t="shared" si="90"/>
        <v/>
      </c>
    </row>
    <row r="2508" spans="4:4" x14ac:dyDescent="0.3">
      <c r="D2508" t="str">
        <f t="shared" si="90"/>
        <v/>
      </c>
    </row>
    <row r="2509" spans="4:4" x14ac:dyDescent="0.3">
      <c r="D2509" t="str">
        <f t="shared" si="90"/>
        <v/>
      </c>
    </row>
    <row r="2510" spans="4:4" x14ac:dyDescent="0.3">
      <c r="D2510" t="str">
        <f t="shared" si="90"/>
        <v/>
      </c>
    </row>
    <row r="2511" spans="4:4" x14ac:dyDescent="0.3">
      <c r="D2511" t="str">
        <f t="shared" si="90"/>
        <v/>
      </c>
    </row>
    <row r="2512" spans="4:4" x14ac:dyDescent="0.3">
      <c r="D2512" t="str">
        <f t="shared" si="90"/>
        <v/>
      </c>
    </row>
    <row r="2513" spans="4:4" x14ac:dyDescent="0.3">
      <c r="D2513" t="str">
        <f t="shared" si="90"/>
        <v/>
      </c>
    </row>
    <row r="2514" spans="4:4" x14ac:dyDescent="0.3">
      <c r="D2514" t="str">
        <f t="shared" si="90"/>
        <v/>
      </c>
    </row>
    <row r="2515" spans="4:4" x14ac:dyDescent="0.3">
      <c r="D2515" t="str">
        <f t="shared" si="90"/>
        <v/>
      </c>
    </row>
    <row r="2516" spans="4:4" x14ac:dyDescent="0.3">
      <c r="D2516" t="str">
        <f t="shared" si="90"/>
        <v/>
      </c>
    </row>
    <row r="2517" spans="4:4" x14ac:dyDescent="0.3">
      <c r="D2517" t="str">
        <f t="shared" si="90"/>
        <v/>
      </c>
    </row>
    <row r="2518" spans="4:4" x14ac:dyDescent="0.3">
      <c r="D2518" t="str">
        <f t="shared" si="90"/>
        <v/>
      </c>
    </row>
    <row r="2519" spans="4:4" x14ac:dyDescent="0.3">
      <c r="D2519" t="str">
        <f t="shared" si="90"/>
        <v/>
      </c>
    </row>
    <row r="2520" spans="4:4" x14ac:dyDescent="0.3">
      <c r="D2520" t="str">
        <f t="shared" si="90"/>
        <v/>
      </c>
    </row>
    <row r="2521" spans="4:4" x14ac:dyDescent="0.3">
      <c r="D2521" t="str">
        <f t="shared" si="90"/>
        <v/>
      </c>
    </row>
    <row r="2522" spans="4:4" x14ac:dyDescent="0.3">
      <c r="D2522" t="str">
        <f t="shared" si="90"/>
        <v/>
      </c>
    </row>
    <row r="2523" spans="4:4" x14ac:dyDescent="0.3">
      <c r="D2523" t="str">
        <f t="shared" si="90"/>
        <v/>
      </c>
    </row>
    <row r="2524" spans="4:4" x14ac:dyDescent="0.3">
      <c r="D2524" t="str">
        <f t="shared" si="90"/>
        <v/>
      </c>
    </row>
    <row r="2525" spans="4:4" x14ac:dyDescent="0.3">
      <c r="D2525" t="str">
        <f t="shared" si="90"/>
        <v/>
      </c>
    </row>
    <row r="2526" spans="4:4" x14ac:dyDescent="0.3">
      <c r="D2526" t="str">
        <f t="shared" si="90"/>
        <v/>
      </c>
    </row>
    <row r="2527" spans="4:4" x14ac:dyDescent="0.3">
      <c r="D2527" t="str">
        <f t="shared" si="90"/>
        <v/>
      </c>
    </row>
    <row r="2528" spans="4:4" x14ac:dyDescent="0.3">
      <c r="D2528" t="str">
        <f t="shared" si="90"/>
        <v/>
      </c>
    </row>
    <row r="2529" spans="4:4" x14ac:dyDescent="0.3">
      <c r="D2529" t="str">
        <f t="shared" si="90"/>
        <v/>
      </c>
    </row>
    <row r="2530" spans="4:4" x14ac:dyDescent="0.3">
      <c r="D2530" t="str">
        <f t="shared" si="90"/>
        <v/>
      </c>
    </row>
    <row r="2531" spans="4:4" x14ac:dyDescent="0.3">
      <c r="D2531" t="str">
        <f t="shared" si="90"/>
        <v/>
      </c>
    </row>
    <row r="2532" spans="4:4" x14ac:dyDescent="0.3">
      <c r="D2532" t="str">
        <f t="shared" si="90"/>
        <v/>
      </c>
    </row>
    <row r="2533" spans="4:4" x14ac:dyDescent="0.3">
      <c r="D2533" t="str">
        <f t="shared" si="90"/>
        <v/>
      </c>
    </row>
    <row r="2534" spans="4:4" x14ac:dyDescent="0.3">
      <c r="D2534" t="str">
        <f t="shared" si="90"/>
        <v/>
      </c>
    </row>
    <row r="2535" spans="4:4" x14ac:dyDescent="0.3">
      <c r="D2535" t="str">
        <f t="shared" si="90"/>
        <v/>
      </c>
    </row>
    <row r="2536" spans="4:4" x14ac:dyDescent="0.3">
      <c r="D2536" t="str">
        <f t="shared" si="90"/>
        <v/>
      </c>
    </row>
    <row r="2537" spans="4:4" x14ac:dyDescent="0.3">
      <c r="D2537" t="str">
        <f t="shared" si="90"/>
        <v/>
      </c>
    </row>
    <row r="2538" spans="4:4" x14ac:dyDescent="0.3">
      <c r="D2538" t="str">
        <f t="shared" si="90"/>
        <v/>
      </c>
    </row>
    <row r="2539" spans="4:4" x14ac:dyDescent="0.3">
      <c r="D2539" t="str">
        <f t="shared" si="90"/>
        <v/>
      </c>
    </row>
    <row r="2540" spans="4:4" x14ac:dyDescent="0.3">
      <c r="D2540" t="str">
        <f t="shared" si="90"/>
        <v/>
      </c>
    </row>
    <row r="2541" spans="4:4" x14ac:dyDescent="0.3">
      <c r="D2541" t="str">
        <f t="shared" si="90"/>
        <v/>
      </c>
    </row>
    <row r="2542" spans="4:4" x14ac:dyDescent="0.3">
      <c r="D2542" t="str">
        <f t="shared" si="90"/>
        <v/>
      </c>
    </row>
    <row r="2543" spans="4:4" x14ac:dyDescent="0.3">
      <c r="D2543" t="str">
        <f t="shared" si="90"/>
        <v/>
      </c>
    </row>
    <row r="2544" spans="4:4" x14ac:dyDescent="0.3">
      <c r="D2544" t="str">
        <f t="shared" si="90"/>
        <v/>
      </c>
    </row>
    <row r="2545" spans="4:4" x14ac:dyDescent="0.3">
      <c r="D2545" t="str">
        <f t="shared" si="90"/>
        <v/>
      </c>
    </row>
    <row r="2546" spans="4:4" x14ac:dyDescent="0.3">
      <c r="D2546" t="str">
        <f t="shared" si="90"/>
        <v/>
      </c>
    </row>
    <row r="2547" spans="4:4" x14ac:dyDescent="0.3">
      <c r="D2547" t="str">
        <f t="shared" si="90"/>
        <v/>
      </c>
    </row>
    <row r="2548" spans="4:4" x14ac:dyDescent="0.3">
      <c r="D2548" t="str">
        <f t="shared" si="90"/>
        <v/>
      </c>
    </row>
    <row r="2549" spans="4:4" x14ac:dyDescent="0.3">
      <c r="D2549" t="str">
        <f t="shared" si="90"/>
        <v/>
      </c>
    </row>
    <row r="2550" spans="4:4" x14ac:dyDescent="0.3">
      <c r="D2550" t="str">
        <f t="shared" si="90"/>
        <v/>
      </c>
    </row>
    <row r="2551" spans="4:4" x14ac:dyDescent="0.3">
      <c r="D2551" t="str">
        <f t="shared" si="90"/>
        <v/>
      </c>
    </row>
    <row r="2552" spans="4:4" x14ac:dyDescent="0.3">
      <c r="D2552" t="str">
        <f t="shared" si="90"/>
        <v/>
      </c>
    </row>
    <row r="2553" spans="4:4" x14ac:dyDescent="0.3">
      <c r="D2553" t="str">
        <f t="shared" si="90"/>
        <v/>
      </c>
    </row>
    <row r="2554" spans="4:4" x14ac:dyDescent="0.3">
      <c r="D2554" t="str">
        <f t="shared" si="90"/>
        <v/>
      </c>
    </row>
    <row r="2555" spans="4:4" x14ac:dyDescent="0.3">
      <c r="D2555" t="str">
        <f t="shared" si="90"/>
        <v/>
      </c>
    </row>
    <row r="2556" spans="4:4" x14ac:dyDescent="0.3">
      <c r="D2556" t="str">
        <f t="shared" si="90"/>
        <v/>
      </c>
    </row>
    <row r="2557" spans="4:4" x14ac:dyDescent="0.3">
      <c r="D2557" t="str">
        <f t="shared" si="90"/>
        <v/>
      </c>
    </row>
    <row r="2558" spans="4:4" x14ac:dyDescent="0.3">
      <c r="D2558" t="str">
        <f t="shared" si="90"/>
        <v/>
      </c>
    </row>
    <row r="2559" spans="4:4" x14ac:dyDescent="0.3">
      <c r="D2559" t="str">
        <f t="shared" si="90"/>
        <v/>
      </c>
    </row>
    <row r="2560" spans="4:4" x14ac:dyDescent="0.3">
      <c r="D2560" t="str">
        <f t="shared" si="90"/>
        <v/>
      </c>
    </row>
    <row r="2561" spans="4:4" x14ac:dyDescent="0.3">
      <c r="D2561" t="str">
        <f t="shared" si="90"/>
        <v/>
      </c>
    </row>
    <row r="2562" spans="4:4" x14ac:dyDescent="0.3">
      <c r="D2562" t="str">
        <f t="shared" si="90"/>
        <v/>
      </c>
    </row>
    <row r="2563" spans="4:4" x14ac:dyDescent="0.3">
      <c r="D2563" t="str">
        <f t="shared" si="90"/>
        <v/>
      </c>
    </row>
    <row r="2564" spans="4:4" x14ac:dyDescent="0.3">
      <c r="D2564" t="str">
        <f t="shared" si="90"/>
        <v/>
      </c>
    </row>
    <row r="2565" spans="4:4" x14ac:dyDescent="0.3">
      <c r="D2565" t="str">
        <f t="shared" si="90"/>
        <v/>
      </c>
    </row>
    <row r="2566" spans="4:4" x14ac:dyDescent="0.3">
      <c r="D2566" t="str">
        <f t="shared" si="90"/>
        <v/>
      </c>
    </row>
    <row r="2567" spans="4:4" x14ac:dyDescent="0.3">
      <c r="D2567" t="str">
        <f t="shared" si="90"/>
        <v/>
      </c>
    </row>
    <row r="2568" spans="4:4" x14ac:dyDescent="0.3">
      <c r="D2568" t="str">
        <f t="shared" si="90"/>
        <v/>
      </c>
    </row>
    <row r="2569" spans="4:4" x14ac:dyDescent="0.3">
      <c r="D2569" t="str">
        <f t="shared" ref="D2569:D2632" si="91">IF(LEFT(A2569,2)="SP",MID(A2569,4,4),IF(LEFT(A2569,1)="X",MID(A2569,3,4),""))</f>
        <v/>
      </c>
    </row>
    <row r="2570" spans="4:4" x14ac:dyDescent="0.3">
      <c r="D2570" t="str">
        <f t="shared" si="91"/>
        <v/>
      </c>
    </row>
    <row r="2571" spans="4:4" x14ac:dyDescent="0.3">
      <c r="D2571" t="str">
        <f t="shared" si="91"/>
        <v/>
      </c>
    </row>
    <row r="2572" spans="4:4" x14ac:dyDescent="0.3">
      <c r="D2572" t="str">
        <f t="shared" si="91"/>
        <v/>
      </c>
    </row>
    <row r="2573" spans="4:4" x14ac:dyDescent="0.3">
      <c r="D2573" t="str">
        <f t="shared" si="91"/>
        <v/>
      </c>
    </row>
    <row r="2574" spans="4:4" x14ac:dyDescent="0.3">
      <c r="D2574" t="str">
        <f t="shared" si="91"/>
        <v/>
      </c>
    </row>
    <row r="2575" spans="4:4" x14ac:dyDescent="0.3">
      <c r="D2575" t="str">
        <f t="shared" si="91"/>
        <v/>
      </c>
    </row>
    <row r="2576" spans="4:4" x14ac:dyDescent="0.3">
      <c r="D2576" t="str">
        <f t="shared" si="91"/>
        <v/>
      </c>
    </row>
    <row r="2577" spans="4:4" x14ac:dyDescent="0.3">
      <c r="D2577" t="str">
        <f t="shared" si="91"/>
        <v/>
      </c>
    </row>
    <row r="2578" spans="4:4" x14ac:dyDescent="0.3">
      <c r="D2578" t="str">
        <f t="shared" si="91"/>
        <v/>
      </c>
    </row>
    <row r="2579" spans="4:4" x14ac:dyDescent="0.3">
      <c r="D2579" t="str">
        <f t="shared" si="91"/>
        <v/>
      </c>
    </row>
    <row r="2580" spans="4:4" x14ac:dyDescent="0.3">
      <c r="D2580" t="str">
        <f t="shared" si="91"/>
        <v/>
      </c>
    </row>
    <row r="2581" spans="4:4" x14ac:dyDescent="0.3">
      <c r="D2581" t="str">
        <f t="shared" si="91"/>
        <v/>
      </c>
    </row>
    <row r="2582" spans="4:4" x14ac:dyDescent="0.3">
      <c r="D2582" t="str">
        <f t="shared" si="91"/>
        <v/>
      </c>
    </row>
    <row r="2583" spans="4:4" x14ac:dyDescent="0.3">
      <c r="D2583" t="str">
        <f t="shared" si="91"/>
        <v/>
      </c>
    </row>
    <row r="2584" spans="4:4" x14ac:dyDescent="0.3">
      <c r="D2584" t="str">
        <f t="shared" si="91"/>
        <v/>
      </c>
    </row>
    <row r="2585" spans="4:4" x14ac:dyDescent="0.3">
      <c r="D2585" t="str">
        <f t="shared" si="91"/>
        <v/>
      </c>
    </row>
    <row r="2586" spans="4:4" x14ac:dyDescent="0.3">
      <c r="D2586" t="str">
        <f t="shared" si="91"/>
        <v/>
      </c>
    </row>
    <row r="2587" spans="4:4" x14ac:dyDescent="0.3">
      <c r="D2587" t="str">
        <f t="shared" si="91"/>
        <v/>
      </c>
    </row>
    <row r="2588" spans="4:4" x14ac:dyDescent="0.3">
      <c r="D2588" t="str">
        <f t="shared" si="91"/>
        <v/>
      </c>
    </row>
    <row r="2589" spans="4:4" x14ac:dyDescent="0.3">
      <c r="D2589" t="str">
        <f t="shared" si="91"/>
        <v/>
      </c>
    </row>
    <row r="2590" spans="4:4" x14ac:dyDescent="0.3">
      <c r="D2590" t="str">
        <f t="shared" si="91"/>
        <v/>
      </c>
    </row>
    <row r="2591" spans="4:4" x14ac:dyDescent="0.3">
      <c r="D2591" t="str">
        <f t="shared" si="91"/>
        <v/>
      </c>
    </row>
    <row r="2592" spans="4:4" x14ac:dyDescent="0.3">
      <c r="D2592" t="str">
        <f t="shared" si="91"/>
        <v/>
      </c>
    </row>
    <row r="2593" spans="4:4" x14ac:dyDescent="0.3">
      <c r="D2593" t="str">
        <f t="shared" si="91"/>
        <v/>
      </c>
    </row>
    <row r="2594" spans="4:4" x14ac:dyDescent="0.3">
      <c r="D2594" t="str">
        <f t="shared" si="91"/>
        <v/>
      </c>
    </row>
    <row r="2595" spans="4:4" x14ac:dyDescent="0.3">
      <c r="D2595" t="str">
        <f t="shared" si="91"/>
        <v/>
      </c>
    </row>
    <row r="2596" spans="4:4" x14ac:dyDescent="0.3">
      <c r="D2596" t="str">
        <f t="shared" si="91"/>
        <v/>
      </c>
    </row>
    <row r="2597" spans="4:4" x14ac:dyDescent="0.3">
      <c r="D2597" t="str">
        <f t="shared" si="91"/>
        <v/>
      </c>
    </row>
    <row r="2598" spans="4:4" x14ac:dyDescent="0.3">
      <c r="D2598" t="str">
        <f t="shared" si="91"/>
        <v/>
      </c>
    </row>
    <row r="2599" spans="4:4" x14ac:dyDescent="0.3">
      <c r="D2599" t="str">
        <f t="shared" si="91"/>
        <v/>
      </c>
    </row>
    <row r="2600" spans="4:4" x14ac:dyDescent="0.3">
      <c r="D2600" t="str">
        <f t="shared" si="91"/>
        <v/>
      </c>
    </row>
    <row r="2601" spans="4:4" x14ac:dyDescent="0.3">
      <c r="D2601" t="str">
        <f t="shared" si="91"/>
        <v/>
      </c>
    </row>
    <row r="2602" spans="4:4" x14ac:dyDescent="0.3">
      <c r="D2602" t="str">
        <f t="shared" si="91"/>
        <v/>
      </c>
    </row>
    <row r="2603" spans="4:4" x14ac:dyDescent="0.3">
      <c r="D2603" t="str">
        <f t="shared" si="91"/>
        <v/>
      </c>
    </row>
    <row r="2604" spans="4:4" x14ac:dyDescent="0.3">
      <c r="D2604" t="str">
        <f t="shared" si="91"/>
        <v/>
      </c>
    </row>
    <row r="2605" spans="4:4" x14ac:dyDescent="0.3">
      <c r="D2605" t="str">
        <f t="shared" si="91"/>
        <v/>
      </c>
    </row>
    <row r="2606" spans="4:4" x14ac:dyDescent="0.3">
      <c r="D2606" t="str">
        <f t="shared" si="91"/>
        <v/>
      </c>
    </row>
    <row r="2607" spans="4:4" x14ac:dyDescent="0.3">
      <c r="D2607" t="str">
        <f t="shared" si="91"/>
        <v/>
      </c>
    </row>
    <row r="2608" spans="4:4" x14ac:dyDescent="0.3">
      <c r="D2608" t="str">
        <f t="shared" si="91"/>
        <v/>
      </c>
    </row>
    <row r="2609" spans="4:4" x14ac:dyDescent="0.3">
      <c r="D2609" t="str">
        <f t="shared" si="91"/>
        <v/>
      </c>
    </row>
    <row r="2610" spans="4:4" x14ac:dyDescent="0.3">
      <c r="D2610" t="str">
        <f t="shared" si="91"/>
        <v/>
      </c>
    </row>
    <row r="2611" spans="4:4" x14ac:dyDescent="0.3">
      <c r="D2611" t="str">
        <f t="shared" si="91"/>
        <v/>
      </c>
    </row>
    <row r="2612" spans="4:4" x14ac:dyDescent="0.3">
      <c r="D2612" t="str">
        <f t="shared" si="91"/>
        <v/>
      </c>
    </row>
    <row r="2613" spans="4:4" x14ac:dyDescent="0.3">
      <c r="D2613" t="str">
        <f t="shared" si="91"/>
        <v/>
      </c>
    </row>
    <row r="2614" spans="4:4" x14ac:dyDescent="0.3">
      <c r="D2614" t="str">
        <f t="shared" si="91"/>
        <v/>
      </c>
    </row>
    <row r="2615" spans="4:4" x14ac:dyDescent="0.3">
      <c r="D2615" t="str">
        <f t="shared" si="91"/>
        <v/>
      </c>
    </row>
    <row r="2616" spans="4:4" x14ac:dyDescent="0.3">
      <c r="D2616" t="str">
        <f t="shared" si="91"/>
        <v/>
      </c>
    </row>
    <row r="2617" spans="4:4" x14ac:dyDescent="0.3">
      <c r="D2617" t="str">
        <f t="shared" si="91"/>
        <v/>
      </c>
    </row>
    <row r="2618" spans="4:4" x14ac:dyDescent="0.3">
      <c r="D2618" t="str">
        <f t="shared" si="91"/>
        <v/>
      </c>
    </row>
    <row r="2619" spans="4:4" x14ac:dyDescent="0.3">
      <c r="D2619" t="str">
        <f t="shared" si="91"/>
        <v/>
      </c>
    </row>
    <row r="2620" spans="4:4" x14ac:dyDescent="0.3">
      <c r="D2620" t="str">
        <f t="shared" si="91"/>
        <v/>
      </c>
    </row>
    <row r="2621" spans="4:4" x14ac:dyDescent="0.3">
      <c r="D2621" t="str">
        <f t="shared" si="91"/>
        <v/>
      </c>
    </row>
    <row r="2622" spans="4:4" x14ac:dyDescent="0.3">
      <c r="D2622" t="str">
        <f t="shared" si="91"/>
        <v/>
      </c>
    </row>
    <row r="2623" spans="4:4" x14ac:dyDescent="0.3">
      <c r="D2623" t="str">
        <f t="shared" si="91"/>
        <v/>
      </c>
    </row>
    <row r="2624" spans="4:4" x14ac:dyDescent="0.3">
      <c r="D2624" t="str">
        <f t="shared" si="91"/>
        <v/>
      </c>
    </row>
    <row r="2625" spans="4:4" x14ac:dyDescent="0.3">
      <c r="D2625" t="str">
        <f t="shared" si="91"/>
        <v/>
      </c>
    </row>
    <row r="2626" spans="4:4" x14ac:dyDescent="0.3">
      <c r="D2626" t="str">
        <f t="shared" si="91"/>
        <v/>
      </c>
    </row>
    <row r="2627" spans="4:4" x14ac:dyDescent="0.3">
      <c r="D2627" t="str">
        <f t="shared" si="91"/>
        <v/>
      </c>
    </row>
    <row r="2628" spans="4:4" x14ac:dyDescent="0.3">
      <c r="D2628" t="str">
        <f t="shared" si="91"/>
        <v/>
      </c>
    </row>
    <row r="2629" spans="4:4" x14ac:dyDescent="0.3">
      <c r="D2629" t="str">
        <f t="shared" si="91"/>
        <v/>
      </c>
    </row>
    <row r="2630" spans="4:4" x14ac:dyDescent="0.3">
      <c r="D2630" t="str">
        <f t="shared" si="91"/>
        <v/>
      </c>
    </row>
    <row r="2631" spans="4:4" x14ac:dyDescent="0.3">
      <c r="D2631" t="str">
        <f t="shared" si="91"/>
        <v/>
      </c>
    </row>
    <row r="2632" spans="4:4" x14ac:dyDescent="0.3">
      <c r="D2632" t="str">
        <f t="shared" si="91"/>
        <v/>
      </c>
    </row>
    <row r="2633" spans="4:4" x14ac:dyDescent="0.3">
      <c r="D2633" t="str">
        <f t="shared" ref="D2633:D2696" si="92">IF(LEFT(A2633,2)="SP",MID(A2633,4,4),IF(LEFT(A2633,1)="X",MID(A2633,3,4),""))</f>
        <v/>
      </c>
    </row>
    <row r="2634" spans="4:4" x14ac:dyDescent="0.3">
      <c r="D2634" t="str">
        <f t="shared" si="92"/>
        <v/>
      </c>
    </row>
    <row r="2635" spans="4:4" x14ac:dyDescent="0.3">
      <c r="D2635" t="str">
        <f t="shared" si="92"/>
        <v/>
      </c>
    </row>
    <row r="2636" spans="4:4" x14ac:dyDescent="0.3">
      <c r="D2636" t="str">
        <f t="shared" si="92"/>
        <v/>
      </c>
    </row>
    <row r="2637" spans="4:4" x14ac:dyDescent="0.3">
      <c r="D2637" t="str">
        <f t="shared" si="92"/>
        <v/>
      </c>
    </row>
    <row r="2638" spans="4:4" x14ac:dyDescent="0.3">
      <c r="D2638" t="str">
        <f t="shared" si="92"/>
        <v/>
      </c>
    </row>
    <row r="2639" spans="4:4" x14ac:dyDescent="0.3">
      <c r="D2639" t="str">
        <f t="shared" si="92"/>
        <v/>
      </c>
    </row>
    <row r="2640" spans="4:4" x14ac:dyDescent="0.3">
      <c r="D2640" t="str">
        <f t="shared" si="92"/>
        <v/>
      </c>
    </row>
    <row r="2641" spans="4:4" x14ac:dyDescent="0.3">
      <c r="D2641" t="str">
        <f t="shared" si="92"/>
        <v/>
      </c>
    </row>
    <row r="2642" spans="4:4" x14ac:dyDescent="0.3">
      <c r="D2642" t="str">
        <f t="shared" si="92"/>
        <v/>
      </c>
    </row>
    <row r="2643" spans="4:4" x14ac:dyDescent="0.3">
      <c r="D2643" t="str">
        <f t="shared" si="92"/>
        <v/>
      </c>
    </row>
    <row r="2644" spans="4:4" x14ac:dyDescent="0.3">
      <c r="D2644" t="str">
        <f t="shared" si="92"/>
        <v/>
      </c>
    </row>
    <row r="2645" spans="4:4" x14ac:dyDescent="0.3">
      <c r="D2645" t="str">
        <f t="shared" si="92"/>
        <v/>
      </c>
    </row>
    <row r="2646" spans="4:4" x14ac:dyDescent="0.3">
      <c r="D2646" t="str">
        <f t="shared" si="92"/>
        <v/>
      </c>
    </row>
    <row r="2647" spans="4:4" x14ac:dyDescent="0.3">
      <c r="D2647" t="str">
        <f t="shared" si="92"/>
        <v/>
      </c>
    </row>
    <row r="2648" spans="4:4" x14ac:dyDescent="0.3">
      <c r="D2648" t="str">
        <f t="shared" si="92"/>
        <v/>
      </c>
    </row>
    <row r="2649" spans="4:4" x14ac:dyDescent="0.3">
      <c r="D2649" t="str">
        <f t="shared" si="92"/>
        <v/>
      </c>
    </row>
    <row r="2650" spans="4:4" x14ac:dyDescent="0.3">
      <c r="D2650" t="str">
        <f t="shared" si="92"/>
        <v/>
      </c>
    </row>
    <row r="2651" spans="4:4" x14ac:dyDescent="0.3">
      <c r="D2651" t="str">
        <f t="shared" si="92"/>
        <v/>
      </c>
    </row>
    <row r="2652" spans="4:4" x14ac:dyDescent="0.3">
      <c r="D2652" t="str">
        <f t="shared" si="92"/>
        <v/>
      </c>
    </row>
    <row r="2653" spans="4:4" x14ac:dyDescent="0.3">
      <c r="D2653" t="str">
        <f t="shared" si="92"/>
        <v/>
      </c>
    </row>
    <row r="2654" spans="4:4" x14ac:dyDescent="0.3">
      <c r="D2654" t="str">
        <f t="shared" si="92"/>
        <v/>
      </c>
    </row>
    <row r="2655" spans="4:4" x14ac:dyDescent="0.3">
      <c r="D2655" t="str">
        <f t="shared" si="92"/>
        <v/>
      </c>
    </row>
    <row r="2656" spans="4:4" x14ac:dyDescent="0.3">
      <c r="D2656" t="str">
        <f t="shared" si="92"/>
        <v/>
      </c>
    </row>
    <row r="2657" spans="4:4" x14ac:dyDescent="0.3">
      <c r="D2657" t="str">
        <f t="shared" si="92"/>
        <v/>
      </c>
    </row>
    <row r="2658" spans="4:4" x14ac:dyDescent="0.3">
      <c r="D2658" t="str">
        <f t="shared" si="92"/>
        <v/>
      </c>
    </row>
    <row r="2659" spans="4:4" x14ac:dyDescent="0.3">
      <c r="D2659" t="str">
        <f t="shared" si="92"/>
        <v/>
      </c>
    </row>
    <row r="2660" spans="4:4" x14ac:dyDescent="0.3">
      <c r="D2660" t="str">
        <f t="shared" si="92"/>
        <v/>
      </c>
    </row>
    <row r="2661" spans="4:4" x14ac:dyDescent="0.3">
      <c r="D2661" t="str">
        <f t="shared" si="92"/>
        <v/>
      </c>
    </row>
    <row r="2662" spans="4:4" x14ac:dyDescent="0.3">
      <c r="D2662" t="str">
        <f t="shared" si="92"/>
        <v/>
      </c>
    </row>
    <row r="2663" spans="4:4" x14ac:dyDescent="0.3">
      <c r="D2663" t="str">
        <f t="shared" si="92"/>
        <v/>
      </c>
    </row>
    <row r="2664" spans="4:4" x14ac:dyDescent="0.3">
      <c r="D2664" t="str">
        <f t="shared" si="92"/>
        <v/>
      </c>
    </row>
    <row r="2665" spans="4:4" x14ac:dyDescent="0.3">
      <c r="D2665" t="str">
        <f t="shared" si="92"/>
        <v/>
      </c>
    </row>
    <row r="2666" spans="4:4" x14ac:dyDescent="0.3">
      <c r="D2666" t="str">
        <f t="shared" si="92"/>
        <v/>
      </c>
    </row>
    <row r="2667" spans="4:4" x14ac:dyDescent="0.3">
      <c r="D2667" t="str">
        <f t="shared" si="92"/>
        <v/>
      </c>
    </row>
    <row r="2668" spans="4:4" x14ac:dyDescent="0.3">
      <c r="D2668" t="str">
        <f t="shared" si="92"/>
        <v/>
      </c>
    </row>
    <row r="2669" spans="4:4" x14ac:dyDescent="0.3">
      <c r="D2669" t="str">
        <f t="shared" si="92"/>
        <v/>
      </c>
    </row>
    <row r="2670" spans="4:4" x14ac:dyDescent="0.3">
      <c r="D2670" t="str">
        <f t="shared" si="92"/>
        <v/>
      </c>
    </row>
    <row r="2671" spans="4:4" x14ac:dyDescent="0.3">
      <c r="D2671" t="str">
        <f t="shared" si="92"/>
        <v/>
      </c>
    </row>
    <row r="2672" spans="4:4" x14ac:dyDescent="0.3">
      <c r="D2672" t="str">
        <f t="shared" si="92"/>
        <v/>
      </c>
    </row>
    <row r="2673" spans="4:4" x14ac:dyDescent="0.3">
      <c r="D2673" t="str">
        <f t="shared" si="92"/>
        <v/>
      </c>
    </row>
    <row r="2674" spans="4:4" x14ac:dyDescent="0.3">
      <c r="D2674" t="str">
        <f t="shared" si="92"/>
        <v/>
      </c>
    </row>
    <row r="2675" spans="4:4" x14ac:dyDescent="0.3">
      <c r="D2675" t="str">
        <f t="shared" si="92"/>
        <v/>
      </c>
    </row>
    <row r="2676" spans="4:4" x14ac:dyDescent="0.3">
      <c r="D2676" t="str">
        <f t="shared" si="92"/>
        <v/>
      </c>
    </row>
    <row r="2677" spans="4:4" x14ac:dyDescent="0.3">
      <c r="D2677" t="str">
        <f t="shared" si="92"/>
        <v/>
      </c>
    </row>
    <row r="2678" spans="4:4" x14ac:dyDescent="0.3">
      <c r="D2678" t="str">
        <f t="shared" si="92"/>
        <v/>
      </c>
    </row>
    <row r="2679" spans="4:4" x14ac:dyDescent="0.3">
      <c r="D2679" t="str">
        <f t="shared" si="92"/>
        <v/>
      </c>
    </row>
    <row r="2680" spans="4:4" x14ac:dyDescent="0.3">
      <c r="D2680" t="str">
        <f t="shared" si="92"/>
        <v/>
      </c>
    </row>
    <row r="2681" spans="4:4" x14ac:dyDescent="0.3">
      <c r="D2681" t="str">
        <f t="shared" si="92"/>
        <v/>
      </c>
    </row>
    <row r="2682" spans="4:4" x14ac:dyDescent="0.3">
      <c r="D2682" t="str">
        <f t="shared" si="92"/>
        <v/>
      </c>
    </row>
    <row r="2683" spans="4:4" x14ac:dyDescent="0.3">
      <c r="D2683" t="str">
        <f t="shared" si="92"/>
        <v/>
      </c>
    </row>
    <row r="2684" spans="4:4" x14ac:dyDescent="0.3">
      <c r="D2684" t="str">
        <f t="shared" si="92"/>
        <v/>
      </c>
    </row>
    <row r="2685" spans="4:4" x14ac:dyDescent="0.3">
      <c r="D2685" t="str">
        <f t="shared" si="92"/>
        <v/>
      </c>
    </row>
    <row r="2686" spans="4:4" x14ac:dyDescent="0.3">
      <c r="D2686" t="str">
        <f t="shared" si="92"/>
        <v/>
      </c>
    </row>
    <row r="2687" spans="4:4" x14ac:dyDescent="0.3">
      <c r="D2687" t="str">
        <f t="shared" si="92"/>
        <v/>
      </c>
    </row>
    <row r="2688" spans="4:4" x14ac:dyDescent="0.3">
      <c r="D2688" t="str">
        <f t="shared" si="92"/>
        <v/>
      </c>
    </row>
    <row r="2689" spans="4:4" x14ac:dyDescent="0.3">
      <c r="D2689" t="str">
        <f t="shared" si="92"/>
        <v/>
      </c>
    </row>
    <row r="2690" spans="4:4" x14ac:dyDescent="0.3">
      <c r="D2690" t="str">
        <f t="shared" si="92"/>
        <v/>
      </c>
    </row>
    <row r="2691" spans="4:4" x14ac:dyDescent="0.3">
      <c r="D2691" t="str">
        <f t="shared" si="92"/>
        <v/>
      </c>
    </row>
    <row r="2692" spans="4:4" x14ac:dyDescent="0.3">
      <c r="D2692" t="str">
        <f t="shared" si="92"/>
        <v/>
      </c>
    </row>
    <row r="2693" spans="4:4" x14ac:dyDescent="0.3">
      <c r="D2693" t="str">
        <f t="shared" si="92"/>
        <v/>
      </c>
    </row>
    <row r="2694" spans="4:4" x14ac:dyDescent="0.3">
      <c r="D2694" t="str">
        <f t="shared" si="92"/>
        <v/>
      </c>
    </row>
    <row r="2695" spans="4:4" x14ac:dyDescent="0.3">
      <c r="D2695" t="str">
        <f t="shared" si="92"/>
        <v/>
      </c>
    </row>
    <row r="2696" spans="4:4" x14ac:dyDescent="0.3">
      <c r="D2696" t="str">
        <f t="shared" si="92"/>
        <v/>
      </c>
    </row>
    <row r="2697" spans="4:4" x14ac:dyDescent="0.3">
      <c r="D2697" t="str">
        <f t="shared" ref="D2697:D2760" si="93">IF(LEFT(A2697,2)="SP",MID(A2697,4,4),IF(LEFT(A2697,1)="X",MID(A2697,3,4),""))</f>
        <v/>
      </c>
    </row>
    <row r="2698" spans="4:4" x14ac:dyDescent="0.3">
      <c r="D2698" t="str">
        <f t="shared" si="93"/>
        <v/>
      </c>
    </row>
    <row r="2699" spans="4:4" x14ac:dyDescent="0.3">
      <c r="D2699" t="str">
        <f t="shared" si="93"/>
        <v/>
      </c>
    </row>
    <row r="2700" spans="4:4" x14ac:dyDescent="0.3">
      <c r="D2700" t="str">
        <f t="shared" si="93"/>
        <v/>
      </c>
    </row>
    <row r="2701" spans="4:4" x14ac:dyDescent="0.3">
      <c r="D2701" t="str">
        <f t="shared" si="93"/>
        <v/>
      </c>
    </row>
    <row r="2702" spans="4:4" x14ac:dyDescent="0.3">
      <c r="D2702" t="str">
        <f t="shared" si="93"/>
        <v/>
      </c>
    </row>
    <row r="2703" spans="4:4" x14ac:dyDescent="0.3">
      <c r="D2703" t="str">
        <f t="shared" si="93"/>
        <v/>
      </c>
    </row>
    <row r="2704" spans="4:4" x14ac:dyDescent="0.3">
      <c r="D2704" t="str">
        <f t="shared" si="93"/>
        <v/>
      </c>
    </row>
    <row r="2705" spans="4:4" x14ac:dyDescent="0.3">
      <c r="D2705" t="str">
        <f t="shared" si="93"/>
        <v/>
      </c>
    </row>
    <row r="2706" spans="4:4" x14ac:dyDescent="0.3">
      <c r="D2706" t="str">
        <f t="shared" si="93"/>
        <v/>
      </c>
    </row>
    <row r="2707" spans="4:4" x14ac:dyDescent="0.3">
      <c r="D2707" t="str">
        <f t="shared" si="93"/>
        <v/>
      </c>
    </row>
    <row r="2708" spans="4:4" x14ac:dyDescent="0.3">
      <c r="D2708" t="str">
        <f t="shared" si="93"/>
        <v/>
      </c>
    </row>
    <row r="2709" spans="4:4" x14ac:dyDescent="0.3">
      <c r="D2709" t="str">
        <f t="shared" si="93"/>
        <v/>
      </c>
    </row>
    <row r="2710" spans="4:4" x14ac:dyDescent="0.3">
      <c r="D2710" t="str">
        <f t="shared" si="93"/>
        <v/>
      </c>
    </row>
    <row r="2711" spans="4:4" x14ac:dyDescent="0.3">
      <c r="D2711" t="str">
        <f t="shared" si="93"/>
        <v/>
      </c>
    </row>
    <row r="2712" spans="4:4" x14ac:dyDescent="0.3">
      <c r="D2712" t="str">
        <f t="shared" si="93"/>
        <v/>
      </c>
    </row>
    <row r="2713" spans="4:4" x14ac:dyDescent="0.3">
      <c r="D2713" t="str">
        <f t="shared" si="93"/>
        <v/>
      </c>
    </row>
    <row r="2714" spans="4:4" x14ac:dyDescent="0.3">
      <c r="D2714" t="str">
        <f t="shared" si="93"/>
        <v/>
      </c>
    </row>
    <row r="2715" spans="4:4" x14ac:dyDescent="0.3">
      <c r="D2715" t="str">
        <f t="shared" si="93"/>
        <v/>
      </c>
    </row>
    <row r="2716" spans="4:4" x14ac:dyDescent="0.3">
      <c r="D2716" t="str">
        <f t="shared" si="93"/>
        <v/>
      </c>
    </row>
    <row r="2717" spans="4:4" x14ac:dyDescent="0.3">
      <c r="D2717" t="str">
        <f t="shared" si="93"/>
        <v/>
      </c>
    </row>
    <row r="2718" spans="4:4" x14ac:dyDescent="0.3">
      <c r="D2718" t="str">
        <f t="shared" si="93"/>
        <v/>
      </c>
    </row>
    <row r="2719" spans="4:4" x14ac:dyDescent="0.3">
      <c r="D2719" t="str">
        <f t="shared" si="93"/>
        <v/>
      </c>
    </row>
    <row r="2720" spans="4:4" x14ac:dyDescent="0.3">
      <c r="D2720" t="str">
        <f t="shared" si="93"/>
        <v/>
      </c>
    </row>
    <row r="2721" spans="4:4" x14ac:dyDescent="0.3">
      <c r="D2721" t="str">
        <f t="shared" si="93"/>
        <v/>
      </c>
    </row>
    <row r="2722" spans="4:4" x14ac:dyDescent="0.3">
      <c r="D2722" t="str">
        <f t="shared" si="93"/>
        <v/>
      </c>
    </row>
    <row r="2723" spans="4:4" x14ac:dyDescent="0.3">
      <c r="D2723" t="str">
        <f t="shared" si="93"/>
        <v/>
      </c>
    </row>
    <row r="2724" spans="4:4" x14ac:dyDescent="0.3">
      <c r="D2724" t="str">
        <f t="shared" si="93"/>
        <v/>
      </c>
    </row>
    <row r="2725" spans="4:4" x14ac:dyDescent="0.3">
      <c r="D2725" t="str">
        <f t="shared" si="93"/>
        <v/>
      </c>
    </row>
    <row r="2726" spans="4:4" x14ac:dyDescent="0.3">
      <c r="D2726" t="str">
        <f t="shared" si="93"/>
        <v/>
      </c>
    </row>
    <row r="2727" spans="4:4" x14ac:dyDescent="0.3">
      <c r="D2727" t="str">
        <f t="shared" si="93"/>
        <v/>
      </c>
    </row>
    <row r="2728" spans="4:4" x14ac:dyDescent="0.3">
      <c r="D2728" t="str">
        <f t="shared" si="93"/>
        <v/>
      </c>
    </row>
    <row r="2729" spans="4:4" x14ac:dyDescent="0.3">
      <c r="D2729" t="str">
        <f t="shared" si="93"/>
        <v/>
      </c>
    </row>
    <row r="2730" spans="4:4" x14ac:dyDescent="0.3">
      <c r="D2730" t="str">
        <f t="shared" si="93"/>
        <v/>
      </c>
    </row>
    <row r="2731" spans="4:4" x14ac:dyDescent="0.3">
      <c r="D2731" t="str">
        <f t="shared" si="93"/>
        <v/>
      </c>
    </row>
    <row r="2732" spans="4:4" x14ac:dyDescent="0.3">
      <c r="D2732" t="str">
        <f t="shared" si="93"/>
        <v/>
      </c>
    </row>
    <row r="2733" spans="4:4" x14ac:dyDescent="0.3">
      <c r="D2733" t="str">
        <f t="shared" si="93"/>
        <v/>
      </c>
    </row>
    <row r="2734" spans="4:4" x14ac:dyDescent="0.3">
      <c r="D2734" t="str">
        <f t="shared" si="93"/>
        <v/>
      </c>
    </row>
    <row r="2735" spans="4:4" x14ac:dyDescent="0.3">
      <c r="D2735" t="str">
        <f t="shared" si="93"/>
        <v/>
      </c>
    </row>
    <row r="2736" spans="4:4" x14ac:dyDescent="0.3">
      <c r="D2736" t="str">
        <f t="shared" si="93"/>
        <v/>
      </c>
    </row>
    <row r="2737" spans="4:4" x14ac:dyDescent="0.3">
      <c r="D2737" t="str">
        <f t="shared" si="93"/>
        <v/>
      </c>
    </row>
    <row r="2738" spans="4:4" x14ac:dyDescent="0.3">
      <c r="D2738" t="str">
        <f t="shared" si="93"/>
        <v/>
      </c>
    </row>
    <row r="2739" spans="4:4" x14ac:dyDescent="0.3">
      <c r="D2739" t="str">
        <f t="shared" si="93"/>
        <v/>
      </c>
    </row>
    <row r="2740" spans="4:4" x14ac:dyDescent="0.3">
      <c r="D2740" t="str">
        <f t="shared" si="93"/>
        <v/>
      </c>
    </row>
    <row r="2741" spans="4:4" x14ac:dyDescent="0.3">
      <c r="D2741" t="str">
        <f t="shared" si="93"/>
        <v/>
      </c>
    </row>
    <row r="2742" spans="4:4" x14ac:dyDescent="0.3">
      <c r="D2742" t="str">
        <f t="shared" si="93"/>
        <v/>
      </c>
    </row>
    <row r="2743" spans="4:4" x14ac:dyDescent="0.3">
      <c r="D2743" t="str">
        <f t="shared" si="93"/>
        <v/>
      </c>
    </row>
    <row r="2744" spans="4:4" x14ac:dyDescent="0.3">
      <c r="D2744" t="str">
        <f t="shared" si="93"/>
        <v/>
      </c>
    </row>
    <row r="2745" spans="4:4" x14ac:dyDescent="0.3">
      <c r="D2745" t="str">
        <f t="shared" si="93"/>
        <v/>
      </c>
    </row>
    <row r="2746" spans="4:4" x14ac:dyDescent="0.3">
      <c r="D2746" t="str">
        <f t="shared" si="93"/>
        <v/>
      </c>
    </row>
    <row r="2747" spans="4:4" x14ac:dyDescent="0.3">
      <c r="D2747" t="str">
        <f t="shared" si="93"/>
        <v/>
      </c>
    </row>
    <row r="2748" spans="4:4" x14ac:dyDescent="0.3">
      <c r="D2748" t="str">
        <f t="shared" si="93"/>
        <v/>
      </c>
    </row>
    <row r="2749" spans="4:4" x14ac:dyDescent="0.3">
      <c r="D2749" t="str">
        <f t="shared" si="93"/>
        <v/>
      </c>
    </row>
    <row r="2750" spans="4:4" x14ac:dyDescent="0.3">
      <c r="D2750" t="str">
        <f t="shared" si="93"/>
        <v/>
      </c>
    </row>
    <row r="2751" spans="4:4" x14ac:dyDescent="0.3">
      <c r="D2751" t="str">
        <f t="shared" si="93"/>
        <v/>
      </c>
    </row>
    <row r="2752" spans="4:4" x14ac:dyDescent="0.3">
      <c r="D2752" t="str">
        <f t="shared" si="93"/>
        <v/>
      </c>
    </row>
    <row r="2753" spans="4:4" x14ac:dyDescent="0.3">
      <c r="D2753" t="str">
        <f t="shared" si="93"/>
        <v/>
      </c>
    </row>
    <row r="2754" spans="4:4" x14ac:dyDescent="0.3">
      <c r="D2754" t="str">
        <f t="shared" si="93"/>
        <v/>
      </c>
    </row>
    <row r="2755" spans="4:4" x14ac:dyDescent="0.3">
      <c r="D2755" t="str">
        <f t="shared" si="93"/>
        <v/>
      </c>
    </row>
    <row r="2756" spans="4:4" x14ac:dyDescent="0.3">
      <c r="D2756" t="str">
        <f t="shared" si="93"/>
        <v/>
      </c>
    </row>
    <row r="2757" spans="4:4" x14ac:dyDescent="0.3">
      <c r="D2757" t="str">
        <f t="shared" si="93"/>
        <v/>
      </c>
    </row>
    <row r="2758" spans="4:4" x14ac:dyDescent="0.3">
      <c r="D2758" t="str">
        <f t="shared" si="93"/>
        <v/>
      </c>
    </row>
    <row r="2759" spans="4:4" x14ac:dyDescent="0.3">
      <c r="D2759" t="str">
        <f t="shared" si="93"/>
        <v/>
      </c>
    </row>
    <row r="2760" spans="4:4" x14ac:dyDescent="0.3">
      <c r="D2760" t="str">
        <f t="shared" si="93"/>
        <v/>
      </c>
    </row>
    <row r="2761" spans="4:4" x14ac:dyDescent="0.3">
      <c r="D2761" t="str">
        <f t="shared" ref="D2761:D2824" si="94">IF(LEFT(A2761,2)="SP",MID(A2761,4,4),IF(LEFT(A2761,1)="X",MID(A2761,3,4),""))</f>
        <v/>
      </c>
    </row>
    <row r="2762" spans="4:4" x14ac:dyDescent="0.3">
      <c r="D2762" t="str">
        <f t="shared" si="94"/>
        <v/>
      </c>
    </row>
    <row r="2763" spans="4:4" x14ac:dyDescent="0.3">
      <c r="D2763" t="str">
        <f t="shared" si="94"/>
        <v/>
      </c>
    </row>
    <row r="2764" spans="4:4" x14ac:dyDescent="0.3">
      <c r="D2764" t="str">
        <f t="shared" si="94"/>
        <v/>
      </c>
    </row>
    <row r="2765" spans="4:4" x14ac:dyDescent="0.3">
      <c r="D2765" t="str">
        <f t="shared" si="94"/>
        <v/>
      </c>
    </row>
    <row r="2766" spans="4:4" x14ac:dyDescent="0.3">
      <c r="D2766" t="str">
        <f t="shared" si="94"/>
        <v/>
      </c>
    </row>
    <row r="2767" spans="4:4" x14ac:dyDescent="0.3">
      <c r="D2767" t="str">
        <f t="shared" si="94"/>
        <v/>
      </c>
    </row>
    <row r="2768" spans="4:4" x14ac:dyDescent="0.3">
      <c r="D2768" t="str">
        <f t="shared" si="94"/>
        <v/>
      </c>
    </row>
    <row r="2769" spans="4:4" x14ac:dyDescent="0.3">
      <c r="D2769" t="str">
        <f t="shared" si="94"/>
        <v/>
      </c>
    </row>
    <row r="2770" spans="4:4" x14ac:dyDescent="0.3">
      <c r="D2770" t="str">
        <f t="shared" si="94"/>
        <v/>
      </c>
    </row>
    <row r="2771" spans="4:4" x14ac:dyDescent="0.3">
      <c r="D2771" t="str">
        <f t="shared" si="94"/>
        <v/>
      </c>
    </row>
    <row r="2772" spans="4:4" x14ac:dyDescent="0.3">
      <c r="D2772" t="str">
        <f t="shared" si="94"/>
        <v/>
      </c>
    </row>
    <row r="2773" spans="4:4" x14ac:dyDescent="0.3">
      <c r="D2773" t="str">
        <f t="shared" si="94"/>
        <v/>
      </c>
    </row>
    <row r="2774" spans="4:4" x14ac:dyDescent="0.3">
      <c r="D2774" t="str">
        <f t="shared" si="94"/>
        <v/>
      </c>
    </row>
    <row r="2775" spans="4:4" x14ac:dyDescent="0.3">
      <c r="D2775" t="str">
        <f t="shared" si="94"/>
        <v/>
      </c>
    </row>
    <row r="2776" spans="4:4" x14ac:dyDescent="0.3">
      <c r="D2776" t="str">
        <f t="shared" si="94"/>
        <v/>
      </c>
    </row>
    <row r="2777" spans="4:4" x14ac:dyDescent="0.3">
      <c r="D2777" t="str">
        <f t="shared" si="94"/>
        <v/>
      </c>
    </row>
    <row r="2778" spans="4:4" x14ac:dyDescent="0.3">
      <c r="D2778" t="str">
        <f t="shared" si="94"/>
        <v/>
      </c>
    </row>
    <row r="2779" spans="4:4" x14ac:dyDescent="0.3">
      <c r="D2779" t="str">
        <f t="shared" si="94"/>
        <v/>
      </c>
    </row>
    <row r="2780" spans="4:4" x14ac:dyDescent="0.3">
      <c r="D2780" t="str">
        <f t="shared" si="94"/>
        <v/>
      </c>
    </row>
    <row r="2781" spans="4:4" x14ac:dyDescent="0.3">
      <c r="D2781" t="str">
        <f t="shared" si="94"/>
        <v/>
      </c>
    </row>
    <row r="2782" spans="4:4" x14ac:dyDescent="0.3">
      <c r="D2782" t="str">
        <f t="shared" si="94"/>
        <v/>
      </c>
    </row>
    <row r="2783" spans="4:4" x14ac:dyDescent="0.3">
      <c r="D2783" t="str">
        <f t="shared" si="94"/>
        <v/>
      </c>
    </row>
    <row r="2784" spans="4:4" x14ac:dyDescent="0.3">
      <c r="D2784" t="str">
        <f t="shared" si="94"/>
        <v/>
      </c>
    </row>
    <row r="2785" spans="4:4" x14ac:dyDescent="0.3">
      <c r="D2785" t="str">
        <f t="shared" si="94"/>
        <v/>
      </c>
    </row>
    <row r="2786" spans="4:4" x14ac:dyDescent="0.3">
      <c r="D2786" t="str">
        <f t="shared" si="94"/>
        <v/>
      </c>
    </row>
    <row r="2787" spans="4:4" x14ac:dyDescent="0.3">
      <c r="D2787" t="str">
        <f t="shared" si="94"/>
        <v/>
      </c>
    </row>
    <row r="2788" spans="4:4" x14ac:dyDescent="0.3">
      <c r="D2788" t="str">
        <f t="shared" si="94"/>
        <v/>
      </c>
    </row>
    <row r="2789" spans="4:4" x14ac:dyDescent="0.3">
      <c r="D2789" t="str">
        <f t="shared" si="94"/>
        <v/>
      </c>
    </row>
    <row r="2790" spans="4:4" x14ac:dyDescent="0.3">
      <c r="D2790" t="str">
        <f t="shared" si="94"/>
        <v/>
      </c>
    </row>
    <row r="2791" spans="4:4" x14ac:dyDescent="0.3">
      <c r="D2791" t="str">
        <f t="shared" si="94"/>
        <v/>
      </c>
    </row>
    <row r="2792" spans="4:4" x14ac:dyDescent="0.3">
      <c r="D2792" t="str">
        <f t="shared" si="94"/>
        <v/>
      </c>
    </row>
    <row r="2793" spans="4:4" x14ac:dyDescent="0.3">
      <c r="D2793" t="str">
        <f t="shared" si="94"/>
        <v/>
      </c>
    </row>
    <row r="2794" spans="4:4" x14ac:dyDescent="0.3">
      <c r="D2794" t="str">
        <f t="shared" si="94"/>
        <v/>
      </c>
    </row>
    <row r="2795" spans="4:4" x14ac:dyDescent="0.3">
      <c r="D2795" t="str">
        <f t="shared" si="94"/>
        <v/>
      </c>
    </row>
    <row r="2796" spans="4:4" x14ac:dyDescent="0.3">
      <c r="D2796" t="str">
        <f t="shared" si="94"/>
        <v/>
      </c>
    </row>
    <row r="2797" spans="4:4" x14ac:dyDescent="0.3">
      <c r="D2797" t="str">
        <f t="shared" si="94"/>
        <v/>
      </c>
    </row>
    <row r="2798" spans="4:4" x14ac:dyDescent="0.3">
      <c r="D2798" t="str">
        <f t="shared" si="94"/>
        <v/>
      </c>
    </row>
    <row r="2799" spans="4:4" x14ac:dyDescent="0.3">
      <c r="D2799" t="str">
        <f t="shared" si="94"/>
        <v/>
      </c>
    </row>
    <row r="2800" spans="4:4" x14ac:dyDescent="0.3">
      <c r="D2800" t="str">
        <f t="shared" si="94"/>
        <v/>
      </c>
    </row>
    <row r="2801" spans="4:4" x14ac:dyDescent="0.3">
      <c r="D2801" t="str">
        <f t="shared" si="94"/>
        <v/>
      </c>
    </row>
    <row r="2802" spans="4:4" x14ac:dyDescent="0.3">
      <c r="D2802" t="str">
        <f t="shared" si="94"/>
        <v/>
      </c>
    </row>
    <row r="2803" spans="4:4" x14ac:dyDescent="0.3">
      <c r="D2803" t="str">
        <f t="shared" si="94"/>
        <v/>
      </c>
    </row>
    <row r="2804" spans="4:4" x14ac:dyDescent="0.3">
      <c r="D2804" t="str">
        <f t="shared" si="94"/>
        <v/>
      </c>
    </row>
    <row r="2805" spans="4:4" x14ac:dyDescent="0.3">
      <c r="D2805" t="str">
        <f t="shared" si="94"/>
        <v/>
      </c>
    </row>
    <row r="2806" spans="4:4" x14ac:dyDescent="0.3">
      <c r="D2806" t="str">
        <f t="shared" si="94"/>
        <v/>
      </c>
    </row>
    <row r="2807" spans="4:4" x14ac:dyDescent="0.3">
      <c r="D2807" t="str">
        <f t="shared" si="94"/>
        <v/>
      </c>
    </row>
    <row r="2808" spans="4:4" x14ac:dyDescent="0.3">
      <c r="D2808" t="str">
        <f t="shared" si="94"/>
        <v/>
      </c>
    </row>
    <row r="2809" spans="4:4" x14ac:dyDescent="0.3">
      <c r="D2809" t="str">
        <f t="shared" si="94"/>
        <v/>
      </c>
    </row>
    <row r="2810" spans="4:4" x14ac:dyDescent="0.3">
      <c r="D2810" t="str">
        <f t="shared" si="94"/>
        <v/>
      </c>
    </row>
    <row r="2811" spans="4:4" x14ac:dyDescent="0.3">
      <c r="D2811" t="str">
        <f t="shared" si="94"/>
        <v/>
      </c>
    </row>
    <row r="2812" spans="4:4" x14ac:dyDescent="0.3">
      <c r="D2812" t="str">
        <f t="shared" si="94"/>
        <v/>
      </c>
    </row>
    <row r="2813" spans="4:4" x14ac:dyDescent="0.3">
      <c r="D2813" t="str">
        <f t="shared" si="94"/>
        <v/>
      </c>
    </row>
    <row r="2814" spans="4:4" x14ac:dyDescent="0.3">
      <c r="D2814" t="str">
        <f t="shared" si="94"/>
        <v/>
      </c>
    </row>
    <row r="2815" spans="4:4" x14ac:dyDescent="0.3">
      <c r="D2815" t="str">
        <f t="shared" si="94"/>
        <v/>
      </c>
    </row>
    <row r="2816" spans="4:4" x14ac:dyDescent="0.3">
      <c r="D2816" t="str">
        <f t="shared" si="94"/>
        <v/>
      </c>
    </row>
    <row r="2817" spans="4:4" x14ac:dyDescent="0.3">
      <c r="D2817" t="str">
        <f t="shared" si="94"/>
        <v/>
      </c>
    </row>
    <row r="2818" spans="4:4" x14ac:dyDescent="0.3">
      <c r="D2818" t="str">
        <f t="shared" si="94"/>
        <v/>
      </c>
    </row>
    <row r="2819" spans="4:4" x14ac:dyDescent="0.3">
      <c r="D2819" t="str">
        <f t="shared" si="94"/>
        <v/>
      </c>
    </row>
    <row r="2820" spans="4:4" x14ac:dyDescent="0.3">
      <c r="D2820" t="str">
        <f t="shared" si="94"/>
        <v/>
      </c>
    </row>
    <row r="2821" spans="4:4" x14ac:dyDescent="0.3">
      <c r="D2821" t="str">
        <f t="shared" si="94"/>
        <v/>
      </c>
    </row>
    <row r="2822" spans="4:4" x14ac:dyDescent="0.3">
      <c r="D2822" t="str">
        <f t="shared" si="94"/>
        <v/>
      </c>
    </row>
    <row r="2823" spans="4:4" x14ac:dyDescent="0.3">
      <c r="D2823" t="str">
        <f t="shared" si="94"/>
        <v/>
      </c>
    </row>
    <row r="2824" spans="4:4" x14ac:dyDescent="0.3">
      <c r="D2824" t="str">
        <f t="shared" si="94"/>
        <v/>
      </c>
    </row>
    <row r="2825" spans="4:4" x14ac:dyDescent="0.3">
      <c r="D2825" t="str">
        <f t="shared" ref="D2825:D2888" si="95">IF(LEFT(A2825,2)="SP",MID(A2825,4,4),IF(LEFT(A2825,1)="X",MID(A2825,3,4),""))</f>
        <v/>
      </c>
    </row>
    <row r="2826" spans="4:4" x14ac:dyDescent="0.3">
      <c r="D2826" t="str">
        <f t="shared" si="95"/>
        <v/>
      </c>
    </row>
    <row r="2827" spans="4:4" x14ac:dyDescent="0.3">
      <c r="D2827" t="str">
        <f t="shared" si="95"/>
        <v/>
      </c>
    </row>
    <row r="2828" spans="4:4" x14ac:dyDescent="0.3">
      <c r="D2828" t="str">
        <f t="shared" si="95"/>
        <v/>
      </c>
    </row>
    <row r="2829" spans="4:4" x14ac:dyDescent="0.3">
      <c r="D2829" t="str">
        <f t="shared" si="95"/>
        <v/>
      </c>
    </row>
    <row r="2830" spans="4:4" x14ac:dyDescent="0.3">
      <c r="D2830" t="str">
        <f t="shared" si="95"/>
        <v/>
      </c>
    </row>
    <row r="2831" spans="4:4" x14ac:dyDescent="0.3">
      <c r="D2831" t="str">
        <f t="shared" si="95"/>
        <v/>
      </c>
    </row>
    <row r="2832" spans="4:4" x14ac:dyDescent="0.3">
      <c r="D2832" t="str">
        <f t="shared" si="95"/>
        <v/>
      </c>
    </row>
    <row r="2833" spans="4:4" x14ac:dyDescent="0.3">
      <c r="D2833" t="str">
        <f t="shared" si="95"/>
        <v/>
      </c>
    </row>
    <row r="2834" spans="4:4" x14ac:dyDescent="0.3">
      <c r="D2834" t="str">
        <f t="shared" si="95"/>
        <v/>
      </c>
    </row>
    <row r="2835" spans="4:4" x14ac:dyDescent="0.3">
      <c r="D2835" t="str">
        <f t="shared" si="95"/>
        <v/>
      </c>
    </row>
    <row r="2836" spans="4:4" x14ac:dyDescent="0.3">
      <c r="D2836" t="str">
        <f t="shared" si="95"/>
        <v/>
      </c>
    </row>
    <row r="2837" spans="4:4" x14ac:dyDescent="0.3">
      <c r="D2837" t="str">
        <f t="shared" si="95"/>
        <v/>
      </c>
    </row>
    <row r="2838" spans="4:4" x14ac:dyDescent="0.3">
      <c r="D2838" t="str">
        <f t="shared" si="95"/>
        <v/>
      </c>
    </row>
    <row r="2839" spans="4:4" x14ac:dyDescent="0.3">
      <c r="D2839" t="str">
        <f t="shared" si="95"/>
        <v/>
      </c>
    </row>
    <row r="2840" spans="4:4" x14ac:dyDescent="0.3">
      <c r="D2840" t="str">
        <f t="shared" si="95"/>
        <v/>
      </c>
    </row>
    <row r="2841" spans="4:4" x14ac:dyDescent="0.3">
      <c r="D2841" t="str">
        <f t="shared" si="95"/>
        <v/>
      </c>
    </row>
    <row r="2842" spans="4:4" x14ac:dyDescent="0.3">
      <c r="D2842" t="str">
        <f t="shared" si="95"/>
        <v/>
      </c>
    </row>
    <row r="2843" spans="4:4" x14ac:dyDescent="0.3">
      <c r="D2843" t="str">
        <f t="shared" si="95"/>
        <v/>
      </c>
    </row>
    <row r="2844" spans="4:4" x14ac:dyDescent="0.3">
      <c r="D2844" t="str">
        <f t="shared" si="95"/>
        <v/>
      </c>
    </row>
    <row r="2845" spans="4:4" x14ac:dyDescent="0.3">
      <c r="D2845" t="str">
        <f t="shared" si="95"/>
        <v/>
      </c>
    </row>
    <row r="2846" spans="4:4" x14ac:dyDescent="0.3">
      <c r="D2846" t="str">
        <f t="shared" si="95"/>
        <v/>
      </c>
    </row>
    <row r="2847" spans="4:4" x14ac:dyDescent="0.3">
      <c r="D2847" t="str">
        <f t="shared" si="95"/>
        <v/>
      </c>
    </row>
    <row r="2848" spans="4:4" x14ac:dyDescent="0.3">
      <c r="D2848" t="str">
        <f t="shared" si="95"/>
        <v/>
      </c>
    </row>
    <row r="2849" spans="4:4" x14ac:dyDescent="0.3">
      <c r="D2849" t="str">
        <f t="shared" si="95"/>
        <v/>
      </c>
    </row>
    <row r="2850" spans="4:4" x14ac:dyDescent="0.3">
      <c r="D2850" t="str">
        <f t="shared" si="95"/>
        <v/>
      </c>
    </row>
    <row r="2851" spans="4:4" x14ac:dyDescent="0.3">
      <c r="D2851" t="str">
        <f t="shared" si="95"/>
        <v/>
      </c>
    </row>
    <row r="2852" spans="4:4" x14ac:dyDescent="0.3">
      <c r="D2852" t="str">
        <f t="shared" si="95"/>
        <v/>
      </c>
    </row>
    <row r="2853" spans="4:4" x14ac:dyDescent="0.3">
      <c r="D2853" t="str">
        <f t="shared" si="95"/>
        <v/>
      </c>
    </row>
    <row r="2854" spans="4:4" x14ac:dyDescent="0.3">
      <c r="D2854" t="str">
        <f t="shared" si="95"/>
        <v/>
      </c>
    </row>
    <row r="2855" spans="4:4" x14ac:dyDescent="0.3">
      <c r="D2855" t="str">
        <f t="shared" si="95"/>
        <v/>
      </c>
    </row>
    <row r="2856" spans="4:4" x14ac:dyDescent="0.3">
      <c r="D2856" t="str">
        <f t="shared" si="95"/>
        <v/>
      </c>
    </row>
    <row r="2857" spans="4:4" x14ac:dyDescent="0.3">
      <c r="D2857" t="str">
        <f t="shared" si="95"/>
        <v/>
      </c>
    </row>
    <row r="2858" spans="4:4" x14ac:dyDescent="0.3">
      <c r="D2858" t="str">
        <f t="shared" si="95"/>
        <v/>
      </c>
    </row>
    <row r="2859" spans="4:4" x14ac:dyDescent="0.3">
      <c r="D2859" t="str">
        <f t="shared" si="95"/>
        <v/>
      </c>
    </row>
    <row r="2860" spans="4:4" x14ac:dyDescent="0.3">
      <c r="D2860" t="str">
        <f t="shared" si="95"/>
        <v/>
      </c>
    </row>
    <row r="2861" spans="4:4" x14ac:dyDescent="0.3">
      <c r="D2861" t="str">
        <f t="shared" si="95"/>
        <v/>
      </c>
    </row>
    <row r="2862" spans="4:4" x14ac:dyDescent="0.3">
      <c r="D2862" t="str">
        <f t="shared" si="95"/>
        <v/>
      </c>
    </row>
    <row r="2863" spans="4:4" x14ac:dyDescent="0.3">
      <c r="D2863" t="str">
        <f t="shared" si="95"/>
        <v/>
      </c>
    </row>
    <row r="2864" spans="4:4" x14ac:dyDescent="0.3">
      <c r="D2864" t="str">
        <f t="shared" si="95"/>
        <v/>
      </c>
    </row>
    <row r="2865" spans="4:4" x14ac:dyDescent="0.3">
      <c r="D2865" t="str">
        <f t="shared" si="95"/>
        <v/>
      </c>
    </row>
    <row r="2866" spans="4:4" x14ac:dyDescent="0.3">
      <c r="D2866" t="str">
        <f t="shared" si="95"/>
        <v/>
      </c>
    </row>
    <row r="2867" spans="4:4" x14ac:dyDescent="0.3">
      <c r="D2867" t="str">
        <f t="shared" si="95"/>
        <v/>
      </c>
    </row>
    <row r="2868" spans="4:4" x14ac:dyDescent="0.3">
      <c r="D2868" t="str">
        <f t="shared" si="95"/>
        <v/>
      </c>
    </row>
    <row r="2869" spans="4:4" x14ac:dyDescent="0.3">
      <c r="D2869" t="str">
        <f t="shared" si="95"/>
        <v/>
      </c>
    </row>
    <row r="2870" spans="4:4" x14ac:dyDescent="0.3">
      <c r="D2870" t="str">
        <f t="shared" si="95"/>
        <v/>
      </c>
    </row>
    <row r="2871" spans="4:4" x14ac:dyDescent="0.3">
      <c r="D2871" t="str">
        <f t="shared" si="95"/>
        <v/>
      </c>
    </row>
    <row r="2872" spans="4:4" x14ac:dyDescent="0.3">
      <c r="D2872" t="str">
        <f t="shared" si="95"/>
        <v/>
      </c>
    </row>
    <row r="2873" spans="4:4" x14ac:dyDescent="0.3">
      <c r="D2873" t="str">
        <f t="shared" si="95"/>
        <v/>
      </c>
    </row>
    <row r="2874" spans="4:4" x14ac:dyDescent="0.3">
      <c r="D2874" t="str">
        <f t="shared" si="95"/>
        <v/>
      </c>
    </row>
    <row r="2875" spans="4:4" x14ac:dyDescent="0.3">
      <c r="D2875" t="str">
        <f t="shared" si="95"/>
        <v/>
      </c>
    </row>
    <row r="2876" spans="4:4" x14ac:dyDescent="0.3">
      <c r="D2876" t="str">
        <f t="shared" si="95"/>
        <v/>
      </c>
    </row>
    <row r="2877" spans="4:4" x14ac:dyDescent="0.3">
      <c r="D2877" t="str">
        <f t="shared" si="95"/>
        <v/>
      </c>
    </row>
    <row r="2878" spans="4:4" x14ac:dyDescent="0.3">
      <c r="D2878" t="str">
        <f t="shared" si="95"/>
        <v/>
      </c>
    </row>
    <row r="2879" spans="4:4" x14ac:dyDescent="0.3">
      <c r="D2879" t="str">
        <f t="shared" si="95"/>
        <v/>
      </c>
    </row>
    <row r="2880" spans="4:4" x14ac:dyDescent="0.3">
      <c r="D2880" t="str">
        <f t="shared" si="95"/>
        <v/>
      </c>
    </row>
    <row r="2881" spans="4:4" x14ac:dyDescent="0.3">
      <c r="D2881" t="str">
        <f t="shared" si="95"/>
        <v/>
      </c>
    </row>
    <row r="2882" spans="4:4" x14ac:dyDescent="0.3">
      <c r="D2882" t="str">
        <f t="shared" si="95"/>
        <v/>
      </c>
    </row>
    <row r="2883" spans="4:4" x14ac:dyDescent="0.3">
      <c r="D2883" t="str">
        <f t="shared" si="95"/>
        <v/>
      </c>
    </row>
    <row r="2884" spans="4:4" x14ac:dyDescent="0.3">
      <c r="D2884" t="str">
        <f t="shared" si="95"/>
        <v/>
      </c>
    </row>
    <row r="2885" spans="4:4" x14ac:dyDescent="0.3">
      <c r="D2885" t="str">
        <f t="shared" si="95"/>
        <v/>
      </c>
    </row>
    <row r="2886" spans="4:4" x14ac:dyDescent="0.3">
      <c r="D2886" t="str">
        <f t="shared" si="95"/>
        <v/>
      </c>
    </row>
    <row r="2887" spans="4:4" x14ac:dyDescent="0.3">
      <c r="D2887" t="str">
        <f t="shared" si="95"/>
        <v/>
      </c>
    </row>
    <row r="2888" spans="4:4" x14ac:dyDescent="0.3">
      <c r="D2888" t="str">
        <f t="shared" si="95"/>
        <v/>
      </c>
    </row>
    <row r="2889" spans="4:4" x14ac:dyDescent="0.3">
      <c r="D2889" t="str">
        <f t="shared" ref="D2889:D2952" si="96">IF(LEFT(A2889,2)="SP",MID(A2889,4,4),IF(LEFT(A2889,1)="X",MID(A2889,3,4),""))</f>
        <v/>
      </c>
    </row>
    <row r="2890" spans="4:4" x14ac:dyDescent="0.3">
      <c r="D2890" t="str">
        <f t="shared" si="96"/>
        <v/>
      </c>
    </row>
    <row r="2891" spans="4:4" x14ac:dyDescent="0.3">
      <c r="D2891" t="str">
        <f t="shared" si="96"/>
        <v/>
      </c>
    </row>
    <row r="2892" spans="4:4" x14ac:dyDescent="0.3">
      <c r="D2892" t="str">
        <f t="shared" si="96"/>
        <v/>
      </c>
    </row>
    <row r="2893" spans="4:4" x14ac:dyDescent="0.3">
      <c r="D2893" t="str">
        <f t="shared" si="96"/>
        <v/>
      </c>
    </row>
    <row r="2894" spans="4:4" x14ac:dyDescent="0.3">
      <c r="D2894" t="str">
        <f t="shared" si="96"/>
        <v/>
      </c>
    </row>
    <row r="2895" spans="4:4" x14ac:dyDescent="0.3">
      <c r="D2895" t="str">
        <f t="shared" si="96"/>
        <v/>
      </c>
    </row>
    <row r="2896" spans="4:4" x14ac:dyDescent="0.3">
      <c r="D2896" t="str">
        <f t="shared" si="96"/>
        <v/>
      </c>
    </row>
    <row r="2897" spans="4:4" x14ac:dyDescent="0.3">
      <c r="D2897" t="str">
        <f t="shared" si="96"/>
        <v/>
      </c>
    </row>
    <row r="2898" spans="4:4" x14ac:dyDescent="0.3">
      <c r="D2898" t="str">
        <f t="shared" si="96"/>
        <v/>
      </c>
    </row>
    <row r="2899" spans="4:4" x14ac:dyDescent="0.3">
      <c r="D2899" t="str">
        <f t="shared" si="96"/>
        <v/>
      </c>
    </row>
    <row r="2900" spans="4:4" x14ac:dyDescent="0.3">
      <c r="D2900" t="str">
        <f t="shared" si="96"/>
        <v/>
      </c>
    </row>
    <row r="2901" spans="4:4" x14ac:dyDescent="0.3">
      <c r="D2901" t="str">
        <f t="shared" si="96"/>
        <v/>
      </c>
    </row>
    <row r="2902" spans="4:4" x14ac:dyDescent="0.3">
      <c r="D2902" t="str">
        <f t="shared" si="96"/>
        <v/>
      </c>
    </row>
    <row r="2903" spans="4:4" x14ac:dyDescent="0.3">
      <c r="D2903" t="str">
        <f t="shared" si="96"/>
        <v/>
      </c>
    </row>
    <row r="2904" spans="4:4" x14ac:dyDescent="0.3">
      <c r="D2904" t="str">
        <f t="shared" si="96"/>
        <v/>
      </c>
    </row>
    <row r="2905" spans="4:4" x14ac:dyDescent="0.3">
      <c r="D2905" t="str">
        <f t="shared" si="96"/>
        <v/>
      </c>
    </row>
    <row r="2906" spans="4:4" x14ac:dyDescent="0.3">
      <c r="D2906" t="str">
        <f t="shared" si="96"/>
        <v/>
      </c>
    </row>
    <row r="2907" spans="4:4" x14ac:dyDescent="0.3">
      <c r="D2907" t="str">
        <f t="shared" si="96"/>
        <v/>
      </c>
    </row>
    <row r="2908" spans="4:4" x14ac:dyDescent="0.3">
      <c r="D2908" t="str">
        <f t="shared" si="96"/>
        <v/>
      </c>
    </row>
    <row r="2909" spans="4:4" x14ac:dyDescent="0.3">
      <c r="D2909" t="str">
        <f t="shared" si="96"/>
        <v/>
      </c>
    </row>
    <row r="2910" spans="4:4" x14ac:dyDescent="0.3">
      <c r="D2910" t="str">
        <f t="shared" si="96"/>
        <v/>
      </c>
    </row>
    <row r="2911" spans="4:4" x14ac:dyDescent="0.3">
      <c r="D2911" t="str">
        <f t="shared" si="96"/>
        <v/>
      </c>
    </row>
    <row r="2912" spans="4:4" x14ac:dyDescent="0.3">
      <c r="D2912" t="str">
        <f t="shared" si="96"/>
        <v/>
      </c>
    </row>
    <row r="2913" spans="4:4" x14ac:dyDescent="0.3">
      <c r="D2913" t="str">
        <f t="shared" si="96"/>
        <v/>
      </c>
    </row>
    <row r="2914" spans="4:4" x14ac:dyDescent="0.3">
      <c r="D2914" t="str">
        <f t="shared" si="96"/>
        <v/>
      </c>
    </row>
    <row r="2915" spans="4:4" x14ac:dyDescent="0.3">
      <c r="D2915" t="str">
        <f t="shared" si="96"/>
        <v/>
      </c>
    </row>
    <row r="2916" spans="4:4" x14ac:dyDescent="0.3">
      <c r="D2916" t="str">
        <f t="shared" si="96"/>
        <v/>
      </c>
    </row>
    <row r="2917" spans="4:4" x14ac:dyDescent="0.3">
      <c r="D2917" t="str">
        <f t="shared" si="96"/>
        <v/>
      </c>
    </row>
    <row r="2918" spans="4:4" x14ac:dyDescent="0.3">
      <c r="D2918" t="str">
        <f t="shared" si="96"/>
        <v/>
      </c>
    </row>
    <row r="2919" spans="4:4" x14ac:dyDescent="0.3">
      <c r="D2919" t="str">
        <f t="shared" si="96"/>
        <v/>
      </c>
    </row>
    <row r="2920" spans="4:4" x14ac:dyDescent="0.3">
      <c r="D2920" t="str">
        <f t="shared" si="96"/>
        <v/>
      </c>
    </row>
    <row r="2921" spans="4:4" x14ac:dyDescent="0.3">
      <c r="D2921" t="str">
        <f t="shared" si="96"/>
        <v/>
      </c>
    </row>
    <row r="2922" spans="4:4" x14ac:dyDescent="0.3">
      <c r="D2922" t="str">
        <f t="shared" si="96"/>
        <v/>
      </c>
    </row>
    <row r="2923" spans="4:4" x14ac:dyDescent="0.3">
      <c r="D2923" t="str">
        <f t="shared" si="96"/>
        <v/>
      </c>
    </row>
    <row r="2924" spans="4:4" x14ac:dyDescent="0.3">
      <c r="D2924" t="str">
        <f t="shared" si="96"/>
        <v/>
      </c>
    </row>
    <row r="2925" spans="4:4" x14ac:dyDescent="0.3">
      <c r="D2925" t="str">
        <f t="shared" si="96"/>
        <v/>
      </c>
    </row>
    <row r="2926" spans="4:4" x14ac:dyDescent="0.3">
      <c r="D2926" t="str">
        <f t="shared" si="96"/>
        <v/>
      </c>
    </row>
    <row r="2927" spans="4:4" x14ac:dyDescent="0.3">
      <c r="D2927" t="str">
        <f t="shared" si="96"/>
        <v/>
      </c>
    </row>
    <row r="2928" spans="4:4" x14ac:dyDescent="0.3">
      <c r="D2928" t="str">
        <f t="shared" si="96"/>
        <v/>
      </c>
    </row>
    <row r="2929" spans="4:4" x14ac:dyDescent="0.3">
      <c r="D2929" t="str">
        <f t="shared" si="96"/>
        <v/>
      </c>
    </row>
    <row r="2930" spans="4:4" x14ac:dyDescent="0.3">
      <c r="D2930" t="str">
        <f t="shared" si="96"/>
        <v/>
      </c>
    </row>
    <row r="2931" spans="4:4" x14ac:dyDescent="0.3">
      <c r="D2931" t="str">
        <f t="shared" si="96"/>
        <v/>
      </c>
    </row>
    <row r="2932" spans="4:4" x14ac:dyDescent="0.3">
      <c r="D2932" t="str">
        <f t="shared" si="96"/>
        <v/>
      </c>
    </row>
    <row r="2933" spans="4:4" x14ac:dyDescent="0.3">
      <c r="D2933" t="str">
        <f t="shared" si="96"/>
        <v/>
      </c>
    </row>
    <row r="2934" spans="4:4" x14ac:dyDescent="0.3">
      <c r="D2934" t="str">
        <f t="shared" si="96"/>
        <v/>
      </c>
    </row>
    <row r="2935" spans="4:4" x14ac:dyDescent="0.3">
      <c r="D2935" t="str">
        <f t="shared" si="96"/>
        <v/>
      </c>
    </row>
    <row r="2936" spans="4:4" x14ac:dyDescent="0.3">
      <c r="D2936" t="str">
        <f t="shared" si="96"/>
        <v/>
      </c>
    </row>
    <row r="2937" spans="4:4" x14ac:dyDescent="0.3">
      <c r="D2937" t="str">
        <f t="shared" si="96"/>
        <v/>
      </c>
    </row>
    <row r="2938" spans="4:4" x14ac:dyDescent="0.3">
      <c r="D2938" t="str">
        <f t="shared" si="96"/>
        <v/>
      </c>
    </row>
    <row r="2939" spans="4:4" x14ac:dyDescent="0.3">
      <c r="D2939" t="str">
        <f t="shared" si="96"/>
        <v/>
      </c>
    </row>
    <row r="2940" spans="4:4" x14ac:dyDescent="0.3">
      <c r="D2940" t="str">
        <f t="shared" si="96"/>
        <v/>
      </c>
    </row>
    <row r="2941" spans="4:4" x14ac:dyDescent="0.3">
      <c r="D2941" t="str">
        <f t="shared" si="96"/>
        <v/>
      </c>
    </row>
    <row r="2942" spans="4:4" x14ac:dyDescent="0.3">
      <c r="D2942" t="str">
        <f t="shared" si="96"/>
        <v/>
      </c>
    </row>
    <row r="2943" spans="4:4" x14ac:dyDescent="0.3">
      <c r="D2943" t="str">
        <f t="shared" si="96"/>
        <v/>
      </c>
    </row>
    <row r="2944" spans="4:4" x14ac:dyDescent="0.3">
      <c r="D2944" t="str">
        <f t="shared" si="96"/>
        <v/>
      </c>
    </row>
    <row r="2945" spans="4:4" x14ac:dyDescent="0.3">
      <c r="D2945" t="str">
        <f t="shared" si="96"/>
        <v/>
      </c>
    </row>
    <row r="2946" spans="4:4" x14ac:dyDescent="0.3">
      <c r="D2946" t="str">
        <f t="shared" si="96"/>
        <v/>
      </c>
    </row>
    <row r="2947" spans="4:4" x14ac:dyDescent="0.3">
      <c r="D2947" t="str">
        <f t="shared" si="96"/>
        <v/>
      </c>
    </row>
    <row r="2948" spans="4:4" x14ac:dyDescent="0.3">
      <c r="D2948" t="str">
        <f t="shared" si="96"/>
        <v/>
      </c>
    </row>
    <row r="2949" spans="4:4" x14ac:dyDescent="0.3">
      <c r="D2949" t="str">
        <f t="shared" si="96"/>
        <v/>
      </c>
    </row>
    <row r="2950" spans="4:4" x14ac:dyDescent="0.3">
      <c r="D2950" t="str">
        <f t="shared" si="96"/>
        <v/>
      </c>
    </row>
    <row r="2951" spans="4:4" x14ac:dyDescent="0.3">
      <c r="D2951" t="str">
        <f t="shared" si="96"/>
        <v/>
      </c>
    </row>
    <row r="2952" spans="4:4" x14ac:dyDescent="0.3">
      <c r="D2952" t="str">
        <f t="shared" si="96"/>
        <v/>
      </c>
    </row>
    <row r="2953" spans="4:4" x14ac:dyDescent="0.3">
      <c r="D2953" t="str">
        <f t="shared" ref="D2953:D3016" si="97">IF(LEFT(A2953,2)="SP",MID(A2953,4,4),IF(LEFT(A2953,1)="X",MID(A2953,3,4),""))</f>
        <v/>
      </c>
    </row>
    <row r="2954" spans="4:4" x14ac:dyDescent="0.3">
      <c r="D2954" t="str">
        <f t="shared" si="97"/>
        <v/>
      </c>
    </row>
    <row r="2955" spans="4:4" x14ac:dyDescent="0.3">
      <c r="D2955" t="str">
        <f t="shared" si="97"/>
        <v/>
      </c>
    </row>
    <row r="2956" spans="4:4" x14ac:dyDescent="0.3">
      <c r="D2956" t="str">
        <f t="shared" si="97"/>
        <v/>
      </c>
    </row>
    <row r="2957" spans="4:4" x14ac:dyDescent="0.3">
      <c r="D2957" t="str">
        <f t="shared" si="97"/>
        <v/>
      </c>
    </row>
    <row r="2958" spans="4:4" x14ac:dyDescent="0.3">
      <c r="D2958" t="str">
        <f t="shared" si="97"/>
        <v/>
      </c>
    </row>
    <row r="2959" spans="4:4" x14ac:dyDescent="0.3">
      <c r="D2959" t="str">
        <f t="shared" si="97"/>
        <v/>
      </c>
    </row>
    <row r="2960" spans="4:4" x14ac:dyDescent="0.3">
      <c r="D2960" t="str">
        <f t="shared" si="97"/>
        <v/>
      </c>
    </row>
    <row r="2961" spans="4:4" x14ac:dyDescent="0.3">
      <c r="D2961" t="str">
        <f t="shared" si="97"/>
        <v/>
      </c>
    </row>
    <row r="2962" spans="4:4" x14ac:dyDescent="0.3">
      <c r="D2962" t="str">
        <f t="shared" si="97"/>
        <v/>
      </c>
    </row>
    <row r="2963" spans="4:4" x14ac:dyDescent="0.3">
      <c r="D2963" t="str">
        <f t="shared" si="97"/>
        <v/>
      </c>
    </row>
    <row r="2964" spans="4:4" x14ac:dyDescent="0.3">
      <c r="D2964" t="str">
        <f t="shared" si="97"/>
        <v/>
      </c>
    </row>
    <row r="2965" spans="4:4" x14ac:dyDescent="0.3">
      <c r="D2965" t="str">
        <f t="shared" si="97"/>
        <v/>
      </c>
    </row>
    <row r="2966" spans="4:4" x14ac:dyDescent="0.3">
      <c r="D2966" t="str">
        <f t="shared" si="97"/>
        <v/>
      </c>
    </row>
    <row r="2967" spans="4:4" x14ac:dyDescent="0.3">
      <c r="D2967" t="str">
        <f t="shared" si="97"/>
        <v/>
      </c>
    </row>
    <row r="2968" spans="4:4" x14ac:dyDescent="0.3">
      <c r="D2968" t="str">
        <f t="shared" si="97"/>
        <v/>
      </c>
    </row>
    <row r="2969" spans="4:4" x14ac:dyDescent="0.3">
      <c r="D2969" t="str">
        <f t="shared" si="97"/>
        <v/>
      </c>
    </row>
    <row r="2970" spans="4:4" x14ac:dyDescent="0.3">
      <c r="D2970" t="str">
        <f t="shared" si="97"/>
        <v/>
      </c>
    </row>
    <row r="2971" spans="4:4" x14ac:dyDescent="0.3">
      <c r="D2971" t="str">
        <f t="shared" si="97"/>
        <v/>
      </c>
    </row>
    <row r="2972" spans="4:4" x14ac:dyDescent="0.3">
      <c r="D2972" t="str">
        <f t="shared" si="97"/>
        <v/>
      </c>
    </row>
    <row r="2973" spans="4:4" x14ac:dyDescent="0.3">
      <c r="D2973" t="str">
        <f t="shared" si="97"/>
        <v/>
      </c>
    </row>
    <row r="2974" spans="4:4" x14ac:dyDescent="0.3">
      <c r="D2974" t="str">
        <f t="shared" si="97"/>
        <v/>
      </c>
    </row>
    <row r="2975" spans="4:4" x14ac:dyDescent="0.3">
      <c r="D2975" t="str">
        <f t="shared" si="97"/>
        <v/>
      </c>
    </row>
    <row r="2976" spans="4:4" x14ac:dyDescent="0.3">
      <c r="D2976" t="str">
        <f t="shared" si="97"/>
        <v/>
      </c>
    </row>
    <row r="2977" spans="4:4" x14ac:dyDescent="0.3">
      <c r="D2977" t="str">
        <f t="shared" si="97"/>
        <v/>
      </c>
    </row>
    <row r="2978" spans="4:4" x14ac:dyDescent="0.3">
      <c r="D2978" t="str">
        <f t="shared" si="97"/>
        <v/>
      </c>
    </row>
    <row r="2979" spans="4:4" x14ac:dyDescent="0.3">
      <c r="D2979" t="str">
        <f t="shared" si="97"/>
        <v/>
      </c>
    </row>
    <row r="2980" spans="4:4" x14ac:dyDescent="0.3">
      <c r="D2980" t="str">
        <f t="shared" si="97"/>
        <v/>
      </c>
    </row>
    <row r="2981" spans="4:4" x14ac:dyDescent="0.3">
      <c r="D2981" t="str">
        <f t="shared" si="97"/>
        <v/>
      </c>
    </row>
    <row r="2982" spans="4:4" x14ac:dyDescent="0.3">
      <c r="D2982" t="str">
        <f t="shared" si="97"/>
        <v/>
      </c>
    </row>
    <row r="2983" spans="4:4" x14ac:dyDescent="0.3">
      <c r="D2983" t="str">
        <f t="shared" si="97"/>
        <v/>
      </c>
    </row>
    <row r="2984" spans="4:4" x14ac:dyDescent="0.3">
      <c r="D2984" t="str">
        <f t="shared" si="97"/>
        <v/>
      </c>
    </row>
    <row r="2985" spans="4:4" x14ac:dyDescent="0.3">
      <c r="D2985" t="str">
        <f t="shared" si="97"/>
        <v/>
      </c>
    </row>
    <row r="2986" spans="4:4" x14ac:dyDescent="0.3">
      <c r="D2986" t="str">
        <f t="shared" si="97"/>
        <v/>
      </c>
    </row>
    <row r="2987" spans="4:4" x14ac:dyDescent="0.3">
      <c r="D2987" t="str">
        <f t="shared" si="97"/>
        <v/>
      </c>
    </row>
    <row r="2988" spans="4:4" x14ac:dyDescent="0.3">
      <c r="D2988" t="str">
        <f t="shared" si="97"/>
        <v/>
      </c>
    </row>
    <row r="2989" spans="4:4" x14ac:dyDescent="0.3">
      <c r="D2989" t="str">
        <f t="shared" si="97"/>
        <v/>
      </c>
    </row>
    <row r="2990" spans="4:4" x14ac:dyDescent="0.3">
      <c r="D2990" t="str">
        <f t="shared" si="97"/>
        <v/>
      </c>
    </row>
    <row r="2991" spans="4:4" x14ac:dyDescent="0.3">
      <c r="D2991" t="str">
        <f t="shared" si="97"/>
        <v/>
      </c>
    </row>
    <row r="2992" spans="4:4" x14ac:dyDescent="0.3">
      <c r="D2992" t="str">
        <f t="shared" si="97"/>
        <v/>
      </c>
    </row>
    <row r="2993" spans="4:4" x14ac:dyDescent="0.3">
      <c r="D2993" t="str">
        <f t="shared" si="97"/>
        <v/>
      </c>
    </row>
    <row r="2994" spans="4:4" x14ac:dyDescent="0.3">
      <c r="D2994" t="str">
        <f t="shared" si="97"/>
        <v/>
      </c>
    </row>
    <row r="2995" spans="4:4" x14ac:dyDescent="0.3">
      <c r="D2995" t="str">
        <f t="shared" si="97"/>
        <v/>
      </c>
    </row>
    <row r="2996" spans="4:4" x14ac:dyDescent="0.3">
      <c r="D2996" t="str">
        <f t="shared" si="97"/>
        <v/>
      </c>
    </row>
    <row r="2997" spans="4:4" x14ac:dyDescent="0.3">
      <c r="D2997" t="str">
        <f t="shared" si="97"/>
        <v/>
      </c>
    </row>
    <row r="2998" spans="4:4" x14ac:dyDescent="0.3">
      <c r="D2998" t="str">
        <f t="shared" si="97"/>
        <v/>
      </c>
    </row>
    <row r="2999" spans="4:4" x14ac:dyDescent="0.3">
      <c r="D2999" t="str">
        <f t="shared" si="97"/>
        <v/>
      </c>
    </row>
    <row r="3000" spans="4:4" x14ac:dyDescent="0.3">
      <c r="D3000" t="str">
        <f t="shared" si="97"/>
        <v/>
      </c>
    </row>
    <row r="3001" spans="4:4" x14ac:dyDescent="0.3">
      <c r="D3001" t="str">
        <f t="shared" si="97"/>
        <v/>
      </c>
    </row>
    <row r="3002" spans="4:4" x14ac:dyDescent="0.3">
      <c r="D3002" t="str">
        <f t="shared" si="97"/>
        <v/>
      </c>
    </row>
    <row r="3003" spans="4:4" x14ac:dyDescent="0.3">
      <c r="D3003" t="str">
        <f t="shared" si="97"/>
        <v/>
      </c>
    </row>
    <row r="3004" spans="4:4" x14ac:dyDescent="0.3">
      <c r="D3004" t="str">
        <f t="shared" si="97"/>
        <v/>
      </c>
    </row>
    <row r="3005" spans="4:4" x14ac:dyDescent="0.3">
      <c r="D3005" t="str">
        <f t="shared" si="97"/>
        <v/>
      </c>
    </row>
    <row r="3006" spans="4:4" x14ac:dyDescent="0.3">
      <c r="D3006" t="str">
        <f t="shared" si="97"/>
        <v/>
      </c>
    </row>
    <row r="3007" spans="4:4" x14ac:dyDescent="0.3">
      <c r="D3007" t="str">
        <f t="shared" si="97"/>
        <v/>
      </c>
    </row>
    <row r="3008" spans="4:4" x14ac:dyDescent="0.3">
      <c r="D3008" t="str">
        <f t="shared" si="97"/>
        <v/>
      </c>
    </row>
    <row r="3009" spans="4:4" x14ac:dyDescent="0.3">
      <c r="D3009" t="str">
        <f t="shared" si="97"/>
        <v/>
      </c>
    </row>
    <row r="3010" spans="4:4" x14ac:dyDescent="0.3">
      <c r="D3010" t="str">
        <f t="shared" si="97"/>
        <v/>
      </c>
    </row>
    <row r="3011" spans="4:4" x14ac:dyDescent="0.3">
      <c r="D3011" t="str">
        <f t="shared" si="97"/>
        <v/>
      </c>
    </row>
    <row r="3012" spans="4:4" x14ac:dyDescent="0.3">
      <c r="D3012" t="str">
        <f t="shared" si="97"/>
        <v/>
      </c>
    </row>
    <row r="3013" spans="4:4" x14ac:dyDescent="0.3">
      <c r="D3013" t="str">
        <f t="shared" si="97"/>
        <v/>
      </c>
    </row>
    <row r="3014" spans="4:4" x14ac:dyDescent="0.3">
      <c r="D3014" t="str">
        <f t="shared" si="97"/>
        <v/>
      </c>
    </row>
    <row r="3015" spans="4:4" x14ac:dyDescent="0.3">
      <c r="D3015" t="str">
        <f t="shared" si="97"/>
        <v/>
      </c>
    </row>
    <row r="3016" spans="4:4" x14ac:dyDescent="0.3">
      <c r="D3016" t="str">
        <f t="shared" si="97"/>
        <v/>
      </c>
    </row>
    <row r="3017" spans="4:4" x14ac:dyDescent="0.3">
      <c r="D3017" t="str">
        <f t="shared" ref="D3017:D3080" si="98">IF(LEFT(A3017,2)="SP",MID(A3017,4,4),IF(LEFT(A3017,1)="X",MID(A3017,3,4),""))</f>
        <v/>
      </c>
    </row>
    <row r="3018" spans="4:4" x14ac:dyDescent="0.3">
      <c r="D3018" t="str">
        <f t="shared" si="98"/>
        <v/>
      </c>
    </row>
    <row r="3019" spans="4:4" x14ac:dyDescent="0.3">
      <c r="D3019" t="str">
        <f t="shared" si="98"/>
        <v/>
      </c>
    </row>
    <row r="3020" spans="4:4" x14ac:dyDescent="0.3">
      <c r="D3020" t="str">
        <f t="shared" si="98"/>
        <v/>
      </c>
    </row>
    <row r="3021" spans="4:4" x14ac:dyDescent="0.3">
      <c r="D3021" t="str">
        <f t="shared" si="98"/>
        <v/>
      </c>
    </row>
    <row r="3022" spans="4:4" x14ac:dyDescent="0.3">
      <c r="D3022" t="str">
        <f t="shared" si="98"/>
        <v/>
      </c>
    </row>
    <row r="3023" spans="4:4" x14ac:dyDescent="0.3">
      <c r="D3023" t="str">
        <f t="shared" si="98"/>
        <v/>
      </c>
    </row>
    <row r="3024" spans="4:4" x14ac:dyDescent="0.3">
      <c r="D3024" t="str">
        <f t="shared" si="98"/>
        <v/>
      </c>
    </row>
    <row r="3025" spans="4:4" x14ac:dyDescent="0.3">
      <c r="D3025" t="str">
        <f t="shared" si="98"/>
        <v/>
      </c>
    </row>
    <row r="3026" spans="4:4" x14ac:dyDescent="0.3">
      <c r="D3026" t="str">
        <f t="shared" si="98"/>
        <v/>
      </c>
    </row>
    <row r="3027" spans="4:4" x14ac:dyDescent="0.3">
      <c r="D3027" t="str">
        <f t="shared" si="98"/>
        <v/>
      </c>
    </row>
    <row r="3028" spans="4:4" x14ac:dyDescent="0.3">
      <c r="D3028" t="str">
        <f t="shared" si="98"/>
        <v/>
      </c>
    </row>
    <row r="3029" spans="4:4" x14ac:dyDescent="0.3">
      <c r="D3029" t="str">
        <f t="shared" si="98"/>
        <v/>
      </c>
    </row>
    <row r="3030" spans="4:4" x14ac:dyDescent="0.3">
      <c r="D3030" t="str">
        <f t="shared" si="98"/>
        <v/>
      </c>
    </row>
    <row r="3031" spans="4:4" x14ac:dyDescent="0.3">
      <c r="D3031" t="str">
        <f t="shared" si="98"/>
        <v/>
      </c>
    </row>
    <row r="3032" spans="4:4" x14ac:dyDescent="0.3">
      <c r="D3032" t="str">
        <f t="shared" si="98"/>
        <v/>
      </c>
    </row>
    <row r="3033" spans="4:4" x14ac:dyDescent="0.3">
      <c r="D3033" t="str">
        <f t="shared" si="98"/>
        <v/>
      </c>
    </row>
    <row r="3034" spans="4:4" x14ac:dyDescent="0.3">
      <c r="D3034" t="str">
        <f t="shared" si="98"/>
        <v/>
      </c>
    </row>
    <row r="3035" spans="4:4" x14ac:dyDescent="0.3">
      <c r="D3035" t="str">
        <f t="shared" si="98"/>
        <v/>
      </c>
    </row>
    <row r="3036" spans="4:4" x14ac:dyDescent="0.3">
      <c r="D3036" t="str">
        <f t="shared" si="98"/>
        <v/>
      </c>
    </row>
    <row r="3037" spans="4:4" x14ac:dyDescent="0.3">
      <c r="D3037" t="str">
        <f t="shared" si="98"/>
        <v/>
      </c>
    </row>
    <row r="3038" spans="4:4" x14ac:dyDescent="0.3">
      <c r="D3038" t="str">
        <f t="shared" si="98"/>
        <v/>
      </c>
    </row>
    <row r="3039" spans="4:4" x14ac:dyDescent="0.3">
      <c r="D3039" t="str">
        <f t="shared" si="98"/>
        <v/>
      </c>
    </row>
    <row r="3040" spans="4:4" x14ac:dyDescent="0.3">
      <c r="D3040" t="str">
        <f t="shared" si="98"/>
        <v/>
      </c>
    </row>
    <row r="3041" spans="4:4" x14ac:dyDescent="0.3">
      <c r="D3041" t="str">
        <f t="shared" si="98"/>
        <v/>
      </c>
    </row>
    <row r="3042" spans="4:4" x14ac:dyDescent="0.3">
      <c r="D3042" t="str">
        <f t="shared" si="98"/>
        <v/>
      </c>
    </row>
    <row r="3043" spans="4:4" x14ac:dyDescent="0.3">
      <c r="D3043" t="str">
        <f t="shared" si="98"/>
        <v/>
      </c>
    </row>
    <row r="3044" spans="4:4" x14ac:dyDescent="0.3">
      <c r="D3044" t="str">
        <f t="shared" si="98"/>
        <v/>
      </c>
    </row>
    <row r="3045" spans="4:4" x14ac:dyDescent="0.3">
      <c r="D3045" t="str">
        <f t="shared" si="98"/>
        <v/>
      </c>
    </row>
    <row r="3046" spans="4:4" x14ac:dyDescent="0.3">
      <c r="D3046" t="str">
        <f t="shared" si="98"/>
        <v/>
      </c>
    </row>
    <row r="3047" spans="4:4" x14ac:dyDescent="0.3">
      <c r="D3047" t="str">
        <f t="shared" si="98"/>
        <v/>
      </c>
    </row>
    <row r="3048" spans="4:4" x14ac:dyDescent="0.3">
      <c r="D3048" t="str">
        <f t="shared" si="98"/>
        <v/>
      </c>
    </row>
    <row r="3049" spans="4:4" x14ac:dyDescent="0.3">
      <c r="D3049" t="str">
        <f t="shared" si="98"/>
        <v/>
      </c>
    </row>
    <row r="3050" spans="4:4" x14ac:dyDescent="0.3">
      <c r="D3050" t="str">
        <f t="shared" si="98"/>
        <v/>
      </c>
    </row>
    <row r="3051" spans="4:4" x14ac:dyDescent="0.3">
      <c r="D3051" t="str">
        <f t="shared" si="98"/>
        <v/>
      </c>
    </row>
    <row r="3052" spans="4:4" x14ac:dyDescent="0.3">
      <c r="D3052" t="str">
        <f t="shared" si="98"/>
        <v/>
      </c>
    </row>
    <row r="3053" spans="4:4" x14ac:dyDescent="0.3">
      <c r="D3053" t="str">
        <f t="shared" si="98"/>
        <v/>
      </c>
    </row>
    <row r="3054" spans="4:4" x14ac:dyDescent="0.3">
      <c r="D3054" t="str">
        <f t="shared" si="98"/>
        <v/>
      </c>
    </row>
    <row r="3055" spans="4:4" x14ac:dyDescent="0.3">
      <c r="D3055" t="str">
        <f t="shared" si="98"/>
        <v/>
      </c>
    </row>
    <row r="3056" spans="4:4" x14ac:dyDescent="0.3">
      <c r="D3056" t="str">
        <f t="shared" si="98"/>
        <v/>
      </c>
    </row>
    <row r="3057" spans="4:4" x14ac:dyDescent="0.3">
      <c r="D3057" t="str">
        <f t="shared" si="98"/>
        <v/>
      </c>
    </row>
    <row r="3058" spans="4:4" x14ac:dyDescent="0.3">
      <c r="D3058" t="str">
        <f t="shared" si="98"/>
        <v/>
      </c>
    </row>
    <row r="3059" spans="4:4" x14ac:dyDescent="0.3">
      <c r="D3059" t="str">
        <f t="shared" si="98"/>
        <v/>
      </c>
    </row>
    <row r="3060" spans="4:4" x14ac:dyDescent="0.3">
      <c r="D3060" t="str">
        <f t="shared" si="98"/>
        <v/>
      </c>
    </row>
    <row r="3061" spans="4:4" x14ac:dyDescent="0.3">
      <c r="D3061" t="str">
        <f t="shared" si="98"/>
        <v/>
      </c>
    </row>
    <row r="3062" spans="4:4" x14ac:dyDescent="0.3">
      <c r="D3062" t="str">
        <f t="shared" si="98"/>
        <v/>
      </c>
    </row>
    <row r="3063" spans="4:4" x14ac:dyDescent="0.3">
      <c r="D3063" t="str">
        <f t="shared" si="98"/>
        <v/>
      </c>
    </row>
    <row r="3064" spans="4:4" x14ac:dyDescent="0.3">
      <c r="D3064" t="str">
        <f t="shared" si="98"/>
        <v/>
      </c>
    </row>
    <row r="3065" spans="4:4" x14ac:dyDescent="0.3">
      <c r="D3065" t="str">
        <f t="shared" si="98"/>
        <v/>
      </c>
    </row>
    <row r="3066" spans="4:4" x14ac:dyDescent="0.3">
      <c r="D3066" t="str">
        <f t="shared" si="98"/>
        <v/>
      </c>
    </row>
    <row r="3067" spans="4:4" x14ac:dyDescent="0.3">
      <c r="D3067" t="str">
        <f t="shared" si="98"/>
        <v/>
      </c>
    </row>
    <row r="3068" spans="4:4" x14ac:dyDescent="0.3">
      <c r="D3068" t="str">
        <f t="shared" si="98"/>
        <v/>
      </c>
    </row>
    <row r="3069" spans="4:4" x14ac:dyDescent="0.3">
      <c r="D3069" t="str">
        <f t="shared" si="98"/>
        <v/>
      </c>
    </row>
    <row r="3070" spans="4:4" x14ac:dyDescent="0.3">
      <c r="D3070" t="str">
        <f t="shared" si="98"/>
        <v/>
      </c>
    </row>
    <row r="3071" spans="4:4" x14ac:dyDescent="0.3">
      <c r="D3071" t="str">
        <f t="shared" si="98"/>
        <v/>
      </c>
    </row>
    <row r="3072" spans="4:4" x14ac:dyDescent="0.3">
      <c r="D3072" t="str">
        <f t="shared" si="98"/>
        <v/>
      </c>
    </row>
    <row r="3073" spans="4:4" x14ac:dyDescent="0.3">
      <c r="D3073" t="str">
        <f t="shared" si="98"/>
        <v/>
      </c>
    </row>
    <row r="3074" spans="4:4" x14ac:dyDescent="0.3">
      <c r="D3074" t="str">
        <f t="shared" si="98"/>
        <v/>
      </c>
    </row>
    <row r="3075" spans="4:4" x14ac:dyDescent="0.3">
      <c r="D3075" t="str">
        <f t="shared" si="98"/>
        <v/>
      </c>
    </row>
    <row r="3076" spans="4:4" x14ac:dyDescent="0.3">
      <c r="D3076" t="str">
        <f t="shared" si="98"/>
        <v/>
      </c>
    </row>
    <row r="3077" spans="4:4" x14ac:dyDescent="0.3">
      <c r="D3077" t="str">
        <f t="shared" si="98"/>
        <v/>
      </c>
    </row>
    <row r="3078" spans="4:4" x14ac:dyDescent="0.3">
      <c r="D3078" t="str">
        <f t="shared" si="98"/>
        <v/>
      </c>
    </row>
    <row r="3079" spans="4:4" x14ac:dyDescent="0.3">
      <c r="D3079" t="str">
        <f t="shared" si="98"/>
        <v/>
      </c>
    </row>
    <row r="3080" spans="4:4" x14ac:dyDescent="0.3">
      <c r="D3080" t="str">
        <f t="shared" si="98"/>
        <v/>
      </c>
    </row>
    <row r="3081" spans="4:4" x14ac:dyDescent="0.3">
      <c r="D3081" t="str">
        <f t="shared" ref="D3081:D3144" si="99">IF(LEFT(A3081,2)="SP",MID(A3081,4,4),IF(LEFT(A3081,1)="X",MID(A3081,3,4),""))</f>
        <v/>
      </c>
    </row>
    <row r="3082" spans="4:4" x14ac:dyDescent="0.3">
      <c r="D3082" t="str">
        <f t="shared" si="99"/>
        <v/>
      </c>
    </row>
    <row r="3083" spans="4:4" x14ac:dyDescent="0.3">
      <c r="D3083" t="str">
        <f t="shared" si="99"/>
        <v/>
      </c>
    </row>
    <row r="3084" spans="4:4" x14ac:dyDescent="0.3">
      <c r="D3084" t="str">
        <f t="shared" si="99"/>
        <v/>
      </c>
    </row>
    <row r="3085" spans="4:4" x14ac:dyDescent="0.3">
      <c r="D3085" t="str">
        <f t="shared" si="99"/>
        <v/>
      </c>
    </row>
    <row r="3086" spans="4:4" x14ac:dyDescent="0.3">
      <c r="D3086" t="str">
        <f t="shared" si="99"/>
        <v/>
      </c>
    </row>
    <row r="3087" spans="4:4" x14ac:dyDescent="0.3">
      <c r="D3087" t="str">
        <f t="shared" si="99"/>
        <v/>
      </c>
    </row>
    <row r="3088" spans="4:4" x14ac:dyDescent="0.3">
      <c r="D3088" t="str">
        <f t="shared" si="99"/>
        <v/>
      </c>
    </row>
    <row r="3089" spans="4:4" x14ac:dyDescent="0.3">
      <c r="D3089" t="str">
        <f t="shared" si="99"/>
        <v/>
      </c>
    </row>
    <row r="3090" spans="4:4" x14ac:dyDescent="0.3">
      <c r="D3090" t="str">
        <f t="shared" si="99"/>
        <v/>
      </c>
    </row>
    <row r="3091" spans="4:4" x14ac:dyDescent="0.3">
      <c r="D3091" t="str">
        <f t="shared" si="99"/>
        <v/>
      </c>
    </row>
    <row r="3092" spans="4:4" x14ac:dyDescent="0.3">
      <c r="D3092" t="str">
        <f t="shared" si="99"/>
        <v/>
      </c>
    </row>
    <row r="3093" spans="4:4" x14ac:dyDescent="0.3">
      <c r="D3093" t="str">
        <f t="shared" si="99"/>
        <v/>
      </c>
    </row>
    <row r="3094" spans="4:4" x14ac:dyDescent="0.3">
      <c r="D3094" t="str">
        <f t="shared" si="99"/>
        <v/>
      </c>
    </row>
    <row r="3095" spans="4:4" x14ac:dyDescent="0.3">
      <c r="D3095" t="str">
        <f t="shared" si="99"/>
        <v/>
      </c>
    </row>
    <row r="3096" spans="4:4" x14ac:dyDescent="0.3">
      <c r="D3096" t="str">
        <f t="shared" si="99"/>
        <v/>
      </c>
    </row>
    <row r="3097" spans="4:4" x14ac:dyDescent="0.3">
      <c r="D3097" t="str">
        <f t="shared" si="99"/>
        <v/>
      </c>
    </row>
    <row r="3098" spans="4:4" x14ac:dyDescent="0.3">
      <c r="D3098" t="str">
        <f t="shared" si="99"/>
        <v/>
      </c>
    </row>
    <row r="3099" spans="4:4" x14ac:dyDescent="0.3">
      <c r="D3099" t="str">
        <f t="shared" si="99"/>
        <v/>
      </c>
    </row>
    <row r="3100" spans="4:4" x14ac:dyDescent="0.3">
      <c r="D3100" t="str">
        <f t="shared" si="99"/>
        <v/>
      </c>
    </row>
    <row r="3101" spans="4:4" x14ac:dyDescent="0.3">
      <c r="D3101" t="str">
        <f t="shared" si="99"/>
        <v/>
      </c>
    </row>
    <row r="3102" spans="4:4" x14ac:dyDescent="0.3">
      <c r="D3102" t="str">
        <f t="shared" si="99"/>
        <v/>
      </c>
    </row>
    <row r="3103" spans="4:4" x14ac:dyDescent="0.3">
      <c r="D3103" t="str">
        <f t="shared" si="99"/>
        <v/>
      </c>
    </row>
    <row r="3104" spans="4:4" x14ac:dyDescent="0.3">
      <c r="D3104" t="str">
        <f t="shared" si="99"/>
        <v/>
      </c>
    </row>
    <row r="3105" spans="4:4" x14ac:dyDescent="0.3">
      <c r="D3105" t="str">
        <f t="shared" si="99"/>
        <v/>
      </c>
    </row>
    <row r="3106" spans="4:4" x14ac:dyDescent="0.3">
      <c r="D3106" t="str">
        <f t="shared" si="99"/>
        <v/>
      </c>
    </row>
    <row r="3107" spans="4:4" x14ac:dyDescent="0.3">
      <c r="D3107" t="str">
        <f t="shared" si="99"/>
        <v/>
      </c>
    </row>
    <row r="3108" spans="4:4" x14ac:dyDescent="0.3">
      <c r="D3108" t="str">
        <f t="shared" si="99"/>
        <v/>
      </c>
    </row>
    <row r="3109" spans="4:4" x14ac:dyDescent="0.3">
      <c r="D3109" t="str">
        <f t="shared" si="99"/>
        <v/>
      </c>
    </row>
    <row r="3110" spans="4:4" x14ac:dyDescent="0.3">
      <c r="D3110" t="str">
        <f t="shared" si="99"/>
        <v/>
      </c>
    </row>
    <row r="3111" spans="4:4" x14ac:dyDescent="0.3">
      <c r="D3111" t="str">
        <f t="shared" si="99"/>
        <v/>
      </c>
    </row>
    <row r="3112" spans="4:4" x14ac:dyDescent="0.3">
      <c r="D3112" t="str">
        <f t="shared" si="99"/>
        <v/>
      </c>
    </row>
    <row r="3113" spans="4:4" x14ac:dyDescent="0.3">
      <c r="D3113" t="str">
        <f t="shared" si="99"/>
        <v/>
      </c>
    </row>
    <row r="3114" spans="4:4" x14ac:dyDescent="0.3">
      <c r="D3114" t="str">
        <f t="shared" si="99"/>
        <v/>
      </c>
    </row>
    <row r="3115" spans="4:4" x14ac:dyDescent="0.3">
      <c r="D3115" t="str">
        <f t="shared" si="99"/>
        <v/>
      </c>
    </row>
    <row r="3116" spans="4:4" x14ac:dyDescent="0.3">
      <c r="D3116" t="str">
        <f t="shared" si="99"/>
        <v/>
      </c>
    </row>
    <row r="3117" spans="4:4" x14ac:dyDescent="0.3">
      <c r="D3117" t="str">
        <f t="shared" si="99"/>
        <v/>
      </c>
    </row>
    <row r="3118" spans="4:4" x14ac:dyDescent="0.3">
      <c r="D3118" t="str">
        <f t="shared" si="99"/>
        <v/>
      </c>
    </row>
    <row r="3119" spans="4:4" x14ac:dyDescent="0.3">
      <c r="D3119" t="str">
        <f t="shared" si="99"/>
        <v/>
      </c>
    </row>
    <row r="3120" spans="4:4" x14ac:dyDescent="0.3">
      <c r="D3120" t="str">
        <f t="shared" si="99"/>
        <v/>
      </c>
    </row>
    <row r="3121" spans="4:4" x14ac:dyDescent="0.3">
      <c r="D3121" t="str">
        <f t="shared" si="99"/>
        <v/>
      </c>
    </row>
    <row r="3122" spans="4:4" x14ac:dyDescent="0.3">
      <c r="D3122" t="str">
        <f t="shared" si="99"/>
        <v/>
      </c>
    </row>
    <row r="3123" spans="4:4" x14ac:dyDescent="0.3">
      <c r="D3123" t="str">
        <f t="shared" si="99"/>
        <v/>
      </c>
    </row>
    <row r="3124" spans="4:4" x14ac:dyDescent="0.3">
      <c r="D3124" t="str">
        <f t="shared" si="99"/>
        <v/>
      </c>
    </row>
    <row r="3125" spans="4:4" x14ac:dyDescent="0.3">
      <c r="D3125" t="str">
        <f t="shared" si="99"/>
        <v/>
      </c>
    </row>
    <row r="3126" spans="4:4" x14ac:dyDescent="0.3">
      <c r="D3126" t="str">
        <f t="shared" si="99"/>
        <v/>
      </c>
    </row>
    <row r="3127" spans="4:4" x14ac:dyDescent="0.3">
      <c r="D3127" t="str">
        <f t="shared" si="99"/>
        <v/>
      </c>
    </row>
    <row r="3128" spans="4:4" x14ac:dyDescent="0.3">
      <c r="D3128" t="str">
        <f t="shared" si="99"/>
        <v/>
      </c>
    </row>
    <row r="3129" spans="4:4" x14ac:dyDescent="0.3">
      <c r="D3129" t="str">
        <f t="shared" si="99"/>
        <v/>
      </c>
    </row>
    <row r="3130" spans="4:4" x14ac:dyDescent="0.3">
      <c r="D3130" t="str">
        <f t="shared" si="99"/>
        <v/>
      </c>
    </row>
    <row r="3131" spans="4:4" x14ac:dyDescent="0.3">
      <c r="D3131" t="str">
        <f t="shared" si="99"/>
        <v/>
      </c>
    </row>
    <row r="3132" spans="4:4" x14ac:dyDescent="0.3">
      <c r="D3132" t="str">
        <f t="shared" si="99"/>
        <v/>
      </c>
    </row>
    <row r="3133" spans="4:4" x14ac:dyDescent="0.3">
      <c r="D3133" t="str">
        <f t="shared" si="99"/>
        <v/>
      </c>
    </row>
    <row r="3134" spans="4:4" x14ac:dyDescent="0.3">
      <c r="D3134" t="str">
        <f t="shared" si="99"/>
        <v/>
      </c>
    </row>
    <row r="3135" spans="4:4" x14ac:dyDescent="0.3">
      <c r="D3135" t="str">
        <f t="shared" si="99"/>
        <v/>
      </c>
    </row>
    <row r="3136" spans="4:4" x14ac:dyDescent="0.3">
      <c r="D3136" t="str">
        <f t="shared" si="99"/>
        <v/>
      </c>
    </row>
    <row r="3137" spans="4:4" x14ac:dyDescent="0.3">
      <c r="D3137" t="str">
        <f t="shared" si="99"/>
        <v/>
      </c>
    </row>
    <row r="3138" spans="4:4" x14ac:dyDescent="0.3">
      <c r="D3138" t="str">
        <f t="shared" si="99"/>
        <v/>
      </c>
    </row>
    <row r="3139" spans="4:4" x14ac:dyDescent="0.3">
      <c r="D3139" t="str">
        <f t="shared" si="99"/>
        <v/>
      </c>
    </row>
    <row r="3140" spans="4:4" x14ac:dyDescent="0.3">
      <c r="D3140" t="str">
        <f t="shared" si="99"/>
        <v/>
      </c>
    </row>
    <row r="3141" spans="4:4" x14ac:dyDescent="0.3">
      <c r="D3141" t="str">
        <f t="shared" si="99"/>
        <v/>
      </c>
    </row>
    <row r="3142" spans="4:4" x14ac:dyDescent="0.3">
      <c r="D3142" t="str">
        <f t="shared" si="99"/>
        <v/>
      </c>
    </row>
    <row r="3143" spans="4:4" x14ac:dyDescent="0.3">
      <c r="D3143" t="str">
        <f t="shared" si="99"/>
        <v/>
      </c>
    </row>
    <row r="3144" spans="4:4" x14ac:dyDescent="0.3">
      <c r="D3144" t="str">
        <f t="shared" si="99"/>
        <v/>
      </c>
    </row>
    <row r="3145" spans="4:4" x14ac:dyDescent="0.3">
      <c r="D3145" t="str">
        <f t="shared" ref="D3145:D3208" si="100">IF(LEFT(A3145,2)="SP",MID(A3145,4,4),IF(LEFT(A3145,1)="X",MID(A3145,3,4),""))</f>
        <v/>
      </c>
    </row>
    <row r="3146" spans="4:4" x14ac:dyDescent="0.3">
      <c r="D3146" t="str">
        <f t="shared" si="100"/>
        <v/>
      </c>
    </row>
    <row r="3147" spans="4:4" x14ac:dyDescent="0.3">
      <c r="D3147" t="str">
        <f t="shared" si="100"/>
        <v/>
      </c>
    </row>
    <row r="3148" spans="4:4" x14ac:dyDescent="0.3">
      <c r="D3148" t="str">
        <f t="shared" si="100"/>
        <v/>
      </c>
    </row>
    <row r="3149" spans="4:4" x14ac:dyDescent="0.3">
      <c r="D3149" t="str">
        <f t="shared" si="100"/>
        <v/>
      </c>
    </row>
    <row r="3150" spans="4:4" x14ac:dyDescent="0.3">
      <c r="D3150" t="str">
        <f t="shared" si="100"/>
        <v/>
      </c>
    </row>
    <row r="3151" spans="4:4" x14ac:dyDescent="0.3">
      <c r="D3151" t="str">
        <f t="shared" si="100"/>
        <v/>
      </c>
    </row>
    <row r="3152" spans="4:4" x14ac:dyDescent="0.3">
      <c r="D3152" t="str">
        <f t="shared" si="100"/>
        <v/>
      </c>
    </row>
    <row r="3153" spans="4:4" x14ac:dyDescent="0.3">
      <c r="D3153" t="str">
        <f t="shared" si="100"/>
        <v/>
      </c>
    </row>
    <row r="3154" spans="4:4" x14ac:dyDescent="0.3">
      <c r="D3154" t="str">
        <f t="shared" si="100"/>
        <v/>
      </c>
    </row>
    <row r="3155" spans="4:4" x14ac:dyDescent="0.3">
      <c r="D3155" t="str">
        <f t="shared" si="100"/>
        <v/>
      </c>
    </row>
    <row r="3156" spans="4:4" x14ac:dyDescent="0.3">
      <c r="D3156" t="str">
        <f t="shared" si="100"/>
        <v/>
      </c>
    </row>
    <row r="3157" spans="4:4" x14ac:dyDescent="0.3">
      <c r="D3157" t="str">
        <f t="shared" si="100"/>
        <v/>
      </c>
    </row>
    <row r="3158" spans="4:4" x14ac:dyDescent="0.3">
      <c r="D3158" t="str">
        <f t="shared" si="100"/>
        <v/>
      </c>
    </row>
    <row r="3159" spans="4:4" x14ac:dyDescent="0.3">
      <c r="D3159" t="str">
        <f t="shared" si="100"/>
        <v/>
      </c>
    </row>
    <row r="3160" spans="4:4" x14ac:dyDescent="0.3">
      <c r="D3160" t="str">
        <f t="shared" si="100"/>
        <v/>
      </c>
    </row>
    <row r="3161" spans="4:4" x14ac:dyDescent="0.3">
      <c r="D3161" t="str">
        <f t="shared" si="100"/>
        <v/>
      </c>
    </row>
    <row r="3162" spans="4:4" x14ac:dyDescent="0.3">
      <c r="D3162" t="str">
        <f t="shared" si="100"/>
        <v/>
      </c>
    </row>
    <row r="3163" spans="4:4" x14ac:dyDescent="0.3">
      <c r="D3163" t="str">
        <f t="shared" si="100"/>
        <v/>
      </c>
    </row>
    <row r="3164" spans="4:4" x14ac:dyDescent="0.3">
      <c r="D3164" t="str">
        <f t="shared" si="100"/>
        <v/>
      </c>
    </row>
    <row r="3165" spans="4:4" x14ac:dyDescent="0.3">
      <c r="D3165" t="str">
        <f t="shared" si="100"/>
        <v/>
      </c>
    </row>
    <row r="3166" spans="4:4" x14ac:dyDescent="0.3">
      <c r="D3166" t="str">
        <f t="shared" si="100"/>
        <v/>
      </c>
    </row>
    <row r="3167" spans="4:4" x14ac:dyDescent="0.3">
      <c r="D3167" t="str">
        <f t="shared" si="100"/>
        <v/>
      </c>
    </row>
    <row r="3168" spans="4:4" x14ac:dyDescent="0.3">
      <c r="D3168" t="str">
        <f t="shared" si="100"/>
        <v/>
      </c>
    </row>
    <row r="3169" spans="4:4" x14ac:dyDescent="0.3">
      <c r="D3169" t="str">
        <f t="shared" si="100"/>
        <v/>
      </c>
    </row>
    <row r="3170" spans="4:4" x14ac:dyDescent="0.3">
      <c r="D3170" t="str">
        <f t="shared" si="100"/>
        <v/>
      </c>
    </row>
    <row r="3171" spans="4:4" x14ac:dyDescent="0.3">
      <c r="D3171" t="str">
        <f t="shared" si="100"/>
        <v/>
      </c>
    </row>
    <row r="3172" spans="4:4" x14ac:dyDescent="0.3">
      <c r="D3172" t="str">
        <f t="shared" si="100"/>
        <v/>
      </c>
    </row>
    <row r="3173" spans="4:4" x14ac:dyDescent="0.3">
      <c r="D3173" t="str">
        <f t="shared" si="100"/>
        <v/>
      </c>
    </row>
    <row r="3174" spans="4:4" x14ac:dyDescent="0.3">
      <c r="D3174" t="str">
        <f t="shared" si="100"/>
        <v/>
      </c>
    </row>
    <row r="3175" spans="4:4" x14ac:dyDescent="0.3">
      <c r="D3175" t="str">
        <f t="shared" si="100"/>
        <v/>
      </c>
    </row>
    <row r="3176" spans="4:4" x14ac:dyDescent="0.3">
      <c r="D3176" t="str">
        <f t="shared" si="100"/>
        <v/>
      </c>
    </row>
    <row r="3177" spans="4:4" x14ac:dyDescent="0.3">
      <c r="D3177" t="str">
        <f t="shared" si="100"/>
        <v/>
      </c>
    </row>
    <row r="3178" spans="4:4" x14ac:dyDescent="0.3">
      <c r="D3178" t="str">
        <f t="shared" si="100"/>
        <v/>
      </c>
    </row>
    <row r="3179" spans="4:4" x14ac:dyDescent="0.3">
      <c r="D3179" t="str">
        <f t="shared" si="100"/>
        <v/>
      </c>
    </row>
    <row r="3180" spans="4:4" x14ac:dyDescent="0.3">
      <c r="D3180" t="str">
        <f t="shared" si="100"/>
        <v/>
      </c>
    </row>
    <row r="3181" spans="4:4" x14ac:dyDescent="0.3">
      <c r="D3181" t="str">
        <f t="shared" si="100"/>
        <v/>
      </c>
    </row>
    <row r="3182" spans="4:4" x14ac:dyDescent="0.3">
      <c r="D3182" t="str">
        <f t="shared" si="100"/>
        <v/>
      </c>
    </row>
    <row r="3183" spans="4:4" x14ac:dyDescent="0.3">
      <c r="D3183" t="str">
        <f t="shared" si="100"/>
        <v/>
      </c>
    </row>
    <row r="3184" spans="4:4" x14ac:dyDescent="0.3">
      <c r="D3184" t="str">
        <f t="shared" si="100"/>
        <v/>
      </c>
    </row>
    <row r="3185" spans="4:4" x14ac:dyDescent="0.3">
      <c r="D3185" t="str">
        <f t="shared" si="100"/>
        <v/>
      </c>
    </row>
    <row r="3186" spans="4:4" x14ac:dyDescent="0.3">
      <c r="D3186" t="str">
        <f t="shared" si="100"/>
        <v/>
      </c>
    </row>
    <row r="3187" spans="4:4" x14ac:dyDescent="0.3">
      <c r="D3187" t="str">
        <f t="shared" si="100"/>
        <v/>
      </c>
    </row>
    <row r="3188" spans="4:4" x14ac:dyDescent="0.3">
      <c r="D3188" t="str">
        <f t="shared" si="100"/>
        <v/>
      </c>
    </row>
    <row r="3189" spans="4:4" x14ac:dyDescent="0.3">
      <c r="D3189" t="str">
        <f t="shared" si="100"/>
        <v/>
      </c>
    </row>
    <row r="3190" spans="4:4" x14ac:dyDescent="0.3">
      <c r="D3190" t="str">
        <f t="shared" si="100"/>
        <v/>
      </c>
    </row>
    <row r="3191" spans="4:4" x14ac:dyDescent="0.3">
      <c r="D3191" t="str">
        <f t="shared" si="100"/>
        <v/>
      </c>
    </row>
    <row r="3192" spans="4:4" x14ac:dyDescent="0.3">
      <c r="D3192" t="str">
        <f t="shared" si="100"/>
        <v/>
      </c>
    </row>
    <row r="3193" spans="4:4" x14ac:dyDescent="0.3">
      <c r="D3193" t="str">
        <f t="shared" si="100"/>
        <v/>
      </c>
    </row>
    <row r="3194" spans="4:4" x14ac:dyDescent="0.3">
      <c r="D3194" t="str">
        <f t="shared" si="100"/>
        <v/>
      </c>
    </row>
    <row r="3195" spans="4:4" x14ac:dyDescent="0.3">
      <c r="D3195" t="str">
        <f t="shared" si="100"/>
        <v/>
      </c>
    </row>
    <row r="3196" spans="4:4" x14ac:dyDescent="0.3">
      <c r="D3196" t="str">
        <f t="shared" si="100"/>
        <v/>
      </c>
    </row>
    <row r="3197" spans="4:4" x14ac:dyDescent="0.3">
      <c r="D3197" t="str">
        <f t="shared" si="100"/>
        <v/>
      </c>
    </row>
    <row r="3198" spans="4:4" x14ac:dyDescent="0.3">
      <c r="D3198" t="str">
        <f t="shared" si="100"/>
        <v/>
      </c>
    </row>
    <row r="3199" spans="4:4" x14ac:dyDescent="0.3">
      <c r="D3199" t="str">
        <f t="shared" si="100"/>
        <v/>
      </c>
    </row>
    <row r="3200" spans="4:4" x14ac:dyDescent="0.3">
      <c r="D3200" t="str">
        <f t="shared" si="100"/>
        <v/>
      </c>
    </row>
    <row r="3201" spans="4:4" x14ac:dyDescent="0.3">
      <c r="D3201" t="str">
        <f t="shared" si="100"/>
        <v/>
      </c>
    </row>
    <row r="3202" spans="4:4" x14ac:dyDescent="0.3">
      <c r="D3202" t="str">
        <f t="shared" si="100"/>
        <v/>
      </c>
    </row>
    <row r="3203" spans="4:4" x14ac:dyDescent="0.3">
      <c r="D3203" t="str">
        <f t="shared" si="100"/>
        <v/>
      </c>
    </row>
    <row r="3204" spans="4:4" x14ac:dyDescent="0.3">
      <c r="D3204" t="str">
        <f t="shared" si="100"/>
        <v/>
      </c>
    </row>
    <row r="3205" spans="4:4" x14ac:dyDescent="0.3">
      <c r="D3205" t="str">
        <f t="shared" si="100"/>
        <v/>
      </c>
    </row>
    <row r="3206" spans="4:4" x14ac:dyDescent="0.3">
      <c r="D3206" t="str">
        <f t="shared" si="100"/>
        <v/>
      </c>
    </row>
    <row r="3207" spans="4:4" x14ac:dyDescent="0.3">
      <c r="D3207" t="str">
        <f t="shared" si="100"/>
        <v/>
      </c>
    </row>
    <row r="3208" spans="4:4" x14ac:dyDescent="0.3">
      <c r="D3208" t="str">
        <f t="shared" si="100"/>
        <v/>
      </c>
    </row>
    <row r="3209" spans="4:4" x14ac:dyDescent="0.3">
      <c r="D3209" t="str">
        <f t="shared" ref="D3209:D3272" si="101">IF(LEFT(A3209,2)="SP",MID(A3209,4,4),IF(LEFT(A3209,1)="X",MID(A3209,3,4),""))</f>
        <v/>
      </c>
    </row>
    <row r="3210" spans="4:4" x14ac:dyDescent="0.3">
      <c r="D3210" t="str">
        <f t="shared" si="101"/>
        <v/>
      </c>
    </row>
    <row r="3211" spans="4:4" x14ac:dyDescent="0.3">
      <c r="D3211" t="str">
        <f t="shared" si="101"/>
        <v/>
      </c>
    </row>
    <row r="3212" spans="4:4" x14ac:dyDescent="0.3">
      <c r="D3212" t="str">
        <f t="shared" si="101"/>
        <v/>
      </c>
    </row>
    <row r="3213" spans="4:4" x14ac:dyDescent="0.3">
      <c r="D3213" t="str">
        <f t="shared" si="101"/>
        <v/>
      </c>
    </row>
    <row r="3214" spans="4:4" x14ac:dyDescent="0.3">
      <c r="D3214" t="str">
        <f t="shared" si="101"/>
        <v/>
      </c>
    </row>
    <row r="3215" spans="4:4" x14ac:dyDescent="0.3">
      <c r="D3215" t="str">
        <f t="shared" si="101"/>
        <v/>
      </c>
    </row>
    <row r="3216" spans="4:4" x14ac:dyDescent="0.3">
      <c r="D3216" t="str">
        <f t="shared" si="101"/>
        <v/>
      </c>
    </row>
    <row r="3217" spans="4:4" x14ac:dyDescent="0.3">
      <c r="D3217" t="str">
        <f t="shared" si="101"/>
        <v/>
      </c>
    </row>
    <row r="3218" spans="4:4" x14ac:dyDescent="0.3">
      <c r="D3218" t="str">
        <f t="shared" si="101"/>
        <v/>
      </c>
    </row>
    <row r="3219" spans="4:4" x14ac:dyDescent="0.3">
      <c r="D3219" t="str">
        <f t="shared" si="101"/>
        <v/>
      </c>
    </row>
    <row r="3220" spans="4:4" x14ac:dyDescent="0.3">
      <c r="D3220" t="str">
        <f t="shared" si="101"/>
        <v/>
      </c>
    </row>
    <row r="3221" spans="4:4" x14ac:dyDescent="0.3">
      <c r="D3221" t="str">
        <f t="shared" si="101"/>
        <v/>
      </c>
    </row>
    <row r="3222" spans="4:4" x14ac:dyDescent="0.3">
      <c r="D3222" t="str">
        <f t="shared" si="101"/>
        <v/>
      </c>
    </row>
    <row r="3223" spans="4:4" x14ac:dyDescent="0.3">
      <c r="D3223" t="str">
        <f t="shared" si="101"/>
        <v/>
      </c>
    </row>
    <row r="3224" spans="4:4" x14ac:dyDescent="0.3">
      <c r="D3224" t="str">
        <f t="shared" si="101"/>
        <v/>
      </c>
    </row>
    <row r="3225" spans="4:4" x14ac:dyDescent="0.3">
      <c r="D3225" t="str">
        <f t="shared" si="101"/>
        <v/>
      </c>
    </row>
    <row r="3226" spans="4:4" x14ac:dyDescent="0.3">
      <c r="D3226" t="str">
        <f t="shared" si="101"/>
        <v/>
      </c>
    </row>
    <row r="3227" spans="4:4" x14ac:dyDescent="0.3">
      <c r="D3227" t="str">
        <f t="shared" si="101"/>
        <v/>
      </c>
    </row>
    <row r="3228" spans="4:4" x14ac:dyDescent="0.3">
      <c r="D3228" t="str">
        <f t="shared" si="101"/>
        <v/>
      </c>
    </row>
    <row r="3229" spans="4:4" x14ac:dyDescent="0.3">
      <c r="D3229" t="str">
        <f t="shared" si="101"/>
        <v/>
      </c>
    </row>
    <row r="3230" spans="4:4" x14ac:dyDescent="0.3">
      <c r="D3230" t="str">
        <f t="shared" si="101"/>
        <v/>
      </c>
    </row>
    <row r="3231" spans="4:4" x14ac:dyDescent="0.3">
      <c r="D3231" t="str">
        <f t="shared" si="101"/>
        <v/>
      </c>
    </row>
    <row r="3232" spans="4:4" x14ac:dyDescent="0.3">
      <c r="D3232" t="str">
        <f t="shared" si="101"/>
        <v/>
      </c>
    </row>
    <row r="3233" spans="4:4" x14ac:dyDescent="0.3">
      <c r="D3233" t="str">
        <f t="shared" si="101"/>
        <v/>
      </c>
    </row>
    <row r="3234" spans="4:4" x14ac:dyDescent="0.3">
      <c r="D3234" t="str">
        <f t="shared" si="101"/>
        <v/>
      </c>
    </row>
    <row r="3235" spans="4:4" x14ac:dyDescent="0.3">
      <c r="D3235" t="str">
        <f t="shared" si="101"/>
        <v/>
      </c>
    </row>
    <row r="3236" spans="4:4" x14ac:dyDescent="0.3">
      <c r="D3236" t="str">
        <f t="shared" si="101"/>
        <v/>
      </c>
    </row>
    <row r="3237" spans="4:4" x14ac:dyDescent="0.3">
      <c r="D3237" t="str">
        <f t="shared" si="101"/>
        <v/>
      </c>
    </row>
    <row r="3238" spans="4:4" x14ac:dyDescent="0.3">
      <c r="D3238" t="str">
        <f t="shared" si="101"/>
        <v/>
      </c>
    </row>
    <row r="3239" spans="4:4" x14ac:dyDescent="0.3">
      <c r="D3239" t="str">
        <f t="shared" si="101"/>
        <v/>
      </c>
    </row>
    <row r="3240" spans="4:4" x14ac:dyDescent="0.3">
      <c r="D3240" t="str">
        <f t="shared" si="101"/>
        <v/>
      </c>
    </row>
    <row r="3241" spans="4:4" x14ac:dyDescent="0.3">
      <c r="D3241" t="str">
        <f t="shared" si="101"/>
        <v/>
      </c>
    </row>
    <row r="3242" spans="4:4" x14ac:dyDescent="0.3">
      <c r="D3242" t="str">
        <f t="shared" si="101"/>
        <v/>
      </c>
    </row>
    <row r="3243" spans="4:4" x14ac:dyDescent="0.3">
      <c r="D3243" t="str">
        <f t="shared" si="101"/>
        <v/>
      </c>
    </row>
    <row r="3244" spans="4:4" x14ac:dyDescent="0.3">
      <c r="D3244" t="str">
        <f t="shared" si="101"/>
        <v/>
      </c>
    </row>
    <row r="3245" spans="4:4" x14ac:dyDescent="0.3">
      <c r="D3245" t="str">
        <f t="shared" si="101"/>
        <v/>
      </c>
    </row>
    <row r="3246" spans="4:4" x14ac:dyDescent="0.3">
      <c r="D3246" t="str">
        <f t="shared" si="101"/>
        <v/>
      </c>
    </row>
    <row r="3247" spans="4:4" x14ac:dyDescent="0.3">
      <c r="D3247" t="str">
        <f t="shared" si="101"/>
        <v/>
      </c>
    </row>
    <row r="3248" spans="4:4" x14ac:dyDescent="0.3">
      <c r="D3248" t="str">
        <f t="shared" si="101"/>
        <v/>
      </c>
    </row>
    <row r="3249" spans="4:4" x14ac:dyDescent="0.3">
      <c r="D3249" t="str">
        <f t="shared" si="101"/>
        <v/>
      </c>
    </row>
    <row r="3250" spans="4:4" x14ac:dyDescent="0.3">
      <c r="D3250" t="str">
        <f t="shared" si="101"/>
        <v/>
      </c>
    </row>
    <row r="3251" spans="4:4" x14ac:dyDescent="0.3">
      <c r="D3251" t="str">
        <f t="shared" si="101"/>
        <v/>
      </c>
    </row>
    <row r="3252" spans="4:4" x14ac:dyDescent="0.3">
      <c r="D3252" t="str">
        <f t="shared" si="101"/>
        <v/>
      </c>
    </row>
    <row r="3253" spans="4:4" x14ac:dyDescent="0.3">
      <c r="D3253" t="str">
        <f t="shared" si="101"/>
        <v/>
      </c>
    </row>
    <row r="3254" spans="4:4" x14ac:dyDescent="0.3">
      <c r="D3254" t="str">
        <f t="shared" si="101"/>
        <v/>
      </c>
    </row>
    <row r="3255" spans="4:4" x14ac:dyDescent="0.3">
      <c r="D3255" t="str">
        <f t="shared" si="101"/>
        <v/>
      </c>
    </row>
    <row r="3256" spans="4:4" x14ac:dyDescent="0.3">
      <c r="D3256" t="str">
        <f t="shared" si="101"/>
        <v/>
      </c>
    </row>
    <row r="3257" spans="4:4" x14ac:dyDescent="0.3">
      <c r="D3257" t="str">
        <f t="shared" si="101"/>
        <v/>
      </c>
    </row>
    <row r="3258" spans="4:4" x14ac:dyDescent="0.3">
      <c r="D3258" t="str">
        <f t="shared" si="101"/>
        <v/>
      </c>
    </row>
    <row r="3259" spans="4:4" x14ac:dyDescent="0.3">
      <c r="D3259" t="str">
        <f t="shared" si="101"/>
        <v/>
      </c>
    </row>
    <row r="3260" spans="4:4" x14ac:dyDescent="0.3">
      <c r="D3260" t="str">
        <f t="shared" si="101"/>
        <v/>
      </c>
    </row>
    <row r="3261" spans="4:4" x14ac:dyDescent="0.3">
      <c r="D3261" t="str">
        <f t="shared" si="101"/>
        <v/>
      </c>
    </row>
    <row r="3262" spans="4:4" x14ac:dyDescent="0.3">
      <c r="D3262" t="str">
        <f t="shared" si="101"/>
        <v/>
      </c>
    </row>
    <row r="3263" spans="4:4" x14ac:dyDescent="0.3">
      <c r="D3263" t="str">
        <f t="shared" si="101"/>
        <v/>
      </c>
    </row>
    <row r="3264" spans="4:4" x14ac:dyDescent="0.3">
      <c r="D3264" t="str">
        <f t="shared" si="101"/>
        <v/>
      </c>
    </row>
    <row r="3265" spans="4:4" x14ac:dyDescent="0.3">
      <c r="D3265" t="str">
        <f t="shared" si="101"/>
        <v/>
      </c>
    </row>
    <row r="3266" spans="4:4" x14ac:dyDescent="0.3">
      <c r="D3266" t="str">
        <f t="shared" si="101"/>
        <v/>
      </c>
    </row>
    <row r="3267" spans="4:4" x14ac:dyDescent="0.3">
      <c r="D3267" t="str">
        <f t="shared" si="101"/>
        <v/>
      </c>
    </row>
    <row r="3268" spans="4:4" x14ac:dyDescent="0.3">
      <c r="D3268" t="str">
        <f t="shared" si="101"/>
        <v/>
      </c>
    </row>
    <row r="3269" spans="4:4" x14ac:dyDescent="0.3">
      <c r="D3269" t="str">
        <f t="shared" si="101"/>
        <v/>
      </c>
    </row>
    <row r="3270" spans="4:4" x14ac:dyDescent="0.3">
      <c r="D3270" t="str">
        <f t="shared" si="101"/>
        <v/>
      </c>
    </row>
    <row r="3271" spans="4:4" x14ac:dyDescent="0.3">
      <c r="D3271" t="str">
        <f t="shared" si="101"/>
        <v/>
      </c>
    </row>
    <row r="3272" spans="4:4" x14ac:dyDescent="0.3">
      <c r="D3272" t="str">
        <f t="shared" si="101"/>
        <v/>
      </c>
    </row>
    <row r="3273" spans="4:4" x14ac:dyDescent="0.3">
      <c r="D3273" t="str">
        <f t="shared" ref="D3273:D3336" si="102">IF(LEFT(A3273,2)="SP",MID(A3273,4,4),IF(LEFT(A3273,1)="X",MID(A3273,3,4),""))</f>
        <v/>
      </c>
    </row>
    <row r="3274" spans="4:4" x14ac:dyDescent="0.3">
      <c r="D3274" t="str">
        <f t="shared" si="102"/>
        <v/>
      </c>
    </row>
    <row r="3275" spans="4:4" x14ac:dyDescent="0.3">
      <c r="D3275" t="str">
        <f t="shared" si="102"/>
        <v/>
      </c>
    </row>
    <row r="3276" spans="4:4" x14ac:dyDescent="0.3">
      <c r="D3276" t="str">
        <f t="shared" si="102"/>
        <v/>
      </c>
    </row>
    <row r="3277" spans="4:4" x14ac:dyDescent="0.3">
      <c r="D3277" t="str">
        <f t="shared" si="102"/>
        <v/>
      </c>
    </row>
    <row r="3278" spans="4:4" x14ac:dyDescent="0.3">
      <c r="D3278" t="str">
        <f t="shared" si="102"/>
        <v/>
      </c>
    </row>
    <row r="3279" spans="4:4" x14ac:dyDescent="0.3">
      <c r="D3279" t="str">
        <f t="shared" si="102"/>
        <v/>
      </c>
    </row>
    <row r="3280" spans="4:4" x14ac:dyDescent="0.3">
      <c r="D3280" t="str">
        <f t="shared" si="102"/>
        <v/>
      </c>
    </row>
    <row r="3281" spans="4:4" x14ac:dyDescent="0.3">
      <c r="D3281" t="str">
        <f t="shared" si="102"/>
        <v/>
      </c>
    </row>
    <row r="3282" spans="4:4" x14ac:dyDescent="0.3">
      <c r="D3282" t="str">
        <f t="shared" si="102"/>
        <v/>
      </c>
    </row>
    <row r="3283" spans="4:4" x14ac:dyDescent="0.3">
      <c r="D3283" t="str">
        <f t="shared" si="102"/>
        <v/>
      </c>
    </row>
    <row r="3284" spans="4:4" x14ac:dyDescent="0.3">
      <c r="D3284" t="str">
        <f t="shared" si="102"/>
        <v/>
      </c>
    </row>
    <row r="3285" spans="4:4" x14ac:dyDescent="0.3">
      <c r="D3285" t="str">
        <f t="shared" si="102"/>
        <v/>
      </c>
    </row>
    <row r="3286" spans="4:4" x14ac:dyDescent="0.3">
      <c r="D3286" t="str">
        <f t="shared" si="102"/>
        <v/>
      </c>
    </row>
    <row r="3287" spans="4:4" x14ac:dyDescent="0.3">
      <c r="D3287" t="str">
        <f t="shared" si="102"/>
        <v/>
      </c>
    </row>
    <row r="3288" spans="4:4" x14ac:dyDescent="0.3">
      <c r="D3288" t="str">
        <f t="shared" si="102"/>
        <v/>
      </c>
    </row>
    <row r="3289" spans="4:4" x14ac:dyDescent="0.3">
      <c r="D3289" t="str">
        <f t="shared" si="102"/>
        <v/>
      </c>
    </row>
    <row r="3290" spans="4:4" x14ac:dyDescent="0.3">
      <c r="D3290" t="str">
        <f t="shared" si="102"/>
        <v/>
      </c>
    </row>
    <row r="3291" spans="4:4" x14ac:dyDescent="0.3">
      <c r="D3291" t="str">
        <f t="shared" si="102"/>
        <v/>
      </c>
    </row>
    <row r="3292" spans="4:4" x14ac:dyDescent="0.3">
      <c r="D3292" t="str">
        <f t="shared" si="102"/>
        <v/>
      </c>
    </row>
    <row r="3293" spans="4:4" x14ac:dyDescent="0.3">
      <c r="D3293" t="str">
        <f t="shared" si="102"/>
        <v/>
      </c>
    </row>
    <row r="3294" spans="4:4" x14ac:dyDescent="0.3">
      <c r="D3294" t="str">
        <f t="shared" si="102"/>
        <v/>
      </c>
    </row>
    <row r="3295" spans="4:4" x14ac:dyDescent="0.3">
      <c r="D3295" t="str">
        <f t="shared" si="102"/>
        <v/>
      </c>
    </row>
    <row r="3296" spans="4:4" x14ac:dyDescent="0.3">
      <c r="D3296" t="str">
        <f t="shared" si="102"/>
        <v/>
      </c>
    </row>
    <row r="3297" spans="4:4" x14ac:dyDescent="0.3">
      <c r="D3297" t="str">
        <f t="shared" si="102"/>
        <v/>
      </c>
    </row>
    <row r="3298" spans="4:4" x14ac:dyDescent="0.3">
      <c r="D3298" t="str">
        <f t="shared" si="102"/>
        <v/>
      </c>
    </row>
    <row r="3299" spans="4:4" x14ac:dyDescent="0.3">
      <c r="D3299" t="str">
        <f t="shared" si="102"/>
        <v/>
      </c>
    </row>
    <row r="3300" spans="4:4" x14ac:dyDescent="0.3">
      <c r="D3300" t="str">
        <f t="shared" si="102"/>
        <v/>
      </c>
    </row>
    <row r="3301" spans="4:4" x14ac:dyDescent="0.3">
      <c r="D3301" t="str">
        <f t="shared" si="102"/>
        <v/>
      </c>
    </row>
    <row r="3302" spans="4:4" x14ac:dyDescent="0.3">
      <c r="D3302" t="str">
        <f t="shared" si="102"/>
        <v/>
      </c>
    </row>
    <row r="3303" spans="4:4" x14ac:dyDescent="0.3">
      <c r="D3303" t="str">
        <f t="shared" si="102"/>
        <v/>
      </c>
    </row>
    <row r="3304" spans="4:4" x14ac:dyDescent="0.3">
      <c r="D3304" t="str">
        <f t="shared" si="102"/>
        <v/>
      </c>
    </row>
    <row r="3305" spans="4:4" x14ac:dyDescent="0.3">
      <c r="D3305" t="str">
        <f t="shared" si="102"/>
        <v/>
      </c>
    </row>
    <row r="3306" spans="4:4" x14ac:dyDescent="0.3">
      <c r="D3306" t="str">
        <f t="shared" si="102"/>
        <v/>
      </c>
    </row>
    <row r="3307" spans="4:4" x14ac:dyDescent="0.3">
      <c r="D3307" t="str">
        <f t="shared" si="102"/>
        <v/>
      </c>
    </row>
    <row r="3308" spans="4:4" x14ac:dyDescent="0.3">
      <c r="D3308" t="str">
        <f t="shared" si="102"/>
        <v/>
      </c>
    </row>
    <row r="3309" spans="4:4" x14ac:dyDescent="0.3">
      <c r="D3309" t="str">
        <f t="shared" si="102"/>
        <v/>
      </c>
    </row>
    <row r="3310" spans="4:4" x14ac:dyDescent="0.3">
      <c r="D3310" t="str">
        <f t="shared" si="102"/>
        <v/>
      </c>
    </row>
    <row r="3311" spans="4:4" x14ac:dyDescent="0.3">
      <c r="D3311" t="str">
        <f t="shared" si="102"/>
        <v/>
      </c>
    </row>
    <row r="3312" spans="4:4" x14ac:dyDescent="0.3">
      <c r="D3312" t="str">
        <f t="shared" si="102"/>
        <v/>
      </c>
    </row>
    <row r="3313" spans="4:4" x14ac:dyDescent="0.3">
      <c r="D3313" t="str">
        <f t="shared" si="102"/>
        <v/>
      </c>
    </row>
    <row r="3314" spans="4:4" x14ac:dyDescent="0.3">
      <c r="D3314" t="str">
        <f t="shared" si="102"/>
        <v/>
      </c>
    </row>
    <row r="3315" spans="4:4" x14ac:dyDescent="0.3">
      <c r="D3315" t="str">
        <f t="shared" si="102"/>
        <v/>
      </c>
    </row>
    <row r="3316" spans="4:4" x14ac:dyDescent="0.3">
      <c r="D3316" t="str">
        <f t="shared" si="102"/>
        <v/>
      </c>
    </row>
    <row r="3317" spans="4:4" x14ac:dyDescent="0.3">
      <c r="D3317" t="str">
        <f t="shared" si="102"/>
        <v/>
      </c>
    </row>
    <row r="3318" spans="4:4" x14ac:dyDescent="0.3">
      <c r="D3318" t="str">
        <f t="shared" si="102"/>
        <v/>
      </c>
    </row>
    <row r="3319" spans="4:4" x14ac:dyDescent="0.3">
      <c r="D3319" t="str">
        <f t="shared" si="102"/>
        <v/>
      </c>
    </row>
    <row r="3320" spans="4:4" x14ac:dyDescent="0.3">
      <c r="D3320" t="str">
        <f t="shared" si="102"/>
        <v/>
      </c>
    </row>
    <row r="3321" spans="4:4" x14ac:dyDescent="0.3">
      <c r="D3321" t="str">
        <f t="shared" si="102"/>
        <v/>
      </c>
    </row>
    <row r="3322" spans="4:4" x14ac:dyDescent="0.3">
      <c r="D3322" t="str">
        <f t="shared" si="102"/>
        <v/>
      </c>
    </row>
    <row r="3323" spans="4:4" x14ac:dyDescent="0.3">
      <c r="D3323" t="str">
        <f t="shared" si="102"/>
        <v/>
      </c>
    </row>
    <row r="3324" spans="4:4" x14ac:dyDescent="0.3">
      <c r="D3324" t="str">
        <f t="shared" si="102"/>
        <v/>
      </c>
    </row>
    <row r="3325" spans="4:4" x14ac:dyDescent="0.3">
      <c r="D3325" t="str">
        <f t="shared" si="102"/>
        <v/>
      </c>
    </row>
    <row r="3326" spans="4:4" x14ac:dyDescent="0.3">
      <c r="D3326" t="str">
        <f t="shared" si="102"/>
        <v/>
      </c>
    </row>
    <row r="3327" spans="4:4" x14ac:dyDescent="0.3">
      <c r="D3327" t="str">
        <f t="shared" si="102"/>
        <v/>
      </c>
    </row>
    <row r="3328" spans="4:4" x14ac:dyDescent="0.3">
      <c r="D3328" t="str">
        <f t="shared" si="102"/>
        <v/>
      </c>
    </row>
    <row r="3329" spans="4:4" x14ac:dyDescent="0.3">
      <c r="D3329" t="str">
        <f t="shared" si="102"/>
        <v/>
      </c>
    </row>
    <row r="3330" spans="4:4" x14ac:dyDescent="0.3">
      <c r="D3330" t="str">
        <f t="shared" si="102"/>
        <v/>
      </c>
    </row>
    <row r="3331" spans="4:4" x14ac:dyDescent="0.3">
      <c r="D3331" t="str">
        <f t="shared" si="102"/>
        <v/>
      </c>
    </row>
    <row r="3332" spans="4:4" x14ac:dyDescent="0.3">
      <c r="D3332" t="str">
        <f t="shared" si="102"/>
        <v/>
      </c>
    </row>
    <row r="3333" spans="4:4" x14ac:dyDescent="0.3">
      <c r="D3333" t="str">
        <f t="shared" si="102"/>
        <v/>
      </c>
    </row>
    <row r="3334" spans="4:4" x14ac:dyDescent="0.3">
      <c r="D3334" t="str">
        <f t="shared" si="102"/>
        <v/>
      </c>
    </row>
    <row r="3335" spans="4:4" x14ac:dyDescent="0.3">
      <c r="D3335" t="str">
        <f t="shared" si="102"/>
        <v/>
      </c>
    </row>
    <row r="3336" spans="4:4" x14ac:dyDescent="0.3">
      <c r="D3336" t="str">
        <f t="shared" si="102"/>
        <v/>
      </c>
    </row>
    <row r="3337" spans="4:4" x14ac:dyDescent="0.3">
      <c r="D3337" t="str">
        <f t="shared" ref="D3337:D3400" si="103">IF(LEFT(A3337,2)="SP",MID(A3337,4,4),IF(LEFT(A3337,1)="X",MID(A3337,3,4),""))</f>
        <v/>
      </c>
    </row>
    <row r="3338" spans="4:4" x14ac:dyDescent="0.3">
      <c r="D3338" t="str">
        <f t="shared" si="103"/>
        <v/>
      </c>
    </row>
    <row r="3339" spans="4:4" x14ac:dyDescent="0.3">
      <c r="D3339" t="str">
        <f t="shared" si="103"/>
        <v/>
      </c>
    </row>
    <row r="3340" spans="4:4" x14ac:dyDescent="0.3">
      <c r="D3340" t="str">
        <f t="shared" si="103"/>
        <v/>
      </c>
    </row>
    <row r="3341" spans="4:4" x14ac:dyDescent="0.3">
      <c r="D3341" t="str">
        <f t="shared" si="103"/>
        <v/>
      </c>
    </row>
    <row r="3342" spans="4:4" x14ac:dyDescent="0.3">
      <c r="D3342" t="str">
        <f t="shared" si="103"/>
        <v/>
      </c>
    </row>
    <row r="3343" spans="4:4" x14ac:dyDescent="0.3">
      <c r="D3343" t="str">
        <f t="shared" si="103"/>
        <v/>
      </c>
    </row>
    <row r="3344" spans="4:4" x14ac:dyDescent="0.3">
      <c r="D3344" t="str">
        <f t="shared" si="103"/>
        <v/>
      </c>
    </row>
    <row r="3345" spans="4:4" x14ac:dyDescent="0.3">
      <c r="D3345" t="str">
        <f t="shared" si="103"/>
        <v/>
      </c>
    </row>
    <row r="3346" spans="4:4" x14ac:dyDescent="0.3">
      <c r="D3346" t="str">
        <f t="shared" si="103"/>
        <v/>
      </c>
    </row>
    <row r="3347" spans="4:4" x14ac:dyDescent="0.3">
      <c r="D3347" t="str">
        <f t="shared" si="103"/>
        <v/>
      </c>
    </row>
    <row r="3348" spans="4:4" x14ac:dyDescent="0.3">
      <c r="D3348" t="str">
        <f t="shared" si="103"/>
        <v/>
      </c>
    </row>
    <row r="3349" spans="4:4" x14ac:dyDescent="0.3">
      <c r="D3349" t="str">
        <f t="shared" si="103"/>
        <v/>
      </c>
    </row>
    <row r="3350" spans="4:4" x14ac:dyDescent="0.3">
      <c r="D3350" t="str">
        <f t="shared" si="103"/>
        <v/>
      </c>
    </row>
    <row r="3351" spans="4:4" x14ac:dyDescent="0.3">
      <c r="D3351" t="str">
        <f t="shared" si="103"/>
        <v/>
      </c>
    </row>
    <row r="3352" spans="4:4" x14ac:dyDescent="0.3">
      <c r="D3352" t="str">
        <f t="shared" si="103"/>
        <v/>
      </c>
    </row>
    <row r="3353" spans="4:4" x14ac:dyDescent="0.3">
      <c r="D3353" t="str">
        <f t="shared" si="103"/>
        <v/>
      </c>
    </row>
    <row r="3354" spans="4:4" x14ac:dyDescent="0.3">
      <c r="D3354" t="str">
        <f t="shared" si="103"/>
        <v/>
      </c>
    </row>
    <row r="3355" spans="4:4" x14ac:dyDescent="0.3">
      <c r="D3355" t="str">
        <f t="shared" si="103"/>
        <v/>
      </c>
    </row>
    <row r="3356" spans="4:4" x14ac:dyDescent="0.3">
      <c r="D3356" t="str">
        <f t="shared" si="103"/>
        <v/>
      </c>
    </row>
    <row r="3357" spans="4:4" x14ac:dyDescent="0.3">
      <c r="D3357" t="str">
        <f t="shared" si="103"/>
        <v/>
      </c>
    </row>
    <row r="3358" spans="4:4" x14ac:dyDescent="0.3">
      <c r="D3358" t="str">
        <f t="shared" si="103"/>
        <v/>
      </c>
    </row>
    <row r="3359" spans="4:4" x14ac:dyDescent="0.3">
      <c r="D3359" t="str">
        <f t="shared" si="103"/>
        <v/>
      </c>
    </row>
    <row r="3360" spans="4:4" x14ac:dyDescent="0.3">
      <c r="D3360" t="str">
        <f t="shared" si="103"/>
        <v/>
      </c>
    </row>
    <row r="3361" spans="4:4" x14ac:dyDescent="0.3">
      <c r="D3361" t="str">
        <f t="shared" si="103"/>
        <v/>
      </c>
    </row>
    <row r="3362" spans="4:4" x14ac:dyDescent="0.3">
      <c r="D3362" t="str">
        <f t="shared" si="103"/>
        <v/>
      </c>
    </row>
    <row r="3363" spans="4:4" x14ac:dyDescent="0.3">
      <c r="D3363" t="str">
        <f t="shared" si="103"/>
        <v/>
      </c>
    </row>
    <row r="3364" spans="4:4" x14ac:dyDescent="0.3">
      <c r="D3364" t="str">
        <f t="shared" si="103"/>
        <v/>
      </c>
    </row>
    <row r="3365" spans="4:4" x14ac:dyDescent="0.3">
      <c r="D3365" t="str">
        <f t="shared" si="103"/>
        <v/>
      </c>
    </row>
    <row r="3366" spans="4:4" x14ac:dyDescent="0.3">
      <c r="D3366" t="str">
        <f t="shared" si="103"/>
        <v/>
      </c>
    </row>
    <row r="3367" spans="4:4" x14ac:dyDescent="0.3">
      <c r="D3367" t="str">
        <f t="shared" si="103"/>
        <v/>
      </c>
    </row>
    <row r="3368" spans="4:4" x14ac:dyDescent="0.3">
      <c r="D3368" t="str">
        <f t="shared" si="103"/>
        <v/>
      </c>
    </row>
    <row r="3369" spans="4:4" x14ac:dyDescent="0.3">
      <c r="D3369" t="str">
        <f t="shared" si="103"/>
        <v/>
      </c>
    </row>
    <row r="3370" spans="4:4" x14ac:dyDescent="0.3">
      <c r="D3370" t="str">
        <f t="shared" si="103"/>
        <v/>
      </c>
    </row>
    <row r="3371" spans="4:4" x14ac:dyDescent="0.3">
      <c r="D3371" t="str">
        <f t="shared" si="103"/>
        <v/>
      </c>
    </row>
    <row r="3372" spans="4:4" x14ac:dyDescent="0.3">
      <c r="D3372" t="str">
        <f t="shared" si="103"/>
        <v/>
      </c>
    </row>
    <row r="3373" spans="4:4" x14ac:dyDescent="0.3">
      <c r="D3373" t="str">
        <f t="shared" si="103"/>
        <v/>
      </c>
    </row>
    <row r="3374" spans="4:4" x14ac:dyDescent="0.3">
      <c r="D3374" t="str">
        <f t="shared" si="103"/>
        <v/>
      </c>
    </row>
    <row r="3375" spans="4:4" x14ac:dyDescent="0.3">
      <c r="D3375" t="str">
        <f t="shared" si="103"/>
        <v/>
      </c>
    </row>
    <row r="3376" spans="4:4" x14ac:dyDescent="0.3">
      <c r="D3376" t="str">
        <f t="shared" si="103"/>
        <v/>
      </c>
    </row>
    <row r="3377" spans="4:4" x14ac:dyDescent="0.3">
      <c r="D3377" t="str">
        <f t="shared" si="103"/>
        <v/>
      </c>
    </row>
    <row r="3378" spans="4:4" x14ac:dyDescent="0.3">
      <c r="D3378" t="str">
        <f t="shared" si="103"/>
        <v/>
      </c>
    </row>
    <row r="3379" spans="4:4" x14ac:dyDescent="0.3">
      <c r="D3379" t="str">
        <f t="shared" si="103"/>
        <v/>
      </c>
    </row>
    <row r="3380" spans="4:4" x14ac:dyDescent="0.3">
      <c r="D3380" t="str">
        <f t="shared" si="103"/>
        <v/>
      </c>
    </row>
    <row r="3381" spans="4:4" x14ac:dyDescent="0.3">
      <c r="D3381" t="str">
        <f t="shared" si="103"/>
        <v/>
      </c>
    </row>
    <row r="3382" spans="4:4" x14ac:dyDescent="0.3">
      <c r="D3382" t="str">
        <f t="shared" si="103"/>
        <v/>
      </c>
    </row>
    <row r="3383" spans="4:4" x14ac:dyDescent="0.3">
      <c r="D3383" t="str">
        <f t="shared" si="103"/>
        <v/>
      </c>
    </row>
    <row r="3384" spans="4:4" x14ac:dyDescent="0.3">
      <c r="D3384" t="str">
        <f t="shared" si="103"/>
        <v/>
      </c>
    </row>
    <row r="3385" spans="4:4" x14ac:dyDescent="0.3">
      <c r="D3385" t="str">
        <f t="shared" si="103"/>
        <v/>
      </c>
    </row>
    <row r="3386" spans="4:4" x14ac:dyDescent="0.3">
      <c r="D3386" t="str">
        <f t="shared" si="103"/>
        <v/>
      </c>
    </row>
    <row r="3387" spans="4:4" x14ac:dyDescent="0.3">
      <c r="D3387" t="str">
        <f t="shared" si="103"/>
        <v/>
      </c>
    </row>
    <row r="3388" spans="4:4" x14ac:dyDescent="0.3">
      <c r="D3388" t="str">
        <f t="shared" si="103"/>
        <v/>
      </c>
    </row>
    <row r="3389" spans="4:4" x14ac:dyDescent="0.3">
      <c r="D3389" t="str">
        <f t="shared" si="103"/>
        <v/>
      </c>
    </row>
    <row r="3390" spans="4:4" x14ac:dyDescent="0.3">
      <c r="D3390" t="str">
        <f t="shared" si="103"/>
        <v/>
      </c>
    </row>
    <row r="3391" spans="4:4" x14ac:dyDescent="0.3">
      <c r="D3391" t="str">
        <f t="shared" si="103"/>
        <v/>
      </c>
    </row>
    <row r="3392" spans="4:4" x14ac:dyDescent="0.3">
      <c r="D3392" t="str">
        <f t="shared" si="103"/>
        <v/>
      </c>
    </row>
    <row r="3393" spans="4:4" x14ac:dyDescent="0.3">
      <c r="D3393" t="str">
        <f t="shared" si="103"/>
        <v/>
      </c>
    </row>
    <row r="3394" spans="4:4" x14ac:dyDescent="0.3">
      <c r="D3394" t="str">
        <f t="shared" si="103"/>
        <v/>
      </c>
    </row>
    <row r="3395" spans="4:4" x14ac:dyDescent="0.3">
      <c r="D3395" t="str">
        <f t="shared" si="103"/>
        <v/>
      </c>
    </row>
    <row r="3396" spans="4:4" x14ac:dyDescent="0.3">
      <c r="D3396" t="str">
        <f t="shared" si="103"/>
        <v/>
      </c>
    </row>
    <row r="3397" spans="4:4" x14ac:dyDescent="0.3">
      <c r="D3397" t="str">
        <f t="shared" si="103"/>
        <v/>
      </c>
    </row>
    <row r="3398" spans="4:4" x14ac:dyDescent="0.3">
      <c r="D3398" t="str">
        <f t="shared" si="103"/>
        <v/>
      </c>
    </row>
    <row r="3399" spans="4:4" x14ac:dyDescent="0.3">
      <c r="D3399" t="str">
        <f t="shared" si="103"/>
        <v/>
      </c>
    </row>
    <row r="3400" spans="4:4" x14ac:dyDescent="0.3">
      <c r="D3400" t="str">
        <f t="shared" si="103"/>
        <v/>
      </c>
    </row>
    <row r="3401" spans="4:4" x14ac:dyDescent="0.3">
      <c r="D3401" t="str">
        <f t="shared" ref="D3401:D3464" si="104">IF(LEFT(A3401,2)="SP",MID(A3401,4,4),IF(LEFT(A3401,1)="X",MID(A3401,3,4),""))</f>
        <v/>
      </c>
    </row>
    <row r="3402" spans="4:4" x14ac:dyDescent="0.3">
      <c r="D3402" t="str">
        <f t="shared" si="104"/>
        <v/>
      </c>
    </row>
    <row r="3403" spans="4:4" x14ac:dyDescent="0.3">
      <c r="D3403" t="str">
        <f t="shared" si="104"/>
        <v/>
      </c>
    </row>
    <row r="3404" spans="4:4" x14ac:dyDescent="0.3">
      <c r="D3404" t="str">
        <f t="shared" si="104"/>
        <v/>
      </c>
    </row>
    <row r="3405" spans="4:4" x14ac:dyDescent="0.3">
      <c r="D3405" t="str">
        <f t="shared" si="104"/>
        <v/>
      </c>
    </row>
    <row r="3406" spans="4:4" x14ac:dyDescent="0.3">
      <c r="D3406" t="str">
        <f t="shared" si="104"/>
        <v/>
      </c>
    </row>
    <row r="3407" spans="4:4" x14ac:dyDescent="0.3">
      <c r="D3407" t="str">
        <f t="shared" si="104"/>
        <v/>
      </c>
    </row>
    <row r="3408" spans="4:4" x14ac:dyDescent="0.3">
      <c r="D3408" t="str">
        <f t="shared" si="104"/>
        <v/>
      </c>
    </row>
    <row r="3409" spans="4:4" x14ac:dyDescent="0.3">
      <c r="D3409" t="str">
        <f t="shared" si="104"/>
        <v/>
      </c>
    </row>
    <row r="3410" spans="4:4" x14ac:dyDescent="0.3">
      <c r="D3410" t="str">
        <f t="shared" si="104"/>
        <v/>
      </c>
    </row>
    <row r="3411" spans="4:4" x14ac:dyDescent="0.3">
      <c r="D3411" t="str">
        <f t="shared" si="104"/>
        <v/>
      </c>
    </row>
    <row r="3412" spans="4:4" x14ac:dyDescent="0.3">
      <c r="D3412" t="str">
        <f t="shared" si="104"/>
        <v/>
      </c>
    </row>
    <row r="3413" spans="4:4" x14ac:dyDescent="0.3">
      <c r="D3413" t="str">
        <f t="shared" si="104"/>
        <v/>
      </c>
    </row>
    <row r="3414" spans="4:4" x14ac:dyDescent="0.3">
      <c r="D3414" t="str">
        <f t="shared" si="104"/>
        <v/>
      </c>
    </row>
    <row r="3415" spans="4:4" x14ac:dyDescent="0.3">
      <c r="D3415" t="str">
        <f t="shared" si="104"/>
        <v/>
      </c>
    </row>
    <row r="3416" spans="4:4" x14ac:dyDescent="0.3">
      <c r="D3416" t="str">
        <f t="shared" si="104"/>
        <v/>
      </c>
    </row>
    <row r="3417" spans="4:4" x14ac:dyDescent="0.3">
      <c r="D3417" t="str">
        <f t="shared" si="104"/>
        <v/>
      </c>
    </row>
    <row r="3418" spans="4:4" x14ac:dyDescent="0.3">
      <c r="D3418" t="str">
        <f t="shared" si="104"/>
        <v/>
      </c>
    </row>
    <row r="3419" spans="4:4" x14ac:dyDescent="0.3">
      <c r="D3419" t="str">
        <f t="shared" si="104"/>
        <v/>
      </c>
    </row>
    <row r="3420" spans="4:4" x14ac:dyDescent="0.3">
      <c r="D3420" t="str">
        <f t="shared" si="104"/>
        <v/>
      </c>
    </row>
    <row r="3421" spans="4:4" x14ac:dyDescent="0.3">
      <c r="D3421" t="str">
        <f t="shared" si="104"/>
        <v/>
      </c>
    </row>
    <row r="3422" spans="4:4" x14ac:dyDescent="0.3">
      <c r="D3422" t="str">
        <f t="shared" si="104"/>
        <v/>
      </c>
    </row>
    <row r="3423" spans="4:4" x14ac:dyDescent="0.3">
      <c r="D3423" t="str">
        <f t="shared" si="104"/>
        <v/>
      </c>
    </row>
    <row r="3424" spans="4:4" x14ac:dyDescent="0.3">
      <c r="D3424" t="str">
        <f t="shared" si="104"/>
        <v/>
      </c>
    </row>
    <row r="3425" spans="4:4" x14ac:dyDescent="0.3">
      <c r="D3425" t="str">
        <f t="shared" si="104"/>
        <v/>
      </c>
    </row>
    <row r="3426" spans="4:4" x14ac:dyDescent="0.3">
      <c r="D3426" t="str">
        <f t="shared" si="104"/>
        <v/>
      </c>
    </row>
    <row r="3427" spans="4:4" x14ac:dyDescent="0.3">
      <c r="D3427" t="str">
        <f t="shared" si="104"/>
        <v/>
      </c>
    </row>
    <row r="3428" spans="4:4" x14ac:dyDescent="0.3">
      <c r="D3428" t="str">
        <f t="shared" si="104"/>
        <v/>
      </c>
    </row>
    <row r="3429" spans="4:4" x14ac:dyDescent="0.3">
      <c r="D3429" t="str">
        <f t="shared" si="104"/>
        <v/>
      </c>
    </row>
    <row r="3430" spans="4:4" x14ac:dyDescent="0.3">
      <c r="D3430" t="str">
        <f t="shared" si="104"/>
        <v/>
      </c>
    </row>
    <row r="3431" spans="4:4" x14ac:dyDescent="0.3">
      <c r="D3431" t="str">
        <f t="shared" si="104"/>
        <v/>
      </c>
    </row>
    <row r="3432" spans="4:4" x14ac:dyDescent="0.3">
      <c r="D3432" t="str">
        <f t="shared" si="104"/>
        <v/>
      </c>
    </row>
    <row r="3433" spans="4:4" x14ac:dyDescent="0.3">
      <c r="D3433" t="str">
        <f t="shared" si="104"/>
        <v/>
      </c>
    </row>
    <row r="3434" spans="4:4" x14ac:dyDescent="0.3">
      <c r="D3434" t="str">
        <f t="shared" si="104"/>
        <v/>
      </c>
    </row>
    <row r="3435" spans="4:4" x14ac:dyDescent="0.3">
      <c r="D3435" t="str">
        <f t="shared" si="104"/>
        <v/>
      </c>
    </row>
    <row r="3436" spans="4:4" x14ac:dyDescent="0.3">
      <c r="D3436" t="str">
        <f t="shared" si="104"/>
        <v/>
      </c>
    </row>
    <row r="3437" spans="4:4" x14ac:dyDescent="0.3">
      <c r="D3437" t="str">
        <f t="shared" si="104"/>
        <v/>
      </c>
    </row>
    <row r="3438" spans="4:4" x14ac:dyDescent="0.3">
      <c r="D3438" t="str">
        <f t="shared" si="104"/>
        <v/>
      </c>
    </row>
    <row r="3439" spans="4:4" x14ac:dyDescent="0.3">
      <c r="D3439" t="str">
        <f t="shared" si="104"/>
        <v/>
      </c>
    </row>
    <row r="3440" spans="4:4" x14ac:dyDescent="0.3">
      <c r="D3440" t="str">
        <f t="shared" si="104"/>
        <v/>
      </c>
    </row>
    <row r="3441" spans="4:4" x14ac:dyDescent="0.3">
      <c r="D3441" t="str">
        <f t="shared" si="104"/>
        <v/>
      </c>
    </row>
    <row r="3442" spans="4:4" x14ac:dyDescent="0.3">
      <c r="D3442" t="str">
        <f t="shared" si="104"/>
        <v/>
      </c>
    </row>
    <row r="3443" spans="4:4" x14ac:dyDescent="0.3">
      <c r="D3443" t="str">
        <f t="shared" si="104"/>
        <v/>
      </c>
    </row>
    <row r="3444" spans="4:4" x14ac:dyDescent="0.3">
      <c r="D3444" t="str">
        <f t="shared" si="104"/>
        <v/>
      </c>
    </row>
    <row r="3445" spans="4:4" x14ac:dyDescent="0.3">
      <c r="D3445" t="str">
        <f t="shared" si="104"/>
        <v/>
      </c>
    </row>
    <row r="3446" spans="4:4" x14ac:dyDescent="0.3">
      <c r="D3446" t="str">
        <f t="shared" si="104"/>
        <v/>
      </c>
    </row>
    <row r="3447" spans="4:4" x14ac:dyDescent="0.3">
      <c r="D3447" t="str">
        <f t="shared" si="104"/>
        <v/>
      </c>
    </row>
    <row r="3448" spans="4:4" x14ac:dyDescent="0.3">
      <c r="D3448" t="str">
        <f t="shared" si="104"/>
        <v/>
      </c>
    </row>
    <row r="3449" spans="4:4" x14ac:dyDescent="0.3">
      <c r="D3449" t="str">
        <f t="shared" si="104"/>
        <v/>
      </c>
    </row>
    <row r="3450" spans="4:4" x14ac:dyDescent="0.3">
      <c r="D3450" t="str">
        <f t="shared" si="104"/>
        <v/>
      </c>
    </row>
    <row r="3451" spans="4:4" x14ac:dyDescent="0.3">
      <c r="D3451" t="str">
        <f t="shared" si="104"/>
        <v/>
      </c>
    </row>
    <row r="3452" spans="4:4" x14ac:dyDescent="0.3">
      <c r="D3452" t="str">
        <f t="shared" si="104"/>
        <v/>
      </c>
    </row>
    <row r="3453" spans="4:4" x14ac:dyDescent="0.3">
      <c r="D3453" t="str">
        <f t="shared" si="104"/>
        <v/>
      </c>
    </row>
    <row r="3454" spans="4:4" x14ac:dyDescent="0.3">
      <c r="D3454" t="str">
        <f t="shared" si="104"/>
        <v/>
      </c>
    </row>
    <row r="3455" spans="4:4" x14ac:dyDescent="0.3">
      <c r="D3455" t="str">
        <f t="shared" si="104"/>
        <v/>
      </c>
    </row>
    <row r="3456" spans="4:4" x14ac:dyDescent="0.3">
      <c r="D3456" t="str">
        <f t="shared" si="104"/>
        <v/>
      </c>
    </row>
    <row r="3457" spans="4:4" x14ac:dyDescent="0.3">
      <c r="D3457" t="str">
        <f t="shared" si="104"/>
        <v/>
      </c>
    </row>
    <row r="3458" spans="4:4" x14ac:dyDescent="0.3">
      <c r="D3458" t="str">
        <f t="shared" si="104"/>
        <v/>
      </c>
    </row>
    <row r="3459" spans="4:4" x14ac:dyDescent="0.3">
      <c r="D3459" t="str">
        <f t="shared" si="104"/>
        <v/>
      </c>
    </row>
    <row r="3460" spans="4:4" x14ac:dyDescent="0.3">
      <c r="D3460" t="str">
        <f t="shared" si="104"/>
        <v/>
      </c>
    </row>
    <row r="3461" spans="4:4" x14ac:dyDescent="0.3">
      <c r="D3461" t="str">
        <f t="shared" si="104"/>
        <v/>
      </c>
    </row>
    <row r="3462" spans="4:4" x14ac:dyDescent="0.3">
      <c r="D3462" t="str">
        <f t="shared" si="104"/>
        <v/>
      </c>
    </row>
    <row r="3463" spans="4:4" x14ac:dyDescent="0.3">
      <c r="D3463" t="str">
        <f t="shared" si="104"/>
        <v/>
      </c>
    </row>
    <row r="3464" spans="4:4" x14ac:dyDescent="0.3">
      <c r="D3464" t="str">
        <f t="shared" si="104"/>
        <v/>
      </c>
    </row>
    <row r="3465" spans="4:4" x14ac:dyDescent="0.3">
      <c r="D3465" t="str">
        <f t="shared" ref="D3465:D3528" si="105">IF(LEFT(A3465,2)="SP",MID(A3465,4,4),IF(LEFT(A3465,1)="X",MID(A3465,3,4),""))</f>
        <v/>
      </c>
    </row>
    <row r="3466" spans="4:4" x14ac:dyDescent="0.3">
      <c r="D3466" t="str">
        <f t="shared" si="105"/>
        <v/>
      </c>
    </row>
    <row r="3467" spans="4:4" x14ac:dyDescent="0.3">
      <c r="D3467" t="str">
        <f t="shared" si="105"/>
        <v/>
      </c>
    </row>
    <row r="3468" spans="4:4" x14ac:dyDescent="0.3">
      <c r="D3468" t="str">
        <f t="shared" si="105"/>
        <v/>
      </c>
    </row>
    <row r="3469" spans="4:4" x14ac:dyDescent="0.3">
      <c r="D3469" t="str">
        <f t="shared" si="105"/>
        <v/>
      </c>
    </row>
    <row r="3470" spans="4:4" x14ac:dyDescent="0.3">
      <c r="D3470" t="str">
        <f t="shared" si="105"/>
        <v/>
      </c>
    </row>
    <row r="3471" spans="4:4" x14ac:dyDescent="0.3">
      <c r="D3471" t="str">
        <f t="shared" si="105"/>
        <v/>
      </c>
    </row>
    <row r="3472" spans="4:4" x14ac:dyDescent="0.3">
      <c r="D3472" t="str">
        <f t="shared" si="105"/>
        <v/>
      </c>
    </row>
    <row r="3473" spans="4:4" x14ac:dyDescent="0.3">
      <c r="D3473" t="str">
        <f t="shared" si="105"/>
        <v/>
      </c>
    </row>
    <row r="3474" spans="4:4" x14ac:dyDescent="0.3">
      <c r="D3474" t="str">
        <f t="shared" si="105"/>
        <v/>
      </c>
    </row>
    <row r="3475" spans="4:4" x14ac:dyDescent="0.3">
      <c r="D3475" t="str">
        <f t="shared" si="105"/>
        <v/>
      </c>
    </row>
    <row r="3476" spans="4:4" x14ac:dyDescent="0.3">
      <c r="D3476" t="str">
        <f t="shared" si="105"/>
        <v/>
      </c>
    </row>
    <row r="3477" spans="4:4" x14ac:dyDescent="0.3">
      <c r="D3477" t="str">
        <f t="shared" si="105"/>
        <v/>
      </c>
    </row>
    <row r="3478" spans="4:4" x14ac:dyDescent="0.3">
      <c r="D3478" t="str">
        <f t="shared" si="105"/>
        <v/>
      </c>
    </row>
    <row r="3479" spans="4:4" x14ac:dyDescent="0.3">
      <c r="D3479" t="str">
        <f t="shared" si="105"/>
        <v/>
      </c>
    </row>
    <row r="3480" spans="4:4" x14ac:dyDescent="0.3">
      <c r="D3480" t="str">
        <f t="shared" si="105"/>
        <v/>
      </c>
    </row>
    <row r="3481" spans="4:4" x14ac:dyDescent="0.3">
      <c r="D3481" t="str">
        <f t="shared" si="105"/>
        <v/>
      </c>
    </row>
    <row r="3482" spans="4:4" x14ac:dyDescent="0.3">
      <c r="D3482" t="str">
        <f t="shared" si="105"/>
        <v/>
      </c>
    </row>
    <row r="3483" spans="4:4" x14ac:dyDescent="0.3">
      <c r="D3483" t="str">
        <f t="shared" si="105"/>
        <v/>
      </c>
    </row>
    <row r="3484" spans="4:4" x14ac:dyDescent="0.3">
      <c r="D3484" t="str">
        <f t="shared" si="105"/>
        <v/>
      </c>
    </row>
    <row r="3485" spans="4:4" x14ac:dyDescent="0.3">
      <c r="D3485" t="str">
        <f t="shared" si="105"/>
        <v/>
      </c>
    </row>
    <row r="3486" spans="4:4" x14ac:dyDescent="0.3">
      <c r="D3486" t="str">
        <f t="shared" si="105"/>
        <v/>
      </c>
    </row>
    <row r="3487" spans="4:4" x14ac:dyDescent="0.3">
      <c r="D3487" t="str">
        <f t="shared" si="105"/>
        <v/>
      </c>
    </row>
    <row r="3488" spans="4:4" x14ac:dyDescent="0.3">
      <c r="D3488" t="str">
        <f t="shared" si="105"/>
        <v/>
      </c>
    </row>
    <row r="3489" spans="4:4" x14ac:dyDescent="0.3">
      <c r="D3489" t="str">
        <f t="shared" si="105"/>
        <v/>
      </c>
    </row>
    <row r="3490" spans="4:4" x14ac:dyDescent="0.3">
      <c r="D3490" t="str">
        <f t="shared" si="105"/>
        <v/>
      </c>
    </row>
    <row r="3491" spans="4:4" x14ac:dyDescent="0.3">
      <c r="D3491" t="str">
        <f t="shared" si="105"/>
        <v/>
      </c>
    </row>
    <row r="3492" spans="4:4" x14ac:dyDescent="0.3">
      <c r="D3492" t="str">
        <f t="shared" si="105"/>
        <v/>
      </c>
    </row>
    <row r="3493" spans="4:4" x14ac:dyDescent="0.3">
      <c r="D3493" t="str">
        <f t="shared" si="105"/>
        <v/>
      </c>
    </row>
    <row r="3494" spans="4:4" x14ac:dyDescent="0.3">
      <c r="D3494" t="str">
        <f t="shared" si="105"/>
        <v/>
      </c>
    </row>
    <row r="3495" spans="4:4" x14ac:dyDescent="0.3">
      <c r="D3495" t="str">
        <f t="shared" si="105"/>
        <v/>
      </c>
    </row>
    <row r="3496" spans="4:4" x14ac:dyDescent="0.3">
      <c r="D3496" t="str">
        <f t="shared" si="105"/>
        <v/>
      </c>
    </row>
    <row r="3497" spans="4:4" x14ac:dyDescent="0.3">
      <c r="D3497" t="str">
        <f t="shared" si="105"/>
        <v/>
      </c>
    </row>
    <row r="3498" spans="4:4" x14ac:dyDescent="0.3">
      <c r="D3498" t="str">
        <f t="shared" si="105"/>
        <v/>
      </c>
    </row>
    <row r="3499" spans="4:4" x14ac:dyDescent="0.3">
      <c r="D3499" t="str">
        <f t="shared" si="105"/>
        <v/>
      </c>
    </row>
    <row r="3500" spans="4:4" x14ac:dyDescent="0.3">
      <c r="D3500" t="str">
        <f t="shared" si="105"/>
        <v/>
      </c>
    </row>
    <row r="3501" spans="4:4" x14ac:dyDescent="0.3">
      <c r="D3501" t="str">
        <f t="shared" si="105"/>
        <v/>
      </c>
    </row>
    <row r="3502" spans="4:4" x14ac:dyDescent="0.3">
      <c r="D3502" t="str">
        <f t="shared" si="105"/>
        <v/>
      </c>
    </row>
    <row r="3503" spans="4:4" x14ac:dyDescent="0.3">
      <c r="D3503" t="str">
        <f t="shared" si="105"/>
        <v/>
      </c>
    </row>
    <row r="3504" spans="4:4" x14ac:dyDescent="0.3">
      <c r="D3504" t="str">
        <f t="shared" si="105"/>
        <v/>
      </c>
    </row>
    <row r="3505" spans="4:4" x14ac:dyDescent="0.3">
      <c r="D3505" t="str">
        <f t="shared" si="105"/>
        <v/>
      </c>
    </row>
    <row r="3506" spans="4:4" x14ac:dyDescent="0.3">
      <c r="D3506" t="str">
        <f t="shared" si="105"/>
        <v/>
      </c>
    </row>
    <row r="3507" spans="4:4" x14ac:dyDescent="0.3">
      <c r="D3507" t="str">
        <f t="shared" si="105"/>
        <v/>
      </c>
    </row>
    <row r="3508" spans="4:4" x14ac:dyDescent="0.3">
      <c r="D3508" t="str">
        <f t="shared" si="105"/>
        <v/>
      </c>
    </row>
    <row r="3509" spans="4:4" x14ac:dyDescent="0.3">
      <c r="D3509" t="str">
        <f t="shared" si="105"/>
        <v/>
      </c>
    </row>
    <row r="3510" spans="4:4" x14ac:dyDescent="0.3">
      <c r="D3510" t="str">
        <f t="shared" si="105"/>
        <v/>
      </c>
    </row>
    <row r="3511" spans="4:4" x14ac:dyDescent="0.3">
      <c r="D3511" t="str">
        <f t="shared" si="105"/>
        <v/>
      </c>
    </row>
    <row r="3512" spans="4:4" x14ac:dyDescent="0.3">
      <c r="D3512" t="str">
        <f t="shared" si="105"/>
        <v/>
      </c>
    </row>
    <row r="3513" spans="4:4" x14ac:dyDescent="0.3">
      <c r="D3513" t="str">
        <f t="shared" si="105"/>
        <v/>
      </c>
    </row>
    <row r="3514" spans="4:4" x14ac:dyDescent="0.3">
      <c r="D3514" t="str">
        <f t="shared" si="105"/>
        <v/>
      </c>
    </row>
    <row r="3515" spans="4:4" x14ac:dyDescent="0.3">
      <c r="D3515" t="str">
        <f t="shared" si="105"/>
        <v/>
      </c>
    </row>
    <row r="3516" spans="4:4" x14ac:dyDescent="0.3">
      <c r="D3516" t="str">
        <f t="shared" si="105"/>
        <v/>
      </c>
    </row>
    <row r="3517" spans="4:4" x14ac:dyDescent="0.3">
      <c r="D3517" t="str">
        <f t="shared" si="105"/>
        <v/>
      </c>
    </row>
    <row r="3518" spans="4:4" x14ac:dyDescent="0.3">
      <c r="D3518" t="str">
        <f t="shared" si="105"/>
        <v/>
      </c>
    </row>
    <row r="3519" spans="4:4" x14ac:dyDescent="0.3">
      <c r="D3519" t="str">
        <f t="shared" si="105"/>
        <v/>
      </c>
    </row>
    <row r="3520" spans="4:4" x14ac:dyDescent="0.3">
      <c r="D3520" t="str">
        <f t="shared" si="105"/>
        <v/>
      </c>
    </row>
    <row r="3521" spans="4:4" x14ac:dyDescent="0.3">
      <c r="D3521" t="str">
        <f t="shared" si="105"/>
        <v/>
      </c>
    </row>
    <row r="3522" spans="4:4" x14ac:dyDescent="0.3">
      <c r="D3522" t="str">
        <f t="shared" si="105"/>
        <v/>
      </c>
    </row>
    <row r="3523" spans="4:4" x14ac:dyDescent="0.3">
      <c r="D3523" t="str">
        <f t="shared" si="105"/>
        <v/>
      </c>
    </row>
    <row r="3524" spans="4:4" x14ac:dyDescent="0.3">
      <c r="D3524" t="str">
        <f t="shared" si="105"/>
        <v/>
      </c>
    </row>
    <row r="3525" spans="4:4" x14ac:dyDescent="0.3">
      <c r="D3525" t="str">
        <f t="shared" si="105"/>
        <v/>
      </c>
    </row>
    <row r="3526" spans="4:4" x14ac:dyDescent="0.3">
      <c r="D3526" t="str">
        <f t="shared" si="105"/>
        <v/>
      </c>
    </row>
    <row r="3527" spans="4:4" x14ac:dyDescent="0.3">
      <c r="D3527" t="str">
        <f t="shared" si="105"/>
        <v/>
      </c>
    </row>
    <row r="3528" spans="4:4" x14ac:dyDescent="0.3">
      <c r="D3528" t="str">
        <f t="shared" si="105"/>
        <v/>
      </c>
    </row>
    <row r="3529" spans="4:4" x14ac:dyDescent="0.3">
      <c r="D3529" t="str">
        <f t="shared" ref="D3529:D3592" si="106">IF(LEFT(A3529,2)="SP",MID(A3529,4,4),IF(LEFT(A3529,1)="X",MID(A3529,3,4),""))</f>
        <v/>
      </c>
    </row>
    <row r="3530" spans="4:4" x14ac:dyDescent="0.3">
      <c r="D3530" t="str">
        <f t="shared" si="106"/>
        <v/>
      </c>
    </row>
    <row r="3531" spans="4:4" x14ac:dyDescent="0.3">
      <c r="D3531" t="str">
        <f t="shared" si="106"/>
        <v/>
      </c>
    </row>
    <row r="3532" spans="4:4" x14ac:dyDescent="0.3">
      <c r="D3532" t="str">
        <f t="shared" si="106"/>
        <v/>
      </c>
    </row>
    <row r="3533" spans="4:4" x14ac:dyDescent="0.3">
      <c r="D3533" t="str">
        <f t="shared" si="106"/>
        <v/>
      </c>
    </row>
    <row r="3534" spans="4:4" x14ac:dyDescent="0.3">
      <c r="D3534" t="str">
        <f t="shared" si="106"/>
        <v/>
      </c>
    </row>
    <row r="3535" spans="4:4" x14ac:dyDescent="0.3">
      <c r="D3535" t="str">
        <f t="shared" si="106"/>
        <v/>
      </c>
    </row>
    <row r="3536" spans="4:4" x14ac:dyDescent="0.3">
      <c r="D3536" t="str">
        <f t="shared" si="106"/>
        <v/>
      </c>
    </row>
    <row r="3537" spans="4:4" x14ac:dyDescent="0.3">
      <c r="D3537" t="str">
        <f t="shared" si="106"/>
        <v/>
      </c>
    </row>
    <row r="3538" spans="4:4" x14ac:dyDescent="0.3">
      <c r="D3538" t="str">
        <f t="shared" si="106"/>
        <v/>
      </c>
    </row>
    <row r="3539" spans="4:4" x14ac:dyDescent="0.3">
      <c r="D3539" t="str">
        <f t="shared" si="106"/>
        <v/>
      </c>
    </row>
    <row r="3540" spans="4:4" x14ac:dyDescent="0.3">
      <c r="D3540" t="str">
        <f t="shared" si="106"/>
        <v/>
      </c>
    </row>
    <row r="3541" spans="4:4" x14ac:dyDescent="0.3">
      <c r="D3541" t="str">
        <f t="shared" si="106"/>
        <v/>
      </c>
    </row>
    <row r="3542" spans="4:4" x14ac:dyDescent="0.3">
      <c r="D3542" t="str">
        <f t="shared" si="106"/>
        <v/>
      </c>
    </row>
    <row r="3543" spans="4:4" x14ac:dyDescent="0.3">
      <c r="D3543" t="str">
        <f t="shared" si="106"/>
        <v/>
      </c>
    </row>
    <row r="3544" spans="4:4" x14ac:dyDescent="0.3">
      <c r="D3544" t="str">
        <f t="shared" si="106"/>
        <v/>
      </c>
    </row>
    <row r="3545" spans="4:4" x14ac:dyDescent="0.3">
      <c r="D3545" t="str">
        <f t="shared" si="106"/>
        <v/>
      </c>
    </row>
    <row r="3546" spans="4:4" x14ac:dyDescent="0.3">
      <c r="D3546" t="str">
        <f t="shared" si="106"/>
        <v/>
      </c>
    </row>
    <row r="3547" spans="4:4" x14ac:dyDescent="0.3">
      <c r="D3547" t="str">
        <f t="shared" si="106"/>
        <v/>
      </c>
    </row>
    <row r="3548" spans="4:4" x14ac:dyDescent="0.3">
      <c r="D3548" t="str">
        <f t="shared" si="106"/>
        <v/>
      </c>
    </row>
    <row r="3549" spans="4:4" x14ac:dyDescent="0.3">
      <c r="D3549" t="str">
        <f t="shared" si="106"/>
        <v/>
      </c>
    </row>
    <row r="3550" spans="4:4" x14ac:dyDescent="0.3">
      <c r="D3550" t="str">
        <f t="shared" si="106"/>
        <v/>
      </c>
    </row>
    <row r="3551" spans="4:4" x14ac:dyDescent="0.3">
      <c r="D3551" t="str">
        <f t="shared" si="106"/>
        <v/>
      </c>
    </row>
    <row r="3552" spans="4:4" x14ac:dyDescent="0.3">
      <c r="D3552" t="str">
        <f t="shared" si="106"/>
        <v/>
      </c>
    </row>
    <row r="3553" spans="4:4" x14ac:dyDescent="0.3">
      <c r="D3553" t="str">
        <f t="shared" si="106"/>
        <v/>
      </c>
    </row>
    <row r="3554" spans="4:4" x14ac:dyDescent="0.3">
      <c r="D3554" t="str">
        <f t="shared" si="106"/>
        <v/>
      </c>
    </row>
    <row r="3555" spans="4:4" x14ac:dyDescent="0.3">
      <c r="D3555" t="str">
        <f t="shared" si="106"/>
        <v/>
      </c>
    </row>
    <row r="3556" spans="4:4" x14ac:dyDescent="0.3">
      <c r="D3556" t="str">
        <f t="shared" si="106"/>
        <v/>
      </c>
    </row>
    <row r="3557" spans="4:4" x14ac:dyDescent="0.3">
      <c r="D3557" t="str">
        <f t="shared" si="106"/>
        <v/>
      </c>
    </row>
    <row r="3558" spans="4:4" x14ac:dyDescent="0.3">
      <c r="D3558" t="str">
        <f t="shared" si="106"/>
        <v/>
      </c>
    </row>
    <row r="3559" spans="4:4" x14ac:dyDescent="0.3">
      <c r="D3559" t="str">
        <f t="shared" si="106"/>
        <v/>
      </c>
    </row>
    <row r="3560" spans="4:4" x14ac:dyDescent="0.3">
      <c r="D3560" t="str">
        <f t="shared" si="106"/>
        <v/>
      </c>
    </row>
    <row r="3561" spans="4:4" x14ac:dyDescent="0.3">
      <c r="D3561" t="str">
        <f t="shared" si="106"/>
        <v/>
      </c>
    </row>
    <row r="3562" spans="4:4" x14ac:dyDescent="0.3">
      <c r="D3562" t="str">
        <f t="shared" si="106"/>
        <v/>
      </c>
    </row>
    <row r="3563" spans="4:4" x14ac:dyDescent="0.3">
      <c r="D3563" t="str">
        <f t="shared" si="106"/>
        <v/>
      </c>
    </row>
    <row r="3564" spans="4:4" x14ac:dyDescent="0.3">
      <c r="D3564" t="str">
        <f t="shared" si="106"/>
        <v/>
      </c>
    </row>
    <row r="3565" spans="4:4" x14ac:dyDescent="0.3">
      <c r="D3565" t="str">
        <f t="shared" si="106"/>
        <v/>
      </c>
    </row>
    <row r="3566" spans="4:4" x14ac:dyDescent="0.3">
      <c r="D3566" t="str">
        <f t="shared" si="106"/>
        <v/>
      </c>
    </row>
    <row r="3567" spans="4:4" x14ac:dyDescent="0.3">
      <c r="D3567" t="str">
        <f t="shared" si="106"/>
        <v/>
      </c>
    </row>
    <row r="3568" spans="4:4" x14ac:dyDescent="0.3">
      <c r="D3568" t="str">
        <f t="shared" si="106"/>
        <v/>
      </c>
    </row>
    <row r="3569" spans="4:4" x14ac:dyDescent="0.3">
      <c r="D3569" t="str">
        <f t="shared" si="106"/>
        <v/>
      </c>
    </row>
    <row r="3570" spans="4:4" x14ac:dyDescent="0.3">
      <c r="D3570" t="str">
        <f t="shared" si="106"/>
        <v/>
      </c>
    </row>
    <row r="3571" spans="4:4" x14ac:dyDescent="0.3">
      <c r="D3571" t="str">
        <f t="shared" si="106"/>
        <v/>
      </c>
    </row>
    <row r="3572" spans="4:4" x14ac:dyDescent="0.3">
      <c r="D3572" t="str">
        <f t="shared" si="106"/>
        <v/>
      </c>
    </row>
    <row r="3573" spans="4:4" x14ac:dyDescent="0.3">
      <c r="D3573" t="str">
        <f t="shared" si="106"/>
        <v/>
      </c>
    </row>
    <row r="3574" spans="4:4" x14ac:dyDescent="0.3">
      <c r="D3574" t="str">
        <f t="shared" si="106"/>
        <v/>
      </c>
    </row>
    <row r="3575" spans="4:4" x14ac:dyDescent="0.3">
      <c r="D3575" t="str">
        <f t="shared" si="106"/>
        <v/>
      </c>
    </row>
    <row r="3576" spans="4:4" x14ac:dyDescent="0.3">
      <c r="D3576" t="str">
        <f t="shared" si="106"/>
        <v/>
      </c>
    </row>
    <row r="3577" spans="4:4" x14ac:dyDescent="0.3">
      <c r="D3577" t="str">
        <f t="shared" si="106"/>
        <v/>
      </c>
    </row>
    <row r="3578" spans="4:4" x14ac:dyDescent="0.3">
      <c r="D3578" t="str">
        <f t="shared" si="106"/>
        <v/>
      </c>
    </row>
    <row r="3579" spans="4:4" x14ac:dyDescent="0.3">
      <c r="D3579" t="str">
        <f t="shared" si="106"/>
        <v/>
      </c>
    </row>
    <row r="3580" spans="4:4" x14ac:dyDescent="0.3">
      <c r="D3580" t="str">
        <f t="shared" si="106"/>
        <v/>
      </c>
    </row>
    <row r="3581" spans="4:4" x14ac:dyDescent="0.3">
      <c r="D3581" t="str">
        <f t="shared" si="106"/>
        <v/>
      </c>
    </row>
    <row r="3582" spans="4:4" x14ac:dyDescent="0.3">
      <c r="D3582" t="str">
        <f t="shared" si="106"/>
        <v/>
      </c>
    </row>
    <row r="3583" spans="4:4" x14ac:dyDescent="0.3">
      <c r="D3583" t="str">
        <f t="shared" si="106"/>
        <v/>
      </c>
    </row>
    <row r="3584" spans="4:4" x14ac:dyDescent="0.3">
      <c r="D3584" t="str">
        <f t="shared" si="106"/>
        <v/>
      </c>
    </row>
    <row r="3585" spans="4:4" x14ac:dyDescent="0.3">
      <c r="D3585" t="str">
        <f t="shared" si="106"/>
        <v/>
      </c>
    </row>
    <row r="3586" spans="4:4" x14ac:dyDescent="0.3">
      <c r="D3586" t="str">
        <f t="shared" si="106"/>
        <v/>
      </c>
    </row>
    <row r="3587" spans="4:4" x14ac:dyDescent="0.3">
      <c r="D3587" t="str">
        <f t="shared" si="106"/>
        <v/>
      </c>
    </row>
    <row r="3588" spans="4:4" x14ac:dyDescent="0.3">
      <c r="D3588" t="str">
        <f t="shared" si="106"/>
        <v/>
      </c>
    </row>
    <row r="3589" spans="4:4" x14ac:dyDescent="0.3">
      <c r="D3589" t="str">
        <f t="shared" si="106"/>
        <v/>
      </c>
    </row>
    <row r="3590" spans="4:4" x14ac:dyDescent="0.3">
      <c r="D3590" t="str">
        <f t="shared" si="106"/>
        <v/>
      </c>
    </row>
    <row r="3591" spans="4:4" x14ac:dyDescent="0.3">
      <c r="D3591" t="str">
        <f t="shared" si="106"/>
        <v/>
      </c>
    </row>
    <row r="3592" spans="4:4" x14ac:dyDescent="0.3">
      <c r="D3592" t="str">
        <f t="shared" si="106"/>
        <v/>
      </c>
    </row>
    <row r="3593" spans="4:4" x14ac:dyDescent="0.3">
      <c r="D3593" t="str">
        <f t="shared" ref="D3593:D3656" si="107">IF(LEFT(A3593,2)="SP",MID(A3593,4,4),IF(LEFT(A3593,1)="X",MID(A3593,3,4),""))</f>
        <v/>
      </c>
    </row>
    <row r="3594" spans="4:4" x14ac:dyDescent="0.3">
      <c r="D3594" t="str">
        <f t="shared" si="107"/>
        <v/>
      </c>
    </row>
    <row r="3595" spans="4:4" x14ac:dyDescent="0.3">
      <c r="D3595" t="str">
        <f t="shared" si="107"/>
        <v/>
      </c>
    </row>
    <row r="3596" spans="4:4" x14ac:dyDescent="0.3">
      <c r="D3596" t="str">
        <f t="shared" si="107"/>
        <v/>
      </c>
    </row>
    <row r="3597" spans="4:4" x14ac:dyDescent="0.3">
      <c r="D3597" t="str">
        <f t="shared" si="107"/>
        <v/>
      </c>
    </row>
    <row r="3598" spans="4:4" x14ac:dyDescent="0.3">
      <c r="D3598" t="str">
        <f t="shared" si="107"/>
        <v/>
      </c>
    </row>
    <row r="3599" spans="4:4" x14ac:dyDescent="0.3">
      <c r="D3599" t="str">
        <f t="shared" si="107"/>
        <v/>
      </c>
    </row>
    <row r="3600" spans="4:4" x14ac:dyDescent="0.3">
      <c r="D3600" t="str">
        <f t="shared" si="107"/>
        <v/>
      </c>
    </row>
    <row r="3601" spans="4:4" x14ac:dyDescent="0.3">
      <c r="D3601" t="str">
        <f t="shared" si="107"/>
        <v/>
      </c>
    </row>
    <row r="3602" spans="4:4" x14ac:dyDescent="0.3">
      <c r="D3602" t="str">
        <f t="shared" si="107"/>
        <v/>
      </c>
    </row>
    <row r="3603" spans="4:4" x14ac:dyDescent="0.3">
      <c r="D3603" t="str">
        <f t="shared" si="107"/>
        <v/>
      </c>
    </row>
    <row r="3604" spans="4:4" x14ac:dyDescent="0.3">
      <c r="D3604" t="str">
        <f t="shared" si="107"/>
        <v/>
      </c>
    </row>
    <row r="3605" spans="4:4" x14ac:dyDescent="0.3">
      <c r="D3605" t="str">
        <f t="shared" si="107"/>
        <v/>
      </c>
    </row>
    <row r="3606" spans="4:4" x14ac:dyDescent="0.3">
      <c r="D3606" t="str">
        <f t="shared" si="107"/>
        <v/>
      </c>
    </row>
    <row r="3607" spans="4:4" x14ac:dyDescent="0.3">
      <c r="D3607" t="str">
        <f t="shared" si="107"/>
        <v/>
      </c>
    </row>
    <row r="3608" spans="4:4" x14ac:dyDescent="0.3">
      <c r="D3608" t="str">
        <f t="shared" si="107"/>
        <v/>
      </c>
    </row>
    <row r="3609" spans="4:4" x14ac:dyDescent="0.3">
      <c r="D3609" t="str">
        <f t="shared" si="107"/>
        <v/>
      </c>
    </row>
    <row r="3610" spans="4:4" x14ac:dyDescent="0.3">
      <c r="D3610" t="str">
        <f t="shared" si="107"/>
        <v/>
      </c>
    </row>
    <row r="3611" spans="4:4" x14ac:dyDescent="0.3">
      <c r="D3611" t="str">
        <f t="shared" si="107"/>
        <v/>
      </c>
    </row>
    <row r="3612" spans="4:4" x14ac:dyDescent="0.3">
      <c r="D3612" t="str">
        <f t="shared" si="107"/>
        <v/>
      </c>
    </row>
    <row r="3613" spans="4:4" x14ac:dyDescent="0.3">
      <c r="D3613" t="str">
        <f t="shared" si="107"/>
        <v/>
      </c>
    </row>
    <row r="3614" spans="4:4" x14ac:dyDescent="0.3">
      <c r="D3614" t="str">
        <f t="shared" si="107"/>
        <v/>
      </c>
    </row>
    <row r="3615" spans="4:4" x14ac:dyDescent="0.3">
      <c r="D3615" t="str">
        <f t="shared" si="107"/>
        <v/>
      </c>
    </row>
    <row r="3616" spans="4:4" x14ac:dyDescent="0.3">
      <c r="D3616" t="str">
        <f t="shared" si="107"/>
        <v/>
      </c>
    </row>
    <row r="3617" spans="4:4" x14ac:dyDescent="0.3">
      <c r="D3617" t="str">
        <f t="shared" si="107"/>
        <v/>
      </c>
    </row>
    <row r="3618" spans="4:4" x14ac:dyDescent="0.3">
      <c r="D3618" t="str">
        <f t="shared" si="107"/>
        <v/>
      </c>
    </row>
    <row r="3619" spans="4:4" x14ac:dyDescent="0.3">
      <c r="D3619" t="str">
        <f t="shared" si="107"/>
        <v/>
      </c>
    </row>
    <row r="3620" spans="4:4" x14ac:dyDescent="0.3">
      <c r="D3620" t="str">
        <f t="shared" si="107"/>
        <v/>
      </c>
    </row>
    <row r="3621" spans="4:4" x14ac:dyDescent="0.3">
      <c r="D3621" t="str">
        <f t="shared" si="107"/>
        <v/>
      </c>
    </row>
    <row r="3622" spans="4:4" x14ac:dyDescent="0.3">
      <c r="D3622" t="str">
        <f t="shared" si="107"/>
        <v/>
      </c>
    </row>
    <row r="3623" spans="4:4" x14ac:dyDescent="0.3">
      <c r="D3623" t="str">
        <f t="shared" si="107"/>
        <v/>
      </c>
    </row>
    <row r="3624" spans="4:4" x14ac:dyDescent="0.3">
      <c r="D3624" t="str">
        <f t="shared" si="107"/>
        <v/>
      </c>
    </row>
    <row r="3625" spans="4:4" x14ac:dyDescent="0.3">
      <c r="D3625" t="str">
        <f t="shared" si="107"/>
        <v/>
      </c>
    </row>
    <row r="3626" spans="4:4" x14ac:dyDescent="0.3">
      <c r="D3626" t="str">
        <f t="shared" si="107"/>
        <v/>
      </c>
    </row>
    <row r="3627" spans="4:4" x14ac:dyDescent="0.3">
      <c r="D3627" t="str">
        <f t="shared" si="107"/>
        <v/>
      </c>
    </row>
    <row r="3628" spans="4:4" x14ac:dyDescent="0.3">
      <c r="D3628" t="str">
        <f t="shared" si="107"/>
        <v/>
      </c>
    </row>
    <row r="3629" spans="4:4" x14ac:dyDescent="0.3">
      <c r="D3629" t="str">
        <f t="shared" si="107"/>
        <v/>
      </c>
    </row>
    <row r="3630" spans="4:4" x14ac:dyDescent="0.3">
      <c r="D3630" t="str">
        <f t="shared" si="107"/>
        <v/>
      </c>
    </row>
    <row r="3631" spans="4:4" x14ac:dyDescent="0.3">
      <c r="D3631" t="str">
        <f t="shared" si="107"/>
        <v/>
      </c>
    </row>
    <row r="3632" spans="4:4" x14ac:dyDescent="0.3">
      <c r="D3632" t="str">
        <f t="shared" si="107"/>
        <v/>
      </c>
    </row>
    <row r="3633" spans="4:4" x14ac:dyDescent="0.3">
      <c r="D3633" t="str">
        <f t="shared" si="107"/>
        <v/>
      </c>
    </row>
    <row r="3634" spans="4:4" x14ac:dyDescent="0.3">
      <c r="D3634" t="str">
        <f t="shared" si="107"/>
        <v/>
      </c>
    </row>
    <row r="3635" spans="4:4" x14ac:dyDescent="0.3">
      <c r="D3635" t="str">
        <f t="shared" si="107"/>
        <v/>
      </c>
    </row>
    <row r="3636" spans="4:4" x14ac:dyDescent="0.3">
      <c r="D3636" t="str">
        <f t="shared" si="107"/>
        <v/>
      </c>
    </row>
    <row r="3637" spans="4:4" x14ac:dyDescent="0.3">
      <c r="D3637" t="str">
        <f t="shared" si="107"/>
        <v/>
      </c>
    </row>
    <row r="3638" spans="4:4" x14ac:dyDescent="0.3">
      <c r="D3638" t="str">
        <f t="shared" si="107"/>
        <v/>
      </c>
    </row>
    <row r="3639" spans="4:4" x14ac:dyDescent="0.3">
      <c r="D3639" t="str">
        <f t="shared" si="107"/>
        <v/>
      </c>
    </row>
    <row r="3640" spans="4:4" x14ac:dyDescent="0.3">
      <c r="D3640" t="str">
        <f t="shared" si="107"/>
        <v/>
      </c>
    </row>
    <row r="3641" spans="4:4" x14ac:dyDescent="0.3">
      <c r="D3641" t="str">
        <f t="shared" si="107"/>
        <v/>
      </c>
    </row>
    <row r="3642" spans="4:4" x14ac:dyDescent="0.3">
      <c r="D3642" t="str">
        <f t="shared" si="107"/>
        <v/>
      </c>
    </row>
    <row r="3643" spans="4:4" x14ac:dyDescent="0.3">
      <c r="D3643" t="str">
        <f t="shared" si="107"/>
        <v/>
      </c>
    </row>
    <row r="3644" spans="4:4" x14ac:dyDescent="0.3">
      <c r="D3644" t="str">
        <f t="shared" si="107"/>
        <v/>
      </c>
    </row>
    <row r="3645" spans="4:4" x14ac:dyDescent="0.3">
      <c r="D3645" t="str">
        <f t="shared" si="107"/>
        <v/>
      </c>
    </row>
    <row r="3646" spans="4:4" x14ac:dyDescent="0.3">
      <c r="D3646" t="str">
        <f t="shared" si="107"/>
        <v/>
      </c>
    </row>
    <row r="3647" spans="4:4" x14ac:dyDescent="0.3">
      <c r="D3647" t="str">
        <f t="shared" si="107"/>
        <v/>
      </c>
    </row>
    <row r="3648" spans="4:4" x14ac:dyDescent="0.3">
      <c r="D3648" t="str">
        <f t="shared" si="107"/>
        <v/>
      </c>
    </row>
    <row r="3649" spans="4:4" x14ac:dyDescent="0.3">
      <c r="D3649" t="str">
        <f t="shared" si="107"/>
        <v/>
      </c>
    </row>
    <row r="3650" spans="4:4" x14ac:dyDescent="0.3">
      <c r="D3650" t="str">
        <f t="shared" si="107"/>
        <v/>
      </c>
    </row>
    <row r="3651" spans="4:4" x14ac:dyDescent="0.3">
      <c r="D3651" t="str">
        <f t="shared" si="107"/>
        <v/>
      </c>
    </row>
    <row r="3652" spans="4:4" x14ac:dyDescent="0.3">
      <c r="D3652" t="str">
        <f t="shared" si="107"/>
        <v/>
      </c>
    </row>
    <row r="3653" spans="4:4" x14ac:dyDescent="0.3">
      <c r="D3653" t="str">
        <f t="shared" si="107"/>
        <v/>
      </c>
    </row>
    <row r="3654" spans="4:4" x14ac:dyDescent="0.3">
      <c r="D3654" t="str">
        <f t="shared" si="107"/>
        <v/>
      </c>
    </row>
    <row r="3655" spans="4:4" x14ac:dyDescent="0.3">
      <c r="D3655" t="str">
        <f t="shared" si="107"/>
        <v/>
      </c>
    </row>
    <row r="3656" spans="4:4" x14ac:dyDescent="0.3">
      <c r="D3656" t="str">
        <f t="shared" si="107"/>
        <v/>
      </c>
    </row>
    <row r="3657" spans="4:4" x14ac:dyDescent="0.3">
      <c r="D3657" t="str">
        <f t="shared" ref="D3657:D3720" si="108">IF(LEFT(A3657,2)="SP",MID(A3657,4,4),IF(LEFT(A3657,1)="X",MID(A3657,3,4),""))</f>
        <v/>
      </c>
    </row>
    <row r="3658" spans="4:4" x14ac:dyDescent="0.3">
      <c r="D3658" t="str">
        <f t="shared" si="108"/>
        <v/>
      </c>
    </row>
    <row r="3659" spans="4:4" x14ac:dyDescent="0.3">
      <c r="D3659" t="str">
        <f t="shared" si="108"/>
        <v/>
      </c>
    </row>
    <row r="3660" spans="4:4" x14ac:dyDescent="0.3">
      <c r="D3660" t="str">
        <f t="shared" si="108"/>
        <v/>
      </c>
    </row>
    <row r="3661" spans="4:4" x14ac:dyDescent="0.3">
      <c r="D3661" t="str">
        <f t="shared" si="108"/>
        <v/>
      </c>
    </row>
    <row r="3662" spans="4:4" x14ac:dyDescent="0.3">
      <c r="D3662" t="str">
        <f t="shared" si="108"/>
        <v/>
      </c>
    </row>
    <row r="3663" spans="4:4" x14ac:dyDescent="0.3">
      <c r="D3663" t="str">
        <f t="shared" si="108"/>
        <v/>
      </c>
    </row>
    <row r="3664" spans="4:4" x14ac:dyDescent="0.3">
      <c r="D3664" t="str">
        <f t="shared" si="108"/>
        <v/>
      </c>
    </row>
    <row r="3665" spans="4:4" x14ac:dyDescent="0.3">
      <c r="D3665" t="str">
        <f t="shared" si="108"/>
        <v/>
      </c>
    </row>
    <row r="3666" spans="4:4" x14ac:dyDescent="0.3">
      <c r="D3666" t="str">
        <f t="shared" si="108"/>
        <v/>
      </c>
    </row>
    <row r="3667" spans="4:4" x14ac:dyDescent="0.3">
      <c r="D3667" t="str">
        <f t="shared" si="108"/>
        <v/>
      </c>
    </row>
    <row r="3668" spans="4:4" x14ac:dyDescent="0.3">
      <c r="D3668" t="str">
        <f t="shared" si="108"/>
        <v/>
      </c>
    </row>
    <row r="3669" spans="4:4" x14ac:dyDescent="0.3">
      <c r="D3669" t="str">
        <f t="shared" si="108"/>
        <v/>
      </c>
    </row>
    <row r="3670" spans="4:4" x14ac:dyDescent="0.3">
      <c r="D3670" t="str">
        <f t="shared" si="108"/>
        <v/>
      </c>
    </row>
    <row r="3671" spans="4:4" x14ac:dyDescent="0.3">
      <c r="D3671" t="str">
        <f t="shared" si="108"/>
        <v/>
      </c>
    </row>
    <row r="3672" spans="4:4" x14ac:dyDescent="0.3">
      <c r="D3672" t="str">
        <f t="shared" si="108"/>
        <v/>
      </c>
    </row>
    <row r="3673" spans="4:4" x14ac:dyDescent="0.3">
      <c r="D3673" t="str">
        <f t="shared" si="108"/>
        <v/>
      </c>
    </row>
    <row r="3674" spans="4:4" x14ac:dyDescent="0.3">
      <c r="D3674" t="str">
        <f t="shared" si="108"/>
        <v/>
      </c>
    </row>
    <row r="3675" spans="4:4" x14ac:dyDescent="0.3">
      <c r="D3675" t="str">
        <f t="shared" si="108"/>
        <v/>
      </c>
    </row>
    <row r="3676" spans="4:4" x14ac:dyDescent="0.3">
      <c r="D3676" t="str">
        <f t="shared" si="108"/>
        <v/>
      </c>
    </row>
    <row r="3677" spans="4:4" x14ac:dyDescent="0.3">
      <c r="D3677" t="str">
        <f t="shared" si="108"/>
        <v/>
      </c>
    </row>
    <row r="3678" spans="4:4" x14ac:dyDescent="0.3">
      <c r="D3678" t="str">
        <f t="shared" si="108"/>
        <v/>
      </c>
    </row>
    <row r="3679" spans="4:4" x14ac:dyDescent="0.3">
      <c r="D3679" t="str">
        <f t="shared" si="108"/>
        <v/>
      </c>
    </row>
    <row r="3680" spans="4:4" x14ac:dyDescent="0.3">
      <c r="D3680" t="str">
        <f t="shared" si="108"/>
        <v/>
      </c>
    </row>
    <row r="3681" spans="4:4" x14ac:dyDescent="0.3">
      <c r="D3681" t="str">
        <f t="shared" si="108"/>
        <v/>
      </c>
    </row>
    <row r="3682" spans="4:4" x14ac:dyDescent="0.3">
      <c r="D3682" t="str">
        <f t="shared" si="108"/>
        <v/>
      </c>
    </row>
    <row r="3683" spans="4:4" x14ac:dyDescent="0.3">
      <c r="D3683" t="str">
        <f t="shared" si="108"/>
        <v/>
      </c>
    </row>
    <row r="3684" spans="4:4" x14ac:dyDescent="0.3">
      <c r="D3684" t="str">
        <f t="shared" si="108"/>
        <v/>
      </c>
    </row>
    <row r="3685" spans="4:4" x14ac:dyDescent="0.3">
      <c r="D3685" t="str">
        <f t="shared" si="108"/>
        <v/>
      </c>
    </row>
    <row r="3686" spans="4:4" x14ac:dyDescent="0.3">
      <c r="D3686" t="str">
        <f t="shared" si="108"/>
        <v/>
      </c>
    </row>
    <row r="3687" spans="4:4" x14ac:dyDescent="0.3">
      <c r="D3687" t="str">
        <f t="shared" si="108"/>
        <v/>
      </c>
    </row>
    <row r="3688" spans="4:4" x14ac:dyDescent="0.3">
      <c r="D3688" t="str">
        <f t="shared" si="108"/>
        <v/>
      </c>
    </row>
    <row r="3689" spans="4:4" x14ac:dyDescent="0.3">
      <c r="D3689" t="str">
        <f t="shared" si="108"/>
        <v/>
      </c>
    </row>
    <row r="3690" spans="4:4" x14ac:dyDescent="0.3">
      <c r="D3690" t="str">
        <f t="shared" si="108"/>
        <v/>
      </c>
    </row>
    <row r="3691" spans="4:4" x14ac:dyDescent="0.3">
      <c r="D3691" t="str">
        <f t="shared" si="108"/>
        <v/>
      </c>
    </row>
    <row r="3692" spans="4:4" x14ac:dyDescent="0.3">
      <c r="D3692" t="str">
        <f t="shared" si="108"/>
        <v/>
      </c>
    </row>
    <row r="3693" spans="4:4" x14ac:dyDescent="0.3">
      <c r="D3693" t="str">
        <f t="shared" si="108"/>
        <v/>
      </c>
    </row>
    <row r="3694" spans="4:4" x14ac:dyDescent="0.3">
      <c r="D3694" t="str">
        <f t="shared" si="108"/>
        <v/>
      </c>
    </row>
    <row r="3695" spans="4:4" x14ac:dyDescent="0.3">
      <c r="D3695" t="str">
        <f t="shared" si="108"/>
        <v/>
      </c>
    </row>
    <row r="3696" spans="4:4" x14ac:dyDescent="0.3">
      <c r="D3696" t="str">
        <f t="shared" si="108"/>
        <v/>
      </c>
    </row>
    <row r="3697" spans="4:4" x14ac:dyDescent="0.3">
      <c r="D3697" t="str">
        <f t="shared" si="108"/>
        <v/>
      </c>
    </row>
    <row r="3698" spans="4:4" x14ac:dyDescent="0.3">
      <c r="D3698" t="str">
        <f t="shared" si="108"/>
        <v/>
      </c>
    </row>
    <row r="3699" spans="4:4" x14ac:dyDescent="0.3">
      <c r="D3699" t="str">
        <f t="shared" si="108"/>
        <v/>
      </c>
    </row>
    <row r="3700" spans="4:4" x14ac:dyDescent="0.3">
      <c r="D3700" t="str">
        <f t="shared" si="108"/>
        <v/>
      </c>
    </row>
    <row r="3701" spans="4:4" x14ac:dyDescent="0.3">
      <c r="D3701" t="str">
        <f t="shared" si="108"/>
        <v/>
      </c>
    </row>
    <row r="3702" spans="4:4" x14ac:dyDescent="0.3">
      <c r="D3702" t="str">
        <f t="shared" si="108"/>
        <v/>
      </c>
    </row>
    <row r="3703" spans="4:4" x14ac:dyDescent="0.3">
      <c r="D3703" t="str">
        <f t="shared" si="108"/>
        <v/>
      </c>
    </row>
    <row r="3704" spans="4:4" x14ac:dyDescent="0.3">
      <c r="D3704" t="str">
        <f t="shared" si="108"/>
        <v/>
      </c>
    </row>
    <row r="3705" spans="4:4" x14ac:dyDescent="0.3">
      <c r="D3705" t="str">
        <f t="shared" si="108"/>
        <v/>
      </c>
    </row>
    <row r="3706" spans="4:4" x14ac:dyDescent="0.3">
      <c r="D3706" t="str">
        <f t="shared" si="108"/>
        <v/>
      </c>
    </row>
    <row r="3707" spans="4:4" x14ac:dyDescent="0.3">
      <c r="D3707" t="str">
        <f t="shared" si="108"/>
        <v/>
      </c>
    </row>
    <row r="3708" spans="4:4" x14ac:dyDescent="0.3">
      <c r="D3708" t="str">
        <f t="shared" si="108"/>
        <v/>
      </c>
    </row>
    <row r="3709" spans="4:4" x14ac:dyDescent="0.3">
      <c r="D3709" t="str">
        <f t="shared" si="108"/>
        <v/>
      </c>
    </row>
    <row r="3710" spans="4:4" x14ac:dyDescent="0.3">
      <c r="D3710" t="str">
        <f t="shared" si="108"/>
        <v/>
      </c>
    </row>
    <row r="3711" spans="4:4" x14ac:dyDescent="0.3">
      <c r="D3711" t="str">
        <f t="shared" si="108"/>
        <v/>
      </c>
    </row>
    <row r="3712" spans="4:4" x14ac:dyDescent="0.3">
      <c r="D3712" t="str">
        <f t="shared" si="108"/>
        <v/>
      </c>
    </row>
    <row r="3713" spans="4:4" x14ac:dyDescent="0.3">
      <c r="D3713" t="str">
        <f t="shared" si="108"/>
        <v/>
      </c>
    </row>
    <row r="3714" spans="4:4" x14ac:dyDescent="0.3">
      <c r="D3714" t="str">
        <f t="shared" si="108"/>
        <v/>
      </c>
    </row>
    <row r="3715" spans="4:4" x14ac:dyDescent="0.3">
      <c r="D3715" t="str">
        <f t="shared" si="108"/>
        <v/>
      </c>
    </row>
    <row r="3716" spans="4:4" x14ac:dyDescent="0.3">
      <c r="D3716" t="str">
        <f t="shared" si="108"/>
        <v/>
      </c>
    </row>
    <row r="3717" spans="4:4" x14ac:dyDescent="0.3">
      <c r="D3717" t="str">
        <f t="shared" si="108"/>
        <v/>
      </c>
    </row>
    <row r="3718" spans="4:4" x14ac:dyDescent="0.3">
      <c r="D3718" t="str">
        <f t="shared" si="108"/>
        <v/>
      </c>
    </row>
    <row r="3719" spans="4:4" x14ac:dyDescent="0.3">
      <c r="D3719" t="str">
        <f t="shared" si="108"/>
        <v/>
      </c>
    </row>
    <row r="3720" spans="4:4" x14ac:dyDescent="0.3">
      <c r="D3720" t="str">
        <f t="shared" si="108"/>
        <v/>
      </c>
    </row>
    <row r="3721" spans="4:4" x14ac:dyDescent="0.3">
      <c r="D3721" t="str">
        <f t="shared" ref="D3721:D3784" si="109">IF(LEFT(A3721,2)="SP",MID(A3721,4,4),IF(LEFT(A3721,1)="X",MID(A3721,3,4),""))</f>
        <v/>
      </c>
    </row>
    <row r="3722" spans="4:4" x14ac:dyDescent="0.3">
      <c r="D3722" t="str">
        <f t="shared" si="109"/>
        <v/>
      </c>
    </row>
    <row r="3723" spans="4:4" x14ac:dyDescent="0.3">
      <c r="D3723" t="str">
        <f t="shared" si="109"/>
        <v/>
      </c>
    </row>
    <row r="3724" spans="4:4" x14ac:dyDescent="0.3">
      <c r="D3724" t="str">
        <f t="shared" si="109"/>
        <v/>
      </c>
    </row>
    <row r="3725" spans="4:4" x14ac:dyDescent="0.3">
      <c r="D3725" t="str">
        <f t="shared" si="109"/>
        <v/>
      </c>
    </row>
    <row r="3726" spans="4:4" x14ac:dyDescent="0.3">
      <c r="D3726" t="str">
        <f t="shared" si="109"/>
        <v/>
      </c>
    </row>
    <row r="3727" spans="4:4" x14ac:dyDescent="0.3">
      <c r="D3727" t="str">
        <f t="shared" si="109"/>
        <v/>
      </c>
    </row>
    <row r="3728" spans="4:4" x14ac:dyDescent="0.3">
      <c r="D3728" t="str">
        <f t="shared" si="109"/>
        <v/>
      </c>
    </row>
    <row r="3729" spans="4:4" x14ac:dyDescent="0.3">
      <c r="D3729" t="str">
        <f t="shared" si="109"/>
        <v/>
      </c>
    </row>
    <row r="3730" spans="4:4" x14ac:dyDescent="0.3">
      <c r="D3730" t="str">
        <f t="shared" si="109"/>
        <v/>
      </c>
    </row>
    <row r="3731" spans="4:4" x14ac:dyDescent="0.3">
      <c r="D3731" t="str">
        <f t="shared" si="109"/>
        <v/>
      </c>
    </row>
    <row r="3732" spans="4:4" x14ac:dyDescent="0.3">
      <c r="D3732" t="str">
        <f t="shared" si="109"/>
        <v/>
      </c>
    </row>
    <row r="3733" spans="4:4" x14ac:dyDescent="0.3">
      <c r="D3733" t="str">
        <f t="shared" si="109"/>
        <v/>
      </c>
    </row>
    <row r="3734" spans="4:4" x14ac:dyDescent="0.3">
      <c r="D3734" t="str">
        <f t="shared" si="109"/>
        <v/>
      </c>
    </row>
    <row r="3735" spans="4:4" x14ac:dyDescent="0.3">
      <c r="D3735" t="str">
        <f t="shared" si="109"/>
        <v/>
      </c>
    </row>
    <row r="3736" spans="4:4" x14ac:dyDescent="0.3">
      <c r="D3736" t="str">
        <f t="shared" si="109"/>
        <v/>
      </c>
    </row>
    <row r="3737" spans="4:4" x14ac:dyDescent="0.3">
      <c r="D3737" t="str">
        <f t="shared" si="109"/>
        <v/>
      </c>
    </row>
    <row r="3738" spans="4:4" x14ac:dyDescent="0.3">
      <c r="D3738" t="str">
        <f t="shared" si="109"/>
        <v/>
      </c>
    </row>
    <row r="3739" spans="4:4" x14ac:dyDescent="0.3">
      <c r="D3739" t="str">
        <f t="shared" si="109"/>
        <v/>
      </c>
    </row>
    <row r="3740" spans="4:4" x14ac:dyDescent="0.3">
      <c r="D3740" t="str">
        <f t="shared" si="109"/>
        <v/>
      </c>
    </row>
    <row r="3741" spans="4:4" x14ac:dyDescent="0.3">
      <c r="D3741" t="str">
        <f t="shared" si="109"/>
        <v/>
      </c>
    </row>
    <row r="3742" spans="4:4" x14ac:dyDescent="0.3">
      <c r="D3742" t="str">
        <f t="shared" si="109"/>
        <v/>
      </c>
    </row>
    <row r="3743" spans="4:4" x14ac:dyDescent="0.3">
      <c r="D3743" t="str">
        <f t="shared" si="109"/>
        <v/>
      </c>
    </row>
    <row r="3744" spans="4:4" x14ac:dyDescent="0.3">
      <c r="D3744" t="str">
        <f t="shared" si="109"/>
        <v/>
      </c>
    </row>
    <row r="3745" spans="4:4" x14ac:dyDescent="0.3">
      <c r="D3745" t="str">
        <f t="shared" si="109"/>
        <v/>
      </c>
    </row>
    <row r="3746" spans="4:4" x14ac:dyDescent="0.3">
      <c r="D3746" t="str">
        <f t="shared" si="109"/>
        <v/>
      </c>
    </row>
    <row r="3747" spans="4:4" x14ac:dyDescent="0.3">
      <c r="D3747" t="str">
        <f t="shared" si="109"/>
        <v/>
      </c>
    </row>
    <row r="3748" spans="4:4" x14ac:dyDescent="0.3">
      <c r="D3748" t="str">
        <f t="shared" si="109"/>
        <v/>
      </c>
    </row>
    <row r="3749" spans="4:4" x14ac:dyDescent="0.3">
      <c r="D3749" t="str">
        <f t="shared" si="109"/>
        <v/>
      </c>
    </row>
    <row r="3750" spans="4:4" x14ac:dyDescent="0.3">
      <c r="D3750" t="str">
        <f t="shared" si="109"/>
        <v/>
      </c>
    </row>
    <row r="3751" spans="4:4" x14ac:dyDescent="0.3">
      <c r="D3751" t="str">
        <f t="shared" si="109"/>
        <v/>
      </c>
    </row>
    <row r="3752" spans="4:4" x14ac:dyDescent="0.3">
      <c r="D3752" t="str">
        <f t="shared" si="109"/>
        <v/>
      </c>
    </row>
    <row r="3753" spans="4:4" x14ac:dyDescent="0.3">
      <c r="D3753" t="str">
        <f t="shared" si="109"/>
        <v/>
      </c>
    </row>
    <row r="3754" spans="4:4" x14ac:dyDescent="0.3">
      <c r="D3754" t="str">
        <f t="shared" si="109"/>
        <v/>
      </c>
    </row>
    <row r="3755" spans="4:4" x14ac:dyDescent="0.3">
      <c r="D3755" t="str">
        <f t="shared" si="109"/>
        <v/>
      </c>
    </row>
    <row r="3756" spans="4:4" x14ac:dyDescent="0.3">
      <c r="D3756" t="str">
        <f t="shared" si="109"/>
        <v/>
      </c>
    </row>
    <row r="3757" spans="4:4" x14ac:dyDescent="0.3">
      <c r="D3757" t="str">
        <f t="shared" si="109"/>
        <v/>
      </c>
    </row>
    <row r="3758" spans="4:4" x14ac:dyDescent="0.3">
      <c r="D3758" t="str">
        <f t="shared" si="109"/>
        <v/>
      </c>
    </row>
    <row r="3759" spans="4:4" x14ac:dyDescent="0.3">
      <c r="D3759" t="str">
        <f t="shared" si="109"/>
        <v/>
      </c>
    </row>
    <row r="3760" spans="4:4" x14ac:dyDescent="0.3">
      <c r="D3760" t="str">
        <f t="shared" si="109"/>
        <v/>
      </c>
    </row>
    <row r="3761" spans="4:4" x14ac:dyDescent="0.3">
      <c r="D3761" t="str">
        <f t="shared" si="109"/>
        <v/>
      </c>
    </row>
    <row r="3762" spans="4:4" x14ac:dyDescent="0.3">
      <c r="D3762" t="str">
        <f t="shared" si="109"/>
        <v/>
      </c>
    </row>
    <row r="3763" spans="4:4" x14ac:dyDescent="0.3">
      <c r="D3763" t="str">
        <f t="shared" si="109"/>
        <v/>
      </c>
    </row>
    <row r="3764" spans="4:4" x14ac:dyDescent="0.3">
      <c r="D3764" t="str">
        <f t="shared" si="109"/>
        <v/>
      </c>
    </row>
    <row r="3765" spans="4:4" x14ac:dyDescent="0.3">
      <c r="D3765" t="str">
        <f t="shared" si="109"/>
        <v/>
      </c>
    </row>
    <row r="3766" spans="4:4" x14ac:dyDescent="0.3">
      <c r="D3766" t="str">
        <f t="shared" si="109"/>
        <v/>
      </c>
    </row>
    <row r="3767" spans="4:4" x14ac:dyDescent="0.3">
      <c r="D3767" t="str">
        <f t="shared" si="109"/>
        <v/>
      </c>
    </row>
    <row r="3768" spans="4:4" x14ac:dyDescent="0.3">
      <c r="D3768" t="str">
        <f t="shared" si="109"/>
        <v/>
      </c>
    </row>
    <row r="3769" spans="4:4" x14ac:dyDescent="0.3">
      <c r="D3769" t="str">
        <f t="shared" si="109"/>
        <v/>
      </c>
    </row>
    <row r="3770" spans="4:4" x14ac:dyDescent="0.3">
      <c r="D3770" t="str">
        <f t="shared" si="109"/>
        <v/>
      </c>
    </row>
    <row r="3771" spans="4:4" x14ac:dyDescent="0.3">
      <c r="D3771" t="str">
        <f t="shared" si="109"/>
        <v/>
      </c>
    </row>
    <row r="3772" spans="4:4" x14ac:dyDescent="0.3">
      <c r="D3772" t="str">
        <f t="shared" si="109"/>
        <v/>
      </c>
    </row>
    <row r="3773" spans="4:4" x14ac:dyDescent="0.3">
      <c r="D3773" t="str">
        <f t="shared" si="109"/>
        <v/>
      </c>
    </row>
    <row r="3774" spans="4:4" x14ac:dyDescent="0.3">
      <c r="D3774" t="str">
        <f t="shared" si="109"/>
        <v/>
      </c>
    </row>
    <row r="3775" spans="4:4" x14ac:dyDescent="0.3">
      <c r="D3775" t="str">
        <f t="shared" si="109"/>
        <v/>
      </c>
    </row>
    <row r="3776" spans="4:4" x14ac:dyDescent="0.3">
      <c r="D3776" t="str">
        <f t="shared" si="109"/>
        <v/>
      </c>
    </row>
    <row r="3777" spans="4:4" x14ac:dyDescent="0.3">
      <c r="D3777" t="str">
        <f t="shared" si="109"/>
        <v/>
      </c>
    </row>
    <row r="3778" spans="4:4" x14ac:dyDescent="0.3">
      <c r="D3778" t="str">
        <f t="shared" si="109"/>
        <v/>
      </c>
    </row>
    <row r="3779" spans="4:4" x14ac:dyDescent="0.3">
      <c r="D3779" t="str">
        <f t="shared" si="109"/>
        <v/>
      </c>
    </row>
    <row r="3780" spans="4:4" x14ac:dyDescent="0.3">
      <c r="D3780" t="str">
        <f t="shared" si="109"/>
        <v/>
      </c>
    </row>
    <row r="3781" spans="4:4" x14ac:dyDescent="0.3">
      <c r="D3781" t="str">
        <f t="shared" si="109"/>
        <v/>
      </c>
    </row>
    <row r="3782" spans="4:4" x14ac:dyDescent="0.3">
      <c r="D3782" t="str">
        <f t="shared" si="109"/>
        <v/>
      </c>
    </row>
    <row r="3783" spans="4:4" x14ac:dyDescent="0.3">
      <c r="D3783" t="str">
        <f t="shared" si="109"/>
        <v/>
      </c>
    </row>
    <row r="3784" spans="4:4" x14ac:dyDescent="0.3">
      <c r="D3784" t="str">
        <f t="shared" si="109"/>
        <v/>
      </c>
    </row>
    <row r="3785" spans="4:4" x14ac:dyDescent="0.3">
      <c r="D3785" t="str">
        <f t="shared" ref="D3785:D3848" si="110">IF(LEFT(A3785,2)="SP",MID(A3785,4,4),IF(LEFT(A3785,1)="X",MID(A3785,3,4),""))</f>
        <v/>
      </c>
    </row>
    <row r="3786" spans="4:4" x14ac:dyDescent="0.3">
      <c r="D3786" t="str">
        <f t="shared" si="110"/>
        <v/>
      </c>
    </row>
    <row r="3787" spans="4:4" x14ac:dyDescent="0.3">
      <c r="D3787" t="str">
        <f t="shared" si="110"/>
        <v/>
      </c>
    </row>
    <row r="3788" spans="4:4" x14ac:dyDescent="0.3">
      <c r="D3788" t="str">
        <f t="shared" si="110"/>
        <v/>
      </c>
    </row>
    <row r="3789" spans="4:4" x14ac:dyDescent="0.3">
      <c r="D3789" t="str">
        <f t="shared" si="110"/>
        <v/>
      </c>
    </row>
    <row r="3790" spans="4:4" x14ac:dyDescent="0.3">
      <c r="D3790" t="str">
        <f t="shared" si="110"/>
        <v/>
      </c>
    </row>
    <row r="3791" spans="4:4" x14ac:dyDescent="0.3">
      <c r="D3791" t="str">
        <f t="shared" si="110"/>
        <v/>
      </c>
    </row>
    <row r="3792" spans="4:4" x14ac:dyDescent="0.3">
      <c r="D3792" t="str">
        <f t="shared" si="110"/>
        <v/>
      </c>
    </row>
    <row r="3793" spans="4:4" x14ac:dyDescent="0.3">
      <c r="D3793" t="str">
        <f t="shared" si="110"/>
        <v/>
      </c>
    </row>
    <row r="3794" spans="4:4" x14ac:dyDescent="0.3">
      <c r="D3794" t="str">
        <f t="shared" si="110"/>
        <v/>
      </c>
    </row>
    <row r="3795" spans="4:4" x14ac:dyDescent="0.3">
      <c r="D3795" t="str">
        <f t="shared" si="110"/>
        <v/>
      </c>
    </row>
    <row r="3796" spans="4:4" x14ac:dyDescent="0.3">
      <c r="D3796" t="str">
        <f t="shared" si="110"/>
        <v/>
      </c>
    </row>
    <row r="3797" spans="4:4" x14ac:dyDescent="0.3">
      <c r="D3797" t="str">
        <f t="shared" si="110"/>
        <v/>
      </c>
    </row>
    <row r="3798" spans="4:4" x14ac:dyDescent="0.3">
      <c r="D3798" t="str">
        <f t="shared" si="110"/>
        <v/>
      </c>
    </row>
    <row r="3799" spans="4:4" x14ac:dyDescent="0.3">
      <c r="D3799" t="str">
        <f t="shared" si="110"/>
        <v/>
      </c>
    </row>
    <row r="3800" spans="4:4" x14ac:dyDescent="0.3">
      <c r="D3800" t="str">
        <f t="shared" si="110"/>
        <v/>
      </c>
    </row>
    <row r="3801" spans="4:4" x14ac:dyDescent="0.3">
      <c r="D3801" t="str">
        <f t="shared" si="110"/>
        <v/>
      </c>
    </row>
    <row r="3802" spans="4:4" x14ac:dyDescent="0.3">
      <c r="D3802" t="str">
        <f t="shared" si="110"/>
        <v/>
      </c>
    </row>
    <row r="3803" spans="4:4" x14ac:dyDescent="0.3">
      <c r="D3803" t="str">
        <f t="shared" si="110"/>
        <v/>
      </c>
    </row>
    <row r="3804" spans="4:4" x14ac:dyDescent="0.3">
      <c r="D3804" t="str">
        <f t="shared" si="110"/>
        <v/>
      </c>
    </row>
    <row r="3805" spans="4:4" x14ac:dyDescent="0.3">
      <c r="D3805" t="str">
        <f t="shared" si="110"/>
        <v/>
      </c>
    </row>
    <row r="3806" spans="4:4" x14ac:dyDescent="0.3">
      <c r="D3806" t="str">
        <f t="shared" si="110"/>
        <v/>
      </c>
    </row>
    <row r="3807" spans="4:4" x14ac:dyDescent="0.3">
      <c r="D3807" t="str">
        <f t="shared" si="110"/>
        <v/>
      </c>
    </row>
    <row r="3808" spans="4:4" x14ac:dyDescent="0.3">
      <c r="D3808" t="str">
        <f t="shared" si="110"/>
        <v/>
      </c>
    </row>
    <row r="3809" spans="4:4" x14ac:dyDescent="0.3">
      <c r="D3809" t="str">
        <f t="shared" si="110"/>
        <v/>
      </c>
    </row>
    <row r="3810" spans="4:4" x14ac:dyDescent="0.3">
      <c r="D3810" t="str">
        <f t="shared" si="110"/>
        <v/>
      </c>
    </row>
    <row r="3811" spans="4:4" x14ac:dyDescent="0.3">
      <c r="D3811" t="str">
        <f t="shared" si="110"/>
        <v/>
      </c>
    </row>
    <row r="3812" spans="4:4" x14ac:dyDescent="0.3">
      <c r="D3812" t="str">
        <f t="shared" si="110"/>
        <v/>
      </c>
    </row>
    <row r="3813" spans="4:4" x14ac:dyDescent="0.3">
      <c r="D3813" t="str">
        <f t="shared" si="110"/>
        <v/>
      </c>
    </row>
    <row r="3814" spans="4:4" x14ac:dyDescent="0.3">
      <c r="D3814" t="str">
        <f t="shared" si="110"/>
        <v/>
      </c>
    </row>
    <row r="3815" spans="4:4" x14ac:dyDescent="0.3">
      <c r="D3815" t="str">
        <f t="shared" si="110"/>
        <v/>
      </c>
    </row>
    <row r="3816" spans="4:4" x14ac:dyDescent="0.3">
      <c r="D3816" t="str">
        <f t="shared" si="110"/>
        <v/>
      </c>
    </row>
    <row r="3817" spans="4:4" x14ac:dyDescent="0.3">
      <c r="D3817" t="str">
        <f t="shared" si="110"/>
        <v/>
      </c>
    </row>
    <row r="3818" spans="4:4" x14ac:dyDescent="0.3">
      <c r="D3818" t="str">
        <f t="shared" si="110"/>
        <v/>
      </c>
    </row>
    <row r="3819" spans="4:4" x14ac:dyDescent="0.3">
      <c r="D3819" t="str">
        <f t="shared" si="110"/>
        <v/>
      </c>
    </row>
    <row r="3820" spans="4:4" x14ac:dyDescent="0.3">
      <c r="D3820" t="str">
        <f t="shared" si="110"/>
        <v/>
      </c>
    </row>
    <row r="3821" spans="4:4" x14ac:dyDescent="0.3">
      <c r="D3821" t="str">
        <f t="shared" si="110"/>
        <v/>
      </c>
    </row>
    <row r="3822" spans="4:4" x14ac:dyDescent="0.3">
      <c r="D3822" t="str">
        <f t="shared" si="110"/>
        <v/>
      </c>
    </row>
    <row r="3823" spans="4:4" x14ac:dyDescent="0.3">
      <c r="D3823" t="str">
        <f t="shared" si="110"/>
        <v/>
      </c>
    </row>
    <row r="3824" spans="4:4" x14ac:dyDescent="0.3">
      <c r="D3824" t="str">
        <f t="shared" si="110"/>
        <v/>
      </c>
    </row>
    <row r="3825" spans="4:4" x14ac:dyDescent="0.3">
      <c r="D3825" t="str">
        <f t="shared" si="110"/>
        <v/>
      </c>
    </row>
    <row r="3826" spans="4:4" x14ac:dyDescent="0.3">
      <c r="D3826" t="str">
        <f t="shared" si="110"/>
        <v/>
      </c>
    </row>
    <row r="3827" spans="4:4" x14ac:dyDescent="0.3">
      <c r="D3827" t="str">
        <f t="shared" si="110"/>
        <v/>
      </c>
    </row>
    <row r="3828" spans="4:4" x14ac:dyDescent="0.3">
      <c r="D3828" t="str">
        <f t="shared" si="110"/>
        <v/>
      </c>
    </row>
    <row r="3829" spans="4:4" x14ac:dyDescent="0.3">
      <c r="D3829" t="str">
        <f t="shared" si="110"/>
        <v/>
      </c>
    </row>
    <row r="3830" spans="4:4" x14ac:dyDescent="0.3">
      <c r="D3830" t="str">
        <f t="shared" si="110"/>
        <v/>
      </c>
    </row>
    <row r="3831" spans="4:4" x14ac:dyDescent="0.3">
      <c r="D3831" t="str">
        <f t="shared" si="110"/>
        <v/>
      </c>
    </row>
    <row r="3832" spans="4:4" x14ac:dyDescent="0.3">
      <c r="D3832" t="str">
        <f t="shared" si="110"/>
        <v/>
      </c>
    </row>
    <row r="3833" spans="4:4" x14ac:dyDescent="0.3">
      <c r="D3833" t="str">
        <f t="shared" si="110"/>
        <v/>
      </c>
    </row>
    <row r="3834" spans="4:4" x14ac:dyDescent="0.3">
      <c r="D3834" t="str">
        <f t="shared" si="110"/>
        <v/>
      </c>
    </row>
    <row r="3835" spans="4:4" x14ac:dyDescent="0.3">
      <c r="D3835" t="str">
        <f t="shared" si="110"/>
        <v/>
      </c>
    </row>
    <row r="3836" spans="4:4" x14ac:dyDescent="0.3">
      <c r="D3836" t="str">
        <f t="shared" si="110"/>
        <v/>
      </c>
    </row>
    <row r="3837" spans="4:4" x14ac:dyDescent="0.3">
      <c r="D3837" t="str">
        <f t="shared" si="110"/>
        <v/>
      </c>
    </row>
    <row r="3838" spans="4:4" x14ac:dyDescent="0.3">
      <c r="D3838" t="str">
        <f t="shared" si="110"/>
        <v/>
      </c>
    </row>
    <row r="3839" spans="4:4" x14ac:dyDescent="0.3">
      <c r="D3839" t="str">
        <f t="shared" si="110"/>
        <v/>
      </c>
    </row>
    <row r="3840" spans="4:4" x14ac:dyDescent="0.3">
      <c r="D3840" t="str">
        <f t="shared" si="110"/>
        <v/>
      </c>
    </row>
    <row r="3841" spans="4:4" x14ac:dyDescent="0.3">
      <c r="D3841" t="str">
        <f t="shared" si="110"/>
        <v/>
      </c>
    </row>
    <row r="3842" spans="4:4" x14ac:dyDescent="0.3">
      <c r="D3842" t="str">
        <f t="shared" si="110"/>
        <v/>
      </c>
    </row>
    <row r="3843" spans="4:4" x14ac:dyDescent="0.3">
      <c r="D3843" t="str">
        <f t="shared" si="110"/>
        <v/>
      </c>
    </row>
    <row r="3844" spans="4:4" x14ac:dyDescent="0.3">
      <c r="D3844" t="str">
        <f t="shared" si="110"/>
        <v/>
      </c>
    </row>
    <row r="3845" spans="4:4" x14ac:dyDescent="0.3">
      <c r="D3845" t="str">
        <f t="shared" si="110"/>
        <v/>
      </c>
    </row>
    <row r="3846" spans="4:4" x14ac:dyDescent="0.3">
      <c r="D3846" t="str">
        <f t="shared" si="110"/>
        <v/>
      </c>
    </row>
    <row r="3847" spans="4:4" x14ac:dyDescent="0.3">
      <c r="D3847" t="str">
        <f t="shared" si="110"/>
        <v/>
      </c>
    </row>
    <row r="3848" spans="4:4" x14ac:dyDescent="0.3">
      <c r="D3848" t="str">
        <f t="shared" si="110"/>
        <v/>
      </c>
    </row>
    <row r="3849" spans="4:4" x14ac:dyDescent="0.3">
      <c r="D3849" t="str">
        <f t="shared" ref="D3849:D3912" si="111">IF(LEFT(A3849,2)="SP",MID(A3849,4,4),IF(LEFT(A3849,1)="X",MID(A3849,3,4),""))</f>
        <v/>
      </c>
    </row>
    <row r="3850" spans="4:4" x14ac:dyDescent="0.3">
      <c r="D3850" t="str">
        <f t="shared" si="111"/>
        <v/>
      </c>
    </row>
    <row r="3851" spans="4:4" x14ac:dyDescent="0.3">
      <c r="D3851" t="str">
        <f t="shared" si="111"/>
        <v/>
      </c>
    </row>
    <row r="3852" spans="4:4" x14ac:dyDescent="0.3">
      <c r="D3852" t="str">
        <f t="shared" si="111"/>
        <v/>
      </c>
    </row>
    <row r="3853" spans="4:4" x14ac:dyDescent="0.3">
      <c r="D3853" t="str">
        <f t="shared" si="111"/>
        <v/>
      </c>
    </row>
    <row r="3854" spans="4:4" x14ac:dyDescent="0.3">
      <c r="D3854" t="str">
        <f t="shared" si="111"/>
        <v/>
      </c>
    </row>
    <row r="3855" spans="4:4" x14ac:dyDescent="0.3">
      <c r="D3855" t="str">
        <f t="shared" si="111"/>
        <v/>
      </c>
    </row>
    <row r="3856" spans="4:4" x14ac:dyDescent="0.3">
      <c r="D3856" t="str">
        <f t="shared" si="111"/>
        <v/>
      </c>
    </row>
    <row r="3857" spans="4:4" x14ac:dyDescent="0.3">
      <c r="D3857" t="str">
        <f t="shared" si="111"/>
        <v/>
      </c>
    </row>
    <row r="3858" spans="4:4" x14ac:dyDescent="0.3">
      <c r="D3858" t="str">
        <f t="shared" si="111"/>
        <v/>
      </c>
    </row>
    <row r="3859" spans="4:4" x14ac:dyDescent="0.3">
      <c r="D3859" t="str">
        <f t="shared" si="111"/>
        <v/>
      </c>
    </row>
    <row r="3860" spans="4:4" x14ac:dyDescent="0.3">
      <c r="D3860" t="str">
        <f t="shared" si="111"/>
        <v/>
      </c>
    </row>
    <row r="3861" spans="4:4" x14ac:dyDescent="0.3">
      <c r="D3861" t="str">
        <f t="shared" si="111"/>
        <v/>
      </c>
    </row>
    <row r="3862" spans="4:4" x14ac:dyDescent="0.3">
      <c r="D3862" t="str">
        <f t="shared" si="111"/>
        <v/>
      </c>
    </row>
    <row r="3863" spans="4:4" x14ac:dyDescent="0.3">
      <c r="D3863" t="str">
        <f t="shared" si="111"/>
        <v/>
      </c>
    </row>
    <row r="3864" spans="4:4" x14ac:dyDescent="0.3">
      <c r="D3864" t="str">
        <f t="shared" si="111"/>
        <v/>
      </c>
    </row>
    <row r="3865" spans="4:4" x14ac:dyDescent="0.3">
      <c r="D3865" t="str">
        <f t="shared" si="111"/>
        <v/>
      </c>
    </row>
    <row r="3866" spans="4:4" x14ac:dyDescent="0.3">
      <c r="D3866" t="str">
        <f t="shared" si="111"/>
        <v/>
      </c>
    </row>
    <row r="3867" spans="4:4" x14ac:dyDescent="0.3">
      <c r="D3867" t="str">
        <f t="shared" si="111"/>
        <v/>
      </c>
    </row>
    <row r="3868" spans="4:4" x14ac:dyDescent="0.3">
      <c r="D3868" t="str">
        <f t="shared" si="111"/>
        <v/>
      </c>
    </row>
    <row r="3869" spans="4:4" x14ac:dyDescent="0.3">
      <c r="D3869" t="str">
        <f t="shared" si="111"/>
        <v/>
      </c>
    </row>
    <row r="3870" spans="4:4" x14ac:dyDescent="0.3">
      <c r="D3870" t="str">
        <f t="shared" si="111"/>
        <v/>
      </c>
    </row>
    <row r="3871" spans="4:4" x14ac:dyDescent="0.3">
      <c r="D3871" t="str">
        <f t="shared" si="111"/>
        <v/>
      </c>
    </row>
    <row r="3872" spans="4:4" x14ac:dyDescent="0.3">
      <c r="D3872" t="str">
        <f t="shared" si="111"/>
        <v/>
      </c>
    </row>
    <row r="3873" spans="4:4" x14ac:dyDescent="0.3">
      <c r="D3873" t="str">
        <f t="shared" si="111"/>
        <v/>
      </c>
    </row>
    <row r="3874" spans="4:4" x14ac:dyDescent="0.3">
      <c r="D3874" t="str">
        <f t="shared" si="111"/>
        <v/>
      </c>
    </row>
    <row r="3875" spans="4:4" x14ac:dyDescent="0.3">
      <c r="D3875" t="str">
        <f t="shared" si="111"/>
        <v/>
      </c>
    </row>
    <row r="3876" spans="4:4" x14ac:dyDescent="0.3">
      <c r="D3876" t="str">
        <f t="shared" si="111"/>
        <v/>
      </c>
    </row>
    <row r="3877" spans="4:4" x14ac:dyDescent="0.3">
      <c r="D3877" t="str">
        <f t="shared" si="111"/>
        <v/>
      </c>
    </row>
    <row r="3878" spans="4:4" x14ac:dyDescent="0.3">
      <c r="D3878" t="str">
        <f t="shared" si="111"/>
        <v/>
      </c>
    </row>
    <row r="3879" spans="4:4" x14ac:dyDescent="0.3">
      <c r="D3879" t="str">
        <f t="shared" si="111"/>
        <v/>
      </c>
    </row>
    <row r="3880" spans="4:4" x14ac:dyDescent="0.3">
      <c r="D3880" t="str">
        <f t="shared" si="111"/>
        <v/>
      </c>
    </row>
    <row r="3881" spans="4:4" x14ac:dyDescent="0.3">
      <c r="D3881" t="str">
        <f t="shared" si="111"/>
        <v/>
      </c>
    </row>
    <row r="3882" spans="4:4" x14ac:dyDescent="0.3">
      <c r="D3882" t="str">
        <f t="shared" si="111"/>
        <v/>
      </c>
    </row>
    <row r="3883" spans="4:4" x14ac:dyDescent="0.3">
      <c r="D3883" t="str">
        <f t="shared" si="111"/>
        <v/>
      </c>
    </row>
    <row r="3884" spans="4:4" x14ac:dyDescent="0.3">
      <c r="D3884" t="str">
        <f t="shared" si="111"/>
        <v/>
      </c>
    </row>
    <row r="3885" spans="4:4" x14ac:dyDescent="0.3">
      <c r="D3885" t="str">
        <f t="shared" si="111"/>
        <v/>
      </c>
    </row>
    <row r="3886" spans="4:4" x14ac:dyDescent="0.3">
      <c r="D3886" t="str">
        <f t="shared" si="111"/>
        <v/>
      </c>
    </row>
    <row r="3887" spans="4:4" x14ac:dyDescent="0.3">
      <c r="D3887" t="str">
        <f t="shared" si="111"/>
        <v/>
      </c>
    </row>
    <row r="3888" spans="4:4" x14ac:dyDescent="0.3">
      <c r="D3888" t="str">
        <f t="shared" si="111"/>
        <v/>
      </c>
    </row>
    <row r="3889" spans="4:4" x14ac:dyDescent="0.3">
      <c r="D3889" t="str">
        <f t="shared" si="111"/>
        <v/>
      </c>
    </row>
    <row r="3890" spans="4:4" x14ac:dyDescent="0.3">
      <c r="D3890" t="str">
        <f t="shared" si="111"/>
        <v/>
      </c>
    </row>
    <row r="3891" spans="4:4" x14ac:dyDescent="0.3">
      <c r="D3891" t="str">
        <f t="shared" si="111"/>
        <v/>
      </c>
    </row>
    <row r="3892" spans="4:4" x14ac:dyDescent="0.3">
      <c r="D3892" t="str">
        <f t="shared" si="111"/>
        <v/>
      </c>
    </row>
    <row r="3893" spans="4:4" x14ac:dyDescent="0.3">
      <c r="D3893" t="str">
        <f t="shared" si="111"/>
        <v/>
      </c>
    </row>
    <row r="3894" spans="4:4" x14ac:dyDescent="0.3">
      <c r="D3894" t="str">
        <f t="shared" si="111"/>
        <v/>
      </c>
    </row>
    <row r="3895" spans="4:4" x14ac:dyDescent="0.3">
      <c r="D3895" t="str">
        <f t="shared" si="111"/>
        <v/>
      </c>
    </row>
    <row r="3896" spans="4:4" x14ac:dyDescent="0.3">
      <c r="D3896" t="str">
        <f t="shared" si="111"/>
        <v/>
      </c>
    </row>
    <row r="3897" spans="4:4" x14ac:dyDescent="0.3">
      <c r="D3897" t="str">
        <f t="shared" si="111"/>
        <v/>
      </c>
    </row>
    <row r="3898" spans="4:4" x14ac:dyDescent="0.3">
      <c r="D3898" t="str">
        <f t="shared" si="111"/>
        <v/>
      </c>
    </row>
    <row r="3899" spans="4:4" x14ac:dyDescent="0.3">
      <c r="D3899" t="str">
        <f t="shared" si="111"/>
        <v/>
      </c>
    </row>
    <row r="3900" spans="4:4" x14ac:dyDescent="0.3">
      <c r="D3900" t="str">
        <f t="shared" si="111"/>
        <v/>
      </c>
    </row>
    <row r="3901" spans="4:4" x14ac:dyDescent="0.3">
      <c r="D3901" t="str">
        <f t="shared" si="111"/>
        <v/>
      </c>
    </row>
    <row r="3902" spans="4:4" x14ac:dyDescent="0.3">
      <c r="D3902" t="str">
        <f t="shared" si="111"/>
        <v/>
      </c>
    </row>
    <row r="3903" spans="4:4" x14ac:dyDescent="0.3">
      <c r="D3903" t="str">
        <f t="shared" si="111"/>
        <v/>
      </c>
    </row>
    <row r="3904" spans="4:4" x14ac:dyDescent="0.3">
      <c r="D3904" t="str">
        <f t="shared" si="111"/>
        <v/>
      </c>
    </row>
    <row r="3905" spans="4:4" x14ac:dyDescent="0.3">
      <c r="D3905" t="str">
        <f t="shared" si="111"/>
        <v/>
      </c>
    </row>
    <row r="3906" spans="4:4" x14ac:dyDescent="0.3">
      <c r="D3906" t="str">
        <f t="shared" si="111"/>
        <v/>
      </c>
    </row>
    <row r="3907" spans="4:4" x14ac:dyDescent="0.3">
      <c r="D3907" t="str">
        <f t="shared" si="111"/>
        <v/>
      </c>
    </row>
    <row r="3908" spans="4:4" x14ac:dyDescent="0.3">
      <c r="D3908" t="str">
        <f t="shared" si="111"/>
        <v/>
      </c>
    </row>
    <row r="3909" spans="4:4" x14ac:dyDescent="0.3">
      <c r="D3909" t="str">
        <f t="shared" si="111"/>
        <v/>
      </c>
    </row>
    <row r="3910" spans="4:4" x14ac:dyDescent="0.3">
      <c r="D3910" t="str">
        <f t="shared" si="111"/>
        <v/>
      </c>
    </row>
    <row r="3911" spans="4:4" x14ac:dyDescent="0.3">
      <c r="D3911" t="str">
        <f t="shared" si="111"/>
        <v/>
      </c>
    </row>
    <row r="3912" spans="4:4" x14ac:dyDescent="0.3">
      <c r="D3912" t="str">
        <f t="shared" si="111"/>
        <v/>
      </c>
    </row>
    <row r="3913" spans="4:4" x14ac:dyDescent="0.3">
      <c r="D3913" t="str">
        <f t="shared" ref="D3913:D3976" si="112">IF(LEFT(A3913,2)="SP",MID(A3913,4,4),IF(LEFT(A3913,1)="X",MID(A3913,3,4),""))</f>
        <v/>
      </c>
    </row>
    <row r="3914" spans="4:4" x14ac:dyDescent="0.3">
      <c r="D3914" t="str">
        <f t="shared" si="112"/>
        <v/>
      </c>
    </row>
    <row r="3915" spans="4:4" x14ac:dyDescent="0.3">
      <c r="D3915" t="str">
        <f t="shared" si="112"/>
        <v/>
      </c>
    </row>
    <row r="3916" spans="4:4" x14ac:dyDescent="0.3">
      <c r="D3916" t="str">
        <f t="shared" si="112"/>
        <v/>
      </c>
    </row>
    <row r="3917" spans="4:4" x14ac:dyDescent="0.3">
      <c r="D3917" t="str">
        <f t="shared" si="112"/>
        <v/>
      </c>
    </row>
    <row r="3918" spans="4:4" x14ac:dyDescent="0.3">
      <c r="D3918" t="str">
        <f t="shared" si="112"/>
        <v/>
      </c>
    </row>
    <row r="3919" spans="4:4" x14ac:dyDescent="0.3">
      <c r="D3919" t="str">
        <f t="shared" si="112"/>
        <v/>
      </c>
    </row>
    <row r="3920" spans="4:4" x14ac:dyDescent="0.3">
      <c r="D3920" t="str">
        <f t="shared" si="112"/>
        <v/>
      </c>
    </row>
    <row r="3921" spans="4:4" x14ac:dyDescent="0.3">
      <c r="D3921" t="str">
        <f t="shared" si="112"/>
        <v/>
      </c>
    </row>
    <row r="3922" spans="4:4" x14ac:dyDescent="0.3">
      <c r="D3922" t="str">
        <f t="shared" si="112"/>
        <v/>
      </c>
    </row>
    <row r="3923" spans="4:4" x14ac:dyDescent="0.3">
      <c r="D3923" t="str">
        <f t="shared" si="112"/>
        <v/>
      </c>
    </row>
    <row r="3924" spans="4:4" x14ac:dyDescent="0.3">
      <c r="D3924" t="str">
        <f t="shared" si="112"/>
        <v/>
      </c>
    </row>
    <row r="3925" spans="4:4" x14ac:dyDescent="0.3">
      <c r="D3925" t="str">
        <f t="shared" si="112"/>
        <v/>
      </c>
    </row>
    <row r="3926" spans="4:4" x14ac:dyDescent="0.3">
      <c r="D3926" t="str">
        <f t="shared" si="112"/>
        <v/>
      </c>
    </row>
    <row r="3927" spans="4:4" x14ac:dyDescent="0.3">
      <c r="D3927" t="str">
        <f t="shared" si="112"/>
        <v/>
      </c>
    </row>
    <row r="3928" spans="4:4" x14ac:dyDescent="0.3">
      <c r="D3928" t="str">
        <f t="shared" si="112"/>
        <v/>
      </c>
    </row>
    <row r="3929" spans="4:4" x14ac:dyDescent="0.3">
      <c r="D3929" t="str">
        <f t="shared" si="112"/>
        <v/>
      </c>
    </row>
    <row r="3930" spans="4:4" x14ac:dyDescent="0.3">
      <c r="D3930" t="str">
        <f t="shared" si="112"/>
        <v/>
      </c>
    </row>
    <row r="3931" spans="4:4" x14ac:dyDescent="0.3">
      <c r="D3931" t="str">
        <f t="shared" si="112"/>
        <v/>
      </c>
    </row>
    <row r="3932" spans="4:4" x14ac:dyDescent="0.3">
      <c r="D3932" t="str">
        <f t="shared" si="112"/>
        <v/>
      </c>
    </row>
    <row r="3933" spans="4:4" x14ac:dyDescent="0.3">
      <c r="D3933" t="str">
        <f t="shared" si="112"/>
        <v/>
      </c>
    </row>
    <row r="3934" spans="4:4" x14ac:dyDescent="0.3">
      <c r="D3934" t="str">
        <f t="shared" si="112"/>
        <v/>
      </c>
    </row>
    <row r="3935" spans="4:4" x14ac:dyDescent="0.3">
      <c r="D3935" t="str">
        <f t="shared" si="112"/>
        <v/>
      </c>
    </row>
    <row r="3936" spans="4:4" x14ac:dyDescent="0.3">
      <c r="D3936" t="str">
        <f t="shared" si="112"/>
        <v/>
      </c>
    </row>
    <row r="3937" spans="4:4" x14ac:dyDescent="0.3">
      <c r="D3937" t="str">
        <f t="shared" si="112"/>
        <v/>
      </c>
    </row>
    <row r="3938" spans="4:4" x14ac:dyDescent="0.3">
      <c r="D3938" t="str">
        <f t="shared" si="112"/>
        <v/>
      </c>
    </row>
    <row r="3939" spans="4:4" x14ac:dyDescent="0.3">
      <c r="D3939" t="str">
        <f t="shared" si="112"/>
        <v/>
      </c>
    </row>
    <row r="3940" spans="4:4" x14ac:dyDescent="0.3">
      <c r="D3940" t="str">
        <f t="shared" si="112"/>
        <v/>
      </c>
    </row>
    <row r="3941" spans="4:4" x14ac:dyDescent="0.3">
      <c r="D3941" t="str">
        <f t="shared" si="112"/>
        <v/>
      </c>
    </row>
    <row r="3942" spans="4:4" x14ac:dyDescent="0.3">
      <c r="D3942" t="str">
        <f t="shared" si="112"/>
        <v/>
      </c>
    </row>
    <row r="3943" spans="4:4" x14ac:dyDescent="0.3">
      <c r="D3943" t="str">
        <f t="shared" si="112"/>
        <v/>
      </c>
    </row>
    <row r="3944" spans="4:4" x14ac:dyDescent="0.3">
      <c r="D3944" t="str">
        <f t="shared" si="112"/>
        <v/>
      </c>
    </row>
    <row r="3945" spans="4:4" x14ac:dyDescent="0.3">
      <c r="D3945" t="str">
        <f t="shared" si="112"/>
        <v/>
      </c>
    </row>
    <row r="3946" spans="4:4" x14ac:dyDescent="0.3">
      <c r="D3946" t="str">
        <f t="shared" si="112"/>
        <v/>
      </c>
    </row>
    <row r="3947" spans="4:4" x14ac:dyDescent="0.3">
      <c r="D3947" t="str">
        <f t="shared" si="112"/>
        <v/>
      </c>
    </row>
    <row r="3948" spans="4:4" x14ac:dyDescent="0.3">
      <c r="D3948" t="str">
        <f t="shared" si="112"/>
        <v/>
      </c>
    </row>
    <row r="3949" spans="4:4" x14ac:dyDescent="0.3">
      <c r="D3949" t="str">
        <f t="shared" si="112"/>
        <v/>
      </c>
    </row>
    <row r="3950" spans="4:4" x14ac:dyDescent="0.3">
      <c r="D3950" t="str">
        <f t="shared" si="112"/>
        <v/>
      </c>
    </row>
    <row r="3951" spans="4:4" x14ac:dyDescent="0.3">
      <c r="D3951" t="str">
        <f t="shared" si="112"/>
        <v/>
      </c>
    </row>
    <row r="3952" spans="4:4" x14ac:dyDescent="0.3">
      <c r="D3952" t="str">
        <f t="shared" si="112"/>
        <v/>
      </c>
    </row>
    <row r="3953" spans="4:4" x14ac:dyDescent="0.3">
      <c r="D3953" t="str">
        <f t="shared" si="112"/>
        <v/>
      </c>
    </row>
    <row r="3954" spans="4:4" x14ac:dyDescent="0.3">
      <c r="D3954" t="str">
        <f t="shared" si="112"/>
        <v/>
      </c>
    </row>
    <row r="3955" spans="4:4" x14ac:dyDescent="0.3">
      <c r="D3955" t="str">
        <f t="shared" si="112"/>
        <v/>
      </c>
    </row>
    <row r="3956" spans="4:4" x14ac:dyDescent="0.3">
      <c r="D3956" t="str">
        <f t="shared" si="112"/>
        <v/>
      </c>
    </row>
    <row r="3957" spans="4:4" x14ac:dyDescent="0.3">
      <c r="D3957" t="str">
        <f t="shared" si="112"/>
        <v/>
      </c>
    </row>
    <row r="3958" spans="4:4" x14ac:dyDescent="0.3">
      <c r="D3958" t="str">
        <f t="shared" si="112"/>
        <v/>
      </c>
    </row>
    <row r="3959" spans="4:4" x14ac:dyDescent="0.3">
      <c r="D3959" t="str">
        <f t="shared" si="112"/>
        <v/>
      </c>
    </row>
    <row r="3960" spans="4:4" x14ac:dyDescent="0.3">
      <c r="D3960" t="str">
        <f t="shared" si="112"/>
        <v/>
      </c>
    </row>
    <row r="3961" spans="4:4" x14ac:dyDescent="0.3">
      <c r="D3961" t="str">
        <f t="shared" si="112"/>
        <v/>
      </c>
    </row>
    <row r="3962" spans="4:4" x14ac:dyDescent="0.3">
      <c r="D3962" t="str">
        <f t="shared" si="112"/>
        <v/>
      </c>
    </row>
    <row r="3963" spans="4:4" x14ac:dyDescent="0.3">
      <c r="D3963" t="str">
        <f t="shared" si="112"/>
        <v/>
      </c>
    </row>
    <row r="3964" spans="4:4" x14ac:dyDescent="0.3">
      <c r="D3964" t="str">
        <f t="shared" si="112"/>
        <v/>
      </c>
    </row>
    <row r="3965" spans="4:4" x14ac:dyDescent="0.3">
      <c r="D3965" t="str">
        <f t="shared" si="112"/>
        <v/>
      </c>
    </row>
    <row r="3966" spans="4:4" x14ac:dyDescent="0.3">
      <c r="D3966" t="str">
        <f t="shared" si="112"/>
        <v/>
      </c>
    </row>
    <row r="3967" spans="4:4" x14ac:dyDescent="0.3">
      <c r="D3967" t="str">
        <f t="shared" si="112"/>
        <v/>
      </c>
    </row>
    <row r="3968" spans="4:4" x14ac:dyDescent="0.3">
      <c r="D3968" t="str">
        <f t="shared" si="112"/>
        <v/>
      </c>
    </row>
    <row r="3969" spans="4:4" x14ac:dyDescent="0.3">
      <c r="D3969" t="str">
        <f t="shared" si="112"/>
        <v/>
      </c>
    </row>
    <row r="3970" spans="4:4" x14ac:dyDescent="0.3">
      <c r="D3970" t="str">
        <f t="shared" si="112"/>
        <v/>
      </c>
    </row>
    <row r="3971" spans="4:4" x14ac:dyDescent="0.3">
      <c r="D3971" t="str">
        <f t="shared" si="112"/>
        <v/>
      </c>
    </row>
    <row r="3972" spans="4:4" x14ac:dyDescent="0.3">
      <c r="D3972" t="str">
        <f t="shared" si="112"/>
        <v/>
      </c>
    </row>
    <row r="3973" spans="4:4" x14ac:dyDescent="0.3">
      <c r="D3973" t="str">
        <f t="shared" si="112"/>
        <v/>
      </c>
    </row>
    <row r="3974" spans="4:4" x14ac:dyDescent="0.3">
      <c r="D3974" t="str">
        <f t="shared" si="112"/>
        <v/>
      </c>
    </row>
    <row r="3975" spans="4:4" x14ac:dyDescent="0.3">
      <c r="D3975" t="str">
        <f t="shared" si="112"/>
        <v/>
      </c>
    </row>
    <row r="3976" spans="4:4" x14ac:dyDescent="0.3">
      <c r="D3976" t="str">
        <f t="shared" si="112"/>
        <v/>
      </c>
    </row>
    <row r="3977" spans="4:4" x14ac:dyDescent="0.3">
      <c r="D3977" t="str">
        <f t="shared" ref="D3977:D4040" si="113">IF(LEFT(A3977,2)="SP",MID(A3977,4,4),IF(LEFT(A3977,1)="X",MID(A3977,3,4),""))</f>
        <v/>
      </c>
    </row>
    <row r="3978" spans="4:4" x14ac:dyDescent="0.3">
      <c r="D3978" t="str">
        <f t="shared" si="113"/>
        <v/>
      </c>
    </row>
    <row r="3979" spans="4:4" x14ac:dyDescent="0.3">
      <c r="D3979" t="str">
        <f t="shared" si="113"/>
        <v/>
      </c>
    </row>
    <row r="3980" spans="4:4" x14ac:dyDescent="0.3">
      <c r="D3980" t="str">
        <f t="shared" si="113"/>
        <v/>
      </c>
    </row>
    <row r="3981" spans="4:4" x14ac:dyDescent="0.3">
      <c r="D3981" t="str">
        <f t="shared" si="113"/>
        <v/>
      </c>
    </row>
    <row r="3982" spans="4:4" x14ac:dyDescent="0.3">
      <c r="D3982" t="str">
        <f t="shared" si="113"/>
        <v/>
      </c>
    </row>
    <row r="3983" spans="4:4" x14ac:dyDescent="0.3">
      <c r="D3983" t="str">
        <f t="shared" si="113"/>
        <v/>
      </c>
    </row>
    <row r="3984" spans="4:4" x14ac:dyDescent="0.3">
      <c r="D3984" t="str">
        <f t="shared" si="113"/>
        <v/>
      </c>
    </row>
    <row r="3985" spans="4:4" x14ac:dyDescent="0.3">
      <c r="D3985" t="str">
        <f t="shared" si="113"/>
        <v/>
      </c>
    </row>
    <row r="3986" spans="4:4" x14ac:dyDescent="0.3">
      <c r="D3986" t="str">
        <f t="shared" si="113"/>
        <v/>
      </c>
    </row>
    <row r="3987" spans="4:4" x14ac:dyDescent="0.3">
      <c r="D3987" t="str">
        <f t="shared" si="113"/>
        <v/>
      </c>
    </row>
    <row r="3988" spans="4:4" x14ac:dyDescent="0.3">
      <c r="D3988" t="str">
        <f t="shared" si="113"/>
        <v/>
      </c>
    </row>
    <row r="3989" spans="4:4" x14ac:dyDescent="0.3">
      <c r="D3989" t="str">
        <f t="shared" si="113"/>
        <v/>
      </c>
    </row>
    <row r="3990" spans="4:4" x14ac:dyDescent="0.3">
      <c r="D3990" t="str">
        <f t="shared" si="113"/>
        <v/>
      </c>
    </row>
    <row r="3991" spans="4:4" x14ac:dyDescent="0.3">
      <c r="D3991" t="str">
        <f t="shared" si="113"/>
        <v/>
      </c>
    </row>
    <row r="3992" spans="4:4" x14ac:dyDescent="0.3">
      <c r="D3992" t="str">
        <f t="shared" si="113"/>
        <v/>
      </c>
    </row>
    <row r="3993" spans="4:4" x14ac:dyDescent="0.3">
      <c r="D3993" t="str">
        <f t="shared" si="113"/>
        <v/>
      </c>
    </row>
    <row r="3994" spans="4:4" x14ac:dyDescent="0.3">
      <c r="D3994" t="str">
        <f t="shared" si="113"/>
        <v/>
      </c>
    </row>
    <row r="3995" spans="4:4" x14ac:dyDescent="0.3">
      <c r="D3995" t="str">
        <f t="shared" si="113"/>
        <v/>
      </c>
    </row>
    <row r="3996" spans="4:4" x14ac:dyDescent="0.3">
      <c r="D3996" t="str">
        <f t="shared" si="113"/>
        <v/>
      </c>
    </row>
    <row r="3997" spans="4:4" x14ac:dyDescent="0.3">
      <c r="D3997" t="str">
        <f t="shared" si="113"/>
        <v/>
      </c>
    </row>
    <row r="3998" spans="4:4" x14ac:dyDescent="0.3">
      <c r="D3998" t="str">
        <f t="shared" si="113"/>
        <v/>
      </c>
    </row>
    <row r="3999" spans="4:4" x14ac:dyDescent="0.3">
      <c r="D3999" t="str">
        <f t="shared" si="113"/>
        <v/>
      </c>
    </row>
    <row r="4000" spans="4:4" x14ac:dyDescent="0.3">
      <c r="D4000" t="str">
        <f t="shared" si="113"/>
        <v/>
      </c>
    </row>
    <row r="4001" spans="4:4" x14ac:dyDescent="0.3">
      <c r="D4001" t="str">
        <f t="shared" si="113"/>
        <v/>
      </c>
    </row>
    <row r="4002" spans="4:4" x14ac:dyDescent="0.3">
      <c r="D4002" t="str">
        <f t="shared" si="113"/>
        <v/>
      </c>
    </row>
    <row r="4003" spans="4:4" x14ac:dyDescent="0.3">
      <c r="D4003" t="str">
        <f t="shared" si="113"/>
        <v/>
      </c>
    </row>
    <row r="4004" spans="4:4" x14ac:dyDescent="0.3">
      <c r="D4004" t="str">
        <f t="shared" si="113"/>
        <v/>
      </c>
    </row>
    <row r="4005" spans="4:4" x14ac:dyDescent="0.3">
      <c r="D4005" t="str">
        <f t="shared" si="113"/>
        <v/>
      </c>
    </row>
    <row r="4006" spans="4:4" x14ac:dyDescent="0.3">
      <c r="D4006" t="str">
        <f t="shared" si="113"/>
        <v/>
      </c>
    </row>
    <row r="4007" spans="4:4" x14ac:dyDescent="0.3">
      <c r="D4007" t="str">
        <f t="shared" si="113"/>
        <v/>
      </c>
    </row>
    <row r="4008" spans="4:4" x14ac:dyDescent="0.3">
      <c r="D4008" t="str">
        <f t="shared" si="113"/>
        <v/>
      </c>
    </row>
    <row r="4009" spans="4:4" x14ac:dyDescent="0.3">
      <c r="D4009" t="str">
        <f t="shared" si="113"/>
        <v/>
      </c>
    </row>
    <row r="4010" spans="4:4" x14ac:dyDescent="0.3">
      <c r="D4010" t="str">
        <f t="shared" si="113"/>
        <v/>
      </c>
    </row>
    <row r="4011" spans="4:4" x14ac:dyDescent="0.3">
      <c r="D4011" t="str">
        <f t="shared" si="113"/>
        <v/>
      </c>
    </row>
    <row r="4012" spans="4:4" x14ac:dyDescent="0.3">
      <c r="D4012" t="str">
        <f t="shared" si="113"/>
        <v/>
      </c>
    </row>
    <row r="4013" spans="4:4" x14ac:dyDescent="0.3">
      <c r="D4013" t="str">
        <f t="shared" si="113"/>
        <v/>
      </c>
    </row>
    <row r="4014" spans="4:4" x14ac:dyDescent="0.3">
      <c r="D4014" t="str">
        <f t="shared" si="113"/>
        <v/>
      </c>
    </row>
    <row r="4015" spans="4:4" x14ac:dyDescent="0.3">
      <c r="D4015" t="str">
        <f t="shared" si="113"/>
        <v/>
      </c>
    </row>
    <row r="4016" spans="4:4" x14ac:dyDescent="0.3">
      <c r="D4016" t="str">
        <f t="shared" si="113"/>
        <v/>
      </c>
    </row>
    <row r="4017" spans="4:4" x14ac:dyDescent="0.3">
      <c r="D4017" t="str">
        <f t="shared" si="113"/>
        <v/>
      </c>
    </row>
    <row r="4018" spans="4:4" x14ac:dyDescent="0.3">
      <c r="D4018" t="str">
        <f t="shared" si="113"/>
        <v/>
      </c>
    </row>
    <row r="4019" spans="4:4" x14ac:dyDescent="0.3">
      <c r="D4019" t="str">
        <f t="shared" si="113"/>
        <v/>
      </c>
    </row>
    <row r="4020" spans="4:4" x14ac:dyDescent="0.3">
      <c r="D4020" t="str">
        <f t="shared" si="113"/>
        <v/>
      </c>
    </row>
    <row r="4021" spans="4:4" x14ac:dyDescent="0.3">
      <c r="D4021" t="str">
        <f t="shared" si="113"/>
        <v/>
      </c>
    </row>
    <row r="4022" spans="4:4" x14ac:dyDescent="0.3">
      <c r="D4022" t="str">
        <f t="shared" si="113"/>
        <v/>
      </c>
    </row>
    <row r="4023" spans="4:4" x14ac:dyDescent="0.3">
      <c r="D4023" t="str">
        <f t="shared" si="113"/>
        <v/>
      </c>
    </row>
    <row r="4024" spans="4:4" x14ac:dyDescent="0.3">
      <c r="D4024" t="str">
        <f t="shared" si="113"/>
        <v/>
      </c>
    </row>
    <row r="4025" spans="4:4" x14ac:dyDescent="0.3">
      <c r="D4025" t="str">
        <f t="shared" si="113"/>
        <v/>
      </c>
    </row>
    <row r="4026" spans="4:4" x14ac:dyDescent="0.3">
      <c r="D4026" t="str">
        <f t="shared" si="113"/>
        <v/>
      </c>
    </row>
    <row r="4027" spans="4:4" x14ac:dyDescent="0.3">
      <c r="D4027" t="str">
        <f t="shared" si="113"/>
        <v/>
      </c>
    </row>
    <row r="4028" spans="4:4" x14ac:dyDescent="0.3">
      <c r="D4028" t="str">
        <f t="shared" si="113"/>
        <v/>
      </c>
    </row>
    <row r="4029" spans="4:4" x14ac:dyDescent="0.3">
      <c r="D4029" t="str">
        <f t="shared" si="113"/>
        <v/>
      </c>
    </row>
    <row r="4030" spans="4:4" x14ac:dyDescent="0.3">
      <c r="D4030" t="str">
        <f t="shared" si="113"/>
        <v/>
      </c>
    </row>
    <row r="4031" spans="4:4" x14ac:dyDescent="0.3">
      <c r="D4031" t="str">
        <f t="shared" si="113"/>
        <v/>
      </c>
    </row>
    <row r="4032" spans="4:4" x14ac:dyDescent="0.3">
      <c r="D4032" t="str">
        <f t="shared" si="113"/>
        <v/>
      </c>
    </row>
    <row r="4033" spans="4:4" x14ac:dyDescent="0.3">
      <c r="D4033" t="str">
        <f t="shared" si="113"/>
        <v/>
      </c>
    </row>
    <row r="4034" spans="4:4" x14ac:dyDescent="0.3">
      <c r="D4034" t="str">
        <f t="shared" si="113"/>
        <v/>
      </c>
    </row>
    <row r="4035" spans="4:4" x14ac:dyDescent="0.3">
      <c r="D4035" t="str">
        <f t="shared" si="113"/>
        <v/>
      </c>
    </row>
    <row r="4036" spans="4:4" x14ac:dyDescent="0.3">
      <c r="D4036" t="str">
        <f t="shared" si="113"/>
        <v/>
      </c>
    </row>
    <row r="4037" spans="4:4" x14ac:dyDescent="0.3">
      <c r="D4037" t="str">
        <f t="shared" si="113"/>
        <v/>
      </c>
    </row>
    <row r="4038" spans="4:4" x14ac:dyDescent="0.3">
      <c r="D4038" t="str">
        <f t="shared" si="113"/>
        <v/>
      </c>
    </row>
    <row r="4039" spans="4:4" x14ac:dyDescent="0.3">
      <c r="D4039" t="str">
        <f t="shared" si="113"/>
        <v/>
      </c>
    </row>
    <row r="4040" spans="4:4" x14ac:dyDescent="0.3">
      <c r="D4040" t="str">
        <f t="shared" si="113"/>
        <v/>
      </c>
    </row>
    <row r="4041" spans="4:4" x14ac:dyDescent="0.3">
      <c r="D4041" t="str">
        <f t="shared" ref="D4041:D4104" si="114">IF(LEFT(A4041,2)="SP",MID(A4041,4,4),IF(LEFT(A4041,1)="X",MID(A4041,3,4),""))</f>
        <v/>
      </c>
    </row>
    <row r="4042" spans="4:4" x14ac:dyDescent="0.3">
      <c r="D4042" t="str">
        <f t="shared" si="114"/>
        <v/>
      </c>
    </row>
    <row r="4043" spans="4:4" x14ac:dyDescent="0.3">
      <c r="D4043" t="str">
        <f t="shared" si="114"/>
        <v/>
      </c>
    </row>
    <row r="4044" spans="4:4" x14ac:dyDescent="0.3">
      <c r="D4044" t="str">
        <f t="shared" si="114"/>
        <v/>
      </c>
    </row>
    <row r="4045" spans="4:4" x14ac:dyDescent="0.3">
      <c r="D4045" t="str">
        <f t="shared" si="114"/>
        <v/>
      </c>
    </row>
    <row r="4046" spans="4:4" x14ac:dyDescent="0.3">
      <c r="D4046" t="str">
        <f t="shared" si="114"/>
        <v/>
      </c>
    </row>
    <row r="4047" spans="4:4" x14ac:dyDescent="0.3">
      <c r="D4047" t="str">
        <f t="shared" si="114"/>
        <v/>
      </c>
    </row>
    <row r="4048" spans="4:4" x14ac:dyDescent="0.3">
      <c r="D4048" t="str">
        <f t="shared" si="114"/>
        <v/>
      </c>
    </row>
    <row r="4049" spans="4:4" x14ac:dyDescent="0.3">
      <c r="D4049" t="str">
        <f t="shared" si="114"/>
        <v/>
      </c>
    </row>
    <row r="4050" spans="4:4" x14ac:dyDescent="0.3">
      <c r="D4050" t="str">
        <f t="shared" si="114"/>
        <v/>
      </c>
    </row>
    <row r="4051" spans="4:4" x14ac:dyDescent="0.3">
      <c r="D4051" t="str">
        <f t="shared" si="114"/>
        <v/>
      </c>
    </row>
    <row r="4052" spans="4:4" x14ac:dyDescent="0.3">
      <c r="D4052" t="str">
        <f t="shared" si="114"/>
        <v/>
      </c>
    </row>
    <row r="4053" spans="4:4" x14ac:dyDescent="0.3">
      <c r="D4053" t="str">
        <f t="shared" si="114"/>
        <v/>
      </c>
    </row>
    <row r="4054" spans="4:4" x14ac:dyDescent="0.3">
      <c r="D4054" t="str">
        <f t="shared" si="114"/>
        <v/>
      </c>
    </row>
    <row r="4055" spans="4:4" x14ac:dyDescent="0.3">
      <c r="D4055" t="str">
        <f t="shared" si="114"/>
        <v/>
      </c>
    </row>
    <row r="4056" spans="4:4" x14ac:dyDescent="0.3">
      <c r="D4056" t="str">
        <f t="shared" si="114"/>
        <v/>
      </c>
    </row>
    <row r="4057" spans="4:4" x14ac:dyDescent="0.3">
      <c r="D4057" t="str">
        <f t="shared" si="114"/>
        <v/>
      </c>
    </row>
    <row r="4058" spans="4:4" x14ac:dyDescent="0.3">
      <c r="D4058" t="str">
        <f t="shared" si="114"/>
        <v/>
      </c>
    </row>
    <row r="4059" spans="4:4" x14ac:dyDescent="0.3">
      <c r="D4059" t="str">
        <f t="shared" si="114"/>
        <v/>
      </c>
    </row>
    <row r="4060" spans="4:4" x14ac:dyDescent="0.3">
      <c r="D4060" t="str">
        <f t="shared" si="114"/>
        <v/>
      </c>
    </row>
    <row r="4061" spans="4:4" x14ac:dyDescent="0.3">
      <c r="D4061" t="str">
        <f t="shared" si="114"/>
        <v/>
      </c>
    </row>
    <row r="4062" spans="4:4" x14ac:dyDescent="0.3">
      <c r="D4062" t="str">
        <f t="shared" si="114"/>
        <v/>
      </c>
    </row>
    <row r="4063" spans="4:4" x14ac:dyDescent="0.3">
      <c r="D4063" t="str">
        <f t="shared" si="114"/>
        <v/>
      </c>
    </row>
    <row r="4064" spans="4:4" x14ac:dyDescent="0.3">
      <c r="D4064" t="str">
        <f t="shared" si="114"/>
        <v/>
      </c>
    </row>
    <row r="4065" spans="4:4" x14ac:dyDescent="0.3">
      <c r="D4065" t="str">
        <f t="shared" si="114"/>
        <v/>
      </c>
    </row>
    <row r="4066" spans="4:4" x14ac:dyDescent="0.3">
      <c r="D4066" t="str">
        <f t="shared" si="114"/>
        <v/>
      </c>
    </row>
    <row r="4067" spans="4:4" x14ac:dyDescent="0.3">
      <c r="D4067" t="str">
        <f t="shared" si="114"/>
        <v/>
      </c>
    </row>
    <row r="4068" spans="4:4" x14ac:dyDescent="0.3">
      <c r="D4068" t="str">
        <f t="shared" si="114"/>
        <v/>
      </c>
    </row>
    <row r="4069" spans="4:4" x14ac:dyDescent="0.3">
      <c r="D4069" t="str">
        <f t="shared" si="114"/>
        <v/>
      </c>
    </row>
    <row r="4070" spans="4:4" x14ac:dyDescent="0.3">
      <c r="D4070" t="str">
        <f t="shared" si="114"/>
        <v/>
      </c>
    </row>
    <row r="4071" spans="4:4" x14ac:dyDescent="0.3">
      <c r="D4071" t="str">
        <f t="shared" si="114"/>
        <v/>
      </c>
    </row>
    <row r="4072" spans="4:4" x14ac:dyDescent="0.3">
      <c r="D4072" t="str">
        <f t="shared" si="114"/>
        <v/>
      </c>
    </row>
    <row r="4073" spans="4:4" x14ac:dyDescent="0.3">
      <c r="D4073" t="str">
        <f t="shared" si="114"/>
        <v/>
      </c>
    </row>
    <row r="4074" spans="4:4" x14ac:dyDescent="0.3">
      <c r="D4074" t="str">
        <f t="shared" si="114"/>
        <v/>
      </c>
    </row>
    <row r="4075" spans="4:4" x14ac:dyDescent="0.3">
      <c r="D4075" t="str">
        <f t="shared" si="114"/>
        <v/>
      </c>
    </row>
    <row r="4076" spans="4:4" x14ac:dyDescent="0.3">
      <c r="D4076" t="str">
        <f t="shared" si="114"/>
        <v/>
      </c>
    </row>
    <row r="4077" spans="4:4" x14ac:dyDescent="0.3">
      <c r="D4077" t="str">
        <f t="shared" si="114"/>
        <v/>
      </c>
    </row>
    <row r="4078" spans="4:4" x14ac:dyDescent="0.3">
      <c r="D4078" t="str">
        <f t="shared" si="114"/>
        <v/>
      </c>
    </row>
    <row r="4079" spans="4:4" x14ac:dyDescent="0.3">
      <c r="D4079" t="str">
        <f t="shared" si="114"/>
        <v/>
      </c>
    </row>
    <row r="4080" spans="4:4" x14ac:dyDescent="0.3">
      <c r="D4080" t="str">
        <f t="shared" si="114"/>
        <v/>
      </c>
    </row>
    <row r="4081" spans="4:4" x14ac:dyDescent="0.3">
      <c r="D4081" t="str">
        <f t="shared" si="114"/>
        <v/>
      </c>
    </row>
    <row r="4082" spans="4:4" x14ac:dyDescent="0.3">
      <c r="D4082" t="str">
        <f t="shared" si="114"/>
        <v/>
      </c>
    </row>
    <row r="4083" spans="4:4" x14ac:dyDescent="0.3">
      <c r="D4083" t="str">
        <f t="shared" si="114"/>
        <v/>
      </c>
    </row>
    <row r="4084" spans="4:4" x14ac:dyDescent="0.3">
      <c r="D4084" t="str">
        <f t="shared" si="114"/>
        <v/>
      </c>
    </row>
    <row r="4085" spans="4:4" x14ac:dyDescent="0.3">
      <c r="D4085" t="str">
        <f t="shared" si="114"/>
        <v/>
      </c>
    </row>
    <row r="4086" spans="4:4" x14ac:dyDescent="0.3">
      <c r="D4086" t="str">
        <f t="shared" si="114"/>
        <v/>
      </c>
    </row>
    <row r="4087" spans="4:4" x14ac:dyDescent="0.3">
      <c r="D4087" t="str">
        <f t="shared" si="114"/>
        <v/>
      </c>
    </row>
    <row r="4088" spans="4:4" x14ac:dyDescent="0.3">
      <c r="D4088" t="str">
        <f t="shared" si="114"/>
        <v/>
      </c>
    </row>
    <row r="4089" spans="4:4" x14ac:dyDescent="0.3">
      <c r="D4089" t="str">
        <f t="shared" si="114"/>
        <v/>
      </c>
    </row>
    <row r="4090" spans="4:4" x14ac:dyDescent="0.3">
      <c r="D4090" t="str">
        <f t="shared" si="114"/>
        <v/>
      </c>
    </row>
    <row r="4091" spans="4:4" x14ac:dyDescent="0.3">
      <c r="D4091" t="str">
        <f t="shared" si="114"/>
        <v/>
      </c>
    </row>
    <row r="4092" spans="4:4" x14ac:dyDescent="0.3">
      <c r="D4092" t="str">
        <f t="shared" si="114"/>
        <v/>
      </c>
    </row>
    <row r="4093" spans="4:4" x14ac:dyDescent="0.3">
      <c r="D4093" t="str">
        <f t="shared" si="114"/>
        <v/>
      </c>
    </row>
    <row r="4094" spans="4:4" x14ac:dyDescent="0.3">
      <c r="D4094" t="str">
        <f t="shared" si="114"/>
        <v/>
      </c>
    </row>
    <row r="4095" spans="4:4" x14ac:dyDescent="0.3">
      <c r="D4095" t="str">
        <f t="shared" si="114"/>
        <v/>
      </c>
    </row>
    <row r="4096" spans="4:4" x14ac:dyDescent="0.3">
      <c r="D4096" t="str">
        <f t="shared" si="114"/>
        <v/>
      </c>
    </row>
    <row r="4097" spans="4:4" x14ac:dyDescent="0.3">
      <c r="D4097" t="str">
        <f t="shared" si="114"/>
        <v/>
      </c>
    </row>
    <row r="4098" spans="4:4" x14ac:dyDescent="0.3">
      <c r="D4098" t="str">
        <f t="shared" si="114"/>
        <v/>
      </c>
    </row>
    <row r="4099" spans="4:4" x14ac:dyDescent="0.3">
      <c r="D4099" t="str">
        <f t="shared" si="114"/>
        <v/>
      </c>
    </row>
    <row r="4100" spans="4:4" x14ac:dyDescent="0.3">
      <c r="D4100" t="str">
        <f t="shared" si="114"/>
        <v/>
      </c>
    </row>
    <row r="4101" spans="4:4" x14ac:dyDescent="0.3">
      <c r="D4101" t="str">
        <f t="shared" si="114"/>
        <v/>
      </c>
    </row>
    <row r="4102" spans="4:4" x14ac:dyDescent="0.3">
      <c r="D4102" t="str">
        <f t="shared" si="114"/>
        <v/>
      </c>
    </row>
    <row r="4103" spans="4:4" x14ac:dyDescent="0.3">
      <c r="D4103" t="str">
        <f t="shared" si="114"/>
        <v/>
      </c>
    </row>
    <row r="4104" spans="4:4" x14ac:dyDescent="0.3">
      <c r="D4104" t="str">
        <f t="shared" si="114"/>
        <v/>
      </c>
    </row>
    <row r="4105" spans="4:4" x14ac:dyDescent="0.3">
      <c r="D4105" t="str">
        <f t="shared" ref="D4105:D4168" si="115">IF(LEFT(A4105,2)="SP",MID(A4105,4,4),IF(LEFT(A4105,1)="X",MID(A4105,3,4),""))</f>
        <v/>
      </c>
    </row>
    <row r="4106" spans="4:4" x14ac:dyDescent="0.3">
      <c r="D4106" t="str">
        <f t="shared" si="115"/>
        <v/>
      </c>
    </row>
    <row r="4107" spans="4:4" x14ac:dyDescent="0.3">
      <c r="D4107" t="str">
        <f t="shared" si="115"/>
        <v/>
      </c>
    </row>
    <row r="4108" spans="4:4" x14ac:dyDescent="0.3">
      <c r="D4108" t="str">
        <f t="shared" si="115"/>
        <v/>
      </c>
    </row>
    <row r="4109" spans="4:4" x14ac:dyDescent="0.3">
      <c r="D4109" t="str">
        <f t="shared" si="115"/>
        <v/>
      </c>
    </row>
    <row r="4110" spans="4:4" x14ac:dyDescent="0.3">
      <c r="D4110" t="str">
        <f t="shared" si="115"/>
        <v/>
      </c>
    </row>
    <row r="4111" spans="4:4" x14ac:dyDescent="0.3">
      <c r="D4111" t="str">
        <f t="shared" si="115"/>
        <v/>
      </c>
    </row>
    <row r="4112" spans="4:4" x14ac:dyDescent="0.3">
      <c r="D4112" t="str">
        <f t="shared" si="115"/>
        <v/>
      </c>
    </row>
    <row r="4113" spans="4:4" x14ac:dyDescent="0.3">
      <c r="D4113" t="str">
        <f t="shared" si="115"/>
        <v/>
      </c>
    </row>
    <row r="4114" spans="4:4" x14ac:dyDescent="0.3">
      <c r="D4114" t="str">
        <f t="shared" si="115"/>
        <v/>
      </c>
    </row>
    <row r="4115" spans="4:4" x14ac:dyDescent="0.3">
      <c r="D4115" t="str">
        <f t="shared" si="115"/>
        <v/>
      </c>
    </row>
    <row r="4116" spans="4:4" x14ac:dyDescent="0.3">
      <c r="D4116" t="str">
        <f t="shared" si="115"/>
        <v/>
      </c>
    </row>
    <row r="4117" spans="4:4" x14ac:dyDescent="0.3">
      <c r="D4117" t="str">
        <f t="shared" si="115"/>
        <v/>
      </c>
    </row>
    <row r="4118" spans="4:4" x14ac:dyDescent="0.3">
      <c r="D4118" t="str">
        <f t="shared" si="115"/>
        <v/>
      </c>
    </row>
    <row r="4119" spans="4:4" x14ac:dyDescent="0.3">
      <c r="D4119" t="str">
        <f t="shared" si="115"/>
        <v/>
      </c>
    </row>
    <row r="4120" spans="4:4" x14ac:dyDescent="0.3">
      <c r="D4120" t="str">
        <f t="shared" si="115"/>
        <v/>
      </c>
    </row>
    <row r="4121" spans="4:4" x14ac:dyDescent="0.3">
      <c r="D4121" t="str">
        <f t="shared" si="115"/>
        <v/>
      </c>
    </row>
    <row r="4122" spans="4:4" x14ac:dyDescent="0.3">
      <c r="D4122" t="str">
        <f t="shared" si="115"/>
        <v/>
      </c>
    </row>
    <row r="4123" spans="4:4" x14ac:dyDescent="0.3">
      <c r="D4123" t="str">
        <f t="shared" si="115"/>
        <v/>
      </c>
    </row>
    <row r="4124" spans="4:4" x14ac:dyDescent="0.3">
      <c r="D4124" t="str">
        <f t="shared" si="115"/>
        <v/>
      </c>
    </row>
    <row r="4125" spans="4:4" x14ac:dyDescent="0.3">
      <c r="D4125" t="str">
        <f t="shared" si="115"/>
        <v/>
      </c>
    </row>
    <row r="4126" spans="4:4" x14ac:dyDescent="0.3">
      <c r="D4126" t="str">
        <f t="shared" si="115"/>
        <v/>
      </c>
    </row>
    <row r="4127" spans="4:4" x14ac:dyDescent="0.3">
      <c r="D4127" t="str">
        <f t="shared" si="115"/>
        <v/>
      </c>
    </row>
    <row r="4128" spans="4:4" x14ac:dyDescent="0.3">
      <c r="D4128" t="str">
        <f t="shared" si="115"/>
        <v/>
      </c>
    </row>
    <row r="4129" spans="4:4" x14ac:dyDescent="0.3">
      <c r="D4129" t="str">
        <f t="shared" si="115"/>
        <v/>
      </c>
    </row>
    <row r="4130" spans="4:4" x14ac:dyDescent="0.3">
      <c r="D4130" t="str">
        <f t="shared" si="115"/>
        <v/>
      </c>
    </row>
    <row r="4131" spans="4:4" x14ac:dyDescent="0.3">
      <c r="D4131" t="str">
        <f t="shared" si="115"/>
        <v/>
      </c>
    </row>
    <row r="4132" spans="4:4" x14ac:dyDescent="0.3">
      <c r="D4132" t="str">
        <f t="shared" si="115"/>
        <v/>
      </c>
    </row>
    <row r="4133" spans="4:4" x14ac:dyDescent="0.3">
      <c r="D4133" t="str">
        <f t="shared" si="115"/>
        <v/>
      </c>
    </row>
    <row r="4134" spans="4:4" x14ac:dyDescent="0.3">
      <c r="D4134" t="str">
        <f t="shared" si="115"/>
        <v/>
      </c>
    </row>
    <row r="4135" spans="4:4" x14ac:dyDescent="0.3">
      <c r="D4135" t="str">
        <f t="shared" si="115"/>
        <v/>
      </c>
    </row>
    <row r="4136" spans="4:4" x14ac:dyDescent="0.3">
      <c r="D4136" t="str">
        <f t="shared" si="115"/>
        <v/>
      </c>
    </row>
    <row r="4137" spans="4:4" x14ac:dyDescent="0.3">
      <c r="D4137" t="str">
        <f t="shared" si="115"/>
        <v/>
      </c>
    </row>
    <row r="4138" spans="4:4" x14ac:dyDescent="0.3">
      <c r="D4138" t="str">
        <f t="shared" si="115"/>
        <v/>
      </c>
    </row>
    <row r="4139" spans="4:4" x14ac:dyDescent="0.3">
      <c r="D4139" t="str">
        <f t="shared" si="115"/>
        <v/>
      </c>
    </row>
    <row r="4140" spans="4:4" x14ac:dyDescent="0.3">
      <c r="D4140" t="str">
        <f t="shared" si="115"/>
        <v/>
      </c>
    </row>
    <row r="4141" spans="4:4" x14ac:dyDescent="0.3">
      <c r="D4141" t="str">
        <f t="shared" si="115"/>
        <v/>
      </c>
    </row>
    <row r="4142" spans="4:4" x14ac:dyDescent="0.3">
      <c r="D4142" t="str">
        <f t="shared" si="115"/>
        <v/>
      </c>
    </row>
    <row r="4143" spans="4:4" x14ac:dyDescent="0.3">
      <c r="D4143" t="str">
        <f t="shared" si="115"/>
        <v/>
      </c>
    </row>
    <row r="4144" spans="4:4" x14ac:dyDescent="0.3">
      <c r="D4144" t="str">
        <f t="shared" si="115"/>
        <v/>
      </c>
    </row>
    <row r="4145" spans="4:4" x14ac:dyDescent="0.3">
      <c r="D4145" t="str">
        <f t="shared" si="115"/>
        <v/>
      </c>
    </row>
    <row r="4146" spans="4:4" x14ac:dyDescent="0.3">
      <c r="D4146" t="str">
        <f t="shared" si="115"/>
        <v/>
      </c>
    </row>
    <row r="4147" spans="4:4" x14ac:dyDescent="0.3">
      <c r="D4147" t="str">
        <f t="shared" si="115"/>
        <v/>
      </c>
    </row>
    <row r="4148" spans="4:4" x14ac:dyDescent="0.3">
      <c r="D4148" t="str">
        <f t="shared" si="115"/>
        <v/>
      </c>
    </row>
    <row r="4149" spans="4:4" x14ac:dyDescent="0.3">
      <c r="D4149" t="str">
        <f t="shared" si="115"/>
        <v/>
      </c>
    </row>
    <row r="4150" spans="4:4" x14ac:dyDescent="0.3">
      <c r="D4150" t="str">
        <f t="shared" si="115"/>
        <v/>
      </c>
    </row>
    <row r="4151" spans="4:4" x14ac:dyDescent="0.3">
      <c r="D4151" t="str">
        <f t="shared" si="115"/>
        <v/>
      </c>
    </row>
    <row r="4152" spans="4:4" x14ac:dyDescent="0.3">
      <c r="D4152" t="str">
        <f t="shared" si="115"/>
        <v/>
      </c>
    </row>
    <row r="4153" spans="4:4" x14ac:dyDescent="0.3">
      <c r="D4153" t="str">
        <f t="shared" si="115"/>
        <v/>
      </c>
    </row>
    <row r="4154" spans="4:4" x14ac:dyDescent="0.3">
      <c r="D4154" t="str">
        <f t="shared" si="115"/>
        <v/>
      </c>
    </row>
    <row r="4155" spans="4:4" x14ac:dyDescent="0.3">
      <c r="D4155" t="str">
        <f t="shared" si="115"/>
        <v/>
      </c>
    </row>
    <row r="4156" spans="4:4" x14ac:dyDescent="0.3">
      <c r="D4156" t="str">
        <f t="shared" si="115"/>
        <v/>
      </c>
    </row>
    <row r="4157" spans="4:4" x14ac:dyDescent="0.3">
      <c r="D4157" t="str">
        <f t="shared" si="115"/>
        <v/>
      </c>
    </row>
    <row r="4158" spans="4:4" x14ac:dyDescent="0.3">
      <c r="D4158" t="str">
        <f t="shared" si="115"/>
        <v/>
      </c>
    </row>
    <row r="4159" spans="4:4" x14ac:dyDescent="0.3">
      <c r="D4159" t="str">
        <f t="shared" si="115"/>
        <v/>
      </c>
    </row>
    <row r="4160" spans="4:4" x14ac:dyDescent="0.3">
      <c r="D4160" t="str">
        <f t="shared" si="115"/>
        <v/>
      </c>
    </row>
    <row r="4161" spans="4:4" x14ac:dyDescent="0.3">
      <c r="D4161" t="str">
        <f t="shared" si="115"/>
        <v/>
      </c>
    </row>
    <row r="4162" spans="4:4" x14ac:dyDescent="0.3">
      <c r="D4162" t="str">
        <f t="shared" si="115"/>
        <v/>
      </c>
    </row>
    <row r="4163" spans="4:4" x14ac:dyDescent="0.3">
      <c r="D4163" t="str">
        <f t="shared" si="115"/>
        <v/>
      </c>
    </row>
    <row r="4164" spans="4:4" x14ac:dyDescent="0.3">
      <c r="D4164" t="str">
        <f t="shared" si="115"/>
        <v/>
      </c>
    </row>
    <row r="4165" spans="4:4" x14ac:dyDescent="0.3">
      <c r="D4165" t="str">
        <f t="shared" si="115"/>
        <v/>
      </c>
    </row>
    <row r="4166" spans="4:4" x14ac:dyDescent="0.3">
      <c r="D4166" t="str">
        <f t="shared" si="115"/>
        <v/>
      </c>
    </row>
    <row r="4167" spans="4:4" x14ac:dyDescent="0.3">
      <c r="D4167" t="str">
        <f t="shared" si="115"/>
        <v/>
      </c>
    </row>
    <row r="4168" spans="4:4" x14ac:dyDescent="0.3">
      <c r="D4168" t="str">
        <f t="shared" si="115"/>
        <v/>
      </c>
    </row>
    <row r="4169" spans="4:4" x14ac:dyDescent="0.3">
      <c r="D4169" t="str">
        <f t="shared" ref="D4169:D4232" si="116">IF(LEFT(A4169,2)="SP",MID(A4169,4,4),IF(LEFT(A4169,1)="X",MID(A4169,3,4),""))</f>
        <v/>
      </c>
    </row>
    <row r="4170" spans="4:4" x14ac:dyDescent="0.3">
      <c r="D4170" t="str">
        <f t="shared" si="116"/>
        <v/>
      </c>
    </row>
    <row r="4171" spans="4:4" x14ac:dyDescent="0.3">
      <c r="D4171" t="str">
        <f t="shared" si="116"/>
        <v/>
      </c>
    </row>
    <row r="4172" spans="4:4" x14ac:dyDescent="0.3">
      <c r="D4172" t="str">
        <f t="shared" si="116"/>
        <v/>
      </c>
    </row>
    <row r="4173" spans="4:4" x14ac:dyDescent="0.3">
      <c r="D4173" t="str">
        <f t="shared" si="116"/>
        <v/>
      </c>
    </row>
    <row r="4174" spans="4:4" x14ac:dyDescent="0.3">
      <c r="D4174" t="str">
        <f t="shared" si="116"/>
        <v/>
      </c>
    </row>
    <row r="4175" spans="4:4" x14ac:dyDescent="0.3">
      <c r="D4175" t="str">
        <f t="shared" si="116"/>
        <v/>
      </c>
    </row>
    <row r="4176" spans="4:4" x14ac:dyDescent="0.3">
      <c r="D4176" t="str">
        <f t="shared" si="116"/>
        <v/>
      </c>
    </row>
    <row r="4177" spans="4:4" x14ac:dyDescent="0.3">
      <c r="D4177" t="str">
        <f t="shared" si="116"/>
        <v/>
      </c>
    </row>
    <row r="4178" spans="4:4" x14ac:dyDescent="0.3">
      <c r="D4178" t="str">
        <f t="shared" si="116"/>
        <v/>
      </c>
    </row>
    <row r="4179" spans="4:4" x14ac:dyDescent="0.3">
      <c r="D4179" t="str">
        <f t="shared" si="116"/>
        <v/>
      </c>
    </row>
    <row r="4180" spans="4:4" x14ac:dyDescent="0.3">
      <c r="D4180" t="str">
        <f t="shared" si="116"/>
        <v/>
      </c>
    </row>
    <row r="4181" spans="4:4" x14ac:dyDescent="0.3">
      <c r="D4181" t="str">
        <f t="shared" si="116"/>
        <v/>
      </c>
    </row>
    <row r="4182" spans="4:4" x14ac:dyDescent="0.3">
      <c r="D4182" t="str">
        <f t="shared" si="116"/>
        <v/>
      </c>
    </row>
    <row r="4183" spans="4:4" x14ac:dyDescent="0.3">
      <c r="D4183" t="str">
        <f t="shared" si="116"/>
        <v/>
      </c>
    </row>
    <row r="4184" spans="4:4" x14ac:dyDescent="0.3">
      <c r="D4184" t="str">
        <f t="shared" si="116"/>
        <v/>
      </c>
    </row>
    <row r="4185" spans="4:4" x14ac:dyDescent="0.3">
      <c r="D4185" t="str">
        <f t="shared" si="116"/>
        <v/>
      </c>
    </row>
    <row r="4186" spans="4:4" x14ac:dyDescent="0.3">
      <c r="D4186" t="str">
        <f t="shared" si="116"/>
        <v/>
      </c>
    </row>
    <row r="4187" spans="4:4" x14ac:dyDescent="0.3">
      <c r="D4187" t="str">
        <f t="shared" si="116"/>
        <v/>
      </c>
    </row>
    <row r="4188" spans="4:4" x14ac:dyDescent="0.3">
      <c r="D4188" t="str">
        <f t="shared" si="116"/>
        <v/>
      </c>
    </row>
    <row r="4189" spans="4:4" x14ac:dyDescent="0.3">
      <c r="D4189" t="str">
        <f t="shared" si="116"/>
        <v/>
      </c>
    </row>
    <row r="4190" spans="4:4" x14ac:dyDescent="0.3">
      <c r="D4190" t="str">
        <f t="shared" si="116"/>
        <v/>
      </c>
    </row>
    <row r="4191" spans="4:4" x14ac:dyDescent="0.3">
      <c r="D4191" t="str">
        <f t="shared" si="116"/>
        <v/>
      </c>
    </row>
    <row r="4192" spans="4:4" x14ac:dyDescent="0.3">
      <c r="D4192" t="str">
        <f t="shared" si="116"/>
        <v/>
      </c>
    </row>
    <row r="4193" spans="4:4" x14ac:dyDescent="0.3">
      <c r="D4193" t="str">
        <f t="shared" si="116"/>
        <v/>
      </c>
    </row>
    <row r="4194" spans="4:4" x14ac:dyDescent="0.3">
      <c r="D4194" t="str">
        <f t="shared" si="116"/>
        <v/>
      </c>
    </row>
    <row r="4195" spans="4:4" x14ac:dyDescent="0.3">
      <c r="D4195" t="str">
        <f t="shared" si="116"/>
        <v/>
      </c>
    </row>
    <row r="4196" spans="4:4" x14ac:dyDescent="0.3">
      <c r="D4196" t="str">
        <f t="shared" si="116"/>
        <v/>
      </c>
    </row>
    <row r="4197" spans="4:4" x14ac:dyDescent="0.3">
      <c r="D4197" t="str">
        <f t="shared" si="116"/>
        <v/>
      </c>
    </row>
    <row r="4198" spans="4:4" x14ac:dyDescent="0.3">
      <c r="D4198" t="str">
        <f t="shared" si="116"/>
        <v/>
      </c>
    </row>
    <row r="4199" spans="4:4" x14ac:dyDescent="0.3">
      <c r="D4199" t="str">
        <f t="shared" si="116"/>
        <v/>
      </c>
    </row>
    <row r="4200" spans="4:4" x14ac:dyDescent="0.3">
      <c r="D4200" t="str">
        <f t="shared" si="116"/>
        <v/>
      </c>
    </row>
    <row r="4201" spans="4:4" x14ac:dyDescent="0.3">
      <c r="D4201" t="str">
        <f t="shared" si="116"/>
        <v/>
      </c>
    </row>
    <row r="4202" spans="4:4" x14ac:dyDescent="0.3">
      <c r="D4202" t="str">
        <f t="shared" si="116"/>
        <v/>
      </c>
    </row>
    <row r="4203" spans="4:4" x14ac:dyDescent="0.3">
      <c r="D4203" t="str">
        <f t="shared" si="116"/>
        <v/>
      </c>
    </row>
    <row r="4204" spans="4:4" x14ac:dyDescent="0.3">
      <c r="D4204" t="str">
        <f t="shared" si="116"/>
        <v/>
      </c>
    </row>
    <row r="4205" spans="4:4" x14ac:dyDescent="0.3">
      <c r="D4205" t="str">
        <f t="shared" si="116"/>
        <v/>
      </c>
    </row>
    <row r="4206" spans="4:4" x14ac:dyDescent="0.3">
      <c r="D4206" t="str">
        <f t="shared" si="116"/>
        <v/>
      </c>
    </row>
    <row r="4207" spans="4:4" x14ac:dyDescent="0.3">
      <c r="D4207" t="str">
        <f t="shared" si="116"/>
        <v/>
      </c>
    </row>
    <row r="4208" spans="4:4" x14ac:dyDescent="0.3">
      <c r="D4208" t="str">
        <f t="shared" si="116"/>
        <v/>
      </c>
    </row>
    <row r="4209" spans="4:4" x14ac:dyDescent="0.3">
      <c r="D4209" t="str">
        <f t="shared" si="116"/>
        <v/>
      </c>
    </row>
    <row r="4210" spans="4:4" x14ac:dyDescent="0.3">
      <c r="D4210" t="str">
        <f t="shared" si="116"/>
        <v/>
      </c>
    </row>
    <row r="4211" spans="4:4" x14ac:dyDescent="0.3">
      <c r="D4211" t="str">
        <f t="shared" si="116"/>
        <v/>
      </c>
    </row>
    <row r="4212" spans="4:4" x14ac:dyDescent="0.3">
      <c r="D4212" t="str">
        <f t="shared" si="116"/>
        <v/>
      </c>
    </row>
    <row r="4213" spans="4:4" x14ac:dyDescent="0.3">
      <c r="D4213" t="str">
        <f t="shared" si="116"/>
        <v/>
      </c>
    </row>
    <row r="4214" spans="4:4" x14ac:dyDescent="0.3">
      <c r="D4214" t="str">
        <f t="shared" si="116"/>
        <v/>
      </c>
    </row>
    <row r="4215" spans="4:4" x14ac:dyDescent="0.3">
      <c r="D4215" t="str">
        <f t="shared" si="116"/>
        <v/>
      </c>
    </row>
    <row r="4216" spans="4:4" x14ac:dyDescent="0.3">
      <c r="D4216" t="str">
        <f t="shared" si="116"/>
        <v/>
      </c>
    </row>
    <row r="4217" spans="4:4" x14ac:dyDescent="0.3">
      <c r="D4217" t="str">
        <f t="shared" si="116"/>
        <v/>
      </c>
    </row>
    <row r="4218" spans="4:4" x14ac:dyDescent="0.3">
      <c r="D4218" t="str">
        <f t="shared" si="116"/>
        <v/>
      </c>
    </row>
    <row r="4219" spans="4:4" x14ac:dyDescent="0.3">
      <c r="D4219" t="str">
        <f t="shared" si="116"/>
        <v/>
      </c>
    </row>
    <row r="4220" spans="4:4" x14ac:dyDescent="0.3">
      <c r="D4220" t="str">
        <f t="shared" si="116"/>
        <v/>
      </c>
    </row>
    <row r="4221" spans="4:4" x14ac:dyDescent="0.3">
      <c r="D4221" t="str">
        <f t="shared" si="116"/>
        <v/>
      </c>
    </row>
    <row r="4222" spans="4:4" x14ac:dyDescent="0.3">
      <c r="D4222" t="str">
        <f t="shared" si="116"/>
        <v/>
      </c>
    </row>
    <row r="4223" spans="4:4" x14ac:dyDescent="0.3">
      <c r="D4223" t="str">
        <f t="shared" si="116"/>
        <v/>
      </c>
    </row>
    <row r="4224" spans="4:4" x14ac:dyDescent="0.3">
      <c r="D4224" t="str">
        <f t="shared" si="116"/>
        <v/>
      </c>
    </row>
    <row r="4225" spans="4:4" x14ac:dyDescent="0.3">
      <c r="D4225" t="str">
        <f t="shared" si="116"/>
        <v/>
      </c>
    </row>
    <row r="4226" spans="4:4" x14ac:dyDescent="0.3">
      <c r="D4226" t="str">
        <f t="shared" si="116"/>
        <v/>
      </c>
    </row>
    <row r="4227" spans="4:4" x14ac:dyDescent="0.3">
      <c r="D4227" t="str">
        <f t="shared" si="116"/>
        <v/>
      </c>
    </row>
    <row r="4228" spans="4:4" x14ac:dyDescent="0.3">
      <c r="D4228" t="str">
        <f t="shared" si="116"/>
        <v/>
      </c>
    </row>
    <row r="4229" spans="4:4" x14ac:dyDescent="0.3">
      <c r="D4229" t="str">
        <f t="shared" si="116"/>
        <v/>
      </c>
    </row>
    <row r="4230" spans="4:4" x14ac:dyDescent="0.3">
      <c r="D4230" t="str">
        <f t="shared" si="116"/>
        <v/>
      </c>
    </row>
    <row r="4231" spans="4:4" x14ac:dyDescent="0.3">
      <c r="D4231" t="str">
        <f t="shared" si="116"/>
        <v/>
      </c>
    </row>
    <row r="4232" spans="4:4" x14ac:dyDescent="0.3">
      <c r="D4232" t="str">
        <f t="shared" si="116"/>
        <v/>
      </c>
    </row>
    <row r="4233" spans="4:4" x14ac:dyDescent="0.3">
      <c r="D4233" t="str">
        <f t="shared" ref="D4233:D4296" si="117">IF(LEFT(A4233,2)="SP",MID(A4233,4,4),IF(LEFT(A4233,1)="X",MID(A4233,3,4),""))</f>
        <v/>
      </c>
    </row>
    <row r="4234" spans="4:4" x14ac:dyDescent="0.3">
      <c r="D4234" t="str">
        <f t="shared" si="117"/>
        <v/>
      </c>
    </row>
    <row r="4235" spans="4:4" x14ac:dyDescent="0.3">
      <c r="D4235" t="str">
        <f t="shared" si="117"/>
        <v/>
      </c>
    </row>
    <row r="4236" spans="4:4" x14ac:dyDescent="0.3">
      <c r="D4236" t="str">
        <f t="shared" si="117"/>
        <v/>
      </c>
    </row>
    <row r="4237" spans="4:4" x14ac:dyDescent="0.3">
      <c r="D4237" t="str">
        <f t="shared" si="117"/>
        <v/>
      </c>
    </row>
    <row r="4238" spans="4:4" x14ac:dyDescent="0.3">
      <c r="D4238" t="str">
        <f t="shared" si="117"/>
        <v/>
      </c>
    </row>
    <row r="4239" spans="4:4" x14ac:dyDescent="0.3">
      <c r="D4239" t="str">
        <f t="shared" si="117"/>
        <v/>
      </c>
    </row>
    <row r="4240" spans="4:4" x14ac:dyDescent="0.3">
      <c r="D4240" t="str">
        <f t="shared" si="117"/>
        <v/>
      </c>
    </row>
    <row r="4241" spans="4:4" x14ac:dyDescent="0.3">
      <c r="D4241" t="str">
        <f t="shared" si="117"/>
        <v/>
      </c>
    </row>
    <row r="4242" spans="4:4" x14ac:dyDescent="0.3">
      <c r="D4242" t="str">
        <f t="shared" si="117"/>
        <v/>
      </c>
    </row>
    <row r="4243" spans="4:4" x14ac:dyDescent="0.3">
      <c r="D4243" t="str">
        <f t="shared" si="117"/>
        <v/>
      </c>
    </row>
    <row r="4244" spans="4:4" x14ac:dyDescent="0.3">
      <c r="D4244" t="str">
        <f t="shared" si="117"/>
        <v/>
      </c>
    </row>
    <row r="4245" spans="4:4" x14ac:dyDescent="0.3">
      <c r="D4245" t="str">
        <f t="shared" si="117"/>
        <v/>
      </c>
    </row>
    <row r="4246" spans="4:4" x14ac:dyDescent="0.3">
      <c r="D4246" t="str">
        <f t="shared" si="117"/>
        <v/>
      </c>
    </row>
    <row r="4247" spans="4:4" x14ac:dyDescent="0.3">
      <c r="D4247" t="str">
        <f t="shared" si="117"/>
        <v/>
      </c>
    </row>
    <row r="4248" spans="4:4" x14ac:dyDescent="0.3">
      <c r="D4248" t="str">
        <f t="shared" si="117"/>
        <v/>
      </c>
    </row>
    <row r="4249" spans="4:4" x14ac:dyDescent="0.3">
      <c r="D4249" t="str">
        <f t="shared" si="117"/>
        <v/>
      </c>
    </row>
    <row r="4250" spans="4:4" x14ac:dyDescent="0.3">
      <c r="D4250" t="str">
        <f t="shared" si="117"/>
        <v/>
      </c>
    </row>
    <row r="4251" spans="4:4" x14ac:dyDescent="0.3">
      <c r="D4251" t="str">
        <f t="shared" si="117"/>
        <v/>
      </c>
    </row>
    <row r="4252" spans="4:4" x14ac:dyDescent="0.3">
      <c r="D4252" t="str">
        <f t="shared" si="117"/>
        <v/>
      </c>
    </row>
    <row r="4253" spans="4:4" x14ac:dyDescent="0.3">
      <c r="D4253" t="str">
        <f t="shared" si="117"/>
        <v/>
      </c>
    </row>
    <row r="4254" spans="4:4" x14ac:dyDescent="0.3">
      <c r="D4254" t="str">
        <f t="shared" si="117"/>
        <v/>
      </c>
    </row>
    <row r="4255" spans="4:4" x14ac:dyDescent="0.3">
      <c r="D4255" t="str">
        <f t="shared" si="117"/>
        <v/>
      </c>
    </row>
    <row r="4256" spans="4:4" x14ac:dyDescent="0.3">
      <c r="D4256" t="str">
        <f t="shared" si="117"/>
        <v/>
      </c>
    </row>
    <row r="4257" spans="4:4" x14ac:dyDescent="0.3">
      <c r="D4257" t="str">
        <f t="shared" si="117"/>
        <v/>
      </c>
    </row>
    <row r="4258" spans="4:4" x14ac:dyDescent="0.3">
      <c r="D4258" t="str">
        <f t="shared" si="117"/>
        <v/>
      </c>
    </row>
    <row r="4259" spans="4:4" x14ac:dyDescent="0.3">
      <c r="D4259" t="str">
        <f t="shared" si="117"/>
        <v/>
      </c>
    </row>
    <row r="4260" spans="4:4" x14ac:dyDescent="0.3">
      <c r="D4260" t="str">
        <f t="shared" si="117"/>
        <v/>
      </c>
    </row>
    <row r="4261" spans="4:4" x14ac:dyDescent="0.3">
      <c r="D4261" t="str">
        <f t="shared" si="117"/>
        <v/>
      </c>
    </row>
    <row r="4262" spans="4:4" x14ac:dyDescent="0.3">
      <c r="D4262" t="str">
        <f t="shared" si="117"/>
        <v/>
      </c>
    </row>
    <row r="4263" spans="4:4" x14ac:dyDescent="0.3">
      <c r="D4263" t="str">
        <f t="shared" si="117"/>
        <v/>
      </c>
    </row>
    <row r="4264" spans="4:4" x14ac:dyDescent="0.3">
      <c r="D4264" t="str">
        <f t="shared" si="117"/>
        <v/>
      </c>
    </row>
    <row r="4265" spans="4:4" x14ac:dyDescent="0.3">
      <c r="D4265" t="str">
        <f t="shared" si="117"/>
        <v/>
      </c>
    </row>
    <row r="4266" spans="4:4" x14ac:dyDescent="0.3">
      <c r="D4266" t="str">
        <f t="shared" si="117"/>
        <v/>
      </c>
    </row>
    <row r="4267" spans="4:4" x14ac:dyDescent="0.3">
      <c r="D4267" t="str">
        <f t="shared" si="117"/>
        <v/>
      </c>
    </row>
    <row r="4268" spans="4:4" x14ac:dyDescent="0.3">
      <c r="D4268" t="str">
        <f t="shared" si="117"/>
        <v/>
      </c>
    </row>
    <row r="4269" spans="4:4" x14ac:dyDescent="0.3">
      <c r="D4269" t="str">
        <f t="shared" si="117"/>
        <v/>
      </c>
    </row>
    <row r="4270" spans="4:4" x14ac:dyDescent="0.3">
      <c r="D4270" t="str">
        <f t="shared" si="117"/>
        <v/>
      </c>
    </row>
    <row r="4271" spans="4:4" x14ac:dyDescent="0.3">
      <c r="D4271" t="str">
        <f t="shared" si="117"/>
        <v/>
      </c>
    </row>
    <row r="4272" spans="4:4" x14ac:dyDescent="0.3">
      <c r="D4272" t="str">
        <f t="shared" si="117"/>
        <v/>
      </c>
    </row>
    <row r="4273" spans="4:4" x14ac:dyDescent="0.3">
      <c r="D4273" t="str">
        <f t="shared" si="117"/>
        <v/>
      </c>
    </row>
    <row r="4274" spans="4:4" x14ac:dyDescent="0.3">
      <c r="D4274" t="str">
        <f t="shared" si="117"/>
        <v/>
      </c>
    </row>
    <row r="4275" spans="4:4" x14ac:dyDescent="0.3">
      <c r="D4275" t="str">
        <f t="shared" si="117"/>
        <v/>
      </c>
    </row>
    <row r="4276" spans="4:4" x14ac:dyDescent="0.3">
      <c r="D4276" t="str">
        <f t="shared" si="117"/>
        <v/>
      </c>
    </row>
    <row r="4277" spans="4:4" x14ac:dyDescent="0.3">
      <c r="D4277" t="str">
        <f t="shared" si="117"/>
        <v/>
      </c>
    </row>
    <row r="4278" spans="4:4" x14ac:dyDescent="0.3">
      <c r="D4278" t="str">
        <f t="shared" si="117"/>
        <v/>
      </c>
    </row>
    <row r="4279" spans="4:4" x14ac:dyDescent="0.3">
      <c r="D4279" t="str">
        <f t="shared" si="117"/>
        <v/>
      </c>
    </row>
    <row r="4280" spans="4:4" x14ac:dyDescent="0.3">
      <c r="D4280" t="str">
        <f t="shared" si="117"/>
        <v/>
      </c>
    </row>
    <row r="4281" spans="4:4" x14ac:dyDescent="0.3">
      <c r="D4281" t="str">
        <f t="shared" si="117"/>
        <v/>
      </c>
    </row>
    <row r="4282" spans="4:4" x14ac:dyDescent="0.3">
      <c r="D4282" t="str">
        <f t="shared" si="117"/>
        <v/>
      </c>
    </row>
    <row r="4283" spans="4:4" x14ac:dyDescent="0.3">
      <c r="D4283" t="str">
        <f t="shared" si="117"/>
        <v/>
      </c>
    </row>
    <row r="4284" spans="4:4" x14ac:dyDescent="0.3">
      <c r="D4284" t="str">
        <f t="shared" si="117"/>
        <v/>
      </c>
    </row>
    <row r="4285" spans="4:4" x14ac:dyDescent="0.3">
      <c r="D4285" t="str">
        <f t="shared" si="117"/>
        <v/>
      </c>
    </row>
    <row r="4286" spans="4:4" x14ac:dyDescent="0.3">
      <c r="D4286" t="str">
        <f t="shared" si="117"/>
        <v/>
      </c>
    </row>
    <row r="4287" spans="4:4" x14ac:dyDescent="0.3">
      <c r="D4287" t="str">
        <f t="shared" si="117"/>
        <v/>
      </c>
    </row>
    <row r="4288" spans="4:4" x14ac:dyDescent="0.3">
      <c r="D4288" t="str">
        <f t="shared" si="117"/>
        <v/>
      </c>
    </row>
    <row r="4289" spans="4:4" x14ac:dyDescent="0.3">
      <c r="D4289" t="str">
        <f t="shared" si="117"/>
        <v/>
      </c>
    </row>
    <row r="4290" spans="4:4" x14ac:dyDescent="0.3">
      <c r="D4290" t="str">
        <f t="shared" si="117"/>
        <v/>
      </c>
    </row>
    <row r="4291" spans="4:4" x14ac:dyDescent="0.3">
      <c r="D4291" t="str">
        <f t="shared" si="117"/>
        <v/>
      </c>
    </row>
    <row r="4292" spans="4:4" x14ac:dyDescent="0.3">
      <c r="D4292" t="str">
        <f t="shared" si="117"/>
        <v/>
      </c>
    </row>
    <row r="4293" spans="4:4" x14ac:dyDescent="0.3">
      <c r="D4293" t="str">
        <f t="shared" si="117"/>
        <v/>
      </c>
    </row>
    <row r="4294" spans="4:4" x14ac:dyDescent="0.3">
      <c r="D4294" t="str">
        <f t="shared" si="117"/>
        <v/>
      </c>
    </row>
    <row r="4295" spans="4:4" x14ac:dyDescent="0.3">
      <c r="D4295" t="str">
        <f t="shared" si="117"/>
        <v/>
      </c>
    </row>
    <row r="4296" spans="4:4" x14ac:dyDescent="0.3">
      <c r="D4296" t="str">
        <f t="shared" si="117"/>
        <v/>
      </c>
    </row>
    <row r="4297" spans="4:4" x14ac:dyDescent="0.3">
      <c r="D4297" t="str">
        <f t="shared" ref="D4297:D4360" si="118">IF(LEFT(A4297,2)="SP",MID(A4297,4,4),IF(LEFT(A4297,1)="X",MID(A4297,3,4),""))</f>
        <v/>
      </c>
    </row>
    <row r="4298" spans="4:4" x14ac:dyDescent="0.3">
      <c r="D4298" t="str">
        <f t="shared" si="118"/>
        <v/>
      </c>
    </row>
    <row r="4299" spans="4:4" x14ac:dyDescent="0.3">
      <c r="D4299" t="str">
        <f t="shared" si="118"/>
        <v/>
      </c>
    </row>
    <row r="4300" spans="4:4" x14ac:dyDescent="0.3">
      <c r="D4300" t="str">
        <f t="shared" si="118"/>
        <v/>
      </c>
    </row>
    <row r="4301" spans="4:4" x14ac:dyDescent="0.3">
      <c r="D4301" t="str">
        <f t="shared" si="118"/>
        <v/>
      </c>
    </row>
    <row r="4302" spans="4:4" x14ac:dyDescent="0.3">
      <c r="D4302" t="str">
        <f t="shared" si="118"/>
        <v/>
      </c>
    </row>
    <row r="4303" spans="4:4" x14ac:dyDescent="0.3">
      <c r="D4303" t="str">
        <f t="shared" si="118"/>
        <v/>
      </c>
    </row>
    <row r="4304" spans="4:4" x14ac:dyDescent="0.3">
      <c r="D4304" t="str">
        <f t="shared" si="118"/>
        <v/>
      </c>
    </row>
    <row r="4305" spans="4:4" x14ac:dyDescent="0.3">
      <c r="D4305" t="str">
        <f t="shared" si="118"/>
        <v/>
      </c>
    </row>
    <row r="4306" spans="4:4" x14ac:dyDescent="0.3">
      <c r="D4306" t="str">
        <f t="shared" si="118"/>
        <v/>
      </c>
    </row>
    <row r="4307" spans="4:4" x14ac:dyDescent="0.3">
      <c r="D4307" t="str">
        <f t="shared" si="118"/>
        <v/>
      </c>
    </row>
    <row r="4308" spans="4:4" x14ac:dyDescent="0.3">
      <c r="D4308" t="str">
        <f t="shared" si="118"/>
        <v/>
      </c>
    </row>
    <row r="4309" spans="4:4" x14ac:dyDescent="0.3">
      <c r="D4309" t="str">
        <f t="shared" si="118"/>
        <v/>
      </c>
    </row>
    <row r="4310" spans="4:4" x14ac:dyDescent="0.3">
      <c r="D4310" t="str">
        <f t="shared" si="118"/>
        <v/>
      </c>
    </row>
    <row r="4311" spans="4:4" x14ac:dyDescent="0.3">
      <c r="D4311" t="str">
        <f t="shared" si="118"/>
        <v/>
      </c>
    </row>
    <row r="4312" spans="4:4" x14ac:dyDescent="0.3">
      <c r="D4312" t="str">
        <f t="shared" si="118"/>
        <v/>
      </c>
    </row>
    <row r="4313" spans="4:4" x14ac:dyDescent="0.3">
      <c r="D4313" t="str">
        <f t="shared" si="118"/>
        <v/>
      </c>
    </row>
    <row r="4314" spans="4:4" x14ac:dyDescent="0.3">
      <c r="D4314" t="str">
        <f t="shared" si="118"/>
        <v/>
      </c>
    </row>
    <row r="4315" spans="4:4" x14ac:dyDescent="0.3">
      <c r="D4315" t="str">
        <f t="shared" si="118"/>
        <v/>
      </c>
    </row>
    <row r="4316" spans="4:4" x14ac:dyDescent="0.3">
      <c r="D4316" t="str">
        <f t="shared" si="118"/>
        <v/>
      </c>
    </row>
    <row r="4317" spans="4:4" x14ac:dyDescent="0.3">
      <c r="D4317" t="str">
        <f t="shared" si="118"/>
        <v/>
      </c>
    </row>
    <row r="4318" spans="4:4" x14ac:dyDescent="0.3">
      <c r="D4318" t="str">
        <f t="shared" si="118"/>
        <v/>
      </c>
    </row>
    <row r="4319" spans="4:4" x14ac:dyDescent="0.3">
      <c r="D4319" t="str">
        <f t="shared" si="118"/>
        <v/>
      </c>
    </row>
    <row r="4320" spans="4:4" x14ac:dyDescent="0.3">
      <c r="D4320" t="str">
        <f t="shared" si="118"/>
        <v/>
      </c>
    </row>
    <row r="4321" spans="4:4" x14ac:dyDescent="0.3">
      <c r="D4321" t="str">
        <f t="shared" si="118"/>
        <v/>
      </c>
    </row>
    <row r="4322" spans="4:4" x14ac:dyDescent="0.3">
      <c r="D4322" t="str">
        <f t="shared" si="118"/>
        <v/>
      </c>
    </row>
    <row r="4323" spans="4:4" x14ac:dyDescent="0.3">
      <c r="D4323" t="str">
        <f t="shared" si="118"/>
        <v/>
      </c>
    </row>
    <row r="4324" spans="4:4" x14ac:dyDescent="0.3">
      <c r="D4324" t="str">
        <f t="shared" si="118"/>
        <v/>
      </c>
    </row>
    <row r="4325" spans="4:4" x14ac:dyDescent="0.3">
      <c r="D4325" t="str">
        <f t="shared" si="118"/>
        <v/>
      </c>
    </row>
    <row r="4326" spans="4:4" x14ac:dyDescent="0.3">
      <c r="D4326" t="str">
        <f t="shared" si="118"/>
        <v/>
      </c>
    </row>
    <row r="4327" spans="4:4" x14ac:dyDescent="0.3">
      <c r="D4327" t="str">
        <f t="shared" si="118"/>
        <v/>
      </c>
    </row>
    <row r="4328" spans="4:4" x14ac:dyDescent="0.3">
      <c r="D4328" t="str">
        <f t="shared" si="118"/>
        <v/>
      </c>
    </row>
    <row r="4329" spans="4:4" x14ac:dyDescent="0.3">
      <c r="D4329" t="str">
        <f t="shared" si="118"/>
        <v/>
      </c>
    </row>
    <row r="4330" spans="4:4" x14ac:dyDescent="0.3">
      <c r="D4330" t="str">
        <f t="shared" si="118"/>
        <v/>
      </c>
    </row>
    <row r="4331" spans="4:4" x14ac:dyDescent="0.3">
      <c r="D4331" t="str">
        <f t="shared" si="118"/>
        <v/>
      </c>
    </row>
    <row r="4332" spans="4:4" x14ac:dyDescent="0.3">
      <c r="D4332" t="str">
        <f t="shared" si="118"/>
        <v/>
      </c>
    </row>
    <row r="4333" spans="4:4" x14ac:dyDescent="0.3">
      <c r="D4333" t="str">
        <f t="shared" si="118"/>
        <v/>
      </c>
    </row>
    <row r="4334" spans="4:4" x14ac:dyDescent="0.3">
      <c r="D4334" t="str">
        <f t="shared" si="118"/>
        <v/>
      </c>
    </row>
    <row r="4335" spans="4:4" x14ac:dyDescent="0.3">
      <c r="D4335" t="str">
        <f t="shared" si="118"/>
        <v/>
      </c>
    </row>
    <row r="4336" spans="4:4" x14ac:dyDescent="0.3">
      <c r="D4336" t="str">
        <f t="shared" si="118"/>
        <v/>
      </c>
    </row>
    <row r="4337" spans="4:4" x14ac:dyDescent="0.3">
      <c r="D4337" t="str">
        <f t="shared" si="118"/>
        <v/>
      </c>
    </row>
    <row r="4338" spans="4:4" x14ac:dyDescent="0.3">
      <c r="D4338" t="str">
        <f t="shared" si="118"/>
        <v/>
      </c>
    </row>
    <row r="4339" spans="4:4" x14ac:dyDescent="0.3">
      <c r="D4339" t="str">
        <f t="shared" si="118"/>
        <v/>
      </c>
    </row>
    <row r="4340" spans="4:4" x14ac:dyDescent="0.3">
      <c r="D4340" t="str">
        <f t="shared" si="118"/>
        <v/>
      </c>
    </row>
    <row r="4341" spans="4:4" x14ac:dyDescent="0.3">
      <c r="D4341" t="str">
        <f t="shared" si="118"/>
        <v/>
      </c>
    </row>
    <row r="4342" spans="4:4" x14ac:dyDescent="0.3">
      <c r="D4342" t="str">
        <f t="shared" si="118"/>
        <v/>
      </c>
    </row>
    <row r="4343" spans="4:4" x14ac:dyDescent="0.3">
      <c r="D4343" t="str">
        <f t="shared" si="118"/>
        <v/>
      </c>
    </row>
    <row r="4344" spans="4:4" x14ac:dyDescent="0.3">
      <c r="D4344" t="str">
        <f t="shared" si="118"/>
        <v/>
      </c>
    </row>
    <row r="4345" spans="4:4" x14ac:dyDescent="0.3">
      <c r="D4345" t="str">
        <f t="shared" si="118"/>
        <v/>
      </c>
    </row>
    <row r="4346" spans="4:4" x14ac:dyDescent="0.3">
      <c r="D4346" t="str">
        <f t="shared" si="118"/>
        <v/>
      </c>
    </row>
    <row r="4347" spans="4:4" x14ac:dyDescent="0.3">
      <c r="D4347" t="str">
        <f t="shared" si="118"/>
        <v/>
      </c>
    </row>
    <row r="4348" spans="4:4" x14ac:dyDescent="0.3">
      <c r="D4348" t="str">
        <f t="shared" si="118"/>
        <v/>
      </c>
    </row>
    <row r="4349" spans="4:4" x14ac:dyDescent="0.3">
      <c r="D4349" t="str">
        <f t="shared" si="118"/>
        <v/>
      </c>
    </row>
    <row r="4350" spans="4:4" x14ac:dyDescent="0.3">
      <c r="D4350" t="str">
        <f t="shared" si="118"/>
        <v/>
      </c>
    </row>
    <row r="4351" spans="4:4" x14ac:dyDescent="0.3">
      <c r="D4351" t="str">
        <f t="shared" si="118"/>
        <v/>
      </c>
    </row>
    <row r="4352" spans="4:4" x14ac:dyDescent="0.3">
      <c r="D4352" t="str">
        <f t="shared" si="118"/>
        <v/>
      </c>
    </row>
    <row r="4353" spans="4:4" x14ac:dyDescent="0.3">
      <c r="D4353" t="str">
        <f t="shared" si="118"/>
        <v/>
      </c>
    </row>
    <row r="4354" spans="4:4" x14ac:dyDescent="0.3">
      <c r="D4354" t="str">
        <f t="shared" si="118"/>
        <v/>
      </c>
    </row>
    <row r="4355" spans="4:4" x14ac:dyDescent="0.3">
      <c r="D4355" t="str">
        <f t="shared" si="118"/>
        <v/>
      </c>
    </row>
    <row r="4356" spans="4:4" x14ac:dyDescent="0.3">
      <c r="D4356" t="str">
        <f t="shared" si="118"/>
        <v/>
      </c>
    </row>
    <row r="4357" spans="4:4" x14ac:dyDescent="0.3">
      <c r="D4357" t="str">
        <f t="shared" si="118"/>
        <v/>
      </c>
    </row>
    <row r="4358" spans="4:4" x14ac:dyDescent="0.3">
      <c r="D4358" t="str">
        <f t="shared" si="118"/>
        <v/>
      </c>
    </row>
    <row r="4359" spans="4:4" x14ac:dyDescent="0.3">
      <c r="D4359" t="str">
        <f t="shared" si="118"/>
        <v/>
      </c>
    </row>
    <row r="4360" spans="4:4" x14ac:dyDescent="0.3">
      <c r="D4360" t="str">
        <f t="shared" si="118"/>
        <v/>
      </c>
    </row>
    <row r="4361" spans="4:4" x14ac:dyDescent="0.3">
      <c r="D4361" t="str">
        <f t="shared" ref="D4361:D4424" si="119">IF(LEFT(A4361,2)="SP",MID(A4361,4,4),IF(LEFT(A4361,1)="X",MID(A4361,3,4),""))</f>
        <v/>
      </c>
    </row>
    <row r="4362" spans="4:4" x14ac:dyDescent="0.3">
      <c r="D4362" t="str">
        <f t="shared" si="119"/>
        <v/>
      </c>
    </row>
    <row r="4363" spans="4:4" x14ac:dyDescent="0.3">
      <c r="D4363" t="str">
        <f t="shared" si="119"/>
        <v/>
      </c>
    </row>
    <row r="4364" spans="4:4" x14ac:dyDescent="0.3">
      <c r="D4364" t="str">
        <f t="shared" si="119"/>
        <v/>
      </c>
    </row>
    <row r="4365" spans="4:4" x14ac:dyDescent="0.3">
      <c r="D4365" t="str">
        <f t="shared" si="119"/>
        <v/>
      </c>
    </row>
    <row r="4366" spans="4:4" x14ac:dyDescent="0.3">
      <c r="D4366" t="str">
        <f t="shared" si="119"/>
        <v/>
      </c>
    </row>
    <row r="4367" spans="4:4" x14ac:dyDescent="0.3">
      <c r="D4367" t="str">
        <f t="shared" si="119"/>
        <v/>
      </c>
    </row>
    <row r="4368" spans="4:4" x14ac:dyDescent="0.3">
      <c r="D4368" t="str">
        <f t="shared" si="119"/>
        <v/>
      </c>
    </row>
    <row r="4369" spans="4:4" x14ac:dyDescent="0.3">
      <c r="D4369" t="str">
        <f t="shared" si="119"/>
        <v/>
      </c>
    </row>
    <row r="4370" spans="4:4" x14ac:dyDescent="0.3">
      <c r="D4370" t="str">
        <f t="shared" si="119"/>
        <v/>
      </c>
    </row>
    <row r="4371" spans="4:4" x14ac:dyDescent="0.3">
      <c r="D4371" t="str">
        <f t="shared" si="119"/>
        <v/>
      </c>
    </row>
    <row r="4372" spans="4:4" x14ac:dyDescent="0.3">
      <c r="D4372" t="str">
        <f t="shared" si="119"/>
        <v/>
      </c>
    </row>
    <row r="4373" spans="4:4" x14ac:dyDescent="0.3">
      <c r="D4373" t="str">
        <f t="shared" si="119"/>
        <v/>
      </c>
    </row>
    <row r="4374" spans="4:4" x14ac:dyDescent="0.3">
      <c r="D4374" t="str">
        <f t="shared" si="119"/>
        <v/>
      </c>
    </row>
    <row r="4375" spans="4:4" x14ac:dyDescent="0.3">
      <c r="D4375" t="str">
        <f t="shared" si="119"/>
        <v/>
      </c>
    </row>
    <row r="4376" spans="4:4" x14ac:dyDescent="0.3">
      <c r="D4376" t="str">
        <f t="shared" si="119"/>
        <v/>
      </c>
    </row>
    <row r="4377" spans="4:4" x14ac:dyDescent="0.3">
      <c r="D4377" t="str">
        <f t="shared" si="119"/>
        <v/>
      </c>
    </row>
    <row r="4378" spans="4:4" x14ac:dyDescent="0.3">
      <c r="D4378" t="str">
        <f t="shared" si="119"/>
        <v/>
      </c>
    </row>
    <row r="4379" spans="4:4" x14ac:dyDescent="0.3">
      <c r="D4379" t="str">
        <f t="shared" si="119"/>
        <v/>
      </c>
    </row>
    <row r="4380" spans="4:4" x14ac:dyDescent="0.3">
      <c r="D4380" t="str">
        <f t="shared" si="119"/>
        <v/>
      </c>
    </row>
    <row r="4381" spans="4:4" x14ac:dyDescent="0.3">
      <c r="D4381" t="str">
        <f t="shared" si="119"/>
        <v/>
      </c>
    </row>
    <row r="4382" spans="4:4" x14ac:dyDescent="0.3">
      <c r="D4382" t="str">
        <f t="shared" si="119"/>
        <v/>
      </c>
    </row>
    <row r="4383" spans="4:4" x14ac:dyDescent="0.3">
      <c r="D4383" t="str">
        <f t="shared" si="119"/>
        <v/>
      </c>
    </row>
    <row r="4384" spans="4:4" x14ac:dyDescent="0.3">
      <c r="D4384" t="str">
        <f t="shared" si="119"/>
        <v/>
      </c>
    </row>
    <row r="4385" spans="4:4" x14ac:dyDescent="0.3">
      <c r="D4385" t="str">
        <f t="shared" si="119"/>
        <v/>
      </c>
    </row>
    <row r="4386" spans="4:4" x14ac:dyDescent="0.3">
      <c r="D4386" t="str">
        <f t="shared" si="119"/>
        <v/>
      </c>
    </row>
    <row r="4387" spans="4:4" x14ac:dyDescent="0.3">
      <c r="D4387" t="str">
        <f t="shared" si="119"/>
        <v/>
      </c>
    </row>
    <row r="4388" spans="4:4" x14ac:dyDescent="0.3">
      <c r="D4388" t="str">
        <f t="shared" si="119"/>
        <v/>
      </c>
    </row>
    <row r="4389" spans="4:4" x14ac:dyDescent="0.3">
      <c r="D4389" t="str">
        <f t="shared" si="119"/>
        <v/>
      </c>
    </row>
    <row r="4390" spans="4:4" x14ac:dyDescent="0.3">
      <c r="D4390" t="str">
        <f t="shared" si="119"/>
        <v/>
      </c>
    </row>
    <row r="4391" spans="4:4" x14ac:dyDescent="0.3">
      <c r="D4391" t="str">
        <f t="shared" si="119"/>
        <v/>
      </c>
    </row>
    <row r="4392" spans="4:4" x14ac:dyDescent="0.3">
      <c r="D4392" t="str">
        <f t="shared" si="119"/>
        <v/>
      </c>
    </row>
    <row r="4393" spans="4:4" x14ac:dyDescent="0.3">
      <c r="D4393" t="str">
        <f t="shared" si="119"/>
        <v/>
      </c>
    </row>
    <row r="4394" spans="4:4" x14ac:dyDescent="0.3">
      <c r="D4394" t="str">
        <f t="shared" si="119"/>
        <v/>
      </c>
    </row>
    <row r="4395" spans="4:4" x14ac:dyDescent="0.3">
      <c r="D4395" t="str">
        <f t="shared" si="119"/>
        <v/>
      </c>
    </row>
    <row r="4396" spans="4:4" x14ac:dyDescent="0.3">
      <c r="D4396" t="str">
        <f t="shared" si="119"/>
        <v/>
      </c>
    </row>
    <row r="4397" spans="4:4" x14ac:dyDescent="0.3">
      <c r="D4397" t="str">
        <f t="shared" si="119"/>
        <v/>
      </c>
    </row>
    <row r="4398" spans="4:4" x14ac:dyDescent="0.3">
      <c r="D4398" t="str">
        <f t="shared" si="119"/>
        <v/>
      </c>
    </row>
    <row r="4399" spans="4:4" x14ac:dyDescent="0.3">
      <c r="D4399" t="str">
        <f t="shared" si="119"/>
        <v/>
      </c>
    </row>
    <row r="4400" spans="4:4" x14ac:dyDescent="0.3">
      <c r="D4400" t="str">
        <f t="shared" si="119"/>
        <v/>
      </c>
    </row>
    <row r="4401" spans="4:4" x14ac:dyDescent="0.3">
      <c r="D4401" t="str">
        <f t="shared" si="119"/>
        <v/>
      </c>
    </row>
    <row r="4402" spans="4:4" x14ac:dyDescent="0.3">
      <c r="D4402" t="str">
        <f t="shared" si="119"/>
        <v/>
      </c>
    </row>
    <row r="4403" spans="4:4" x14ac:dyDescent="0.3">
      <c r="D4403" t="str">
        <f t="shared" si="119"/>
        <v/>
      </c>
    </row>
    <row r="4404" spans="4:4" x14ac:dyDescent="0.3">
      <c r="D4404" t="str">
        <f t="shared" si="119"/>
        <v/>
      </c>
    </row>
    <row r="4405" spans="4:4" x14ac:dyDescent="0.3">
      <c r="D4405" t="str">
        <f t="shared" si="119"/>
        <v/>
      </c>
    </row>
    <row r="4406" spans="4:4" x14ac:dyDescent="0.3">
      <c r="D4406" t="str">
        <f t="shared" si="119"/>
        <v/>
      </c>
    </row>
    <row r="4407" spans="4:4" x14ac:dyDescent="0.3">
      <c r="D4407" t="str">
        <f t="shared" si="119"/>
        <v/>
      </c>
    </row>
    <row r="4408" spans="4:4" x14ac:dyDescent="0.3">
      <c r="D4408" t="str">
        <f t="shared" si="119"/>
        <v/>
      </c>
    </row>
    <row r="4409" spans="4:4" x14ac:dyDescent="0.3">
      <c r="D4409" t="str">
        <f t="shared" si="119"/>
        <v/>
      </c>
    </row>
    <row r="4410" spans="4:4" x14ac:dyDescent="0.3">
      <c r="D4410" t="str">
        <f t="shared" si="119"/>
        <v/>
      </c>
    </row>
    <row r="4411" spans="4:4" x14ac:dyDescent="0.3">
      <c r="D4411" t="str">
        <f t="shared" si="119"/>
        <v/>
      </c>
    </row>
    <row r="4412" spans="4:4" x14ac:dyDescent="0.3">
      <c r="D4412" t="str">
        <f t="shared" si="119"/>
        <v/>
      </c>
    </row>
    <row r="4413" spans="4:4" x14ac:dyDescent="0.3">
      <c r="D4413" t="str">
        <f t="shared" si="119"/>
        <v/>
      </c>
    </row>
    <row r="4414" spans="4:4" x14ac:dyDescent="0.3">
      <c r="D4414" t="str">
        <f t="shared" si="119"/>
        <v/>
      </c>
    </row>
    <row r="4415" spans="4:4" x14ac:dyDescent="0.3">
      <c r="D4415" t="str">
        <f t="shared" si="119"/>
        <v/>
      </c>
    </row>
    <row r="4416" spans="4:4" x14ac:dyDescent="0.3">
      <c r="D4416" t="str">
        <f t="shared" si="119"/>
        <v/>
      </c>
    </row>
    <row r="4417" spans="4:4" x14ac:dyDescent="0.3">
      <c r="D4417" t="str">
        <f t="shared" si="119"/>
        <v/>
      </c>
    </row>
    <row r="4418" spans="4:4" x14ac:dyDescent="0.3">
      <c r="D4418" t="str">
        <f t="shared" si="119"/>
        <v/>
      </c>
    </row>
    <row r="4419" spans="4:4" x14ac:dyDescent="0.3">
      <c r="D4419" t="str">
        <f t="shared" si="119"/>
        <v/>
      </c>
    </row>
    <row r="4420" spans="4:4" x14ac:dyDescent="0.3">
      <c r="D4420" t="str">
        <f t="shared" si="119"/>
        <v/>
      </c>
    </row>
    <row r="4421" spans="4:4" x14ac:dyDescent="0.3">
      <c r="D4421" t="str">
        <f t="shared" si="119"/>
        <v/>
      </c>
    </row>
    <row r="4422" spans="4:4" x14ac:dyDescent="0.3">
      <c r="D4422" t="str">
        <f t="shared" si="119"/>
        <v/>
      </c>
    </row>
    <row r="4423" spans="4:4" x14ac:dyDescent="0.3">
      <c r="D4423" t="str">
        <f t="shared" si="119"/>
        <v/>
      </c>
    </row>
    <row r="4424" spans="4:4" x14ac:dyDescent="0.3">
      <c r="D4424" t="str">
        <f t="shared" si="119"/>
        <v/>
      </c>
    </row>
    <row r="4425" spans="4:4" x14ac:dyDescent="0.3">
      <c r="D4425" t="str">
        <f t="shared" ref="D4425:D4488" si="120">IF(LEFT(A4425,2)="SP",MID(A4425,4,4),IF(LEFT(A4425,1)="X",MID(A4425,3,4),""))</f>
        <v/>
      </c>
    </row>
    <row r="4426" spans="4:4" x14ac:dyDescent="0.3">
      <c r="D4426" t="str">
        <f t="shared" si="120"/>
        <v/>
      </c>
    </row>
    <row r="4427" spans="4:4" x14ac:dyDescent="0.3">
      <c r="D4427" t="str">
        <f t="shared" si="120"/>
        <v/>
      </c>
    </row>
    <row r="4428" spans="4:4" x14ac:dyDescent="0.3">
      <c r="D4428" t="str">
        <f t="shared" si="120"/>
        <v/>
      </c>
    </row>
    <row r="4429" spans="4:4" x14ac:dyDescent="0.3">
      <c r="D4429" t="str">
        <f t="shared" si="120"/>
        <v/>
      </c>
    </row>
    <row r="4430" spans="4:4" x14ac:dyDescent="0.3">
      <c r="D4430" t="str">
        <f t="shared" si="120"/>
        <v/>
      </c>
    </row>
    <row r="4431" spans="4:4" x14ac:dyDescent="0.3">
      <c r="D4431" t="str">
        <f t="shared" si="120"/>
        <v/>
      </c>
    </row>
    <row r="4432" spans="4:4" x14ac:dyDescent="0.3">
      <c r="D4432" t="str">
        <f t="shared" si="120"/>
        <v/>
      </c>
    </row>
    <row r="4433" spans="4:4" x14ac:dyDescent="0.3">
      <c r="D4433" t="str">
        <f t="shared" si="120"/>
        <v/>
      </c>
    </row>
    <row r="4434" spans="4:4" x14ac:dyDescent="0.3">
      <c r="D4434" t="str">
        <f t="shared" si="120"/>
        <v/>
      </c>
    </row>
    <row r="4435" spans="4:4" x14ac:dyDescent="0.3">
      <c r="D4435" t="str">
        <f t="shared" si="120"/>
        <v/>
      </c>
    </row>
    <row r="4436" spans="4:4" x14ac:dyDescent="0.3">
      <c r="D4436" t="str">
        <f t="shared" si="120"/>
        <v/>
      </c>
    </row>
    <row r="4437" spans="4:4" x14ac:dyDescent="0.3">
      <c r="D4437" t="str">
        <f t="shared" si="120"/>
        <v/>
      </c>
    </row>
    <row r="4438" spans="4:4" x14ac:dyDescent="0.3">
      <c r="D4438" t="str">
        <f t="shared" si="120"/>
        <v/>
      </c>
    </row>
    <row r="4439" spans="4:4" x14ac:dyDescent="0.3">
      <c r="D4439" t="str">
        <f t="shared" si="120"/>
        <v/>
      </c>
    </row>
    <row r="4440" spans="4:4" x14ac:dyDescent="0.3">
      <c r="D4440" t="str">
        <f t="shared" si="120"/>
        <v/>
      </c>
    </row>
    <row r="4441" spans="4:4" x14ac:dyDescent="0.3">
      <c r="D4441" t="str">
        <f t="shared" si="120"/>
        <v/>
      </c>
    </row>
    <row r="4442" spans="4:4" x14ac:dyDescent="0.3">
      <c r="D4442" t="str">
        <f t="shared" si="120"/>
        <v/>
      </c>
    </row>
    <row r="4443" spans="4:4" x14ac:dyDescent="0.3">
      <c r="D4443" t="str">
        <f t="shared" si="120"/>
        <v/>
      </c>
    </row>
    <row r="4444" spans="4:4" x14ac:dyDescent="0.3">
      <c r="D4444" t="str">
        <f t="shared" si="120"/>
        <v/>
      </c>
    </row>
    <row r="4445" spans="4:4" x14ac:dyDescent="0.3">
      <c r="D4445" t="str">
        <f t="shared" si="120"/>
        <v/>
      </c>
    </row>
    <row r="4446" spans="4:4" x14ac:dyDescent="0.3">
      <c r="D4446" t="str">
        <f t="shared" si="120"/>
        <v/>
      </c>
    </row>
    <row r="4447" spans="4:4" x14ac:dyDescent="0.3">
      <c r="D4447" t="str">
        <f t="shared" si="120"/>
        <v/>
      </c>
    </row>
    <row r="4448" spans="4:4" x14ac:dyDescent="0.3">
      <c r="D4448" t="str">
        <f t="shared" si="120"/>
        <v/>
      </c>
    </row>
    <row r="4449" spans="4:4" x14ac:dyDescent="0.3">
      <c r="D4449" t="str">
        <f t="shared" si="120"/>
        <v/>
      </c>
    </row>
    <row r="4450" spans="4:4" x14ac:dyDescent="0.3">
      <c r="D4450" t="str">
        <f t="shared" si="120"/>
        <v/>
      </c>
    </row>
    <row r="4451" spans="4:4" x14ac:dyDescent="0.3">
      <c r="D4451" t="str">
        <f t="shared" si="120"/>
        <v/>
      </c>
    </row>
    <row r="4452" spans="4:4" x14ac:dyDescent="0.3">
      <c r="D4452" t="str">
        <f t="shared" si="120"/>
        <v/>
      </c>
    </row>
    <row r="4453" spans="4:4" x14ac:dyDescent="0.3">
      <c r="D4453" t="str">
        <f t="shared" si="120"/>
        <v/>
      </c>
    </row>
    <row r="4454" spans="4:4" x14ac:dyDescent="0.3">
      <c r="D4454" t="str">
        <f t="shared" si="120"/>
        <v/>
      </c>
    </row>
    <row r="4455" spans="4:4" x14ac:dyDescent="0.3">
      <c r="D4455" t="str">
        <f t="shared" si="120"/>
        <v/>
      </c>
    </row>
    <row r="4456" spans="4:4" x14ac:dyDescent="0.3">
      <c r="D4456" t="str">
        <f t="shared" si="120"/>
        <v/>
      </c>
    </row>
    <row r="4457" spans="4:4" x14ac:dyDescent="0.3">
      <c r="D4457" t="str">
        <f t="shared" si="120"/>
        <v/>
      </c>
    </row>
    <row r="4458" spans="4:4" x14ac:dyDescent="0.3">
      <c r="D4458" t="str">
        <f t="shared" si="120"/>
        <v/>
      </c>
    </row>
    <row r="4459" spans="4:4" x14ac:dyDescent="0.3">
      <c r="D4459" t="str">
        <f t="shared" si="120"/>
        <v/>
      </c>
    </row>
    <row r="4460" spans="4:4" x14ac:dyDescent="0.3">
      <c r="D4460" t="str">
        <f t="shared" si="120"/>
        <v/>
      </c>
    </row>
    <row r="4461" spans="4:4" x14ac:dyDescent="0.3">
      <c r="D4461" t="str">
        <f t="shared" si="120"/>
        <v/>
      </c>
    </row>
    <row r="4462" spans="4:4" x14ac:dyDescent="0.3">
      <c r="D4462" t="str">
        <f t="shared" si="120"/>
        <v/>
      </c>
    </row>
    <row r="4463" spans="4:4" x14ac:dyDescent="0.3">
      <c r="D4463" t="str">
        <f t="shared" si="120"/>
        <v/>
      </c>
    </row>
    <row r="4464" spans="4:4" x14ac:dyDescent="0.3">
      <c r="D4464" t="str">
        <f t="shared" si="120"/>
        <v/>
      </c>
    </row>
    <row r="4465" spans="4:4" x14ac:dyDescent="0.3">
      <c r="D4465" t="str">
        <f t="shared" si="120"/>
        <v/>
      </c>
    </row>
    <row r="4466" spans="4:4" x14ac:dyDescent="0.3">
      <c r="D4466" t="str">
        <f t="shared" si="120"/>
        <v/>
      </c>
    </row>
    <row r="4467" spans="4:4" x14ac:dyDescent="0.3">
      <c r="D4467" t="str">
        <f t="shared" si="120"/>
        <v/>
      </c>
    </row>
    <row r="4468" spans="4:4" x14ac:dyDescent="0.3">
      <c r="D4468" t="str">
        <f t="shared" si="120"/>
        <v/>
      </c>
    </row>
    <row r="4469" spans="4:4" x14ac:dyDescent="0.3">
      <c r="D4469" t="str">
        <f t="shared" si="120"/>
        <v/>
      </c>
    </row>
    <row r="4470" spans="4:4" x14ac:dyDescent="0.3">
      <c r="D4470" t="str">
        <f t="shared" si="120"/>
        <v/>
      </c>
    </row>
    <row r="4471" spans="4:4" x14ac:dyDescent="0.3">
      <c r="D4471" t="str">
        <f t="shared" si="120"/>
        <v/>
      </c>
    </row>
    <row r="4472" spans="4:4" x14ac:dyDescent="0.3">
      <c r="D4472" t="str">
        <f t="shared" si="120"/>
        <v/>
      </c>
    </row>
    <row r="4473" spans="4:4" x14ac:dyDescent="0.3">
      <c r="D4473" t="str">
        <f t="shared" si="120"/>
        <v/>
      </c>
    </row>
    <row r="4474" spans="4:4" x14ac:dyDescent="0.3">
      <c r="D4474" t="str">
        <f t="shared" si="120"/>
        <v/>
      </c>
    </row>
    <row r="4475" spans="4:4" x14ac:dyDescent="0.3">
      <c r="D4475" t="str">
        <f t="shared" si="120"/>
        <v/>
      </c>
    </row>
    <row r="4476" spans="4:4" x14ac:dyDescent="0.3">
      <c r="D4476" t="str">
        <f t="shared" si="120"/>
        <v/>
      </c>
    </row>
    <row r="4477" spans="4:4" x14ac:dyDescent="0.3">
      <c r="D4477" t="str">
        <f t="shared" si="120"/>
        <v/>
      </c>
    </row>
    <row r="4478" spans="4:4" x14ac:dyDescent="0.3">
      <c r="D4478" t="str">
        <f t="shared" si="120"/>
        <v/>
      </c>
    </row>
    <row r="4479" spans="4:4" x14ac:dyDescent="0.3">
      <c r="D4479" t="str">
        <f t="shared" si="120"/>
        <v/>
      </c>
    </row>
    <row r="4480" spans="4:4" x14ac:dyDescent="0.3">
      <c r="D4480" t="str">
        <f t="shared" si="120"/>
        <v/>
      </c>
    </row>
    <row r="4481" spans="4:4" x14ac:dyDescent="0.3">
      <c r="D4481" t="str">
        <f t="shared" si="120"/>
        <v/>
      </c>
    </row>
    <row r="4482" spans="4:4" x14ac:dyDescent="0.3">
      <c r="D4482" t="str">
        <f t="shared" si="120"/>
        <v/>
      </c>
    </row>
    <row r="4483" spans="4:4" x14ac:dyDescent="0.3">
      <c r="D4483" t="str">
        <f t="shared" si="120"/>
        <v/>
      </c>
    </row>
    <row r="4484" spans="4:4" x14ac:dyDescent="0.3">
      <c r="D4484" t="str">
        <f t="shared" si="120"/>
        <v/>
      </c>
    </row>
    <row r="4485" spans="4:4" x14ac:dyDescent="0.3">
      <c r="D4485" t="str">
        <f t="shared" si="120"/>
        <v/>
      </c>
    </row>
    <row r="4486" spans="4:4" x14ac:dyDescent="0.3">
      <c r="D4486" t="str">
        <f t="shared" si="120"/>
        <v/>
      </c>
    </row>
    <row r="4487" spans="4:4" x14ac:dyDescent="0.3">
      <c r="D4487" t="str">
        <f t="shared" si="120"/>
        <v/>
      </c>
    </row>
    <row r="4488" spans="4:4" x14ac:dyDescent="0.3">
      <c r="D4488" t="str">
        <f t="shared" si="120"/>
        <v/>
      </c>
    </row>
    <row r="4489" spans="4:4" x14ac:dyDescent="0.3">
      <c r="D4489" t="str">
        <f t="shared" ref="D4489:D4552" si="121">IF(LEFT(A4489,2)="SP",MID(A4489,4,4),IF(LEFT(A4489,1)="X",MID(A4489,3,4),""))</f>
        <v/>
      </c>
    </row>
    <row r="4490" spans="4:4" x14ac:dyDescent="0.3">
      <c r="D4490" t="str">
        <f t="shared" si="121"/>
        <v/>
      </c>
    </row>
    <row r="4491" spans="4:4" x14ac:dyDescent="0.3">
      <c r="D4491" t="str">
        <f t="shared" si="121"/>
        <v/>
      </c>
    </row>
    <row r="4492" spans="4:4" x14ac:dyDescent="0.3">
      <c r="D4492" t="str">
        <f t="shared" si="121"/>
        <v/>
      </c>
    </row>
    <row r="4493" spans="4:4" x14ac:dyDescent="0.3">
      <c r="D4493" t="str">
        <f t="shared" si="121"/>
        <v/>
      </c>
    </row>
    <row r="4494" spans="4:4" x14ac:dyDescent="0.3">
      <c r="D4494" t="str">
        <f t="shared" si="121"/>
        <v/>
      </c>
    </row>
    <row r="4495" spans="4:4" x14ac:dyDescent="0.3">
      <c r="D4495" t="str">
        <f t="shared" si="121"/>
        <v/>
      </c>
    </row>
    <row r="4496" spans="4:4" x14ac:dyDescent="0.3">
      <c r="D4496" t="str">
        <f t="shared" si="121"/>
        <v/>
      </c>
    </row>
    <row r="4497" spans="4:4" x14ac:dyDescent="0.3">
      <c r="D4497" t="str">
        <f t="shared" si="121"/>
        <v/>
      </c>
    </row>
    <row r="4498" spans="4:4" x14ac:dyDescent="0.3">
      <c r="D4498" t="str">
        <f t="shared" si="121"/>
        <v/>
      </c>
    </row>
    <row r="4499" spans="4:4" x14ac:dyDescent="0.3">
      <c r="D4499" t="str">
        <f t="shared" si="121"/>
        <v/>
      </c>
    </row>
    <row r="4500" spans="4:4" x14ac:dyDescent="0.3">
      <c r="D4500" t="str">
        <f t="shared" si="121"/>
        <v/>
      </c>
    </row>
    <row r="4501" spans="4:4" x14ac:dyDescent="0.3">
      <c r="D4501" t="str">
        <f t="shared" si="121"/>
        <v/>
      </c>
    </row>
    <row r="4502" spans="4:4" x14ac:dyDescent="0.3">
      <c r="D4502" t="str">
        <f t="shared" si="121"/>
        <v/>
      </c>
    </row>
    <row r="4503" spans="4:4" x14ac:dyDescent="0.3">
      <c r="D4503" t="str">
        <f t="shared" si="121"/>
        <v/>
      </c>
    </row>
    <row r="4504" spans="4:4" x14ac:dyDescent="0.3">
      <c r="D4504" t="str">
        <f t="shared" si="121"/>
        <v/>
      </c>
    </row>
    <row r="4505" spans="4:4" x14ac:dyDescent="0.3">
      <c r="D4505" t="str">
        <f t="shared" si="121"/>
        <v/>
      </c>
    </row>
    <row r="4506" spans="4:4" x14ac:dyDescent="0.3">
      <c r="D4506" t="str">
        <f t="shared" si="121"/>
        <v/>
      </c>
    </row>
    <row r="4507" spans="4:4" x14ac:dyDescent="0.3">
      <c r="D4507" t="str">
        <f t="shared" si="121"/>
        <v/>
      </c>
    </row>
    <row r="4508" spans="4:4" x14ac:dyDescent="0.3">
      <c r="D4508" t="str">
        <f t="shared" si="121"/>
        <v/>
      </c>
    </row>
    <row r="4509" spans="4:4" x14ac:dyDescent="0.3">
      <c r="D4509" t="str">
        <f t="shared" si="121"/>
        <v/>
      </c>
    </row>
    <row r="4510" spans="4:4" x14ac:dyDescent="0.3">
      <c r="D4510" t="str">
        <f t="shared" si="121"/>
        <v/>
      </c>
    </row>
    <row r="4511" spans="4:4" x14ac:dyDescent="0.3">
      <c r="D4511" t="str">
        <f t="shared" si="121"/>
        <v/>
      </c>
    </row>
    <row r="4512" spans="4:4" x14ac:dyDescent="0.3">
      <c r="D4512" t="str">
        <f t="shared" si="121"/>
        <v/>
      </c>
    </row>
    <row r="4513" spans="4:4" x14ac:dyDescent="0.3">
      <c r="D4513" t="str">
        <f t="shared" si="121"/>
        <v/>
      </c>
    </row>
    <row r="4514" spans="4:4" x14ac:dyDescent="0.3">
      <c r="D4514" t="str">
        <f t="shared" si="121"/>
        <v/>
      </c>
    </row>
    <row r="4515" spans="4:4" x14ac:dyDescent="0.3">
      <c r="D4515" t="str">
        <f t="shared" si="121"/>
        <v/>
      </c>
    </row>
    <row r="4516" spans="4:4" x14ac:dyDescent="0.3">
      <c r="D4516" t="str">
        <f t="shared" si="121"/>
        <v/>
      </c>
    </row>
    <row r="4517" spans="4:4" x14ac:dyDescent="0.3">
      <c r="D4517" t="str">
        <f t="shared" si="121"/>
        <v/>
      </c>
    </row>
    <row r="4518" spans="4:4" x14ac:dyDescent="0.3">
      <c r="D4518" t="str">
        <f t="shared" si="121"/>
        <v/>
      </c>
    </row>
    <row r="4519" spans="4:4" x14ac:dyDescent="0.3">
      <c r="D4519" t="str">
        <f t="shared" si="121"/>
        <v/>
      </c>
    </row>
    <row r="4520" spans="4:4" x14ac:dyDescent="0.3">
      <c r="D4520" t="str">
        <f t="shared" si="121"/>
        <v/>
      </c>
    </row>
    <row r="4521" spans="4:4" x14ac:dyDescent="0.3">
      <c r="D4521" t="str">
        <f t="shared" si="121"/>
        <v/>
      </c>
    </row>
    <row r="4522" spans="4:4" x14ac:dyDescent="0.3">
      <c r="D4522" t="str">
        <f t="shared" si="121"/>
        <v/>
      </c>
    </row>
    <row r="4523" spans="4:4" x14ac:dyDescent="0.3">
      <c r="D4523" t="str">
        <f t="shared" si="121"/>
        <v/>
      </c>
    </row>
    <row r="4524" spans="4:4" x14ac:dyDescent="0.3">
      <c r="D4524" t="str">
        <f t="shared" si="121"/>
        <v/>
      </c>
    </row>
    <row r="4525" spans="4:4" x14ac:dyDescent="0.3">
      <c r="D4525" t="str">
        <f t="shared" si="121"/>
        <v/>
      </c>
    </row>
    <row r="4526" spans="4:4" x14ac:dyDescent="0.3">
      <c r="D4526" t="str">
        <f t="shared" si="121"/>
        <v/>
      </c>
    </row>
    <row r="4527" spans="4:4" x14ac:dyDescent="0.3">
      <c r="D4527" t="str">
        <f t="shared" si="121"/>
        <v/>
      </c>
    </row>
    <row r="4528" spans="4:4" x14ac:dyDescent="0.3">
      <c r="D4528" t="str">
        <f t="shared" si="121"/>
        <v/>
      </c>
    </row>
    <row r="4529" spans="4:4" x14ac:dyDescent="0.3">
      <c r="D4529" t="str">
        <f t="shared" si="121"/>
        <v/>
      </c>
    </row>
    <row r="4530" spans="4:4" x14ac:dyDescent="0.3">
      <c r="D4530" t="str">
        <f t="shared" si="121"/>
        <v/>
      </c>
    </row>
    <row r="4531" spans="4:4" x14ac:dyDescent="0.3">
      <c r="D4531" t="str">
        <f t="shared" si="121"/>
        <v/>
      </c>
    </row>
    <row r="4532" spans="4:4" x14ac:dyDescent="0.3">
      <c r="D4532" t="str">
        <f t="shared" si="121"/>
        <v/>
      </c>
    </row>
    <row r="4533" spans="4:4" x14ac:dyDescent="0.3">
      <c r="D4533" t="str">
        <f t="shared" si="121"/>
        <v/>
      </c>
    </row>
    <row r="4534" spans="4:4" x14ac:dyDescent="0.3">
      <c r="D4534" t="str">
        <f t="shared" si="121"/>
        <v/>
      </c>
    </row>
    <row r="4535" spans="4:4" x14ac:dyDescent="0.3">
      <c r="D4535" t="str">
        <f t="shared" si="121"/>
        <v/>
      </c>
    </row>
    <row r="4536" spans="4:4" x14ac:dyDescent="0.3">
      <c r="D4536" t="str">
        <f t="shared" si="121"/>
        <v/>
      </c>
    </row>
    <row r="4537" spans="4:4" x14ac:dyDescent="0.3">
      <c r="D4537" t="str">
        <f t="shared" si="121"/>
        <v/>
      </c>
    </row>
    <row r="4538" spans="4:4" x14ac:dyDescent="0.3">
      <c r="D4538" t="str">
        <f t="shared" si="121"/>
        <v/>
      </c>
    </row>
    <row r="4539" spans="4:4" x14ac:dyDescent="0.3">
      <c r="D4539" t="str">
        <f t="shared" si="121"/>
        <v/>
      </c>
    </row>
    <row r="4540" spans="4:4" x14ac:dyDescent="0.3">
      <c r="D4540" t="str">
        <f t="shared" si="121"/>
        <v/>
      </c>
    </row>
    <row r="4541" spans="4:4" x14ac:dyDescent="0.3">
      <c r="D4541" t="str">
        <f t="shared" si="121"/>
        <v/>
      </c>
    </row>
    <row r="4542" spans="4:4" x14ac:dyDescent="0.3">
      <c r="D4542" t="str">
        <f t="shared" si="121"/>
        <v/>
      </c>
    </row>
    <row r="4543" spans="4:4" x14ac:dyDescent="0.3">
      <c r="D4543" t="str">
        <f t="shared" si="121"/>
        <v/>
      </c>
    </row>
    <row r="4544" spans="4:4" x14ac:dyDescent="0.3">
      <c r="D4544" t="str">
        <f t="shared" si="121"/>
        <v/>
      </c>
    </row>
    <row r="4545" spans="4:4" x14ac:dyDescent="0.3">
      <c r="D4545" t="str">
        <f t="shared" si="121"/>
        <v/>
      </c>
    </row>
    <row r="4546" spans="4:4" x14ac:dyDescent="0.3">
      <c r="D4546" t="str">
        <f t="shared" si="121"/>
        <v/>
      </c>
    </row>
    <row r="4547" spans="4:4" x14ac:dyDescent="0.3">
      <c r="D4547" t="str">
        <f t="shared" si="121"/>
        <v/>
      </c>
    </row>
    <row r="4548" spans="4:4" x14ac:dyDescent="0.3">
      <c r="D4548" t="str">
        <f t="shared" si="121"/>
        <v/>
      </c>
    </row>
    <row r="4549" spans="4:4" x14ac:dyDescent="0.3">
      <c r="D4549" t="str">
        <f t="shared" si="121"/>
        <v/>
      </c>
    </row>
    <row r="4550" spans="4:4" x14ac:dyDescent="0.3">
      <c r="D4550" t="str">
        <f t="shared" si="121"/>
        <v/>
      </c>
    </row>
    <row r="4551" spans="4:4" x14ac:dyDescent="0.3">
      <c r="D4551" t="str">
        <f t="shared" si="121"/>
        <v/>
      </c>
    </row>
    <row r="4552" spans="4:4" x14ac:dyDescent="0.3">
      <c r="D4552" t="str">
        <f t="shared" si="121"/>
        <v/>
      </c>
    </row>
    <row r="4553" spans="4:4" x14ac:dyDescent="0.3">
      <c r="D4553" t="str">
        <f t="shared" ref="D4553:D4616" si="122">IF(LEFT(A4553,2)="SP",MID(A4553,4,4),IF(LEFT(A4553,1)="X",MID(A4553,3,4),""))</f>
        <v/>
      </c>
    </row>
    <row r="4554" spans="4:4" x14ac:dyDescent="0.3">
      <c r="D4554" t="str">
        <f t="shared" si="122"/>
        <v/>
      </c>
    </row>
    <row r="4555" spans="4:4" x14ac:dyDescent="0.3">
      <c r="D4555" t="str">
        <f t="shared" si="122"/>
        <v/>
      </c>
    </row>
    <row r="4556" spans="4:4" x14ac:dyDescent="0.3">
      <c r="D4556" t="str">
        <f t="shared" si="122"/>
        <v/>
      </c>
    </row>
    <row r="4557" spans="4:4" x14ac:dyDescent="0.3">
      <c r="D4557" t="str">
        <f t="shared" si="122"/>
        <v/>
      </c>
    </row>
    <row r="4558" spans="4:4" x14ac:dyDescent="0.3">
      <c r="D4558" t="str">
        <f t="shared" si="122"/>
        <v/>
      </c>
    </row>
    <row r="4559" spans="4:4" x14ac:dyDescent="0.3">
      <c r="D4559" t="str">
        <f t="shared" si="122"/>
        <v/>
      </c>
    </row>
    <row r="4560" spans="4:4" x14ac:dyDescent="0.3">
      <c r="D4560" t="str">
        <f t="shared" si="122"/>
        <v/>
      </c>
    </row>
    <row r="4561" spans="4:4" x14ac:dyDescent="0.3">
      <c r="D4561" t="str">
        <f t="shared" si="122"/>
        <v/>
      </c>
    </row>
    <row r="4562" spans="4:4" x14ac:dyDescent="0.3">
      <c r="D4562" t="str">
        <f t="shared" si="122"/>
        <v/>
      </c>
    </row>
    <row r="4563" spans="4:4" x14ac:dyDescent="0.3">
      <c r="D4563" t="str">
        <f t="shared" si="122"/>
        <v/>
      </c>
    </row>
    <row r="4564" spans="4:4" x14ac:dyDescent="0.3">
      <c r="D4564" t="str">
        <f t="shared" si="122"/>
        <v/>
      </c>
    </row>
    <row r="4565" spans="4:4" x14ac:dyDescent="0.3">
      <c r="D4565" t="str">
        <f t="shared" si="122"/>
        <v/>
      </c>
    </row>
    <row r="4566" spans="4:4" x14ac:dyDescent="0.3">
      <c r="D4566" t="str">
        <f t="shared" si="122"/>
        <v/>
      </c>
    </row>
    <row r="4567" spans="4:4" x14ac:dyDescent="0.3">
      <c r="D4567" t="str">
        <f t="shared" si="122"/>
        <v/>
      </c>
    </row>
    <row r="4568" spans="4:4" x14ac:dyDescent="0.3">
      <c r="D4568" t="str">
        <f t="shared" si="122"/>
        <v/>
      </c>
    </row>
    <row r="4569" spans="4:4" x14ac:dyDescent="0.3">
      <c r="D4569" t="str">
        <f t="shared" si="122"/>
        <v/>
      </c>
    </row>
    <row r="4570" spans="4:4" x14ac:dyDescent="0.3">
      <c r="D4570" t="str">
        <f t="shared" si="122"/>
        <v/>
      </c>
    </row>
    <row r="4571" spans="4:4" x14ac:dyDescent="0.3">
      <c r="D4571" t="str">
        <f t="shared" si="122"/>
        <v/>
      </c>
    </row>
    <row r="4572" spans="4:4" x14ac:dyDescent="0.3">
      <c r="D4572" t="str">
        <f t="shared" si="122"/>
        <v/>
      </c>
    </row>
    <row r="4573" spans="4:4" x14ac:dyDescent="0.3">
      <c r="D4573" t="str">
        <f t="shared" si="122"/>
        <v/>
      </c>
    </row>
    <row r="4574" spans="4:4" x14ac:dyDescent="0.3">
      <c r="D4574" t="str">
        <f t="shared" si="122"/>
        <v/>
      </c>
    </row>
    <row r="4575" spans="4:4" x14ac:dyDescent="0.3">
      <c r="D4575" t="str">
        <f t="shared" si="122"/>
        <v/>
      </c>
    </row>
    <row r="4576" spans="4:4" x14ac:dyDescent="0.3">
      <c r="D4576" t="str">
        <f t="shared" si="122"/>
        <v/>
      </c>
    </row>
    <row r="4577" spans="4:4" x14ac:dyDescent="0.3">
      <c r="D4577" t="str">
        <f t="shared" si="122"/>
        <v/>
      </c>
    </row>
    <row r="4578" spans="4:4" x14ac:dyDescent="0.3">
      <c r="D4578" t="str">
        <f t="shared" si="122"/>
        <v/>
      </c>
    </row>
    <row r="4579" spans="4:4" x14ac:dyDescent="0.3">
      <c r="D4579" t="str">
        <f t="shared" si="122"/>
        <v/>
      </c>
    </row>
    <row r="4580" spans="4:4" x14ac:dyDescent="0.3">
      <c r="D4580" t="str">
        <f t="shared" si="122"/>
        <v/>
      </c>
    </row>
    <row r="4581" spans="4:4" x14ac:dyDescent="0.3">
      <c r="D4581" t="str">
        <f t="shared" si="122"/>
        <v/>
      </c>
    </row>
    <row r="4582" spans="4:4" x14ac:dyDescent="0.3">
      <c r="D4582" t="str">
        <f t="shared" si="122"/>
        <v/>
      </c>
    </row>
    <row r="4583" spans="4:4" x14ac:dyDescent="0.3">
      <c r="D4583" t="str">
        <f t="shared" si="122"/>
        <v/>
      </c>
    </row>
    <row r="4584" spans="4:4" x14ac:dyDescent="0.3">
      <c r="D4584" t="str">
        <f t="shared" si="122"/>
        <v/>
      </c>
    </row>
    <row r="4585" spans="4:4" x14ac:dyDescent="0.3">
      <c r="D4585" t="str">
        <f t="shared" si="122"/>
        <v/>
      </c>
    </row>
    <row r="4586" spans="4:4" x14ac:dyDescent="0.3">
      <c r="D4586" t="str">
        <f t="shared" si="122"/>
        <v/>
      </c>
    </row>
    <row r="4587" spans="4:4" x14ac:dyDescent="0.3">
      <c r="D4587" t="str">
        <f t="shared" si="122"/>
        <v/>
      </c>
    </row>
    <row r="4588" spans="4:4" x14ac:dyDescent="0.3">
      <c r="D4588" t="str">
        <f t="shared" si="122"/>
        <v/>
      </c>
    </row>
    <row r="4589" spans="4:4" x14ac:dyDescent="0.3">
      <c r="D4589" t="str">
        <f t="shared" si="122"/>
        <v/>
      </c>
    </row>
    <row r="4590" spans="4:4" x14ac:dyDescent="0.3">
      <c r="D4590" t="str">
        <f t="shared" si="122"/>
        <v/>
      </c>
    </row>
    <row r="4591" spans="4:4" x14ac:dyDescent="0.3">
      <c r="D4591" t="str">
        <f t="shared" si="122"/>
        <v/>
      </c>
    </row>
    <row r="4592" spans="4:4" x14ac:dyDescent="0.3">
      <c r="D4592" t="str">
        <f t="shared" si="122"/>
        <v/>
      </c>
    </row>
    <row r="4593" spans="4:4" x14ac:dyDescent="0.3">
      <c r="D4593" t="str">
        <f t="shared" si="122"/>
        <v/>
      </c>
    </row>
    <row r="4594" spans="4:4" x14ac:dyDescent="0.3">
      <c r="D4594" t="str">
        <f t="shared" si="122"/>
        <v/>
      </c>
    </row>
    <row r="4595" spans="4:4" x14ac:dyDescent="0.3">
      <c r="D4595" t="str">
        <f t="shared" si="122"/>
        <v/>
      </c>
    </row>
    <row r="4596" spans="4:4" x14ac:dyDescent="0.3">
      <c r="D4596" t="str">
        <f t="shared" si="122"/>
        <v/>
      </c>
    </row>
    <row r="4597" spans="4:4" x14ac:dyDescent="0.3">
      <c r="D4597" t="str">
        <f t="shared" si="122"/>
        <v/>
      </c>
    </row>
    <row r="4598" spans="4:4" x14ac:dyDescent="0.3">
      <c r="D4598" t="str">
        <f t="shared" si="122"/>
        <v/>
      </c>
    </row>
    <row r="4599" spans="4:4" x14ac:dyDescent="0.3">
      <c r="D4599" t="str">
        <f t="shared" si="122"/>
        <v/>
      </c>
    </row>
    <row r="4600" spans="4:4" x14ac:dyDescent="0.3">
      <c r="D4600" t="str">
        <f t="shared" si="122"/>
        <v/>
      </c>
    </row>
    <row r="4601" spans="4:4" x14ac:dyDescent="0.3">
      <c r="D4601" t="str">
        <f t="shared" si="122"/>
        <v/>
      </c>
    </row>
    <row r="4602" spans="4:4" x14ac:dyDescent="0.3">
      <c r="D4602" t="str">
        <f t="shared" si="122"/>
        <v/>
      </c>
    </row>
    <row r="4603" spans="4:4" x14ac:dyDescent="0.3">
      <c r="D4603" t="str">
        <f t="shared" si="122"/>
        <v/>
      </c>
    </row>
    <row r="4604" spans="4:4" x14ac:dyDescent="0.3">
      <c r="D4604" t="str">
        <f t="shared" si="122"/>
        <v/>
      </c>
    </row>
    <row r="4605" spans="4:4" x14ac:dyDescent="0.3">
      <c r="D4605" t="str">
        <f t="shared" si="122"/>
        <v/>
      </c>
    </row>
    <row r="4606" spans="4:4" x14ac:dyDescent="0.3">
      <c r="D4606" t="str">
        <f t="shared" si="122"/>
        <v/>
      </c>
    </row>
    <row r="4607" spans="4:4" x14ac:dyDescent="0.3">
      <c r="D4607" t="str">
        <f t="shared" si="122"/>
        <v/>
      </c>
    </row>
    <row r="4608" spans="4:4" x14ac:dyDescent="0.3">
      <c r="D4608" t="str">
        <f t="shared" si="122"/>
        <v/>
      </c>
    </row>
    <row r="4609" spans="4:4" x14ac:dyDescent="0.3">
      <c r="D4609" t="str">
        <f t="shared" si="122"/>
        <v/>
      </c>
    </row>
    <row r="4610" spans="4:4" x14ac:dyDescent="0.3">
      <c r="D4610" t="str">
        <f t="shared" si="122"/>
        <v/>
      </c>
    </row>
    <row r="4611" spans="4:4" x14ac:dyDescent="0.3">
      <c r="D4611" t="str">
        <f t="shared" si="122"/>
        <v/>
      </c>
    </row>
    <row r="4612" spans="4:4" x14ac:dyDescent="0.3">
      <c r="D4612" t="str">
        <f t="shared" si="122"/>
        <v/>
      </c>
    </row>
    <row r="4613" spans="4:4" x14ac:dyDescent="0.3">
      <c r="D4613" t="str">
        <f t="shared" si="122"/>
        <v/>
      </c>
    </row>
    <row r="4614" spans="4:4" x14ac:dyDescent="0.3">
      <c r="D4614" t="str">
        <f t="shared" si="122"/>
        <v/>
      </c>
    </row>
    <row r="4615" spans="4:4" x14ac:dyDescent="0.3">
      <c r="D4615" t="str">
        <f t="shared" si="122"/>
        <v/>
      </c>
    </row>
    <row r="4616" spans="4:4" x14ac:dyDescent="0.3">
      <c r="D4616" t="str">
        <f t="shared" si="122"/>
        <v/>
      </c>
    </row>
    <row r="4617" spans="4:4" x14ac:dyDescent="0.3">
      <c r="D4617" t="str">
        <f t="shared" ref="D4617:D4680" si="123">IF(LEFT(A4617,2)="SP",MID(A4617,4,4),IF(LEFT(A4617,1)="X",MID(A4617,3,4),""))</f>
        <v/>
      </c>
    </row>
    <row r="4618" spans="4:4" x14ac:dyDescent="0.3">
      <c r="D4618" t="str">
        <f t="shared" si="123"/>
        <v/>
      </c>
    </row>
    <row r="4619" spans="4:4" x14ac:dyDescent="0.3">
      <c r="D4619" t="str">
        <f t="shared" si="123"/>
        <v/>
      </c>
    </row>
    <row r="4620" spans="4:4" x14ac:dyDescent="0.3">
      <c r="D4620" t="str">
        <f t="shared" si="123"/>
        <v/>
      </c>
    </row>
    <row r="4621" spans="4:4" x14ac:dyDescent="0.3">
      <c r="D4621" t="str">
        <f t="shared" si="123"/>
        <v/>
      </c>
    </row>
    <row r="4622" spans="4:4" x14ac:dyDescent="0.3">
      <c r="D4622" t="str">
        <f t="shared" si="123"/>
        <v/>
      </c>
    </row>
    <row r="4623" spans="4:4" x14ac:dyDescent="0.3">
      <c r="D4623" t="str">
        <f t="shared" si="123"/>
        <v/>
      </c>
    </row>
    <row r="4624" spans="4:4" x14ac:dyDescent="0.3">
      <c r="D4624" t="str">
        <f t="shared" si="123"/>
        <v/>
      </c>
    </row>
    <row r="4625" spans="4:4" x14ac:dyDescent="0.3">
      <c r="D4625" t="str">
        <f t="shared" si="123"/>
        <v/>
      </c>
    </row>
    <row r="4626" spans="4:4" x14ac:dyDescent="0.3">
      <c r="D4626" t="str">
        <f t="shared" si="123"/>
        <v/>
      </c>
    </row>
    <row r="4627" spans="4:4" x14ac:dyDescent="0.3">
      <c r="D4627" t="str">
        <f t="shared" si="123"/>
        <v/>
      </c>
    </row>
    <row r="4628" spans="4:4" x14ac:dyDescent="0.3">
      <c r="D4628" t="str">
        <f t="shared" si="123"/>
        <v/>
      </c>
    </row>
    <row r="4629" spans="4:4" x14ac:dyDescent="0.3">
      <c r="D4629" t="str">
        <f t="shared" si="123"/>
        <v/>
      </c>
    </row>
    <row r="4630" spans="4:4" x14ac:dyDescent="0.3">
      <c r="D4630" t="str">
        <f t="shared" si="123"/>
        <v/>
      </c>
    </row>
    <row r="4631" spans="4:4" x14ac:dyDescent="0.3">
      <c r="D4631" t="str">
        <f t="shared" si="123"/>
        <v/>
      </c>
    </row>
    <row r="4632" spans="4:4" x14ac:dyDescent="0.3">
      <c r="D4632" t="str">
        <f t="shared" si="123"/>
        <v/>
      </c>
    </row>
    <row r="4633" spans="4:4" x14ac:dyDescent="0.3">
      <c r="D4633" t="str">
        <f t="shared" si="123"/>
        <v/>
      </c>
    </row>
    <row r="4634" spans="4:4" x14ac:dyDescent="0.3">
      <c r="D4634" t="str">
        <f t="shared" si="123"/>
        <v/>
      </c>
    </row>
    <row r="4635" spans="4:4" x14ac:dyDescent="0.3">
      <c r="D4635" t="str">
        <f t="shared" si="123"/>
        <v/>
      </c>
    </row>
    <row r="4636" spans="4:4" x14ac:dyDescent="0.3">
      <c r="D4636" t="str">
        <f t="shared" si="123"/>
        <v/>
      </c>
    </row>
    <row r="4637" spans="4:4" x14ac:dyDescent="0.3">
      <c r="D4637" t="str">
        <f t="shared" si="123"/>
        <v/>
      </c>
    </row>
    <row r="4638" spans="4:4" x14ac:dyDescent="0.3">
      <c r="D4638" t="str">
        <f t="shared" si="123"/>
        <v/>
      </c>
    </row>
    <row r="4639" spans="4:4" x14ac:dyDescent="0.3">
      <c r="D4639" t="str">
        <f t="shared" si="123"/>
        <v/>
      </c>
    </row>
    <row r="4640" spans="4:4" x14ac:dyDescent="0.3">
      <c r="D4640" t="str">
        <f t="shared" si="123"/>
        <v/>
      </c>
    </row>
    <row r="4641" spans="4:4" x14ac:dyDescent="0.3">
      <c r="D4641" t="str">
        <f t="shared" si="123"/>
        <v/>
      </c>
    </row>
    <row r="4642" spans="4:4" x14ac:dyDescent="0.3">
      <c r="D4642" t="str">
        <f t="shared" si="123"/>
        <v/>
      </c>
    </row>
    <row r="4643" spans="4:4" x14ac:dyDescent="0.3">
      <c r="D4643" t="str">
        <f t="shared" si="123"/>
        <v/>
      </c>
    </row>
    <row r="4644" spans="4:4" x14ac:dyDescent="0.3">
      <c r="D4644" t="str">
        <f t="shared" si="123"/>
        <v/>
      </c>
    </row>
    <row r="4645" spans="4:4" x14ac:dyDescent="0.3">
      <c r="D4645" t="str">
        <f t="shared" si="123"/>
        <v/>
      </c>
    </row>
    <row r="4646" spans="4:4" x14ac:dyDescent="0.3">
      <c r="D4646" t="str">
        <f t="shared" si="123"/>
        <v/>
      </c>
    </row>
    <row r="4647" spans="4:4" x14ac:dyDescent="0.3">
      <c r="D4647" t="str">
        <f t="shared" si="123"/>
        <v/>
      </c>
    </row>
    <row r="4648" spans="4:4" x14ac:dyDescent="0.3">
      <c r="D4648" t="str">
        <f t="shared" si="123"/>
        <v/>
      </c>
    </row>
    <row r="4649" spans="4:4" x14ac:dyDescent="0.3">
      <c r="D4649" t="str">
        <f t="shared" si="123"/>
        <v/>
      </c>
    </row>
    <row r="4650" spans="4:4" x14ac:dyDescent="0.3">
      <c r="D4650" t="str">
        <f t="shared" si="123"/>
        <v/>
      </c>
    </row>
    <row r="4651" spans="4:4" x14ac:dyDescent="0.3">
      <c r="D4651" t="str">
        <f t="shared" si="123"/>
        <v/>
      </c>
    </row>
    <row r="4652" spans="4:4" x14ac:dyDescent="0.3">
      <c r="D4652" t="str">
        <f t="shared" si="123"/>
        <v/>
      </c>
    </row>
    <row r="4653" spans="4:4" x14ac:dyDescent="0.3">
      <c r="D4653" t="str">
        <f t="shared" si="123"/>
        <v/>
      </c>
    </row>
    <row r="4654" spans="4:4" x14ac:dyDescent="0.3">
      <c r="D4654" t="str">
        <f t="shared" si="123"/>
        <v/>
      </c>
    </row>
    <row r="4655" spans="4:4" x14ac:dyDescent="0.3">
      <c r="D4655" t="str">
        <f t="shared" si="123"/>
        <v/>
      </c>
    </row>
    <row r="4656" spans="4:4" x14ac:dyDescent="0.3">
      <c r="D4656" t="str">
        <f t="shared" si="123"/>
        <v/>
      </c>
    </row>
    <row r="4657" spans="4:4" x14ac:dyDescent="0.3">
      <c r="D4657" t="str">
        <f t="shared" si="123"/>
        <v/>
      </c>
    </row>
    <row r="4658" spans="4:4" x14ac:dyDescent="0.3">
      <c r="D4658" t="str">
        <f t="shared" si="123"/>
        <v/>
      </c>
    </row>
    <row r="4659" spans="4:4" x14ac:dyDescent="0.3">
      <c r="D4659" t="str">
        <f t="shared" si="123"/>
        <v/>
      </c>
    </row>
    <row r="4660" spans="4:4" x14ac:dyDescent="0.3">
      <c r="D4660" t="str">
        <f t="shared" si="123"/>
        <v/>
      </c>
    </row>
    <row r="4661" spans="4:4" x14ac:dyDescent="0.3">
      <c r="D4661" t="str">
        <f t="shared" si="123"/>
        <v/>
      </c>
    </row>
    <row r="4662" spans="4:4" x14ac:dyDescent="0.3">
      <c r="D4662" t="str">
        <f t="shared" si="123"/>
        <v/>
      </c>
    </row>
    <row r="4663" spans="4:4" x14ac:dyDescent="0.3">
      <c r="D4663" t="str">
        <f t="shared" si="123"/>
        <v/>
      </c>
    </row>
    <row r="4664" spans="4:4" x14ac:dyDescent="0.3">
      <c r="D4664" t="str">
        <f t="shared" si="123"/>
        <v/>
      </c>
    </row>
    <row r="4665" spans="4:4" x14ac:dyDescent="0.3">
      <c r="D4665" t="str">
        <f t="shared" si="123"/>
        <v/>
      </c>
    </row>
    <row r="4666" spans="4:4" x14ac:dyDescent="0.3">
      <c r="D4666" t="str">
        <f t="shared" si="123"/>
        <v/>
      </c>
    </row>
    <row r="4667" spans="4:4" x14ac:dyDescent="0.3">
      <c r="D4667" t="str">
        <f t="shared" si="123"/>
        <v/>
      </c>
    </row>
    <row r="4668" spans="4:4" x14ac:dyDescent="0.3">
      <c r="D4668" t="str">
        <f t="shared" si="123"/>
        <v/>
      </c>
    </row>
    <row r="4669" spans="4:4" x14ac:dyDescent="0.3">
      <c r="D4669" t="str">
        <f t="shared" si="123"/>
        <v/>
      </c>
    </row>
    <row r="4670" spans="4:4" x14ac:dyDescent="0.3">
      <c r="D4670" t="str">
        <f t="shared" si="123"/>
        <v/>
      </c>
    </row>
    <row r="4671" spans="4:4" x14ac:dyDescent="0.3">
      <c r="D4671" t="str">
        <f t="shared" si="123"/>
        <v/>
      </c>
    </row>
    <row r="4672" spans="4:4" x14ac:dyDescent="0.3">
      <c r="D4672" t="str">
        <f t="shared" si="123"/>
        <v/>
      </c>
    </row>
    <row r="4673" spans="4:4" x14ac:dyDescent="0.3">
      <c r="D4673" t="str">
        <f t="shared" si="123"/>
        <v/>
      </c>
    </row>
    <row r="4674" spans="4:4" x14ac:dyDescent="0.3">
      <c r="D4674" t="str">
        <f t="shared" si="123"/>
        <v/>
      </c>
    </row>
    <row r="4675" spans="4:4" x14ac:dyDescent="0.3">
      <c r="D4675" t="str">
        <f t="shared" si="123"/>
        <v/>
      </c>
    </row>
    <row r="4676" spans="4:4" x14ac:dyDescent="0.3">
      <c r="D4676" t="str">
        <f t="shared" si="123"/>
        <v/>
      </c>
    </row>
    <row r="4677" spans="4:4" x14ac:dyDescent="0.3">
      <c r="D4677" t="str">
        <f t="shared" si="123"/>
        <v/>
      </c>
    </row>
    <row r="4678" spans="4:4" x14ac:dyDescent="0.3">
      <c r="D4678" t="str">
        <f t="shared" si="123"/>
        <v/>
      </c>
    </row>
    <row r="4679" spans="4:4" x14ac:dyDescent="0.3">
      <c r="D4679" t="str">
        <f t="shared" si="123"/>
        <v/>
      </c>
    </row>
    <row r="4680" spans="4:4" x14ac:dyDescent="0.3">
      <c r="D4680" t="str">
        <f t="shared" si="123"/>
        <v/>
      </c>
    </row>
    <row r="4681" spans="4:4" x14ac:dyDescent="0.3">
      <c r="D4681" t="str">
        <f t="shared" ref="D4681:D4744" si="124">IF(LEFT(A4681,2)="SP",MID(A4681,4,4),IF(LEFT(A4681,1)="X",MID(A4681,3,4),""))</f>
        <v/>
      </c>
    </row>
    <row r="4682" spans="4:4" x14ac:dyDescent="0.3">
      <c r="D4682" t="str">
        <f t="shared" si="124"/>
        <v/>
      </c>
    </row>
    <row r="4683" spans="4:4" x14ac:dyDescent="0.3">
      <c r="D4683" t="str">
        <f t="shared" si="124"/>
        <v/>
      </c>
    </row>
    <row r="4684" spans="4:4" x14ac:dyDescent="0.3">
      <c r="D4684" t="str">
        <f t="shared" si="124"/>
        <v/>
      </c>
    </row>
    <row r="4685" spans="4:4" x14ac:dyDescent="0.3">
      <c r="D4685" t="str">
        <f t="shared" si="124"/>
        <v/>
      </c>
    </row>
    <row r="4686" spans="4:4" x14ac:dyDescent="0.3">
      <c r="D4686" t="str">
        <f t="shared" si="124"/>
        <v/>
      </c>
    </row>
    <row r="4687" spans="4:4" x14ac:dyDescent="0.3">
      <c r="D4687" t="str">
        <f t="shared" si="124"/>
        <v/>
      </c>
    </row>
    <row r="4688" spans="4:4" x14ac:dyDescent="0.3">
      <c r="D4688" t="str">
        <f t="shared" si="124"/>
        <v/>
      </c>
    </row>
    <row r="4689" spans="4:4" x14ac:dyDescent="0.3">
      <c r="D4689" t="str">
        <f t="shared" si="124"/>
        <v/>
      </c>
    </row>
    <row r="4690" spans="4:4" x14ac:dyDescent="0.3">
      <c r="D4690" t="str">
        <f t="shared" si="124"/>
        <v/>
      </c>
    </row>
    <row r="4691" spans="4:4" x14ac:dyDescent="0.3">
      <c r="D4691" t="str">
        <f t="shared" si="124"/>
        <v/>
      </c>
    </row>
    <row r="4692" spans="4:4" x14ac:dyDescent="0.3">
      <c r="D4692" t="str">
        <f t="shared" si="124"/>
        <v/>
      </c>
    </row>
    <row r="4693" spans="4:4" x14ac:dyDescent="0.3">
      <c r="D4693" t="str">
        <f t="shared" si="124"/>
        <v/>
      </c>
    </row>
    <row r="4694" spans="4:4" x14ac:dyDescent="0.3">
      <c r="D4694" t="str">
        <f t="shared" si="124"/>
        <v/>
      </c>
    </row>
    <row r="4695" spans="4:4" x14ac:dyDescent="0.3">
      <c r="D4695" t="str">
        <f t="shared" si="124"/>
        <v/>
      </c>
    </row>
    <row r="4696" spans="4:4" x14ac:dyDescent="0.3">
      <c r="D4696" t="str">
        <f t="shared" si="124"/>
        <v/>
      </c>
    </row>
    <row r="4697" spans="4:4" x14ac:dyDescent="0.3">
      <c r="D4697" t="str">
        <f t="shared" si="124"/>
        <v/>
      </c>
    </row>
    <row r="4698" spans="4:4" x14ac:dyDescent="0.3">
      <c r="D4698" t="str">
        <f t="shared" si="124"/>
        <v/>
      </c>
    </row>
    <row r="4699" spans="4:4" x14ac:dyDescent="0.3">
      <c r="D4699" t="str">
        <f t="shared" si="124"/>
        <v/>
      </c>
    </row>
    <row r="4700" spans="4:4" x14ac:dyDescent="0.3">
      <c r="D4700" t="str">
        <f t="shared" si="124"/>
        <v/>
      </c>
    </row>
    <row r="4701" spans="4:4" x14ac:dyDescent="0.3">
      <c r="D4701" t="str">
        <f t="shared" si="124"/>
        <v/>
      </c>
    </row>
    <row r="4702" spans="4:4" x14ac:dyDescent="0.3">
      <c r="D4702" t="str">
        <f t="shared" si="124"/>
        <v/>
      </c>
    </row>
    <row r="4703" spans="4:4" x14ac:dyDescent="0.3">
      <c r="D4703" t="str">
        <f t="shared" si="124"/>
        <v/>
      </c>
    </row>
    <row r="4704" spans="4:4" x14ac:dyDescent="0.3">
      <c r="D4704" t="str">
        <f t="shared" si="124"/>
        <v/>
      </c>
    </row>
    <row r="4705" spans="4:4" x14ac:dyDescent="0.3">
      <c r="D4705" t="str">
        <f t="shared" si="124"/>
        <v/>
      </c>
    </row>
    <row r="4706" spans="4:4" x14ac:dyDescent="0.3">
      <c r="D4706" t="str">
        <f t="shared" si="124"/>
        <v/>
      </c>
    </row>
    <row r="4707" spans="4:4" x14ac:dyDescent="0.3">
      <c r="D4707" t="str">
        <f t="shared" si="124"/>
        <v/>
      </c>
    </row>
    <row r="4708" spans="4:4" x14ac:dyDescent="0.3">
      <c r="D4708" t="str">
        <f t="shared" si="124"/>
        <v/>
      </c>
    </row>
    <row r="4709" spans="4:4" x14ac:dyDescent="0.3">
      <c r="D4709" t="str">
        <f t="shared" si="124"/>
        <v/>
      </c>
    </row>
    <row r="4710" spans="4:4" x14ac:dyDescent="0.3">
      <c r="D4710" t="str">
        <f t="shared" si="124"/>
        <v/>
      </c>
    </row>
    <row r="4711" spans="4:4" x14ac:dyDescent="0.3">
      <c r="D4711" t="str">
        <f t="shared" si="124"/>
        <v/>
      </c>
    </row>
    <row r="4712" spans="4:4" x14ac:dyDescent="0.3">
      <c r="D4712" t="str">
        <f t="shared" si="124"/>
        <v/>
      </c>
    </row>
    <row r="4713" spans="4:4" x14ac:dyDescent="0.3">
      <c r="D4713" t="str">
        <f t="shared" si="124"/>
        <v/>
      </c>
    </row>
    <row r="4714" spans="4:4" x14ac:dyDescent="0.3">
      <c r="D4714" t="str">
        <f t="shared" si="124"/>
        <v/>
      </c>
    </row>
    <row r="4715" spans="4:4" x14ac:dyDescent="0.3">
      <c r="D4715" t="str">
        <f t="shared" si="124"/>
        <v/>
      </c>
    </row>
    <row r="4716" spans="4:4" x14ac:dyDescent="0.3">
      <c r="D4716" t="str">
        <f t="shared" si="124"/>
        <v/>
      </c>
    </row>
    <row r="4717" spans="4:4" x14ac:dyDescent="0.3">
      <c r="D4717" t="str">
        <f t="shared" si="124"/>
        <v/>
      </c>
    </row>
    <row r="4718" spans="4:4" x14ac:dyDescent="0.3">
      <c r="D4718" t="str">
        <f t="shared" si="124"/>
        <v/>
      </c>
    </row>
    <row r="4719" spans="4:4" x14ac:dyDescent="0.3">
      <c r="D4719" t="str">
        <f t="shared" si="124"/>
        <v/>
      </c>
    </row>
    <row r="4720" spans="4:4" x14ac:dyDescent="0.3">
      <c r="D4720" t="str">
        <f t="shared" si="124"/>
        <v/>
      </c>
    </row>
    <row r="4721" spans="4:4" x14ac:dyDescent="0.3">
      <c r="D4721" t="str">
        <f t="shared" si="124"/>
        <v/>
      </c>
    </row>
    <row r="4722" spans="4:4" x14ac:dyDescent="0.3">
      <c r="D4722" t="str">
        <f t="shared" si="124"/>
        <v/>
      </c>
    </row>
    <row r="4723" spans="4:4" x14ac:dyDescent="0.3">
      <c r="D4723" t="str">
        <f t="shared" si="124"/>
        <v/>
      </c>
    </row>
    <row r="4724" spans="4:4" x14ac:dyDescent="0.3">
      <c r="D4724" t="str">
        <f t="shared" si="124"/>
        <v/>
      </c>
    </row>
    <row r="4725" spans="4:4" x14ac:dyDescent="0.3">
      <c r="D4725" t="str">
        <f t="shared" si="124"/>
        <v/>
      </c>
    </row>
    <row r="4726" spans="4:4" x14ac:dyDescent="0.3">
      <c r="D4726" t="str">
        <f t="shared" si="124"/>
        <v/>
      </c>
    </row>
    <row r="4727" spans="4:4" x14ac:dyDescent="0.3">
      <c r="D4727" t="str">
        <f t="shared" si="124"/>
        <v/>
      </c>
    </row>
    <row r="4728" spans="4:4" x14ac:dyDescent="0.3">
      <c r="D4728" t="str">
        <f t="shared" si="124"/>
        <v/>
      </c>
    </row>
    <row r="4729" spans="4:4" x14ac:dyDescent="0.3">
      <c r="D4729" t="str">
        <f t="shared" si="124"/>
        <v/>
      </c>
    </row>
    <row r="4730" spans="4:4" x14ac:dyDescent="0.3">
      <c r="D4730" t="str">
        <f t="shared" si="124"/>
        <v/>
      </c>
    </row>
    <row r="4731" spans="4:4" x14ac:dyDescent="0.3">
      <c r="D4731" t="str">
        <f t="shared" si="124"/>
        <v/>
      </c>
    </row>
    <row r="4732" spans="4:4" x14ac:dyDescent="0.3">
      <c r="D4732" t="str">
        <f t="shared" si="124"/>
        <v/>
      </c>
    </row>
    <row r="4733" spans="4:4" x14ac:dyDescent="0.3">
      <c r="D4733" t="str">
        <f t="shared" si="124"/>
        <v/>
      </c>
    </row>
    <row r="4734" spans="4:4" x14ac:dyDescent="0.3">
      <c r="D4734" t="str">
        <f t="shared" si="124"/>
        <v/>
      </c>
    </row>
    <row r="4735" spans="4:4" x14ac:dyDescent="0.3">
      <c r="D4735" t="str">
        <f t="shared" si="124"/>
        <v/>
      </c>
    </row>
    <row r="4736" spans="4:4" x14ac:dyDescent="0.3">
      <c r="D4736" t="str">
        <f t="shared" si="124"/>
        <v/>
      </c>
    </row>
    <row r="4737" spans="4:4" x14ac:dyDescent="0.3">
      <c r="D4737" t="str">
        <f t="shared" si="124"/>
        <v/>
      </c>
    </row>
    <row r="4738" spans="4:4" x14ac:dyDescent="0.3">
      <c r="D4738" t="str">
        <f t="shared" si="124"/>
        <v/>
      </c>
    </row>
    <row r="4739" spans="4:4" x14ac:dyDescent="0.3">
      <c r="D4739" t="str">
        <f t="shared" si="124"/>
        <v/>
      </c>
    </row>
    <row r="4740" spans="4:4" x14ac:dyDescent="0.3">
      <c r="D4740" t="str">
        <f t="shared" si="124"/>
        <v/>
      </c>
    </row>
    <row r="4741" spans="4:4" x14ac:dyDescent="0.3">
      <c r="D4741" t="str">
        <f t="shared" si="124"/>
        <v/>
      </c>
    </row>
    <row r="4742" spans="4:4" x14ac:dyDescent="0.3">
      <c r="D4742" t="str">
        <f t="shared" si="124"/>
        <v/>
      </c>
    </row>
    <row r="4743" spans="4:4" x14ac:dyDescent="0.3">
      <c r="D4743" t="str">
        <f t="shared" si="124"/>
        <v/>
      </c>
    </row>
    <row r="4744" spans="4:4" x14ac:dyDescent="0.3">
      <c r="D4744" t="str">
        <f t="shared" si="124"/>
        <v/>
      </c>
    </row>
    <row r="4745" spans="4:4" x14ac:dyDescent="0.3">
      <c r="D4745" t="str">
        <f t="shared" ref="D4745:D4808" si="125">IF(LEFT(A4745,2)="SP",MID(A4745,4,4),IF(LEFT(A4745,1)="X",MID(A4745,3,4),""))</f>
        <v/>
      </c>
    </row>
    <row r="4746" spans="4:4" x14ac:dyDescent="0.3">
      <c r="D4746" t="str">
        <f t="shared" si="125"/>
        <v/>
      </c>
    </row>
    <row r="4747" spans="4:4" x14ac:dyDescent="0.3">
      <c r="D4747" t="str">
        <f t="shared" si="125"/>
        <v/>
      </c>
    </row>
    <row r="4748" spans="4:4" x14ac:dyDescent="0.3">
      <c r="D4748" t="str">
        <f t="shared" si="125"/>
        <v/>
      </c>
    </row>
    <row r="4749" spans="4:4" x14ac:dyDescent="0.3">
      <c r="D4749" t="str">
        <f t="shared" si="125"/>
        <v/>
      </c>
    </row>
    <row r="4750" spans="4:4" x14ac:dyDescent="0.3">
      <c r="D4750" t="str">
        <f t="shared" si="125"/>
        <v/>
      </c>
    </row>
    <row r="4751" spans="4:4" x14ac:dyDescent="0.3">
      <c r="D4751" t="str">
        <f t="shared" si="125"/>
        <v/>
      </c>
    </row>
    <row r="4752" spans="4:4" x14ac:dyDescent="0.3">
      <c r="D4752" t="str">
        <f t="shared" si="125"/>
        <v/>
      </c>
    </row>
    <row r="4753" spans="4:4" x14ac:dyDescent="0.3">
      <c r="D4753" t="str">
        <f t="shared" si="125"/>
        <v/>
      </c>
    </row>
    <row r="4754" spans="4:4" x14ac:dyDescent="0.3">
      <c r="D4754" t="str">
        <f t="shared" si="125"/>
        <v/>
      </c>
    </row>
    <row r="4755" spans="4:4" x14ac:dyDescent="0.3">
      <c r="D4755" t="str">
        <f t="shared" si="125"/>
        <v/>
      </c>
    </row>
    <row r="4756" spans="4:4" x14ac:dyDescent="0.3">
      <c r="D4756" t="str">
        <f t="shared" si="125"/>
        <v/>
      </c>
    </row>
    <row r="4757" spans="4:4" x14ac:dyDescent="0.3">
      <c r="D4757" t="str">
        <f t="shared" si="125"/>
        <v/>
      </c>
    </row>
    <row r="4758" spans="4:4" x14ac:dyDescent="0.3">
      <c r="D4758" t="str">
        <f t="shared" si="125"/>
        <v/>
      </c>
    </row>
    <row r="4759" spans="4:4" x14ac:dyDescent="0.3">
      <c r="D4759" t="str">
        <f t="shared" si="125"/>
        <v/>
      </c>
    </row>
    <row r="4760" spans="4:4" x14ac:dyDescent="0.3">
      <c r="D4760" t="str">
        <f t="shared" si="125"/>
        <v/>
      </c>
    </row>
    <row r="4761" spans="4:4" x14ac:dyDescent="0.3">
      <c r="D4761" t="str">
        <f t="shared" si="125"/>
        <v/>
      </c>
    </row>
    <row r="4762" spans="4:4" x14ac:dyDescent="0.3">
      <c r="D4762" t="str">
        <f t="shared" si="125"/>
        <v/>
      </c>
    </row>
    <row r="4763" spans="4:4" x14ac:dyDescent="0.3">
      <c r="D4763" t="str">
        <f t="shared" si="125"/>
        <v/>
      </c>
    </row>
    <row r="4764" spans="4:4" x14ac:dyDescent="0.3">
      <c r="D4764" t="str">
        <f t="shared" si="125"/>
        <v/>
      </c>
    </row>
    <row r="4765" spans="4:4" x14ac:dyDescent="0.3">
      <c r="D4765" t="str">
        <f t="shared" si="125"/>
        <v/>
      </c>
    </row>
    <row r="4766" spans="4:4" x14ac:dyDescent="0.3">
      <c r="D4766" t="str">
        <f t="shared" si="125"/>
        <v/>
      </c>
    </row>
    <row r="4767" spans="4:4" x14ac:dyDescent="0.3">
      <c r="D4767" t="str">
        <f t="shared" si="125"/>
        <v/>
      </c>
    </row>
    <row r="4768" spans="4:4" x14ac:dyDescent="0.3">
      <c r="D4768" t="str">
        <f t="shared" si="125"/>
        <v/>
      </c>
    </row>
    <row r="4769" spans="4:4" x14ac:dyDescent="0.3">
      <c r="D4769" t="str">
        <f t="shared" si="125"/>
        <v/>
      </c>
    </row>
    <row r="4770" spans="4:4" x14ac:dyDescent="0.3">
      <c r="D4770" t="str">
        <f t="shared" si="125"/>
        <v/>
      </c>
    </row>
    <row r="4771" spans="4:4" x14ac:dyDescent="0.3">
      <c r="D4771" t="str">
        <f t="shared" si="125"/>
        <v/>
      </c>
    </row>
    <row r="4772" spans="4:4" x14ac:dyDescent="0.3">
      <c r="D4772" t="str">
        <f t="shared" si="125"/>
        <v/>
      </c>
    </row>
    <row r="4773" spans="4:4" x14ac:dyDescent="0.3">
      <c r="D4773" t="str">
        <f t="shared" si="125"/>
        <v/>
      </c>
    </row>
    <row r="4774" spans="4:4" x14ac:dyDescent="0.3">
      <c r="D4774" t="str">
        <f t="shared" si="125"/>
        <v/>
      </c>
    </row>
    <row r="4775" spans="4:4" x14ac:dyDescent="0.3">
      <c r="D4775" t="str">
        <f t="shared" si="125"/>
        <v/>
      </c>
    </row>
    <row r="4776" spans="4:4" x14ac:dyDescent="0.3">
      <c r="D4776" t="str">
        <f t="shared" si="125"/>
        <v/>
      </c>
    </row>
    <row r="4777" spans="4:4" x14ac:dyDescent="0.3">
      <c r="D4777" t="str">
        <f t="shared" si="125"/>
        <v/>
      </c>
    </row>
    <row r="4778" spans="4:4" x14ac:dyDescent="0.3">
      <c r="D4778" t="str">
        <f t="shared" si="125"/>
        <v/>
      </c>
    </row>
    <row r="4779" spans="4:4" x14ac:dyDescent="0.3">
      <c r="D4779" t="str">
        <f t="shared" si="125"/>
        <v/>
      </c>
    </row>
    <row r="4780" spans="4:4" x14ac:dyDescent="0.3">
      <c r="D4780" t="str">
        <f t="shared" si="125"/>
        <v/>
      </c>
    </row>
    <row r="4781" spans="4:4" x14ac:dyDescent="0.3">
      <c r="D4781" t="str">
        <f t="shared" si="125"/>
        <v/>
      </c>
    </row>
    <row r="4782" spans="4:4" x14ac:dyDescent="0.3">
      <c r="D4782" t="str">
        <f t="shared" si="125"/>
        <v/>
      </c>
    </row>
    <row r="4783" spans="4:4" x14ac:dyDescent="0.3">
      <c r="D4783" t="str">
        <f t="shared" si="125"/>
        <v/>
      </c>
    </row>
    <row r="4784" spans="4:4" x14ac:dyDescent="0.3">
      <c r="D4784" t="str">
        <f t="shared" si="125"/>
        <v/>
      </c>
    </row>
    <row r="4785" spans="4:4" x14ac:dyDescent="0.3">
      <c r="D4785" t="str">
        <f t="shared" si="125"/>
        <v/>
      </c>
    </row>
    <row r="4786" spans="4:4" x14ac:dyDescent="0.3">
      <c r="D4786" t="str">
        <f t="shared" si="125"/>
        <v/>
      </c>
    </row>
    <row r="4787" spans="4:4" x14ac:dyDescent="0.3">
      <c r="D4787" t="str">
        <f t="shared" si="125"/>
        <v/>
      </c>
    </row>
    <row r="4788" spans="4:4" x14ac:dyDescent="0.3">
      <c r="D4788" t="str">
        <f t="shared" si="125"/>
        <v/>
      </c>
    </row>
    <row r="4789" spans="4:4" x14ac:dyDescent="0.3">
      <c r="D4789" t="str">
        <f t="shared" si="125"/>
        <v/>
      </c>
    </row>
    <row r="4790" spans="4:4" x14ac:dyDescent="0.3">
      <c r="D4790" t="str">
        <f t="shared" si="125"/>
        <v/>
      </c>
    </row>
    <row r="4791" spans="4:4" x14ac:dyDescent="0.3">
      <c r="D4791" t="str">
        <f t="shared" si="125"/>
        <v/>
      </c>
    </row>
    <row r="4792" spans="4:4" x14ac:dyDescent="0.3">
      <c r="D4792" t="str">
        <f t="shared" si="125"/>
        <v/>
      </c>
    </row>
    <row r="4793" spans="4:4" x14ac:dyDescent="0.3">
      <c r="D4793" t="str">
        <f t="shared" si="125"/>
        <v/>
      </c>
    </row>
    <row r="4794" spans="4:4" x14ac:dyDescent="0.3">
      <c r="D4794" t="str">
        <f t="shared" si="125"/>
        <v/>
      </c>
    </row>
    <row r="4795" spans="4:4" x14ac:dyDescent="0.3">
      <c r="D4795" t="str">
        <f t="shared" si="125"/>
        <v/>
      </c>
    </row>
    <row r="4796" spans="4:4" x14ac:dyDescent="0.3">
      <c r="D4796" t="str">
        <f t="shared" si="125"/>
        <v/>
      </c>
    </row>
    <row r="4797" spans="4:4" x14ac:dyDescent="0.3">
      <c r="D4797" t="str">
        <f t="shared" si="125"/>
        <v/>
      </c>
    </row>
    <row r="4798" spans="4:4" x14ac:dyDescent="0.3">
      <c r="D4798" t="str">
        <f t="shared" si="125"/>
        <v/>
      </c>
    </row>
    <row r="4799" spans="4:4" x14ac:dyDescent="0.3">
      <c r="D4799" t="str">
        <f t="shared" si="125"/>
        <v/>
      </c>
    </row>
    <row r="4800" spans="4:4" x14ac:dyDescent="0.3">
      <c r="D4800" t="str">
        <f t="shared" si="125"/>
        <v/>
      </c>
    </row>
    <row r="4801" spans="4:4" x14ac:dyDescent="0.3">
      <c r="D4801" t="str">
        <f t="shared" si="125"/>
        <v/>
      </c>
    </row>
    <row r="4802" spans="4:4" x14ac:dyDescent="0.3">
      <c r="D4802" t="str">
        <f t="shared" si="125"/>
        <v/>
      </c>
    </row>
    <row r="4803" spans="4:4" x14ac:dyDescent="0.3">
      <c r="D4803" t="str">
        <f t="shared" si="125"/>
        <v/>
      </c>
    </row>
    <row r="4804" spans="4:4" x14ac:dyDescent="0.3">
      <c r="D4804" t="str">
        <f t="shared" si="125"/>
        <v/>
      </c>
    </row>
    <row r="4805" spans="4:4" x14ac:dyDescent="0.3">
      <c r="D4805" t="str">
        <f t="shared" si="125"/>
        <v/>
      </c>
    </row>
    <row r="4806" spans="4:4" x14ac:dyDescent="0.3">
      <c r="D4806" t="str">
        <f t="shared" si="125"/>
        <v/>
      </c>
    </row>
    <row r="4807" spans="4:4" x14ac:dyDescent="0.3">
      <c r="D4807" t="str">
        <f t="shared" si="125"/>
        <v/>
      </c>
    </row>
    <row r="4808" spans="4:4" x14ac:dyDescent="0.3">
      <c r="D4808" t="str">
        <f t="shared" si="125"/>
        <v/>
      </c>
    </row>
    <row r="4809" spans="4:4" x14ac:dyDescent="0.3">
      <c r="D4809" t="str">
        <f t="shared" ref="D4809:D4872" si="126">IF(LEFT(A4809,2)="SP",MID(A4809,4,4),IF(LEFT(A4809,1)="X",MID(A4809,3,4),""))</f>
        <v/>
      </c>
    </row>
    <row r="4810" spans="4:4" x14ac:dyDescent="0.3">
      <c r="D4810" t="str">
        <f t="shared" si="126"/>
        <v/>
      </c>
    </row>
    <row r="4811" spans="4:4" x14ac:dyDescent="0.3">
      <c r="D4811" t="str">
        <f t="shared" si="126"/>
        <v/>
      </c>
    </row>
    <row r="4812" spans="4:4" x14ac:dyDescent="0.3">
      <c r="D4812" t="str">
        <f t="shared" si="126"/>
        <v/>
      </c>
    </row>
    <row r="4813" spans="4:4" x14ac:dyDescent="0.3">
      <c r="D4813" t="str">
        <f t="shared" si="126"/>
        <v/>
      </c>
    </row>
    <row r="4814" spans="4:4" x14ac:dyDescent="0.3">
      <c r="D4814" t="str">
        <f t="shared" si="126"/>
        <v/>
      </c>
    </row>
    <row r="4815" spans="4:4" x14ac:dyDescent="0.3">
      <c r="D4815" t="str">
        <f t="shared" si="126"/>
        <v/>
      </c>
    </row>
    <row r="4816" spans="4:4" x14ac:dyDescent="0.3">
      <c r="D4816" t="str">
        <f t="shared" si="126"/>
        <v/>
      </c>
    </row>
    <row r="4817" spans="4:4" x14ac:dyDescent="0.3">
      <c r="D4817" t="str">
        <f t="shared" si="126"/>
        <v/>
      </c>
    </row>
    <row r="4818" spans="4:4" x14ac:dyDescent="0.3">
      <c r="D4818" t="str">
        <f t="shared" si="126"/>
        <v/>
      </c>
    </row>
    <row r="4819" spans="4:4" x14ac:dyDescent="0.3">
      <c r="D4819" t="str">
        <f t="shared" si="126"/>
        <v/>
      </c>
    </row>
    <row r="4820" spans="4:4" x14ac:dyDescent="0.3">
      <c r="D4820" t="str">
        <f t="shared" si="126"/>
        <v/>
      </c>
    </row>
    <row r="4821" spans="4:4" x14ac:dyDescent="0.3">
      <c r="D4821" t="str">
        <f t="shared" si="126"/>
        <v/>
      </c>
    </row>
    <row r="4822" spans="4:4" x14ac:dyDescent="0.3">
      <c r="D4822" t="str">
        <f t="shared" si="126"/>
        <v/>
      </c>
    </row>
    <row r="4823" spans="4:4" x14ac:dyDescent="0.3">
      <c r="D4823" t="str">
        <f t="shared" si="126"/>
        <v/>
      </c>
    </row>
    <row r="4824" spans="4:4" x14ac:dyDescent="0.3">
      <c r="D4824" t="str">
        <f t="shared" si="126"/>
        <v/>
      </c>
    </row>
    <row r="4825" spans="4:4" x14ac:dyDescent="0.3">
      <c r="D4825" t="str">
        <f t="shared" si="126"/>
        <v/>
      </c>
    </row>
    <row r="4826" spans="4:4" x14ac:dyDescent="0.3">
      <c r="D4826" t="str">
        <f t="shared" si="126"/>
        <v/>
      </c>
    </row>
    <row r="4827" spans="4:4" x14ac:dyDescent="0.3">
      <c r="D4827" t="str">
        <f t="shared" si="126"/>
        <v/>
      </c>
    </row>
    <row r="4828" spans="4:4" x14ac:dyDescent="0.3">
      <c r="D4828" t="str">
        <f t="shared" si="126"/>
        <v/>
      </c>
    </row>
    <row r="4829" spans="4:4" x14ac:dyDescent="0.3">
      <c r="D4829" t="str">
        <f t="shared" si="126"/>
        <v/>
      </c>
    </row>
    <row r="4830" spans="4:4" x14ac:dyDescent="0.3">
      <c r="D4830" t="str">
        <f t="shared" si="126"/>
        <v/>
      </c>
    </row>
    <row r="4831" spans="4:4" x14ac:dyDescent="0.3">
      <c r="D4831" t="str">
        <f t="shared" si="126"/>
        <v/>
      </c>
    </row>
    <row r="4832" spans="4:4" x14ac:dyDescent="0.3">
      <c r="D4832" t="str">
        <f t="shared" si="126"/>
        <v/>
      </c>
    </row>
    <row r="4833" spans="4:4" x14ac:dyDescent="0.3">
      <c r="D4833" t="str">
        <f t="shared" si="126"/>
        <v/>
      </c>
    </row>
    <row r="4834" spans="4:4" x14ac:dyDescent="0.3">
      <c r="D4834" t="str">
        <f t="shared" si="126"/>
        <v/>
      </c>
    </row>
    <row r="4835" spans="4:4" x14ac:dyDescent="0.3">
      <c r="D4835" t="str">
        <f t="shared" si="126"/>
        <v/>
      </c>
    </row>
    <row r="4836" spans="4:4" x14ac:dyDescent="0.3">
      <c r="D4836" t="str">
        <f t="shared" si="126"/>
        <v/>
      </c>
    </row>
    <row r="4837" spans="4:4" x14ac:dyDescent="0.3">
      <c r="D4837" t="str">
        <f t="shared" si="126"/>
        <v/>
      </c>
    </row>
    <row r="4838" spans="4:4" x14ac:dyDescent="0.3">
      <c r="D4838" t="str">
        <f t="shared" si="126"/>
        <v/>
      </c>
    </row>
    <row r="4839" spans="4:4" x14ac:dyDescent="0.3">
      <c r="D4839" t="str">
        <f t="shared" si="126"/>
        <v/>
      </c>
    </row>
    <row r="4840" spans="4:4" x14ac:dyDescent="0.3">
      <c r="D4840" t="str">
        <f t="shared" si="126"/>
        <v/>
      </c>
    </row>
    <row r="4841" spans="4:4" x14ac:dyDescent="0.3">
      <c r="D4841" t="str">
        <f t="shared" si="126"/>
        <v/>
      </c>
    </row>
    <row r="4842" spans="4:4" x14ac:dyDescent="0.3">
      <c r="D4842" t="str">
        <f t="shared" si="126"/>
        <v/>
      </c>
    </row>
    <row r="4843" spans="4:4" x14ac:dyDescent="0.3">
      <c r="D4843" t="str">
        <f t="shared" si="126"/>
        <v/>
      </c>
    </row>
    <row r="4844" spans="4:4" x14ac:dyDescent="0.3">
      <c r="D4844" t="str">
        <f t="shared" si="126"/>
        <v/>
      </c>
    </row>
    <row r="4845" spans="4:4" x14ac:dyDescent="0.3">
      <c r="D4845" t="str">
        <f t="shared" si="126"/>
        <v/>
      </c>
    </row>
    <row r="4846" spans="4:4" x14ac:dyDescent="0.3">
      <c r="D4846" t="str">
        <f t="shared" si="126"/>
        <v/>
      </c>
    </row>
    <row r="4847" spans="4:4" x14ac:dyDescent="0.3">
      <c r="D4847" t="str">
        <f t="shared" si="126"/>
        <v/>
      </c>
    </row>
    <row r="4848" spans="4:4" x14ac:dyDescent="0.3">
      <c r="D4848" t="str">
        <f t="shared" si="126"/>
        <v/>
      </c>
    </row>
    <row r="4849" spans="4:4" x14ac:dyDescent="0.3">
      <c r="D4849" t="str">
        <f t="shared" si="126"/>
        <v/>
      </c>
    </row>
    <row r="4850" spans="4:4" x14ac:dyDescent="0.3">
      <c r="D4850" t="str">
        <f t="shared" si="126"/>
        <v/>
      </c>
    </row>
    <row r="4851" spans="4:4" x14ac:dyDescent="0.3">
      <c r="D4851" t="str">
        <f t="shared" si="126"/>
        <v/>
      </c>
    </row>
    <row r="4852" spans="4:4" x14ac:dyDescent="0.3">
      <c r="D4852" t="str">
        <f t="shared" si="126"/>
        <v/>
      </c>
    </row>
    <row r="4853" spans="4:4" x14ac:dyDescent="0.3">
      <c r="D4853" t="str">
        <f t="shared" si="126"/>
        <v/>
      </c>
    </row>
    <row r="4854" spans="4:4" x14ac:dyDescent="0.3">
      <c r="D4854" t="str">
        <f t="shared" si="126"/>
        <v/>
      </c>
    </row>
    <row r="4855" spans="4:4" x14ac:dyDescent="0.3">
      <c r="D4855" t="str">
        <f t="shared" si="126"/>
        <v/>
      </c>
    </row>
    <row r="4856" spans="4:4" x14ac:dyDescent="0.3">
      <c r="D4856" t="str">
        <f t="shared" si="126"/>
        <v/>
      </c>
    </row>
    <row r="4857" spans="4:4" x14ac:dyDescent="0.3">
      <c r="D4857" t="str">
        <f t="shared" si="126"/>
        <v/>
      </c>
    </row>
    <row r="4858" spans="4:4" x14ac:dyDescent="0.3">
      <c r="D4858" t="str">
        <f t="shared" si="126"/>
        <v/>
      </c>
    </row>
    <row r="4859" spans="4:4" x14ac:dyDescent="0.3">
      <c r="D4859" t="str">
        <f t="shared" si="126"/>
        <v/>
      </c>
    </row>
    <row r="4860" spans="4:4" x14ac:dyDescent="0.3">
      <c r="D4860" t="str">
        <f t="shared" si="126"/>
        <v/>
      </c>
    </row>
    <row r="4861" spans="4:4" x14ac:dyDescent="0.3">
      <c r="D4861" t="str">
        <f t="shared" si="126"/>
        <v/>
      </c>
    </row>
    <row r="4862" spans="4:4" x14ac:dyDescent="0.3">
      <c r="D4862" t="str">
        <f t="shared" si="126"/>
        <v/>
      </c>
    </row>
    <row r="4863" spans="4:4" x14ac:dyDescent="0.3">
      <c r="D4863" t="str">
        <f t="shared" si="126"/>
        <v/>
      </c>
    </row>
    <row r="4864" spans="4:4" x14ac:dyDescent="0.3">
      <c r="D4864" t="str">
        <f t="shared" si="126"/>
        <v/>
      </c>
    </row>
    <row r="4865" spans="4:4" x14ac:dyDescent="0.3">
      <c r="D4865" t="str">
        <f t="shared" si="126"/>
        <v/>
      </c>
    </row>
    <row r="4866" spans="4:4" x14ac:dyDescent="0.3">
      <c r="D4866" t="str">
        <f t="shared" si="126"/>
        <v/>
      </c>
    </row>
    <row r="4867" spans="4:4" x14ac:dyDescent="0.3">
      <c r="D4867" t="str">
        <f t="shared" si="126"/>
        <v/>
      </c>
    </row>
    <row r="4868" spans="4:4" x14ac:dyDescent="0.3">
      <c r="D4868" t="str">
        <f t="shared" si="126"/>
        <v/>
      </c>
    </row>
    <row r="4869" spans="4:4" x14ac:dyDescent="0.3">
      <c r="D4869" t="str">
        <f t="shared" si="126"/>
        <v/>
      </c>
    </row>
    <row r="4870" spans="4:4" x14ac:dyDescent="0.3">
      <c r="D4870" t="str">
        <f t="shared" si="126"/>
        <v/>
      </c>
    </row>
    <row r="4871" spans="4:4" x14ac:dyDescent="0.3">
      <c r="D4871" t="str">
        <f t="shared" si="126"/>
        <v/>
      </c>
    </row>
    <row r="4872" spans="4:4" x14ac:dyDescent="0.3">
      <c r="D4872" t="str">
        <f t="shared" si="126"/>
        <v/>
      </c>
    </row>
    <row r="4873" spans="4:4" x14ac:dyDescent="0.3">
      <c r="D4873" t="str">
        <f t="shared" ref="D4873:D4936" si="127">IF(LEFT(A4873,2)="SP",MID(A4873,4,4),IF(LEFT(A4873,1)="X",MID(A4873,3,4),""))</f>
        <v/>
      </c>
    </row>
    <row r="4874" spans="4:4" x14ac:dyDescent="0.3">
      <c r="D4874" t="str">
        <f t="shared" si="127"/>
        <v/>
      </c>
    </row>
    <row r="4875" spans="4:4" x14ac:dyDescent="0.3">
      <c r="D4875" t="str">
        <f t="shared" si="127"/>
        <v/>
      </c>
    </row>
    <row r="4876" spans="4:4" x14ac:dyDescent="0.3">
      <c r="D4876" t="str">
        <f t="shared" si="127"/>
        <v/>
      </c>
    </row>
    <row r="4877" spans="4:4" x14ac:dyDescent="0.3">
      <c r="D4877" t="str">
        <f t="shared" si="127"/>
        <v/>
      </c>
    </row>
    <row r="4878" spans="4:4" x14ac:dyDescent="0.3">
      <c r="D4878" t="str">
        <f t="shared" si="127"/>
        <v/>
      </c>
    </row>
    <row r="4879" spans="4:4" x14ac:dyDescent="0.3">
      <c r="D4879" t="str">
        <f t="shared" si="127"/>
        <v/>
      </c>
    </row>
    <row r="4880" spans="4:4" x14ac:dyDescent="0.3">
      <c r="D4880" t="str">
        <f t="shared" si="127"/>
        <v/>
      </c>
    </row>
    <row r="4881" spans="4:4" x14ac:dyDescent="0.3">
      <c r="D4881" t="str">
        <f t="shared" si="127"/>
        <v/>
      </c>
    </row>
    <row r="4882" spans="4:4" x14ac:dyDescent="0.3">
      <c r="D4882" t="str">
        <f t="shared" si="127"/>
        <v/>
      </c>
    </row>
    <row r="4883" spans="4:4" x14ac:dyDescent="0.3">
      <c r="D4883" t="str">
        <f t="shared" si="127"/>
        <v/>
      </c>
    </row>
    <row r="4884" spans="4:4" x14ac:dyDescent="0.3">
      <c r="D4884" t="str">
        <f t="shared" si="127"/>
        <v/>
      </c>
    </row>
    <row r="4885" spans="4:4" x14ac:dyDescent="0.3">
      <c r="D4885" t="str">
        <f t="shared" si="127"/>
        <v/>
      </c>
    </row>
    <row r="4886" spans="4:4" x14ac:dyDescent="0.3">
      <c r="D4886" t="str">
        <f t="shared" si="127"/>
        <v/>
      </c>
    </row>
    <row r="4887" spans="4:4" x14ac:dyDescent="0.3">
      <c r="D4887" t="str">
        <f t="shared" si="127"/>
        <v/>
      </c>
    </row>
    <row r="4888" spans="4:4" x14ac:dyDescent="0.3">
      <c r="D4888" t="str">
        <f t="shared" si="127"/>
        <v/>
      </c>
    </row>
    <row r="4889" spans="4:4" x14ac:dyDescent="0.3">
      <c r="D4889" t="str">
        <f t="shared" si="127"/>
        <v/>
      </c>
    </row>
    <row r="4890" spans="4:4" x14ac:dyDescent="0.3">
      <c r="D4890" t="str">
        <f t="shared" si="127"/>
        <v/>
      </c>
    </row>
    <row r="4891" spans="4:4" x14ac:dyDescent="0.3">
      <c r="D4891" t="str">
        <f t="shared" si="127"/>
        <v/>
      </c>
    </row>
    <row r="4892" spans="4:4" x14ac:dyDescent="0.3">
      <c r="D4892" t="str">
        <f t="shared" si="127"/>
        <v/>
      </c>
    </row>
    <row r="4893" spans="4:4" x14ac:dyDescent="0.3">
      <c r="D4893" t="str">
        <f t="shared" si="127"/>
        <v/>
      </c>
    </row>
    <row r="4894" spans="4:4" x14ac:dyDescent="0.3">
      <c r="D4894" t="str">
        <f t="shared" si="127"/>
        <v/>
      </c>
    </row>
    <row r="4895" spans="4:4" x14ac:dyDescent="0.3">
      <c r="D4895" t="str">
        <f t="shared" si="127"/>
        <v/>
      </c>
    </row>
    <row r="4896" spans="4:4" x14ac:dyDescent="0.3">
      <c r="D4896" t="str">
        <f t="shared" si="127"/>
        <v/>
      </c>
    </row>
    <row r="4897" spans="4:4" x14ac:dyDescent="0.3">
      <c r="D4897" t="str">
        <f t="shared" si="127"/>
        <v/>
      </c>
    </row>
    <row r="4898" spans="4:4" x14ac:dyDescent="0.3">
      <c r="D4898" t="str">
        <f t="shared" si="127"/>
        <v/>
      </c>
    </row>
    <row r="4899" spans="4:4" x14ac:dyDescent="0.3">
      <c r="D4899" t="str">
        <f t="shared" si="127"/>
        <v/>
      </c>
    </row>
    <row r="4900" spans="4:4" x14ac:dyDescent="0.3">
      <c r="D4900" t="str">
        <f t="shared" si="127"/>
        <v/>
      </c>
    </row>
    <row r="4901" spans="4:4" x14ac:dyDescent="0.3">
      <c r="D4901" t="str">
        <f t="shared" si="127"/>
        <v/>
      </c>
    </row>
    <row r="4902" spans="4:4" x14ac:dyDescent="0.3">
      <c r="D4902" t="str">
        <f t="shared" si="127"/>
        <v/>
      </c>
    </row>
    <row r="4903" spans="4:4" x14ac:dyDescent="0.3">
      <c r="D4903" t="str">
        <f t="shared" si="127"/>
        <v/>
      </c>
    </row>
    <row r="4904" spans="4:4" x14ac:dyDescent="0.3">
      <c r="D4904" t="str">
        <f t="shared" si="127"/>
        <v/>
      </c>
    </row>
    <row r="4905" spans="4:4" x14ac:dyDescent="0.3">
      <c r="D4905" t="str">
        <f t="shared" si="127"/>
        <v/>
      </c>
    </row>
    <row r="4906" spans="4:4" x14ac:dyDescent="0.3">
      <c r="D4906" t="str">
        <f t="shared" si="127"/>
        <v/>
      </c>
    </row>
    <row r="4907" spans="4:4" x14ac:dyDescent="0.3">
      <c r="D4907" t="str">
        <f t="shared" si="127"/>
        <v/>
      </c>
    </row>
    <row r="4908" spans="4:4" x14ac:dyDescent="0.3">
      <c r="D4908" t="str">
        <f t="shared" si="127"/>
        <v/>
      </c>
    </row>
    <row r="4909" spans="4:4" x14ac:dyDescent="0.3">
      <c r="D4909" t="str">
        <f t="shared" si="127"/>
        <v/>
      </c>
    </row>
    <row r="4910" spans="4:4" x14ac:dyDescent="0.3">
      <c r="D4910" t="str">
        <f t="shared" si="127"/>
        <v/>
      </c>
    </row>
    <row r="4911" spans="4:4" x14ac:dyDescent="0.3">
      <c r="D4911" t="str">
        <f t="shared" si="127"/>
        <v/>
      </c>
    </row>
    <row r="4912" spans="4:4" x14ac:dyDescent="0.3">
      <c r="D4912" t="str">
        <f t="shared" si="127"/>
        <v/>
      </c>
    </row>
    <row r="4913" spans="4:4" x14ac:dyDescent="0.3">
      <c r="D4913" t="str">
        <f t="shared" si="127"/>
        <v/>
      </c>
    </row>
    <row r="4914" spans="4:4" x14ac:dyDescent="0.3">
      <c r="D4914" t="str">
        <f t="shared" si="127"/>
        <v/>
      </c>
    </row>
    <row r="4915" spans="4:4" x14ac:dyDescent="0.3">
      <c r="D4915" t="str">
        <f t="shared" si="127"/>
        <v/>
      </c>
    </row>
    <row r="4916" spans="4:4" x14ac:dyDescent="0.3">
      <c r="D4916" t="str">
        <f t="shared" si="127"/>
        <v/>
      </c>
    </row>
    <row r="4917" spans="4:4" x14ac:dyDescent="0.3">
      <c r="D4917" t="str">
        <f t="shared" si="127"/>
        <v/>
      </c>
    </row>
    <row r="4918" spans="4:4" x14ac:dyDescent="0.3">
      <c r="D4918" t="str">
        <f t="shared" si="127"/>
        <v/>
      </c>
    </row>
    <row r="4919" spans="4:4" x14ac:dyDescent="0.3">
      <c r="D4919" t="str">
        <f t="shared" si="127"/>
        <v/>
      </c>
    </row>
    <row r="4920" spans="4:4" x14ac:dyDescent="0.3">
      <c r="D4920" t="str">
        <f t="shared" si="127"/>
        <v/>
      </c>
    </row>
    <row r="4921" spans="4:4" x14ac:dyDescent="0.3">
      <c r="D4921" t="str">
        <f t="shared" si="127"/>
        <v/>
      </c>
    </row>
    <row r="4922" spans="4:4" x14ac:dyDescent="0.3">
      <c r="D4922" t="str">
        <f t="shared" si="127"/>
        <v/>
      </c>
    </row>
    <row r="4923" spans="4:4" x14ac:dyDescent="0.3">
      <c r="D4923" t="str">
        <f t="shared" si="127"/>
        <v/>
      </c>
    </row>
    <row r="4924" spans="4:4" x14ac:dyDescent="0.3">
      <c r="D4924" t="str">
        <f t="shared" si="127"/>
        <v/>
      </c>
    </row>
    <row r="4925" spans="4:4" x14ac:dyDescent="0.3">
      <c r="D4925" t="str">
        <f t="shared" si="127"/>
        <v/>
      </c>
    </row>
    <row r="4926" spans="4:4" x14ac:dyDescent="0.3">
      <c r="D4926" t="str">
        <f t="shared" si="127"/>
        <v/>
      </c>
    </row>
    <row r="4927" spans="4:4" x14ac:dyDescent="0.3">
      <c r="D4927" t="str">
        <f t="shared" si="127"/>
        <v/>
      </c>
    </row>
    <row r="4928" spans="4:4" x14ac:dyDescent="0.3">
      <c r="D4928" t="str">
        <f t="shared" si="127"/>
        <v/>
      </c>
    </row>
    <row r="4929" spans="4:4" x14ac:dyDescent="0.3">
      <c r="D4929" t="str">
        <f t="shared" si="127"/>
        <v/>
      </c>
    </row>
    <row r="4930" spans="4:4" x14ac:dyDescent="0.3">
      <c r="D4930" t="str">
        <f t="shared" si="127"/>
        <v/>
      </c>
    </row>
    <row r="4931" spans="4:4" x14ac:dyDescent="0.3">
      <c r="D4931" t="str">
        <f t="shared" si="127"/>
        <v/>
      </c>
    </row>
    <row r="4932" spans="4:4" x14ac:dyDescent="0.3">
      <c r="D4932" t="str">
        <f t="shared" si="127"/>
        <v/>
      </c>
    </row>
    <row r="4933" spans="4:4" x14ac:dyDescent="0.3">
      <c r="D4933" t="str">
        <f t="shared" si="127"/>
        <v/>
      </c>
    </row>
    <row r="4934" spans="4:4" x14ac:dyDescent="0.3">
      <c r="D4934" t="str">
        <f t="shared" si="127"/>
        <v/>
      </c>
    </row>
    <row r="4935" spans="4:4" x14ac:dyDescent="0.3">
      <c r="D4935" t="str">
        <f t="shared" si="127"/>
        <v/>
      </c>
    </row>
    <row r="4936" spans="4:4" x14ac:dyDescent="0.3">
      <c r="D4936" t="str">
        <f t="shared" si="127"/>
        <v/>
      </c>
    </row>
    <row r="4937" spans="4:4" x14ac:dyDescent="0.3">
      <c r="D4937" t="str">
        <f t="shared" ref="D4937:D5000" si="128">IF(LEFT(A4937,2)="SP",MID(A4937,4,4),IF(LEFT(A4937,1)="X",MID(A4937,3,4),""))</f>
        <v/>
      </c>
    </row>
    <row r="4938" spans="4:4" x14ac:dyDescent="0.3">
      <c r="D4938" t="str">
        <f t="shared" si="128"/>
        <v/>
      </c>
    </row>
    <row r="4939" spans="4:4" x14ac:dyDescent="0.3">
      <c r="D4939" t="str">
        <f t="shared" si="128"/>
        <v/>
      </c>
    </row>
    <row r="4940" spans="4:4" x14ac:dyDescent="0.3">
      <c r="D4940" t="str">
        <f t="shared" si="128"/>
        <v/>
      </c>
    </row>
    <row r="4941" spans="4:4" x14ac:dyDescent="0.3">
      <c r="D4941" t="str">
        <f t="shared" si="128"/>
        <v/>
      </c>
    </row>
    <row r="4942" spans="4:4" x14ac:dyDescent="0.3">
      <c r="D4942" t="str">
        <f t="shared" si="128"/>
        <v/>
      </c>
    </row>
    <row r="4943" spans="4:4" x14ac:dyDescent="0.3">
      <c r="D4943" t="str">
        <f t="shared" si="128"/>
        <v/>
      </c>
    </row>
    <row r="4944" spans="4:4" x14ac:dyDescent="0.3">
      <c r="D4944" t="str">
        <f t="shared" si="128"/>
        <v/>
      </c>
    </row>
    <row r="4945" spans="4:4" x14ac:dyDescent="0.3">
      <c r="D4945" t="str">
        <f t="shared" si="128"/>
        <v/>
      </c>
    </row>
    <row r="4946" spans="4:4" x14ac:dyDescent="0.3">
      <c r="D4946" t="str">
        <f t="shared" si="128"/>
        <v/>
      </c>
    </row>
    <row r="4947" spans="4:4" x14ac:dyDescent="0.3">
      <c r="D4947" t="str">
        <f t="shared" si="128"/>
        <v/>
      </c>
    </row>
    <row r="4948" spans="4:4" x14ac:dyDescent="0.3">
      <c r="D4948" t="str">
        <f t="shared" si="128"/>
        <v/>
      </c>
    </row>
    <row r="4949" spans="4:4" x14ac:dyDescent="0.3">
      <c r="D4949" t="str">
        <f t="shared" si="128"/>
        <v/>
      </c>
    </row>
    <row r="4950" spans="4:4" x14ac:dyDescent="0.3">
      <c r="D4950" t="str">
        <f t="shared" si="128"/>
        <v/>
      </c>
    </row>
    <row r="4951" spans="4:4" x14ac:dyDescent="0.3">
      <c r="D4951" t="str">
        <f t="shared" si="128"/>
        <v/>
      </c>
    </row>
    <row r="4952" spans="4:4" x14ac:dyDescent="0.3">
      <c r="D4952" t="str">
        <f t="shared" si="128"/>
        <v/>
      </c>
    </row>
    <row r="4953" spans="4:4" x14ac:dyDescent="0.3">
      <c r="D4953" t="str">
        <f t="shared" si="128"/>
        <v/>
      </c>
    </row>
    <row r="4954" spans="4:4" x14ac:dyDescent="0.3">
      <c r="D4954" t="str">
        <f t="shared" si="128"/>
        <v/>
      </c>
    </row>
    <row r="4955" spans="4:4" x14ac:dyDescent="0.3">
      <c r="D4955" t="str">
        <f t="shared" si="128"/>
        <v/>
      </c>
    </row>
    <row r="4956" spans="4:4" x14ac:dyDescent="0.3">
      <c r="D4956" t="str">
        <f t="shared" si="128"/>
        <v/>
      </c>
    </row>
    <row r="4957" spans="4:4" x14ac:dyDescent="0.3">
      <c r="D4957" t="str">
        <f t="shared" si="128"/>
        <v/>
      </c>
    </row>
    <row r="4958" spans="4:4" x14ac:dyDescent="0.3">
      <c r="D4958" t="str">
        <f t="shared" si="128"/>
        <v/>
      </c>
    </row>
    <row r="4959" spans="4:4" x14ac:dyDescent="0.3">
      <c r="D4959" t="str">
        <f t="shared" si="128"/>
        <v/>
      </c>
    </row>
    <row r="4960" spans="4:4" x14ac:dyDescent="0.3">
      <c r="D4960" t="str">
        <f t="shared" si="128"/>
        <v/>
      </c>
    </row>
    <row r="4961" spans="4:4" x14ac:dyDescent="0.3">
      <c r="D4961" t="str">
        <f t="shared" si="128"/>
        <v/>
      </c>
    </row>
    <row r="4962" spans="4:4" x14ac:dyDescent="0.3">
      <c r="D4962" t="str">
        <f t="shared" si="128"/>
        <v/>
      </c>
    </row>
    <row r="4963" spans="4:4" x14ac:dyDescent="0.3">
      <c r="D4963" t="str">
        <f t="shared" si="128"/>
        <v/>
      </c>
    </row>
    <row r="4964" spans="4:4" x14ac:dyDescent="0.3">
      <c r="D4964" t="str">
        <f t="shared" si="128"/>
        <v/>
      </c>
    </row>
    <row r="4965" spans="4:4" x14ac:dyDescent="0.3">
      <c r="D4965" t="str">
        <f t="shared" si="128"/>
        <v/>
      </c>
    </row>
    <row r="4966" spans="4:4" x14ac:dyDescent="0.3">
      <c r="D4966" t="str">
        <f t="shared" si="128"/>
        <v/>
      </c>
    </row>
    <row r="4967" spans="4:4" x14ac:dyDescent="0.3">
      <c r="D4967" t="str">
        <f t="shared" si="128"/>
        <v/>
      </c>
    </row>
    <row r="4968" spans="4:4" x14ac:dyDescent="0.3">
      <c r="D4968" t="str">
        <f t="shared" si="128"/>
        <v/>
      </c>
    </row>
    <row r="4969" spans="4:4" x14ac:dyDescent="0.3">
      <c r="D4969" t="str">
        <f t="shared" si="128"/>
        <v/>
      </c>
    </row>
    <row r="4970" spans="4:4" x14ac:dyDescent="0.3">
      <c r="D4970" t="str">
        <f t="shared" si="128"/>
        <v/>
      </c>
    </row>
    <row r="4971" spans="4:4" x14ac:dyDescent="0.3">
      <c r="D4971" t="str">
        <f t="shared" si="128"/>
        <v/>
      </c>
    </row>
    <row r="4972" spans="4:4" x14ac:dyDescent="0.3">
      <c r="D4972" t="str">
        <f t="shared" si="128"/>
        <v/>
      </c>
    </row>
    <row r="4973" spans="4:4" x14ac:dyDescent="0.3">
      <c r="D4973" t="str">
        <f t="shared" si="128"/>
        <v/>
      </c>
    </row>
    <row r="4974" spans="4:4" x14ac:dyDescent="0.3">
      <c r="D4974" t="str">
        <f t="shared" si="128"/>
        <v/>
      </c>
    </row>
    <row r="4975" spans="4:4" x14ac:dyDescent="0.3">
      <c r="D4975" t="str">
        <f t="shared" si="128"/>
        <v/>
      </c>
    </row>
    <row r="4976" spans="4:4" x14ac:dyDescent="0.3">
      <c r="D4976" t="str">
        <f t="shared" si="128"/>
        <v/>
      </c>
    </row>
    <row r="4977" spans="4:4" x14ac:dyDescent="0.3">
      <c r="D4977" t="str">
        <f t="shared" si="128"/>
        <v/>
      </c>
    </row>
    <row r="4978" spans="4:4" x14ac:dyDescent="0.3">
      <c r="D4978" t="str">
        <f t="shared" si="128"/>
        <v/>
      </c>
    </row>
    <row r="4979" spans="4:4" x14ac:dyDescent="0.3">
      <c r="D4979" t="str">
        <f t="shared" si="128"/>
        <v/>
      </c>
    </row>
    <row r="4980" spans="4:4" x14ac:dyDescent="0.3">
      <c r="D4980" t="str">
        <f t="shared" si="128"/>
        <v/>
      </c>
    </row>
    <row r="4981" spans="4:4" x14ac:dyDescent="0.3">
      <c r="D4981" t="str">
        <f t="shared" si="128"/>
        <v/>
      </c>
    </row>
    <row r="4982" spans="4:4" x14ac:dyDescent="0.3">
      <c r="D4982" t="str">
        <f t="shared" si="128"/>
        <v/>
      </c>
    </row>
    <row r="4983" spans="4:4" x14ac:dyDescent="0.3">
      <c r="D4983" t="str">
        <f t="shared" si="128"/>
        <v/>
      </c>
    </row>
    <row r="4984" spans="4:4" x14ac:dyDescent="0.3">
      <c r="D4984" t="str">
        <f t="shared" si="128"/>
        <v/>
      </c>
    </row>
    <row r="4985" spans="4:4" x14ac:dyDescent="0.3">
      <c r="D4985" t="str">
        <f t="shared" si="128"/>
        <v/>
      </c>
    </row>
    <row r="4986" spans="4:4" x14ac:dyDescent="0.3">
      <c r="D4986" t="str">
        <f t="shared" si="128"/>
        <v/>
      </c>
    </row>
    <row r="4987" spans="4:4" x14ac:dyDescent="0.3">
      <c r="D4987" t="str">
        <f t="shared" si="128"/>
        <v/>
      </c>
    </row>
    <row r="4988" spans="4:4" x14ac:dyDescent="0.3">
      <c r="D4988" t="str">
        <f t="shared" si="128"/>
        <v/>
      </c>
    </row>
    <row r="4989" spans="4:4" x14ac:dyDescent="0.3">
      <c r="D4989" t="str">
        <f t="shared" si="128"/>
        <v/>
      </c>
    </row>
    <row r="4990" spans="4:4" x14ac:dyDescent="0.3">
      <c r="D4990" t="str">
        <f t="shared" si="128"/>
        <v/>
      </c>
    </row>
    <row r="4991" spans="4:4" x14ac:dyDescent="0.3">
      <c r="D4991" t="str">
        <f t="shared" si="128"/>
        <v/>
      </c>
    </row>
    <row r="4992" spans="4:4" x14ac:dyDescent="0.3">
      <c r="D4992" t="str">
        <f t="shared" si="128"/>
        <v/>
      </c>
    </row>
    <row r="4993" spans="4:4" x14ac:dyDescent="0.3">
      <c r="D4993" t="str">
        <f t="shared" si="128"/>
        <v/>
      </c>
    </row>
    <row r="4994" spans="4:4" x14ac:dyDescent="0.3">
      <c r="D4994" t="str">
        <f t="shared" si="128"/>
        <v/>
      </c>
    </row>
    <row r="4995" spans="4:4" x14ac:dyDescent="0.3">
      <c r="D4995" t="str">
        <f t="shared" si="128"/>
        <v/>
      </c>
    </row>
    <row r="4996" spans="4:4" x14ac:dyDescent="0.3">
      <c r="D4996" t="str">
        <f t="shared" si="128"/>
        <v/>
      </c>
    </row>
    <row r="4997" spans="4:4" x14ac:dyDescent="0.3">
      <c r="D4997" t="str">
        <f t="shared" si="128"/>
        <v/>
      </c>
    </row>
    <row r="4998" spans="4:4" x14ac:dyDescent="0.3">
      <c r="D4998" t="str">
        <f t="shared" si="128"/>
        <v/>
      </c>
    </row>
    <row r="4999" spans="4:4" x14ac:dyDescent="0.3">
      <c r="D4999" t="str">
        <f t="shared" si="128"/>
        <v/>
      </c>
    </row>
    <row r="5000" spans="4:4" x14ac:dyDescent="0.3">
      <c r="D5000" t="str">
        <f t="shared" si="128"/>
        <v/>
      </c>
    </row>
    <row r="5001" spans="4:4" x14ac:dyDescent="0.3">
      <c r="D5001" t="str">
        <f t="shared" ref="D5001:D5064" si="129">IF(LEFT(A5001,2)="SP",MID(A5001,4,4),IF(LEFT(A5001,1)="X",MID(A5001,3,4),""))</f>
        <v/>
      </c>
    </row>
    <row r="5002" spans="4:4" x14ac:dyDescent="0.3">
      <c r="D5002" t="str">
        <f t="shared" si="129"/>
        <v/>
      </c>
    </row>
    <row r="5003" spans="4:4" x14ac:dyDescent="0.3">
      <c r="D5003" t="str">
        <f t="shared" si="129"/>
        <v/>
      </c>
    </row>
    <row r="5004" spans="4:4" x14ac:dyDescent="0.3">
      <c r="D5004" t="str">
        <f t="shared" si="129"/>
        <v/>
      </c>
    </row>
    <row r="5005" spans="4:4" x14ac:dyDescent="0.3">
      <c r="D5005" t="str">
        <f t="shared" si="129"/>
        <v/>
      </c>
    </row>
    <row r="5006" spans="4:4" x14ac:dyDescent="0.3">
      <c r="D5006" t="str">
        <f t="shared" si="129"/>
        <v/>
      </c>
    </row>
    <row r="5007" spans="4:4" x14ac:dyDescent="0.3">
      <c r="D5007" t="str">
        <f t="shared" si="129"/>
        <v/>
      </c>
    </row>
    <row r="5008" spans="4:4" x14ac:dyDescent="0.3">
      <c r="D5008" t="str">
        <f t="shared" si="129"/>
        <v/>
      </c>
    </row>
    <row r="5009" spans="4:4" x14ac:dyDescent="0.3">
      <c r="D5009" t="str">
        <f t="shared" si="129"/>
        <v/>
      </c>
    </row>
    <row r="5010" spans="4:4" x14ac:dyDescent="0.3">
      <c r="D5010" t="str">
        <f t="shared" si="129"/>
        <v/>
      </c>
    </row>
    <row r="5011" spans="4:4" x14ac:dyDescent="0.3">
      <c r="D5011" t="str">
        <f t="shared" si="129"/>
        <v/>
      </c>
    </row>
    <row r="5012" spans="4:4" x14ac:dyDescent="0.3">
      <c r="D5012" t="str">
        <f t="shared" si="129"/>
        <v/>
      </c>
    </row>
    <row r="5013" spans="4:4" x14ac:dyDescent="0.3">
      <c r="D5013" t="str">
        <f t="shared" si="129"/>
        <v/>
      </c>
    </row>
    <row r="5014" spans="4:4" x14ac:dyDescent="0.3">
      <c r="D5014" t="str">
        <f t="shared" si="129"/>
        <v/>
      </c>
    </row>
    <row r="5015" spans="4:4" x14ac:dyDescent="0.3">
      <c r="D5015" t="str">
        <f t="shared" si="129"/>
        <v/>
      </c>
    </row>
    <row r="5016" spans="4:4" x14ac:dyDescent="0.3">
      <c r="D5016" t="str">
        <f t="shared" si="129"/>
        <v/>
      </c>
    </row>
    <row r="5017" spans="4:4" x14ac:dyDescent="0.3">
      <c r="D5017" t="str">
        <f t="shared" si="129"/>
        <v/>
      </c>
    </row>
    <row r="5018" spans="4:4" x14ac:dyDescent="0.3">
      <c r="D5018" t="str">
        <f t="shared" si="129"/>
        <v/>
      </c>
    </row>
    <row r="5019" spans="4:4" x14ac:dyDescent="0.3">
      <c r="D5019" t="str">
        <f t="shared" si="129"/>
        <v/>
      </c>
    </row>
    <row r="5020" spans="4:4" x14ac:dyDescent="0.3">
      <c r="D5020" t="str">
        <f t="shared" si="129"/>
        <v/>
      </c>
    </row>
    <row r="5021" spans="4:4" x14ac:dyDescent="0.3">
      <c r="D5021" t="str">
        <f t="shared" si="129"/>
        <v/>
      </c>
    </row>
    <row r="5022" spans="4:4" x14ac:dyDescent="0.3">
      <c r="D5022" t="str">
        <f t="shared" si="129"/>
        <v/>
      </c>
    </row>
    <row r="5023" spans="4:4" x14ac:dyDescent="0.3">
      <c r="D5023" t="str">
        <f t="shared" si="129"/>
        <v/>
      </c>
    </row>
    <row r="5024" spans="4:4" x14ac:dyDescent="0.3">
      <c r="D5024" t="str">
        <f t="shared" si="129"/>
        <v/>
      </c>
    </row>
    <row r="5025" spans="4:4" x14ac:dyDescent="0.3">
      <c r="D5025" t="str">
        <f t="shared" si="129"/>
        <v/>
      </c>
    </row>
    <row r="5026" spans="4:4" x14ac:dyDescent="0.3">
      <c r="D5026" t="str">
        <f t="shared" si="129"/>
        <v/>
      </c>
    </row>
    <row r="5027" spans="4:4" x14ac:dyDescent="0.3">
      <c r="D5027" t="str">
        <f t="shared" si="129"/>
        <v/>
      </c>
    </row>
    <row r="5028" spans="4:4" x14ac:dyDescent="0.3">
      <c r="D5028" t="str">
        <f t="shared" si="129"/>
        <v/>
      </c>
    </row>
    <row r="5029" spans="4:4" x14ac:dyDescent="0.3">
      <c r="D5029" t="str">
        <f t="shared" si="129"/>
        <v/>
      </c>
    </row>
    <row r="5030" spans="4:4" x14ac:dyDescent="0.3">
      <c r="D5030" t="str">
        <f t="shared" si="129"/>
        <v/>
      </c>
    </row>
    <row r="5031" spans="4:4" x14ac:dyDescent="0.3">
      <c r="D5031" t="str">
        <f t="shared" si="129"/>
        <v/>
      </c>
    </row>
    <row r="5032" spans="4:4" x14ac:dyDescent="0.3">
      <c r="D5032" t="str">
        <f t="shared" si="129"/>
        <v/>
      </c>
    </row>
    <row r="5033" spans="4:4" x14ac:dyDescent="0.3">
      <c r="D5033" t="str">
        <f t="shared" si="129"/>
        <v/>
      </c>
    </row>
    <row r="5034" spans="4:4" x14ac:dyDescent="0.3">
      <c r="D5034" t="str">
        <f t="shared" si="129"/>
        <v/>
      </c>
    </row>
    <row r="5035" spans="4:4" x14ac:dyDescent="0.3">
      <c r="D5035" t="str">
        <f t="shared" si="129"/>
        <v/>
      </c>
    </row>
    <row r="5036" spans="4:4" x14ac:dyDescent="0.3">
      <c r="D5036" t="str">
        <f t="shared" si="129"/>
        <v/>
      </c>
    </row>
    <row r="5037" spans="4:4" x14ac:dyDescent="0.3">
      <c r="D5037" t="str">
        <f t="shared" si="129"/>
        <v/>
      </c>
    </row>
    <row r="5038" spans="4:4" x14ac:dyDescent="0.3">
      <c r="D5038" t="str">
        <f t="shared" si="129"/>
        <v/>
      </c>
    </row>
    <row r="5039" spans="4:4" x14ac:dyDescent="0.3">
      <c r="D5039" t="str">
        <f t="shared" si="129"/>
        <v/>
      </c>
    </row>
    <row r="5040" spans="4:4" x14ac:dyDescent="0.3">
      <c r="D5040" t="str">
        <f t="shared" si="129"/>
        <v/>
      </c>
    </row>
    <row r="5041" spans="4:4" x14ac:dyDescent="0.3">
      <c r="D5041" t="str">
        <f t="shared" si="129"/>
        <v/>
      </c>
    </row>
    <row r="5042" spans="4:4" x14ac:dyDescent="0.3">
      <c r="D5042" t="str">
        <f t="shared" si="129"/>
        <v/>
      </c>
    </row>
    <row r="5043" spans="4:4" x14ac:dyDescent="0.3">
      <c r="D5043" t="str">
        <f t="shared" si="129"/>
        <v/>
      </c>
    </row>
    <row r="5044" spans="4:4" x14ac:dyDescent="0.3">
      <c r="D5044" t="str">
        <f t="shared" si="129"/>
        <v/>
      </c>
    </row>
    <row r="5045" spans="4:4" x14ac:dyDescent="0.3">
      <c r="D5045" t="str">
        <f t="shared" si="129"/>
        <v/>
      </c>
    </row>
    <row r="5046" spans="4:4" x14ac:dyDescent="0.3">
      <c r="D5046" t="str">
        <f t="shared" si="129"/>
        <v/>
      </c>
    </row>
    <row r="5047" spans="4:4" x14ac:dyDescent="0.3">
      <c r="D5047" t="str">
        <f t="shared" si="129"/>
        <v/>
      </c>
    </row>
    <row r="5048" spans="4:4" x14ac:dyDescent="0.3">
      <c r="D5048" t="str">
        <f t="shared" si="129"/>
        <v/>
      </c>
    </row>
    <row r="5049" spans="4:4" x14ac:dyDescent="0.3">
      <c r="D5049" t="str">
        <f t="shared" si="129"/>
        <v/>
      </c>
    </row>
    <row r="5050" spans="4:4" x14ac:dyDescent="0.3">
      <c r="D5050" t="str">
        <f t="shared" si="129"/>
        <v/>
      </c>
    </row>
    <row r="5051" spans="4:4" x14ac:dyDescent="0.3">
      <c r="D5051" t="str">
        <f t="shared" si="129"/>
        <v/>
      </c>
    </row>
    <row r="5052" spans="4:4" x14ac:dyDescent="0.3">
      <c r="D5052" t="str">
        <f t="shared" si="129"/>
        <v/>
      </c>
    </row>
    <row r="5053" spans="4:4" x14ac:dyDescent="0.3">
      <c r="D5053" t="str">
        <f t="shared" si="129"/>
        <v/>
      </c>
    </row>
    <row r="5054" spans="4:4" x14ac:dyDescent="0.3">
      <c r="D5054" t="str">
        <f t="shared" si="129"/>
        <v/>
      </c>
    </row>
    <row r="5055" spans="4:4" x14ac:dyDescent="0.3">
      <c r="D5055" t="str">
        <f t="shared" si="129"/>
        <v/>
      </c>
    </row>
    <row r="5056" spans="4:4" x14ac:dyDescent="0.3">
      <c r="D5056" t="str">
        <f t="shared" si="129"/>
        <v/>
      </c>
    </row>
    <row r="5057" spans="4:4" x14ac:dyDescent="0.3">
      <c r="D5057" t="str">
        <f t="shared" si="129"/>
        <v/>
      </c>
    </row>
    <row r="5058" spans="4:4" x14ac:dyDescent="0.3">
      <c r="D5058" t="str">
        <f t="shared" si="129"/>
        <v/>
      </c>
    </row>
    <row r="5059" spans="4:4" x14ac:dyDescent="0.3">
      <c r="D5059" t="str">
        <f t="shared" si="129"/>
        <v/>
      </c>
    </row>
    <row r="5060" spans="4:4" x14ac:dyDescent="0.3">
      <c r="D5060" t="str">
        <f t="shared" si="129"/>
        <v/>
      </c>
    </row>
    <row r="5061" spans="4:4" x14ac:dyDescent="0.3">
      <c r="D5061" t="str">
        <f t="shared" si="129"/>
        <v/>
      </c>
    </row>
    <row r="5062" spans="4:4" x14ac:dyDescent="0.3">
      <c r="D5062" t="str">
        <f t="shared" si="129"/>
        <v/>
      </c>
    </row>
    <row r="5063" spans="4:4" x14ac:dyDescent="0.3">
      <c r="D5063" t="str">
        <f t="shared" si="129"/>
        <v/>
      </c>
    </row>
    <row r="5064" spans="4:4" x14ac:dyDescent="0.3">
      <c r="D5064" t="str">
        <f t="shared" si="129"/>
        <v/>
      </c>
    </row>
    <row r="5065" spans="4:4" x14ac:dyDescent="0.3">
      <c r="D5065" t="str">
        <f t="shared" ref="D5065:D5128" si="130">IF(LEFT(A5065,2)="SP",MID(A5065,4,4),IF(LEFT(A5065,1)="X",MID(A5065,3,4),""))</f>
        <v/>
      </c>
    </row>
    <row r="5066" spans="4:4" x14ac:dyDescent="0.3">
      <c r="D5066" t="str">
        <f t="shared" si="130"/>
        <v/>
      </c>
    </row>
    <row r="5067" spans="4:4" x14ac:dyDescent="0.3">
      <c r="D5067" t="str">
        <f t="shared" si="130"/>
        <v/>
      </c>
    </row>
    <row r="5068" spans="4:4" x14ac:dyDescent="0.3">
      <c r="D5068" t="str">
        <f t="shared" si="130"/>
        <v/>
      </c>
    </row>
    <row r="5069" spans="4:4" x14ac:dyDescent="0.3">
      <c r="D5069" t="str">
        <f t="shared" si="130"/>
        <v/>
      </c>
    </row>
    <row r="5070" spans="4:4" x14ac:dyDescent="0.3">
      <c r="D5070" t="str">
        <f t="shared" si="130"/>
        <v/>
      </c>
    </row>
    <row r="5071" spans="4:4" x14ac:dyDescent="0.3">
      <c r="D5071" t="str">
        <f t="shared" si="130"/>
        <v/>
      </c>
    </row>
    <row r="5072" spans="4:4" x14ac:dyDescent="0.3">
      <c r="D5072" t="str">
        <f t="shared" si="130"/>
        <v/>
      </c>
    </row>
    <row r="5073" spans="4:4" x14ac:dyDescent="0.3">
      <c r="D5073" t="str">
        <f t="shared" si="130"/>
        <v/>
      </c>
    </row>
    <row r="5074" spans="4:4" x14ac:dyDescent="0.3">
      <c r="D5074" t="str">
        <f t="shared" si="130"/>
        <v/>
      </c>
    </row>
    <row r="5075" spans="4:4" x14ac:dyDescent="0.3">
      <c r="D5075" t="str">
        <f t="shared" si="130"/>
        <v/>
      </c>
    </row>
    <row r="5076" spans="4:4" x14ac:dyDescent="0.3">
      <c r="D5076" t="str">
        <f t="shared" si="130"/>
        <v/>
      </c>
    </row>
    <row r="5077" spans="4:4" x14ac:dyDescent="0.3">
      <c r="D5077" t="str">
        <f t="shared" si="130"/>
        <v/>
      </c>
    </row>
    <row r="5078" spans="4:4" x14ac:dyDescent="0.3">
      <c r="D5078" t="str">
        <f t="shared" si="130"/>
        <v/>
      </c>
    </row>
    <row r="5079" spans="4:4" x14ac:dyDescent="0.3">
      <c r="D5079" t="str">
        <f t="shared" si="130"/>
        <v/>
      </c>
    </row>
    <row r="5080" spans="4:4" x14ac:dyDescent="0.3">
      <c r="D5080" t="str">
        <f t="shared" si="130"/>
        <v/>
      </c>
    </row>
    <row r="5081" spans="4:4" x14ac:dyDescent="0.3">
      <c r="D5081" t="str">
        <f t="shared" si="130"/>
        <v/>
      </c>
    </row>
    <row r="5082" spans="4:4" x14ac:dyDescent="0.3">
      <c r="D5082" t="str">
        <f t="shared" si="130"/>
        <v/>
      </c>
    </row>
    <row r="5083" spans="4:4" x14ac:dyDescent="0.3">
      <c r="D5083" t="str">
        <f t="shared" si="130"/>
        <v/>
      </c>
    </row>
    <row r="5084" spans="4:4" x14ac:dyDescent="0.3">
      <c r="D5084" t="str">
        <f t="shared" si="130"/>
        <v/>
      </c>
    </row>
    <row r="5085" spans="4:4" x14ac:dyDescent="0.3">
      <c r="D5085" t="str">
        <f t="shared" si="130"/>
        <v/>
      </c>
    </row>
    <row r="5086" spans="4:4" x14ac:dyDescent="0.3">
      <c r="D5086" t="str">
        <f t="shared" si="130"/>
        <v/>
      </c>
    </row>
    <row r="5087" spans="4:4" x14ac:dyDescent="0.3">
      <c r="D5087" t="str">
        <f t="shared" si="130"/>
        <v/>
      </c>
    </row>
    <row r="5088" spans="4:4" x14ac:dyDescent="0.3">
      <c r="D5088" t="str">
        <f t="shared" si="130"/>
        <v/>
      </c>
    </row>
    <row r="5089" spans="4:4" x14ac:dyDescent="0.3">
      <c r="D5089" t="str">
        <f t="shared" si="130"/>
        <v/>
      </c>
    </row>
    <row r="5090" spans="4:4" x14ac:dyDescent="0.3">
      <c r="D5090" t="str">
        <f t="shared" si="130"/>
        <v/>
      </c>
    </row>
    <row r="5091" spans="4:4" x14ac:dyDescent="0.3">
      <c r="D5091" t="str">
        <f t="shared" si="130"/>
        <v/>
      </c>
    </row>
    <row r="5092" spans="4:4" x14ac:dyDescent="0.3">
      <c r="D5092" t="str">
        <f t="shared" si="130"/>
        <v/>
      </c>
    </row>
    <row r="5093" spans="4:4" x14ac:dyDescent="0.3">
      <c r="D5093" t="str">
        <f t="shared" si="130"/>
        <v/>
      </c>
    </row>
    <row r="5094" spans="4:4" x14ac:dyDescent="0.3">
      <c r="D5094" t="str">
        <f t="shared" si="130"/>
        <v/>
      </c>
    </row>
    <row r="5095" spans="4:4" x14ac:dyDescent="0.3">
      <c r="D5095" t="str">
        <f t="shared" si="130"/>
        <v/>
      </c>
    </row>
    <row r="5096" spans="4:4" x14ac:dyDescent="0.3">
      <c r="D5096" t="str">
        <f t="shared" si="130"/>
        <v/>
      </c>
    </row>
    <row r="5097" spans="4:4" x14ac:dyDescent="0.3">
      <c r="D5097" t="str">
        <f t="shared" si="130"/>
        <v/>
      </c>
    </row>
    <row r="5098" spans="4:4" x14ac:dyDescent="0.3">
      <c r="D5098" t="str">
        <f t="shared" si="130"/>
        <v/>
      </c>
    </row>
    <row r="5099" spans="4:4" x14ac:dyDescent="0.3">
      <c r="D5099" t="str">
        <f t="shared" si="130"/>
        <v/>
      </c>
    </row>
    <row r="5100" spans="4:4" x14ac:dyDescent="0.3">
      <c r="D5100" t="str">
        <f t="shared" si="130"/>
        <v/>
      </c>
    </row>
    <row r="5101" spans="4:4" x14ac:dyDescent="0.3">
      <c r="D5101" t="str">
        <f t="shared" si="130"/>
        <v/>
      </c>
    </row>
    <row r="5102" spans="4:4" x14ac:dyDescent="0.3">
      <c r="D5102" t="str">
        <f t="shared" si="130"/>
        <v/>
      </c>
    </row>
    <row r="5103" spans="4:4" x14ac:dyDescent="0.3">
      <c r="D5103" t="str">
        <f t="shared" si="130"/>
        <v/>
      </c>
    </row>
    <row r="5104" spans="4:4" x14ac:dyDescent="0.3">
      <c r="D5104" t="str">
        <f t="shared" si="130"/>
        <v/>
      </c>
    </row>
    <row r="5105" spans="4:4" x14ac:dyDescent="0.3">
      <c r="D5105" t="str">
        <f t="shared" si="130"/>
        <v/>
      </c>
    </row>
    <row r="5106" spans="4:4" x14ac:dyDescent="0.3">
      <c r="D5106" t="str">
        <f t="shared" si="130"/>
        <v/>
      </c>
    </row>
    <row r="5107" spans="4:4" x14ac:dyDescent="0.3">
      <c r="D5107" t="str">
        <f t="shared" si="130"/>
        <v/>
      </c>
    </row>
    <row r="5108" spans="4:4" x14ac:dyDescent="0.3">
      <c r="D5108" t="str">
        <f t="shared" si="130"/>
        <v/>
      </c>
    </row>
    <row r="5109" spans="4:4" x14ac:dyDescent="0.3">
      <c r="D5109" t="str">
        <f t="shared" si="130"/>
        <v/>
      </c>
    </row>
    <row r="5110" spans="4:4" x14ac:dyDescent="0.3">
      <c r="D5110" t="str">
        <f t="shared" si="130"/>
        <v/>
      </c>
    </row>
    <row r="5111" spans="4:4" x14ac:dyDescent="0.3">
      <c r="D5111" t="str">
        <f t="shared" si="130"/>
        <v/>
      </c>
    </row>
    <row r="5112" spans="4:4" x14ac:dyDescent="0.3">
      <c r="D5112" t="str">
        <f t="shared" si="130"/>
        <v/>
      </c>
    </row>
    <row r="5113" spans="4:4" x14ac:dyDescent="0.3">
      <c r="D5113" t="str">
        <f t="shared" si="130"/>
        <v/>
      </c>
    </row>
    <row r="5114" spans="4:4" x14ac:dyDescent="0.3">
      <c r="D5114" t="str">
        <f t="shared" si="130"/>
        <v/>
      </c>
    </row>
    <row r="5115" spans="4:4" x14ac:dyDescent="0.3">
      <c r="D5115" t="str">
        <f t="shared" si="130"/>
        <v/>
      </c>
    </row>
    <row r="5116" spans="4:4" x14ac:dyDescent="0.3">
      <c r="D5116" t="str">
        <f t="shared" si="130"/>
        <v/>
      </c>
    </row>
    <row r="5117" spans="4:4" x14ac:dyDescent="0.3">
      <c r="D5117" t="str">
        <f t="shared" si="130"/>
        <v/>
      </c>
    </row>
    <row r="5118" spans="4:4" x14ac:dyDescent="0.3">
      <c r="D5118" t="str">
        <f t="shared" si="130"/>
        <v/>
      </c>
    </row>
    <row r="5119" spans="4:4" x14ac:dyDescent="0.3">
      <c r="D5119" t="str">
        <f t="shared" si="130"/>
        <v/>
      </c>
    </row>
    <row r="5120" spans="4:4" x14ac:dyDescent="0.3">
      <c r="D5120" t="str">
        <f t="shared" si="130"/>
        <v/>
      </c>
    </row>
    <row r="5121" spans="4:4" x14ac:dyDescent="0.3">
      <c r="D5121" t="str">
        <f t="shared" si="130"/>
        <v/>
      </c>
    </row>
    <row r="5122" spans="4:4" x14ac:dyDescent="0.3">
      <c r="D5122" t="str">
        <f t="shared" si="130"/>
        <v/>
      </c>
    </row>
    <row r="5123" spans="4:4" x14ac:dyDescent="0.3">
      <c r="D5123" t="str">
        <f t="shared" si="130"/>
        <v/>
      </c>
    </row>
    <row r="5124" spans="4:4" x14ac:dyDescent="0.3">
      <c r="D5124" t="str">
        <f t="shared" si="130"/>
        <v/>
      </c>
    </row>
    <row r="5125" spans="4:4" x14ac:dyDescent="0.3">
      <c r="D5125" t="str">
        <f t="shared" si="130"/>
        <v/>
      </c>
    </row>
    <row r="5126" spans="4:4" x14ac:dyDescent="0.3">
      <c r="D5126" t="str">
        <f t="shared" si="130"/>
        <v/>
      </c>
    </row>
    <row r="5127" spans="4:4" x14ac:dyDescent="0.3">
      <c r="D5127" t="str">
        <f t="shared" si="130"/>
        <v/>
      </c>
    </row>
    <row r="5128" spans="4:4" x14ac:dyDescent="0.3">
      <c r="D5128" t="str">
        <f t="shared" si="130"/>
        <v/>
      </c>
    </row>
    <row r="5129" spans="4:4" x14ac:dyDescent="0.3">
      <c r="D5129" t="str">
        <f t="shared" ref="D5129:D5192" si="131">IF(LEFT(A5129,2)="SP",MID(A5129,4,4),IF(LEFT(A5129,1)="X",MID(A5129,3,4),""))</f>
        <v/>
      </c>
    </row>
    <row r="5130" spans="4:4" x14ac:dyDescent="0.3">
      <c r="D5130" t="str">
        <f t="shared" si="131"/>
        <v/>
      </c>
    </row>
    <row r="5131" spans="4:4" x14ac:dyDescent="0.3">
      <c r="D5131" t="str">
        <f t="shared" si="131"/>
        <v/>
      </c>
    </row>
    <row r="5132" spans="4:4" x14ac:dyDescent="0.3">
      <c r="D5132" t="str">
        <f t="shared" si="131"/>
        <v/>
      </c>
    </row>
    <row r="5133" spans="4:4" x14ac:dyDescent="0.3">
      <c r="D5133" t="str">
        <f t="shared" si="131"/>
        <v/>
      </c>
    </row>
    <row r="5134" spans="4:4" x14ac:dyDescent="0.3">
      <c r="D5134" t="str">
        <f t="shared" si="131"/>
        <v/>
      </c>
    </row>
    <row r="5135" spans="4:4" x14ac:dyDescent="0.3">
      <c r="D5135" t="str">
        <f t="shared" si="131"/>
        <v/>
      </c>
    </row>
    <row r="5136" spans="4:4" x14ac:dyDescent="0.3">
      <c r="D5136" t="str">
        <f t="shared" si="131"/>
        <v/>
      </c>
    </row>
    <row r="5137" spans="4:4" x14ac:dyDescent="0.3">
      <c r="D5137" t="str">
        <f t="shared" si="131"/>
        <v/>
      </c>
    </row>
    <row r="5138" spans="4:4" x14ac:dyDescent="0.3">
      <c r="D5138" t="str">
        <f t="shared" si="131"/>
        <v/>
      </c>
    </row>
    <row r="5139" spans="4:4" x14ac:dyDescent="0.3">
      <c r="D5139" t="str">
        <f t="shared" si="131"/>
        <v/>
      </c>
    </row>
    <row r="5140" spans="4:4" x14ac:dyDescent="0.3">
      <c r="D5140" t="str">
        <f t="shared" si="131"/>
        <v/>
      </c>
    </row>
    <row r="5141" spans="4:4" x14ac:dyDescent="0.3">
      <c r="D5141" t="str">
        <f t="shared" si="131"/>
        <v/>
      </c>
    </row>
    <row r="5142" spans="4:4" x14ac:dyDescent="0.3">
      <c r="D5142" t="str">
        <f t="shared" si="131"/>
        <v/>
      </c>
    </row>
    <row r="5143" spans="4:4" x14ac:dyDescent="0.3">
      <c r="D5143" t="str">
        <f t="shared" si="131"/>
        <v/>
      </c>
    </row>
    <row r="5144" spans="4:4" x14ac:dyDescent="0.3">
      <c r="D5144" t="str">
        <f t="shared" si="131"/>
        <v/>
      </c>
    </row>
    <row r="5145" spans="4:4" x14ac:dyDescent="0.3">
      <c r="D5145" t="str">
        <f t="shared" si="131"/>
        <v/>
      </c>
    </row>
    <row r="5146" spans="4:4" x14ac:dyDescent="0.3">
      <c r="D5146" t="str">
        <f t="shared" si="131"/>
        <v/>
      </c>
    </row>
    <row r="5147" spans="4:4" x14ac:dyDescent="0.3">
      <c r="D5147" t="str">
        <f t="shared" si="131"/>
        <v/>
      </c>
    </row>
    <row r="5148" spans="4:4" x14ac:dyDescent="0.3">
      <c r="D5148" t="str">
        <f t="shared" si="131"/>
        <v/>
      </c>
    </row>
    <row r="5149" spans="4:4" x14ac:dyDescent="0.3">
      <c r="D5149" t="str">
        <f t="shared" si="131"/>
        <v/>
      </c>
    </row>
    <row r="5150" spans="4:4" x14ac:dyDescent="0.3">
      <c r="D5150" t="str">
        <f t="shared" si="131"/>
        <v/>
      </c>
    </row>
    <row r="5151" spans="4:4" x14ac:dyDescent="0.3">
      <c r="D5151" t="str">
        <f t="shared" si="131"/>
        <v/>
      </c>
    </row>
    <row r="5152" spans="4:4" x14ac:dyDescent="0.3">
      <c r="D5152" t="str">
        <f t="shared" si="131"/>
        <v/>
      </c>
    </row>
    <row r="5153" spans="4:4" x14ac:dyDescent="0.3">
      <c r="D5153" t="str">
        <f t="shared" si="131"/>
        <v/>
      </c>
    </row>
    <row r="5154" spans="4:4" x14ac:dyDescent="0.3">
      <c r="D5154" t="str">
        <f t="shared" si="131"/>
        <v/>
      </c>
    </row>
    <row r="5155" spans="4:4" x14ac:dyDescent="0.3">
      <c r="D5155" t="str">
        <f t="shared" si="131"/>
        <v/>
      </c>
    </row>
    <row r="5156" spans="4:4" x14ac:dyDescent="0.3">
      <c r="D5156" t="str">
        <f t="shared" si="131"/>
        <v/>
      </c>
    </row>
    <row r="5157" spans="4:4" x14ac:dyDescent="0.3">
      <c r="D5157" t="str">
        <f t="shared" si="131"/>
        <v/>
      </c>
    </row>
    <row r="5158" spans="4:4" x14ac:dyDescent="0.3">
      <c r="D5158" t="str">
        <f t="shared" si="131"/>
        <v/>
      </c>
    </row>
    <row r="5159" spans="4:4" x14ac:dyDescent="0.3">
      <c r="D5159" t="str">
        <f t="shared" si="131"/>
        <v/>
      </c>
    </row>
    <row r="5160" spans="4:4" x14ac:dyDescent="0.3">
      <c r="D5160" t="str">
        <f t="shared" si="131"/>
        <v/>
      </c>
    </row>
    <row r="5161" spans="4:4" x14ac:dyDescent="0.3">
      <c r="D5161" t="str">
        <f t="shared" si="131"/>
        <v/>
      </c>
    </row>
    <row r="5162" spans="4:4" x14ac:dyDescent="0.3">
      <c r="D5162" t="str">
        <f t="shared" si="131"/>
        <v/>
      </c>
    </row>
    <row r="5163" spans="4:4" x14ac:dyDescent="0.3">
      <c r="D5163" t="str">
        <f t="shared" si="131"/>
        <v/>
      </c>
    </row>
    <row r="5164" spans="4:4" x14ac:dyDescent="0.3">
      <c r="D5164" t="str">
        <f t="shared" si="131"/>
        <v/>
      </c>
    </row>
    <row r="5165" spans="4:4" x14ac:dyDescent="0.3">
      <c r="D5165" t="str">
        <f t="shared" si="131"/>
        <v/>
      </c>
    </row>
    <row r="5166" spans="4:4" x14ac:dyDescent="0.3">
      <c r="D5166" t="str">
        <f t="shared" si="131"/>
        <v/>
      </c>
    </row>
    <row r="5167" spans="4:4" x14ac:dyDescent="0.3">
      <c r="D5167" t="str">
        <f t="shared" si="131"/>
        <v/>
      </c>
    </row>
    <row r="5168" spans="4:4" x14ac:dyDescent="0.3">
      <c r="D5168" t="str">
        <f t="shared" si="131"/>
        <v/>
      </c>
    </row>
    <row r="5169" spans="4:4" x14ac:dyDescent="0.3">
      <c r="D5169" t="str">
        <f t="shared" si="131"/>
        <v/>
      </c>
    </row>
    <row r="5170" spans="4:4" x14ac:dyDescent="0.3">
      <c r="D5170" t="str">
        <f t="shared" si="131"/>
        <v/>
      </c>
    </row>
    <row r="5171" spans="4:4" x14ac:dyDescent="0.3">
      <c r="D5171" t="str">
        <f t="shared" si="131"/>
        <v/>
      </c>
    </row>
    <row r="5172" spans="4:4" x14ac:dyDescent="0.3">
      <c r="D5172" t="str">
        <f t="shared" si="131"/>
        <v/>
      </c>
    </row>
    <row r="5173" spans="4:4" x14ac:dyDescent="0.3">
      <c r="D5173" t="str">
        <f t="shared" si="131"/>
        <v/>
      </c>
    </row>
    <row r="5174" spans="4:4" x14ac:dyDescent="0.3">
      <c r="D5174" t="str">
        <f t="shared" si="131"/>
        <v/>
      </c>
    </row>
    <row r="5175" spans="4:4" x14ac:dyDescent="0.3">
      <c r="D5175" t="str">
        <f t="shared" si="131"/>
        <v/>
      </c>
    </row>
    <row r="5176" spans="4:4" x14ac:dyDescent="0.3">
      <c r="D5176" t="str">
        <f t="shared" si="131"/>
        <v/>
      </c>
    </row>
    <row r="5177" spans="4:4" x14ac:dyDescent="0.3">
      <c r="D5177" t="str">
        <f t="shared" si="131"/>
        <v/>
      </c>
    </row>
    <row r="5178" spans="4:4" x14ac:dyDescent="0.3">
      <c r="D5178" t="str">
        <f t="shared" si="131"/>
        <v/>
      </c>
    </row>
    <row r="5179" spans="4:4" x14ac:dyDescent="0.3">
      <c r="D5179" t="str">
        <f t="shared" si="131"/>
        <v/>
      </c>
    </row>
    <row r="5180" spans="4:4" x14ac:dyDescent="0.3">
      <c r="D5180" t="str">
        <f t="shared" si="131"/>
        <v/>
      </c>
    </row>
    <row r="5181" spans="4:4" x14ac:dyDescent="0.3">
      <c r="D5181" t="str">
        <f t="shared" si="131"/>
        <v/>
      </c>
    </row>
    <row r="5182" spans="4:4" x14ac:dyDescent="0.3">
      <c r="D5182" t="str">
        <f t="shared" si="131"/>
        <v/>
      </c>
    </row>
    <row r="5183" spans="4:4" x14ac:dyDescent="0.3">
      <c r="D5183" t="str">
        <f t="shared" si="131"/>
        <v/>
      </c>
    </row>
    <row r="5184" spans="4:4" x14ac:dyDescent="0.3">
      <c r="D5184" t="str">
        <f t="shared" si="131"/>
        <v/>
      </c>
    </row>
    <row r="5185" spans="4:4" x14ac:dyDescent="0.3">
      <c r="D5185" t="str">
        <f t="shared" si="131"/>
        <v/>
      </c>
    </row>
    <row r="5186" spans="4:4" x14ac:dyDescent="0.3">
      <c r="D5186" t="str">
        <f t="shared" si="131"/>
        <v/>
      </c>
    </row>
    <row r="5187" spans="4:4" x14ac:dyDescent="0.3">
      <c r="D5187" t="str">
        <f t="shared" si="131"/>
        <v/>
      </c>
    </row>
    <row r="5188" spans="4:4" x14ac:dyDescent="0.3">
      <c r="D5188" t="str">
        <f t="shared" si="131"/>
        <v/>
      </c>
    </row>
    <row r="5189" spans="4:4" x14ac:dyDescent="0.3">
      <c r="D5189" t="str">
        <f t="shared" si="131"/>
        <v/>
      </c>
    </row>
    <row r="5190" spans="4:4" x14ac:dyDescent="0.3">
      <c r="D5190" t="str">
        <f t="shared" si="131"/>
        <v/>
      </c>
    </row>
    <row r="5191" spans="4:4" x14ac:dyDescent="0.3">
      <c r="D5191" t="str">
        <f t="shared" si="131"/>
        <v/>
      </c>
    </row>
    <row r="5192" spans="4:4" x14ac:dyDescent="0.3">
      <c r="D5192" t="str">
        <f t="shared" si="131"/>
        <v/>
      </c>
    </row>
    <row r="5193" spans="4:4" x14ac:dyDescent="0.3">
      <c r="D5193" t="str">
        <f t="shared" ref="D5193:D5256" si="132">IF(LEFT(A5193,2)="SP",MID(A5193,4,4),IF(LEFT(A5193,1)="X",MID(A5193,3,4),""))</f>
        <v/>
      </c>
    </row>
    <row r="5194" spans="4:4" x14ac:dyDescent="0.3">
      <c r="D5194" t="str">
        <f t="shared" si="132"/>
        <v/>
      </c>
    </row>
    <row r="5195" spans="4:4" x14ac:dyDescent="0.3">
      <c r="D5195" t="str">
        <f t="shared" si="132"/>
        <v/>
      </c>
    </row>
    <row r="5196" spans="4:4" x14ac:dyDescent="0.3">
      <c r="D5196" t="str">
        <f t="shared" si="132"/>
        <v/>
      </c>
    </row>
    <row r="5197" spans="4:4" x14ac:dyDescent="0.3">
      <c r="D5197" t="str">
        <f t="shared" si="132"/>
        <v/>
      </c>
    </row>
    <row r="5198" spans="4:4" x14ac:dyDescent="0.3">
      <c r="D5198" t="str">
        <f t="shared" si="132"/>
        <v/>
      </c>
    </row>
    <row r="5199" spans="4:4" x14ac:dyDescent="0.3">
      <c r="D5199" t="str">
        <f t="shared" si="132"/>
        <v/>
      </c>
    </row>
    <row r="5200" spans="4:4" x14ac:dyDescent="0.3">
      <c r="D5200" t="str">
        <f t="shared" si="132"/>
        <v/>
      </c>
    </row>
    <row r="5201" spans="4:4" x14ac:dyDescent="0.3">
      <c r="D5201" t="str">
        <f t="shared" si="132"/>
        <v/>
      </c>
    </row>
    <row r="5202" spans="4:4" x14ac:dyDescent="0.3">
      <c r="D5202" t="str">
        <f t="shared" si="132"/>
        <v/>
      </c>
    </row>
    <row r="5203" spans="4:4" x14ac:dyDescent="0.3">
      <c r="D5203" t="str">
        <f t="shared" si="132"/>
        <v/>
      </c>
    </row>
    <row r="5204" spans="4:4" x14ac:dyDescent="0.3">
      <c r="D5204" t="str">
        <f t="shared" si="132"/>
        <v/>
      </c>
    </row>
    <row r="5205" spans="4:4" x14ac:dyDescent="0.3">
      <c r="D5205" t="str">
        <f t="shared" si="132"/>
        <v/>
      </c>
    </row>
    <row r="5206" spans="4:4" x14ac:dyDescent="0.3">
      <c r="D5206" t="str">
        <f t="shared" si="132"/>
        <v/>
      </c>
    </row>
    <row r="5207" spans="4:4" x14ac:dyDescent="0.3">
      <c r="D5207" t="str">
        <f t="shared" si="132"/>
        <v/>
      </c>
    </row>
    <row r="5208" spans="4:4" x14ac:dyDescent="0.3">
      <c r="D5208" t="str">
        <f t="shared" si="132"/>
        <v/>
      </c>
    </row>
    <row r="5209" spans="4:4" x14ac:dyDescent="0.3">
      <c r="D5209" t="str">
        <f t="shared" si="132"/>
        <v/>
      </c>
    </row>
    <row r="5210" spans="4:4" x14ac:dyDescent="0.3">
      <c r="D5210" t="str">
        <f t="shared" si="132"/>
        <v/>
      </c>
    </row>
    <row r="5211" spans="4:4" x14ac:dyDescent="0.3">
      <c r="D5211" t="str">
        <f t="shared" si="132"/>
        <v/>
      </c>
    </row>
    <row r="5212" spans="4:4" x14ac:dyDescent="0.3">
      <c r="D5212" t="str">
        <f t="shared" si="132"/>
        <v/>
      </c>
    </row>
    <row r="5213" spans="4:4" x14ac:dyDescent="0.3">
      <c r="D5213" t="str">
        <f t="shared" si="132"/>
        <v/>
      </c>
    </row>
    <row r="5214" spans="4:4" x14ac:dyDescent="0.3">
      <c r="D5214" t="str">
        <f t="shared" si="132"/>
        <v/>
      </c>
    </row>
    <row r="5215" spans="4:4" x14ac:dyDescent="0.3">
      <c r="D5215" t="str">
        <f t="shared" si="132"/>
        <v/>
      </c>
    </row>
    <row r="5216" spans="4:4" x14ac:dyDescent="0.3">
      <c r="D5216" t="str">
        <f t="shared" si="132"/>
        <v/>
      </c>
    </row>
    <row r="5217" spans="4:4" x14ac:dyDescent="0.3">
      <c r="D5217" t="str">
        <f t="shared" si="132"/>
        <v/>
      </c>
    </row>
    <row r="5218" spans="4:4" x14ac:dyDescent="0.3">
      <c r="D5218" t="str">
        <f t="shared" si="132"/>
        <v/>
      </c>
    </row>
    <row r="5219" spans="4:4" x14ac:dyDescent="0.3">
      <c r="D5219" t="str">
        <f t="shared" si="132"/>
        <v/>
      </c>
    </row>
    <row r="5220" spans="4:4" x14ac:dyDescent="0.3">
      <c r="D5220" t="str">
        <f t="shared" si="132"/>
        <v/>
      </c>
    </row>
    <row r="5221" spans="4:4" x14ac:dyDescent="0.3">
      <c r="D5221" t="str">
        <f t="shared" si="132"/>
        <v/>
      </c>
    </row>
    <row r="5222" spans="4:4" x14ac:dyDescent="0.3">
      <c r="D5222" t="str">
        <f t="shared" si="132"/>
        <v/>
      </c>
    </row>
    <row r="5223" spans="4:4" x14ac:dyDescent="0.3">
      <c r="D5223" t="str">
        <f t="shared" si="132"/>
        <v/>
      </c>
    </row>
    <row r="5224" spans="4:4" x14ac:dyDescent="0.3">
      <c r="D5224" t="str">
        <f t="shared" si="132"/>
        <v/>
      </c>
    </row>
    <row r="5225" spans="4:4" x14ac:dyDescent="0.3">
      <c r="D5225" t="str">
        <f t="shared" si="132"/>
        <v/>
      </c>
    </row>
    <row r="5226" spans="4:4" x14ac:dyDescent="0.3">
      <c r="D5226" t="str">
        <f t="shared" si="132"/>
        <v/>
      </c>
    </row>
    <row r="5227" spans="4:4" x14ac:dyDescent="0.3">
      <c r="D5227" t="str">
        <f t="shared" si="132"/>
        <v/>
      </c>
    </row>
    <row r="5228" spans="4:4" x14ac:dyDescent="0.3">
      <c r="D5228" t="str">
        <f t="shared" si="132"/>
        <v/>
      </c>
    </row>
    <row r="5229" spans="4:4" x14ac:dyDescent="0.3">
      <c r="D5229" t="str">
        <f t="shared" si="132"/>
        <v/>
      </c>
    </row>
    <row r="5230" spans="4:4" x14ac:dyDescent="0.3">
      <c r="D5230" t="str">
        <f t="shared" si="132"/>
        <v/>
      </c>
    </row>
    <row r="5231" spans="4:4" x14ac:dyDescent="0.3">
      <c r="D5231" t="str">
        <f t="shared" si="132"/>
        <v/>
      </c>
    </row>
    <row r="5232" spans="4:4" x14ac:dyDescent="0.3">
      <c r="D5232" t="str">
        <f t="shared" si="132"/>
        <v/>
      </c>
    </row>
    <row r="5233" spans="4:4" x14ac:dyDescent="0.3">
      <c r="D5233" t="str">
        <f t="shared" si="132"/>
        <v/>
      </c>
    </row>
    <row r="5234" spans="4:4" x14ac:dyDescent="0.3">
      <c r="D5234" t="str">
        <f t="shared" si="132"/>
        <v/>
      </c>
    </row>
    <row r="5235" spans="4:4" x14ac:dyDescent="0.3">
      <c r="D5235" t="str">
        <f t="shared" si="132"/>
        <v/>
      </c>
    </row>
    <row r="5236" spans="4:4" x14ac:dyDescent="0.3">
      <c r="D5236" t="str">
        <f t="shared" si="132"/>
        <v/>
      </c>
    </row>
    <row r="5237" spans="4:4" x14ac:dyDescent="0.3">
      <c r="D5237" t="str">
        <f t="shared" si="132"/>
        <v/>
      </c>
    </row>
    <row r="5238" spans="4:4" x14ac:dyDescent="0.3">
      <c r="D5238" t="str">
        <f t="shared" si="132"/>
        <v/>
      </c>
    </row>
    <row r="5239" spans="4:4" x14ac:dyDescent="0.3">
      <c r="D5239" t="str">
        <f t="shared" si="132"/>
        <v/>
      </c>
    </row>
    <row r="5240" spans="4:4" x14ac:dyDescent="0.3">
      <c r="D5240" t="str">
        <f t="shared" si="132"/>
        <v/>
      </c>
    </row>
    <row r="5241" spans="4:4" x14ac:dyDescent="0.3">
      <c r="D5241" t="str">
        <f t="shared" si="132"/>
        <v/>
      </c>
    </row>
    <row r="5242" spans="4:4" x14ac:dyDescent="0.3">
      <c r="D5242" t="str">
        <f t="shared" si="132"/>
        <v/>
      </c>
    </row>
    <row r="5243" spans="4:4" x14ac:dyDescent="0.3">
      <c r="D5243" t="str">
        <f t="shared" si="132"/>
        <v/>
      </c>
    </row>
    <row r="5244" spans="4:4" x14ac:dyDescent="0.3">
      <c r="D5244" t="str">
        <f t="shared" si="132"/>
        <v/>
      </c>
    </row>
    <row r="5245" spans="4:4" x14ac:dyDescent="0.3">
      <c r="D5245" t="str">
        <f t="shared" si="132"/>
        <v/>
      </c>
    </row>
    <row r="5246" spans="4:4" x14ac:dyDescent="0.3">
      <c r="D5246" t="str">
        <f t="shared" si="132"/>
        <v/>
      </c>
    </row>
    <row r="5247" spans="4:4" x14ac:dyDescent="0.3">
      <c r="D5247" t="str">
        <f t="shared" si="132"/>
        <v/>
      </c>
    </row>
    <row r="5248" spans="4:4" x14ac:dyDescent="0.3">
      <c r="D5248" t="str">
        <f t="shared" si="132"/>
        <v/>
      </c>
    </row>
    <row r="5249" spans="4:4" x14ac:dyDescent="0.3">
      <c r="D5249" t="str">
        <f t="shared" si="132"/>
        <v/>
      </c>
    </row>
    <row r="5250" spans="4:4" x14ac:dyDescent="0.3">
      <c r="D5250" t="str">
        <f t="shared" si="132"/>
        <v/>
      </c>
    </row>
    <row r="5251" spans="4:4" x14ac:dyDescent="0.3">
      <c r="D5251" t="str">
        <f t="shared" si="132"/>
        <v/>
      </c>
    </row>
    <row r="5252" spans="4:4" x14ac:dyDescent="0.3">
      <c r="D5252" t="str">
        <f t="shared" si="132"/>
        <v/>
      </c>
    </row>
    <row r="5253" spans="4:4" x14ac:dyDescent="0.3">
      <c r="D5253" t="str">
        <f t="shared" si="132"/>
        <v/>
      </c>
    </row>
    <row r="5254" spans="4:4" x14ac:dyDescent="0.3">
      <c r="D5254" t="str">
        <f t="shared" si="132"/>
        <v/>
      </c>
    </row>
    <row r="5255" spans="4:4" x14ac:dyDescent="0.3">
      <c r="D5255" t="str">
        <f t="shared" si="132"/>
        <v/>
      </c>
    </row>
    <row r="5256" spans="4:4" x14ac:dyDescent="0.3">
      <c r="D5256" t="str">
        <f t="shared" si="132"/>
        <v/>
      </c>
    </row>
    <row r="5257" spans="4:4" x14ac:dyDescent="0.3">
      <c r="D5257" t="str">
        <f t="shared" ref="D5257:D5320" si="133">IF(LEFT(A5257,2)="SP",MID(A5257,4,4),IF(LEFT(A5257,1)="X",MID(A5257,3,4),""))</f>
        <v/>
      </c>
    </row>
    <row r="5258" spans="4:4" x14ac:dyDescent="0.3">
      <c r="D5258" t="str">
        <f t="shared" si="133"/>
        <v/>
      </c>
    </row>
    <row r="5259" spans="4:4" x14ac:dyDescent="0.3">
      <c r="D5259" t="str">
        <f t="shared" si="133"/>
        <v/>
      </c>
    </row>
    <row r="5260" spans="4:4" x14ac:dyDescent="0.3">
      <c r="D5260" t="str">
        <f t="shared" si="133"/>
        <v/>
      </c>
    </row>
    <row r="5261" spans="4:4" x14ac:dyDescent="0.3">
      <c r="D5261" t="str">
        <f t="shared" si="133"/>
        <v/>
      </c>
    </row>
    <row r="5262" spans="4:4" x14ac:dyDescent="0.3">
      <c r="D5262" t="str">
        <f t="shared" si="133"/>
        <v/>
      </c>
    </row>
    <row r="5263" spans="4:4" x14ac:dyDescent="0.3">
      <c r="D5263" t="str">
        <f t="shared" si="133"/>
        <v/>
      </c>
    </row>
    <row r="5264" spans="4:4" x14ac:dyDescent="0.3">
      <c r="D5264" t="str">
        <f t="shared" si="133"/>
        <v/>
      </c>
    </row>
    <row r="5265" spans="4:4" x14ac:dyDescent="0.3">
      <c r="D5265" t="str">
        <f t="shared" si="133"/>
        <v/>
      </c>
    </row>
    <row r="5266" spans="4:4" x14ac:dyDescent="0.3">
      <c r="D5266" t="str">
        <f t="shared" si="133"/>
        <v/>
      </c>
    </row>
    <row r="5267" spans="4:4" x14ac:dyDescent="0.3">
      <c r="D5267" t="str">
        <f t="shared" si="133"/>
        <v/>
      </c>
    </row>
    <row r="5268" spans="4:4" x14ac:dyDescent="0.3">
      <c r="D5268" t="str">
        <f t="shared" si="133"/>
        <v/>
      </c>
    </row>
    <row r="5269" spans="4:4" x14ac:dyDescent="0.3">
      <c r="D5269" t="str">
        <f t="shared" si="133"/>
        <v/>
      </c>
    </row>
    <row r="5270" spans="4:4" x14ac:dyDescent="0.3">
      <c r="D5270" t="str">
        <f t="shared" si="133"/>
        <v/>
      </c>
    </row>
    <row r="5271" spans="4:4" x14ac:dyDescent="0.3">
      <c r="D5271" t="str">
        <f t="shared" si="133"/>
        <v/>
      </c>
    </row>
    <row r="5272" spans="4:4" x14ac:dyDescent="0.3">
      <c r="D5272" t="str">
        <f t="shared" si="133"/>
        <v/>
      </c>
    </row>
    <row r="5273" spans="4:4" x14ac:dyDescent="0.3">
      <c r="D5273" t="str">
        <f t="shared" si="133"/>
        <v/>
      </c>
    </row>
    <row r="5274" spans="4:4" x14ac:dyDescent="0.3">
      <c r="D5274" t="str">
        <f t="shared" si="133"/>
        <v/>
      </c>
    </row>
    <row r="5275" spans="4:4" x14ac:dyDescent="0.3">
      <c r="D5275" t="str">
        <f t="shared" si="133"/>
        <v/>
      </c>
    </row>
    <row r="5276" spans="4:4" x14ac:dyDescent="0.3">
      <c r="D5276" t="str">
        <f t="shared" si="133"/>
        <v/>
      </c>
    </row>
    <row r="5277" spans="4:4" x14ac:dyDescent="0.3">
      <c r="D5277" t="str">
        <f t="shared" si="133"/>
        <v/>
      </c>
    </row>
    <row r="5278" spans="4:4" x14ac:dyDescent="0.3">
      <c r="D5278" t="str">
        <f t="shared" si="133"/>
        <v/>
      </c>
    </row>
    <row r="5279" spans="4:4" x14ac:dyDescent="0.3">
      <c r="D5279" t="str">
        <f t="shared" si="133"/>
        <v/>
      </c>
    </row>
    <row r="5280" spans="4:4" x14ac:dyDescent="0.3">
      <c r="D5280" t="str">
        <f t="shared" si="133"/>
        <v/>
      </c>
    </row>
    <row r="5281" spans="4:4" x14ac:dyDescent="0.3">
      <c r="D5281" t="str">
        <f t="shared" si="133"/>
        <v/>
      </c>
    </row>
    <row r="5282" spans="4:4" x14ac:dyDescent="0.3">
      <c r="D5282" t="str">
        <f t="shared" si="133"/>
        <v/>
      </c>
    </row>
    <row r="5283" spans="4:4" x14ac:dyDescent="0.3">
      <c r="D5283" t="str">
        <f t="shared" si="133"/>
        <v/>
      </c>
    </row>
    <row r="5284" spans="4:4" x14ac:dyDescent="0.3">
      <c r="D5284" t="str">
        <f t="shared" si="133"/>
        <v/>
      </c>
    </row>
    <row r="5285" spans="4:4" x14ac:dyDescent="0.3">
      <c r="D5285" t="str">
        <f t="shared" si="133"/>
        <v/>
      </c>
    </row>
    <row r="5286" spans="4:4" x14ac:dyDescent="0.3">
      <c r="D5286" t="str">
        <f t="shared" si="133"/>
        <v/>
      </c>
    </row>
    <row r="5287" spans="4:4" x14ac:dyDescent="0.3">
      <c r="D5287" t="str">
        <f t="shared" si="133"/>
        <v/>
      </c>
    </row>
    <row r="5288" spans="4:4" x14ac:dyDescent="0.3">
      <c r="D5288" t="str">
        <f t="shared" si="133"/>
        <v/>
      </c>
    </row>
    <row r="5289" spans="4:4" x14ac:dyDescent="0.3">
      <c r="D5289" t="str">
        <f t="shared" si="133"/>
        <v/>
      </c>
    </row>
    <row r="5290" spans="4:4" x14ac:dyDescent="0.3">
      <c r="D5290" t="str">
        <f t="shared" si="133"/>
        <v/>
      </c>
    </row>
    <row r="5291" spans="4:4" x14ac:dyDescent="0.3">
      <c r="D5291" t="str">
        <f t="shared" si="133"/>
        <v/>
      </c>
    </row>
    <row r="5292" spans="4:4" x14ac:dyDescent="0.3">
      <c r="D5292" t="str">
        <f t="shared" si="133"/>
        <v/>
      </c>
    </row>
    <row r="5293" spans="4:4" x14ac:dyDescent="0.3">
      <c r="D5293" t="str">
        <f t="shared" si="133"/>
        <v/>
      </c>
    </row>
    <row r="5294" spans="4:4" x14ac:dyDescent="0.3">
      <c r="D5294" t="str">
        <f t="shared" si="133"/>
        <v/>
      </c>
    </row>
    <row r="5295" spans="4:4" x14ac:dyDescent="0.3">
      <c r="D5295" t="str">
        <f t="shared" si="133"/>
        <v/>
      </c>
    </row>
    <row r="5296" spans="4:4" x14ac:dyDescent="0.3">
      <c r="D5296" t="str">
        <f t="shared" si="133"/>
        <v/>
      </c>
    </row>
    <row r="5297" spans="4:4" x14ac:dyDescent="0.3">
      <c r="D5297" t="str">
        <f t="shared" si="133"/>
        <v/>
      </c>
    </row>
    <row r="5298" spans="4:4" x14ac:dyDescent="0.3">
      <c r="D5298" t="str">
        <f t="shared" si="133"/>
        <v/>
      </c>
    </row>
    <row r="5299" spans="4:4" x14ac:dyDescent="0.3">
      <c r="D5299" t="str">
        <f t="shared" si="133"/>
        <v/>
      </c>
    </row>
    <row r="5300" spans="4:4" x14ac:dyDescent="0.3">
      <c r="D5300" t="str">
        <f t="shared" si="133"/>
        <v/>
      </c>
    </row>
    <row r="5301" spans="4:4" x14ac:dyDescent="0.3">
      <c r="D5301" t="str">
        <f t="shared" si="133"/>
        <v/>
      </c>
    </row>
    <row r="5302" spans="4:4" x14ac:dyDescent="0.3">
      <c r="D5302" t="str">
        <f t="shared" si="133"/>
        <v/>
      </c>
    </row>
    <row r="5303" spans="4:4" x14ac:dyDescent="0.3">
      <c r="D5303" t="str">
        <f t="shared" si="133"/>
        <v/>
      </c>
    </row>
    <row r="5304" spans="4:4" x14ac:dyDescent="0.3">
      <c r="D5304" t="str">
        <f t="shared" si="133"/>
        <v/>
      </c>
    </row>
    <row r="5305" spans="4:4" x14ac:dyDescent="0.3">
      <c r="D5305" t="str">
        <f t="shared" si="133"/>
        <v/>
      </c>
    </row>
    <row r="5306" spans="4:4" x14ac:dyDescent="0.3">
      <c r="D5306" t="str">
        <f t="shared" si="133"/>
        <v/>
      </c>
    </row>
    <row r="5307" spans="4:4" x14ac:dyDescent="0.3">
      <c r="D5307" t="str">
        <f t="shared" si="133"/>
        <v/>
      </c>
    </row>
    <row r="5308" spans="4:4" x14ac:dyDescent="0.3">
      <c r="D5308" t="str">
        <f t="shared" si="133"/>
        <v/>
      </c>
    </row>
    <row r="5309" spans="4:4" x14ac:dyDescent="0.3">
      <c r="D5309" t="str">
        <f t="shared" si="133"/>
        <v/>
      </c>
    </row>
    <row r="5310" spans="4:4" x14ac:dyDescent="0.3">
      <c r="D5310" t="str">
        <f t="shared" si="133"/>
        <v/>
      </c>
    </row>
    <row r="5311" spans="4:4" x14ac:dyDescent="0.3">
      <c r="D5311" t="str">
        <f t="shared" si="133"/>
        <v/>
      </c>
    </row>
    <row r="5312" spans="4:4" x14ac:dyDescent="0.3">
      <c r="D5312" t="str">
        <f t="shared" si="133"/>
        <v/>
      </c>
    </row>
    <row r="5313" spans="4:4" x14ac:dyDescent="0.3">
      <c r="D5313" t="str">
        <f t="shared" si="133"/>
        <v/>
      </c>
    </row>
    <row r="5314" spans="4:4" x14ac:dyDescent="0.3">
      <c r="D5314" t="str">
        <f t="shared" si="133"/>
        <v/>
      </c>
    </row>
    <row r="5315" spans="4:4" x14ac:dyDescent="0.3">
      <c r="D5315" t="str">
        <f t="shared" si="133"/>
        <v/>
      </c>
    </row>
    <row r="5316" spans="4:4" x14ac:dyDescent="0.3">
      <c r="D5316" t="str">
        <f t="shared" si="133"/>
        <v/>
      </c>
    </row>
    <row r="5317" spans="4:4" x14ac:dyDescent="0.3">
      <c r="D5317" t="str">
        <f t="shared" si="133"/>
        <v/>
      </c>
    </row>
    <row r="5318" spans="4:4" x14ac:dyDescent="0.3">
      <c r="D5318" t="str">
        <f t="shared" si="133"/>
        <v/>
      </c>
    </row>
    <row r="5319" spans="4:4" x14ac:dyDescent="0.3">
      <c r="D5319" t="str">
        <f t="shared" si="133"/>
        <v/>
      </c>
    </row>
    <row r="5320" spans="4:4" x14ac:dyDescent="0.3">
      <c r="D5320" t="str">
        <f t="shared" si="133"/>
        <v/>
      </c>
    </row>
    <row r="5321" spans="4:4" x14ac:dyDescent="0.3">
      <c r="D5321" t="str">
        <f t="shared" ref="D5321:D5384" si="134">IF(LEFT(A5321,2)="SP",MID(A5321,4,4),IF(LEFT(A5321,1)="X",MID(A5321,3,4),""))</f>
        <v/>
      </c>
    </row>
    <row r="5322" spans="4:4" x14ac:dyDescent="0.3">
      <c r="D5322" t="str">
        <f t="shared" si="134"/>
        <v/>
      </c>
    </row>
    <row r="5323" spans="4:4" x14ac:dyDescent="0.3">
      <c r="D5323" t="str">
        <f t="shared" si="134"/>
        <v/>
      </c>
    </row>
    <row r="5324" spans="4:4" x14ac:dyDescent="0.3">
      <c r="D5324" t="str">
        <f t="shared" si="134"/>
        <v/>
      </c>
    </row>
    <row r="5325" spans="4:4" x14ac:dyDescent="0.3">
      <c r="D5325" t="str">
        <f t="shared" si="134"/>
        <v/>
      </c>
    </row>
    <row r="5326" spans="4:4" x14ac:dyDescent="0.3">
      <c r="D5326" t="str">
        <f t="shared" si="134"/>
        <v/>
      </c>
    </row>
    <row r="5327" spans="4:4" x14ac:dyDescent="0.3">
      <c r="D5327" t="str">
        <f t="shared" si="134"/>
        <v/>
      </c>
    </row>
    <row r="5328" spans="4:4" x14ac:dyDescent="0.3">
      <c r="D5328" t="str">
        <f t="shared" si="134"/>
        <v/>
      </c>
    </row>
    <row r="5329" spans="4:4" x14ac:dyDescent="0.3">
      <c r="D5329" t="str">
        <f t="shared" si="134"/>
        <v/>
      </c>
    </row>
    <row r="5330" spans="4:4" x14ac:dyDescent="0.3">
      <c r="D5330" t="str">
        <f t="shared" si="134"/>
        <v/>
      </c>
    </row>
    <row r="5331" spans="4:4" x14ac:dyDescent="0.3">
      <c r="D5331" t="str">
        <f t="shared" si="134"/>
        <v/>
      </c>
    </row>
    <row r="5332" spans="4:4" x14ac:dyDescent="0.3">
      <c r="D5332" t="str">
        <f t="shared" si="134"/>
        <v/>
      </c>
    </row>
    <row r="5333" spans="4:4" x14ac:dyDescent="0.3">
      <c r="D5333" t="str">
        <f t="shared" si="134"/>
        <v/>
      </c>
    </row>
    <row r="5334" spans="4:4" x14ac:dyDescent="0.3">
      <c r="D5334" t="str">
        <f t="shared" si="134"/>
        <v/>
      </c>
    </row>
    <row r="5335" spans="4:4" x14ac:dyDescent="0.3">
      <c r="D5335" t="str">
        <f t="shared" si="134"/>
        <v/>
      </c>
    </row>
    <row r="5336" spans="4:4" x14ac:dyDescent="0.3">
      <c r="D5336" t="str">
        <f t="shared" si="134"/>
        <v/>
      </c>
    </row>
    <row r="5337" spans="4:4" x14ac:dyDescent="0.3">
      <c r="D5337" t="str">
        <f t="shared" si="134"/>
        <v/>
      </c>
    </row>
    <row r="5338" spans="4:4" x14ac:dyDescent="0.3">
      <c r="D5338" t="str">
        <f t="shared" si="134"/>
        <v/>
      </c>
    </row>
    <row r="5339" spans="4:4" x14ac:dyDescent="0.3">
      <c r="D5339" t="str">
        <f t="shared" si="134"/>
        <v/>
      </c>
    </row>
    <row r="5340" spans="4:4" x14ac:dyDescent="0.3">
      <c r="D5340" t="str">
        <f t="shared" si="134"/>
        <v/>
      </c>
    </row>
    <row r="5341" spans="4:4" x14ac:dyDescent="0.3">
      <c r="D5341" t="str">
        <f t="shared" si="134"/>
        <v/>
      </c>
    </row>
    <row r="5342" spans="4:4" x14ac:dyDescent="0.3">
      <c r="D5342" t="str">
        <f t="shared" si="134"/>
        <v/>
      </c>
    </row>
    <row r="5343" spans="4:4" x14ac:dyDescent="0.3">
      <c r="D5343" t="str">
        <f t="shared" si="134"/>
        <v/>
      </c>
    </row>
    <row r="5344" spans="4:4" x14ac:dyDescent="0.3">
      <c r="D5344" t="str">
        <f t="shared" si="134"/>
        <v/>
      </c>
    </row>
    <row r="5345" spans="4:4" x14ac:dyDescent="0.3">
      <c r="D5345" t="str">
        <f t="shared" si="134"/>
        <v/>
      </c>
    </row>
    <row r="5346" spans="4:4" x14ac:dyDescent="0.3">
      <c r="D5346" t="str">
        <f t="shared" si="134"/>
        <v/>
      </c>
    </row>
    <row r="5347" spans="4:4" x14ac:dyDescent="0.3">
      <c r="D5347" t="str">
        <f t="shared" si="134"/>
        <v/>
      </c>
    </row>
    <row r="5348" spans="4:4" x14ac:dyDescent="0.3">
      <c r="D5348" t="str">
        <f t="shared" si="134"/>
        <v/>
      </c>
    </row>
    <row r="5349" spans="4:4" x14ac:dyDescent="0.3">
      <c r="D5349" t="str">
        <f t="shared" si="134"/>
        <v/>
      </c>
    </row>
    <row r="5350" spans="4:4" x14ac:dyDescent="0.3">
      <c r="D5350" t="str">
        <f t="shared" si="134"/>
        <v/>
      </c>
    </row>
    <row r="5351" spans="4:4" x14ac:dyDescent="0.3">
      <c r="D5351" t="str">
        <f t="shared" si="134"/>
        <v/>
      </c>
    </row>
    <row r="5352" spans="4:4" x14ac:dyDescent="0.3">
      <c r="D5352" t="str">
        <f t="shared" si="134"/>
        <v/>
      </c>
    </row>
    <row r="5353" spans="4:4" x14ac:dyDescent="0.3">
      <c r="D5353" t="str">
        <f t="shared" si="134"/>
        <v/>
      </c>
    </row>
    <row r="5354" spans="4:4" x14ac:dyDescent="0.3">
      <c r="D5354" t="str">
        <f t="shared" si="134"/>
        <v/>
      </c>
    </row>
    <row r="5355" spans="4:4" x14ac:dyDescent="0.3">
      <c r="D5355" t="str">
        <f t="shared" si="134"/>
        <v/>
      </c>
    </row>
    <row r="5356" spans="4:4" x14ac:dyDescent="0.3">
      <c r="D5356" t="str">
        <f t="shared" si="134"/>
        <v/>
      </c>
    </row>
    <row r="5357" spans="4:4" x14ac:dyDescent="0.3">
      <c r="D5357" t="str">
        <f t="shared" si="134"/>
        <v/>
      </c>
    </row>
    <row r="5358" spans="4:4" x14ac:dyDescent="0.3">
      <c r="D5358" t="str">
        <f t="shared" si="134"/>
        <v/>
      </c>
    </row>
    <row r="5359" spans="4:4" x14ac:dyDescent="0.3">
      <c r="D5359" t="str">
        <f t="shared" si="134"/>
        <v/>
      </c>
    </row>
    <row r="5360" spans="4:4" x14ac:dyDescent="0.3">
      <c r="D5360" t="str">
        <f t="shared" si="134"/>
        <v/>
      </c>
    </row>
    <row r="5361" spans="4:4" x14ac:dyDescent="0.3">
      <c r="D5361" t="str">
        <f t="shared" si="134"/>
        <v/>
      </c>
    </row>
    <row r="5362" spans="4:4" x14ac:dyDescent="0.3">
      <c r="D5362" t="str">
        <f t="shared" si="134"/>
        <v/>
      </c>
    </row>
    <row r="5363" spans="4:4" x14ac:dyDescent="0.3">
      <c r="D5363" t="str">
        <f t="shared" si="134"/>
        <v/>
      </c>
    </row>
    <row r="5364" spans="4:4" x14ac:dyDescent="0.3">
      <c r="D5364" t="str">
        <f t="shared" si="134"/>
        <v/>
      </c>
    </row>
    <row r="5365" spans="4:4" x14ac:dyDescent="0.3">
      <c r="D5365" t="str">
        <f t="shared" si="134"/>
        <v/>
      </c>
    </row>
    <row r="5366" spans="4:4" x14ac:dyDescent="0.3">
      <c r="D5366" t="str">
        <f t="shared" si="134"/>
        <v/>
      </c>
    </row>
    <row r="5367" spans="4:4" x14ac:dyDescent="0.3">
      <c r="D5367" t="str">
        <f t="shared" si="134"/>
        <v/>
      </c>
    </row>
    <row r="5368" spans="4:4" x14ac:dyDescent="0.3">
      <c r="D5368" t="str">
        <f t="shared" si="134"/>
        <v/>
      </c>
    </row>
    <row r="5369" spans="4:4" x14ac:dyDescent="0.3">
      <c r="D5369" t="str">
        <f t="shared" si="134"/>
        <v/>
      </c>
    </row>
    <row r="5370" spans="4:4" x14ac:dyDescent="0.3">
      <c r="D5370" t="str">
        <f t="shared" si="134"/>
        <v/>
      </c>
    </row>
    <row r="5371" spans="4:4" x14ac:dyDescent="0.3">
      <c r="D5371" t="str">
        <f t="shared" si="134"/>
        <v/>
      </c>
    </row>
    <row r="5372" spans="4:4" x14ac:dyDescent="0.3">
      <c r="D5372" t="str">
        <f t="shared" si="134"/>
        <v/>
      </c>
    </row>
    <row r="5373" spans="4:4" x14ac:dyDescent="0.3">
      <c r="D5373" t="str">
        <f t="shared" si="134"/>
        <v/>
      </c>
    </row>
    <row r="5374" spans="4:4" x14ac:dyDescent="0.3">
      <c r="D5374" t="str">
        <f t="shared" si="134"/>
        <v/>
      </c>
    </row>
    <row r="5375" spans="4:4" x14ac:dyDescent="0.3">
      <c r="D5375" t="str">
        <f t="shared" si="134"/>
        <v/>
      </c>
    </row>
    <row r="5376" spans="4:4" x14ac:dyDescent="0.3">
      <c r="D5376" t="str">
        <f t="shared" si="134"/>
        <v/>
      </c>
    </row>
    <row r="5377" spans="4:4" x14ac:dyDescent="0.3">
      <c r="D5377" t="str">
        <f t="shared" si="134"/>
        <v/>
      </c>
    </row>
    <row r="5378" spans="4:4" x14ac:dyDescent="0.3">
      <c r="D5378" t="str">
        <f t="shared" si="134"/>
        <v/>
      </c>
    </row>
    <row r="5379" spans="4:4" x14ac:dyDescent="0.3">
      <c r="D5379" t="str">
        <f t="shared" si="134"/>
        <v/>
      </c>
    </row>
    <row r="5380" spans="4:4" x14ac:dyDescent="0.3">
      <c r="D5380" t="str">
        <f t="shared" si="134"/>
        <v/>
      </c>
    </row>
    <row r="5381" spans="4:4" x14ac:dyDescent="0.3">
      <c r="D5381" t="str">
        <f t="shared" si="134"/>
        <v/>
      </c>
    </row>
    <row r="5382" spans="4:4" x14ac:dyDescent="0.3">
      <c r="D5382" t="str">
        <f t="shared" si="134"/>
        <v/>
      </c>
    </row>
    <row r="5383" spans="4:4" x14ac:dyDescent="0.3">
      <c r="D5383" t="str">
        <f t="shared" si="134"/>
        <v/>
      </c>
    </row>
    <row r="5384" spans="4:4" x14ac:dyDescent="0.3">
      <c r="D5384" t="str">
        <f t="shared" si="134"/>
        <v/>
      </c>
    </row>
    <row r="5385" spans="4:4" x14ac:dyDescent="0.3">
      <c r="D5385" t="str">
        <f t="shared" ref="D5385:D5448" si="135">IF(LEFT(A5385,2)="SP",MID(A5385,4,4),IF(LEFT(A5385,1)="X",MID(A5385,3,4),""))</f>
        <v/>
      </c>
    </row>
    <row r="5386" spans="4:4" x14ac:dyDescent="0.3">
      <c r="D5386" t="str">
        <f t="shared" si="135"/>
        <v/>
      </c>
    </row>
    <row r="5387" spans="4:4" x14ac:dyDescent="0.3">
      <c r="D5387" t="str">
        <f t="shared" si="135"/>
        <v/>
      </c>
    </row>
    <row r="5388" spans="4:4" x14ac:dyDescent="0.3">
      <c r="D5388" t="str">
        <f t="shared" si="135"/>
        <v/>
      </c>
    </row>
    <row r="5389" spans="4:4" x14ac:dyDescent="0.3">
      <c r="D5389" t="str">
        <f t="shared" si="135"/>
        <v/>
      </c>
    </row>
    <row r="5390" spans="4:4" x14ac:dyDescent="0.3">
      <c r="D5390" t="str">
        <f t="shared" si="135"/>
        <v/>
      </c>
    </row>
    <row r="5391" spans="4:4" x14ac:dyDescent="0.3">
      <c r="D5391" t="str">
        <f t="shared" si="135"/>
        <v/>
      </c>
    </row>
    <row r="5392" spans="4:4" x14ac:dyDescent="0.3">
      <c r="D5392" t="str">
        <f t="shared" si="135"/>
        <v/>
      </c>
    </row>
    <row r="5393" spans="4:4" x14ac:dyDescent="0.3">
      <c r="D5393" t="str">
        <f t="shared" si="135"/>
        <v/>
      </c>
    </row>
    <row r="5394" spans="4:4" x14ac:dyDescent="0.3">
      <c r="D5394" t="str">
        <f t="shared" si="135"/>
        <v/>
      </c>
    </row>
    <row r="5395" spans="4:4" x14ac:dyDescent="0.3">
      <c r="D5395" t="str">
        <f t="shared" si="135"/>
        <v/>
      </c>
    </row>
    <row r="5396" spans="4:4" x14ac:dyDescent="0.3">
      <c r="D5396" t="str">
        <f t="shared" si="135"/>
        <v/>
      </c>
    </row>
    <row r="5397" spans="4:4" x14ac:dyDescent="0.3">
      <c r="D5397" t="str">
        <f t="shared" si="135"/>
        <v/>
      </c>
    </row>
    <row r="5398" spans="4:4" x14ac:dyDescent="0.3">
      <c r="D5398" t="str">
        <f t="shared" si="135"/>
        <v/>
      </c>
    </row>
    <row r="5399" spans="4:4" x14ac:dyDescent="0.3">
      <c r="D5399" t="str">
        <f t="shared" si="135"/>
        <v/>
      </c>
    </row>
    <row r="5400" spans="4:4" x14ac:dyDescent="0.3">
      <c r="D5400" t="str">
        <f t="shared" si="135"/>
        <v/>
      </c>
    </row>
    <row r="5401" spans="4:4" x14ac:dyDescent="0.3">
      <c r="D5401" t="str">
        <f t="shared" si="135"/>
        <v/>
      </c>
    </row>
    <row r="5402" spans="4:4" x14ac:dyDescent="0.3">
      <c r="D5402" t="str">
        <f t="shared" si="135"/>
        <v/>
      </c>
    </row>
    <row r="5403" spans="4:4" x14ac:dyDescent="0.3">
      <c r="D5403" t="str">
        <f t="shared" si="135"/>
        <v/>
      </c>
    </row>
    <row r="5404" spans="4:4" x14ac:dyDescent="0.3">
      <c r="D5404" t="str">
        <f t="shared" si="135"/>
        <v/>
      </c>
    </row>
    <row r="5405" spans="4:4" x14ac:dyDescent="0.3">
      <c r="D5405" t="str">
        <f t="shared" si="135"/>
        <v/>
      </c>
    </row>
    <row r="5406" spans="4:4" x14ac:dyDescent="0.3">
      <c r="D5406" t="str">
        <f t="shared" si="135"/>
        <v/>
      </c>
    </row>
    <row r="5407" spans="4:4" x14ac:dyDescent="0.3">
      <c r="D5407" t="str">
        <f t="shared" si="135"/>
        <v/>
      </c>
    </row>
    <row r="5408" spans="4:4" x14ac:dyDescent="0.3">
      <c r="D5408" t="str">
        <f t="shared" si="135"/>
        <v/>
      </c>
    </row>
    <row r="5409" spans="4:4" x14ac:dyDescent="0.3">
      <c r="D5409" t="str">
        <f t="shared" si="135"/>
        <v/>
      </c>
    </row>
    <row r="5410" spans="4:4" x14ac:dyDescent="0.3">
      <c r="D5410" t="str">
        <f t="shared" si="135"/>
        <v/>
      </c>
    </row>
    <row r="5411" spans="4:4" x14ac:dyDescent="0.3">
      <c r="D5411" t="str">
        <f t="shared" si="135"/>
        <v/>
      </c>
    </row>
    <row r="5412" spans="4:4" x14ac:dyDescent="0.3">
      <c r="D5412" t="str">
        <f t="shared" si="135"/>
        <v/>
      </c>
    </row>
    <row r="5413" spans="4:4" x14ac:dyDescent="0.3">
      <c r="D5413" t="str">
        <f t="shared" si="135"/>
        <v/>
      </c>
    </row>
    <row r="5414" spans="4:4" x14ac:dyDescent="0.3">
      <c r="D5414" t="str">
        <f t="shared" si="135"/>
        <v/>
      </c>
    </row>
    <row r="5415" spans="4:4" x14ac:dyDescent="0.3">
      <c r="D5415" t="str">
        <f t="shared" si="135"/>
        <v/>
      </c>
    </row>
    <row r="5416" spans="4:4" x14ac:dyDescent="0.3">
      <c r="D5416" t="str">
        <f t="shared" si="135"/>
        <v/>
      </c>
    </row>
    <row r="5417" spans="4:4" x14ac:dyDescent="0.3">
      <c r="D5417" t="str">
        <f t="shared" si="135"/>
        <v/>
      </c>
    </row>
    <row r="5418" spans="4:4" x14ac:dyDescent="0.3">
      <c r="D5418" t="str">
        <f t="shared" si="135"/>
        <v/>
      </c>
    </row>
    <row r="5419" spans="4:4" x14ac:dyDescent="0.3">
      <c r="D5419" t="str">
        <f t="shared" si="135"/>
        <v/>
      </c>
    </row>
    <row r="5420" spans="4:4" x14ac:dyDescent="0.3">
      <c r="D5420" t="str">
        <f t="shared" si="135"/>
        <v/>
      </c>
    </row>
    <row r="5421" spans="4:4" x14ac:dyDescent="0.3">
      <c r="D5421" t="str">
        <f t="shared" si="135"/>
        <v/>
      </c>
    </row>
    <row r="5422" spans="4:4" x14ac:dyDescent="0.3">
      <c r="D5422" t="str">
        <f t="shared" si="135"/>
        <v/>
      </c>
    </row>
    <row r="5423" spans="4:4" x14ac:dyDescent="0.3">
      <c r="D5423" t="str">
        <f t="shared" si="135"/>
        <v/>
      </c>
    </row>
    <row r="5424" spans="4:4" x14ac:dyDescent="0.3">
      <c r="D5424" t="str">
        <f t="shared" si="135"/>
        <v/>
      </c>
    </row>
    <row r="5425" spans="4:4" x14ac:dyDescent="0.3">
      <c r="D5425" t="str">
        <f t="shared" si="135"/>
        <v/>
      </c>
    </row>
    <row r="5426" spans="4:4" x14ac:dyDescent="0.3">
      <c r="D5426" t="str">
        <f t="shared" si="135"/>
        <v/>
      </c>
    </row>
    <row r="5427" spans="4:4" x14ac:dyDescent="0.3">
      <c r="D5427" t="str">
        <f t="shared" si="135"/>
        <v/>
      </c>
    </row>
    <row r="5428" spans="4:4" x14ac:dyDescent="0.3">
      <c r="D5428" t="str">
        <f t="shared" si="135"/>
        <v/>
      </c>
    </row>
    <row r="5429" spans="4:4" x14ac:dyDescent="0.3">
      <c r="D5429" t="str">
        <f t="shared" si="135"/>
        <v/>
      </c>
    </row>
    <row r="5430" spans="4:4" x14ac:dyDescent="0.3">
      <c r="D5430" t="str">
        <f t="shared" si="135"/>
        <v/>
      </c>
    </row>
    <row r="5431" spans="4:4" x14ac:dyDescent="0.3">
      <c r="D5431" t="str">
        <f t="shared" si="135"/>
        <v/>
      </c>
    </row>
    <row r="5432" spans="4:4" x14ac:dyDescent="0.3">
      <c r="D5432" t="str">
        <f t="shared" si="135"/>
        <v/>
      </c>
    </row>
    <row r="5433" spans="4:4" x14ac:dyDescent="0.3">
      <c r="D5433" t="str">
        <f t="shared" si="135"/>
        <v/>
      </c>
    </row>
    <row r="5434" spans="4:4" x14ac:dyDescent="0.3">
      <c r="D5434" t="str">
        <f t="shared" si="135"/>
        <v/>
      </c>
    </row>
    <row r="5435" spans="4:4" x14ac:dyDescent="0.3">
      <c r="D5435" t="str">
        <f t="shared" si="135"/>
        <v/>
      </c>
    </row>
    <row r="5436" spans="4:4" x14ac:dyDescent="0.3">
      <c r="D5436" t="str">
        <f t="shared" si="135"/>
        <v/>
      </c>
    </row>
    <row r="5437" spans="4:4" x14ac:dyDescent="0.3">
      <c r="D5437" t="str">
        <f t="shared" si="135"/>
        <v/>
      </c>
    </row>
    <row r="5438" spans="4:4" x14ac:dyDescent="0.3">
      <c r="D5438" t="str">
        <f t="shared" si="135"/>
        <v/>
      </c>
    </row>
    <row r="5439" spans="4:4" x14ac:dyDescent="0.3">
      <c r="D5439" t="str">
        <f t="shared" si="135"/>
        <v/>
      </c>
    </row>
    <row r="5440" spans="4:4" x14ac:dyDescent="0.3">
      <c r="D5440" t="str">
        <f t="shared" si="135"/>
        <v/>
      </c>
    </row>
    <row r="5441" spans="4:4" x14ac:dyDescent="0.3">
      <c r="D5441" t="str">
        <f t="shared" si="135"/>
        <v/>
      </c>
    </row>
    <row r="5442" spans="4:4" x14ac:dyDescent="0.3">
      <c r="D5442" t="str">
        <f t="shared" si="135"/>
        <v/>
      </c>
    </row>
    <row r="5443" spans="4:4" x14ac:dyDescent="0.3">
      <c r="D5443" t="str">
        <f t="shared" si="135"/>
        <v/>
      </c>
    </row>
    <row r="5444" spans="4:4" x14ac:dyDescent="0.3">
      <c r="D5444" t="str">
        <f t="shared" si="135"/>
        <v/>
      </c>
    </row>
    <row r="5445" spans="4:4" x14ac:dyDescent="0.3">
      <c r="D5445" t="str">
        <f t="shared" si="135"/>
        <v/>
      </c>
    </row>
    <row r="5446" spans="4:4" x14ac:dyDescent="0.3">
      <c r="D5446" t="str">
        <f t="shared" si="135"/>
        <v/>
      </c>
    </row>
    <row r="5447" spans="4:4" x14ac:dyDescent="0.3">
      <c r="D5447" t="str">
        <f t="shared" si="135"/>
        <v/>
      </c>
    </row>
    <row r="5448" spans="4:4" x14ac:dyDescent="0.3">
      <c r="D5448" t="str">
        <f t="shared" si="135"/>
        <v/>
      </c>
    </row>
    <row r="5449" spans="4:4" x14ac:dyDescent="0.3">
      <c r="D5449" t="str">
        <f t="shared" ref="D5449:D5512" si="136">IF(LEFT(A5449,2)="SP",MID(A5449,4,4),IF(LEFT(A5449,1)="X",MID(A5449,3,4),""))</f>
        <v/>
      </c>
    </row>
    <row r="5450" spans="4:4" x14ac:dyDescent="0.3">
      <c r="D5450" t="str">
        <f t="shared" si="136"/>
        <v/>
      </c>
    </row>
    <row r="5451" spans="4:4" x14ac:dyDescent="0.3">
      <c r="D5451" t="str">
        <f t="shared" si="136"/>
        <v/>
      </c>
    </row>
    <row r="5452" spans="4:4" x14ac:dyDescent="0.3">
      <c r="D5452" t="str">
        <f t="shared" si="136"/>
        <v/>
      </c>
    </row>
    <row r="5453" spans="4:4" x14ac:dyDescent="0.3">
      <c r="D5453" t="str">
        <f t="shared" si="136"/>
        <v/>
      </c>
    </row>
    <row r="5454" spans="4:4" x14ac:dyDescent="0.3">
      <c r="D5454" t="str">
        <f t="shared" si="136"/>
        <v/>
      </c>
    </row>
    <row r="5455" spans="4:4" x14ac:dyDescent="0.3">
      <c r="D5455" t="str">
        <f t="shared" si="136"/>
        <v/>
      </c>
    </row>
    <row r="5456" spans="4:4" x14ac:dyDescent="0.3">
      <c r="D5456" t="str">
        <f t="shared" si="136"/>
        <v/>
      </c>
    </row>
    <row r="5457" spans="4:4" x14ac:dyDescent="0.3">
      <c r="D5457" t="str">
        <f t="shared" si="136"/>
        <v/>
      </c>
    </row>
    <row r="5458" spans="4:4" x14ac:dyDescent="0.3">
      <c r="D5458" t="str">
        <f t="shared" si="136"/>
        <v/>
      </c>
    </row>
    <row r="5459" spans="4:4" x14ac:dyDescent="0.3">
      <c r="D5459" t="str">
        <f t="shared" si="136"/>
        <v/>
      </c>
    </row>
    <row r="5460" spans="4:4" x14ac:dyDescent="0.3">
      <c r="D5460" t="str">
        <f t="shared" si="136"/>
        <v/>
      </c>
    </row>
    <row r="5461" spans="4:4" x14ac:dyDescent="0.3">
      <c r="D5461" t="str">
        <f t="shared" si="136"/>
        <v/>
      </c>
    </row>
    <row r="5462" spans="4:4" x14ac:dyDescent="0.3">
      <c r="D5462" t="str">
        <f t="shared" si="136"/>
        <v/>
      </c>
    </row>
    <row r="5463" spans="4:4" x14ac:dyDescent="0.3">
      <c r="D5463" t="str">
        <f t="shared" si="136"/>
        <v/>
      </c>
    </row>
    <row r="5464" spans="4:4" x14ac:dyDescent="0.3">
      <c r="D5464" t="str">
        <f t="shared" si="136"/>
        <v/>
      </c>
    </row>
    <row r="5465" spans="4:4" x14ac:dyDescent="0.3">
      <c r="D5465" t="str">
        <f t="shared" si="136"/>
        <v/>
      </c>
    </row>
    <row r="5466" spans="4:4" x14ac:dyDescent="0.3">
      <c r="D5466" t="str">
        <f t="shared" si="136"/>
        <v/>
      </c>
    </row>
    <row r="5467" spans="4:4" x14ac:dyDescent="0.3">
      <c r="D5467" t="str">
        <f t="shared" si="136"/>
        <v/>
      </c>
    </row>
    <row r="5468" spans="4:4" x14ac:dyDescent="0.3">
      <c r="D5468" t="str">
        <f t="shared" si="136"/>
        <v/>
      </c>
    </row>
    <row r="5469" spans="4:4" x14ac:dyDescent="0.3">
      <c r="D5469" t="str">
        <f t="shared" si="136"/>
        <v/>
      </c>
    </row>
    <row r="5470" spans="4:4" x14ac:dyDescent="0.3">
      <c r="D5470" t="str">
        <f t="shared" si="136"/>
        <v/>
      </c>
    </row>
    <row r="5471" spans="4:4" x14ac:dyDescent="0.3">
      <c r="D5471" t="str">
        <f t="shared" si="136"/>
        <v/>
      </c>
    </row>
    <row r="5472" spans="4:4" x14ac:dyDescent="0.3">
      <c r="D5472" t="str">
        <f t="shared" si="136"/>
        <v/>
      </c>
    </row>
    <row r="5473" spans="4:4" x14ac:dyDescent="0.3">
      <c r="D5473" t="str">
        <f t="shared" si="136"/>
        <v/>
      </c>
    </row>
    <row r="5474" spans="4:4" x14ac:dyDescent="0.3">
      <c r="D5474" t="str">
        <f t="shared" si="136"/>
        <v/>
      </c>
    </row>
    <row r="5475" spans="4:4" x14ac:dyDescent="0.3">
      <c r="D5475" t="str">
        <f t="shared" si="136"/>
        <v/>
      </c>
    </row>
    <row r="5476" spans="4:4" x14ac:dyDescent="0.3">
      <c r="D5476" t="str">
        <f t="shared" si="136"/>
        <v/>
      </c>
    </row>
    <row r="5477" spans="4:4" x14ac:dyDescent="0.3">
      <c r="D5477" t="str">
        <f t="shared" si="136"/>
        <v/>
      </c>
    </row>
    <row r="5478" spans="4:4" x14ac:dyDescent="0.3">
      <c r="D5478" t="str">
        <f t="shared" si="136"/>
        <v/>
      </c>
    </row>
    <row r="5479" spans="4:4" x14ac:dyDescent="0.3">
      <c r="D5479" t="str">
        <f t="shared" si="136"/>
        <v/>
      </c>
    </row>
    <row r="5480" spans="4:4" x14ac:dyDescent="0.3">
      <c r="D5480" t="str">
        <f t="shared" si="136"/>
        <v/>
      </c>
    </row>
    <row r="5481" spans="4:4" x14ac:dyDescent="0.3">
      <c r="D5481" t="str">
        <f t="shared" si="136"/>
        <v/>
      </c>
    </row>
    <row r="5482" spans="4:4" x14ac:dyDescent="0.3">
      <c r="D5482" t="str">
        <f t="shared" si="136"/>
        <v/>
      </c>
    </row>
    <row r="5483" spans="4:4" x14ac:dyDescent="0.3">
      <c r="D5483" t="str">
        <f t="shared" si="136"/>
        <v/>
      </c>
    </row>
    <row r="5484" spans="4:4" x14ac:dyDescent="0.3">
      <c r="D5484" t="str">
        <f t="shared" si="136"/>
        <v/>
      </c>
    </row>
    <row r="5485" spans="4:4" x14ac:dyDescent="0.3">
      <c r="D5485" t="str">
        <f t="shared" si="136"/>
        <v/>
      </c>
    </row>
    <row r="5486" spans="4:4" x14ac:dyDescent="0.3">
      <c r="D5486" t="str">
        <f t="shared" si="136"/>
        <v/>
      </c>
    </row>
    <row r="5487" spans="4:4" x14ac:dyDescent="0.3">
      <c r="D5487" t="str">
        <f t="shared" si="136"/>
        <v/>
      </c>
    </row>
    <row r="5488" spans="4:4" x14ac:dyDescent="0.3">
      <c r="D5488" t="str">
        <f t="shared" si="136"/>
        <v/>
      </c>
    </row>
    <row r="5489" spans="4:4" x14ac:dyDescent="0.3">
      <c r="D5489" t="str">
        <f t="shared" si="136"/>
        <v/>
      </c>
    </row>
    <row r="5490" spans="4:4" x14ac:dyDescent="0.3">
      <c r="D5490" t="str">
        <f t="shared" si="136"/>
        <v/>
      </c>
    </row>
    <row r="5491" spans="4:4" x14ac:dyDescent="0.3">
      <c r="D5491" t="str">
        <f t="shared" si="136"/>
        <v/>
      </c>
    </row>
    <row r="5492" spans="4:4" x14ac:dyDescent="0.3">
      <c r="D5492" t="str">
        <f t="shared" si="136"/>
        <v/>
      </c>
    </row>
    <row r="5493" spans="4:4" x14ac:dyDescent="0.3">
      <c r="D5493" t="str">
        <f t="shared" si="136"/>
        <v/>
      </c>
    </row>
    <row r="5494" spans="4:4" x14ac:dyDescent="0.3">
      <c r="D5494" t="str">
        <f t="shared" si="136"/>
        <v/>
      </c>
    </row>
    <row r="5495" spans="4:4" x14ac:dyDescent="0.3">
      <c r="D5495" t="str">
        <f t="shared" si="136"/>
        <v/>
      </c>
    </row>
    <row r="5496" spans="4:4" x14ac:dyDescent="0.3">
      <c r="D5496" t="str">
        <f t="shared" si="136"/>
        <v/>
      </c>
    </row>
    <row r="5497" spans="4:4" x14ac:dyDescent="0.3">
      <c r="D5497" t="str">
        <f t="shared" si="136"/>
        <v/>
      </c>
    </row>
    <row r="5498" spans="4:4" x14ac:dyDescent="0.3">
      <c r="D5498" t="str">
        <f t="shared" si="136"/>
        <v/>
      </c>
    </row>
    <row r="5499" spans="4:4" x14ac:dyDescent="0.3">
      <c r="D5499" t="str">
        <f t="shared" si="136"/>
        <v/>
      </c>
    </row>
    <row r="5500" spans="4:4" x14ac:dyDescent="0.3">
      <c r="D5500" t="str">
        <f t="shared" si="136"/>
        <v/>
      </c>
    </row>
    <row r="5501" spans="4:4" x14ac:dyDescent="0.3">
      <c r="D5501" t="str">
        <f t="shared" si="136"/>
        <v/>
      </c>
    </row>
    <row r="5502" spans="4:4" x14ac:dyDescent="0.3">
      <c r="D5502" t="str">
        <f t="shared" si="136"/>
        <v/>
      </c>
    </row>
    <row r="5503" spans="4:4" x14ac:dyDescent="0.3">
      <c r="D5503" t="str">
        <f t="shared" si="136"/>
        <v/>
      </c>
    </row>
    <row r="5504" spans="4:4" x14ac:dyDescent="0.3">
      <c r="D5504" t="str">
        <f t="shared" si="136"/>
        <v/>
      </c>
    </row>
    <row r="5505" spans="4:4" x14ac:dyDescent="0.3">
      <c r="D5505" t="str">
        <f t="shared" si="136"/>
        <v/>
      </c>
    </row>
    <row r="5506" spans="4:4" x14ac:dyDescent="0.3">
      <c r="D5506" t="str">
        <f t="shared" si="136"/>
        <v/>
      </c>
    </row>
    <row r="5507" spans="4:4" x14ac:dyDescent="0.3">
      <c r="D5507" t="str">
        <f t="shared" si="136"/>
        <v/>
      </c>
    </row>
    <row r="5508" spans="4:4" x14ac:dyDescent="0.3">
      <c r="D5508" t="str">
        <f t="shared" si="136"/>
        <v/>
      </c>
    </row>
    <row r="5509" spans="4:4" x14ac:dyDescent="0.3">
      <c r="D5509" t="str">
        <f t="shared" si="136"/>
        <v/>
      </c>
    </row>
    <row r="5510" spans="4:4" x14ac:dyDescent="0.3">
      <c r="D5510" t="str">
        <f t="shared" si="136"/>
        <v/>
      </c>
    </row>
    <row r="5511" spans="4:4" x14ac:dyDescent="0.3">
      <c r="D5511" t="str">
        <f t="shared" si="136"/>
        <v/>
      </c>
    </row>
    <row r="5512" spans="4:4" x14ac:dyDescent="0.3">
      <c r="D5512" t="str">
        <f t="shared" si="136"/>
        <v/>
      </c>
    </row>
    <row r="5513" spans="4:4" x14ac:dyDescent="0.3">
      <c r="D5513" t="str">
        <f t="shared" ref="D5513:D5576" si="137">IF(LEFT(A5513,2)="SP",MID(A5513,4,4),IF(LEFT(A5513,1)="X",MID(A5513,3,4),""))</f>
        <v/>
      </c>
    </row>
    <row r="5514" spans="4:4" x14ac:dyDescent="0.3">
      <c r="D5514" t="str">
        <f t="shared" si="137"/>
        <v/>
      </c>
    </row>
    <row r="5515" spans="4:4" x14ac:dyDescent="0.3">
      <c r="D5515" t="str">
        <f t="shared" si="137"/>
        <v/>
      </c>
    </row>
    <row r="5516" spans="4:4" x14ac:dyDescent="0.3">
      <c r="D5516" t="str">
        <f t="shared" si="137"/>
        <v/>
      </c>
    </row>
    <row r="5517" spans="4:4" x14ac:dyDescent="0.3">
      <c r="D5517" t="str">
        <f t="shared" si="137"/>
        <v/>
      </c>
    </row>
    <row r="5518" spans="4:4" x14ac:dyDescent="0.3">
      <c r="D5518" t="str">
        <f t="shared" si="137"/>
        <v/>
      </c>
    </row>
    <row r="5519" spans="4:4" x14ac:dyDescent="0.3">
      <c r="D5519" t="str">
        <f t="shared" si="137"/>
        <v/>
      </c>
    </row>
    <row r="5520" spans="4:4" x14ac:dyDescent="0.3">
      <c r="D5520" t="str">
        <f t="shared" si="137"/>
        <v/>
      </c>
    </row>
    <row r="5521" spans="4:4" x14ac:dyDescent="0.3">
      <c r="D5521" t="str">
        <f t="shared" si="137"/>
        <v/>
      </c>
    </row>
    <row r="5522" spans="4:4" x14ac:dyDescent="0.3">
      <c r="D5522" t="str">
        <f t="shared" si="137"/>
        <v/>
      </c>
    </row>
    <row r="5523" spans="4:4" x14ac:dyDescent="0.3">
      <c r="D5523" t="str">
        <f t="shared" si="137"/>
        <v/>
      </c>
    </row>
    <row r="5524" spans="4:4" x14ac:dyDescent="0.3">
      <c r="D5524" t="str">
        <f t="shared" si="137"/>
        <v/>
      </c>
    </row>
    <row r="5525" spans="4:4" x14ac:dyDescent="0.3">
      <c r="D5525" t="str">
        <f t="shared" si="137"/>
        <v/>
      </c>
    </row>
    <row r="5526" spans="4:4" x14ac:dyDescent="0.3">
      <c r="D5526" t="str">
        <f t="shared" si="137"/>
        <v/>
      </c>
    </row>
    <row r="5527" spans="4:4" x14ac:dyDescent="0.3">
      <c r="D5527" t="str">
        <f t="shared" si="137"/>
        <v/>
      </c>
    </row>
    <row r="5528" spans="4:4" x14ac:dyDescent="0.3">
      <c r="D5528" t="str">
        <f t="shared" si="137"/>
        <v/>
      </c>
    </row>
    <row r="5529" spans="4:4" x14ac:dyDescent="0.3">
      <c r="D5529" t="str">
        <f t="shared" si="137"/>
        <v/>
      </c>
    </row>
    <row r="5530" spans="4:4" x14ac:dyDescent="0.3">
      <c r="D5530" t="str">
        <f t="shared" si="137"/>
        <v/>
      </c>
    </row>
    <row r="5531" spans="4:4" x14ac:dyDescent="0.3">
      <c r="D5531" t="str">
        <f t="shared" si="137"/>
        <v/>
      </c>
    </row>
    <row r="5532" spans="4:4" x14ac:dyDescent="0.3">
      <c r="D5532" t="str">
        <f t="shared" si="137"/>
        <v/>
      </c>
    </row>
    <row r="5533" spans="4:4" x14ac:dyDescent="0.3">
      <c r="D5533" t="str">
        <f t="shared" si="137"/>
        <v/>
      </c>
    </row>
    <row r="5534" spans="4:4" x14ac:dyDescent="0.3">
      <c r="D5534" t="str">
        <f t="shared" si="137"/>
        <v/>
      </c>
    </row>
    <row r="5535" spans="4:4" x14ac:dyDescent="0.3">
      <c r="D5535" t="str">
        <f t="shared" si="137"/>
        <v/>
      </c>
    </row>
    <row r="5536" spans="4:4" x14ac:dyDescent="0.3">
      <c r="D5536" t="str">
        <f t="shared" si="137"/>
        <v/>
      </c>
    </row>
    <row r="5537" spans="4:4" x14ac:dyDescent="0.3">
      <c r="D5537" t="str">
        <f t="shared" si="137"/>
        <v/>
      </c>
    </row>
    <row r="5538" spans="4:4" x14ac:dyDescent="0.3">
      <c r="D5538" t="str">
        <f t="shared" si="137"/>
        <v/>
      </c>
    </row>
    <row r="5539" spans="4:4" x14ac:dyDescent="0.3">
      <c r="D5539" t="str">
        <f t="shared" si="137"/>
        <v/>
      </c>
    </row>
    <row r="5540" spans="4:4" x14ac:dyDescent="0.3">
      <c r="D5540" t="str">
        <f t="shared" si="137"/>
        <v/>
      </c>
    </row>
    <row r="5541" spans="4:4" x14ac:dyDescent="0.3">
      <c r="D5541" t="str">
        <f t="shared" si="137"/>
        <v/>
      </c>
    </row>
    <row r="5542" spans="4:4" x14ac:dyDescent="0.3">
      <c r="D5542" t="str">
        <f t="shared" si="137"/>
        <v/>
      </c>
    </row>
    <row r="5543" spans="4:4" x14ac:dyDescent="0.3">
      <c r="D5543" t="str">
        <f t="shared" si="137"/>
        <v/>
      </c>
    </row>
    <row r="5544" spans="4:4" x14ac:dyDescent="0.3">
      <c r="D5544" t="str">
        <f t="shared" si="137"/>
        <v/>
      </c>
    </row>
    <row r="5545" spans="4:4" x14ac:dyDescent="0.3">
      <c r="D5545" t="str">
        <f t="shared" si="137"/>
        <v/>
      </c>
    </row>
    <row r="5546" spans="4:4" x14ac:dyDescent="0.3">
      <c r="D5546" t="str">
        <f t="shared" si="137"/>
        <v/>
      </c>
    </row>
    <row r="5547" spans="4:4" x14ac:dyDescent="0.3">
      <c r="D5547" t="str">
        <f t="shared" si="137"/>
        <v/>
      </c>
    </row>
    <row r="5548" spans="4:4" x14ac:dyDescent="0.3">
      <c r="D5548" t="str">
        <f t="shared" si="137"/>
        <v/>
      </c>
    </row>
    <row r="5549" spans="4:4" x14ac:dyDescent="0.3">
      <c r="D5549" t="str">
        <f t="shared" si="137"/>
        <v/>
      </c>
    </row>
    <row r="5550" spans="4:4" x14ac:dyDescent="0.3">
      <c r="D5550" t="str">
        <f t="shared" si="137"/>
        <v/>
      </c>
    </row>
    <row r="5551" spans="4:4" x14ac:dyDescent="0.3">
      <c r="D5551" t="str">
        <f t="shared" si="137"/>
        <v/>
      </c>
    </row>
    <row r="5552" spans="4:4" x14ac:dyDescent="0.3">
      <c r="D5552" t="str">
        <f t="shared" si="137"/>
        <v/>
      </c>
    </row>
    <row r="5553" spans="4:4" x14ac:dyDescent="0.3">
      <c r="D5553" t="str">
        <f t="shared" si="137"/>
        <v/>
      </c>
    </row>
    <row r="5554" spans="4:4" x14ac:dyDescent="0.3">
      <c r="D5554" t="str">
        <f t="shared" si="137"/>
        <v/>
      </c>
    </row>
    <row r="5555" spans="4:4" x14ac:dyDescent="0.3">
      <c r="D5555" t="str">
        <f t="shared" si="137"/>
        <v/>
      </c>
    </row>
    <row r="5556" spans="4:4" x14ac:dyDescent="0.3">
      <c r="D5556" t="str">
        <f t="shared" si="137"/>
        <v/>
      </c>
    </row>
    <row r="5557" spans="4:4" x14ac:dyDescent="0.3">
      <c r="D5557" t="str">
        <f t="shared" si="137"/>
        <v/>
      </c>
    </row>
    <row r="5558" spans="4:4" x14ac:dyDescent="0.3">
      <c r="D5558" t="str">
        <f t="shared" si="137"/>
        <v/>
      </c>
    </row>
    <row r="5559" spans="4:4" x14ac:dyDescent="0.3">
      <c r="D5559" t="str">
        <f t="shared" si="137"/>
        <v/>
      </c>
    </row>
    <row r="5560" spans="4:4" x14ac:dyDescent="0.3">
      <c r="D5560" t="str">
        <f t="shared" si="137"/>
        <v/>
      </c>
    </row>
    <row r="5561" spans="4:4" x14ac:dyDescent="0.3">
      <c r="D5561" t="str">
        <f t="shared" si="137"/>
        <v/>
      </c>
    </row>
    <row r="5562" spans="4:4" x14ac:dyDescent="0.3">
      <c r="D5562" t="str">
        <f t="shared" si="137"/>
        <v/>
      </c>
    </row>
    <row r="5563" spans="4:4" x14ac:dyDescent="0.3">
      <c r="D5563" t="str">
        <f t="shared" si="137"/>
        <v/>
      </c>
    </row>
    <row r="5564" spans="4:4" x14ac:dyDescent="0.3">
      <c r="D5564" t="str">
        <f t="shared" si="137"/>
        <v/>
      </c>
    </row>
    <row r="5565" spans="4:4" x14ac:dyDescent="0.3">
      <c r="D5565" t="str">
        <f t="shared" si="137"/>
        <v/>
      </c>
    </row>
    <row r="5566" spans="4:4" x14ac:dyDescent="0.3">
      <c r="D5566" t="str">
        <f t="shared" si="137"/>
        <v/>
      </c>
    </row>
    <row r="5567" spans="4:4" x14ac:dyDescent="0.3">
      <c r="D5567" t="str">
        <f t="shared" si="137"/>
        <v/>
      </c>
    </row>
    <row r="5568" spans="4:4" x14ac:dyDescent="0.3">
      <c r="D5568" t="str">
        <f t="shared" si="137"/>
        <v/>
      </c>
    </row>
    <row r="5569" spans="4:4" x14ac:dyDescent="0.3">
      <c r="D5569" t="str">
        <f t="shared" si="137"/>
        <v/>
      </c>
    </row>
    <row r="5570" spans="4:4" x14ac:dyDescent="0.3">
      <c r="D5570" t="str">
        <f t="shared" si="137"/>
        <v/>
      </c>
    </row>
    <row r="5571" spans="4:4" x14ac:dyDescent="0.3">
      <c r="D5571" t="str">
        <f t="shared" si="137"/>
        <v/>
      </c>
    </row>
    <row r="5572" spans="4:4" x14ac:dyDescent="0.3">
      <c r="D5572" t="str">
        <f t="shared" si="137"/>
        <v/>
      </c>
    </row>
    <row r="5573" spans="4:4" x14ac:dyDescent="0.3">
      <c r="D5573" t="str">
        <f t="shared" si="137"/>
        <v/>
      </c>
    </row>
    <row r="5574" spans="4:4" x14ac:dyDescent="0.3">
      <c r="D5574" t="str">
        <f t="shared" si="137"/>
        <v/>
      </c>
    </row>
    <row r="5575" spans="4:4" x14ac:dyDescent="0.3">
      <c r="D5575" t="str">
        <f t="shared" si="137"/>
        <v/>
      </c>
    </row>
    <row r="5576" spans="4:4" x14ac:dyDescent="0.3">
      <c r="D5576" t="str">
        <f t="shared" si="137"/>
        <v/>
      </c>
    </row>
    <row r="5577" spans="4:4" x14ac:dyDescent="0.3">
      <c r="D5577" t="str">
        <f t="shared" ref="D5577:D5640" si="138">IF(LEFT(A5577,2)="SP",MID(A5577,4,4),IF(LEFT(A5577,1)="X",MID(A5577,3,4),""))</f>
        <v/>
      </c>
    </row>
    <row r="5578" spans="4:4" x14ac:dyDescent="0.3">
      <c r="D5578" t="str">
        <f t="shared" si="138"/>
        <v/>
      </c>
    </row>
    <row r="5579" spans="4:4" x14ac:dyDescent="0.3">
      <c r="D5579" t="str">
        <f t="shared" si="138"/>
        <v/>
      </c>
    </row>
    <row r="5580" spans="4:4" x14ac:dyDescent="0.3">
      <c r="D5580" t="str">
        <f t="shared" si="138"/>
        <v/>
      </c>
    </row>
    <row r="5581" spans="4:4" x14ac:dyDescent="0.3">
      <c r="D5581" t="str">
        <f t="shared" si="138"/>
        <v/>
      </c>
    </row>
    <row r="5582" spans="4:4" x14ac:dyDescent="0.3">
      <c r="D5582" t="str">
        <f t="shared" si="138"/>
        <v/>
      </c>
    </row>
    <row r="5583" spans="4:4" x14ac:dyDescent="0.3">
      <c r="D5583" t="str">
        <f t="shared" si="138"/>
        <v/>
      </c>
    </row>
    <row r="5584" spans="4:4" x14ac:dyDescent="0.3">
      <c r="D5584" t="str">
        <f t="shared" si="138"/>
        <v/>
      </c>
    </row>
    <row r="5585" spans="4:4" x14ac:dyDescent="0.3">
      <c r="D5585" t="str">
        <f t="shared" si="138"/>
        <v/>
      </c>
    </row>
    <row r="5586" spans="4:4" x14ac:dyDescent="0.3">
      <c r="D5586" t="str">
        <f t="shared" si="138"/>
        <v/>
      </c>
    </row>
    <row r="5587" spans="4:4" x14ac:dyDescent="0.3">
      <c r="D5587" t="str">
        <f t="shared" si="138"/>
        <v/>
      </c>
    </row>
    <row r="5588" spans="4:4" x14ac:dyDescent="0.3">
      <c r="D5588" t="str">
        <f t="shared" si="138"/>
        <v/>
      </c>
    </row>
    <row r="5589" spans="4:4" x14ac:dyDescent="0.3">
      <c r="D5589" t="str">
        <f t="shared" si="138"/>
        <v/>
      </c>
    </row>
    <row r="5590" spans="4:4" x14ac:dyDescent="0.3">
      <c r="D5590" t="str">
        <f t="shared" si="138"/>
        <v/>
      </c>
    </row>
    <row r="5591" spans="4:4" x14ac:dyDescent="0.3">
      <c r="D5591" t="str">
        <f t="shared" si="138"/>
        <v/>
      </c>
    </row>
    <row r="5592" spans="4:4" x14ac:dyDescent="0.3">
      <c r="D5592" t="str">
        <f t="shared" si="138"/>
        <v/>
      </c>
    </row>
    <row r="5593" spans="4:4" x14ac:dyDescent="0.3">
      <c r="D5593" t="str">
        <f t="shared" si="138"/>
        <v/>
      </c>
    </row>
    <row r="5594" spans="4:4" x14ac:dyDescent="0.3">
      <c r="D5594" t="str">
        <f t="shared" si="138"/>
        <v/>
      </c>
    </row>
    <row r="5595" spans="4:4" x14ac:dyDescent="0.3">
      <c r="D5595" t="str">
        <f t="shared" si="138"/>
        <v/>
      </c>
    </row>
    <row r="5596" spans="4:4" x14ac:dyDescent="0.3">
      <c r="D5596" t="str">
        <f t="shared" si="138"/>
        <v/>
      </c>
    </row>
    <row r="5597" spans="4:4" x14ac:dyDescent="0.3">
      <c r="D5597" t="str">
        <f t="shared" si="138"/>
        <v/>
      </c>
    </row>
    <row r="5598" spans="4:4" x14ac:dyDescent="0.3">
      <c r="D5598" t="str">
        <f t="shared" si="138"/>
        <v/>
      </c>
    </row>
    <row r="5599" spans="4:4" x14ac:dyDescent="0.3">
      <c r="D5599" t="str">
        <f t="shared" si="138"/>
        <v/>
      </c>
    </row>
    <row r="5600" spans="4:4" x14ac:dyDescent="0.3">
      <c r="D5600" t="str">
        <f t="shared" si="138"/>
        <v/>
      </c>
    </row>
    <row r="5601" spans="4:4" x14ac:dyDescent="0.3">
      <c r="D5601" t="str">
        <f t="shared" si="138"/>
        <v/>
      </c>
    </row>
    <row r="5602" spans="4:4" x14ac:dyDescent="0.3">
      <c r="D5602" t="str">
        <f t="shared" si="138"/>
        <v/>
      </c>
    </row>
    <row r="5603" spans="4:4" x14ac:dyDescent="0.3">
      <c r="D5603" t="str">
        <f t="shared" si="138"/>
        <v/>
      </c>
    </row>
    <row r="5604" spans="4:4" x14ac:dyDescent="0.3">
      <c r="D5604" t="str">
        <f t="shared" si="138"/>
        <v/>
      </c>
    </row>
    <row r="5605" spans="4:4" x14ac:dyDescent="0.3">
      <c r="D5605" t="str">
        <f t="shared" si="138"/>
        <v/>
      </c>
    </row>
    <row r="5606" spans="4:4" x14ac:dyDescent="0.3">
      <c r="D5606" t="str">
        <f t="shared" si="138"/>
        <v/>
      </c>
    </row>
    <row r="5607" spans="4:4" x14ac:dyDescent="0.3">
      <c r="D5607" t="str">
        <f t="shared" si="138"/>
        <v/>
      </c>
    </row>
    <row r="5608" spans="4:4" x14ac:dyDescent="0.3">
      <c r="D5608" t="str">
        <f t="shared" si="138"/>
        <v/>
      </c>
    </row>
    <row r="5609" spans="4:4" x14ac:dyDescent="0.3">
      <c r="D5609" t="str">
        <f t="shared" si="138"/>
        <v/>
      </c>
    </row>
    <row r="5610" spans="4:4" x14ac:dyDescent="0.3">
      <c r="D5610" t="str">
        <f t="shared" si="138"/>
        <v/>
      </c>
    </row>
    <row r="5611" spans="4:4" x14ac:dyDescent="0.3">
      <c r="D5611" t="str">
        <f t="shared" si="138"/>
        <v/>
      </c>
    </row>
    <row r="5612" spans="4:4" x14ac:dyDescent="0.3">
      <c r="D5612" t="str">
        <f t="shared" si="138"/>
        <v/>
      </c>
    </row>
    <row r="5613" spans="4:4" x14ac:dyDescent="0.3">
      <c r="D5613" t="str">
        <f t="shared" si="138"/>
        <v/>
      </c>
    </row>
    <row r="5614" spans="4:4" x14ac:dyDescent="0.3">
      <c r="D5614" t="str">
        <f t="shared" si="138"/>
        <v/>
      </c>
    </row>
    <row r="5615" spans="4:4" x14ac:dyDescent="0.3">
      <c r="D5615" t="str">
        <f t="shared" si="138"/>
        <v/>
      </c>
    </row>
    <row r="5616" spans="4:4" x14ac:dyDescent="0.3">
      <c r="D5616" t="str">
        <f t="shared" si="138"/>
        <v/>
      </c>
    </row>
    <row r="5617" spans="4:4" x14ac:dyDescent="0.3">
      <c r="D5617" t="str">
        <f t="shared" si="138"/>
        <v/>
      </c>
    </row>
    <row r="5618" spans="4:4" x14ac:dyDescent="0.3">
      <c r="D5618" t="str">
        <f t="shared" si="138"/>
        <v/>
      </c>
    </row>
    <row r="5619" spans="4:4" x14ac:dyDescent="0.3">
      <c r="D5619" t="str">
        <f t="shared" si="138"/>
        <v/>
      </c>
    </row>
    <row r="5620" spans="4:4" x14ac:dyDescent="0.3">
      <c r="D5620" t="str">
        <f t="shared" si="138"/>
        <v/>
      </c>
    </row>
    <row r="5621" spans="4:4" x14ac:dyDescent="0.3">
      <c r="D5621" t="str">
        <f t="shared" si="138"/>
        <v/>
      </c>
    </row>
    <row r="5622" spans="4:4" x14ac:dyDescent="0.3">
      <c r="D5622" t="str">
        <f t="shared" si="138"/>
        <v/>
      </c>
    </row>
    <row r="5623" spans="4:4" x14ac:dyDescent="0.3">
      <c r="D5623" t="str">
        <f t="shared" si="138"/>
        <v/>
      </c>
    </row>
    <row r="5624" spans="4:4" x14ac:dyDescent="0.3">
      <c r="D5624" t="str">
        <f t="shared" si="138"/>
        <v/>
      </c>
    </row>
    <row r="5625" spans="4:4" x14ac:dyDescent="0.3">
      <c r="D5625" t="str">
        <f t="shared" si="138"/>
        <v/>
      </c>
    </row>
    <row r="5626" spans="4:4" x14ac:dyDescent="0.3">
      <c r="D5626" t="str">
        <f t="shared" si="138"/>
        <v/>
      </c>
    </row>
    <row r="5627" spans="4:4" x14ac:dyDescent="0.3">
      <c r="D5627" t="str">
        <f t="shared" si="138"/>
        <v/>
      </c>
    </row>
    <row r="5628" spans="4:4" x14ac:dyDescent="0.3">
      <c r="D5628" t="str">
        <f t="shared" si="138"/>
        <v/>
      </c>
    </row>
    <row r="5629" spans="4:4" x14ac:dyDescent="0.3">
      <c r="D5629" t="str">
        <f t="shared" si="138"/>
        <v/>
      </c>
    </row>
    <row r="5630" spans="4:4" x14ac:dyDescent="0.3">
      <c r="D5630" t="str">
        <f t="shared" si="138"/>
        <v/>
      </c>
    </row>
    <row r="5631" spans="4:4" x14ac:dyDescent="0.3">
      <c r="D5631" t="str">
        <f t="shared" si="138"/>
        <v/>
      </c>
    </row>
    <row r="5632" spans="4:4" x14ac:dyDescent="0.3">
      <c r="D5632" t="str">
        <f t="shared" si="138"/>
        <v/>
      </c>
    </row>
    <row r="5633" spans="4:4" x14ac:dyDescent="0.3">
      <c r="D5633" t="str">
        <f t="shared" si="138"/>
        <v/>
      </c>
    </row>
    <row r="5634" spans="4:4" x14ac:dyDescent="0.3">
      <c r="D5634" t="str">
        <f t="shared" si="138"/>
        <v/>
      </c>
    </row>
    <row r="5635" spans="4:4" x14ac:dyDescent="0.3">
      <c r="D5635" t="str">
        <f t="shared" si="138"/>
        <v/>
      </c>
    </row>
    <row r="5636" spans="4:4" x14ac:dyDescent="0.3">
      <c r="D5636" t="str">
        <f t="shared" si="138"/>
        <v/>
      </c>
    </row>
    <row r="5637" spans="4:4" x14ac:dyDescent="0.3">
      <c r="D5637" t="str">
        <f t="shared" si="138"/>
        <v/>
      </c>
    </row>
    <row r="5638" spans="4:4" x14ac:dyDescent="0.3">
      <c r="D5638" t="str">
        <f t="shared" si="138"/>
        <v/>
      </c>
    </row>
    <row r="5639" spans="4:4" x14ac:dyDescent="0.3">
      <c r="D5639" t="str">
        <f t="shared" si="138"/>
        <v/>
      </c>
    </row>
    <row r="5640" spans="4:4" x14ac:dyDescent="0.3">
      <c r="D5640" t="str">
        <f t="shared" si="138"/>
        <v/>
      </c>
    </row>
    <row r="5641" spans="4:4" x14ac:dyDescent="0.3">
      <c r="D5641" t="str">
        <f t="shared" ref="D5641:D5704" si="139">IF(LEFT(A5641,2)="SP",MID(A5641,4,4),IF(LEFT(A5641,1)="X",MID(A5641,3,4),""))</f>
        <v/>
      </c>
    </row>
    <row r="5642" spans="4:4" x14ac:dyDescent="0.3">
      <c r="D5642" t="str">
        <f t="shared" si="139"/>
        <v/>
      </c>
    </row>
    <row r="5643" spans="4:4" x14ac:dyDescent="0.3">
      <c r="D5643" t="str">
        <f t="shared" si="139"/>
        <v/>
      </c>
    </row>
    <row r="5644" spans="4:4" x14ac:dyDescent="0.3">
      <c r="D5644" t="str">
        <f t="shared" si="139"/>
        <v/>
      </c>
    </row>
    <row r="5645" spans="4:4" x14ac:dyDescent="0.3">
      <c r="D5645" t="str">
        <f t="shared" si="139"/>
        <v/>
      </c>
    </row>
    <row r="5646" spans="4:4" x14ac:dyDescent="0.3">
      <c r="D5646" t="str">
        <f t="shared" si="139"/>
        <v/>
      </c>
    </row>
    <row r="5647" spans="4:4" x14ac:dyDescent="0.3">
      <c r="D5647" t="str">
        <f t="shared" si="139"/>
        <v/>
      </c>
    </row>
    <row r="5648" spans="4:4" x14ac:dyDescent="0.3">
      <c r="D5648" t="str">
        <f t="shared" si="139"/>
        <v/>
      </c>
    </row>
    <row r="5649" spans="4:4" x14ac:dyDescent="0.3">
      <c r="D5649" t="str">
        <f t="shared" si="139"/>
        <v/>
      </c>
    </row>
    <row r="5650" spans="4:4" x14ac:dyDescent="0.3">
      <c r="D5650" t="str">
        <f t="shared" si="139"/>
        <v/>
      </c>
    </row>
    <row r="5651" spans="4:4" x14ac:dyDescent="0.3">
      <c r="D5651" t="str">
        <f t="shared" si="139"/>
        <v/>
      </c>
    </row>
    <row r="5652" spans="4:4" x14ac:dyDescent="0.3">
      <c r="D5652" t="str">
        <f t="shared" si="139"/>
        <v/>
      </c>
    </row>
    <row r="5653" spans="4:4" x14ac:dyDescent="0.3">
      <c r="D5653" t="str">
        <f t="shared" si="139"/>
        <v/>
      </c>
    </row>
    <row r="5654" spans="4:4" x14ac:dyDescent="0.3">
      <c r="D5654" t="str">
        <f t="shared" si="139"/>
        <v/>
      </c>
    </row>
    <row r="5655" spans="4:4" x14ac:dyDescent="0.3">
      <c r="D5655" t="str">
        <f t="shared" si="139"/>
        <v/>
      </c>
    </row>
    <row r="5656" spans="4:4" x14ac:dyDescent="0.3">
      <c r="D5656" t="str">
        <f t="shared" si="139"/>
        <v/>
      </c>
    </row>
    <row r="5657" spans="4:4" x14ac:dyDescent="0.3">
      <c r="D5657" t="str">
        <f t="shared" si="139"/>
        <v/>
      </c>
    </row>
    <row r="5658" spans="4:4" x14ac:dyDescent="0.3">
      <c r="D5658" t="str">
        <f t="shared" si="139"/>
        <v/>
      </c>
    </row>
    <row r="5659" spans="4:4" x14ac:dyDescent="0.3">
      <c r="D5659" t="str">
        <f t="shared" si="139"/>
        <v/>
      </c>
    </row>
    <row r="5660" spans="4:4" x14ac:dyDescent="0.3">
      <c r="D5660" t="str">
        <f t="shared" si="139"/>
        <v/>
      </c>
    </row>
    <row r="5661" spans="4:4" x14ac:dyDescent="0.3">
      <c r="D5661" t="str">
        <f t="shared" si="139"/>
        <v/>
      </c>
    </row>
    <row r="5662" spans="4:4" x14ac:dyDescent="0.3">
      <c r="D5662" t="str">
        <f t="shared" si="139"/>
        <v/>
      </c>
    </row>
    <row r="5663" spans="4:4" x14ac:dyDescent="0.3">
      <c r="D5663" t="str">
        <f t="shared" si="139"/>
        <v/>
      </c>
    </row>
    <row r="5664" spans="4:4" x14ac:dyDescent="0.3">
      <c r="D5664" t="str">
        <f t="shared" si="139"/>
        <v/>
      </c>
    </row>
    <row r="5665" spans="4:4" x14ac:dyDescent="0.3">
      <c r="D5665" t="str">
        <f t="shared" si="139"/>
        <v/>
      </c>
    </row>
    <row r="5666" spans="4:4" x14ac:dyDescent="0.3">
      <c r="D5666" t="str">
        <f t="shared" si="139"/>
        <v/>
      </c>
    </row>
    <row r="5667" spans="4:4" x14ac:dyDescent="0.3">
      <c r="D5667" t="str">
        <f t="shared" si="139"/>
        <v/>
      </c>
    </row>
    <row r="5668" spans="4:4" x14ac:dyDescent="0.3">
      <c r="D5668" t="str">
        <f t="shared" si="139"/>
        <v/>
      </c>
    </row>
    <row r="5669" spans="4:4" x14ac:dyDescent="0.3">
      <c r="D5669" t="str">
        <f t="shared" si="139"/>
        <v/>
      </c>
    </row>
    <row r="5670" spans="4:4" x14ac:dyDescent="0.3">
      <c r="D5670" t="str">
        <f t="shared" si="139"/>
        <v/>
      </c>
    </row>
    <row r="5671" spans="4:4" x14ac:dyDescent="0.3">
      <c r="D5671" t="str">
        <f t="shared" si="139"/>
        <v/>
      </c>
    </row>
    <row r="5672" spans="4:4" x14ac:dyDescent="0.3">
      <c r="D5672" t="str">
        <f t="shared" si="139"/>
        <v/>
      </c>
    </row>
    <row r="5673" spans="4:4" x14ac:dyDescent="0.3">
      <c r="D5673" t="str">
        <f t="shared" si="139"/>
        <v/>
      </c>
    </row>
    <row r="5674" spans="4:4" x14ac:dyDescent="0.3">
      <c r="D5674" t="str">
        <f t="shared" si="139"/>
        <v/>
      </c>
    </row>
    <row r="5675" spans="4:4" x14ac:dyDescent="0.3">
      <c r="D5675" t="str">
        <f t="shared" si="139"/>
        <v/>
      </c>
    </row>
    <row r="5676" spans="4:4" x14ac:dyDescent="0.3">
      <c r="D5676" t="str">
        <f t="shared" si="139"/>
        <v/>
      </c>
    </row>
    <row r="5677" spans="4:4" x14ac:dyDescent="0.3">
      <c r="D5677" t="str">
        <f t="shared" si="139"/>
        <v/>
      </c>
    </row>
    <row r="5678" spans="4:4" x14ac:dyDescent="0.3">
      <c r="D5678" t="str">
        <f t="shared" si="139"/>
        <v/>
      </c>
    </row>
    <row r="5679" spans="4:4" x14ac:dyDescent="0.3">
      <c r="D5679" t="str">
        <f t="shared" si="139"/>
        <v/>
      </c>
    </row>
    <row r="5680" spans="4:4" x14ac:dyDescent="0.3">
      <c r="D5680" t="str">
        <f t="shared" si="139"/>
        <v/>
      </c>
    </row>
    <row r="5681" spans="4:4" x14ac:dyDescent="0.3">
      <c r="D5681" t="str">
        <f t="shared" si="139"/>
        <v/>
      </c>
    </row>
    <row r="5682" spans="4:4" x14ac:dyDescent="0.3">
      <c r="D5682" t="str">
        <f t="shared" si="139"/>
        <v/>
      </c>
    </row>
    <row r="5683" spans="4:4" x14ac:dyDescent="0.3">
      <c r="D5683" t="str">
        <f t="shared" si="139"/>
        <v/>
      </c>
    </row>
    <row r="5684" spans="4:4" x14ac:dyDescent="0.3">
      <c r="D5684" t="str">
        <f t="shared" si="139"/>
        <v/>
      </c>
    </row>
    <row r="5685" spans="4:4" x14ac:dyDescent="0.3">
      <c r="D5685" t="str">
        <f t="shared" si="139"/>
        <v/>
      </c>
    </row>
    <row r="5686" spans="4:4" x14ac:dyDescent="0.3">
      <c r="D5686" t="str">
        <f t="shared" si="139"/>
        <v/>
      </c>
    </row>
    <row r="5687" spans="4:4" x14ac:dyDescent="0.3">
      <c r="D5687" t="str">
        <f t="shared" si="139"/>
        <v/>
      </c>
    </row>
    <row r="5688" spans="4:4" x14ac:dyDescent="0.3">
      <c r="D5688" t="str">
        <f t="shared" si="139"/>
        <v/>
      </c>
    </row>
    <row r="5689" spans="4:4" x14ac:dyDescent="0.3">
      <c r="D5689" t="str">
        <f t="shared" si="139"/>
        <v/>
      </c>
    </row>
    <row r="5690" spans="4:4" x14ac:dyDescent="0.3">
      <c r="D5690" t="str">
        <f t="shared" si="139"/>
        <v/>
      </c>
    </row>
    <row r="5691" spans="4:4" x14ac:dyDescent="0.3">
      <c r="D5691" t="str">
        <f t="shared" si="139"/>
        <v/>
      </c>
    </row>
    <row r="5692" spans="4:4" x14ac:dyDescent="0.3">
      <c r="D5692" t="str">
        <f t="shared" si="139"/>
        <v/>
      </c>
    </row>
    <row r="5693" spans="4:4" x14ac:dyDescent="0.3">
      <c r="D5693" t="str">
        <f t="shared" si="139"/>
        <v/>
      </c>
    </row>
    <row r="5694" spans="4:4" x14ac:dyDescent="0.3">
      <c r="D5694" t="str">
        <f t="shared" si="139"/>
        <v/>
      </c>
    </row>
    <row r="5695" spans="4:4" x14ac:dyDescent="0.3">
      <c r="D5695" t="str">
        <f t="shared" si="139"/>
        <v/>
      </c>
    </row>
    <row r="5696" spans="4:4" x14ac:dyDescent="0.3">
      <c r="D5696" t="str">
        <f t="shared" si="139"/>
        <v/>
      </c>
    </row>
    <row r="5697" spans="4:4" x14ac:dyDescent="0.3">
      <c r="D5697" t="str">
        <f t="shared" si="139"/>
        <v/>
      </c>
    </row>
    <row r="5698" spans="4:4" x14ac:dyDescent="0.3">
      <c r="D5698" t="str">
        <f t="shared" si="139"/>
        <v/>
      </c>
    </row>
    <row r="5699" spans="4:4" x14ac:dyDescent="0.3">
      <c r="D5699" t="str">
        <f t="shared" si="139"/>
        <v/>
      </c>
    </row>
    <row r="5700" spans="4:4" x14ac:dyDescent="0.3">
      <c r="D5700" t="str">
        <f t="shared" si="139"/>
        <v/>
      </c>
    </row>
    <row r="5701" spans="4:4" x14ac:dyDescent="0.3">
      <c r="D5701" t="str">
        <f t="shared" si="139"/>
        <v/>
      </c>
    </row>
    <row r="5702" spans="4:4" x14ac:dyDescent="0.3">
      <c r="D5702" t="str">
        <f t="shared" si="139"/>
        <v/>
      </c>
    </row>
    <row r="5703" spans="4:4" x14ac:dyDescent="0.3">
      <c r="D5703" t="str">
        <f t="shared" si="139"/>
        <v/>
      </c>
    </row>
    <row r="5704" spans="4:4" x14ac:dyDescent="0.3">
      <c r="D5704" t="str">
        <f t="shared" si="139"/>
        <v/>
      </c>
    </row>
    <row r="5705" spans="4:4" x14ac:dyDescent="0.3">
      <c r="D5705" t="str">
        <f t="shared" ref="D5705:D5768" si="140">IF(LEFT(A5705,2)="SP",MID(A5705,4,4),IF(LEFT(A5705,1)="X",MID(A5705,3,4),""))</f>
        <v/>
      </c>
    </row>
    <row r="5706" spans="4:4" x14ac:dyDescent="0.3">
      <c r="D5706" t="str">
        <f t="shared" si="140"/>
        <v/>
      </c>
    </row>
    <row r="5707" spans="4:4" x14ac:dyDescent="0.3">
      <c r="D5707" t="str">
        <f t="shared" si="140"/>
        <v/>
      </c>
    </row>
    <row r="5708" spans="4:4" x14ac:dyDescent="0.3">
      <c r="D5708" t="str">
        <f t="shared" si="140"/>
        <v/>
      </c>
    </row>
    <row r="5709" spans="4:4" x14ac:dyDescent="0.3">
      <c r="D5709" t="str">
        <f t="shared" si="140"/>
        <v/>
      </c>
    </row>
    <row r="5710" spans="4:4" x14ac:dyDescent="0.3">
      <c r="D5710" t="str">
        <f t="shared" si="140"/>
        <v/>
      </c>
    </row>
    <row r="5711" spans="4:4" x14ac:dyDescent="0.3">
      <c r="D5711" t="str">
        <f t="shared" si="140"/>
        <v/>
      </c>
    </row>
    <row r="5712" spans="4:4" x14ac:dyDescent="0.3">
      <c r="D5712" t="str">
        <f t="shared" si="140"/>
        <v/>
      </c>
    </row>
    <row r="5713" spans="4:4" x14ac:dyDescent="0.3">
      <c r="D5713" t="str">
        <f t="shared" si="140"/>
        <v/>
      </c>
    </row>
    <row r="5714" spans="4:4" x14ac:dyDescent="0.3">
      <c r="D5714" t="str">
        <f t="shared" si="140"/>
        <v/>
      </c>
    </row>
    <row r="5715" spans="4:4" x14ac:dyDescent="0.3">
      <c r="D5715" t="str">
        <f t="shared" si="140"/>
        <v/>
      </c>
    </row>
    <row r="5716" spans="4:4" x14ac:dyDescent="0.3">
      <c r="D5716" t="str">
        <f t="shared" si="140"/>
        <v/>
      </c>
    </row>
    <row r="5717" spans="4:4" x14ac:dyDescent="0.3">
      <c r="D5717" t="str">
        <f t="shared" si="140"/>
        <v/>
      </c>
    </row>
    <row r="5718" spans="4:4" x14ac:dyDescent="0.3">
      <c r="D5718" t="str">
        <f t="shared" si="140"/>
        <v/>
      </c>
    </row>
    <row r="5719" spans="4:4" x14ac:dyDescent="0.3">
      <c r="D5719" t="str">
        <f t="shared" si="140"/>
        <v/>
      </c>
    </row>
    <row r="5720" spans="4:4" x14ac:dyDescent="0.3">
      <c r="D5720" t="str">
        <f t="shared" si="140"/>
        <v/>
      </c>
    </row>
    <row r="5721" spans="4:4" x14ac:dyDescent="0.3">
      <c r="D5721" t="str">
        <f t="shared" si="140"/>
        <v/>
      </c>
    </row>
    <row r="5722" spans="4:4" x14ac:dyDescent="0.3">
      <c r="D5722" t="str">
        <f t="shared" si="140"/>
        <v/>
      </c>
    </row>
    <row r="5723" spans="4:4" x14ac:dyDescent="0.3">
      <c r="D5723" t="str">
        <f t="shared" si="140"/>
        <v/>
      </c>
    </row>
    <row r="5724" spans="4:4" x14ac:dyDescent="0.3">
      <c r="D5724" t="str">
        <f t="shared" si="140"/>
        <v/>
      </c>
    </row>
    <row r="5725" spans="4:4" x14ac:dyDescent="0.3">
      <c r="D5725" t="str">
        <f t="shared" si="140"/>
        <v/>
      </c>
    </row>
    <row r="5726" spans="4:4" x14ac:dyDescent="0.3">
      <c r="D5726" t="str">
        <f t="shared" si="140"/>
        <v/>
      </c>
    </row>
    <row r="5727" spans="4:4" x14ac:dyDescent="0.3">
      <c r="D5727" t="str">
        <f t="shared" si="140"/>
        <v/>
      </c>
    </row>
    <row r="5728" spans="4:4" x14ac:dyDescent="0.3">
      <c r="D5728" t="str">
        <f t="shared" si="140"/>
        <v/>
      </c>
    </row>
    <row r="5729" spans="4:4" x14ac:dyDescent="0.3">
      <c r="D5729" t="str">
        <f t="shared" si="140"/>
        <v/>
      </c>
    </row>
    <row r="5730" spans="4:4" x14ac:dyDescent="0.3">
      <c r="D5730" t="str">
        <f t="shared" si="140"/>
        <v/>
      </c>
    </row>
    <row r="5731" spans="4:4" x14ac:dyDescent="0.3">
      <c r="D5731" t="str">
        <f t="shared" si="140"/>
        <v/>
      </c>
    </row>
    <row r="5732" spans="4:4" x14ac:dyDescent="0.3">
      <c r="D5732" t="str">
        <f t="shared" si="140"/>
        <v/>
      </c>
    </row>
    <row r="5733" spans="4:4" x14ac:dyDescent="0.3">
      <c r="D5733" t="str">
        <f t="shared" si="140"/>
        <v/>
      </c>
    </row>
    <row r="5734" spans="4:4" x14ac:dyDescent="0.3">
      <c r="D5734" t="str">
        <f t="shared" si="140"/>
        <v/>
      </c>
    </row>
    <row r="5735" spans="4:4" x14ac:dyDescent="0.3">
      <c r="D5735" t="str">
        <f t="shared" si="140"/>
        <v/>
      </c>
    </row>
    <row r="5736" spans="4:4" x14ac:dyDescent="0.3">
      <c r="D5736" t="str">
        <f t="shared" si="140"/>
        <v/>
      </c>
    </row>
    <row r="5737" spans="4:4" x14ac:dyDescent="0.3">
      <c r="D5737" t="str">
        <f t="shared" si="140"/>
        <v/>
      </c>
    </row>
    <row r="5738" spans="4:4" x14ac:dyDescent="0.3">
      <c r="D5738" t="str">
        <f t="shared" si="140"/>
        <v/>
      </c>
    </row>
    <row r="5739" spans="4:4" x14ac:dyDescent="0.3">
      <c r="D5739" t="str">
        <f t="shared" si="140"/>
        <v/>
      </c>
    </row>
    <row r="5740" spans="4:4" x14ac:dyDescent="0.3">
      <c r="D5740" t="str">
        <f t="shared" si="140"/>
        <v/>
      </c>
    </row>
    <row r="5741" spans="4:4" x14ac:dyDescent="0.3">
      <c r="D5741" t="str">
        <f t="shared" si="140"/>
        <v/>
      </c>
    </row>
    <row r="5742" spans="4:4" x14ac:dyDescent="0.3">
      <c r="D5742" t="str">
        <f t="shared" si="140"/>
        <v/>
      </c>
    </row>
    <row r="5743" spans="4:4" x14ac:dyDescent="0.3">
      <c r="D5743" t="str">
        <f t="shared" si="140"/>
        <v/>
      </c>
    </row>
    <row r="5744" spans="4:4" x14ac:dyDescent="0.3">
      <c r="D5744" t="str">
        <f t="shared" si="140"/>
        <v/>
      </c>
    </row>
    <row r="5745" spans="4:4" x14ac:dyDescent="0.3">
      <c r="D5745" t="str">
        <f t="shared" si="140"/>
        <v/>
      </c>
    </row>
    <row r="5746" spans="4:4" x14ac:dyDescent="0.3">
      <c r="D5746" t="str">
        <f t="shared" si="140"/>
        <v/>
      </c>
    </row>
    <row r="5747" spans="4:4" x14ac:dyDescent="0.3">
      <c r="D5747" t="str">
        <f t="shared" si="140"/>
        <v/>
      </c>
    </row>
    <row r="5748" spans="4:4" x14ac:dyDescent="0.3">
      <c r="D5748" t="str">
        <f t="shared" si="140"/>
        <v/>
      </c>
    </row>
    <row r="5749" spans="4:4" x14ac:dyDescent="0.3">
      <c r="D5749" t="str">
        <f t="shared" si="140"/>
        <v/>
      </c>
    </row>
    <row r="5750" spans="4:4" x14ac:dyDescent="0.3">
      <c r="D5750" t="str">
        <f t="shared" si="140"/>
        <v/>
      </c>
    </row>
    <row r="5751" spans="4:4" x14ac:dyDescent="0.3">
      <c r="D5751" t="str">
        <f t="shared" si="140"/>
        <v/>
      </c>
    </row>
    <row r="5752" spans="4:4" x14ac:dyDescent="0.3">
      <c r="D5752" t="str">
        <f t="shared" si="140"/>
        <v/>
      </c>
    </row>
    <row r="5753" spans="4:4" x14ac:dyDescent="0.3">
      <c r="D5753" t="str">
        <f t="shared" si="140"/>
        <v/>
      </c>
    </row>
    <row r="5754" spans="4:4" x14ac:dyDescent="0.3">
      <c r="D5754" t="str">
        <f t="shared" si="140"/>
        <v/>
      </c>
    </row>
    <row r="5755" spans="4:4" x14ac:dyDescent="0.3">
      <c r="D5755" t="str">
        <f t="shared" si="140"/>
        <v/>
      </c>
    </row>
    <row r="5756" spans="4:4" x14ac:dyDescent="0.3">
      <c r="D5756" t="str">
        <f t="shared" si="140"/>
        <v/>
      </c>
    </row>
    <row r="5757" spans="4:4" x14ac:dyDescent="0.3">
      <c r="D5757" t="str">
        <f t="shared" si="140"/>
        <v/>
      </c>
    </row>
    <row r="5758" spans="4:4" x14ac:dyDescent="0.3">
      <c r="D5758" t="str">
        <f t="shared" si="140"/>
        <v/>
      </c>
    </row>
    <row r="5759" spans="4:4" x14ac:dyDescent="0.3">
      <c r="D5759" t="str">
        <f t="shared" si="140"/>
        <v/>
      </c>
    </row>
    <row r="5760" spans="4:4" x14ac:dyDescent="0.3">
      <c r="D5760" t="str">
        <f t="shared" si="140"/>
        <v/>
      </c>
    </row>
    <row r="5761" spans="4:4" x14ac:dyDescent="0.3">
      <c r="D5761" t="str">
        <f t="shared" si="140"/>
        <v/>
      </c>
    </row>
    <row r="5762" spans="4:4" x14ac:dyDescent="0.3">
      <c r="D5762" t="str">
        <f t="shared" si="140"/>
        <v/>
      </c>
    </row>
    <row r="5763" spans="4:4" x14ac:dyDescent="0.3">
      <c r="D5763" t="str">
        <f t="shared" si="140"/>
        <v/>
      </c>
    </row>
    <row r="5764" spans="4:4" x14ac:dyDescent="0.3">
      <c r="D5764" t="str">
        <f t="shared" si="140"/>
        <v/>
      </c>
    </row>
    <row r="5765" spans="4:4" x14ac:dyDescent="0.3">
      <c r="D5765" t="str">
        <f t="shared" si="140"/>
        <v/>
      </c>
    </row>
    <row r="5766" spans="4:4" x14ac:dyDescent="0.3">
      <c r="D5766" t="str">
        <f t="shared" si="140"/>
        <v/>
      </c>
    </row>
    <row r="5767" spans="4:4" x14ac:dyDescent="0.3">
      <c r="D5767" t="str">
        <f t="shared" si="140"/>
        <v/>
      </c>
    </row>
    <row r="5768" spans="4:4" x14ac:dyDescent="0.3">
      <c r="D5768" t="str">
        <f t="shared" si="140"/>
        <v/>
      </c>
    </row>
    <row r="5769" spans="4:4" x14ac:dyDescent="0.3">
      <c r="D5769" t="str">
        <f t="shared" ref="D5769:D5832" si="141">IF(LEFT(A5769,2)="SP",MID(A5769,4,4),IF(LEFT(A5769,1)="X",MID(A5769,3,4),""))</f>
        <v/>
      </c>
    </row>
    <row r="5770" spans="4:4" x14ac:dyDescent="0.3">
      <c r="D5770" t="str">
        <f t="shared" si="141"/>
        <v/>
      </c>
    </row>
    <row r="5771" spans="4:4" x14ac:dyDescent="0.3">
      <c r="D5771" t="str">
        <f t="shared" si="141"/>
        <v/>
      </c>
    </row>
    <row r="5772" spans="4:4" x14ac:dyDescent="0.3">
      <c r="D5772" t="str">
        <f t="shared" si="141"/>
        <v/>
      </c>
    </row>
    <row r="5773" spans="4:4" x14ac:dyDescent="0.3">
      <c r="D5773" t="str">
        <f t="shared" si="141"/>
        <v/>
      </c>
    </row>
    <row r="5774" spans="4:4" x14ac:dyDescent="0.3">
      <c r="D5774" t="str">
        <f t="shared" si="141"/>
        <v/>
      </c>
    </row>
    <row r="5775" spans="4:4" x14ac:dyDescent="0.3">
      <c r="D5775" t="str">
        <f t="shared" si="141"/>
        <v/>
      </c>
    </row>
    <row r="5776" spans="4:4" x14ac:dyDescent="0.3">
      <c r="D5776" t="str">
        <f t="shared" si="141"/>
        <v/>
      </c>
    </row>
    <row r="5777" spans="4:4" x14ac:dyDescent="0.3">
      <c r="D5777" t="str">
        <f t="shared" si="141"/>
        <v/>
      </c>
    </row>
    <row r="5778" spans="4:4" x14ac:dyDescent="0.3">
      <c r="D5778" t="str">
        <f t="shared" si="141"/>
        <v/>
      </c>
    </row>
    <row r="5779" spans="4:4" x14ac:dyDescent="0.3">
      <c r="D5779" t="str">
        <f t="shared" si="141"/>
        <v/>
      </c>
    </row>
    <row r="5780" spans="4:4" x14ac:dyDescent="0.3">
      <c r="D5780" t="str">
        <f t="shared" si="141"/>
        <v/>
      </c>
    </row>
    <row r="5781" spans="4:4" x14ac:dyDescent="0.3">
      <c r="D5781" t="str">
        <f t="shared" si="141"/>
        <v/>
      </c>
    </row>
    <row r="5782" spans="4:4" x14ac:dyDescent="0.3">
      <c r="D5782" t="str">
        <f t="shared" si="141"/>
        <v/>
      </c>
    </row>
    <row r="5783" spans="4:4" x14ac:dyDescent="0.3">
      <c r="D5783" t="str">
        <f t="shared" si="141"/>
        <v/>
      </c>
    </row>
    <row r="5784" spans="4:4" x14ac:dyDescent="0.3">
      <c r="D5784" t="str">
        <f t="shared" si="141"/>
        <v/>
      </c>
    </row>
    <row r="5785" spans="4:4" x14ac:dyDescent="0.3">
      <c r="D5785" t="str">
        <f t="shared" si="141"/>
        <v/>
      </c>
    </row>
    <row r="5786" spans="4:4" x14ac:dyDescent="0.3">
      <c r="D5786" t="str">
        <f t="shared" si="141"/>
        <v/>
      </c>
    </row>
    <row r="5787" spans="4:4" x14ac:dyDescent="0.3">
      <c r="D5787" t="str">
        <f t="shared" si="141"/>
        <v/>
      </c>
    </row>
    <row r="5788" spans="4:4" x14ac:dyDescent="0.3">
      <c r="D5788" t="str">
        <f t="shared" si="141"/>
        <v/>
      </c>
    </row>
    <row r="5789" spans="4:4" x14ac:dyDescent="0.3">
      <c r="D5789" t="str">
        <f t="shared" si="141"/>
        <v/>
      </c>
    </row>
    <row r="5790" spans="4:4" x14ac:dyDescent="0.3">
      <c r="D5790" t="str">
        <f t="shared" si="141"/>
        <v/>
      </c>
    </row>
    <row r="5791" spans="4:4" x14ac:dyDescent="0.3">
      <c r="D5791" t="str">
        <f t="shared" si="141"/>
        <v/>
      </c>
    </row>
    <row r="5792" spans="4:4" x14ac:dyDescent="0.3">
      <c r="D5792" t="str">
        <f t="shared" si="141"/>
        <v/>
      </c>
    </row>
    <row r="5793" spans="4:4" x14ac:dyDescent="0.3">
      <c r="D5793" t="str">
        <f t="shared" si="141"/>
        <v/>
      </c>
    </row>
    <row r="5794" spans="4:4" x14ac:dyDescent="0.3">
      <c r="D5794" t="str">
        <f t="shared" si="141"/>
        <v/>
      </c>
    </row>
    <row r="5795" spans="4:4" x14ac:dyDescent="0.3">
      <c r="D5795" t="str">
        <f t="shared" si="141"/>
        <v/>
      </c>
    </row>
    <row r="5796" spans="4:4" x14ac:dyDescent="0.3">
      <c r="D5796" t="str">
        <f t="shared" si="141"/>
        <v/>
      </c>
    </row>
    <row r="5797" spans="4:4" x14ac:dyDescent="0.3">
      <c r="D5797" t="str">
        <f t="shared" si="141"/>
        <v/>
      </c>
    </row>
    <row r="5798" spans="4:4" x14ac:dyDescent="0.3">
      <c r="D5798" t="str">
        <f t="shared" si="141"/>
        <v/>
      </c>
    </row>
    <row r="5799" spans="4:4" x14ac:dyDescent="0.3">
      <c r="D5799" t="str">
        <f t="shared" si="141"/>
        <v/>
      </c>
    </row>
    <row r="5800" spans="4:4" x14ac:dyDescent="0.3">
      <c r="D5800" t="str">
        <f t="shared" si="141"/>
        <v/>
      </c>
    </row>
    <row r="5801" spans="4:4" x14ac:dyDescent="0.3">
      <c r="D5801" t="str">
        <f t="shared" si="141"/>
        <v/>
      </c>
    </row>
    <row r="5802" spans="4:4" x14ac:dyDescent="0.3">
      <c r="D5802" t="str">
        <f t="shared" si="141"/>
        <v/>
      </c>
    </row>
    <row r="5803" spans="4:4" x14ac:dyDescent="0.3">
      <c r="D5803" t="str">
        <f t="shared" si="141"/>
        <v/>
      </c>
    </row>
    <row r="5804" spans="4:4" x14ac:dyDescent="0.3">
      <c r="D5804" t="str">
        <f t="shared" si="141"/>
        <v/>
      </c>
    </row>
    <row r="5805" spans="4:4" x14ac:dyDescent="0.3">
      <c r="D5805" t="str">
        <f t="shared" si="141"/>
        <v/>
      </c>
    </row>
    <row r="5806" spans="4:4" x14ac:dyDescent="0.3">
      <c r="D5806" t="str">
        <f t="shared" si="141"/>
        <v/>
      </c>
    </row>
    <row r="5807" spans="4:4" x14ac:dyDescent="0.3">
      <c r="D5807" t="str">
        <f t="shared" si="141"/>
        <v/>
      </c>
    </row>
    <row r="5808" spans="4:4" x14ac:dyDescent="0.3">
      <c r="D5808" t="str">
        <f t="shared" si="141"/>
        <v/>
      </c>
    </row>
    <row r="5809" spans="4:4" x14ac:dyDescent="0.3">
      <c r="D5809" t="str">
        <f t="shared" si="141"/>
        <v/>
      </c>
    </row>
    <row r="5810" spans="4:4" x14ac:dyDescent="0.3">
      <c r="D5810" t="str">
        <f t="shared" si="141"/>
        <v/>
      </c>
    </row>
    <row r="5811" spans="4:4" x14ac:dyDescent="0.3">
      <c r="D5811" t="str">
        <f t="shared" si="141"/>
        <v/>
      </c>
    </row>
    <row r="5812" spans="4:4" x14ac:dyDescent="0.3">
      <c r="D5812" t="str">
        <f t="shared" si="141"/>
        <v/>
      </c>
    </row>
    <row r="5813" spans="4:4" x14ac:dyDescent="0.3">
      <c r="D5813" t="str">
        <f t="shared" si="141"/>
        <v/>
      </c>
    </row>
    <row r="5814" spans="4:4" x14ac:dyDescent="0.3">
      <c r="D5814" t="str">
        <f t="shared" si="141"/>
        <v/>
      </c>
    </row>
    <row r="5815" spans="4:4" x14ac:dyDescent="0.3">
      <c r="D5815" t="str">
        <f t="shared" si="141"/>
        <v/>
      </c>
    </row>
    <row r="5816" spans="4:4" x14ac:dyDescent="0.3">
      <c r="D5816" t="str">
        <f t="shared" si="141"/>
        <v/>
      </c>
    </row>
    <row r="5817" spans="4:4" x14ac:dyDescent="0.3">
      <c r="D5817" t="str">
        <f t="shared" si="141"/>
        <v/>
      </c>
    </row>
    <row r="5818" spans="4:4" x14ac:dyDescent="0.3">
      <c r="D5818" t="str">
        <f t="shared" si="141"/>
        <v/>
      </c>
    </row>
    <row r="5819" spans="4:4" x14ac:dyDescent="0.3">
      <c r="D5819" t="str">
        <f t="shared" si="141"/>
        <v/>
      </c>
    </row>
    <row r="5820" spans="4:4" x14ac:dyDescent="0.3">
      <c r="D5820" t="str">
        <f t="shared" si="141"/>
        <v/>
      </c>
    </row>
    <row r="5821" spans="4:4" x14ac:dyDescent="0.3">
      <c r="D5821" t="str">
        <f t="shared" si="141"/>
        <v/>
      </c>
    </row>
    <row r="5822" spans="4:4" x14ac:dyDescent="0.3">
      <c r="D5822" t="str">
        <f t="shared" si="141"/>
        <v/>
      </c>
    </row>
    <row r="5823" spans="4:4" x14ac:dyDescent="0.3">
      <c r="D5823" t="str">
        <f t="shared" si="141"/>
        <v/>
      </c>
    </row>
    <row r="5824" spans="4:4" x14ac:dyDescent="0.3">
      <c r="D5824" t="str">
        <f t="shared" si="141"/>
        <v/>
      </c>
    </row>
    <row r="5825" spans="4:4" x14ac:dyDescent="0.3">
      <c r="D5825" t="str">
        <f t="shared" si="141"/>
        <v/>
      </c>
    </row>
    <row r="5826" spans="4:4" x14ac:dyDescent="0.3">
      <c r="D5826" t="str">
        <f t="shared" si="141"/>
        <v/>
      </c>
    </row>
    <row r="5827" spans="4:4" x14ac:dyDescent="0.3">
      <c r="D5827" t="str">
        <f t="shared" si="141"/>
        <v/>
      </c>
    </row>
    <row r="5828" spans="4:4" x14ac:dyDescent="0.3">
      <c r="D5828" t="str">
        <f t="shared" si="141"/>
        <v/>
      </c>
    </row>
    <row r="5829" spans="4:4" x14ac:dyDescent="0.3">
      <c r="D5829" t="str">
        <f t="shared" si="141"/>
        <v/>
      </c>
    </row>
    <row r="5830" spans="4:4" x14ac:dyDescent="0.3">
      <c r="D5830" t="str">
        <f t="shared" si="141"/>
        <v/>
      </c>
    </row>
    <row r="5831" spans="4:4" x14ac:dyDescent="0.3">
      <c r="D5831" t="str">
        <f t="shared" si="141"/>
        <v/>
      </c>
    </row>
    <row r="5832" spans="4:4" x14ac:dyDescent="0.3">
      <c r="D5832" t="str">
        <f t="shared" si="141"/>
        <v/>
      </c>
    </row>
    <row r="5833" spans="4:4" x14ac:dyDescent="0.3">
      <c r="D5833" t="str">
        <f t="shared" ref="D5833:D5896" si="142">IF(LEFT(A5833,2)="SP",MID(A5833,4,4),IF(LEFT(A5833,1)="X",MID(A5833,3,4),""))</f>
        <v/>
      </c>
    </row>
    <row r="5834" spans="4:4" x14ac:dyDescent="0.3">
      <c r="D5834" t="str">
        <f t="shared" si="142"/>
        <v/>
      </c>
    </row>
    <row r="5835" spans="4:4" x14ac:dyDescent="0.3">
      <c r="D5835" t="str">
        <f t="shared" si="142"/>
        <v/>
      </c>
    </row>
    <row r="5836" spans="4:4" x14ac:dyDescent="0.3">
      <c r="D5836" t="str">
        <f t="shared" si="142"/>
        <v/>
      </c>
    </row>
    <row r="5837" spans="4:4" x14ac:dyDescent="0.3">
      <c r="D5837" t="str">
        <f t="shared" si="142"/>
        <v/>
      </c>
    </row>
    <row r="5838" spans="4:4" x14ac:dyDescent="0.3">
      <c r="D5838" t="str">
        <f t="shared" si="142"/>
        <v/>
      </c>
    </row>
    <row r="5839" spans="4:4" x14ac:dyDescent="0.3">
      <c r="D5839" t="str">
        <f t="shared" si="142"/>
        <v/>
      </c>
    </row>
    <row r="5840" spans="4:4" x14ac:dyDescent="0.3">
      <c r="D5840" t="str">
        <f t="shared" si="142"/>
        <v/>
      </c>
    </row>
    <row r="5841" spans="4:4" x14ac:dyDescent="0.3">
      <c r="D5841" t="str">
        <f t="shared" si="142"/>
        <v/>
      </c>
    </row>
    <row r="5842" spans="4:4" x14ac:dyDescent="0.3">
      <c r="D5842" t="str">
        <f t="shared" si="142"/>
        <v/>
      </c>
    </row>
    <row r="5843" spans="4:4" x14ac:dyDescent="0.3">
      <c r="D5843" t="str">
        <f t="shared" si="142"/>
        <v/>
      </c>
    </row>
    <row r="5844" spans="4:4" x14ac:dyDescent="0.3">
      <c r="D5844" t="str">
        <f t="shared" si="142"/>
        <v/>
      </c>
    </row>
    <row r="5845" spans="4:4" x14ac:dyDescent="0.3">
      <c r="D5845" t="str">
        <f t="shared" si="142"/>
        <v/>
      </c>
    </row>
    <row r="5846" spans="4:4" x14ac:dyDescent="0.3">
      <c r="D5846" t="str">
        <f t="shared" si="142"/>
        <v/>
      </c>
    </row>
    <row r="5847" spans="4:4" x14ac:dyDescent="0.3">
      <c r="D5847" t="str">
        <f t="shared" si="142"/>
        <v/>
      </c>
    </row>
    <row r="5848" spans="4:4" x14ac:dyDescent="0.3">
      <c r="D5848" t="str">
        <f t="shared" si="142"/>
        <v/>
      </c>
    </row>
    <row r="5849" spans="4:4" x14ac:dyDescent="0.3">
      <c r="D5849" t="str">
        <f t="shared" si="142"/>
        <v/>
      </c>
    </row>
    <row r="5850" spans="4:4" x14ac:dyDescent="0.3">
      <c r="D5850" t="str">
        <f t="shared" si="142"/>
        <v/>
      </c>
    </row>
    <row r="5851" spans="4:4" x14ac:dyDescent="0.3">
      <c r="D5851" t="str">
        <f t="shared" si="142"/>
        <v/>
      </c>
    </row>
    <row r="5852" spans="4:4" x14ac:dyDescent="0.3">
      <c r="D5852" t="str">
        <f t="shared" si="142"/>
        <v/>
      </c>
    </row>
    <row r="5853" spans="4:4" x14ac:dyDescent="0.3">
      <c r="D5853" t="str">
        <f t="shared" si="142"/>
        <v/>
      </c>
    </row>
    <row r="5854" spans="4:4" x14ac:dyDescent="0.3">
      <c r="D5854" t="str">
        <f t="shared" si="142"/>
        <v/>
      </c>
    </row>
    <row r="5855" spans="4:4" x14ac:dyDescent="0.3">
      <c r="D5855" t="str">
        <f t="shared" si="142"/>
        <v/>
      </c>
    </row>
    <row r="5856" spans="4:4" x14ac:dyDescent="0.3">
      <c r="D5856" t="str">
        <f t="shared" si="142"/>
        <v/>
      </c>
    </row>
    <row r="5857" spans="4:4" x14ac:dyDescent="0.3">
      <c r="D5857" t="str">
        <f t="shared" si="142"/>
        <v/>
      </c>
    </row>
    <row r="5858" spans="4:4" x14ac:dyDescent="0.3">
      <c r="D5858" t="str">
        <f t="shared" si="142"/>
        <v/>
      </c>
    </row>
    <row r="5859" spans="4:4" x14ac:dyDescent="0.3">
      <c r="D5859" t="str">
        <f t="shared" si="142"/>
        <v/>
      </c>
    </row>
    <row r="5860" spans="4:4" x14ac:dyDescent="0.3">
      <c r="D5860" t="str">
        <f t="shared" si="142"/>
        <v/>
      </c>
    </row>
    <row r="5861" spans="4:4" x14ac:dyDescent="0.3">
      <c r="D5861" t="str">
        <f t="shared" si="142"/>
        <v/>
      </c>
    </row>
    <row r="5862" spans="4:4" x14ac:dyDescent="0.3">
      <c r="D5862" t="str">
        <f t="shared" si="142"/>
        <v/>
      </c>
    </row>
    <row r="5863" spans="4:4" x14ac:dyDescent="0.3">
      <c r="D5863" t="str">
        <f t="shared" si="142"/>
        <v/>
      </c>
    </row>
    <row r="5864" spans="4:4" x14ac:dyDescent="0.3">
      <c r="D5864" t="str">
        <f t="shared" si="142"/>
        <v/>
      </c>
    </row>
    <row r="5865" spans="4:4" x14ac:dyDescent="0.3">
      <c r="D5865" t="str">
        <f t="shared" si="142"/>
        <v/>
      </c>
    </row>
    <row r="5866" spans="4:4" x14ac:dyDescent="0.3">
      <c r="D5866" t="str">
        <f t="shared" si="142"/>
        <v/>
      </c>
    </row>
    <row r="5867" spans="4:4" x14ac:dyDescent="0.3">
      <c r="D5867" t="str">
        <f t="shared" si="142"/>
        <v/>
      </c>
    </row>
    <row r="5868" spans="4:4" x14ac:dyDescent="0.3">
      <c r="D5868" t="str">
        <f t="shared" si="142"/>
        <v/>
      </c>
    </row>
    <row r="5869" spans="4:4" x14ac:dyDescent="0.3">
      <c r="D5869" t="str">
        <f t="shared" si="142"/>
        <v/>
      </c>
    </row>
    <row r="5870" spans="4:4" x14ac:dyDescent="0.3">
      <c r="D5870" t="str">
        <f t="shared" si="142"/>
        <v/>
      </c>
    </row>
    <row r="5871" spans="4:4" x14ac:dyDescent="0.3">
      <c r="D5871" t="str">
        <f t="shared" si="142"/>
        <v/>
      </c>
    </row>
    <row r="5872" spans="4:4" x14ac:dyDescent="0.3">
      <c r="D5872" t="str">
        <f t="shared" si="142"/>
        <v/>
      </c>
    </row>
    <row r="5873" spans="4:4" x14ac:dyDescent="0.3">
      <c r="D5873" t="str">
        <f t="shared" si="142"/>
        <v/>
      </c>
    </row>
    <row r="5874" spans="4:4" x14ac:dyDescent="0.3">
      <c r="D5874" t="str">
        <f t="shared" si="142"/>
        <v/>
      </c>
    </row>
    <row r="5875" spans="4:4" x14ac:dyDescent="0.3">
      <c r="D5875" t="str">
        <f t="shared" si="142"/>
        <v/>
      </c>
    </row>
    <row r="5876" spans="4:4" x14ac:dyDescent="0.3">
      <c r="D5876" t="str">
        <f t="shared" si="142"/>
        <v/>
      </c>
    </row>
    <row r="5877" spans="4:4" x14ac:dyDescent="0.3">
      <c r="D5877" t="str">
        <f t="shared" si="142"/>
        <v/>
      </c>
    </row>
    <row r="5878" spans="4:4" x14ac:dyDescent="0.3">
      <c r="D5878" t="str">
        <f t="shared" si="142"/>
        <v/>
      </c>
    </row>
    <row r="5879" spans="4:4" x14ac:dyDescent="0.3">
      <c r="D5879" t="str">
        <f t="shared" si="142"/>
        <v/>
      </c>
    </row>
    <row r="5880" spans="4:4" x14ac:dyDescent="0.3">
      <c r="D5880" t="str">
        <f t="shared" si="142"/>
        <v/>
      </c>
    </row>
    <row r="5881" spans="4:4" x14ac:dyDescent="0.3">
      <c r="D5881" t="str">
        <f t="shared" si="142"/>
        <v/>
      </c>
    </row>
    <row r="5882" spans="4:4" x14ac:dyDescent="0.3">
      <c r="D5882" t="str">
        <f t="shared" si="142"/>
        <v/>
      </c>
    </row>
    <row r="5883" spans="4:4" x14ac:dyDescent="0.3">
      <c r="D5883" t="str">
        <f t="shared" si="142"/>
        <v/>
      </c>
    </row>
    <row r="5884" spans="4:4" x14ac:dyDescent="0.3">
      <c r="D5884" t="str">
        <f t="shared" si="142"/>
        <v/>
      </c>
    </row>
    <row r="5885" spans="4:4" x14ac:dyDescent="0.3">
      <c r="D5885" t="str">
        <f t="shared" si="142"/>
        <v/>
      </c>
    </row>
    <row r="5886" spans="4:4" x14ac:dyDescent="0.3">
      <c r="D5886" t="str">
        <f t="shared" si="142"/>
        <v/>
      </c>
    </row>
    <row r="5887" spans="4:4" x14ac:dyDescent="0.3">
      <c r="D5887" t="str">
        <f t="shared" si="142"/>
        <v/>
      </c>
    </row>
    <row r="5888" spans="4:4" x14ac:dyDescent="0.3">
      <c r="D5888" t="str">
        <f t="shared" si="142"/>
        <v/>
      </c>
    </row>
    <row r="5889" spans="4:4" x14ac:dyDescent="0.3">
      <c r="D5889" t="str">
        <f t="shared" si="142"/>
        <v/>
      </c>
    </row>
    <row r="5890" spans="4:4" x14ac:dyDescent="0.3">
      <c r="D5890" t="str">
        <f t="shared" si="142"/>
        <v/>
      </c>
    </row>
    <row r="5891" spans="4:4" x14ac:dyDescent="0.3">
      <c r="D5891" t="str">
        <f t="shared" si="142"/>
        <v/>
      </c>
    </row>
    <row r="5892" spans="4:4" x14ac:dyDescent="0.3">
      <c r="D5892" t="str">
        <f t="shared" si="142"/>
        <v/>
      </c>
    </row>
    <row r="5893" spans="4:4" x14ac:dyDescent="0.3">
      <c r="D5893" t="str">
        <f t="shared" si="142"/>
        <v/>
      </c>
    </row>
    <row r="5894" spans="4:4" x14ac:dyDescent="0.3">
      <c r="D5894" t="str">
        <f t="shared" si="142"/>
        <v/>
      </c>
    </row>
    <row r="5895" spans="4:4" x14ac:dyDescent="0.3">
      <c r="D5895" t="str">
        <f t="shared" si="142"/>
        <v/>
      </c>
    </row>
    <row r="5896" spans="4:4" x14ac:dyDescent="0.3">
      <c r="D5896" t="str">
        <f t="shared" si="142"/>
        <v/>
      </c>
    </row>
    <row r="5897" spans="4:4" x14ac:dyDescent="0.3">
      <c r="D5897" t="str">
        <f t="shared" ref="D5897:D5960" si="143">IF(LEFT(A5897,2)="SP",MID(A5897,4,4),IF(LEFT(A5897,1)="X",MID(A5897,3,4),""))</f>
        <v/>
      </c>
    </row>
    <row r="5898" spans="4:4" x14ac:dyDescent="0.3">
      <c r="D5898" t="str">
        <f t="shared" si="143"/>
        <v/>
      </c>
    </row>
    <row r="5899" spans="4:4" x14ac:dyDescent="0.3">
      <c r="D5899" t="str">
        <f t="shared" si="143"/>
        <v/>
      </c>
    </row>
    <row r="5900" spans="4:4" x14ac:dyDescent="0.3">
      <c r="D5900" t="str">
        <f t="shared" si="143"/>
        <v/>
      </c>
    </row>
    <row r="5901" spans="4:4" x14ac:dyDescent="0.3">
      <c r="D5901" t="str">
        <f t="shared" si="143"/>
        <v/>
      </c>
    </row>
    <row r="5902" spans="4:4" x14ac:dyDescent="0.3">
      <c r="D5902" t="str">
        <f t="shared" si="143"/>
        <v/>
      </c>
    </row>
    <row r="5903" spans="4:4" x14ac:dyDescent="0.3">
      <c r="D5903" t="str">
        <f t="shared" si="143"/>
        <v/>
      </c>
    </row>
    <row r="5904" spans="4:4" x14ac:dyDescent="0.3">
      <c r="D5904" t="str">
        <f t="shared" si="143"/>
        <v/>
      </c>
    </row>
    <row r="5905" spans="4:4" x14ac:dyDescent="0.3">
      <c r="D5905" t="str">
        <f t="shared" si="143"/>
        <v/>
      </c>
    </row>
    <row r="5906" spans="4:4" x14ac:dyDescent="0.3">
      <c r="D5906" t="str">
        <f t="shared" si="143"/>
        <v/>
      </c>
    </row>
    <row r="5907" spans="4:4" x14ac:dyDescent="0.3">
      <c r="D5907" t="str">
        <f t="shared" si="143"/>
        <v/>
      </c>
    </row>
    <row r="5908" spans="4:4" x14ac:dyDescent="0.3">
      <c r="D5908" t="str">
        <f t="shared" si="143"/>
        <v/>
      </c>
    </row>
    <row r="5909" spans="4:4" x14ac:dyDescent="0.3">
      <c r="D5909" t="str">
        <f t="shared" si="143"/>
        <v/>
      </c>
    </row>
    <row r="5910" spans="4:4" x14ac:dyDescent="0.3">
      <c r="D5910" t="str">
        <f t="shared" si="143"/>
        <v/>
      </c>
    </row>
    <row r="5911" spans="4:4" x14ac:dyDescent="0.3">
      <c r="D5911" t="str">
        <f t="shared" si="143"/>
        <v/>
      </c>
    </row>
    <row r="5912" spans="4:4" x14ac:dyDescent="0.3">
      <c r="D5912" t="str">
        <f t="shared" si="143"/>
        <v/>
      </c>
    </row>
    <row r="5913" spans="4:4" x14ac:dyDescent="0.3">
      <c r="D5913" t="str">
        <f t="shared" si="143"/>
        <v/>
      </c>
    </row>
    <row r="5914" spans="4:4" x14ac:dyDescent="0.3">
      <c r="D5914" t="str">
        <f t="shared" si="143"/>
        <v/>
      </c>
    </row>
    <row r="5915" spans="4:4" x14ac:dyDescent="0.3">
      <c r="D5915" t="str">
        <f t="shared" si="143"/>
        <v/>
      </c>
    </row>
    <row r="5916" spans="4:4" x14ac:dyDescent="0.3">
      <c r="D5916" t="str">
        <f t="shared" si="143"/>
        <v/>
      </c>
    </row>
    <row r="5917" spans="4:4" x14ac:dyDescent="0.3">
      <c r="D5917" t="str">
        <f t="shared" si="143"/>
        <v/>
      </c>
    </row>
    <row r="5918" spans="4:4" x14ac:dyDescent="0.3">
      <c r="D5918" t="str">
        <f t="shared" si="143"/>
        <v/>
      </c>
    </row>
    <row r="5919" spans="4:4" x14ac:dyDescent="0.3">
      <c r="D5919" t="str">
        <f t="shared" si="143"/>
        <v/>
      </c>
    </row>
    <row r="5920" spans="4:4" x14ac:dyDescent="0.3">
      <c r="D5920" t="str">
        <f t="shared" si="143"/>
        <v/>
      </c>
    </row>
    <row r="5921" spans="4:4" x14ac:dyDescent="0.3">
      <c r="D5921" t="str">
        <f t="shared" si="143"/>
        <v/>
      </c>
    </row>
    <row r="5922" spans="4:4" x14ac:dyDescent="0.3">
      <c r="D5922" t="str">
        <f t="shared" si="143"/>
        <v/>
      </c>
    </row>
    <row r="5923" spans="4:4" x14ac:dyDescent="0.3">
      <c r="D5923" t="str">
        <f t="shared" si="143"/>
        <v/>
      </c>
    </row>
    <row r="5924" spans="4:4" x14ac:dyDescent="0.3">
      <c r="D5924" t="str">
        <f t="shared" si="143"/>
        <v/>
      </c>
    </row>
    <row r="5925" spans="4:4" x14ac:dyDescent="0.3">
      <c r="D5925" t="str">
        <f t="shared" si="143"/>
        <v/>
      </c>
    </row>
    <row r="5926" spans="4:4" x14ac:dyDescent="0.3">
      <c r="D5926" t="str">
        <f t="shared" si="143"/>
        <v/>
      </c>
    </row>
    <row r="5927" spans="4:4" x14ac:dyDescent="0.3">
      <c r="D5927" t="str">
        <f t="shared" si="143"/>
        <v/>
      </c>
    </row>
    <row r="5928" spans="4:4" x14ac:dyDescent="0.3">
      <c r="D5928" t="str">
        <f t="shared" si="143"/>
        <v/>
      </c>
    </row>
    <row r="5929" spans="4:4" x14ac:dyDescent="0.3">
      <c r="D5929" t="str">
        <f t="shared" si="143"/>
        <v/>
      </c>
    </row>
    <row r="5930" spans="4:4" x14ac:dyDescent="0.3">
      <c r="D5930" t="str">
        <f t="shared" si="143"/>
        <v/>
      </c>
    </row>
    <row r="5931" spans="4:4" x14ac:dyDescent="0.3">
      <c r="D5931" t="str">
        <f t="shared" si="143"/>
        <v/>
      </c>
    </row>
    <row r="5932" spans="4:4" x14ac:dyDescent="0.3">
      <c r="D5932" t="str">
        <f t="shared" si="143"/>
        <v/>
      </c>
    </row>
    <row r="5933" spans="4:4" x14ac:dyDescent="0.3">
      <c r="D5933" t="str">
        <f t="shared" si="143"/>
        <v/>
      </c>
    </row>
    <row r="5934" spans="4:4" x14ac:dyDescent="0.3">
      <c r="D5934" t="str">
        <f t="shared" si="143"/>
        <v/>
      </c>
    </row>
    <row r="5935" spans="4:4" x14ac:dyDescent="0.3">
      <c r="D5935" t="str">
        <f t="shared" si="143"/>
        <v/>
      </c>
    </row>
    <row r="5936" spans="4:4" x14ac:dyDescent="0.3">
      <c r="D5936" t="str">
        <f t="shared" si="143"/>
        <v/>
      </c>
    </row>
    <row r="5937" spans="4:4" x14ac:dyDescent="0.3">
      <c r="D5937" t="str">
        <f t="shared" si="143"/>
        <v/>
      </c>
    </row>
    <row r="5938" spans="4:4" x14ac:dyDescent="0.3">
      <c r="D5938" t="str">
        <f t="shared" si="143"/>
        <v/>
      </c>
    </row>
    <row r="5939" spans="4:4" x14ac:dyDescent="0.3">
      <c r="D5939" t="str">
        <f t="shared" si="143"/>
        <v/>
      </c>
    </row>
    <row r="5940" spans="4:4" x14ac:dyDescent="0.3">
      <c r="D5940" t="str">
        <f t="shared" si="143"/>
        <v/>
      </c>
    </row>
    <row r="5941" spans="4:4" x14ac:dyDescent="0.3">
      <c r="D5941" t="str">
        <f t="shared" si="143"/>
        <v/>
      </c>
    </row>
    <row r="5942" spans="4:4" x14ac:dyDescent="0.3">
      <c r="D5942" t="str">
        <f t="shared" si="143"/>
        <v/>
      </c>
    </row>
    <row r="5943" spans="4:4" x14ac:dyDescent="0.3">
      <c r="D5943" t="str">
        <f t="shared" si="143"/>
        <v/>
      </c>
    </row>
    <row r="5944" spans="4:4" x14ac:dyDescent="0.3">
      <c r="D5944" t="str">
        <f t="shared" si="143"/>
        <v/>
      </c>
    </row>
    <row r="5945" spans="4:4" x14ac:dyDescent="0.3">
      <c r="D5945" t="str">
        <f t="shared" si="143"/>
        <v/>
      </c>
    </row>
    <row r="5946" spans="4:4" x14ac:dyDescent="0.3">
      <c r="D5946" t="str">
        <f t="shared" si="143"/>
        <v/>
      </c>
    </row>
    <row r="5947" spans="4:4" x14ac:dyDescent="0.3">
      <c r="D5947" t="str">
        <f t="shared" si="143"/>
        <v/>
      </c>
    </row>
    <row r="5948" spans="4:4" x14ac:dyDescent="0.3">
      <c r="D5948" t="str">
        <f t="shared" si="143"/>
        <v/>
      </c>
    </row>
    <row r="5949" spans="4:4" x14ac:dyDescent="0.3">
      <c r="D5949" t="str">
        <f t="shared" si="143"/>
        <v/>
      </c>
    </row>
    <row r="5950" spans="4:4" x14ac:dyDescent="0.3">
      <c r="D5950" t="str">
        <f t="shared" si="143"/>
        <v/>
      </c>
    </row>
    <row r="5951" spans="4:4" x14ac:dyDescent="0.3">
      <c r="D5951" t="str">
        <f t="shared" si="143"/>
        <v/>
      </c>
    </row>
    <row r="5952" spans="4:4" x14ac:dyDescent="0.3">
      <c r="D5952" t="str">
        <f t="shared" si="143"/>
        <v/>
      </c>
    </row>
    <row r="5953" spans="4:4" x14ac:dyDescent="0.3">
      <c r="D5953" t="str">
        <f t="shared" si="143"/>
        <v/>
      </c>
    </row>
    <row r="5954" spans="4:4" x14ac:dyDescent="0.3">
      <c r="D5954" t="str">
        <f t="shared" si="143"/>
        <v/>
      </c>
    </row>
    <row r="5955" spans="4:4" x14ac:dyDescent="0.3">
      <c r="D5955" t="str">
        <f t="shared" si="143"/>
        <v/>
      </c>
    </row>
    <row r="5956" spans="4:4" x14ac:dyDescent="0.3">
      <c r="D5956" t="str">
        <f t="shared" si="143"/>
        <v/>
      </c>
    </row>
    <row r="5957" spans="4:4" x14ac:dyDescent="0.3">
      <c r="D5957" t="str">
        <f t="shared" si="143"/>
        <v/>
      </c>
    </row>
    <row r="5958" spans="4:4" x14ac:dyDescent="0.3">
      <c r="D5958" t="str">
        <f t="shared" si="143"/>
        <v/>
      </c>
    </row>
    <row r="5959" spans="4:4" x14ac:dyDescent="0.3">
      <c r="D5959" t="str">
        <f t="shared" si="143"/>
        <v/>
      </c>
    </row>
    <row r="5960" spans="4:4" x14ac:dyDescent="0.3">
      <c r="D5960" t="str">
        <f t="shared" si="143"/>
        <v/>
      </c>
    </row>
    <row r="5961" spans="4:4" x14ac:dyDescent="0.3">
      <c r="D5961" t="str">
        <f t="shared" ref="D5961:D6024" si="144">IF(LEFT(A5961,2)="SP",MID(A5961,4,4),IF(LEFT(A5961,1)="X",MID(A5961,3,4),""))</f>
        <v/>
      </c>
    </row>
    <row r="5962" spans="4:4" x14ac:dyDescent="0.3">
      <c r="D5962" t="str">
        <f t="shared" si="144"/>
        <v/>
      </c>
    </row>
    <row r="5963" spans="4:4" x14ac:dyDescent="0.3">
      <c r="D5963" t="str">
        <f t="shared" si="144"/>
        <v/>
      </c>
    </row>
    <row r="5964" spans="4:4" x14ac:dyDescent="0.3">
      <c r="D5964" t="str">
        <f t="shared" si="144"/>
        <v/>
      </c>
    </row>
    <row r="5965" spans="4:4" x14ac:dyDescent="0.3">
      <c r="D5965" t="str">
        <f t="shared" si="144"/>
        <v/>
      </c>
    </row>
    <row r="5966" spans="4:4" x14ac:dyDescent="0.3">
      <c r="D5966" t="str">
        <f t="shared" si="144"/>
        <v/>
      </c>
    </row>
    <row r="5967" spans="4:4" x14ac:dyDescent="0.3">
      <c r="D5967" t="str">
        <f t="shared" si="144"/>
        <v/>
      </c>
    </row>
    <row r="5968" spans="4:4" x14ac:dyDescent="0.3">
      <c r="D5968" t="str">
        <f t="shared" si="144"/>
        <v/>
      </c>
    </row>
    <row r="5969" spans="4:4" x14ac:dyDescent="0.3">
      <c r="D5969" t="str">
        <f t="shared" si="144"/>
        <v/>
      </c>
    </row>
    <row r="5970" spans="4:4" x14ac:dyDescent="0.3">
      <c r="D5970" t="str">
        <f t="shared" si="144"/>
        <v/>
      </c>
    </row>
    <row r="5971" spans="4:4" x14ac:dyDescent="0.3">
      <c r="D5971" t="str">
        <f t="shared" si="144"/>
        <v/>
      </c>
    </row>
    <row r="5972" spans="4:4" x14ac:dyDescent="0.3">
      <c r="D5972" t="str">
        <f t="shared" si="144"/>
        <v/>
      </c>
    </row>
    <row r="5973" spans="4:4" x14ac:dyDescent="0.3">
      <c r="D5973" t="str">
        <f t="shared" si="144"/>
        <v/>
      </c>
    </row>
    <row r="5974" spans="4:4" x14ac:dyDescent="0.3">
      <c r="D5974" t="str">
        <f t="shared" si="144"/>
        <v/>
      </c>
    </row>
    <row r="5975" spans="4:4" x14ac:dyDescent="0.3">
      <c r="D5975" t="str">
        <f t="shared" si="144"/>
        <v/>
      </c>
    </row>
    <row r="5976" spans="4:4" x14ac:dyDescent="0.3">
      <c r="D5976" t="str">
        <f t="shared" si="144"/>
        <v/>
      </c>
    </row>
    <row r="5977" spans="4:4" x14ac:dyDescent="0.3">
      <c r="D5977" t="str">
        <f t="shared" si="144"/>
        <v/>
      </c>
    </row>
    <row r="5978" spans="4:4" x14ac:dyDescent="0.3">
      <c r="D5978" t="str">
        <f t="shared" si="144"/>
        <v/>
      </c>
    </row>
    <row r="5979" spans="4:4" x14ac:dyDescent="0.3">
      <c r="D5979" t="str">
        <f t="shared" si="144"/>
        <v/>
      </c>
    </row>
    <row r="5980" spans="4:4" x14ac:dyDescent="0.3">
      <c r="D5980" t="str">
        <f t="shared" si="144"/>
        <v/>
      </c>
    </row>
    <row r="5981" spans="4:4" x14ac:dyDescent="0.3">
      <c r="D5981" t="str">
        <f t="shared" si="144"/>
        <v/>
      </c>
    </row>
    <row r="5982" spans="4:4" x14ac:dyDescent="0.3">
      <c r="D5982" t="str">
        <f t="shared" si="144"/>
        <v/>
      </c>
    </row>
    <row r="5983" spans="4:4" x14ac:dyDescent="0.3">
      <c r="D5983" t="str">
        <f t="shared" si="144"/>
        <v/>
      </c>
    </row>
    <row r="5984" spans="4:4" x14ac:dyDescent="0.3">
      <c r="D5984" t="str">
        <f t="shared" si="144"/>
        <v/>
      </c>
    </row>
    <row r="5985" spans="4:4" x14ac:dyDescent="0.3">
      <c r="D5985" t="str">
        <f t="shared" si="144"/>
        <v/>
      </c>
    </row>
    <row r="5986" spans="4:4" x14ac:dyDescent="0.3">
      <c r="D5986" t="str">
        <f t="shared" si="144"/>
        <v/>
      </c>
    </row>
    <row r="5987" spans="4:4" x14ac:dyDescent="0.3">
      <c r="D5987" t="str">
        <f t="shared" si="144"/>
        <v/>
      </c>
    </row>
    <row r="5988" spans="4:4" x14ac:dyDescent="0.3">
      <c r="D5988" t="str">
        <f t="shared" si="144"/>
        <v/>
      </c>
    </row>
    <row r="5989" spans="4:4" x14ac:dyDescent="0.3">
      <c r="D5989" t="str">
        <f t="shared" si="144"/>
        <v/>
      </c>
    </row>
    <row r="5990" spans="4:4" x14ac:dyDescent="0.3">
      <c r="D5990" t="str">
        <f t="shared" si="144"/>
        <v/>
      </c>
    </row>
    <row r="5991" spans="4:4" x14ac:dyDescent="0.3">
      <c r="D5991" t="str">
        <f t="shared" si="144"/>
        <v/>
      </c>
    </row>
    <row r="5992" spans="4:4" x14ac:dyDescent="0.3">
      <c r="D5992" t="str">
        <f t="shared" si="144"/>
        <v/>
      </c>
    </row>
    <row r="5993" spans="4:4" x14ac:dyDescent="0.3">
      <c r="D5993" t="str">
        <f t="shared" si="144"/>
        <v/>
      </c>
    </row>
    <row r="5994" spans="4:4" x14ac:dyDescent="0.3">
      <c r="D5994" t="str">
        <f t="shared" si="144"/>
        <v/>
      </c>
    </row>
    <row r="5995" spans="4:4" x14ac:dyDescent="0.3">
      <c r="D5995" t="str">
        <f t="shared" si="144"/>
        <v/>
      </c>
    </row>
    <row r="5996" spans="4:4" x14ac:dyDescent="0.3">
      <c r="D5996" t="str">
        <f t="shared" si="144"/>
        <v/>
      </c>
    </row>
    <row r="5997" spans="4:4" x14ac:dyDescent="0.3">
      <c r="D5997" t="str">
        <f t="shared" si="144"/>
        <v/>
      </c>
    </row>
    <row r="5998" spans="4:4" x14ac:dyDescent="0.3">
      <c r="D5998" t="str">
        <f t="shared" si="144"/>
        <v/>
      </c>
    </row>
    <row r="5999" spans="4:4" x14ac:dyDescent="0.3">
      <c r="D5999" t="str">
        <f t="shared" si="144"/>
        <v/>
      </c>
    </row>
    <row r="6000" spans="4:4" x14ac:dyDescent="0.3">
      <c r="D6000" t="str">
        <f t="shared" si="144"/>
        <v/>
      </c>
    </row>
    <row r="6001" spans="4:4" x14ac:dyDescent="0.3">
      <c r="D6001" t="str">
        <f t="shared" si="144"/>
        <v/>
      </c>
    </row>
    <row r="6002" spans="4:4" x14ac:dyDescent="0.3">
      <c r="D6002" t="str">
        <f t="shared" si="144"/>
        <v/>
      </c>
    </row>
    <row r="6003" spans="4:4" x14ac:dyDescent="0.3">
      <c r="D6003" t="str">
        <f t="shared" si="144"/>
        <v/>
      </c>
    </row>
    <row r="6004" spans="4:4" x14ac:dyDescent="0.3">
      <c r="D6004" t="str">
        <f t="shared" si="144"/>
        <v/>
      </c>
    </row>
    <row r="6005" spans="4:4" x14ac:dyDescent="0.3">
      <c r="D6005" t="str">
        <f t="shared" si="144"/>
        <v/>
      </c>
    </row>
    <row r="6006" spans="4:4" x14ac:dyDescent="0.3">
      <c r="D6006" t="str">
        <f t="shared" si="144"/>
        <v/>
      </c>
    </row>
    <row r="6007" spans="4:4" x14ac:dyDescent="0.3">
      <c r="D6007" t="str">
        <f t="shared" si="144"/>
        <v/>
      </c>
    </row>
    <row r="6008" spans="4:4" x14ac:dyDescent="0.3">
      <c r="D6008" t="str">
        <f t="shared" si="144"/>
        <v/>
      </c>
    </row>
    <row r="6009" spans="4:4" x14ac:dyDescent="0.3">
      <c r="D6009" t="str">
        <f t="shared" si="144"/>
        <v/>
      </c>
    </row>
    <row r="6010" spans="4:4" x14ac:dyDescent="0.3">
      <c r="D6010" t="str">
        <f t="shared" si="144"/>
        <v/>
      </c>
    </row>
    <row r="6011" spans="4:4" x14ac:dyDescent="0.3">
      <c r="D6011" t="str">
        <f t="shared" si="144"/>
        <v/>
      </c>
    </row>
    <row r="6012" spans="4:4" x14ac:dyDescent="0.3">
      <c r="D6012" t="str">
        <f t="shared" si="144"/>
        <v/>
      </c>
    </row>
    <row r="6013" spans="4:4" x14ac:dyDescent="0.3">
      <c r="D6013" t="str">
        <f t="shared" si="144"/>
        <v/>
      </c>
    </row>
    <row r="6014" spans="4:4" x14ac:dyDescent="0.3">
      <c r="D6014" t="str">
        <f t="shared" si="144"/>
        <v/>
      </c>
    </row>
    <row r="6015" spans="4:4" x14ac:dyDescent="0.3">
      <c r="D6015" t="str">
        <f t="shared" si="144"/>
        <v/>
      </c>
    </row>
    <row r="6016" spans="4:4" x14ac:dyDescent="0.3">
      <c r="D6016" t="str">
        <f t="shared" si="144"/>
        <v/>
      </c>
    </row>
    <row r="6017" spans="4:4" x14ac:dyDescent="0.3">
      <c r="D6017" t="str">
        <f t="shared" si="144"/>
        <v/>
      </c>
    </row>
    <row r="6018" spans="4:4" x14ac:dyDescent="0.3">
      <c r="D6018" t="str">
        <f t="shared" si="144"/>
        <v/>
      </c>
    </row>
    <row r="6019" spans="4:4" x14ac:dyDescent="0.3">
      <c r="D6019" t="str">
        <f t="shared" si="144"/>
        <v/>
      </c>
    </row>
    <row r="6020" spans="4:4" x14ac:dyDescent="0.3">
      <c r="D6020" t="str">
        <f t="shared" si="144"/>
        <v/>
      </c>
    </row>
    <row r="6021" spans="4:4" x14ac:dyDescent="0.3">
      <c r="D6021" t="str">
        <f t="shared" si="144"/>
        <v/>
      </c>
    </row>
    <row r="6022" spans="4:4" x14ac:dyDescent="0.3">
      <c r="D6022" t="str">
        <f t="shared" si="144"/>
        <v/>
      </c>
    </row>
    <row r="6023" spans="4:4" x14ac:dyDescent="0.3">
      <c r="D6023" t="str">
        <f t="shared" si="144"/>
        <v/>
      </c>
    </row>
    <row r="6024" spans="4:4" x14ac:dyDescent="0.3">
      <c r="D6024" t="str">
        <f t="shared" si="144"/>
        <v/>
      </c>
    </row>
    <row r="6025" spans="4:4" x14ac:dyDescent="0.3">
      <c r="D6025" t="str">
        <f t="shared" ref="D6025:D6088" si="145">IF(LEFT(A6025,2)="SP",MID(A6025,4,4),IF(LEFT(A6025,1)="X",MID(A6025,3,4),""))</f>
        <v/>
      </c>
    </row>
    <row r="6026" spans="4:4" x14ac:dyDescent="0.3">
      <c r="D6026" t="str">
        <f t="shared" si="145"/>
        <v/>
      </c>
    </row>
    <row r="6027" spans="4:4" x14ac:dyDescent="0.3">
      <c r="D6027" t="str">
        <f t="shared" si="145"/>
        <v/>
      </c>
    </row>
    <row r="6028" spans="4:4" x14ac:dyDescent="0.3">
      <c r="D6028" t="str">
        <f t="shared" si="145"/>
        <v/>
      </c>
    </row>
    <row r="6029" spans="4:4" x14ac:dyDescent="0.3">
      <c r="D6029" t="str">
        <f t="shared" si="145"/>
        <v/>
      </c>
    </row>
    <row r="6030" spans="4:4" x14ac:dyDescent="0.3">
      <c r="D6030" t="str">
        <f t="shared" si="145"/>
        <v/>
      </c>
    </row>
    <row r="6031" spans="4:4" x14ac:dyDescent="0.3">
      <c r="D6031" t="str">
        <f t="shared" si="145"/>
        <v/>
      </c>
    </row>
    <row r="6032" spans="4:4" x14ac:dyDescent="0.3">
      <c r="D6032" t="str">
        <f t="shared" si="145"/>
        <v/>
      </c>
    </row>
    <row r="6033" spans="4:4" x14ac:dyDescent="0.3">
      <c r="D6033" t="str">
        <f t="shared" si="145"/>
        <v/>
      </c>
    </row>
    <row r="6034" spans="4:4" x14ac:dyDescent="0.3">
      <c r="D6034" t="str">
        <f t="shared" si="145"/>
        <v/>
      </c>
    </row>
    <row r="6035" spans="4:4" x14ac:dyDescent="0.3">
      <c r="D6035" t="str">
        <f t="shared" si="145"/>
        <v/>
      </c>
    </row>
    <row r="6036" spans="4:4" x14ac:dyDescent="0.3">
      <c r="D6036" t="str">
        <f t="shared" si="145"/>
        <v/>
      </c>
    </row>
    <row r="6037" spans="4:4" x14ac:dyDescent="0.3">
      <c r="D6037" t="str">
        <f t="shared" si="145"/>
        <v/>
      </c>
    </row>
    <row r="6038" spans="4:4" x14ac:dyDescent="0.3">
      <c r="D6038" t="str">
        <f t="shared" si="145"/>
        <v/>
      </c>
    </row>
    <row r="6039" spans="4:4" x14ac:dyDescent="0.3">
      <c r="D6039" t="str">
        <f t="shared" si="145"/>
        <v/>
      </c>
    </row>
    <row r="6040" spans="4:4" x14ac:dyDescent="0.3">
      <c r="D6040" t="str">
        <f t="shared" si="145"/>
        <v/>
      </c>
    </row>
    <row r="6041" spans="4:4" x14ac:dyDescent="0.3">
      <c r="D6041" t="str">
        <f t="shared" si="145"/>
        <v/>
      </c>
    </row>
    <row r="6042" spans="4:4" x14ac:dyDescent="0.3">
      <c r="D6042" t="str">
        <f t="shared" si="145"/>
        <v/>
      </c>
    </row>
    <row r="6043" spans="4:4" x14ac:dyDescent="0.3">
      <c r="D6043" t="str">
        <f t="shared" si="145"/>
        <v/>
      </c>
    </row>
    <row r="6044" spans="4:4" x14ac:dyDescent="0.3">
      <c r="D6044" t="str">
        <f t="shared" si="145"/>
        <v/>
      </c>
    </row>
    <row r="6045" spans="4:4" x14ac:dyDescent="0.3">
      <c r="D6045" t="str">
        <f t="shared" si="145"/>
        <v/>
      </c>
    </row>
    <row r="6046" spans="4:4" x14ac:dyDescent="0.3">
      <c r="D6046" t="str">
        <f t="shared" si="145"/>
        <v/>
      </c>
    </row>
    <row r="6047" spans="4:4" x14ac:dyDescent="0.3">
      <c r="D6047" t="str">
        <f t="shared" si="145"/>
        <v/>
      </c>
    </row>
    <row r="6048" spans="4:4" x14ac:dyDescent="0.3">
      <c r="D6048" t="str">
        <f t="shared" si="145"/>
        <v/>
      </c>
    </row>
    <row r="6049" spans="4:4" x14ac:dyDescent="0.3">
      <c r="D6049" t="str">
        <f t="shared" si="145"/>
        <v/>
      </c>
    </row>
    <row r="6050" spans="4:4" x14ac:dyDescent="0.3">
      <c r="D6050" t="str">
        <f t="shared" si="145"/>
        <v/>
      </c>
    </row>
    <row r="6051" spans="4:4" x14ac:dyDescent="0.3">
      <c r="D6051" t="str">
        <f t="shared" si="145"/>
        <v/>
      </c>
    </row>
    <row r="6052" spans="4:4" x14ac:dyDescent="0.3">
      <c r="D6052" t="str">
        <f t="shared" si="145"/>
        <v/>
      </c>
    </row>
    <row r="6053" spans="4:4" x14ac:dyDescent="0.3">
      <c r="D6053" t="str">
        <f t="shared" si="145"/>
        <v/>
      </c>
    </row>
    <row r="6054" spans="4:4" x14ac:dyDescent="0.3">
      <c r="D6054" t="str">
        <f t="shared" si="145"/>
        <v/>
      </c>
    </row>
    <row r="6055" spans="4:4" x14ac:dyDescent="0.3">
      <c r="D6055" t="str">
        <f t="shared" si="145"/>
        <v/>
      </c>
    </row>
    <row r="6056" spans="4:4" x14ac:dyDescent="0.3">
      <c r="D6056" t="str">
        <f t="shared" si="145"/>
        <v/>
      </c>
    </row>
    <row r="6057" spans="4:4" x14ac:dyDescent="0.3">
      <c r="D6057" t="str">
        <f t="shared" si="145"/>
        <v/>
      </c>
    </row>
    <row r="6058" spans="4:4" x14ac:dyDescent="0.3">
      <c r="D6058" t="str">
        <f t="shared" si="145"/>
        <v/>
      </c>
    </row>
    <row r="6059" spans="4:4" x14ac:dyDescent="0.3">
      <c r="D6059" t="str">
        <f t="shared" si="145"/>
        <v/>
      </c>
    </row>
    <row r="6060" spans="4:4" x14ac:dyDescent="0.3">
      <c r="D6060" t="str">
        <f t="shared" si="145"/>
        <v/>
      </c>
    </row>
    <row r="6061" spans="4:4" x14ac:dyDescent="0.3">
      <c r="D6061" t="str">
        <f t="shared" si="145"/>
        <v/>
      </c>
    </row>
    <row r="6062" spans="4:4" x14ac:dyDescent="0.3">
      <c r="D6062" t="str">
        <f t="shared" si="145"/>
        <v/>
      </c>
    </row>
    <row r="6063" spans="4:4" x14ac:dyDescent="0.3">
      <c r="D6063" t="str">
        <f t="shared" si="145"/>
        <v/>
      </c>
    </row>
    <row r="6064" spans="4:4" x14ac:dyDescent="0.3">
      <c r="D6064" t="str">
        <f t="shared" si="145"/>
        <v/>
      </c>
    </row>
    <row r="6065" spans="4:4" x14ac:dyDescent="0.3">
      <c r="D6065" t="str">
        <f t="shared" si="145"/>
        <v/>
      </c>
    </row>
    <row r="6066" spans="4:4" x14ac:dyDescent="0.3">
      <c r="D6066" t="str">
        <f t="shared" si="145"/>
        <v/>
      </c>
    </row>
    <row r="6067" spans="4:4" x14ac:dyDescent="0.3">
      <c r="D6067" t="str">
        <f t="shared" si="145"/>
        <v/>
      </c>
    </row>
    <row r="6068" spans="4:4" x14ac:dyDescent="0.3">
      <c r="D6068" t="str">
        <f t="shared" si="145"/>
        <v/>
      </c>
    </row>
    <row r="6069" spans="4:4" x14ac:dyDescent="0.3">
      <c r="D6069" t="str">
        <f t="shared" si="145"/>
        <v/>
      </c>
    </row>
    <row r="6070" spans="4:4" x14ac:dyDescent="0.3">
      <c r="D6070" t="str">
        <f t="shared" si="145"/>
        <v/>
      </c>
    </row>
    <row r="6071" spans="4:4" x14ac:dyDescent="0.3">
      <c r="D6071" t="str">
        <f t="shared" si="145"/>
        <v/>
      </c>
    </row>
    <row r="6072" spans="4:4" x14ac:dyDescent="0.3">
      <c r="D6072" t="str">
        <f t="shared" si="145"/>
        <v/>
      </c>
    </row>
    <row r="6073" spans="4:4" x14ac:dyDescent="0.3">
      <c r="D6073" t="str">
        <f t="shared" si="145"/>
        <v/>
      </c>
    </row>
    <row r="6074" spans="4:4" x14ac:dyDescent="0.3">
      <c r="D6074" t="str">
        <f t="shared" si="145"/>
        <v/>
      </c>
    </row>
    <row r="6075" spans="4:4" x14ac:dyDescent="0.3">
      <c r="D6075" t="str">
        <f t="shared" si="145"/>
        <v/>
      </c>
    </row>
    <row r="6076" spans="4:4" x14ac:dyDescent="0.3">
      <c r="D6076" t="str">
        <f t="shared" si="145"/>
        <v/>
      </c>
    </row>
    <row r="6077" spans="4:4" x14ac:dyDescent="0.3">
      <c r="D6077" t="str">
        <f t="shared" si="145"/>
        <v/>
      </c>
    </row>
    <row r="6078" spans="4:4" x14ac:dyDescent="0.3">
      <c r="D6078" t="str">
        <f t="shared" si="145"/>
        <v/>
      </c>
    </row>
    <row r="6079" spans="4:4" x14ac:dyDescent="0.3">
      <c r="D6079" t="str">
        <f t="shared" si="145"/>
        <v/>
      </c>
    </row>
    <row r="6080" spans="4:4" x14ac:dyDescent="0.3">
      <c r="D6080" t="str">
        <f t="shared" si="145"/>
        <v/>
      </c>
    </row>
    <row r="6081" spans="4:4" x14ac:dyDescent="0.3">
      <c r="D6081" t="str">
        <f t="shared" si="145"/>
        <v/>
      </c>
    </row>
    <row r="6082" spans="4:4" x14ac:dyDescent="0.3">
      <c r="D6082" t="str">
        <f t="shared" si="145"/>
        <v/>
      </c>
    </row>
    <row r="6083" spans="4:4" x14ac:dyDescent="0.3">
      <c r="D6083" t="str">
        <f t="shared" si="145"/>
        <v/>
      </c>
    </row>
    <row r="6084" spans="4:4" x14ac:dyDescent="0.3">
      <c r="D6084" t="str">
        <f t="shared" si="145"/>
        <v/>
      </c>
    </row>
    <row r="6085" spans="4:4" x14ac:dyDescent="0.3">
      <c r="D6085" t="str">
        <f t="shared" si="145"/>
        <v/>
      </c>
    </row>
    <row r="6086" spans="4:4" x14ac:dyDescent="0.3">
      <c r="D6086" t="str">
        <f t="shared" si="145"/>
        <v/>
      </c>
    </row>
    <row r="6087" spans="4:4" x14ac:dyDescent="0.3">
      <c r="D6087" t="str">
        <f t="shared" si="145"/>
        <v/>
      </c>
    </row>
    <row r="6088" spans="4:4" x14ac:dyDescent="0.3">
      <c r="D6088" t="str">
        <f t="shared" si="145"/>
        <v/>
      </c>
    </row>
    <row r="6089" spans="4:4" x14ac:dyDescent="0.3">
      <c r="D6089" t="str">
        <f t="shared" ref="D6089:D6152" si="146">IF(LEFT(A6089,2)="SP",MID(A6089,4,4),IF(LEFT(A6089,1)="X",MID(A6089,3,4),""))</f>
        <v/>
      </c>
    </row>
    <row r="6090" spans="4:4" x14ac:dyDescent="0.3">
      <c r="D6090" t="str">
        <f t="shared" si="146"/>
        <v/>
      </c>
    </row>
    <row r="6091" spans="4:4" x14ac:dyDescent="0.3">
      <c r="D6091" t="str">
        <f t="shared" si="146"/>
        <v/>
      </c>
    </row>
    <row r="6092" spans="4:4" x14ac:dyDescent="0.3">
      <c r="D6092" t="str">
        <f t="shared" si="146"/>
        <v/>
      </c>
    </row>
    <row r="6093" spans="4:4" x14ac:dyDescent="0.3">
      <c r="D6093" t="str">
        <f t="shared" si="146"/>
        <v/>
      </c>
    </row>
    <row r="6094" spans="4:4" x14ac:dyDescent="0.3">
      <c r="D6094" t="str">
        <f t="shared" si="146"/>
        <v/>
      </c>
    </row>
    <row r="6095" spans="4:4" x14ac:dyDescent="0.3">
      <c r="D6095" t="str">
        <f t="shared" si="146"/>
        <v/>
      </c>
    </row>
    <row r="6096" spans="4:4" x14ac:dyDescent="0.3">
      <c r="D6096" t="str">
        <f t="shared" si="146"/>
        <v/>
      </c>
    </row>
    <row r="6097" spans="4:4" x14ac:dyDescent="0.3">
      <c r="D6097" t="str">
        <f t="shared" si="146"/>
        <v/>
      </c>
    </row>
    <row r="6098" spans="4:4" x14ac:dyDescent="0.3">
      <c r="D6098" t="str">
        <f t="shared" si="146"/>
        <v/>
      </c>
    </row>
    <row r="6099" spans="4:4" x14ac:dyDescent="0.3">
      <c r="D6099" t="str">
        <f t="shared" si="146"/>
        <v/>
      </c>
    </row>
    <row r="6100" spans="4:4" x14ac:dyDescent="0.3">
      <c r="D6100" t="str">
        <f t="shared" si="146"/>
        <v/>
      </c>
    </row>
    <row r="6101" spans="4:4" x14ac:dyDescent="0.3">
      <c r="D6101" t="str">
        <f t="shared" si="146"/>
        <v/>
      </c>
    </row>
    <row r="6102" spans="4:4" x14ac:dyDescent="0.3">
      <c r="D6102" t="str">
        <f t="shared" si="146"/>
        <v/>
      </c>
    </row>
    <row r="6103" spans="4:4" x14ac:dyDescent="0.3">
      <c r="D6103" t="str">
        <f t="shared" si="146"/>
        <v/>
      </c>
    </row>
    <row r="6104" spans="4:4" x14ac:dyDescent="0.3">
      <c r="D6104" t="str">
        <f t="shared" si="146"/>
        <v/>
      </c>
    </row>
    <row r="6105" spans="4:4" x14ac:dyDescent="0.3">
      <c r="D6105" t="str">
        <f t="shared" si="146"/>
        <v/>
      </c>
    </row>
    <row r="6106" spans="4:4" x14ac:dyDescent="0.3">
      <c r="D6106" t="str">
        <f t="shared" si="146"/>
        <v/>
      </c>
    </row>
    <row r="6107" spans="4:4" x14ac:dyDescent="0.3">
      <c r="D6107" t="str">
        <f t="shared" si="146"/>
        <v/>
      </c>
    </row>
    <row r="6108" spans="4:4" x14ac:dyDescent="0.3">
      <c r="D6108" t="str">
        <f t="shared" si="146"/>
        <v/>
      </c>
    </row>
    <row r="6109" spans="4:4" x14ac:dyDescent="0.3">
      <c r="D6109" t="str">
        <f t="shared" si="146"/>
        <v/>
      </c>
    </row>
    <row r="6110" spans="4:4" x14ac:dyDescent="0.3">
      <c r="D6110" t="str">
        <f t="shared" si="146"/>
        <v/>
      </c>
    </row>
    <row r="6111" spans="4:4" x14ac:dyDescent="0.3">
      <c r="D6111" t="str">
        <f t="shared" si="146"/>
        <v/>
      </c>
    </row>
    <row r="6112" spans="4:4" x14ac:dyDescent="0.3">
      <c r="D6112" t="str">
        <f t="shared" si="146"/>
        <v/>
      </c>
    </row>
    <row r="6113" spans="4:4" x14ac:dyDescent="0.3">
      <c r="D6113" t="str">
        <f t="shared" si="146"/>
        <v/>
      </c>
    </row>
    <row r="6114" spans="4:4" x14ac:dyDescent="0.3">
      <c r="D6114" t="str">
        <f t="shared" si="146"/>
        <v/>
      </c>
    </row>
    <row r="6115" spans="4:4" x14ac:dyDescent="0.3">
      <c r="D6115" t="str">
        <f t="shared" si="146"/>
        <v/>
      </c>
    </row>
    <row r="6116" spans="4:4" x14ac:dyDescent="0.3">
      <c r="D6116" t="str">
        <f t="shared" si="146"/>
        <v/>
      </c>
    </row>
    <row r="6117" spans="4:4" x14ac:dyDescent="0.3">
      <c r="D6117" t="str">
        <f t="shared" si="146"/>
        <v/>
      </c>
    </row>
    <row r="6118" spans="4:4" x14ac:dyDescent="0.3">
      <c r="D6118" t="str">
        <f t="shared" si="146"/>
        <v/>
      </c>
    </row>
    <row r="6119" spans="4:4" x14ac:dyDescent="0.3">
      <c r="D6119" t="str">
        <f t="shared" si="146"/>
        <v/>
      </c>
    </row>
    <row r="6120" spans="4:4" x14ac:dyDescent="0.3">
      <c r="D6120" t="str">
        <f t="shared" si="146"/>
        <v/>
      </c>
    </row>
    <row r="6121" spans="4:4" x14ac:dyDescent="0.3">
      <c r="D6121" t="str">
        <f t="shared" si="146"/>
        <v/>
      </c>
    </row>
    <row r="6122" spans="4:4" x14ac:dyDescent="0.3">
      <c r="D6122" t="str">
        <f t="shared" si="146"/>
        <v/>
      </c>
    </row>
    <row r="6123" spans="4:4" x14ac:dyDescent="0.3">
      <c r="D6123" t="str">
        <f t="shared" si="146"/>
        <v/>
      </c>
    </row>
    <row r="6124" spans="4:4" x14ac:dyDescent="0.3">
      <c r="D6124" t="str">
        <f t="shared" si="146"/>
        <v/>
      </c>
    </row>
    <row r="6125" spans="4:4" x14ac:dyDescent="0.3">
      <c r="D6125" t="str">
        <f t="shared" si="146"/>
        <v/>
      </c>
    </row>
    <row r="6126" spans="4:4" x14ac:dyDescent="0.3">
      <c r="D6126" t="str">
        <f t="shared" si="146"/>
        <v/>
      </c>
    </row>
    <row r="6127" spans="4:4" x14ac:dyDescent="0.3">
      <c r="D6127" t="str">
        <f t="shared" si="146"/>
        <v/>
      </c>
    </row>
    <row r="6128" spans="4:4" x14ac:dyDescent="0.3">
      <c r="D6128" t="str">
        <f t="shared" si="146"/>
        <v/>
      </c>
    </row>
    <row r="6129" spans="4:4" x14ac:dyDescent="0.3">
      <c r="D6129" t="str">
        <f t="shared" si="146"/>
        <v/>
      </c>
    </row>
    <row r="6130" spans="4:4" x14ac:dyDescent="0.3">
      <c r="D6130" t="str">
        <f t="shared" si="146"/>
        <v/>
      </c>
    </row>
    <row r="6131" spans="4:4" x14ac:dyDescent="0.3">
      <c r="D6131" t="str">
        <f t="shared" si="146"/>
        <v/>
      </c>
    </row>
    <row r="6132" spans="4:4" x14ac:dyDescent="0.3">
      <c r="D6132" t="str">
        <f t="shared" si="146"/>
        <v/>
      </c>
    </row>
    <row r="6133" spans="4:4" x14ac:dyDescent="0.3">
      <c r="D6133" t="str">
        <f t="shared" si="146"/>
        <v/>
      </c>
    </row>
    <row r="6134" spans="4:4" x14ac:dyDescent="0.3">
      <c r="D6134" t="str">
        <f t="shared" si="146"/>
        <v/>
      </c>
    </row>
    <row r="6135" spans="4:4" x14ac:dyDescent="0.3">
      <c r="D6135" t="str">
        <f t="shared" si="146"/>
        <v/>
      </c>
    </row>
    <row r="6136" spans="4:4" x14ac:dyDescent="0.3">
      <c r="D6136" t="str">
        <f t="shared" si="146"/>
        <v/>
      </c>
    </row>
    <row r="6137" spans="4:4" x14ac:dyDescent="0.3">
      <c r="D6137" t="str">
        <f t="shared" si="146"/>
        <v/>
      </c>
    </row>
    <row r="6138" spans="4:4" x14ac:dyDescent="0.3">
      <c r="D6138" t="str">
        <f t="shared" si="146"/>
        <v/>
      </c>
    </row>
    <row r="6139" spans="4:4" x14ac:dyDescent="0.3">
      <c r="D6139" t="str">
        <f t="shared" si="146"/>
        <v/>
      </c>
    </row>
    <row r="6140" spans="4:4" x14ac:dyDescent="0.3">
      <c r="D6140" t="str">
        <f t="shared" si="146"/>
        <v/>
      </c>
    </row>
    <row r="6141" spans="4:4" x14ac:dyDescent="0.3">
      <c r="D6141" t="str">
        <f t="shared" si="146"/>
        <v/>
      </c>
    </row>
    <row r="6142" spans="4:4" x14ac:dyDescent="0.3">
      <c r="D6142" t="str">
        <f t="shared" si="146"/>
        <v/>
      </c>
    </row>
    <row r="6143" spans="4:4" x14ac:dyDescent="0.3">
      <c r="D6143" t="str">
        <f t="shared" si="146"/>
        <v/>
      </c>
    </row>
    <row r="6144" spans="4:4" x14ac:dyDescent="0.3">
      <c r="D6144" t="str">
        <f t="shared" si="146"/>
        <v/>
      </c>
    </row>
    <row r="6145" spans="4:4" x14ac:dyDescent="0.3">
      <c r="D6145" t="str">
        <f t="shared" si="146"/>
        <v/>
      </c>
    </row>
    <row r="6146" spans="4:4" x14ac:dyDescent="0.3">
      <c r="D6146" t="str">
        <f t="shared" si="146"/>
        <v/>
      </c>
    </row>
    <row r="6147" spans="4:4" x14ac:dyDescent="0.3">
      <c r="D6147" t="str">
        <f t="shared" si="146"/>
        <v/>
      </c>
    </row>
    <row r="6148" spans="4:4" x14ac:dyDescent="0.3">
      <c r="D6148" t="str">
        <f t="shared" si="146"/>
        <v/>
      </c>
    </row>
    <row r="6149" spans="4:4" x14ac:dyDescent="0.3">
      <c r="D6149" t="str">
        <f t="shared" si="146"/>
        <v/>
      </c>
    </row>
    <row r="6150" spans="4:4" x14ac:dyDescent="0.3">
      <c r="D6150" t="str">
        <f t="shared" si="146"/>
        <v/>
      </c>
    </row>
    <row r="6151" spans="4:4" x14ac:dyDescent="0.3">
      <c r="D6151" t="str">
        <f t="shared" si="146"/>
        <v/>
      </c>
    </row>
    <row r="6152" spans="4:4" x14ac:dyDescent="0.3">
      <c r="D6152" t="str">
        <f t="shared" si="146"/>
        <v/>
      </c>
    </row>
    <row r="6153" spans="4:4" x14ac:dyDescent="0.3">
      <c r="D6153" t="str">
        <f t="shared" ref="D6153:D6216" si="147">IF(LEFT(A6153,2)="SP",MID(A6153,4,4),IF(LEFT(A6153,1)="X",MID(A6153,3,4),""))</f>
        <v/>
      </c>
    </row>
    <row r="6154" spans="4:4" x14ac:dyDescent="0.3">
      <c r="D6154" t="str">
        <f t="shared" si="147"/>
        <v/>
      </c>
    </row>
    <row r="6155" spans="4:4" x14ac:dyDescent="0.3">
      <c r="D6155" t="str">
        <f t="shared" si="147"/>
        <v/>
      </c>
    </row>
    <row r="6156" spans="4:4" x14ac:dyDescent="0.3">
      <c r="D6156" t="str">
        <f t="shared" si="147"/>
        <v/>
      </c>
    </row>
    <row r="6157" spans="4:4" x14ac:dyDescent="0.3">
      <c r="D6157" t="str">
        <f t="shared" si="147"/>
        <v/>
      </c>
    </row>
    <row r="6158" spans="4:4" x14ac:dyDescent="0.3">
      <c r="D6158" t="str">
        <f t="shared" si="147"/>
        <v/>
      </c>
    </row>
    <row r="6159" spans="4:4" x14ac:dyDescent="0.3">
      <c r="D6159" t="str">
        <f t="shared" si="147"/>
        <v/>
      </c>
    </row>
    <row r="6160" spans="4:4" x14ac:dyDescent="0.3">
      <c r="D6160" t="str">
        <f t="shared" si="147"/>
        <v/>
      </c>
    </row>
    <row r="6161" spans="4:4" x14ac:dyDescent="0.3">
      <c r="D6161" t="str">
        <f t="shared" si="147"/>
        <v/>
      </c>
    </row>
    <row r="6162" spans="4:4" x14ac:dyDescent="0.3">
      <c r="D6162" t="str">
        <f t="shared" si="147"/>
        <v/>
      </c>
    </row>
    <row r="6163" spans="4:4" x14ac:dyDescent="0.3">
      <c r="D6163" t="str">
        <f t="shared" si="147"/>
        <v/>
      </c>
    </row>
    <row r="6164" spans="4:4" x14ac:dyDescent="0.3">
      <c r="D6164" t="str">
        <f t="shared" si="147"/>
        <v/>
      </c>
    </row>
    <row r="6165" spans="4:4" x14ac:dyDescent="0.3">
      <c r="D6165" t="str">
        <f t="shared" si="147"/>
        <v/>
      </c>
    </row>
    <row r="6166" spans="4:4" x14ac:dyDescent="0.3">
      <c r="D6166" t="str">
        <f t="shared" si="147"/>
        <v/>
      </c>
    </row>
    <row r="6167" spans="4:4" x14ac:dyDescent="0.3">
      <c r="D6167" t="str">
        <f t="shared" si="147"/>
        <v/>
      </c>
    </row>
    <row r="6168" spans="4:4" x14ac:dyDescent="0.3">
      <c r="D6168" t="str">
        <f t="shared" si="147"/>
        <v/>
      </c>
    </row>
    <row r="6169" spans="4:4" x14ac:dyDescent="0.3">
      <c r="D6169" t="str">
        <f t="shared" si="147"/>
        <v/>
      </c>
    </row>
    <row r="6170" spans="4:4" x14ac:dyDescent="0.3">
      <c r="D6170" t="str">
        <f t="shared" si="147"/>
        <v/>
      </c>
    </row>
    <row r="6171" spans="4:4" x14ac:dyDescent="0.3">
      <c r="D6171" t="str">
        <f t="shared" si="147"/>
        <v/>
      </c>
    </row>
    <row r="6172" spans="4:4" x14ac:dyDescent="0.3">
      <c r="D6172" t="str">
        <f t="shared" si="147"/>
        <v/>
      </c>
    </row>
    <row r="6173" spans="4:4" x14ac:dyDescent="0.3">
      <c r="D6173" t="str">
        <f t="shared" si="147"/>
        <v/>
      </c>
    </row>
    <row r="6174" spans="4:4" x14ac:dyDescent="0.3">
      <c r="D6174" t="str">
        <f t="shared" si="147"/>
        <v/>
      </c>
    </row>
    <row r="6175" spans="4:4" x14ac:dyDescent="0.3">
      <c r="D6175" t="str">
        <f t="shared" si="147"/>
        <v/>
      </c>
    </row>
    <row r="6176" spans="4:4" x14ac:dyDescent="0.3">
      <c r="D6176" t="str">
        <f t="shared" si="147"/>
        <v/>
      </c>
    </row>
    <row r="6177" spans="4:4" x14ac:dyDescent="0.3">
      <c r="D6177" t="str">
        <f t="shared" si="147"/>
        <v/>
      </c>
    </row>
    <row r="6178" spans="4:4" x14ac:dyDescent="0.3">
      <c r="D6178" t="str">
        <f t="shared" si="147"/>
        <v/>
      </c>
    </row>
    <row r="6179" spans="4:4" x14ac:dyDescent="0.3">
      <c r="D6179" t="str">
        <f t="shared" si="147"/>
        <v/>
      </c>
    </row>
    <row r="6180" spans="4:4" x14ac:dyDescent="0.3">
      <c r="D6180" t="str">
        <f t="shared" si="147"/>
        <v/>
      </c>
    </row>
    <row r="6181" spans="4:4" x14ac:dyDescent="0.3">
      <c r="D6181" t="str">
        <f t="shared" si="147"/>
        <v/>
      </c>
    </row>
    <row r="6182" spans="4:4" x14ac:dyDescent="0.3">
      <c r="D6182" t="str">
        <f t="shared" si="147"/>
        <v/>
      </c>
    </row>
    <row r="6183" spans="4:4" x14ac:dyDescent="0.3">
      <c r="D6183" t="str">
        <f t="shared" si="147"/>
        <v/>
      </c>
    </row>
    <row r="6184" spans="4:4" x14ac:dyDescent="0.3">
      <c r="D6184" t="str">
        <f t="shared" si="147"/>
        <v/>
      </c>
    </row>
    <row r="6185" spans="4:4" x14ac:dyDescent="0.3">
      <c r="D6185" t="str">
        <f t="shared" si="147"/>
        <v/>
      </c>
    </row>
    <row r="6186" spans="4:4" x14ac:dyDescent="0.3">
      <c r="D6186" t="str">
        <f t="shared" si="147"/>
        <v/>
      </c>
    </row>
    <row r="6187" spans="4:4" x14ac:dyDescent="0.3">
      <c r="D6187" t="str">
        <f t="shared" si="147"/>
        <v/>
      </c>
    </row>
    <row r="6188" spans="4:4" x14ac:dyDescent="0.3">
      <c r="D6188" t="str">
        <f t="shared" si="147"/>
        <v/>
      </c>
    </row>
    <row r="6189" spans="4:4" x14ac:dyDescent="0.3">
      <c r="D6189" t="str">
        <f t="shared" si="147"/>
        <v/>
      </c>
    </row>
    <row r="6190" spans="4:4" x14ac:dyDescent="0.3">
      <c r="D6190" t="str">
        <f t="shared" si="147"/>
        <v/>
      </c>
    </row>
    <row r="6191" spans="4:4" x14ac:dyDescent="0.3">
      <c r="D6191" t="str">
        <f t="shared" si="147"/>
        <v/>
      </c>
    </row>
    <row r="6192" spans="4:4" x14ac:dyDescent="0.3">
      <c r="D6192" t="str">
        <f t="shared" si="147"/>
        <v/>
      </c>
    </row>
    <row r="6193" spans="4:4" x14ac:dyDescent="0.3">
      <c r="D6193" t="str">
        <f t="shared" si="147"/>
        <v/>
      </c>
    </row>
    <row r="6194" spans="4:4" x14ac:dyDescent="0.3">
      <c r="D6194" t="str">
        <f t="shared" si="147"/>
        <v/>
      </c>
    </row>
    <row r="6195" spans="4:4" x14ac:dyDescent="0.3">
      <c r="D6195" t="str">
        <f t="shared" si="147"/>
        <v/>
      </c>
    </row>
    <row r="6196" spans="4:4" x14ac:dyDescent="0.3">
      <c r="D6196" t="str">
        <f t="shared" si="147"/>
        <v/>
      </c>
    </row>
    <row r="6197" spans="4:4" x14ac:dyDescent="0.3">
      <c r="D6197" t="str">
        <f t="shared" si="147"/>
        <v/>
      </c>
    </row>
    <row r="6198" spans="4:4" x14ac:dyDescent="0.3">
      <c r="D6198" t="str">
        <f t="shared" si="147"/>
        <v/>
      </c>
    </row>
    <row r="6199" spans="4:4" x14ac:dyDescent="0.3">
      <c r="D6199" t="str">
        <f t="shared" si="147"/>
        <v/>
      </c>
    </row>
    <row r="6200" spans="4:4" x14ac:dyDescent="0.3">
      <c r="D6200" t="str">
        <f t="shared" si="147"/>
        <v/>
      </c>
    </row>
    <row r="6201" spans="4:4" x14ac:dyDescent="0.3">
      <c r="D6201" t="str">
        <f t="shared" si="147"/>
        <v/>
      </c>
    </row>
    <row r="6202" spans="4:4" x14ac:dyDescent="0.3">
      <c r="D6202" t="str">
        <f t="shared" si="147"/>
        <v/>
      </c>
    </row>
    <row r="6203" spans="4:4" x14ac:dyDescent="0.3">
      <c r="D6203" t="str">
        <f t="shared" si="147"/>
        <v/>
      </c>
    </row>
    <row r="6204" spans="4:4" x14ac:dyDescent="0.3">
      <c r="D6204" t="str">
        <f t="shared" si="147"/>
        <v/>
      </c>
    </row>
    <row r="6205" spans="4:4" x14ac:dyDescent="0.3">
      <c r="D6205" t="str">
        <f t="shared" si="147"/>
        <v/>
      </c>
    </row>
    <row r="6206" spans="4:4" x14ac:dyDescent="0.3">
      <c r="D6206" t="str">
        <f t="shared" si="147"/>
        <v/>
      </c>
    </row>
    <row r="6207" spans="4:4" x14ac:dyDescent="0.3">
      <c r="D6207" t="str">
        <f t="shared" si="147"/>
        <v/>
      </c>
    </row>
    <row r="6208" spans="4:4" x14ac:dyDescent="0.3">
      <c r="D6208" t="str">
        <f t="shared" si="147"/>
        <v/>
      </c>
    </row>
    <row r="6209" spans="4:4" x14ac:dyDescent="0.3">
      <c r="D6209" t="str">
        <f t="shared" si="147"/>
        <v/>
      </c>
    </row>
    <row r="6210" spans="4:4" x14ac:dyDescent="0.3">
      <c r="D6210" t="str">
        <f t="shared" si="147"/>
        <v/>
      </c>
    </row>
    <row r="6211" spans="4:4" x14ac:dyDescent="0.3">
      <c r="D6211" t="str">
        <f t="shared" si="147"/>
        <v/>
      </c>
    </row>
    <row r="6212" spans="4:4" x14ac:dyDescent="0.3">
      <c r="D6212" t="str">
        <f t="shared" si="147"/>
        <v/>
      </c>
    </row>
    <row r="6213" spans="4:4" x14ac:dyDescent="0.3">
      <c r="D6213" t="str">
        <f t="shared" si="147"/>
        <v/>
      </c>
    </row>
    <row r="6214" spans="4:4" x14ac:dyDescent="0.3">
      <c r="D6214" t="str">
        <f t="shared" si="147"/>
        <v/>
      </c>
    </row>
    <row r="6215" spans="4:4" x14ac:dyDescent="0.3">
      <c r="D6215" t="str">
        <f t="shared" si="147"/>
        <v/>
      </c>
    </row>
    <row r="6216" spans="4:4" x14ac:dyDescent="0.3">
      <c r="D6216" t="str">
        <f t="shared" si="147"/>
        <v/>
      </c>
    </row>
    <row r="6217" spans="4:4" x14ac:dyDescent="0.3">
      <c r="D6217" t="str">
        <f t="shared" ref="D6217:D6280" si="148">IF(LEFT(A6217,2)="SP",MID(A6217,4,4),IF(LEFT(A6217,1)="X",MID(A6217,3,4),""))</f>
        <v/>
      </c>
    </row>
    <row r="6218" spans="4:4" x14ac:dyDescent="0.3">
      <c r="D6218" t="str">
        <f t="shared" si="148"/>
        <v/>
      </c>
    </row>
    <row r="6219" spans="4:4" x14ac:dyDescent="0.3">
      <c r="D6219" t="str">
        <f t="shared" si="148"/>
        <v/>
      </c>
    </row>
    <row r="6220" spans="4:4" x14ac:dyDescent="0.3">
      <c r="D6220" t="str">
        <f t="shared" si="148"/>
        <v/>
      </c>
    </row>
    <row r="6221" spans="4:4" x14ac:dyDescent="0.3">
      <c r="D6221" t="str">
        <f t="shared" si="148"/>
        <v/>
      </c>
    </row>
    <row r="6222" spans="4:4" x14ac:dyDescent="0.3">
      <c r="D6222" t="str">
        <f t="shared" si="148"/>
        <v/>
      </c>
    </row>
    <row r="6223" spans="4:4" x14ac:dyDescent="0.3">
      <c r="D6223" t="str">
        <f t="shared" si="148"/>
        <v/>
      </c>
    </row>
    <row r="6224" spans="4:4" x14ac:dyDescent="0.3">
      <c r="D6224" t="str">
        <f t="shared" si="148"/>
        <v/>
      </c>
    </row>
    <row r="6225" spans="4:4" x14ac:dyDescent="0.3">
      <c r="D6225" t="str">
        <f t="shared" si="148"/>
        <v/>
      </c>
    </row>
    <row r="6226" spans="4:4" x14ac:dyDescent="0.3">
      <c r="D6226" t="str">
        <f t="shared" si="148"/>
        <v/>
      </c>
    </row>
    <row r="6227" spans="4:4" x14ac:dyDescent="0.3">
      <c r="D6227" t="str">
        <f t="shared" si="148"/>
        <v/>
      </c>
    </row>
    <row r="6228" spans="4:4" x14ac:dyDescent="0.3">
      <c r="D6228" t="str">
        <f t="shared" si="148"/>
        <v/>
      </c>
    </row>
    <row r="6229" spans="4:4" x14ac:dyDescent="0.3">
      <c r="D6229" t="str">
        <f t="shared" si="148"/>
        <v/>
      </c>
    </row>
    <row r="6230" spans="4:4" x14ac:dyDescent="0.3">
      <c r="D6230" t="str">
        <f t="shared" si="148"/>
        <v/>
      </c>
    </row>
    <row r="6231" spans="4:4" x14ac:dyDescent="0.3">
      <c r="D6231" t="str">
        <f t="shared" si="148"/>
        <v/>
      </c>
    </row>
    <row r="6232" spans="4:4" x14ac:dyDescent="0.3">
      <c r="D6232" t="str">
        <f t="shared" si="148"/>
        <v/>
      </c>
    </row>
    <row r="6233" spans="4:4" x14ac:dyDescent="0.3">
      <c r="D6233" t="str">
        <f t="shared" si="148"/>
        <v/>
      </c>
    </row>
    <row r="6234" spans="4:4" x14ac:dyDescent="0.3">
      <c r="D6234" t="str">
        <f t="shared" si="148"/>
        <v/>
      </c>
    </row>
    <row r="6235" spans="4:4" x14ac:dyDescent="0.3">
      <c r="D6235" t="str">
        <f t="shared" si="148"/>
        <v/>
      </c>
    </row>
    <row r="6236" spans="4:4" x14ac:dyDescent="0.3">
      <c r="D6236" t="str">
        <f t="shared" si="148"/>
        <v/>
      </c>
    </row>
    <row r="6237" spans="4:4" x14ac:dyDescent="0.3">
      <c r="D6237" t="str">
        <f t="shared" si="148"/>
        <v/>
      </c>
    </row>
    <row r="6238" spans="4:4" x14ac:dyDescent="0.3">
      <c r="D6238" t="str">
        <f t="shared" si="148"/>
        <v/>
      </c>
    </row>
    <row r="6239" spans="4:4" x14ac:dyDescent="0.3">
      <c r="D6239" t="str">
        <f t="shared" si="148"/>
        <v/>
      </c>
    </row>
    <row r="6240" spans="4:4" x14ac:dyDescent="0.3">
      <c r="D6240" t="str">
        <f t="shared" si="148"/>
        <v/>
      </c>
    </row>
    <row r="6241" spans="4:4" x14ac:dyDescent="0.3">
      <c r="D6241" t="str">
        <f t="shared" si="148"/>
        <v/>
      </c>
    </row>
    <row r="6242" spans="4:4" x14ac:dyDescent="0.3">
      <c r="D6242" t="str">
        <f t="shared" si="148"/>
        <v/>
      </c>
    </row>
    <row r="6243" spans="4:4" x14ac:dyDescent="0.3">
      <c r="D6243" t="str">
        <f t="shared" si="148"/>
        <v/>
      </c>
    </row>
    <row r="6244" spans="4:4" x14ac:dyDescent="0.3">
      <c r="D6244" t="str">
        <f t="shared" si="148"/>
        <v/>
      </c>
    </row>
    <row r="6245" spans="4:4" x14ac:dyDescent="0.3">
      <c r="D6245" t="str">
        <f t="shared" si="148"/>
        <v/>
      </c>
    </row>
    <row r="6246" spans="4:4" x14ac:dyDescent="0.3">
      <c r="D6246" t="str">
        <f t="shared" si="148"/>
        <v/>
      </c>
    </row>
    <row r="6247" spans="4:4" x14ac:dyDescent="0.3">
      <c r="D6247" t="str">
        <f t="shared" si="148"/>
        <v/>
      </c>
    </row>
    <row r="6248" spans="4:4" x14ac:dyDescent="0.3">
      <c r="D6248" t="str">
        <f t="shared" si="148"/>
        <v/>
      </c>
    </row>
    <row r="6249" spans="4:4" x14ac:dyDescent="0.3">
      <c r="D6249" t="str">
        <f t="shared" si="148"/>
        <v/>
      </c>
    </row>
    <row r="6250" spans="4:4" x14ac:dyDescent="0.3">
      <c r="D6250" t="str">
        <f t="shared" si="148"/>
        <v/>
      </c>
    </row>
    <row r="6251" spans="4:4" x14ac:dyDescent="0.3">
      <c r="D6251" t="str">
        <f t="shared" si="148"/>
        <v/>
      </c>
    </row>
    <row r="6252" spans="4:4" x14ac:dyDescent="0.3">
      <c r="D6252" t="str">
        <f t="shared" si="148"/>
        <v/>
      </c>
    </row>
    <row r="6253" spans="4:4" x14ac:dyDescent="0.3">
      <c r="D6253" t="str">
        <f t="shared" si="148"/>
        <v/>
      </c>
    </row>
    <row r="6254" spans="4:4" x14ac:dyDescent="0.3">
      <c r="D6254" t="str">
        <f t="shared" si="148"/>
        <v/>
      </c>
    </row>
    <row r="6255" spans="4:4" x14ac:dyDescent="0.3">
      <c r="D6255" t="str">
        <f t="shared" si="148"/>
        <v/>
      </c>
    </row>
    <row r="6256" spans="4:4" x14ac:dyDescent="0.3">
      <c r="D6256" t="str">
        <f t="shared" si="148"/>
        <v/>
      </c>
    </row>
    <row r="6257" spans="4:4" x14ac:dyDescent="0.3">
      <c r="D6257" t="str">
        <f t="shared" si="148"/>
        <v/>
      </c>
    </row>
    <row r="6258" spans="4:4" x14ac:dyDescent="0.3">
      <c r="D6258" t="str">
        <f t="shared" si="148"/>
        <v/>
      </c>
    </row>
    <row r="6259" spans="4:4" x14ac:dyDescent="0.3">
      <c r="D6259" t="str">
        <f t="shared" si="148"/>
        <v/>
      </c>
    </row>
    <row r="6260" spans="4:4" x14ac:dyDescent="0.3">
      <c r="D6260" t="str">
        <f t="shared" si="148"/>
        <v/>
      </c>
    </row>
    <row r="6261" spans="4:4" x14ac:dyDescent="0.3">
      <c r="D6261" t="str">
        <f t="shared" si="148"/>
        <v/>
      </c>
    </row>
    <row r="6262" spans="4:4" x14ac:dyDescent="0.3">
      <c r="D6262" t="str">
        <f t="shared" si="148"/>
        <v/>
      </c>
    </row>
    <row r="6263" spans="4:4" x14ac:dyDescent="0.3">
      <c r="D6263" t="str">
        <f t="shared" si="148"/>
        <v/>
      </c>
    </row>
    <row r="6264" spans="4:4" x14ac:dyDescent="0.3">
      <c r="D6264" t="str">
        <f t="shared" si="148"/>
        <v/>
      </c>
    </row>
    <row r="6265" spans="4:4" x14ac:dyDescent="0.3">
      <c r="D6265" t="str">
        <f t="shared" si="148"/>
        <v/>
      </c>
    </row>
    <row r="6266" spans="4:4" x14ac:dyDescent="0.3">
      <c r="D6266" t="str">
        <f t="shared" si="148"/>
        <v/>
      </c>
    </row>
    <row r="6267" spans="4:4" x14ac:dyDescent="0.3">
      <c r="D6267" t="str">
        <f t="shared" si="148"/>
        <v/>
      </c>
    </row>
    <row r="6268" spans="4:4" x14ac:dyDescent="0.3">
      <c r="D6268" t="str">
        <f t="shared" si="148"/>
        <v/>
      </c>
    </row>
    <row r="6269" spans="4:4" x14ac:dyDescent="0.3">
      <c r="D6269" t="str">
        <f t="shared" si="148"/>
        <v/>
      </c>
    </row>
    <row r="6270" spans="4:4" x14ac:dyDescent="0.3">
      <c r="D6270" t="str">
        <f t="shared" si="148"/>
        <v/>
      </c>
    </row>
    <row r="6271" spans="4:4" x14ac:dyDescent="0.3">
      <c r="D6271" t="str">
        <f t="shared" si="148"/>
        <v/>
      </c>
    </row>
    <row r="6272" spans="4:4" x14ac:dyDescent="0.3">
      <c r="D6272" t="str">
        <f t="shared" si="148"/>
        <v/>
      </c>
    </row>
    <row r="6273" spans="4:4" x14ac:dyDescent="0.3">
      <c r="D6273" t="str">
        <f t="shared" si="148"/>
        <v/>
      </c>
    </row>
    <row r="6274" spans="4:4" x14ac:dyDescent="0.3">
      <c r="D6274" t="str">
        <f t="shared" si="148"/>
        <v/>
      </c>
    </row>
    <row r="6275" spans="4:4" x14ac:dyDescent="0.3">
      <c r="D6275" t="str">
        <f t="shared" si="148"/>
        <v/>
      </c>
    </row>
    <row r="6276" spans="4:4" x14ac:dyDescent="0.3">
      <c r="D6276" t="str">
        <f t="shared" si="148"/>
        <v/>
      </c>
    </row>
    <row r="6277" spans="4:4" x14ac:dyDescent="0.3">
      <c r="D6277" t="str">
        <f t="shared" si="148"/>
        <v/>
      </c>
    </row>
    <row r="6278" spans="4:4" x14ac:dyDescent="0.3">
      <c r="D6278" t="str">
        <f t="shared" si="148"/>
        <v/>
      </c>
    </row>
    <row r="6279" spans="4:4" x14ac:dyDescent="0.3">
      <c r="D6279" t="str">
        <f t="shared" si="148"/>
        <v/>
      </c>
    </row>
    <row r="6280" spans="4:4" x14ac:dyDescent="0.3">
      <c r="D6280" t="str">
        <f t="shared" si="148"/>
        <v/>
      </c>
    </row>
    <row r="6281" spans="4:4" x14ac:dyDescent="0.3">
      <c r="D6281" t="str">
        <f t="shared" ref="D6281:D6344" si="149">IF(LEFT(A6281,2)="SP",MID(A6281,4,4),IF(LEFT(A6281,1)="X",MID(A6281,3,4),""))</f>
        <v/>
      </c>
    </row>
    <row r="6282" spans="4:4" x14ac:dyDescent="0.3">
      <c r="D6282" t="str">
        <f t="shared" si="149"/>
        <v/>
      </c>
    </row>
    <row r="6283" spans="4:4" x14ac:dyDescent="0.3">
      <c r="D6283" t="str">
        <f t="shared" si="149"/>
        <v/>
      </c>
    </row>
    <row r="6284" spans="4:4" x14ac:dyDescent="0.3">
      <c r="D6284" t="str">
        <f t="shared" si="149"/>
        <v/>
      </c>
    </row>
    <row r="6285" spans="4:4" x14ac:dyDescent="0.3">
      <c r="D6285" t="str">
        <f t="shared" si="149"/>
        <v/>
      </c>
    </row>
    <row r="6286" spans="4:4" x14ac:dyDescent="0.3">
      <c r="D6286" t="str">
        <f t="shared" si="149"/>
        <v/>
      </c>
    </row>
    <row r="6287" spans="4:4" x14ac:dyDescent="0.3">
      <c r="D6287" t="str">
        <f t="shared" si="149"/>
        <v/>
      </c>
    </row>
    <row r="6288" spans="4:4" x14ac:dyDescent="0.3">
      <c r="D6288" t="str">
        <f t="shared" si="149"/>
        <v/>
      </c>
    </row>
    <row r="6289" spans="4:4" x14ac:dyDescent="0.3">
      <c r="D6289" t="str">
        <f t="shared" si="149"/>
        <v/>
      </c>
    </row>
    <row r="6290" spans="4:4" x14ac:dyDescent="0.3">
      <c r="D6290" t="str">
        <f t="shared" si="149"/>
        <v/>
      </c>
    </row>
    <row r="6291" spans="4:4" x14ac:dyDescent="0.3">
      <c r="D6291" t="str">
        <f t="shared" si="149"/>
        <v/>
      </c>
    </row>
    <row r="6292" spans="4:4" x14ac:dyDescent="0.3">
      <c r="D6292" t="str">
        <f t="shared" si="149"/>
        <v/>
      </c>
    </row>
    <row r="6293" spans="4:4" x14ac:dyDescent="0.3">
      <c r="D6293" t="str">
        <f t="shared" si="149"/>
        <v/>
      </c>
    </row>
    <row r="6294" spans="4:4" x14ac:dyDescent="0.3">
      <c r="D6294" t="str">
        <f t="shared" si="149"/>
        <v/>
      </c>
    </row>
    <row r="6295" spans="4:4" x14ac:dyDescent="0.3">
      <c r="D6295" t="str">
        <f t="shared" si="149"/>
        <v/>
      </c>
    </row>
    <row r="6296" spans="4:4" x14ac:dyDescent="0.3">
      <c r="D6296" t="str">
        <f t="shared" si="149"/>
        <v/>
      </c>
    </row>
    <row r="6297" spans="4:4" x14ac:dyDescent="0.3">
      <c r="D6297" t="str">
        <f t="shared" si="149"/>
        <v/>
      </c>
    </row>
    <row r="6298" spans="4:4" x14ac:dyDescent="0.3">
      <c r="D6298" t="str">
        <f t="shared" si="149"/>
        <v/>
      </c>
    </row>
    <row r="6299" spans="4:4" x14ac:dyDescent="0.3">
      <c r="D6299" t="str">
        <f t="shared" si="149"/>
        <v/>
      </c>
    </row>
    <row r="6300" spans="4:4" x14ac:dyDescent="0.3">
      <c r="D6300" t="str">
        <f t="shared" si="149"/>
        <v/>
      </c>
    </row>
    <row r="6301" spans="4:4" x14ac:dyDescent="0.3">
      <c r="D6301" t="str">
        <f t="shared" si="149"/>
        <v/>
      </c>
    </row>
    <row r="6302" spans="4:4" x14ac:dyDescent="0.3">
      <c r="D6302" t="str">
        <f t="shared" si="149"/>
        <v/>
      </c>
    </row>
    <row r="6303" spans="4:4" x14ac:dyDescent="0.3">
      <c r="D6303" t="str">
        <f t="shared" si="149"/>
        <v/>
      </c>
    </row>
    <row r="6304" spans="4:4" x14ac:dyDescent="0.3">
      <c r="D6304" t="str">
        <f t="shared" si="149"/>
        <v/>
      </c>
    </row>
    <row r="6305" spans="4:4" x14ac:dyDescent="0.3">
      <c r="D6305" t="str">
        <f t="shared" si="149"/>
        <v/>
      </c>
    </row>
    <row r="6306" spans="4:4" x14ac:dyDescent="0.3">
      <c r="D6306" t="str">
        <f t="shared" si="149"/>
        <v/>
      </c>
    </row>
    <row r="6307" spans="4:4" x14ac:dyDescent="0.3">
      <c r="D6307" t="str">
        <f t="shared" si="149"/>
        <v/>
      </c>
    </row>
    <row r="6308" spans="4:4" x14ac:dyDescent="0.3">
      <c r="D6308" t="str">
        <f t="shared" si="149"/>
        <v/>
      </c>
    </row>
    <row r="6309" spans="4:4" x14ac:dyDescent="0.3">
      <c r="D6309" t="str">
        <f t="shared" si="149"/>
        <v/>
      </c>
    </row>
    <row r="6310" spans="4:4" x14ac:dyDescent="0.3">
      <c r="D6310" t="str">
        <f t="shared" si="149"/>
        <v/>
      </c>
    </row>
    <row r="6311" spans="4:4" x14ac:dyDescent="0.3">
      <c r="D6311" t="str">
        <f t="shared" si="149"/>
        <v/>
      </c>
    </row>
    <row r="6312" spans="4:4" x14ac:dyDescent="0.3">
      <c r="D6312" t="str">
        <f t="shared" si="149"/>
        <v/>
      </c>
    </row>
    <row r="6313" spans="4:4" x14ac:dyDescent="0.3">
      <c r="D6313" t="str">
        <f t="shared" si="149"/>
        <v/>
      </c>
    </row>
    <row r="6314" spans="4:4" x14ac:dyDescent="0.3">
      <c r="D6314" t="str">
        <f t="shared" si="149"/>
        <v/>
      </c>
    </row>
    <row r="6315" spans="4:4" x14ac:dyDescent="0.3">
      <c r="D6315" t="str">
        <f t="shared" si="149"/>
        <v/>
      </c>
    </row>
    <row r="6316" spans="4:4" x14ac:dyDescent="0.3">
      <c r="D6316" t="str">
        <f t="shared" si="149"/>
        <v/>
      </c>
    </row>
    <row r="6317" spans="4:4" x14ac:dyDescent="0.3">
      <c r="D6317" t="str">
        <f t="shared" si="149"/>
        <v/>
      </c>
    </row>
    <row r="6318" spans="4:4" x14ac:dyDescent="0.3">
      <c r="D6318" t="str">
        <f t="shared" si="149"/>
        <v/>
      </c>
    </row>
    <row r="6319" spans="4:4" x14ac:dyDescent="0.3">
      <c r="D6319" t="str">
        <f t="shared" si="149"/>
        <v/>
      </c>
    </row>
    <row r="6320" spans="4:4" x14ac:dyDescent="0.3">
      <c r="D6320" t="str">
        <f t="shared" si="149"/>
        <v/>
      </c>
    </row>
    <row r="6321" spans="4:4" x14ac:dyDescent="0.3">
      <c r="D6321" t="str">
        <f t="shared" si="149"/>
        <v/>
      </c>
    </row>
    <row r="6322" spans="4:4" x14ac:dyDescent="0.3">
      <c r="D6322" t="str">
        <f t="shared" si="149"/>
        <v/>
      </c>
    </row>
    <row r="6323" spans="4:4" x14ac:dyDescent="0.3">
      <c r="D6323" t="str">
        <f t="shared" si="149"/>
        <v/>
      </c>
    </row>
    <row r="6324" spans="4:4" x14ac:dyDescent="0.3">
      <c r="D6324" t="str">
        <f t="shared" si="149"/>
        <v/>
      </c>
    </row>
    <row r="6325" spans="4:4" x14ac:dyDescent="0.3">
      <c r="D6325" t="str">
        <f t="shared" si="149"/>
        <v/>
      </c>
    </row>
    <row r="6326" spans="4:4" x14ac:dyDescent="0.3">
      <c r="D6326" t="str">
        <f t="shared" si="149"/>
        <v/>
      </c>
    </row>
    <row r="6327" spans="4:4" x14ac:dyDescent="0.3">
      <c r="D6327" t="str">
        <f t="shared" si="149"/>
        <v/>
      </c>
    </row>
    <row r="6328" spans="4:4" x14ac:dyDescent="0.3">
      <c r="D6328" t="str">
        <f t="shared" si="149"/>
        <v/>
      </c>
    </row>
    <row r="6329" spans="4:4" x14ac:dyDescent="0.3">
      <c r="D6329" t="str">
        <f t="shared" si="149"/>
        <v/>
      </c>
    </row>
    <row r="6330" spans="4:4" x14ac:dyDescent="0.3">
      <c r="D6330" t="str">
        <f t="shared" si="149"/>
        <v/>
      </c>
    </row>
    <row r="6331" spans="4:4" x14ac:dyDescent="0.3">
      <c r="D6331" t="str">
        <f t="shared" si="149"/>
        <v/>
      </c>
    </row>
    <row r="6332" spans="4:4" x14ac:dyDescent="0.3">
      <c r="D6332" t="str">
        <f t="shared" si="149"/>
        <v/>
      </c>
    </row>
    <row r="6333" spans="4:4" x14ac:dyDescent="0.3">
      <c r="D6333" t="str">
        <f t="shared" si="149"/>
        <v/>
      </c>
    </row>
    <row r="6334" spans="4:4" x14ac:dyDescent="0.3">
      <c r="D6334" t="str">
        <f t="shared" si="149"/>
        <v/>
      </c>
    </row>
    <row r="6335" spans="4:4" x14ac:dyDescent="0.3">
      <c r="D6335" t="str">
        <f t="shared" si="149"/>
        <v/>
      </c>
    </row>
    <row r="6336" spans="4:4" x14ac:dyDescent="0.3">
      <c r="D6336" t="str">
        <f t="shared" si="149"/>
        <v/>
      </c>
    </row>
    <row r="6337" spans="4:4" x14ac:dyDescent="0.3">
      <c r="D6337" t="str">
        <f t="shared" si="149"/>
        <v/>
      </c>
    </row>
    <row r="6338" spans="4:4" x14ac:dyDescent="0.3">
      <c r="D6338" t="str">
        <f t="shared" si="149"/>
        <v/>
      </c>
    </row>
    <row r="6339" spans="4:4" x14ac:dyDescent="0.3">
      <c r="D6339" t="str">
        <f t="shared" si="149"/>
        <v/>
      </c>
    </row>
    <row r="6340" spans="4:4" x14ac:dyDescent="0.3">
      <c r="D6340" t="str">
        <f t="shared" si="149"/>
        <v/>
      </c>
    </row>
    <row r="6341" spans="4:4" x14ac:dyDescent="0.3">
      <c r="D6341" t="str">
        <f t="shared" si="149"/>
        <v/>
      </c>
    </row>
    <row r="6342" spans="4:4" x14ac:dyDescent="0.3">
      <c r="D6342" t="str">
        <f t="shared" si="149"/>
        <v/>
      </c>
    </row>
    <row r="6343" spans="4:4" x14ac:dyDescent="0.3">
      <c r="D6343" t="str">
        <f t="shared" si="149"/>
        <v/>
      </c>
    </row>
    <row r="6344" spans="4:4" x14ac:dyDescent="0.3">
      <c r="D6344" t="str">
        <f t="shared" si="149"/>
        <v/>
      </c>
    </row>
    <row r="6345" spans="4:4" x14ac:dyDescent="0.3">
      <c r="D6345" t="str">
        <f t="shared" ref="D6345:D6408" si="150">IF(LEFT(A6345,2)="SP",MID(A6345,4,4),IF(LEFT(A6345,1)="X",MID(A6345,3,4),""))</f>
        <v/>
      </c>
    </row>
    <row r="6346" spans="4:4" x14ac:dyDescent="0.3">
      <c r="D6346" t="str">
        <f t="shared" si="150"/>
        <v/>
      </c>
    </row>
    <row r="6347" spans="4:4" x14ac:dyDescent="0.3">
      <c r="D6347" t="str">
        <f t="shared" si="150"/>
        <v/>
      </c>
    </row>
    <row r="6348" spans="4:4" x14ac:dyDescent="0.3">
      <c r="D6348" t="str">
        <f t="shared" si="150"/>
        <v/>
      </c>
    </row>
    <row r="6349" spans="4:4" x14ac:dyDescent="0.3">
      <c r="D6349" t="str">
        <f t="shared" si="150"/>
        <v/>
      </c>
    </row>
    <row r="6350" spans="4:4" x14ac:dyDescent="0.3">
      <c r="D6350" t="str">
        <f t="shared" si="150"/>
        <v/>
      </c>
    </row>
    <row r="6351" spans="4:4" x14ac:dyDescent="0.3">
      <c r="D6351" t="str">
        <f t="shared" si="150"/>
        <v/>
      </c>
    </row>
    <row r="6352" spans="4:4" x14ac:dyDescent="0.3">
      <c r="D6352" t="str">
        <f t="shared" si="150"/>
        <v/>
      </c>
    </row>
    <row r="6353" spans="4:4" x14ac:dyDescent="0.3">
      <c r="D6353" t="str">
        <f t="shared" si="150"/>
        <v/>
      </c>
    </row>
    <row r="6354" spans="4:4" x14ac:dyDescent="0.3">
      <c r="D6354" t="str">
        <f t="shared" si="150"/>
        <v/>
      </c>
    </row>
    <row r="6355" spans="4:4" x14ac:dyDescent="0.3">
      <c r="D6355" t="str">
        <f t="shared" si="150"/>
        <v/>
      </c>
    </row>
    <row r="6356" spans="4:4" x14ac:dyDescent="0.3">
      <c r="D6356" t="str">
        <f t="shared" si="150"/>
        <v/>
      </c>
    </row>
    <row r="6357" spans="4:4" x14ac:dyDescent="0.3">
      <c r="D6357" t="str">
        <f t="shared" si="150"/>
        <v/>
      </c>
    </row>
    <row r="6358" spans="4:4" x14ac:dyDescent="0.3">
      <c r="D6358" t="str">
        <f t="shared" si="150"/>
        <v/>
      </c>
    </row>
    <row r="6359" spans="4:4" x14ac:dyDescent="0.3">
      <c r="D6359" t="str">
        <f t="shared" si="150"/>
        <v/>
      </c>
    </row>
    <row r="6360" spans="4:4" x14ac:dyDescent="0.3">
      <c r="D6360" t="str">
        <f t="shared" si="150"/>
        <v/>
      </c>
    </row>
    <row r="6361" spans="4:4" x14ac:dyDescent="0.3">
      <c r="D6361" t="str">
        <f t="shared" si="150"/>
        <v/>
      </c>
    </row>
    <row r="6362" spans="4:4" x14ac:dyDescent="0.3">
      <c r="D6362" t="str">
        <f t="shared" si="150"/>
        <v/>
      </c>
    </row>
    <row r="6363" spans="4:4" x14ac:dyDescent="0.3">
      <c r="D6363" t="str">
        <f t="shared" si="150"/>
        <v/>
      </c>
    </row>
    <row r="6364" spans="4:4" x14ac:dyDescent="0.3">
      <c r="D6364" t="str">
        <f t="shared" si="150"/>
        <v/>
      </c>
    </row>
    <row r="6365" spans="4:4" x14ac:dyDescent="0.3">
      <c r="D6365" t="str">
        <f t="shared" si="150"/>
        <v/>
      </c>
    </row>
    <row r="6366" spans="4:4" x14ac:dyDescent="0.3">
      <c r="D6366" t="str">
        <f t="shared" si="150"/>
        <v/>
      </c>
    </row>
    <row r="6367" spans="4:4" x14ac:dyDescent="0.3">
      <c r="D6367" t="str">
        <f t="shared" si="150"/>
        <v/>
      </c>
    </row>
    <row r="6368" spans="4:4" x14ac:dyDescent="0.3">
      <c r="D6368" t="str">
        <f t="shared" si="150"/>
        <v/>
      </c>
    </row>
    <row r="6369" spans="4:4" x14ac:dyDescent="0.3">
      <c r="D6369" t="str">
        <f t="shared" si="150"/>
        <v/>
      </c>
    </row>
    <row r="6370" spans="4:4" x14ac:dyDescent="0.3">
      <c r="D6370" t="str">
        <f t="shared" si="150"/>
        <v/>
      </c>
    </row>
    <row r="6371" spans="4:4" x14ac:dyDescent="0.3">
      <c r="D6371" t="str">
        <f t="shared" si="150"/>
        <v/>
      </c>
    </row>
    <row r="6372" spans="4:4" x14ac:dyDescent="0.3">
      <c r="D6372" t="str">
        <f t="shared" si="150"/>
        <v/>
      </c>
    </row>
    <row r="6373" spans="4:4" x14ac:dyDescent="0.3">
      <c r="D6373" t="str">
        <f t="shared" si="150"/>
        <v/>
      </c>
    </row>
    <row r="6374" spans="4:4" x14ac:dyDescent="0.3">
      <c r="D6374" t="str">
        <f t="shared" si="150"/>
        <v/>
      </c>
    </row>
    <row r="6375" spans="4:4" x14ac:dyDescent="0.3">
      <c r="D6375" t="str">
        <f t="shared" si="150"/>
        <v/>
      </c>
    </row>
    <row r="6376" spans="4:4" x14ac:dyDescent="0.3">
      <c r="D6376" t="str">
        <f t="shared" si="150"/>
        <v/>
      </c>
    </row>
    <row r="6377" spans="4:4" x14ac:dyDescent="0.3">
      <c r="D6377" t="str">
        <f t="shared" si="150"/>
        <v/>
      </c>
    </row>
    <row r="6378" spans="4:4" x14ac:dyDescent="0.3">
      <c r="D6378" t="str">
        <f t="shared" si="150"/>
        <v/>
      </c>
    </row>
    <row r="6379" spans="4:4" x14ac:dyDescent="0.3">
      <c r="D6379" t="str">
        <f t="shared" si="150"/>
        <v/>
      </c>
    </row>
    <row r="6380" spans="4:4" x14ac:dyDescent="0.3">
      <c r="D6380" t="str">
        <f t="shared" si="150"/>
        <v/>
      </c>
    </row>
    <row r="6381" spans="4:4" x14ac:dyDescent="0.3">
      <c r="D6381" t="str">
        <f t="shared" si="150"/>
        <v/>
      </c>
    </row>
    <row r="6382" spans="4:4" x14ac:dyDescent="0.3">
      <c r="D6382" t="str">
        <f t="shared" si="150"/>
        <v/>
      </c>
    </row>
    <row r="6383" spans="4:4" x14ac:dyDescent="0.3">
      <c r="D6383" t="str">
        <f t="shared" si="150"/>
        <v/>
      </c>
    </row>
    <row r="6384" spans="4:4" x14ac:dyDescent="0.3">
      <c r="D6384" t="str">
        <f t="shared" si="150"/>
        <v/>
      </c>
    </row>
    <row r="6385" spans="4:4" x14ac:dyDescent="0.3">
      <c r="D6385" t="str">
        <f t="shared" si="150"/>
        <v/>
      </c>
    </row>
    <row r="6386" spans="4:4" x14ac:dyDescent="0.3">
      <c r="D6386" t="str">
        <f t="shared" si="150"/>
        <v/>
      </c>
    </row>
    <row r="6387" spans="4:4" x14ac:dyDescent="0.3">
      <c r="D6387" t="str">
        <f t="shared" si="150"/>
        <v/>
      </c>
    </row>
    <row r="6388" spans="4:4" x14ac:dyDescent="0.3">
      <c r="D6388" t="str">
        <f t="shared" si="150"/>
        <v/>
      </c>
    </row>
    <row r="6389" spans="4:4" x14ac:dyDescent="0.3">
      <c r="D6389" t="str">
        <f t="shared" si="150"/>
        <v/>
      </c>
    </row>
    <row r="6390" spans="4:4" x14ac:dyDescent="0.3">
      <c r="D6390" t="str">
        <f t="shared" si="150"/>
        <v/>
      </c>
    </row>
    <row r="6391" spans="4:4" x14ac:dyDescent="0.3">
      <c r="D6391" t="str">
        <f t="shared" si="150"/>
        <v/>
      </c>
    </row>
    <row r="6392" spans="4:4" x14ac:dyDescent="0.3">
      <c r="D6392" t="str">
        <f t="shared" si="150"/>
        <v/>
      </c>
    </row>
    <row r="6393" spans="4:4" x14ac:dyDescent="0.3">
      <c r="D6393" t="str">
        <f t="shared" si="150"/>
        <v/>
      </c>
    </row>
    <row r="6394" spans="4:4" x14ac:dyDescent="0.3">
      <c r="D6394" t="str">
        <f t="shared" si="150"/>
        <v/>
      </c>
    </row>
    <row r="6395" spans="4:4" x14ac:dyDescent="0.3">
      <c r="D6395" t="str">
        <f t="shared" si="150"/>
        <v/>
      </c>
    </row>
    <row r="6396" spans="4:4" x14ac:dyDescent="0.3">
      <c r="D6396" t="str">
        <f t="shared" si="150"/>
        <v/>
      </c>
    </row>
    <row r="6397" spans="4:4" x14ac:dyDescent="0.3">
      <c r="D6397" t="str">
        <f t="shared" si="150"/>
        <v/>
      </c>
    </row>
    <row r="6398" spans="4:4" x14ac:dyDescent="0.3">
      <c r="D6398" t="str">
        <f t="shared" si="150"/>
        <v/>
      </c>
    </row>
    <row r="6399" spans="4:4" x14ac:dyDescent="0.3">
      <c r="D6399" t="str">
        <f t="shared" si="150"/>
        <v/>
      </c>
    </row>
    <row r="6400" spans="4:4" x14ac:dyDescent="0.3">
      <c r="D6400" t="str">
        <f t="shared" si="150"/>
        <v/>
      </c>
    </row>
    <row r="6401" spans="4:4" x14ac:dyDescent="0.3">
      <c r="D6401" t="str">
        <f t="shared" si="150"/>
        <v/>
      </c>
    </row>
    <row r="6402" spans="4:4" x14ac:dyDescent="0.3">
      <c r="D6402" t="str">
        <f t="shared" si="150"/>
        <v/>
      </c>
    </row>
    <row r="6403" spans="4:4" x14ac:dyDescent="0.3">
      <c r="D6403" t="str">
        <f t="shared" si="150"/>
        <v/>
      </c>
    </row>
    <row r="6404" spans="4:4" x14ac:dyDescent="0.3">
      <c r="D6404" t="str">
        <f t="shared" si="150"/>
        <v/>
      </c>
    </row>
    <row r="6405" spans="4:4" x14ac:dyDescent="0.3">
      <c r="D6405" t="str">
        <f t="shared" si="150"/>
        <v/>
      </c>
    </row>
    <row r="6406" spans="4:4" x14ac:dyDescent="0.3">
      <c r="D6406" t="str">
        <f t="shared" si="150"/>
        <v/>
      </c>
    </row>
    <row r="6407" spans="4:4" x14ac:dyDescent="0.3">
      <c r="D6407" t="str">
        <f t="shared" si="150"/>
        <v/>
      </c>
    </row>
    <row r="6408" spans="4:4" x14ac:dyDescent="0.3">
      <c r="D6408" t="str">
        <f t="shared" si="150"/>
        <v/>
      </c>
    </row>
    <row r="6409" spans="4:4" x14ac:dyDescent="0.3">
      <c r="D6409" t="str">
        <f t="shared" ref="D6409:D6434" si="151">IF(LEFT(A6409,2)="SP",MID(A6409,4,4),IF(LEFT(A6409,1)="X",MID(A6409,3,4),""))</f>
        <v/>
      </c>
    </row>
    <row r="6410" spans="4:4" x14ac:dyDescent="0.3">
      <c r="D6410" t="str">
        <f t="shared" si="151"/>
        <v/>
      </c>
    </row>
    <row r="6411" spans="4:4" x14ac:dyDescent="0.3">
      <c r="D6411" t="str">
        <f t="shared" si="151"/>
        <v/>
      </c>
    </row>
    <row r="6412" spans="4:4" x14ac:dyDescent="0.3">
      <c r="D6412" t="str">
        <f t="shared" si="151"/>
        <v/>
      </c>
    </row>
    <row r="6413" spans="4:4" x14ac:dyDescent="0.3">
      <c r="D6413" t="str">
        <f t="shared" si="151"/>
        <v/>
      </c>
    </row>
    <row r="6414" spans="4:4" x14ac:dyDescent="0.3">
      <c r="D6414" t="str">
        <f t="shared" si="151"/>
        <v/>
      </c>
    </row>
    <row r="6415" spans="4:4" x14ac:dyDescent="0.3">
      <c r="D6415" t="str">
        <f t="shared" si="151"/>
        <v/>
      </c>
    </row>
    <row r="6416" spans="4:4" x14ac:dyDescent="0.3">
      <c r="D6416" t="str">
        <f t="shared" si="151"/>
        <v/>
      </c>
    </row>
    <row r="6417" spans="4:4" x14ac:dyDescent="0.3">
      <c r="D6417" t="str">
        <f t="shared" si="151"/>
        <v/>
      </c>
    </row>
    <row r="6418" spans="4:4" x14ac:dyDescent="0.3">
      <c r="D6418" t="str">
        <f t="shared" si="151"/>
        <v/>
      </c>
    </row>
    <row r="6419" spans="4:4" x14ac:dyDescent="0.3">
      <c r="D6419" t="str">
        <f t="shared" si="151"/>
        <v/>
      </c>
    </row>
    <row r="6420" spans="4:4" x14ac:dyDescent="0.3">
      <c r="D6420" t="str">
        <f t="shared" si="151"/>
        <v/>
      </c>
    </row>
    <row r="6421" spans="4:4" x14ac:dyDescent="0.3">
      <c r="D6421" t="str">
        <f t="shared" si="151"/>
        <v/>
      </c>
    </row>
    <row r="6422" spans="4:4" x14ac:dyDescent="0.3">
      <c r="D6422" t="str">
        <f t="shared" si="151"/>
        <v/>
      </c>
    </row>
    <row r="6423" spans="4:4" x14ac:dyDescent="0.3">
      <c r="D6423" t="str">
        <f t="shared" si="151"/>
        <v/>
      </c>
    </row>
    <row r="6424" spans="4:4" x14ac:dyDescent="0.3">
      <c r="D6424" t="str">
        <f t="shared" si="151"/>
        <v/>
      </c>
    </row>
    <row r="6425" spans="4:4" x14ac:dyDescent="0.3">
      <c r="D6425" t="str">
        <f t="shared" si="151"/>
        <v/>
      </c>
    </row>
    <row r="6426" spans="4:4" x14ac:dyDescent="0.3">
      <c r="D6426" t="str">
        <f t="shared" si="151"/>
        <v/>
      </c>
    </row>
    <row r="6427" spans="4:4" x14ac:dyDescent="0.3">
      <c r="D6427" t="str">
        <f t="shared" si="151"/>
        <v/>
      </c>
    </row>
    <row r="6428" spans="4:4" x14ac:dyDescent="0.3">
      <c r="D6428" t="str">
        <f t="shared" si="151"/>
        <v/>
      </c>
    </row>
    <row r="6429" spans="4:4" x14ac:dyDescent="0.3">
      <c r="D6429" t="str">
        <f t="shared" si="151"/>
        <v/>
      </c>
    </row>
    <row r="6430" spans="4:4" x14ac:dyDescent="0.3">
      <c r="D6430" t="str">
        <f t="shared" si="151"/>
        <v/>
      </c>
    </row>
    <row r="6431" spans="4:4" x14ac:dyDescent="0.3">
      <c r="D6431" t="str">
        <f t="shared" si="151"/>
        <v/>
      </c>
    </row>
    <row r="6432" spans="4:4" x14ac:dyDescent="0.3">
      <c r="D6432" t="str">
        <f t="shared" si="151"/>
        <v/>
      </c>
    </row>
    <row r="6433" spans="4:4" x14ac:dyDescent="0.3">
      <c r="D6433" t="str">
        <f t="shared" si="151"/>
        <v/>
      </c>
    </row>
    <row r="6434" spans="4:4" x14ac:dyDescent="0.3">
      <c r="D6434" t="str">
        <f t="shared" si="151"/>
        <v/>
      </c>
    </row>
  </sheetData>
  <autoFilter ref="A1:F6434" xr:uid="{00000000-0009-0000-0000-00000A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F6434"/>
  <sheetViews>
    <sheetView topLeftCell="A49" workbookViewId="0">
      <selection activeCell="B20" sqref="B20"/>
    </sheetView>
  </sheetViews>
  <sheetFormatPr defaultRowHeight="14.4" x14ac:dyDescent="0.3"/>
  <cols>
    <col min="1" max="1" width="12.88671875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10071</v>
      </c>
      <c r="D2" t="str">
        <f t="shared" ref="D2" si="0">IF(LEFT(A2,2)="SP",MID(A2,4,4),IF(LEFT(A2,1)="X",MID(A2,3,4),""))</f>
        <v/>
      </c>
      <c r="E2" t="str">
        <f t="shared" ref="E2" si="1">IF(OR(LEFT(A2,2)="SP",AND(LEFT(A2,1)="X",LEN(A2)&gt;9)),RIGHT(A2,1),"")</f>
        <v/>
      </c>
      <c r="F2" t="str">
        <f t="shared" ref="F2" si="2">IF(LEFT(A2,1)="X",MID(A2,8,2),"")</f>
        <v/>
      </c>
    </row>
    <row r="3" spans="1:6" x14ac:dyDescent="0.3">
      <c r="A3" t="s">
        <v>933</v>
      </c>
      <c r="B3">
        <v>1</v>
      </c>
      <c r="D3" t="str">
        <f t="shared" ref="D3:D66" si="3">IF(LEFT(A3,2)="SP",MID(A3,4,4),IF(LEFT(A3,1)="X",MID(A3,3,4),""))</f>
        <v/>
      </c>
      <c r="E3" t="str">
        <f t="shared" ref="E3:E66" si="4">IF(OR(LEFT(A3,2)="SP",AND(LEFT(A3,1)="X",LEN(A3)&gt;9)),RIGHT(A3,1),"")</f>
        <v/>
      </c>
      <c r="F3" t="str">
        <f t="shared" ref="F3:F66" si="5">IF(LEFT(A3,1)="X",MID(A3,8,2),"")</f>
        <v/>
      </c>
    </row>
    <row r="4" spans="1:6" x14ac:dyDescent="0.3">
      <c r="A4" t="s">
        <v>932</v>
      </c>
      <c r="B4">
        <v>1</v>
      </c>
      <c r="D4" t="str">
        <f t="shared" si="3"/>
        <v/>
      </c>
      <c r="E4" t="str">
        <f t="shared" si="4"/>
        <v/>
      </c>
      <c r="F4" t="str">
        <f t="shared" si="5"/>
        <v/>
      </c>
    </row>
    <row r="5" spans="1:6" x14ac:dyDescent="0.3">
      <c r="A5" t="s">
        <v>176</v>
      </c>
      <c r="B5">
        <v>1</v>
      </c>
      <c r="D5" t="str">
        <f t="shared" si="3"/>
        <v/>
      </c>
      <c r="E5" t="str">
        <f t="shared" si="4"/>
        <v/>
      </c>
      <c r="F5" t="str">
        <f t="shared" si="5"/>
        <v/>
      </c>
    </row>
    <row r="6" spans="1:6" x14ac:dyDescent="0.3">
      <c r="A6" t="s">
        <v>937</v>
      </c>
      <c r="B6">
        <v>2</v>
      </c>
      <c r="D6" t="str">
        <f t="shared" si="3"/>
        <v/>
      </c>
      <c r="E6" t="str">
        <f t="shared" si="4"/>
        <v/>
      </c>
      <c r="F6" t="str">
        <f t="shared" si="5"/>
        <v/>
      </c>
    </row>
    <row r="7" spans="1:6" x14ac:dyDescent="0.3">
      <c r="A7" t="s">
        <v>934</v>
      </c>
      <c r="B7">
        <v>26</v>
      </c>
      <c r="D7" t="str">
        <f t="shared" si="3"/>
        <v/>
      </c>
      <c r="E7" t="str">
        <f t="shared" si="4"/>
        <v/>
      </c>
      <c r="F7" t="str">
        <f t="shared" si="5"/>
        <v/>
      </c>
    </row>
    <row r="8" spans="1:6" x14ac:dyDescent="0.3">
      <c r="A8" t="s">
        <v>944</v>
      </c>
      <c r="B8">
        <v>33</v>
      </c>
      <c r="D8" t="str">
        <f t="shared" si="3"/>
        <v/>
      </c>
      <c r="E8" t="str">
        <f t="shared" si="4"/>
        <v/>
      </c>
      <c r="F8" t="str">
        <f t="shared" si="5"/>
        <v/>
      </c>
    </row>
    <row r="9" spans="1:6" x14ac:dyDescent="0.3">
      <c r="A9" t="s">
        <v>938</v>
      </c>
      <c r="B9">
        <v>3</v>
      </c>
      <c r="D9" t="str">
        <f t="shared" si="3"/>
        <v/>
      </c>
      <c r="E9" t="str">
        <f t="shared" si="4"/>
        <v/>
      </c>
      <c r="F9" t="str">
        <f t="shared" si="5"/>
        <v/>
      </c>
    </row>
    <row r="10" spans="1:6" x14ac:dyDescent="0.3">
      <c r="A10" t="s">
        <v>2552</v>
      </c>
      <c r="B10">
        <v>9945</v>
      </c>
      <c r="D10" t="str">
        <f t="shared" si="3"/>
        <v/>
      </c>
      <c r="E10" t="str">
        <f t="shared" si="4"/>
        <v/>
      </c>
      <c r="F10" t="str">
        <f t="shared" si="5"/>
        <v/>
      </c>
    </row>
    <row r="11" spans="1:6" x14ac:dyDescent="0.3">
      <c r="A11" t="s">
        <v>2551</v>
      </c>
      <c r="B11">
        <v>126</v>
      </c>
      <c r="D11" t="str">
        <f t="shared" si="3"/>
        <v/>
      </c>
      <c r="E11" t="str">
        <f t="shared" si="4"/>
        <v/>
      </c>
      <c r="F11" t="str">
        <f t="shared" si="5"/>
        <v/>
      </c>
    </row>
    <row r="12" spans="1:6" x14ac:dyDescent="0.3">
      <c r="A12" t="s">
        <v>935</v>
      </c>
      <c r="B12">
        <v>1</v>
      </c>
      <c r="D12" t="str">
        <f t="shared" si="3"/>
        <v/>
      </c>
      <c r="E12" t="str">
        <f t="shared" si="4"/>
        <v/>
      </c>
      <c r="F12" t="str">
        <f t="shared" si="5"/>
        <v/>
      </c>
    </row>
    <row r="13" spans="1:6" x14ac:dyDescent="0.3">
      <c r="A13" t="s">
        <v>945</v>
      </c>
      <c r="B13">
        <v>5</v>
      </c>
      <c r="D13" t="str">
        <f t="shared" si="3"/>
        <v/>
      </c>
      <c r="E13" t="str">
        <f t="shared" si="4"/>
        <v/>
      </c>
      <c r="F13" t="str">
        <f t="shared" si="5"/>
        <v/>
      </c>
    </row>
    <row r="14" spans="1:6" x14ac:dyDescent="0.3">
      <c r="A14" t="s">
        <v>939</v>
      </c>
      <c r="B14">
        <v>1</v>
      </c>
      <c r="D14" t="str">
        <f t="shared" si="3"/>
        <v/>
      </c>
      <c r="E14" t="str">
        <f t="shared" si="4"/>
        <v/>
      </c>
      <c r="F14" t="str">
        <f t="shared" si="5"/>
        <v/>
      </c>
    </row>
    <row r="15" spans="1:6" x14ac:dyDescent="0.3">
      <c r="A15" t="s">
        <v>942</v>
      </c>
      <c r="B15">
        <v>1</v>
      </c>
      <c r="D15" t="str">
        <f t="shared" si="3"/>
        <v/>
      </c>
      <c r="E15" t="str">
        <f t="shared" si="4"/>
        <v/>
      </c>
      <c r="F15" t="str">
        <f t="shared" si="5"/>
        <v/>
      </c>
    </row>
    <row r="16" spans="1:6" x14ac:dyDescent="0.3">
      <c r="A16" t="s">
        <v>950</v>
      </c>
      <c r="B16">
        <v>2</v>
      </c>
      <c r="D16" t="str">
        <f t="shared" si="3"/>
        <v/>
      </c>
      <c r="E16" t="str">
        <f t="shared" si="4"/>
        <v/>
      </c>
      <c r="F16" t="str">
        <f t="shared" si="5"/>
        <v/>
      </c>
    </row>
    <row r="17" spans="1:6" x14ac:dyDescent="0.3">
      <c r="A17" t="s">
        <v>2553</v>
      </c>
      <c r="B17">
        <v>2</v>
      </c>
      <c r="D17" t="str">
        <f t="shared" si="3"/>
        <v/>
      </c>
      <c r="E17" t="str">
        <f t="shared" si="4"/>
        <v/>
      </c>
      <c r="F17" t="str">
        <f t="shared" si="5"/>
        <v/>
      </c>
    </row>
    <row r="18" spans="1:6" x14ac:dyDescent="0.3">
      <c r="A18" t="s">
        <v>976</v>
      </c>
      <c r="B18">
        <v>1</v>
      </c>
      <c r="D18" t="str">
        <f t="shared" si="3"/>
        <v>0007</v>
      </c>
      <c r="E18" t="str">
        <f t="shared" si="4"/>
        <v>2</v>
      </c>
      <c r="F18" t="str">
        <f t="shared" si="5"/>
        <v/>
      </c>
    </row>
    <row r="19" spans="1:6" x14ac:dyDescent="0.3">
      <c r="A19" t="s">
        <v>978</v>
      </c>
      <c r="B19">
        <v>1</v>
      </c>
      <c r="D19" t="str">
        <f t="shared" si="3"/>
        <v>0008</v>
      </c>
      <c r="E19" t="str">
        <f t="shared" si="4"/>
        <v>2</v>
      </c>
      <c r="F19" t="str">
        <f t="shared" si="5"/>
        <v/>
      </c>
    </row>
    <row r="20" spans="1:6" x14ac:dyDescent="0.3">
      <c r="A20" t="s">
        <v>979</v>
      </c>
      <c r="B20">
        <v>1</v>
      </c>
      <c r="D20" t="str">
        <f t="shared" si="3"/>
        <v>0009</v>
      </c>
      <c r="E20" t="str">
        <f t="shared" si="4"/>
        <v>0</v>
      </c>
      <c r="F20" t="str">
        <f t="shared" si="5"/>
        <v/>
      </c>
    </row>
    <row r="21" spans="1:6" x14ac:dyDescent="0.3">
      <c r="A21" t="s">
        <v>981</v>
      </c>
      <c r="B21">
        <v>1</v>
      </c>
      <c r="D21" t="str">
        <f t="shared" si="3"/>
        <v>0010</v>
      </c>
      <c r="E21" t="str">
        <f t="shared" si="4"/>
        <v>2</v>
      </c>
      <c r="F21" t="str">
        <f t="shared" si="5"/>
        <v/>
      </c>
    </row>
    <row r="22" spans="1:6" x14ac:dyDescent="0.3">
      <c r="A22" t="s">
        <v>983</v>
      </c>
      <c r="B22">
        <v>1</v>
      </c>
      <c r="D22" t="str">
        <f t="shared" si="3"/>
        <v>0015</v>
      </c>
      <c r="E22" t="str">
        <f t="shared" si="4"/>
        <v>2</v>
      </c>
      <c r="F22" t="str">
        <f t="shared" si="5"/>
        <v/>
      </c>
    </row>
    <row r="23" spans="1:6" x14ac:dyDescent="0.3">
      <c r="A23" t="s">
        <v>985</v>
      </c>
      <c r="B23">
        <v>1</v>
      </c>
      <c r="D23" t="str">
        <f t="shared" si="3"/>
        <v>0019</v>
      </c>
      <c r="E23" t="str">
        <f t="shared" si="4"/>
        <v>2</v>
      </c>
      <c r="F23" t="str">
        <f t="shared" si="5"/>
        <v/>
      </c>
    </row>
    <row r="24" spans="1:6" x14ac:dyDescent="0.3">
      <c r="A24" t="s">
        <v>986</v>
      </c>
      <c r="B24">
        <v>1</v>
      </c>
      <c r="D24" t="str">
        <f t="shared" si="3"/>
        <v>0020</v>
      </c>
      <c r="E24" t="str">
        <f t="shared" si="4"/>
        <v>0</v>
      </c>
      <c r="F24" t="str">
        <f t="shared" si="5"/>
        <v/>
      </c>
    </row>
    <row r="25" spans="1:6" x14ac:dyDescent="0.3">
      <c r="A25" t="s">
        <v>988</v>
      </c>
      <c r="B25">
        <v>1</v>
      </c>
      <c r="D25" t="str">
        <f t="shared" si="3"/>
        <v>0021</v>
      </c>
      <c r="E25" t="str">
        <f t="shared" si="4"/>
        <v>2</v>
      </c>
      <c r="F25" t="str">
        <f t="shared" si="5"/>
        <v/>
      </c>
    </row>
    <row r="26" spans="1:6" x14ac:dyDescent="0.3">
      <c r="A26" t="s">
        <v>990</v>
      </c>
      <c r="B26">
        <v>1</v>
      </c>
      <c r="D26" t="str">
        <f t="shared" si="3"/>
        <v>0022</v>
      </c>
      <c r="E26" t="str">
        <f t="shared" si="4"/>
        <v>2</v>
      </c>
      <c r="F26" t="str">
        <f t="shared" si="5"/>
        <v/>
      </c>
    </row>
    <row r="27" spans="1:6" x14ac:dyDescent="0.3">
      <c r="A27" t="s">
        <v>991</v>
      </c>
      <c r="B27">
        <v>1</v>
      </c>
      <c r="D27" t="str">
        <f t="shared" si="3"/>
        <v>0023</v>
      </c>
      <c r="E27" t="str">
        <f t="shared" si="4"/>
        <v>0</v>
      </c>
      <c r="F27" t="str">
        <f t="shared" si="5"/>
        <v/>
      </c>
    </row>
    <row r="28" spans="1:6" x14ac:dyDescent="0.3">
      <c r="A28" t="s">
        <v>994</v>
      </c>
      <c r="B28">
        <v>1</v>
      </c>
      <c r="D28" t="str">
        <f t="shared" si="3"/>
        <v>0024</v>
      </c>
      <c r="E28" t="str">
        <f t="shared" si="4"/>
        <v>2</v>
      </c>
      <c r="F28" t="str">
        <f t="shared" si="5"/>
        <v/>
      </c>
    </row>
    <row r="29" spans="1:6" x14ac:dyDescent="0.3">
      <c r="A29" t="s">
        <v>996</v>
      </c>
      <c r="B29">
        <v>1</v>
      </c>
      <c r="D29" t="str">
        <f t="shared" si="3"/>
        <v>0030</v>
      </c>
      <c r="E29" t="str">
        <f t="shared" si="4"/>
        <v>2</v>
      </c>
      <c r="F29" t="str">
        <f t="shared" si="5"/>
        <v/>
      </c>
    </row>
    <row r="30" spans="1:6" x14ac:dyDescent="0.3">
      <c r="A30" t="s">
        <v>997</v>
      </c>
      <c r="B30">
        <v>1</v>
      </c>
      <c r="D30" t="str">
        <f t="shared" si="3"/>
        <v>0031</v>
      </c>
      <c r="E30" t="str">
        <f t="shared" si="4"/>
        <v>0</v>
      </c>
      <c r="F30" t="str">
        <f t="shared" si="5"/>
        <v/>
      </c>
    </row>
    <row r="31" spans="1:6" x14ac:dyDescent="0.3">
      <c r="A31" t="s">
        <v>999</v>
      </c>
      <c r="B31">
        <v>1</v>
      </c>
      <c r="D31" t="str">
        <f t="shared" si="3"/>
        <v>0032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1000</v>
      </c>
      <c r="B32">
        <v>1</v>
      </c>
      <c r="D32" t="str">
        <f t="shared" si="3"/>
        <v>0033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1001</v>
      </c>
      <c r="B33">
        <v>1</v>
      </c>
      <c r="D33" t="str">
        <f t="shared" si="3"/>
        <v>0034</v>
      </c>
      <c r="E33" t="str">
        <f t="shared" si="4"/>
        <v>0</v>
      </c>
      <c r="F33" t="str">
        <f t="shared" si="5"/>
        <v/>
      </c>
    </row>
    <row r="34" spans="1:6" x14ac:dyDescent="0.3">
      <c r="A34" t="s">
        <v>1002</v>
      </c>
      <c r="B34">
        <v>1</v>
      </c>
      <c r="D34" t="str">
        <f t="shared" si="3"/>
        <v>0046</v>
      </c>
      <c r="E34" t="str">
        <f t="shared" si="4"/>
        <v>0</v>
      </c>
      <c r="F34" t="str">
        <f t="shared" si="5"/>
        <v/>
      </c>
    </row>
    <row r="35" spans="1:6" x14ac:dyDescent="0.3">
      <c r="A35" t="s">
        <v>1004</v>
      </c>
      <c r="B35">
        <v>1</v>
      </c>
      <c r="D35" t="str">
        <f t="shared" si="3"/>
        <v>0047</v>
      </c>
      <c r="E35" t="str">
        <f t="shared" si="4"/>
        <v>0</v>
      </c>
      <c r="F35" t="str">
        <f t="shared" si="5"/>
        <v/>
      </c>
    </row>
    <row r="36" spans="1:6" x14ac:dyDescent="0.3">
      <c r="A36" t="s">
        <v>1006</v>
      </c>
      <c r="B36">
        <v>1</v>
      </c>
      <c r="D36" t="str">
        <f t="shared" si="3"/>
        <v>0048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1008</v>
      </c>
      <c r="B37">
        <v>1</v>
      </c>
      <c r="D37" t="str">
        <f t="shared" si="3"/>
        <v>0049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1009</v>
      </c>
      <c r="B38">
        <v>1</v>
      </c>
      <c r="D38" t="str">
        <f t="shared" si="3"/>
        <v>0050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1010</v>
      </c>
      <c r="B39">
        <v>1</v>
      </c>
      <c r="D39" t="str">
        <f t="shared" si="3"/>
        <v>0059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1011</v>
      </c>
      <c r="B40">
        <v>1</v>
      </c>
      <c r="D40" t="str">
        <f t="shared" si="3"/>
        <v>0060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1012</v>
      </c>
      <c r="B41">
        <v>1</v>
      </c>
      <c r="D41" t="str">
        <f t="shared" si="3"/>
        <v>0063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1013</v>
      </c>
      <c r="B42">
        <v>1</v>
      </c>
      <c r="D42" t="str">
        <f t="shared" si="3"/>
        <v>0064</v>
      </c>
      <c r="E42" t="str">
        <f t="shared" si="4"/>
        <v>0</v>
      </c>
      <c r="F42" t="str">
        <f t="shared" si="5"/>
        <v/>
      </c>
    </row>
    <row r="43" spans="1:6" x14ac:dyDescent="0.3">
      <c r="A43" t="s">
        <v>1014</v>
      </c>
      <c r="B43">
        <v>1</v>
      </c>
      <c r="D43" t="str">
        <f t="shared" si="3"/>
        <v>0074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1017</v>
      </c>
      <c r="B44">
        <v>1</v>
      </c>
      <c r="D44" t="str">
        <f t="shared" si="3"/>
        <v>0075</v>
      </c>
      <c r="E44" t="str">
        <f t="shared" si="4"/>
        <v>2</v>
      </c>
      <c r="F44" t="str">
        <f t="shared" si="5"/>
        <v/>
      </c>
    </row>
    <row r="45" spans="1:6" x14ac:dyDescent="0.3">
      <c r="A45" t="s">
        <v>1019</v>
      </c>
      <c r="B45">
        <v>1</v>
      </c>
      <c r="D45" t="str">
        <f t="shared" si="3"/>
        <v>0076</v>
      </c>
      <c r="E45" t="str">
        <f t="shared" si="4"/>
        <v>2</v>
      </c>
      <c r="F45" t="str">
        <f t="shared" si="5"/>
        <v/>
      </c>
    </row>
    <row r="46" spans="1:6" x14ac:dyDescent="0.3">
      <c r="A46" t="s">
        <v>1020</v>
      </c>
      <c r="B46">
        <v>1</v>
      </c>
      <c r="D46" t="str">
        <f t="shared" si="3"/>
        <v>0077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1021</v>
      </c>
      <c r="B47">
        <v>1</v>
      </c>
      <c r="D47" t="str">
        <f t="shared" si="3"/>
        <v>0078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1022</v>
      </c>
      <c r="B48">
        <v>1</v>
      </c>
      <c r="D48" t="str">
        <f t="shared" si="3"/>
        <v>0079</v>
      </c>
      <c r="E48" t="str">
        <f t="shared" si="4"/>
        <v>0</v>
      </c>
      <c r="F48" t="str">
        <f t="shared" si="5"/>
        <v/>
      </c>
    </row>
    <row r="49" spans="1:6" x14ac:dyDescent="0.3">
      <c r="A49" t="s">
        <v>1024</v>
      </c>
      <c r="B49">
        <v>1</v>
      </c>
      <c r="D49" t="str">
        <f t="shared" si="3"/>
        <v>0080</v>
      </c>
      <c r="E49" t="str">
        <f t="shared" si="4"/>
        <v>2</v>
      </c>
      <c r="F49" t="str">
        <f t="shared" si="5"/>
        <v/>
      </c>
    </row>
    <row r="50" spans="1:6" x14ac:dyDescent="0.3">
      <c r="A50" t="s">
        <v>1025</v>
      </c>
      <c r="B50">
        <v>1</v>
      </c>
      <c r="D50" t="str">
        <f t="shared" si="3"/>
        <v>0081</v>
      </c>
      <c r="E50" t="str">
        <f t="shared" si="4"/>
        <v>0</v>
      </c>
      <c r="F50" t="str">
        <f t="shared" si="5"/>
        <v/>
      </c>
    </row>
    <row r="51" spans="1:6" x14ac:dyDescent="0.3">
      <c r="A51" t="s">
        <v>1028</v>
      </c>
      <c r="B51">
        <v>1</v>
      </c>
      <c r="D51" t="str">
        <f t="shared" si="3"/>
        <v>0082</v>
      </c>
      <c r="E51" t="str">
        <f t="shared" si="4"/>
        <v>2</v>
      </c>
      <c r="F51" t="str">
        <f t="shared" si="5"/>
        <v/>
      </c>
    </row>
    <row r="52" spans="1:6" x14ac:dyDescent="0.3">
      <c r="A52" t="s">
        <v>1030</v>
      </c>
      <c r="B52">
        <v>1</v>
      </c>
      <c r="D52" t="str">
        <f t="shared" si="3"/>
        <v>0083</v>
      </c>
      <c r="E52" t="str">
        <f t="shared" si="4"/>
        <v>2</v>
      </c>
      <c r="F52" t="str">
        <f t="shared" si="5"/>
        <v/>
      </c>
    </row>
    <row r="53" spans="1:6" x14ac:dyDescent="0.3">
      <c r="A53" t="s">
        <v>1032</v>
      </c>
      <c r="B53">
        <v>1</v>
      </c>
      <c r="D53" t="str">
        <f t="shared" si="3"/>
        <v>0087</v>
      </c>
      <c r="E53" t="str">
        <f t="shared" si="4"/>
        <v>2</v>
      </c>
      <c r="F53" t="str">
        <f t="shared" si="5"/>
        <v/>
      </c>
    </row>
    <row r="54" spans="1:6" x14ac:dyDescent="0.3">
      <c r="A54" t="s">
        <v>1033</v>
      </c>
      <c r="B54">
        <v>1</v>
      </c>
      <c r="D54" t="str">
        <f t="shared" si="3"/>
        <v>0088</v>
      </c>
      <c r="E54" t="str">
        <f t="shared" si="4"/>
        <v>0</v>
      </c>
      <c r="F54" t="str">
        <f t="shared" si="5"/>
        <v/>
      </c>
    </row>
    <row r="55" spans="1:6" x14ac:dyDescent="0.3">
      <c r="A55" t="s">
        <v>1035</v>
      </c>
      <c r="B55">
        <v>1</v>
      </c>
      <c r="D55" t="str">
        <f t="shared" si="3"/>
        <v>0089</v>
      </c>
      <c r="E55" t="str">
        <f t="shared" si="4"/>
        <v>2</v>
      </c>
      <c r="F55" t="str">
        <f t="shared" si="5"/>
        <v/>
      </c>
    </row>
    <row r="56" spans="1:6" x14ac:dyDescent="0.3">
      <c r="A56" t="s">
        <v>1036</v>
      </c>
      <c r="B56">
        <v>1</v>
      </c>
      <c r="D56" t="str">
        <f t="shared" si="3"/>
        <v>0090</v>
      </c>
      <c r="E56" t="str">
        <f t="shared" si="4"/>
        <v>0</v>
      </c>
      <c r="F56" t="str">
        <f t="shared" si="5"/>
        <v/>
      </c>
    </row>
    <row r="57" spans="1:6" x14ac:dyDescent="0.3">
      <c r="A57" t="s">
        <v>1037</v>
      </c>
      <c r="B57">
        <v>1</v>
      </c>
      <c r="D57" t="str">
        <f t="shared" si="3"/>
        <v>0091</v>
      </c>
      <c r="E57" t="str">
        <f t="shared" si="4"/>
        <v>0</v>
      </c>
      <c r="F57" t="str">
        <f t="shared" si="5"/>
        <v/>
      </c>
    </row>
    <row r="58" spans="1:6" x14ac:dyDescent="0.3">
      <c r="A58" t="s">
        <v>1039</v>
      </c>
      <c r="B58">
        <v>1</v>
      </c>
      <c r="D58" t="str">
        <f t="shared" si="3"/>
        <v>0100</v>
      </c>
      <c r="E58" t="str">
        <f t="shared" si="4"/>
        <v>0</v>
      </c>
      <c r="F58" t="str">
        <f t="shared" si="5"/>
        <v/>
      </c>
    </row>
    <row r="59" spans="1:6" x14ac:dyDescent="0.3">
      <c r="A59" t="s">
        <v>1041</v>
      </c>
      <c r="B59">
        <v>1</v>
      </c>
      <c r="D59" t="str">
        <f t="shared" si="3"/>
        <v>0103</v>
      </c>
      <c r="E59" t="str">
        <f t="shared" si="4"/>
        <v>2</v>
      </c>
      <c r="F59" t="str">
        <f t="shared" si="5"/>
        <v/>
      </c>
    </row>
    <row r="60" spans="1:6" x14ac:dyDescent="0.3">
      <c r="A60" t="s">
        <v>1042</v>
      </c>
      <c r="B60">
        <v>1</v>
      </c>
      <c r="D60" t="str">
        <f t="shared" si="3"/>
        <v>0104</v>
      </c>
      <c r="E60" t="str">
        <f t="shared" si="4"/>
        <v>0</v>
      </c>
      <c r="F60" t="str">
        <f t="shared" si="5"/>
        <v/>
      </c>
    </row>
    <row r="61" spans="1:6" x14ac:dyDescent="0.3">
      <c r="A61" t="s">
        <v>1043</v>
      </c>
      <c r="B61">
        <v>1</v>
      </c>
      <c r="D61" t="str">
        <f t="shared" si="3"/>
        <v>0105</v>
      </c>
      <c r="E61" t="str">
        <f t="shared" si="4"/>
        <v>0</v>
      </c>
      <c r="F61" t="str">
        <f t="shared" si="5"/>
        <v/>
      </c>
    </row>
    <row r="62" spans="1:6" x14ac:dyDescent="0.3">
      <c r="A62" t="s">
        <v>1044</v>
      </c>
      <c r="B62">
        <v>1</v>
      </c>
      <c r="D62" t="str">
        <f t="shared" si="3"/>
        <v>0106</v>
      </c>
      <c r="E62" t="str">
        <f t="shared" si="4"/>
        <v>0</v>
      </c>
      <c r="F62" t="str">
        <f t="shared" si="5"/>
        <v/>
      </c>
    </row>
    <row r="63" spans="1:6" x14ac:dyDescent="0.3">
      <c r="A63" t="s">
        <v>1046</v>
      </c>
      <c r="B63">
        <v>1</v>
      </c>
      <c r="D63" t="str">
        <f t="shared" si="3"/>
        <v>0107</v>
      </c>
      <c r="E63" t="str">
        <f t="shared" si="4"/>
        <v>2</v>
      </c>
      <c r="F63" t="str">
        <f t="shared" si="5"/>
        <v/>
      </c>
    </row>
    <row r="64" spans="1:6" x14ac:dyDescent="0.3">
      <c r="A64" t="s">
        <v>1048</v>
      </c>
      <c r="B64">
        <v>1</v>
      </c>
      <c r="D64" t="str">
        <f t="shared" si="3"/>
        <v>0108</v>
      </c>
      <c r="E64" t="str">
        <f t="shared" si="4"/>
        <v>2</v>
      </c>
      <c r="F64" t="str">
        <f t="shared" si="5"/>
        <v/>
      </c>
    </row>
    <row r="65" spans="1:6" x14ac:dyDescent="0.3">
      <c r="A65" t="s">
        <v>1049</v>
      </c>
      <c r="B65">
        <v>1</v>
      </c>
      <c r="D65" t="str">
        <f t="shared" si="3"/>
        <v>0109</v>
      </c>
      <c r="E65" t="str">
        <f t="shared" si="4"/>
        <v>0</v>
      </c>
      <c r="F65" t="str">
        <f t="shared" si="5"/>
        <v/>
      </c>
    </row>
    <row r="66" spans="1:6" x14ac:dyDescent="0.3">
      <c r="A66" t="s">
        <v>1052</v>
      </c>
      <c r="B66">
        <v>1</v>
      </c>
      <c r="D66" t="str">
        <f t="shared" si="3"/>
        <v>0110</v>
      </c>
      <c r="E66" t="str">
        <f t="shared" si="4"/>
        <v>2</v>
      </c>
      <c r="F66" t="str">
        <f t="shared" si="5"/>
        <v/>
      </c>
    </row>
    <row r="67" spans="1:6" x14ac:dyDescent="0.3">
      <c r="A67" t="s">
        <v>1053</v>
      </c>
      <c r="B67">
        <v>1</v>
      </c>
      <c r="D67" t="str">
        <f t="shared" ref="D67:D130" si="6">IF(LEFT(A67,2)="SP",MID(A67,4,4),IF(LEFT(A67,1)="X",MID(A67,3,4),""))</f>
        <v>0111</v>
      </c>
      <c r="E67" t="str">
        <f t="shared" ref="E67:E130" si="7">IF(OR(LEFT(A67,2)="SP",AND(LEFT(A67,1)="X",LEN(A67)&gt;9)),RIGHT(A67,1),"")</f>
        <v>0</v>
      </c>
      <c r="F67" t="str">
        <f t="shared" ref="F67:F130" si="8">IF(LEFT(A67,1)="X",MID(A67,8,2),"")</f>
        <v/>
      </c>
    </row>
    <row r="68" spans="1:6" x14ac:dyDescent="0.3">
      <c r="A68" t="s">
        <v>1054</v>
      </c>
      <c r="B68">
        <v>1</v>
      </c>
      <c r="D68" t="str">
        <f t="shared" si="6"/>
        <v>0112</v>
      </c>
      <c r="E68" t="str">
        <f t="shared" si="7"/>
        <v>0</v>
      </c>
      <c r="F68" t="str">
        <f t="shared" si="8"/>
        <v/>
      </c>
    </row>
    <row r="69" spans="1:6" x14ac:dyDescent="0.3">
      <c r="A69" t="s">
        <v>1056</v>
      </c>
      <c r="B69">
        <v>1</v>
      </c>
      <c r="D69" t="str">
        <f t="shared" si="6"/>
        <v>0113</v>
      </c>
      <c r="E69" t="str">
        <f t="shared" si="7"/>
        <v>2</v>
      </c>
      <c r="F69" t="str">
        <f t="shared" si="8"/>
        <v/>
      </c>
    </row>
    <row r="70" spans="1:6" x14ac:dyDescent="0.3">
      <c r="A70" t="s">
        <v>1057</v>
      </c>
      <c r="B70">
        <v>1</v>
      </c>
      <c r="D70" t="str">
        <f t="shared" si="6"/>
        <v>0114</v>
      </c>
      <c r="E70" t="str">
        <f t="shared" si="7"/>
        <v>0</v>
      </c>
      <c r="F70" t="str">
        <f t="shared" si="8"/>
        <v/>
      </c>
    </row>
    <row r="71" spans="1:6" x14ac:dyDescent="0.3">
      <c r="A71" t="s">
        <v>1058</v>
      </c>
      <c r="B71">
        <v>1</v>
      </c>
      <c r="D71" t="str">
        <f t="shared" si="6"/>
        <v>0121</v>
      </c>
      <c r="E71" t="str">
        <f t="shared" si="7"/>
        <v>0</v>
      </c>
      <c r="F71" t="str">
        <f t="shared" si="8"/>
        <v/>
      </c>
    </row>
    <row r="72" spans="1:6" x14ac:dyDescent="0.3">
      <c r="A72" t="s">
        <v>1059</v>
      </c>
      <c r="B72">
        <v>1</v>
      </c>
      <c r="D72" t="str">
        <f t="shared" si="6"/>
        <v>0130</v>
      </c>
      <c r="E72" t="str">
        <f t="shared" si="7"/>
        <v>0</v>
      </c>
      <c r="F72" t="str">
        <f t="shared" si="8"/>
        <v/>
      </c>
    </row>
    <row r="73" spans="1:6" x14ac:dyDescent="0.3">
      <c r="A73" t="s">
        <v>1060</v>
      </c>
      <c r="B73">
        <v>1</v>
      </c>
      <c r="D73" t="str">
        <f t="shared" si="6"/>
        <v>0132</v>
      </c>
      <c r="E73" t="str">
        <f t="shared" si="7"/>
        <v>0</v>
      </c>
      <c r="F73" t="str">
        <f t="shared" si="8"/>
        <v/>
      </c>
    </row>
    <row r="74" spans="1:6" x14ac:dyDescent="0.3">
      <c r="A74" t="s">
        <v>1061</v>
      </c>
      <c r="B74">
        <v>1</v>
      </c>
      <c r="D74" t="str">
        <f t="shared" si="6"/>
        <v>0133</v>
      </c>
      <c r="E74" t="str">
        <f t="shared" si="7"/>
        <v>0</v>
      </c>
      <c r="F74" t="str">
        <f t="shared" si="8"/>
        <v/>
      </c>
    </row>
    <row r="75" spans="1:6" x14ac:dyDescent="0.3">
      <c r="A75" t="s">
        <v>1063</v>
      </c>
      <c r="B75">
        <v>1</v>
      </c>
      <c r="D75" t="str">
        <f t="shared" si="6"/>
        <v>0134</v>
      </c>
      <c r="E75" t="str">
        <f t="shared" si="7"/>
        <v>2</v>
      </c>
      <c r="F75" t="str">
        <f t="shared" si="8"/>
        <v/>
      </c>
    </row>
    <row r="76" spans="1:6" x14ac:dyDescent="0.3">
      <c r="A76" t="s">
        <v>1065</v>
      </c>
      <c r="B76">
        <v>1</v>
      </c>
      <c r="D76" t="str">
        <f t="shared" si="6"/>
        <v>0135</v>
      </c>
      <c r="E76" t="str">
        <f t="shared" si="7"/>
        <v>2</v>
      </c>
      <c r="F76" t="str">
        <f t="shared" si="8"/>
        <v/>
      </c>
    </row>
    <row r="77" spans="1:6" x14ac:dyDescent="0.3">
      <c r="A77" t="s">
        <v>1067</v>
      </c>
      <c r="B77">
        <v>1</v>
      </c>
      <c r="D77" t="str">
        <f t="shared" si="6"/>
        <v>0265</v>
      </c>
      <c r="E77" t="str">
        <f t="shared" si="7"/>
        <v>2</v>
      </c>
      <c r="F77" t="str">
        <f t="shared" si="8"/>
        <v/>
      </c>
    </row>
    <row r="78" spans="1:6" x14ac:dyDescent="0.3">
      <c r="A78" t="s">
        <v>1069</v>
      </c>
      <c r="B78">
        <v>1</v>
      </c>
      <c r="D78" t="str">
        <f t="shared" si="6"/>
        <v>0268</v>
      </c>
      <c r="E78" t="str">
        <f t="shared" si="7"/>
        <v>2</v>
      </c>
      <c r="F78" t="str">
        <f t="shared" si="8"/>
        <v/>
      </c>
    </row>
    <row r="79" spans="1:6" x14ac:dyDescent="0.3">
      <c r="A79" t="s">
        <v>1070</v>
      </c>
      <c r="B79">
        <v>1</v>
      </c>
      <c r="D79" t="str">
        <f t="shared" si="6"/>
        <v>0269</v>
      </c>
      <c r="E79" t="str">
        <f t="shared" si="7"/>
        <v>0</v>
      </c>
      <c r="F79" t="str">
        <f t="shared" si="8"/>
        <v/>
      </c>
    </row>
    <row r="80" spans="1:6" x14ac:dyDescent="0.3">
      <c r="A80" t="s">
        <v>1073</v>
      </c>
      <c r="B80">
        <v>1</v>
      </c>
      <c r="D80" t="str">
        <f t="shared" si="6"/>
        <v>0270</v>
      </c>
      <c r="E80" t="str">
        <f t="shared" si="7"/>
        <v>2</v>
      </c>
      <c r="F80" t="str">
        <f t="shared" si="8"/>
        <v/>
      </c>
    </row>
    <row r="81" spans="1:6" x14ac:dyDescent="0.3">
      <c r="A81" t="s">
        <v>1075</v>
      </c>
      <c r="B81">
        <v>1</v>
      </c>
      <c r="D81" t="str">
        <f t="shared" si="6"/>
        <v>0271</v>
      </c>
      <c r="E81" t="str">
        <f t="shared" si="7"/>
        <v>2</v>
      </c>
      <c r="F81" t="str">
        <f t="shared" si="8"/>
        <v/>
      </c>
    </row>
    <row r="82" spans="1:6" x14ac:dyDescent="0.3">
      <c r="A82" t="s">
        <v>1077</v>
      </c>
      <c r="B82">
        <v>1</v>
      </c>
      <c r="D82" t="str">
        <f t="shared" si="6"/>
        <v>0272</v>
      </c>
      <c r="E82" t="str">
        <f t="shared" si="7"/>
        <v>2</v>
      </c>
      <c r="F82" t="str">
        <f t="shared" si="8"/>
        <v/>
      </c>
    </row>
    <row r="83" spans="1:6" x14ac:dyDescent="0.3">
      <c r="A83" t="s">
        <v>1078</v>
      </c>
      <c r="B83">
        <v>1</v>
      </c>
      <c r="D83" t="str">
        <f t="shared" si="6"/>
        <v>0275</v>
      </c>
      <c r="E83" t="str">
        <f t="shared" si="7"/>
        <v>0</v>
      </c>
      <c r="F83" t="str">
        <f t="shared" si="8"/>
        <v/>
      </c>
    </row>
    <row r="84" spans="1:6" x14ac:dyDescent="0.3">
      <c r="A84" t="s">
        <v>1080</v>
      </c>
      <c r="B84">
        <v>1</v>
      </c>
      <c r="D84" t="str">
        <f t="shared" si="6"/>
        <v>0313</v>
      </c>
      <c r="E84" t="str">
        <f t="shared" si="7"/>
        <v>2</v>
      </c>
      <c r="F84" t="str">
        <f t="shared" si="8"/>
        <v/>
      </c>
    </row>
    <row r="85" spans="1:6" x14ac:dyDescent="0.3">
      <c r="A85" t="s">
        <v>1082</v>
      </c>
      <c r="B85">
        <v>1</v>
      </c>
      <c r="D85" t="str">
        <f t="shared" si="6"/>
        <v>0314</v>
      </c>
      <c r="E85" t="str">
        <f t="shared" si="7"/>
        <v>2</v>
      </c>
      <c r="F85" t="str">
        <f t="shared" si="8"/>
        <v/>
      </c>
    </row>
    <row r="86" spans="1:6" x14ac:dyDescent="0.3">
      <c r="A86" t="s">
        <v>1084</v>
      </c>
      <c r="B86">
        <v>1</v>
      </c>
      <c r="D86" t="str">
        <f t="shared" si="6"/>
        <v>0315</v>
      </c>
      <c r="E86" t="str">
        <f t="shared" si="7"/>
        <v>2</v>
      </c>
      <c r="F86" t="str">
        <f t="shared" si="8"/>
        <v/>
      </c>
    </row>
    <row r="87" spans="1:6" x14ac:dyDescent="0.3">
      <c r="A87" t="s">
        <v>1086</v>
      </c>
      <c r="B87">
        <v>1</v>
      </c>
      <c r="D87" t="str">
        <f t="shared" si="6"/>
        <v>0316</v>
      </c>
      <c r="E87" t="str">
        <f t="shared" si="7"/>
        <v>2</v>
      </c>
      <c r="F87" t="str">
        <f t="shared" si="8"/>
        <v/>
      </c>
    </row>
    <row r="88" spans="1:6" x14ac:dyDescent="0.3">
      <c r="A88" t="s">
        <v>1087</v>
      </c>
      <c r="B88">
        <v>1</v>
      </c>
      <c r="D88" t="str">
        <f t="shared" si="6"/>
        <v>0319</v>
      </c>
      <c r="E88" t="str">
        <f t="shared" si="7"/>
        <v>0</v>
      </c>
      <c r="F88" t="str">
        <f t="shared" si="8"/>
        <v/>
      </c>
    </row>
    <row r="89" spans="1:6" x14ac:dyDescent="0.3">
      <c r="A89" t="s">
        <v>1089</v>
      </c>
      <c r="B89">
        <v>1</v>
      </c>
      <c r="D89" t="str">
        <f t="shared" si="6"/>
        <v>0323</v>
      </c>
      <c r="E89" t="str">
        <f t="shared" si="7"/>
        <v>2</v>
      </c>
      <c r="F89" t="str">
        <f t="shared" si="8"/>
        <v/>
      </c>
    </row>
    <row r="90" spans="1:6" x14ac:dyDescent="0.3">
      <c r="A90" t="s">
        <v>1090</v>
      </c>
      <c r="B90">
        <v>1</v>
      </c>
      <c r="D90" t="str">
        <f t="shared" si="6"/>
        <v>0328</v>
      </c>
      <c r="E90" t="str">
        <f t="shared" si="7"/>
        <v>0</v>
      </c>
      <c r="F90" t="str">
        <f t="shared" si="8"/>
        <v/>
      </c>
    </row>
    <row r="91" spans="1:6" x14ac:dyDescent="0.3">
      <c r="A91" t="s">
        <v>1092</v>
      </c>
      <c r="B91">
        <v>1</v>
      </c>
      <c r="D91" t="str">
        <f t="shared" si="6"/>
        <v>0335</v>
      </c>
      <c r="E91" t="str">
        <f t="shared" si="7"/>
        <v>0</v>
      </c>
      <c r="F91" t="str">
        <f t="shared" si="8"/>
        <v/>
      </c>
    </row>
    <row r="92" spans="1:6" x14ac:dyDescent="0.3">
      <c r="A92" t="s">
        <v>1094</v>
      </c>
      <c r="B92">
        <v>1</v>
      </c>
      <c r="D92" t="str">
        <f t="shared" si="6"/>
        <v>0336</v>
      </c>
      <c r="E92" t="str">
        <f t="shared" si="7"/>
        <v>2</v>
      </c>
      <c r="F92" t="str">
        <f t="shared" si="8"/>
        <v/>
      </c>
    </row>
    <row r="93" spans="1:6" x14ac:dyDescent="0.3">
      <c r="A93" t="s">
        <v>1096</v>
      </c>
      <c r="B93">
        <v>1</v>
      </c>
      <c r="D93" t="str">
        <f t="shared" si="6"/>
        <v>0341</v>
      </c>
      <c r="E93" t="str">
        <f t="shared" si="7"/>
        <v>2</v>
      </c>
      <c r="F93" t="str">
        <f t="shared" si="8"/>
        <v/>
      </c>
    </row>
    <row r="94" spans="1:6" x14ac:dyDescent="0.3">
      <c r="A94" t="s">
        <v>1097</v>
      </c>
      <c r="B94">
        <v>1</v>
      </c>
      <c r="D94" t="str">
        <f t="shared" si="6"/>
        <v>0347</v>
      </c>
      <c r="E94" t="str">
        <f t="shared" si="7"/>
        <v>0</v>
      </c>
      <c r="F94" t="str">
        <f t="shared" si="8"/>
        <v/>
      </c>
    </row>
    <row r="95" spans="1:6" x14ac:dyDescent="0.3">
      <c r="A95" t="s">
        <v>1099</v>
      </c>
      <c r="B95">
        <v>1</v>
      </c>
      <c r="D95" t="str">
        <f t="shared" si="6"/>
        <v>0348</v>
      </c>
      <c r="E95" t="str">
        <f t="shared" si="7"/>
        <v>0</v>
      </c>
      <c r="F95" t="str">
        <f t="shared" si="8"/>
        <v/>
      </c>
    </row>
    <row r="96" spans="1:6" x14ac:dyDescent="0.3">
      <c r="A96" t="s">
        <v>1101</v>
      </c>
      <c r="B96">
        <v>1</v>
      </c>
      <c r="D96" t="str">
        <f t="shared" si="6"/>
        <v>0349</v>
      </c>
      <c r="E96" t="str">
        <f t="shared" si="7"/>
        <v>2</v>
      </c>
      <c r="F96" t="str">
        <f t="shared" si="8"/>
        <v/>
      </c>
    </row>
    <row r="97" spans="1:6" x14ac:dyDescent="0.3">
      <c r="A97" t="s">
        <v>1102</v>
      </c>
      <c r="B97">
        <v>1</v>
      </c>
      <c r="D97" t="str">
        <f t="shared" si="6"/>
        <v>0350</v>
      </c>
      <c r="E97" t="str">
        <f t="shared" si="7"/>
        <v>0</v>
      </c>
      <c r="F97" t="str">
        <f t="shared" si="8"/>
        <v/>
      </c>
    </row>
    <row r="98" spans="1:6" x14ac:dyDescent="0.3">
      <c r="A98" t="s">
        <v>1104</v>
      </c>
      <c r="B98">
        <v>1</v>
      </c>
      <c r="D98" t="str">
        <f t="shared" si="6"/>
        <v>0351</v>
      </c>
      <c r="E98" t="str">
        <f t="shared" si="7"/>
        <v>0</v>
      </c>
      <c r="F98" t="str">
        <f t="shared" si="8"/>
        <v/>
      </c>
    </row>
    <row r="99" spans="1:6" x14ac:dyDescent="0.3">
      <c r="A99" t="s">
        <v>1106</v>
      </c>
      <c r="B99">
        <v>1</v>
      </c>
      <c r="D99" t="str">
        <f t="shared" si="6"/>
        <v>0353</v>
      </c>
      <c r="E99" t="str">
        <f t="shared" si="7"/>
        <v>2</v>
      </c>
      <c r="F99" t="str">
        <f t="shared" si="8"/>
        <v/>
      </c>
    </row>
    <row r="100" spans="1:6" x14ac:dyDescent="0.3">
      <c r="A100" t="s">
        <v>1108</v>
      </c>
      <c r="B100">
        <v>1</v>
      </c>
      <c r="D100" t="str">
        <f t="shared" si="6"/>
        <v>0359</v>
      </c>
      <c r="E100" t="str">
        <f t="shared" si="7"/>
        <v>2</v>
      </c>
      <c r="F100" t="str">
        <f t="shared" si="8"/>
        <v/>
      </c>
    </row>
    <row r="101" spans="1:6" x14ac:dyDescent="0.3">
      <c r="A101" t="s">
        <v>1109</v>
      </c>
      <c r="B101">
        <v>1</v>
      </c>
      <c r="D101" t="str">
        <f t="shared" si="6"/>
        <v>0364</v>
      </c>
      <c r="E101" t="str">
        <f t="shared" si="7"/>
        <v>0</v>
      </c>
      <c r="F101" t="str">
        <f t="shared" si="8"/>
        <v/>
      </c>
    </row>
    <row r="102" spans="1:6" x14ac:dyDescent="0.3">
      <c r="A102" t="s">
        <v>1111</v>
      </c>
      <c r="B102">
        <v>1</v>
      </c>
      <c r="D102" t="str">
        <f t="shared" si="6"/>
        <v>0366</v>
      </c>
      <c r="E102" t="str">
        <f t="shared" si="7"/>
        <v>2</v>
      </c>
      <c r="F102" t="str">
        <f t="shared" si="8"/>
        <v/>
      </c>
    </row>
    <row r="103" spans="1:6" x14ac:dyDescent="0.3">
      <c r="A103" t="s">
        <v>1113</v>
      </c>
      <c r="B103">
        <v>1</v>
      </c>
      <c r="D103" t="str">
        <f t="shared" si="6"/>
        <v>0367</v>
      </c>
      <c r="E103" t="str">
        <f t="shared" si="7"/>
        <v>2</v>
      </c>
      <c r="F103" t="str">
        <f t="shared" si="8"/>
        <v/>
      </c>
    </row>
    <row r="104" spans="1:6" x14ac:dyDescent="0.3">
      <c r="A104" t="s">
        <v>1115</v>
      </c>
      <c r="B104">
        <v>1</v>
      </c>
      <c r="D104" t="str">
        <f t="shared" si="6"/>
        <v>0369</v>
      </c>
      <c r="E104" t="str">
        <f t="shared" si="7"/>
        <v>2</v>
      </c>
      <c r="F104" t="str">
        <f t="shared" si="8"/>
        <v/>
      </c>
    </row>
    <row r="105" spans="1:6" x14ac:dyDescent="0.3">
      <c r="A105" t="s">
        <v>1116</v>
      </c>
      <c r="B105">
        <v>1</v>
      </c>
      <c r="D105" t="str">
        <f t="shared" si="6"/>
        <v>0375</v>
      </c>
      <c r="E105" t="str">
        <f t="shared" si="7"/>
        <v>0</v>
      </c>
      <c r="F105" t="str">
        <f t="shared" si="8"/>
        <v/>
      </c>
    </row>
    <row r="106" spans="1:6" x14ac:dyDescent="0.3">
      <c r="A106" t="s">
        <v>1118</v>
      </c>
      <c r="B106">
        <v>1</v>
      </c>
      <c r="D106" t="str">
        <f t="shared" si="6"/>
        <v>0377</v>
      </c>
      <c r="E106" t="str">
        <f t="shared" si="7"/>
        <v>2</v>
      </c>
      <c r="F106" t="str">
        <f t="shared" si="8"/>
        <v/>
      </c>
    </row>
    <row r="107" spans="1:6" x14ac:dyDescent="0.3">
      <c r="A107" t="s">
        <v>1119</v>
      </c>
      <c r="B107">
        <v>1</v>
      </c>
      <c r="D107" t="str">
        <f t="shared" si="6"/>
        <v>0378</v>
      </c>
      <c r="E107" t="str">
        <f t="shared" si="7"/>
        <v>0</v>
      </c>
      <c r="F107" t="str">
        <f t="shared" si="8"/>
        <v/>
      </c>
    </row>
    <row r="108" spans="1:6" x14ac:dyDescent="0.3">
      <c r="A108" t="s">
        <v>1121</v>
      </c>
      <c r="B108">
        <v>1</v>
      </c>
      <c r="D108" t="str">
        <f t="shared" si="6"/>
        <v>0380</v>
      </c>
      <c r="E108" t="str">
        <f t="shared" si="7"/>
        <v>2</v>
      </c>
      <c r="F108" t="str">
        <f t="shared" si="8"/>
        <v/>
      </c>
    </row>
    <row r="109" spans="1:6" x14ac:dyDescent="0.3">
      <c r="A109" t="s">
        <v>1123</v>
      </c>
      <c r="B109">
        <v>1</v>
      </c>
      <c r="D109" t="str">
        <f t="shared" si="6"/>
        <v>0385</v>
      </c>
      <c r="E109" t="str">
        <f t="shared" si="7"/>
        <v>2</v>
      </c>
      <c r="F109" t="str">
        <f t="shared" si="8"/>
        <v/>
      </c>
    </row>
    <row r="110" spans="1:6" x14ac:dyDescent="0.3">
      <c r="A110" t="s">
        <v>1125</v>
      </c>
      <c r="B110">
        <v>1</v>
      </c>
      <c r="D110" t="str">
        <f t="shared" si="6"/>
        <v>0387</v>
      </c>
      <c r="E110" t="str">
        <f t="shared" si="7"/>
        <v>2</v>
      </c>
      <c r="F110" t="str">
        <f t="shared" si="8"/>
        <v/>
      </c>
    </row>
    <row r="111" spans="1:6" x14ac:dyDescent="0.3">
      <c r="A111" t="s">
        <v>1127</v>
      </c>
      <c r="B111">
        <v>1</v>
      </c>
      <c r="D111" t="str">
        <f t="shared" si="6"/>
        <v>0391</v>
      </c>
      <c r="E111" t="str">
        <f t="shared" si="7"/>
        <v>2</v>
      </c>
      <c r="F111" t="str">
        <f t="shared" si="8"/>
        <v/>
      </c>
    </row>
    <row r="112" spans="1:6" x14ac:dyDescent="0.3">
      <c r="A112" t="s">
        <v>1129</v>
      </c>
      <c r="B112">
        <v>1</v>
      </c>
      <c r="D112" t="str">
        <f t="shared" si="6"/>
        <v>0392</v>
      </c>
      <c r="E112" t="str">
        <f t="shared" si="7"/>
        <v>2</v>
      </c>
      <c r="F112" t="str">
        <f t="shared" si="8"/>
        <v/>
      </c>
    </row>
    <row r="113" spans="1:6" x14ac:dyDescent="0.3">
      <c r="A113" t="s">
        <v>1130</v>
      </c>
      <c r="B113">
        <v>1</v>
      </c>
      <c r="D113" t="str">
        <f t="shared" si="6"/>
        <v>0393</v>
      </c>
      <c r="E113" t="str">
        <f t="shared" si="7"/>
        <v>0</v>
      </c>
      <c r="F113" t="str">
        <f t="shared" si="8"/>
        <v/>
      </c>
    </row>
    <row r="114" spans="1:6" x14ac:dyDescent="0.3">
      <c r="A114" t="s">
        <v>1133</v>
      </c>
      <c r="B114">
        <v>1</v>
      </c>
      <c r="D114" t="str">
        <f t="shared" si="6"/>
        <v>0397</v>
      </c>
      <c r="E114" t="str">
        <f t="shared" si="7"/>
        <v>2</v>
      </c>
      <c r="F114" t="str">
        <f t="shared" si="8"/>
        <v/>
      </c>
    </row>
    <row r="115" spans="1:6" x14ac:dyDescent="0.3">
      <c r="A115" t="s">
        <v>1135</v>
      </c>
      <c r="B115">
        <v>1</v>
      </c>
      <c r="D115" t="str">
        <f t="shared" si="6"/>
        <v>0398</v>
      </c>
      <c r="E115" t="str">
        <f t="shared" si="7"/>
        <v>2</v>
      </c>
      <c r="F115" t="str">
        <f t="shared" si="8"/>
        <v/>
      </c>
    </row>
    <row r="116" spans="1:6" x14ac:dyDescent="0.3">
      <c r="A116" t="s">
        <v>1137</v>
      </c>
      <c r="B116">
        <v>1</v>
      </c>
      <c r="D116" t="str">
        <f t="shared" si="6"/>
        <v>0399</v>
      </c>
      <c r="E116" t="str">
        <f t="shared" si="7"/>
        <v>2</v>
      </c>
      <c r="F116" t="str">
        <f t="shared" si="8"/>
        <v/>
      </c>
    </row>
    <row r="117" spans="1:6" x14ac:dyDescent="0.3">
      <c r="A117" t="s">
        <v>1138</v>
      </c>
      <c r="B117">
        <v>1</v>
      </c>
      <c r="D117" t="str">
        <f t="shared" si="6"/>
        <v>0400</v>
      </c>
      <c r="E117" t="str">
        <f t="shared" si="7"/>
        <v>0</v>
      </c>
      <c r="F117" t="str">
        <f t="shared" si="8"/>
        <v/>
      </c>
    </row>
    <row r="118" spans="1:6" x14ac:dyDescent="0.3">
      <c r="A118" t="s">
        <v>1139</v>
      </c>
      <c r="B118">
        <v>1</v>
      </c>
      <c r="D118" t="str">
        <f t="shared" si="6"/>
        <v>0404</v>
      </c>
      <c r="E118" t="str">
        <f t="shared" si="7"/>
        <v>0</v>
      </c>
      <c r="F118" t="str">
        <f t="shared" si="8"/>
        <v/>
      </c>
    </row>
    <row r="119" spans="1:6" x14ac:dyDescent="0.3">
      <c r="A119" t="s">
        <v>1140</v>
      </c>
      <c r="B119">
        <v>1</v>
      </c>
      <c r="D119" t="str">
        <f t="shared" si="6"/>
        <v>0405</v>
      </c>
      <c r="E119" t="str">
        <f t="shared" si="7"/>
        <v>0</v>
      </c>
      <c r="F119" t="str">
        <f t="shared" si="8"/>
        <v/>
      </c>
    </row>
    <row r="120" spans="1:6" x14ac:dyDescent="0.3">
      <c r="A120" t="s">
        <v>1141</v>
      </c>
      <c r="B120">
        <v>1</v>
      </c>
      <c r="D120" t="str">
        <f t="shared" si="6"/>
        <v>0412</v>
      </c>
      <c r="E120" t="str">
        <f t="shared" si="7"/>
        <v>0</v>
      </c>
      <c r="F120" t="str">
        <f t="shared" si="8"/>
        <v/>
      </c>
    </row>
    <row r="121" spans="1:6" x14ac:dyDescent="0.3">
      <c r="A121" t="s">
        <v>1142</v>
      </c>
      <c r="B121">
        <v>1</v>
      </c>
      <c r="D121" t="str">
        <f t="shared" si="6"/>
        <v>0420</v>
      </c>
      <c r="E121" t="str">
        <f t="shared" si="7"/>
        <v>0</v>
      </c>
      <c r="F121" t="str">
        <f t="shared" si="8"/>
        <v/>
      </c>
    </row>
    <row r="122" spans="1:6" x14ac:dyDescent="0.3">
      <c r="A122" t="s">
        <v>1144</v>
      </c>
      <c r="B122">
        <v>1</v>
      </c>
      <c r="D122" t="str">
        <f t="shared" si="6"/>
        <v>0421</v>
      </c>
      <c r="E122" t="str">
        <f t="shared" si="7"/>
        <v>0</v>
      </c>
      <c r="F122" t="str">
        <f t="shared" si="8"/>
        <v/>
      </c>
    </row>
    <row r="123" spans="1:6" x14ac:dyDescent="0.3">
      <c r="A123" t="s">
        <v>1147</v>
      </c>
      <c r="B123">
        <v>1</v>
      </c>
      <c r="D123" t="str">
        <f t="shared" si="6"/>
        <v>0425</v>
      </c>
      <c r="E123" t="str">
        <f t="shared" si="7"/>
        <v>2</v>
      </c>
      <c r="F123" t="str">
        <f t="shared" si="8"/>
        <v/>
      </c>
    </row>
    <row r="124" spans="1:6" x14ac:dyDescent="0.3">
      <c r="A124" t="s">
        <v>1149</v>
      </c>
      <c r="B124">
        <v>1</v>
      </c>
      <c r="D124" t="str">
        <f t="shared" si="6"/>
        <v>0434</v>
      </c>
      <c r="E124" t="str">
        <f t="shared" si="7"/>
        <v>2</v>
      </c>
      <c r="F124" t="str">
        <f t="shared" si="8"/>
        <v/>
      </c>
    </row>
    <row r="125" spans="1:6" x14ac:dyDescent="0.3">
      <c r="A125" t="s">
        <v>1151</v>
      </c>
      <c r="B125">
        <v>1</v>
      </c>
      <c r="D125" t="str">
        <f t="shared" si="6"/>
        <v>0435</v>
      </c>
      <c r="E125" t="str">
        <f t="shared" si="7"/>
        <v>2</v>
      </c>
      <c r="F125" t="str">
        <f t="shared" si="8"/>
        <v/>
      </c>
    </row>
    <row r="126" spans="1:6" x14ac:dyDescent="0.3">
      <c r="A126" t="s">
        <v>1152</v>
      </c>
      <c r="B126">
        <v>1</v>
      </c>
      <c r="D126" t="str">
        <f t="shared" si="6"/>
        <v>0436</v>
      </c>
      <c r="E126" t="str">
        <f t="shared" si="7"/>
        <v>0</v>
      </c>
      <c r="F126" t="str">
        <f t="shared" si="8"/>
        <v/>
      </c>
    </row>
    <row r="127" spans="1:6" x14ac:dyDescent="0.3">
      <c r="A127" t="s">
        <v>1154</v>
      </c>
      <c r="B127">
        <v>1</v>
      </c>
      <c r="D127" t="str">
        <f t="shared" si="6"/>
        <v>0437</v>
      </c>
      <c r="E127" t="str">
        <f t="shared" si="7"/>
        <v>2</v>
      </c>
      <c r="F127" t="str">
        <f t="shared" si="8"/>
        <v/>
      </c>
    </row>
    <row r="128" spans="1:6" x14ac:dyDescent="0.3">
      <c r="A128" t="s">
        <v>1156</v>
      </c>
      <c r="B128">
        <v>1</v>
      </c>
      <c r="D128" t="str">
        <f t="shared" si="6"/>
        <v>0438</v>
      </c>
      <c r="E128" t="str">
        <f t="shared" si="7"/>
        <v>2</v>
      </c>
      <c r="F128" t="str">
        <f t="shared" si="8"/>
        <v/>
      </c>
    </row>
    <row r="129" spans="1:6" x14ac:dyDescent="0.3">
      <c r="A129" t="s">
        <v>1158</v>
      </c>
      <c r="B129">
        <v>1</v>
      </c>
      <c r="D129" t="str">
        <f t="shared" si="6"/>
        <v>0439</v>
      </c>
      <c r="E129" t="str">
        <f t="shared" si="7"/>
        <v>2</v>
      </c>
      <c r="F129" t="str">
        <f t="shared" si="8"/>
        <v/>
      </c>
    </row>
    <row r="130" spans="1:6" x14ac:dyDescent="0.3">
      <c r="A130" t="s">
        <v>1160</v>
      </c>
      <c r="B130">
        <v>1</v>
      </c>
      <c r="D130" t="str">
        <f t="shared" si="6"/>
        <v>0458</v>
      </c>
      <c r="E130" t="str">
        <f t="shared" si="7"/>
        <v>2</v>
      </c>
      <c r="F130" t="str">
        <f t="shared" si="8"/>
        <v/>
      </c>
    </row>
    <row r="131" spans="1:6" x14ac:dyDescent="0.3">
      <c r="A131" t="s">
        <v>1161</v>
      </c>
      <c r="B131">
        <v>1</v>
      </c>
      <c r="D131" t="str">
        <f t="shared" ref="D131:D194" si="9">IF(LEFT(A131,2)="SP",MID(A131,4,4),IF(LEFT(A131,1)="X",MID(A131,3,4),""))</f>
        <v>0459</v>
      </c>
      <c r="E131" t="str">
        <f t="shared" ref="E131:E194" si="10">IF(OR(LEFT(A131,2)="SP",AND(LEFT(A131,1)="X",LEN(A131)&gt;9)),RIGHT(A131,1),"")</f>
        <v>0</v>
      </c>
      <c r="F131" t="str">
        <f t="shared" ref="F131:F194" si="11">IF(LEFT(A131,1)="X",MID(A131,8,2),"")</f>
        <v/>
      </c>
    </row>
    <row r="132" spans="1:6" x14ac:dyDescent="0.3">
      <c r="A132" t="s">
        <v>1163</v>
      </c>
      <c r="B132">
        <v>1</v>
      </c>
      <c r="D132" t="str">
        <f t="shared" si="9"/>
        <v>0461</v>
      </c>
      <c r="E132" t="str">
        <f t="shared" si="10"/>
        <v>2</v>
      </c>
      <c r="F132" t="str">
        <f t="shared" si="11"/>
        <v/>
      </c>
    </row>
    <row r="133" spans="1:6" x14ac:dyDescent="0.3">
      <c r="A133" t="s">
        <v>1164</v>
      </c>
      <c r="B133">
        <v>1</v>
      </c>
      <c r="D133" t="str">
        <f t="shared" si="9"/>
        <v>0485</v>
      </c>
      <c r="E133" t="str">
        <f t="shared" si="10"/>
        <v>0</v>
      </c>
      <c r="F133" t="str">
        <f t="shared" si="11"/>
        <v/>
      </c>
    </row>
    <row r="134" spans="1:6" x14ac:dyDescent="0.3">
      <c r="A134" t="s">
        <v>1167</v>
      </c>
      <c r="B134">
        <v>1</v>
      </c>
      <c r="D134" t="str">
        <f t="shared" si="9"/>
        <v>0486</v>
      </c>
      <c r="E134" t="str">
        <f t="shared" si="10"/>
        <v>2</v>
      </c>
      <c r="F134" t="str">
        <f t="shared" si="11"/>
        <v/>
      </c>
    </row>
    <row r="135" spans="1:6" x14ac:dyDescent="0.3">
      <c r="A135" t="s">
        <v>1169</v>
      </c>
      <c r="B135">
        <v>1</v>
      </c>
      <c r="D135" t="str">
        <f t="shared" si="9"/>
        <v>0487</v>
      </c>
      <c r="E135" t="str">
        <f t="shared" si="10"/>
        <v>2</v>
      </c>
      <c r="F135" t="str">
        <f t="shared" si="11"/>
        <v/>
      </c>
    </row>
    <row r="136" spans="1:6" x14ac:dyDescent="0.3">
      <c r="A136" t="s">
        <v>1171</v>
      </c>
      <c r="B136">
        <v>1</v>
      </c>
      <c r="D136" t="str">
        <f t="shared" si="9"/>
        <v>0488</v>
      </c>
      <c r="E136" t="str">
        <f t="shared" si="10"/>
        <v>2</v>
      </c>
      <c r="F136" t="str">
        <f t="shared" si="11"/>
        <v/>
      </c>
    </row>
    <row r="137" spans="1:6" x14ac:dyDescent="0.3">
      <c r="A137" t="s">
        <v>1173</v>
      </c>
      <c r="B137">
        <v>1</v>
      </c>
      <c r="D137" t="str">
        <f t="shared" si="9"/>
        <v>0489</v>
      </c>
      <c r="E137" t="str">
        <f t="shared" si="10"/>
        <v>2</v>
      </c>
      <c r="F137" t="str">
        <f t="shared" si="11"/>
        <v/>
      </c>
    </row>
    <row r="138" spans="1:6" x14ac:dyDescent="0.3">
      <c r="A138" t="s">
        <v>1174</v>
      </c>
      <c r="B138">
        <v>1</v>
      </c>
      <c r="D138" t="str">
        <f t="shared" si="9"/>
        <v>0498</v>
      </c>
      <c r="E138" t="str">
        <f t="shared" si="10"/>
        <v>0</v>
      </c>
      <c r="F138" t="str">
        <f t="shared" si="11"/>
        <v/>
      </c>
    </row>
    <row r="139" spans="1:6" x14ac:dyDescent="0.3">
      <c r="A139" t="s">
        <v>1177</v>
      </c>
      <c r="B139">
        <v>1</v>
      </c>
      <c r="D139" t="str">
        <f t="shared" si="9"/>
        <v>0499</v>
      </c>
      <c r="E139" t="str">
        <f t="shared" si="10"/>
        <v>2</v>
      </c>
      <c r="F139" t="str">
        <f t="shared" si="11"/>
        <v/>
      </c>
    </row>
    <row r="140" spans="1:6" x14ac:dyDescent="0.3">
      <c r="A140" t="s">
        <v>1178</v>
      </c>
      <c r="B140">
        <v>1</v>
      </c>
      <c r="D140" t="str">
        <f t="shared" si="9"/>
        <v>0001</v>
      </c>
      <c r="E140" t="str">
        <f t="shared" si="10"/>
        <v/>
      </c>
      <c r="F140" t="str">
        <f t="shared" si="11"/>
        <v>CN</v>
      </c>
    </row>
    <row r="141" spans="1:6" x14ac:dyDescent="0.3">
      <c r="A141" t="s">
        <v>1181</v>
      </c>
      <c r="B141">
        <v>1</v>
      </c>
      <c r="D141" t="str">
        <f t="shared" si="9"/>
        <v>0002</v>
      </c>
      <c r="E141" t="str">
        <f t="shared" si="10"/>
        <v/>
      </c>
      <c r="F141" t="str">
        <f t="shared" si="11"/>
        <v>CR</v>
      </c>
    </row>
    <row r="142" spans="1:6" x14ac:dyDescent="0.3">
      <c r="A142" t="s">
        <v>1182</v>
      </c>
      <c r="B142">
        <v>1</v>
      </c>
      <c r="D142" t="str">
        <f t="shared" si="9"/>
        <v>0003</v>
      </c>
      <c r="E142" t="str">
        <f t="shared" si="10"/>
        <v/>
      </c>
      <c r="F142" t="str">
        <f t="shared" si="11"/>
        <v>CN</v>
      </c>
    </row>
    <row r="143" spans="1:6" x14ac:dyDescent="0.3">
      <c r="A143" t="s">
        <v>1187</v>
      </c>
      <c r="B143">
        <v>1</v>
      </c>
      <c r="D143" t="str">
        <f t="shared" si="9"/>
        <v>0004</v>
      </c>
      <c r="E143" t="str">
        <f t="shared" si="10"/>
        <v/>
      </c>
      <c r="F143" t="str">
        <f t="shared" si="11"/>
        <v>CS</v>
      </c>
    </row>
    <row r="144" spans="1:6" x14ac:dyDescent="0.3">
      <c r="A144" t="s">
        <v>1188</v>
      </c>
      <c r="B144">
        <v>1</v>
      </c>
      <c r="D144" t="str">
        <f t="shared" si="9"/>
        <v>0005</v>
      </c>
      <c r="E144" t="str">
        <f t="shared" si="10"/>
        <v/>
      </c>
      <c r="F144" t="str">
        <f t="shared" si="11"/>
        <v>CN</v>
      </c>
    </row>
    <row r="145" spans="1:6" x14ac:dyDescent="0.3">
      <c r="A145" t="s">
        <v>1191</v>
      </c>
      <c r="B145">
        <v>1</v>
      </c>
      <c r="D145" t="str">
        <f t="shared" si="9"/>
        <v>0006</v>
      </c>
      <c r="E145" t="str">
        <f t="shared" si="10"/>
        <v/>
      </c>
      <c r="F145" t="str">
        <f t="shared" si="11"/>
        <v>CN</v>
      </c>
    </row>
    <row r="146" spans="1:6" x14ac:dyDescent="0.3">
      <c r="A146" t="s">
        <v>1194</v>
      </c>
      <c r="B146">
        <v>1</v>
      </c>
      <c r="D146" t="str">
        <f t="shared" si="9"/>
        <v>0007</v>
      </c>
      <c r="E146" t="str">
        <f t="shared" si="10"/>
        <v>1</v>
      </c>
      <c r="F146" t="str">
        <f t="shared" si="11"/>
        <v>CN</v>
      </c>
    </row>
    <row r="147" spans="1:6" x14ac:dyDescent="0.3">
      <c r="A147" t="s">
        <v>1197</v>
      </c>
      <c r="B147">
        <v>1</v>
      </c>
      <c r="D147" t="str">
        <f t="shared" si="9"/>
        <v>0007</v>
      </c>
      <c r="E147" t="str">
        <f t="shared" si="10"/>
        <v>2</v>
      </c>
      <c r="F147" t="str">
        <f t="shared" si="11"/>
        <v>CR</v>
      </c>
    </row>
    <row r="148" spans="1:6" x14ac:dyDescent="0.3">
      <c r="A148" t="s">
        <v>2554</v>
      </c>
      <c r="B148">
        <v>1</v>
      </c>
      <c r="D148" t="str">
        <f t="shared" si="9"/>
        <v>0007</v>
      </c>
      <c r="E148" t="str">
        <f t="shared" si="10"/>
        <v>3</v>
      </c>
      <c r="F148" t="str">
        <f t="shared" si="11"/>
        <v>MS</v>
      </c>
    </row>
    <row r="149" spans="1:6" x14ac:dyDescent="0.3">
      <c r="A149" t="s">
        <v>1198</v>
      </c>
      <c r="B149">
        <v>1</v>
      </c>
      <c r="D149" t="str">
        <f t="shared" si="9"/>
        <v>0008</v>
      </c>
      <c r="E149" t="str">
        <f t="shared" si="10"/>
        <v>1</v>
      </c>
      <c r="F149" t="str">
        <f t="shared" si="11"/>
        <v>CN</v>
      </c>
    </row>
    <row r="150" spans="1:6" x14ac:dyDescent="0.3">
      <c r="A150" t="s">
        <v>1199</v>
      </c>
      <c r="B150">
        <v>1</v>
      </c>
      <c r="D150" t="str">
        <f t="shared" si="9"/>
        <v>0008</v>
      </c>
      <c r="E150" t="str">
        <f t="shared" si="10"/>
        <v>3</v>
      </c>
      <c r="F150" t="str">
        <f t="shared" si="11"/>
        <v>CN</v>
      </c>
    </row>
    <row r="151" spans="1:6" x14ac:dyDescent="0.3">
      <c r="A151" t="s">
        <v>1201</v>
      </c>
      <c r="B151">
        <v>1</v>
      </c>
      <c r="D151" t="str">
        <f t="shared" si="9"/>
        <v>0008</v>
      </c>
      <c r="E151" t="str">
        <f t="shared" si="10"/>
        <v>2</v>
      </c>
      <c r="F151" t="str">
        <f t="shared" si="11"/>
        <v>CR</v>
      </c>
    </row>
    <row r="152" spans="1:6" x14ac:dyDescent="0.3">
      <c r="A152" t="s">
        <v>1204</v>
      </c>
      <c r="B152">
        <v>1</v>
      </c>
      <c r="D152" t="str">
        <f t="shared" si="9"/>
        <v>0009</v>
      </c>
      <c r="E152" t="str">
        <f t="shared" si="10"/>
        <v/>
      </c>
      <c r="F152" t="str">
        <f t="shared" si="11"/>
        <v>CN</v>
      </c>
    </row>
    <row r="153" spans="1:6" x14ac:dyDescent="0.3">
      <c r="A153" t="s">
        <v>1207</v>
      </c>
      <c r="B153">
        <v>1</v>
      </c>
      <c r="D153" t="str">
        <f t="shared" si="9"/>
        <v>0010</v>
      </c>
      <c r="E153" t="str">
        <f t="shared" si="10"/>
        <v>1</v>
      </c>
      <c r="F153" t="str">
        <f t="shared" si="11"/>
        <v>CN</v>
      </c>
    </row>
    <row r="154" spans="1:6" x14ac:dyDescent="0.3">
      <c r="A154" t="s">
        <v>1210</v>
      </c>
      <c r="B154">
        <v>1</v>
      </c>
      <c r="D154" t="str">
        <f t="shared" si="9"/>
        <v>0010</v>
      </c>
      <c r="E154" t="str">
        <f t="shared" si="10"/>
        <v>2</v>
      </c>
      <c r="F154" t="str">
        <f t="shared" si="11"/>
        <v>CR</v>
      </c>
    </row>
    <row r="155" spans="1:6" x14ac:dyDescent="0.3">
      <c r="A155" t="s">
        <v>1211</v>
      </c>
      <c r="B155">
        <v>1</v>
      </c>
      <c r="D155" t="str">
        <f t="shared" si="9"/>
        <v>0010</v>
      </c>
      <c r="E155" t="str">
        <f t="shared" si="10"/>
        <v>3</v>
      </c>
      <c r="F155" t="str">
        <f t="shared" si="11"/>
        <v>CS</v>
      </c>
    </row>
    <row r="156" spans="1:6" x14ac:dyDescent="0.3">
      <c r="A156" t="s">
        <v>2682</v>
      </c>
      <c r="B156">
        <v>1</v>
      </c>
      <c r="D156" t="str">
        <f t="shared" si="9"/>
        <v>0011</v>
      </c>
      <c r="E156" t="str">
        <f t="shared" si="10"/>
        <v/>
      </c>
      <c r="F156" t="str">
        <f t="shared" si="11"/>
        <v>MS</v>
      </c>
    </row>
    <row r="157" spans="1:6" x14ac:dyDescent="0.3">
      <c r="A157" t="s">
        <v>1217</v>
      </c>
      <c r="B157">
        <v>1</v>
      </c>
      <c r="D157" t="str">
        <f t="shared" si="9"/>
        <v>0012</v>
      </c>
      <c r="E157" t="str">
        <f t="shared" si="10"/>
        <v/>
      </c>
      <c r="F157" t="str">
        <f t="shared" si="11"/>
        <v>CS</v>
      </c>
    </row>
    <row r="158" spans="1:6" x14ac:dyDescent="0.3">
      <c r="A158" t="s">
        <v>1218</v>
      </c>
      <c r="B158">
        <v>1</v>
      </c>
      <c r="D158" t="str">
        <f t="shared" si="9"/>
        <v>0013</v>
      </c>
      <c r="E158" t="str">
        <f t="shared" si="10"/>
        <v/>
      </c>
      <c r="F158" t="str">
        <f t="shared" si="11"/>
        <v>CN</v>
      </c>
    </row>
    <row r="159" spans="1:6" x14ac:dyDescent="0.3">
      <c r="A159" t="s">
        <v>1220</v>
      </c>
      <c r="B159">
        <v>1</v>
      </c>
      <c r="D159" t="str">
        <f t="shared" si="9"/>
        <v>0014</v>
      </c>
      <c r="E159" t="str">
        <f t="shared" si="10"/>
        <v/>
      </c>
      <c r="F159" t="str">
        <f t="shared" si="11"/>
        <v>CN</v>
      </c>
    </row>
    <row r="160" spans="1:6" x14ac:dyDescent="0.3">
      <c r="A160" t="s">
        <v>1224</v>
      </c>
      <c r="B160">
        <v>1</v>
      </c>
      <c r="D160" t="str">
        <f t="shared" si="9"/>
        <v>0015</v>
      </c>
      <c r="E160" t="str">
        <f t="shared" si="10"/>
        <v>2</v>
      </c>
      <c r="F160" t="str">
        <f t="shared" si="11"/>
        <v>CR</v>
      </c>
    </row>
    <row r="161" spans="1:6" x14ac:dyDescent="0.3">
      <c r="A161" t="s">
        <v>2683</v>
      </c>
      <c r="B161">
        <v>1</v>
      </c>
      <c r="D161" t="str">
        <f t="shared" si="9"/>
        <v>0015</v>
      </c>
      <c r="E161" t="str">
        <f t="shared" si="10"/>
        <v>1</v>
      </c>
      <c r="F161" t="str">
        <f t="shared" si="11"/>
        <v>MS</v>
      </c>
    </row>
    <row r="162" spans="1:6" x14ac:dyDescent="0.3">
      <c r="A162" t="s">
        <v>2593</v>
      </c>
      <c r="B162">
        <v>1</v>
      </c>
      <c r="D162" t="str">
        <f t="shared" si="9"/>
        <v>0015</v>
      </c>
      <c r="E162" t="str">
        <f t="shared" si="10"/>
        <v>3</v>
      </c>
      <c r="F162" t="str">
        <f t="shared" si="11"/>
        <v>MS</v>
      </c>
    </row>
    <row r="163" spans="1:6" x14ac:dyDescent="0.3">
      <c r="A163" t="s">
        <v>1228</v>
      </c>
      <c r="B163">
        <v>1</v>
      </c>
      <c r="D163" t="str">
        <f t="shared" si="9"/>
        <v>0016</v>
      </c>
      <c r="E163" t="str">
        <f t="shared" si="10"/>
        <v/>
      </c>
      <c r="F163" t="str">
        <f t="shared" si="11"/>
        <v>DN</v>
      </c>
    </row>
    <row r="164" spans="1:6" x14ac:dyDescent="0.3">
      <c r="A164" t="s">
        <v>1229</v>
      </c>
      <c r="B164">
        <v>1</v>
      </c>
      <c r="D164" t="str">
        <f t="shared" si="9"/>
        <v>0017</v>
      </c>
      <c r="E164" t="str">
        <f t="shared" si="10"/>
        <v/>
      </c>
      <c r="F164" t="str">
        <f t="shared" si="11"/>
        <v>CN</v>
      </c>
    </row>
    <row r="165" spans="1:6" x14ac:dyDescent="0.3">
      <c r="A165" t="s">
        <v>1232</v>
      </c>
      <c r="B165">
        <v>1</v>
      </c>
      <c r="D165" t="str">
        <f t="shared" si="9"/>
        <v>0018</v>
      </c>
      <c r="E165" t="str">
        <f t="shared" si="10"/>
        <v/>
      </c>
      <c r="F165" t="str">
        <f t="shared" si="11"/>
        <v>CN</v>
      </c>
    </row>
    <row r="166" spans="1:6" x14ac:dyDescent="0.3">
      <c r="A166" t="s">
        <v>1235</v>
      </c>
      <c r="B166">
        <v>1</v>
      </c>
      <c r="D166" t="str">
        <f t="shared" si="9"/>
        <v>0019</v>
      </c>
      <c r="E166" t="str">
        <f t="shared" si="10"/>
        <v>1</v>
      </c>
      <c r="F166" t="str">
        <f t="shared" si="11"/>
        <v>CN</v>
      </c>
    </row>
    <row r="167" spans="1:6" x14ac:dyDescent="0.3">
      <c r="A167" t="s">
        <v>1237</v>
      </c>
      <c r="B167">
        <v>1</v>
      </c>
      <c r="D167" t="str">
        <f t="shared" si="9"/>
        <v>0019</v>
      </c>
      <c r="E167" t="str">
        <f t="shared" si="10"/>
        <v>2</v>
      </c>
      <c r="F167" t="str">
        <f t="shared" si="11"/>
        <v>CR</v>
      </c>
    </row>
    <row r="168" spans="1:6" x14ac:dyDescent="0.3">
      <c r="A168" t="s">
        <v>1239</v>
      </c>
      <c r="B168">
        <v>1</v>
      </c>
      <c r="D168" t="str">
        <f t="shared" si="9"/>
        <v>0019</v>
      </c>
      <c r="E168" t="str">
        <f t="shared" si="10"/>
        <v>3</v>
      </c>
      <c r="F168" t="str">
        <f t="shared" si="11"/>
        <v>DS</v>
      </c>
    </row>
    <row r="169" spans="1:6" x14ac:dyDescent="0.3">
      <c r="A169" t="s">
        <v>1240</v>
      </c>
      <c r="B169">
        <v>1</v>
      </c>
      <c r="D169" t="str">
        <f t="shared" si="9"/>
        <v>0020</v>
      </c>
      <c r="E169" t="str">
        <f t="shared" si="10"/>
        <v/>
      </c>
      <c r="F169" t="str">
        <f t="shared" si="11"/>
        <v>CN</v>
      </c>
    </row>
    <row r="170" spans="1:6" x14ac:dyDescent="0.3">
      <c r="A170" t="s">
        <v>1242</v>
      </c>
      <c r="B170">
        <v>1</v>
      </c>
      <c r="D170" t="str">
        <f t="shared" si="9"/>
        <v>0021</v>
      </c>
      <c r="E170" t="str">
        <f t="shared" si="10"/>
        <v>1</v>
      </c>
      <c r="F170" t="str">
        <f t="shared" si="11"/>
        <v>CN</v>
      </c>
    </row>
    <row r="171" spans="1:6" x14ac:dyDescent="0.3">
      <c r="A171" t="s">
        <v>1243</v>
      </c>
      <c r="B171">
        <v>1</v>
      </c>
      <c r="D171" t="str">
        <f t="shared" si="9"/>
        <v>0021</v>
      </c>
      <c r="E171" t="str">
        <f t="shared" si="10"/>
        <v>3</v>
      </c>
      <c r="F171" t="str">
        <f t="shared" si="11"/>
        <v>CN</v>
      </c>
    </row>
    <row r="172" spans="1:6" x14ac:dyDescent="0.3">
      <c r="A172" t="s">
        <v>1245</v>
      </c>
      <c r="B172">
        <v>1</v>
      </c>
      <c r="D172" t="str">
        <f t="shared" si="9"/>
        <v>0021</v>
      </c>
      <c r="E172" t="str">
        <f t="shared" si="10"/>
        <v>2</v>
      </c>
      <c r="F172" t="str">
        <f t="shared" si="11"/>
        <v>CR</v>
      </c>
    </row>
    <row r="173" spans="1:6" x14ac:dyDescent="0.3">
      <c r="A173" t="s">
        <v>1246</v>
      </c>
      <c r="B173">
        <v>1</v>
      </c>
      <c r="D173" t="str">
        <f t="shared" si="9"/>
        <v>0022</v>
      </c>
      <c r="E173" t="str">
        <f t="shared" si="10"/>
        <v>1</v>
      </c>
      <c r="F173" t="str">
        <f t="shared" si="11"/>
        <v>CN</v>
      </c>
    </row>
    <row r="174" spans="1:6" x14ac:dyDescent="0.3">
      <c r="A174" t="s">
        <v>1249</v>
      </c>
      <c r="B174">
        <v>1</v>
      </c>
      <c r="D174" t="str">
        <f t="shared" si="9"/>
        <v>0022</v>
      </c>
      <c r="E174" t="str">
        <f t="shared" si="10"/>
        <v>2</v>
      </c>
      <c r="F174" t="str">
        <f t="shared" si="11"/>
        <v>CR</v>
      </c>
    </row>
    <row r="175" spans="1:6" x14ac:dyDescent="0.3">
      <c r="A175" t="s">
        <v>2684</v>
      </c>
      <c r="B175">
        <v>1</v>
      </c>
      <c r="D175" t="str">
        <f t="shared" si="9"/>
        <v>0022</v>
      </c>
      <c r="E175" t="str">
        <f t="shared" si="10"/>
        <v>3</v>
      </c>
      <c r="F175" t="str">
        <f t="shared" si="11"/>
        <v>MS</v>
      </c>
    </row>
    <row r="176" spans="1:6" x14ac:dyDescent="0.3">
      <c r="A176" t="s">
        <v>1250</v>
      </c>
      <c r="B176">
        <v>1</v>
      </c>
      <c r="D176" t="str">
        <f t="shared" si="9"/>
        <v>0023</v>
      </c>
      <c r="E176" t="str">
        <f t="shared" si="10"/>
        <v/>
      </c>
      <c r="F176" t="str">
        <f t="shared" si="11"/>
        <v>CN</v>
      </c>
    </row>
    <row r="177" spans="1:6" x14ac:dyDescent="0.3">
      <c r="A177" t="s">
        <v>1256</v>
      </c>
      <c r="B177">
        <v>1</v>
      </c>
      <c r="D177" t="str">
        <f t="shared" si="9"/>
        <v>0024</v>
      </c>
      <c r="E177" t="str">
        <f t="shared" si="10"/>
        <v>2</v>
      </c>
      <c r="F177" t="str">
        <f t="shared" si="11"/>
        <v>CR</v>
      </c>
    </row>
    <row r="178" spans="1:6" x14ac:dyDescent="0.3">
      <c r="A178" t="s">
        <v>1257</v>
      </c>
      <c r="B178">
        <v>1</v>
      </c>
      <c r="D178" t="str">
        <f t="shared" si="9"/>
        <v>0024</v>
      </c>
      <c r="E178" t="str">
        <f t="shared" si="10"/>
        <v>1</v>
      </c>
      <c r="F178" t="str">
        <f t="shared" si="11"/>
        <v>CS</v>
      </c>
    </row>
    <row r="179" spans="1:6" x14ac:dyDescent="0.3">
      <c r="A179" t="s">
        <v>1258</v>
      </c>
      <c r="B179">
        <v>1</v>
      </c>
      <c r="D179" t="str">
        <f t="shared" si="9"/>
        <v>0024</v>
      </c>
      <c r="E179" t="str">
        <f t="shared" si="10"/>
        <v>3</v>
      </c>
      <c r="F179" t="str">
        <f t="shared" si="11"/>
        <v>DS</v>
      </c>
    </row>
    <row r="180" spans="1:6" x14ac:dyDescent="0.3">
      <c r="A180" t="s">
        <v>1259</v>
      </c>
      <c r="B180">
        <v>1</v>
      </c>
      <c r="D180" t="str">
        <f t="shared" si="9"/>
        <v>0025</v>
      </c>
      <c r="E180" t="str">
        <f t="shared" si="10"/>
        <v/>
      </c>
      <c r="F180" t="str">
        <f t="shared" si="11"/>
        <v>BI</v>
      </c>
    </row>
    <row r="181" spans="1:6" x14ac:dyDescent="0.3">
      <c r="A181" t="s">
        <v>1262</v>
      </c>
      <c r="B181">
        <v>1</v>
      </c>
      <c r="D181" t="str">
        <f t="shared" si="9"/>
        <v>0026</v>
      </c>
      <c r="E181" t="str">
        <f t="shared" si="10"/>
        <v/>
      </c>
      <c r="F181" t="str">
        <f t="shared" si="11"/>
        <v>BS</v>
      </c>
    </row>
    <row r="182" spans="1:6" x14ac:dyDescent="0.3">
      <c r="A182" t="s">
        <v>2685</v>
      </c>
      <c r="B182">
        <v>1</v>
      </c>
      <c r="D182" t="str">
        <f t="shared" si="9"/>
        <v>0027</v>
      </c>
      <c r="E182" t="str">
        <f t="shared" si="10"/>
        <v/>
      </c>
      <c r="F182" t="str">
        <f t="shared" si="11"/>
        <v>MS</v>
      </c>
    </row>
    <row r="183" spans="1:6" x14ac:dyDescent="0.3">
      <c r="A183" t="s">
        <v>1268</v>
      </c>
      <c r="B183">
        <v>1</v>
      </c>
      <c r="D183" t="str">
        <f t="shared" si="9"/>
        <v>0028</v>
      </c>
      <c r="E183" t="str">
        <f t="shared" si="10"/>
        <v/>
      </c>
      <c r="F183" t="str">
        <f t="shared" si="11"/>
        <v>CS</v>
      </c>
    </row>
    <row r="184" spans="1:6" x14ac:dyDescent="0.3">
      <c r="A184" t="s">
        <v>1269</v>
      </c>
      <c r="B184">
        <v>1</v>
      </c>
      <c r="D184" t="str">
        <f t="shared" si="9"/>
        <v>0029</v>
      </c>
      <c r="E184" t="str">
        <f t="shared" si="10"/>
        <v/>
      </c>
      <c r="F184" t="str">
        <f t="shared" si="11"/>
        <v>BS</v>
      </c>
    </row>
    <row r="185" spans="1:6" x14ac:dyDescent="0.3">
      <c r="A185" t="s">
        <v>1272</v>
      </c>
      <c r="B185">
        <v>1</v>
      </c>
      <c r="D185" t="str">
        <f t="shared" si="9"/>
        <v>0030</v>
      </c>
      <c r="E185" t="str">
        <f t="shared" si="10"/>
        <v>3</v>
      </c>
      <c r="F185" t="str">
        <f t="shared" si="11"/>
        <v>BI</v>
      </c>
    </row>
    <row r="186" spans="1:6" x14ac:dyDescent="0.3">
      <c r="A186" t="s">
        <v>1273</v>
      </c>
      <c r="B186">
        <v>1</v>
      </c>
      <c r="D186" t="str">
        <f t="shared" si="9"/>
        <v>0030</v>
      </c>
      <c r="E186" t="str">
        <f t="shared" si="10"/>
        <v>2</v>
      </c>
      <c r="F186" t="str">
        <f t="shared" si="11"/>
        <v>BR</v>
      </c>
    </row>
    <row r="187" spans="1:6" x14ac:dyDescent="0.3">
      <c r="A187" t="s">
        <v>2598</v>
      </c>
      <c r="B187">
        <v>1</v>
      </c>
      <c r="D187" t="str">
        <f t="shared" si="9"/>
        <v>0030</v>
      </c>
      <c r="E187" t="str">
        <f t="shared" si="10"/>
        <v>1</v>
      </c>
      <c r="F187" t="str">
        <f t="shared" si="11"/>
        <v>MS</v>
      </c>
    </row>
    <row r="188" spans="1:6" x14ac:dyDescent="0.3">
      <c r="A188" t="s">
        <v>1279</v>
      </c>
      <c r="B188">
        <v>1</v>
      </c>
      <c r="D188" t="str">
        <f t="shared" si="9"/>
        <v>0031</v>
      </c>
      <c r="E188" t="str">
        <f t="shared" si="10"/>
        <v/>
      </c>
      <c r="F188" t="str">
        <f t="shared" si="11"/>
        <v>DN</v>
      </c>
    </row>
    <row r="189" spans="1:6" x14ac:dyDescent="0.3">
      <c r="A189" t="s">
        <v>1280</v>
      </c>
      <c r="B189">
        <v>1</v>
      </c>
      <c r="D189" t="str">
        <f t="shared" si="9"/>
        <v>0032</v>
      </c>
      <c r="E189" t="str">
        <f t="shared" si="10"/>
        <v/>
      </c>
      <c r="F189" t="str">
        <f t="shared" si="11"/>
        <v>CN</v>
      </c>
    </row>
    <row r="190" spans="1:6" x14ac:dyDescent="0.3">
      <c r="A190" t="s">
        <v>1282</v>
      </c>
      <c r="B190">
        <v>1</v>
      </c>
      <c r="D190" t="str">
        <f t="shared" si="9"/>
        <v>0033</v>
      </c>
      <c r="E190" t="str">
        <f t="shared" si="10"/>
        <v/>
      </c>
      <c r="F190" t="str">
        <f t="shared" si="11"/>
        <v>CN</v>
      </c>
    </row>
    <row r="191" spans="1:6" x14ac:dyDescent="0.3">
      <c r="A191" t="s">
        <v>1284</v>
      </c>
      <c r="B191">
        <v>1</v>
      </c>
      <c r="D191" t="str">
        <f t="shared" si="9"/>
        <v>0034</v>
      </c>
      <c r="E191" t="str">
        <f t="shared" si="10"/>
        <v/>
      </c>
      <c r="F191" t="str">
        <f t="shared" si="11"/>
        <v>CN</v>
      </c>
    </row>
    <row r="192" spans="1:6" x14ac:dyDescent="0.3">
      <c r="A192" t="s">
        <v>1286</v>
      </c>
      <c r="B192">
        <v>1</v>
      </c>
      <c r="D192" t="str">
        <f t="shared" si="9"/>
        <v>0035</v>
      </c>
      <c r="E192" t="str">
        <f t="shared" si="10"/>
        <v/>
      </c>
      <c r="F192" t="str">
        <f t="shared" si="11"/>
        <v>CN</v>
      </c>
    </row>
    <row r="193" spans="1:6" x14ac:dyDescent="0.3">
      <c r="A193" t="s">
        <v>2556</v>
      </c>
      <c r="B193">
        <v>1</v>
      </c>
      <c r="D193" t="str">
        <f t="shared" si="9"/>
        <v>0036</v>
      </c>
      <c r="E193" t="str">
        <f t="shared" si="10"/>
        <v/>
      </c>
      <c r="F193" t="str">
        <f t="shared" si="11"/>
        <v>MS</v>
      </c>
    </row>
    <row r="194" spans="1:6" x14ac:dyDescent="0.3">
      <c r="A194" t="s">
        <v>1290</v>
      </c>
      <c r="B194">
        <v>1</v>
      </c>
      <c r="D194" t="str">
        <f t="shared" si="9"/>
        <v>0037</v>
      </c>
      <c r="E194" t="str">
        <f t="shared" si="10"/>
        <v/>
      </c>
      <c r="F194" t="str">
        <f t="shared" si="11"/>
        <v>CN</v>
      </c>
    </row>
    <row r="195" spans="1:6" x14ac:dyDescent="0.3">
      <c r="A195" t="s">
        <v>1292</v>
      </c>
      <c r="B195">
        <v>1</v>
      </c>
      <c r="D195" t="str">
        <f t="shared" ref="D195:D258" si="12">IF(LEFT(A195,2)="SP",MID(A195,4,4),IF(LEFT(A195,1)="X",MID(A195,3,4),""))</f>
        <v>0038</v>
      </c>
      <c r="E195" t="str">
        <f t="shared" ref="E195:E258" si="13">IF(OR(LEFT(A195,2)="SP",AND(LEFT(A195,1)="X",LEN(A195)&gt;9)),RIGHT(A195,1),"")</f>
        <v/>
      </c>
      <c r="F195" t="str">
        <f t="shared" ref="F195:F258" si="14">IF(LEFT(A195,1)="X",MID(A195,8,2),"")</f>
        <v>CN</v>
      </c>
    </row>
    <row r="196" spans="1:6" x14ac:dyDescent="0.3">
      <c r="A196" t="s">
        <v>1294</v>
      </c>
      <c r="B196">
        <v>1</v>
      </c>
      <c r="D196" t="str">
        <f t="shared" si="12"/>
        <v>0039</v>
      </c>
      <c r="E196" t="str">
        <f t="shared" si="13"/>
        <v/>
      </c>
      <c r="F196" t="str">
        <f t="shared" si="14"/>
        <v>CN</v>
      </c>
    </row>
    <row r="197" spans="1:6" x14ac:dyDescent="0.3">
      <c r="A197" t="s">
        <v>1296</v>
      </c>
      <c r="B197">
        <v>1</v>
      </c>
      <c r="D197" t="str">
        <f t="shared" si="12"/>
        <v>0040</v>
      </c>
      <c r="E197" t="str">
        <f t="shared" si="13"/>
        <v/>
      </c>
      <c r="F197" t="str">
        <f t="shared" si="14"/>
        <v>CN</v>
      </c>
    </row>
    <row r="198" spans="1:6" x14ac:dyDescent="0.3">
      <c r="A198" t="s">
        <v>1298</v>
      </c>
      <c r="B198">
        <v>1</v>
      </c>
      <c r="D198" t="str">
        <f t="shared" si="12"/>
        <v>0041</v>
      </c>
      <c r="E198" t="str">
        <f t="shared" si="13"/>
        <v/>
      </c>
      <c r="F198" t="str">
        <f t="shared" si="14"/>
        <v>CN</v>
      </c>
    </row>
    <row r="199" spans="1:6" x14ac:dyDescent="0.3">
      <c r="A199" t="s">
        <v>1300</v>
      </c>
      <c r="B199">
        <v>1</v>
      </c>
      <c r="D199" t="str">
        <f t="shared" si="12"/>
        <v>0042</v>
      </c>
      <c r="E199" t="str">
        <f t="shared" si="13"/>
        <v/>
      </c>
      <c r="F199" t="str">
        <f t="shared" si="14"/>
        <v>CN</v>
      </c>
    </row>
    <row r="200" spans="1:6" x14ac:dyDescent="0.3">
      <c r="A200" t="s">
        <v>1302</v>
      </c>
      <c r="B200">
        <v>1</v>
      </c>
      <c r="D200" t="str">
        <f t="shared" si="12"/>
        <v>0043</v>
      </c>
      <c r="E200" t="str">
        <f t="shared" si="13"/>
        <v/>
      </c>
      <c r="F200" t="str">
        <f t="shared" si="14"/>
        <v>CN</v>
      </c>
    </row>
    <row r="201" spans="1:6" x14ac:dyDescent="0.3">
      <c r="A201" t="s">
        <v>1305</v>
      </c>
      <c r="B201">
        <v>1</v>
      </c>
      <c r="D201" t="str">
        <f t="shared" si="12"/>
        <v>0044</v>
      </c>
      <c r="E201" t="str">
        <f t="shared" si="13"/>
        <v/>
      </c>
      <c r="F201" t="str">
        <f t="shared" si="14"/>
        <v>CN</v>
      </c>
    </row>
    <row r="202" spans="1:6" x14ac:dyDescent="0.3">
      <c r="A202" t="s">
        <v>1308</v>
      </c>
      <c r="B202">
        <v>1</v>
      </c>
      <c r="D202" t="str">
        <f t="shared" si="12"/>
        <v>0045</v>
      </c>
      <c r="E202" t="str">
        <f t="shared" si="13"/>
        <v/>
      </c>
      <c r="F202" t="str">
        <f t="shared" si="14"/>
        <v>CN</v>
      </c>
    </row>
    <row r="203" spans="1:6" x14ac:dyDescent="0.3">
      <c r="A203" t="s">
        <v>1314</v>
      </c>
      <c r="B203">
        <v>1</v>
      </c>
      <c r="D203" t="str">
        <f t="shared" si="12"/>
        <v>0046</v>
      </c>
      <c r="E203" t="str">
        <f t="shared" si="13"/>
        <v/>
      </c>
      <c r="F203" t="str">
        <f t="shared" si="14"/>
        <v>CS</v>
      </c>
    </row>
    <row r="204" spans="1:6" x14ac:dyDescent="0.3">
      <c r="A204" t="s">
        <v>1316</v>
      </c>
      <c r="B204">
        <v>1</v>
      </c>
      <c r="D204" t="str">
        <f t="shared" si="12"/>
        <v>0047</v>
      </c>
      <c r="E204" t="str">
        <f t="shared" si="13"/>
        <v/>
      </c>
      <c r="F204" t="str">
        <f t="shared" si="14"/>
        <v>CN</v>
      </c>
    </row>
    <row r="205" spans="1:6" x14ac:dyDescent="0.3">
      <c r="A205" t="s">
        <v>1321</v>
      </c>
      <c r="B205">
        <v>1</v>
      </c>
      <c r="D205" t="str">
        <f t="shared" si="12"/>
        <v>0048</v>
      </c>
      <c r="E205" t="str">
        <f t="shared" si="13"/>
        <v/>
      </c>
      <c r="F205" t="str">
        <f t="shared" si="14"/>
        <v>CN</v>
      </c>
    </row>
    <row r="206" spans="1:6" x14ac:dyDescent="0.3">
      <c r="A206" t="s">
        <v>1326</v>
      </c>
      <c r="B206">
        <v>1</v>
      </c>
      <c r="D206" t="str">
        <f t="shared" si="12"/>
        <v>0049</v>
      </c>
      <c r="E206" t="str">
        <f t="shared" si="13"/>
        <v/>
      </c>
      <c r="F206" t="str">
        <f t="shared" si="14"/>
        <v>CN</v>
      </c>
    </row>
    <row r="207" spans="1:6" x14ac:dyDescent="0.3">
      <c r="A207" t="s">
        <v>1328</v>
      </c>
      <c r="B207">
        <v>1</v>
      </c>
      <c r="D207" t="str">
        <f t="shared" si="12"/>
        <v>0050</v>
      </c>
      <c r="E207" t="str">
        <f t="shared" si="13"/>
        <v/>
      </c>
      <c r="F207" t="str">
        <f t="shared" si="14"/>
        <v>CN</v>
      </c>
    </row>
    <row r="208" spans="1:6" x14ac:dyDescent="0.3">
      <c r="A208" t="s">
        <v>1332</v>
      </c>
      <c r="B208">
        <v>1</v>
      </c>
      <c r="D208" t="str">
        <f t="shared" si="12"/>
        <v>0051</v>
      </c>
      <c r="E208" t="str">
        <f t="shared" si="13"/>
        <v/>
      </c>
      <c r="F208" t="str">
        <f t="shared" si="14"/>
        <v>CS</v>
      </c>
    </row>
    <row r="209" spans="1:6" x14ac:dyDescent="0.3">
      <c r="A209" t="s">
        <v>1333</v>
      </c>
      <c r="B209">
        <v>1</v>
      </c>
      <c r="D209" t="str">
        <f t="shared" si="12"/>
        <v>0052</v>
      </c>
      <c r="E209" t="str">
        <f t="shared" si="13"/>
        <v/>
      </c>
      <c r="F209" t="str">
        <f t="shared" si="14"/>
        <v>CN</v>
      </c>
    </row>
    <row r="210" spans="1:6" x14ac:dyDescent="0.3">
      <c r="A210" t="s">
        <v>1335</v>
      </c>
      <c r="B210">
        <v>1</v>
      </c>
      <c r="D210" t="str">
        <f t="shared" si="12"/>
        <v>0053</v>
      </c>
      <c r="E210" t="str">
        <f t="shared" si="13"/>
        <v/>
      </c>
      <c r="F210" t="str">
        <f t="shared" si="14"/>
        <v>CN</v>
      </c>
    </row>
    <row r="211" spans="1:6" x14ac:dyDescent="0.3">
      <c r="A211" t="s">
        <v>1337</v>
      </c>
      <c r="B211">
        <v>1</v>
      </c>
      <c r="D211" t="str">
        <f t="shared" si="12"/>
        <v>0054</v>
      </c>
      <c r="E211" t="str">
        <f t="shared" si="13"/>
        <v/>
      </c>
      <c r="F211" t="str">
        <f t="shared" si="14"/>
        <v>CN</v>
      </c>
    </row>
    <row r="212" spans="1:6" x14ac:dyDescent="0.3">
      <c r="A212" t="s">
        <v>1339</v>
      </c>
      <c r="B212">
        <v>1</v>
      </c>
      <c r="D212" t="str">
        <f t="shared" si="12"/>
        <v>0055</v>
      </c>
      <c r="E212" t="str">
        <f t="shared" si="13"/>
        <v/>
      </c>
      <c r="F212" t="str">
        <f t="shared" si="14"/>
        <v>CN</v>
      </c>
    </row>
    <row r="213" spans="1:6" x14ac:dyDescent="0.3">
      <c r="A213" t="s">
        <v>1341</v>
      </c>
      <c r="B213">
        <v>1</v>
      </c>
      <c r="D213" t="str">
        <f t="shared" si="12"/>
        <v>0056</v>
      </c>
      <c r="E213" t="str">
        <f t="shared" si="13"/>
        <v/>
      </c>
      <c r="F213" t="str">
        <f t="shared" si="14"/>
        <v>CN</v>
      </c>
    </row>
    <row r="214" spans="1:6" x14ac:dyDescent="0.3">
      <c r="A214" t="s">
        <v>1343</v>
      </c>
      <c r="B214">
        <v>1</v>
      </c>
      <c r="D214" t="str">
        <f t="shared" si="12"/>
        <v>0057</v>
      </c>
      <c r="E214" t="str">
        <f t="shared" si="13"/>
        <v/>
      </c>
      <c r="F214" t="str">
        <f t="shared" si="14"/>
        <v>CN</v>
      </c>
    </row>
    <row r="215" spans="1:6" x14ac:dyDescent="0.3">
      <c r="A215" t="s">
        <v>1345</v>
      </c>
      <c r="B215">
        <v>1</v>
      </c>
      <c r="D215" t="str">
        <f t="shared" si="12"/>
        <v>0058</v>
      </c>
      <c r="E215" t="str">
        <f t="shared" si="13"/>
        <v/>
      </c>
      <c r="F215" t="str">
        <f t="shared" si="14"/>
        <v>CN</v>
      </c>
    </row>
    <row r="216" spans="1:6" x14ac:dyDescent="0.3">
      <c r="A216" t="s">
        <v>1348</v>
      </c>
      <c r="B216">
        <v>1</v>
      </c>
      <c r="D216" t="str">
        <f t="shared" si="12"/>
        <v>0059</v>
      </c>
      <c r="E216" t="str">
        <f t="shared" si="13"/>
        <v/>
      </c>
      <c r="F216" t="str">
        <f t="shared" si="14"/>
        <v>CN</v>
      </c>
    </row>
    <row r="217" spans="1:6" x14ac:dyDescent="0.3">
      <c r="A217" t="s">
        <v>1350</v>
      </c>
      <c r="B217">
        <v>1</v>
      </c>
      <c r="D217" t="str">
        <f t="shared" si="12"/>
        <v>0060</v>
      </c>
      <c r="E217" t="str">
        <f t="shared" si="13"/>
        <v/>
      </c>
      <c r="F217" t="str">
        <f t="shared" si="14"/>
        <v>CN</v>
      </c>
    </row>
    <row r="218" spans="1:6" x14ac:dyDescent="0.3">
      <c r="A218" t="s">
        <v>1352</v>
      </c>
      <c r="B218">
        <v>1</v>
      </c>
      <c r="D218" t="str">
        <f t="shared" si="12"/>
        <v>0061</v>
      </c>
      <c r="E218" t="str">
        <f t="shared" si="13"/>
        <v/>
      </c>
      <c r="F218" t="str">
        <f t="shared" si="14"/>
        <v>CN</v>
      </c>
    </row>
    <row r="219" spans="1:6" x14ac:dyDescent="0.3">
      <c r="A219" t="s">
        <v>2652</v>
      </c>
      <c r="B219">
        <v>1</v>
      </c>
      <c r="D219" t="str">
        <f t="shared" si="12"/>
        <v>0062</v>
      </c>
      <c r="E219" t="str">
        <f t="shared" si="13"/>
        <v/>
      </c>
      <c r="F219" t="str">
        <f t="shared" si="14"/>
        <v>MS</v>
      </c>
    </row>
    <row r="220" spans="1:6" x14ac:dyDescent="0.3">
      <c r="A220" t="s">
        <v>1356</v>
      </c>
      <c r="B220">
        <v>1</v>
      </c>
      <c r="D220" t="str">
        <f t="shared" si="12"/>
        <v>0063</v>
      </c>
      <c r="E220" t="str">
        <f t="shared" si="13"/>
        <v/>
      </c>
      <c r="F220" t="str">
        <f t="shared" si="14"/>
        <v>CN</v>
      </c>
    </row>
    <row r="221" spans="1:6" x14ac:dyDescent="0.3">
      <c r="A221" t="s">
        <v>1358</v>
      </c>
      <c r="B221">
        <v>1</v>
      </c>
      <c r="D221" t="str">
        <f t="shared" si="12"/>
        <v>0064</v>
      </c>
      <c r="E221" t="str">
        <f t="shared" si="13"/>
        <v/>
      </c>
      <c r="F221" t="str">
        <f t="shared" si="14"/>
        <v>CN</v>
      </c>
    </row>
    <row r="222" spans="1:6" x14ac:dyDescent="0.3">
      <c r="A222" t="s">
        <v>2557</v>
      </c>
      <c r="B222">
        <v>1</v>
      </c>
      <c r="D222" t="str">
        <f t="shared" si="12"/>
        <v>0065</v>
      </c>
      <c r="E222" t="str">
        <f t="shared" si="13"/>
        <v/>
      </c>
      <c r="F222" t="str">
        <f t="shared" si="14"/>
        <v>MS</v>
      </c>
    </row>
    <row r="223" spans="1:6" x14ac:dyDescent="0.3">
      <c r="A223" t="s">
        <v>1362</v>
      </c>
      <c r="B223">
        <v>1</v>
      </c>
      <c r="D223" t="str">
        <f t="shared" si="12"/>
        <v>0066</v>
      </c>
      <c r="E223" t="str">
        <f t="shared" si="13"/>
        <v/>
      </c>
      <c r="F223" t="str">
        <f t="shared" si="14"/>
        <v>CN</v>
      </c>
    </row>
    <row r="224" spans="1:6" x14ac:dyDescent="0.3">
      <c r="A224" t="s">
        <v>1364</v>
      </c>
      <c r="B224">
        <v>1</v>
      </c>
      <c r="D224" t="str">
        <f t="shared" si="12"/>
        <v>0067</v>
      </c>
      <c r="E224" t="str">
        <f t="shared" si="13"/>
        <v/>
      </c>
      <c r="F224" t="str">
        <f t="shared" si="14"/>
        <v>CN</v>
      </c>
    </row>
    <row r="225" spans="1:6" x14ac:dyDescent="0.3">
      <c r="A225" t="s">
        <v>2686</v>
      </c>
      <c r="B225">
        <v>1</v>
      </c>
      <c r="D225" t="str">
        <f t="shared" si="12"/>
        <v>0068</v>
      </c>
      <c r="E225" t="str">
        <f t="shared" si="13"/>
        <v/>
      </c>
      <c r="F225" t="str">
        <f t="shared" si="14"/>
        <v>MS</v>
      </c>
    </row>
    <row r="226" spans="1:6" x14ac:dyDescent="0.3">
      <c r="A226" t="s">
        <v>1369</v>
      </c>
      <c r="B226">
        <v>1</v>
      </c>
      <c r="D226" t="str">
        <f t="shared" si="12"/>
        <v>0069</v>
      </c>
      <c r="E226" t="str">
        <f t="shared" si="13"/>
        <v/>
      </c>
      <c r="F226" t="str">
        <f t="shared" si="14"/>
        <v>CN</v>
      </c>
    </row>
    <row r="227" spans="1:6" x14ac:dyDescent="0.3">
      <c r="A227" t="s">
        <v>1372</v>
      </c>
      <c r="B227">
        <v>1</v>
      </c>
      <c r="D227" t="str">
        <f t="shared" si="12"/>
        <v>0070</v>
      </c>
      <c r="E227" t="str">
        <f t="shared" si="13"/>
        <v/>
      </c>
      <c r="F227" t="str">
        <f t="shared" si="14"/>
        <v>CN</v>
      </c>
    </row>
    <row r="228" spans="1:6" x14ac:dyDescent="0.3">
      <c r="A228" t="s">
        <v>1374</v>
      </c>
      <c r="B228">
        <v>1</v>
      </c>
      <c r="D228" t="str">
        <f t="shared" si="12"/>
        <v>0071</v>
      </c>
      <c r="E228" t="str">
        <f t="shared" si="13"/>
        <v/>
      </c>
      <c r="F228" t="str">
        <f t="shared" si="14"/>
        <v>CN</v>
      </c>
    </row>
    <row r="229" spans="1:6" x14ac:dyDescent="0.3">
      <c r="A229" t="s">
        <v>1376</v>
      </c>
      <c r="B229">
        <v>1</v>
      </c>
      <c r="D229" t="str">
        <f t="shared" si="12"/>
        <v>0072</v>
      </c>
      <c r="E229" t="str">
        <f t="shared" si="13"/>
        <v/>
      </c>
      <c r="F229" t="str">
        <f t="shared" si="14"/>
        <v>CN</v>
      </c>
    </row>
    <row r="230" spans="1:6" x14ac:dyDescent="0.3">
      <c r="A230" t="s">
        <v>1378</v>
      </c>
      <c r="B230">
        <v>1</v>
      </c>
      <c r="D230" t="str">
        <f t="shared" si="12"/>
        <v>0073</v>
      </c>
      <c r="E230" t="str">
        <f t="shared" si="13"/>
        <v/>
      </c>
      <c r="F230" t="str">
        <f t="shared" si="14"/>
        <v>CN</v>
      </c>
    </row>
    <row r="231" spans="1:6" x14ac:dyDescent="0.3">
      <c r="A231" t="s">
        <v>1381</v>
      </c>
      <c r="B231">
        <v>1</v>
      </c>
      <c r="D231" t="str">
        <f t="shared" si="12"/>
        <v>0074</v>
      </c>
      <c r="E231" t="str">
        <f t="shared" si="13"/>
        <v/>
      </c>
      <c r="F231" t="str">
        <f t="shared" si="14"/>
        <v>CN</v>
      </c>
    </row>
    <row r="232" spans="1:6" x14ac:dyDescent="0.3">
      <c r="A232" t="s">
        <v>1388</v>
      </c>
      <c r="B232">
        <v>1</v>
      </c>
      <c r="D232" t="str">
        <f t="shared" si="12"/>
        <v>0075</v>
      </c>
      <c r="E232" t="str">
        <f t="shared" si="13"/>
        <v>1</v>
      </c>
      <c r="F232" t="str">
        <f t="shared" si="14"/>
        <v>DS</v>
      </c>
    </row>
    <row r="233" spans="1:6" x14ac:dyDescent="0.3">
      <c r="A233" t="s">
        <v>1389</v>
      </c>
      <c r="B233">
        <v>1</v>
      </c>
      <c r="D233" t="str">
        <f t="shared" si="12"/>
        <v>0075</v>
      </c>
      <c r="E233" t="str">
        <f t="shared" si="13"/>
        <v>3</v>
      </c>
      <c r="F233" t="str">
        <f t="shared" si="14"/>
        <v>DS</v>
      </c>
    </row>
    <row r="234" spans="1:6" x14ac:dyDescent="0.3">
      <c r="A234" t="s">
        <v>2687</v>
      </c>
      <c r="B234">
        <v>1</v>
      </c>
      <c r="D234" t="str">
        <f t="shared" si="12"/>
        <v>0075</v>
      </c>
      <c r="E234" t="str">
        <f t="shared" si="13"/>
        <v>2</v>
      </c>
      <c r="F234" t="str">
        <f t="shared" si="14"/>
        <v>FR</v>
      </c>
    </row>
    <row r="235" spans="1:6" x14ac:dyDescent="0.3">
      <c r="A235" t="s">
        <v>1391</v>
      </c>
      <c r="B235">
        <v>1</v>
      </c>
      <c r="D235" t="str">
        <f t="shared" si="12"/>
        <v>0076</v>
      </c>
      <c r="E235" t="str">
        <f t="shared" si="13"/>
        <v>1</v>
      </c>
      <c r="F235" t="str">
        <f t="shared" si="14"/>
        <v>CN</v>
      </c>
    </row>
    <row r="236" spans="1:6" x14ac:dyDescent="0.3">
      <c r="A236" t="s">
        <v>1392</v>
      </c>
      <c r="B236">
        <v>1</v>
      </c>
      <c r="D236" t="str">
        <f t="shared" si="12"/>
        <v>0076</v>
      </c>
      <c r="E236" t="str">
        <f t="shared" si="13"/>
        <v>3</v>
      </c>
      <c r="F236" t="str">
        <f t="shared" si="14"/>
        <v>CN</v>
      </c>
    </row>
    <row r="237" spans="1:6" x14ac:dyDescent="0.3">
      <c r="A237" t="s">
        <v>1394</v>
      </c>
      <c r="B237">
        <v>1</v>
      </c>
      <c r="D237" t="str">
        <f t="shared" si="12"/>
        <v>0076</v>
      </c>
      <c r="E237" t="str">
        <f t="shared" si="13"/>
        <v>2</v>
      </c>
      <c r="F237" t="str">
        <f t="shared" si="14"/>
        <v>CR</v>
      </c>
    </row>
    <row r="238" spans="1:6" x14ac:dyDescent="0.3">
      <c r="A238" t="s">
        <v>1396</v>
      </c>
      <c r="B238">
        <v>1</v>
      </c>
      <c r="D238" t="str">
        <f t="shared" si="12"/>
        <v>0077</v>
      </c>
      <c r="E238" t="str">
        <f t="shared" si="13"/>
        <v/>
      </c>
      <c r="F238" t="str">
        <f t="shared" si="14"/>
        <v>CN</v>
      </c>
    </row>
    <row r="239" spans="1:6" x14ac:dyDescent="0.3">
      <c r="A239" t="s">
        <v>1398</v>
      </c>
      <c r="B239">
        <v>1</v>
      </c>
      <c r="D239" t="str">
        <f t="shared" si="12"/>
        <v>0078</v>
      </c>
      <c r="E239" t="str">
        <f t="shared" si="13"/>
        <v/>
      </c>
      <c r="F239" t="str">
        <f t="shared" si="14"/>
        <v>CN</v>
      </c>
    </row>
    <row r="240" spans="1:6" x14ac:dyDescent="0.3">
      <c r="A240" t="s">
        <v>1400</v>
      </c>
      <c r="B240">
        <v>1</v>
      </c>
      <c r="D240" t="str">
        <f t="shared" si="12"/>
        <v>0079</v>
      </c>
      <c r="E240" t="str">
        <f t="shared" si="13"/>
        <v/>
      </c>
      <c r="F240" t="str">
        <f t="shared" si="14"/>
        <v>CN</v>
      </c>
    </row>
    <row r="241" spans="1:6" x14ac:dyDescent="0.3">
      <c r="A241" t="s">
        <v>1404</v>
      </c>
      <c r="B241">
        <v>1</v>
      </c>
      <c r="D241" t="str">
        <f t="shared" si="12"/>
        <v>0080</v>
      </c>
      <c r="E241" t="str">
        <f t="shared" si="13"/>
        <v>1</v>
      </c>
      <c r="F241" t="str">
        <f t="shared" si="14"/>
        <v>CN</v>
      </c>
    </row>
    <row r="242" spans="1:6" x14ac:dyDescent="0.3">
      <c r="A242" t="s">
        <v>1405</v>
      </c>
      <c r="B242">
        <v>1</v>
      </c>
      <c r="D242" t="str">
        <f t="shared" si="12"/>
        <v>0080</v>
      </c>
      <c r="E242" t="str">
        <f t="shared" si="13"/>
        <v>3</v>
      </c>
      <c r="F242" t="str">
        <f t="shared" si="14"/>
        <v>CN</v>
      </c>
    </row>
    <row r="243" spans="1:6" x14ac:dyDescent="0.3">
      <c r="A243" t="s">
        <v>1407</v>
      </c>
      <c r="B243">
        <v>1</v>
      </c>
      <c r="D243" t="str">
        <f t="shared" si="12"/>
        <v>0080</v>
      </c>
      <c r="E243" t="str">
        <f t="shared" si="13"/>
        <v>2</v>
      </c>
      <c r="F243" t="str">
        <f t="shared" si="14"/>
        <v>CR</v>
      </c>
    </row>
    <row r="244" spans="1:6" x14ac:dyDescent="0.3">
      <c r="A244" t="s">
        <v>1409</v>
      </c>
      <c r="B244">
        <v>1</v>
      </c>
      <c r="D244" t="str">
        <f t="shared" si="12"/>
        <v>0081</v>
      </c>
      <c r="E244" t="str">
        <f t="shared" si="13"/>
        <v/>
      </c>
      <c r="F244" t="str">
        <f t="shared" si="14"/>
        <v>CN</v>
      </c>
    </row>
    <row r="245" spans="1:6" x14ac:dyDescent="0.3">
      <c r="A245" t="s">
        <v>1414</v>
      </c>
      <c r="B245">
        <v>1</v>
      </c>
      <c r="D245" t="str">
        <f t="shared" si="12"/>
        <v>0082</v>
      </c>
      <c r="E245" t="str">
        <f t="shared" si="13"/>
        <v>1</v>
      </c>
      <c r="F245" t="str">
        <f t="shared" si="14"/>
        <v>CN</v>
      </c>
    </row>
    <row r="246" spans="1:6" x14ac:dyDescent="0.3">
      <c r="A246" t="s">
        <v>1415</v>
      </c>
      <c r="B246">
        <v>1</v>
      </c>
      <c r="D246" t="str">
        <f t="shared" si="12"/>
        <v>0082</v>
      </c>
      <c r="E246" t="str">
        <f t="shared" si="13"/>
        <v>3</v>
      </c>
      <c r="F246" t="str">
        <f t="shared" si="14"/>
        <v>CN</v>
      </c>
    </row>
    <row r="247" spans="1:6" x14ac:dyDescent="0.3">
      <c r="A247" t="s">
        <v>1417</v>
      </c>
      <c r="B247">
        <v>1</v>
      </c>
      <c r="D247" t="str">
        <f t="shared" si="12"/>
        <v>0082</v>
      </c>
      <c r="E247" t="str">
        <f t="shared" si="13"/>
        <v>2</v>
      </c>
      <c r="F247" t="str">
        <f t="shared" si="14"/>
        <v>CR</v>
      </c>
    </row>
    <row r="248" spans="1:6" x14ac:dyDescent="0.3">
      <c r="A248" t="s">
        <v>1421</v>
      </c>
      <c r="B248">
        <v>1</v>
      </c>
      <c r="D248" t="str">
        <f t="shared" si="12"/>
        <v>0083</v>
      </c>
      <c r="E248" t="str">
        <f t="shared" si="13"/>
        <v>3</v>
      </c>
      <c r="F248" t="str">
        <f t="shared" si="14"/>
        <v>CN</v>
      </c>
    </row>
    <row r="249" spans="1:6" x14ac:dyDescent="0.3">
      <c r="A249" t="s">
        <v>1423</v>
      </c>
      <c r="B249">
        <v>1</v>
      </c>
      <c r="D249" t="str">
        <f t="shared" si="12"/>
        <v>0083</v>
      </c>
      <c r="E249" t="str">
        <f t="shared" si="13"/>
        <v>2</v>
      </c>
      <c r="F249" t="str">
        <f t="shared" si="14"/>
        <v>CR</v>
      </c>
    </row>
    <row r="250" spans="1:6" x14ac:dyDescent="0.3">
      <c r="A250" t="s">
        <v>1424</v>
      </c>
      <c r="B250">
        <v>1</v>
      </c>
      <c r="D250" t="str">
        <f t="shared" si="12"/>
        <v>0083</v>
      </c>
      <c r="E250" t="str">
        <f t="shared" si="13"/>
        <v>1</v>
      </c>
      <c r="F250" t="str">
        <f t="shared" si="14"/>
        <v>CS</v>
      </c>
    </row>
    <row r="251" spans="1:6" x14ac:dyDescent="0.3">
      <c r="A251" t="s">
        <v>1425</v>
      </c>
      <c r="B251">
        <v>1</v>
      </c>
      <c r="D251" t="str">
        <f t="shared" si="12"/>
        <v>0084</v>
      </c>
      <c r="E251" t="str">
        <f t="shared" si="13"/>
        <v/>
      </c>
      <c r="F251" t="str">
        <f t="shared" si="14"/>
        <v>CN</v>
      </c>
    </row>
    <row r="252" spans="1:6" x14ac:dyDescent="0.3">
      <c r="A252" t="s">
        <v>1427</v>
      </c>
      <c r="B252">
        <v>1</v>
      </c>
      <c r="D252" t="str">
        <f t="shared" si="12"/>
        <v>0085</v>
      </c>
      <c r="E252" t="str">
        <f t="shared" si="13"/>
        <v/>
      </c>
      <c r="F252" t="str">
        <f t="shared" si="14"/>
        <v>CN</v>
      </c>
    </row>
    <row r="253" spans="1:6" x14ac:dyDescent="0.3">
      <c r="A253" t="s">
        <v>1429</v>
      </c>
      <c r="B253">
        <v>1</v>
      </c>
      <c r="D253" t="str">
        <f t="shared" si="12"/>
        <v>0086</v>
      </c>
      <c r="E253" t="str">
        <f t="shared" si="13"/>
        <v/>
      </c>
      <c r="F253" t="str">
        <f t="shared" si="14"/>
        <v>CN</v>
      </c>
    </row>
    <row r="254" spans="1:6" x14ac:dyDescent="0.3">
      <c r="A254" t="s">
        <v>1433</v>
      </c>
      <c r="B254">
        <v>1</v>
      </c>
      <c r="D254" t="str">
        <f t="shared" si="12"/>
        <v>0087</v>
      </c>
      <c r="E254" t="str">
        <f t="shared" si="13"/>
        <v>1</v>
      </c>
      <c r="F254" t="str">
        <f t="shared" si="14"/>
        <v>CN</v>
      </c>
    </row>
    <row r="255" spans="1:6" x14ac:dyDescent="0.3">
      <c r="A255" t="s">
        <v>1434</v>
      </c>
      <c r="B255">
        <v>1</v>
      </c>
      <c r="D255" t="str">
        <f t="shared" si="12"/>
        <v>0087</v>
      </c>
      <c r="E255" t="str">
        <f t="shared" si="13"/>
        <v>3</v>
      </c>
      <c r="F255" t="str">
        <f t="shared" si="14"/>
        <v>CN</v>
      </c>
    </row>
    <row r="256" spans="1:6" x14ac:dyDescent="0.3">
      <c r="A256" t="s">
        <v>2688</v>
      </c>
      <c r="B256">
        <v>1</v>
      </c>
      <c r="D256" t="str">
        <f t="shared" si="12"/>
        <v>0087</v>
      </c>
      <c r="E256" t="str">
        <f t="shared" si="13"/>
        <v>2</v>
      </c>
      <c r="F256" t="str">
        <f t="shared" si="14"/>
        <v>FR</v>
      </c>
    </row>
    <row r="257" spans="1:6" x14ac:dyDescent="0.3">
      <c r="A257" t="s">
        <v>1437</v>
      </c>
      <c r="B257">
        <v>1</v>
      </c>
      <c r="D257" t="str">
        <f t="shared" si="12"/>
        <v>0088</v>
      </c>
      <c r="E257" t="str">
        <f t="shared" si="13"/>
        <v/>
      </c>
      <c r="F257" t="str">
        <f t="shared" si="14"/>
        <v>CN</v>
      </c>
    </row>
    <row r="258" spans="1:6" x14ac:dyDescent="0.3">
      <c r="A258" t="s">
        <v>1440</v>
      </c>
      <c r="B258">
        <v>1</v>
      </c>
      <c r="D258" t="str">
        <f t="shared" si="12"/>
        <v>0089</v>
      </c>
      <c r="E258" t="str">
        <f t="shared" si="13"/>
        <v>1</v>
      </c>
      <c r="F258" t="str">
        <f t="shared" si="14"/>
        <v>CN</v>
      </c>
    </row>
    <row r="259" spans="1:6" x14ac:dyDescent="0.3">
      <c r="A259" t="s">
        <v>1441</v>
      </c>
      <c r="B259">
        <v>1</v>
      </c>
      <c r="D259" t="str">
        <f t="shared" ref="D259:D322" si="15">IF(LEFT(A259,2)="SP",MID(A259,4,4),IF(LEFT(A259,1)="X",MID(A259,3,4),""))</f>
        <v>0089</v>
      </c>
      <c r="E259" t="str">
        <f t="shared" ref="E259:E322" si="16">IF(OR(LEFT(A259,2)="SP",AND(LEFT(A259,1)="X",LEN(A259)&gt;9)),RIGHT(A259,1),"")</f>
        <v>3</v>
      </c>
      <c r="F259" t="str">
        <f t="shared" ref="F259:F322" si="17">IF(LEFT(A259,1)="X",MID(A259,8,2),"")</f>
        <v>CN</v>
      </c>
    </row>
    <row r="260" spans="1:6" x14ac:dyDescent="0.3">
      <c r="A260" t="s">
        <v>1443</v>
      </c>
      <c r="B260">
        <v>1</v>
      </c>
      <c r="D260" t="str">
        <f t="shared" si="15"/>
        <v>0089</v>
      </c>
      <c r="E260" t="str">
        <f t="shared" si="16"/>
        <v>2</v>
      </c>
      <c r="F260" t="str">
        <f t="shared" si="17"/>
        <v>CR</v>
      </c>
    </row>
    <row r="261" spans="1:6" x14ac:dyDescent="0.3">
      <c r="A261" t="s">
        <v>2581</v>
      </c>
      <c r="B261">
        <v>1</v>
      </c>
      <c r="D261" t="str">
        <f t="shared" si="15"/>
        <v>0090</v>
      </c>
      <c r="E261" t="str">
        <f t="shared" si="16"/>
        <v/>
      </c>
      <c r="F261" t="str">
        <f t="shared" si="17"/>
        <v>MS</v>
      </c>
    </row>
    <row r="262" spans="1:6" x14ac:dyDescent="0.3">
      <c r="A262" t="s">
        <v>1446</v>
      </c>
      <c r="B262">
        <v>1</v>
      </c>
      <c r="D262" t="str">
        <f t="shared" si="15"/>
        <v>0091</v>
      </c>
      <c r="E262" t="str">
        <f t="shared" si="16"/>
        <v/>
      </c>
      <c r="F262" t="str">
        <f t="shared" si="17"/>
        <v>CN</v>
      </c>
    </row>
    <row r="263" spans="1:6" x14ac:dyDescent="0.3">
      <c r="A263" t="s">
        <v>1451</v>
      </c>
      <c r="B263">
        <v>1</v>
      </c>
      <c r="D263" t="str">
        <f t="shared" si="15"/>
        <v>0092</v>
      </c>
      <c r="E263" t="str">
        <f t="shared" si="16"/>
        <v/>
      </c>
      <c r="F263" t="str">
        <f t="shared" si="17"/>
        <v>CN</v>
      </c>
    </row>
    <row r="264" spans="1:6" x14ac:dyDescent="0.3">
      <c r="A264" t="s">
        <v>1453</v>
      </c>
      <c r="B264">
        <v>1</v>
      </c>
      <c r="D264" t="str">
        <f t="shared" si="15"/>
        <v>0093</v>
      </c>
      <c r="E264" t="str">
        <f t="shared" si="16"/>
        <v/>
      </c>
      <c r="F264" t="str">
        <f t="shared" si="17"/>
        <v>CN</v>
      </c>
    </row>
    <row r="265" spans="1:6" x14ac:dyDescent="0.3">
      <c r="A265" t="s">
        <v>1455</v>
      </c>
      <c r="B265">
        <v>1</v>
      </c>
      <c r="D265" t="str">
        <f t="shared" si="15"/>
        <v>0094</v>
      </c>
      <c r="E265" t="str">
        <f t="shared" si="16"/>
        <v/>
      </c>
      <c r="F265" t="str">
        <f t="shared" si="17"/>
        <v>CN</v>
      </c>
    </row>
    <row r="266" spans="1:6" x14ac:dyDescent="0.3">
      <c r="A266" t="s">
        <v>1457</v>
      </c>
      <c r="B266">
        <v>1</v>
      </c>
      <c r="D266" t="str">
        <f t="shared" si="15"/>
        <v>0095</v>
      </c>
      <c r="E266" t="str">
        <f t="shared" si="16"/>
        <v/>
      </c>
      <c r="F266" t="str">
        <f t="shared" si="17"/>
        <v>CN</v>
      </c>
    </row>
    <row r="267" spans="1:6" x14ac:dyDescent="0.3">
      <c r="A267" t="s">
        <v>1459</v>
      </c>
      <c r="B267">
        <v>1</v>
      </c>
      <c r="D267" t="str">
        <f t="shared" si="15"/>
        <v>0096</v>
      </c>
      <c r="E267" t="str">
        <f t="shared" si="16"/>
        <v/>
      </c>
      <c r="F267" t="str">
        <f t="shared" si="17"/>
        <v>CN</v>
      </c>
    </row>
    <row r="268" spans="1:6" x14ac:dyDescent="0.3">
      <c r="A268" t="s">
        <v>1461</v>
      </c>
      <c r="B268">
        <v>1</v>
      </c>
      <c r="D268" t="str">
        <f t="shared" si="15"/>
        <v>0097</v>
      </c>
      <c r="E268" t="str">
        <f t="shared" si="16"/>
        <v/>
      </c>
      <c r="F268" t="str">
        <f t="shared" si="17"/>
        <v>CN</v>
      </c>
    </row>
    <row r="269" spans="1:6" x14ac:dyDescent="0.3">
      <c r="A269" t="s">
        <v>1465</v>
      </c>
      <c r="B269">
        <v>1</v>
      </c>
      <c r="D269" t="str">
        <f t="shared" si="15"/>
        <v>0098</v>
      </c>
      <c r="E269" t="str">
        <f t="shared" si="16"/>
        <v/>
      </c>
      <c r="F269" t="str">
        <f t="shared" si="17"/>
        <v>CS</v>
      </c>
    </row>
    <row r="270" spans="1:6" x14ac:dyDescent="0.3">
      <c r="A270" t="s">
        <v>1469</v>
      </c>
      <c r="B270">
        <v>1</v>
      </c>
      <c r="D270" t="str">
        <f t="shared" si="15"/>
        <v>0099</v>
      </c>
      <c r="E270" t="str">
        <f t="shared" si="16"/>
        <v/>
      </c>
      <c r="F270" t="str">
        <f t="shared" si="17"/>
        <v>CS</v>
      </c>
    </row>
    <row r="271" spans="1:6" x14ac:dyDescent="0.3">
      <c r="A271" t="s">
        <v>1470</v>
      </c>
      <c r="B271">
        <v>1</v>
      </c>
      <c r="D271" t="str">
        <f t="shared" si="15"/>
        <v>0100</v>
      </c>
      <c r="E271" t="str">
        <f t="shared" si="16"/>
        <v/>
      </c>
      <c r="F271" t="str">
        <f t="shared" si="17"/>
        <v>CN</v>
      </c>
    </row>
    <row r="272" spans="1:6" x14ac:dyDescent="0.3">
      <c r="A272" t="s">
        <v>1474</v>
      </c>
      <c r="B272">
        <v>1</v>
      </c>
      <c r="D272" t="str">
        <f t="shared" si="15"/>
        <v>0101</v>
      </c>
      <c r="E272" t="str">
        <f t="shared" si="16"/>
        <v/>
      </c>
      <c r="F272" t="str">
        <f t="shared" si="17"/>
        <v>CS</v>
      </c>
    </row>
    <row r="273" spans="1:6" x14ac:dyDescent="0.3">
      <c r="A273" t="s">
        <v>2603</v>
      </c>
      <c r="B273">
        <v>1</v>
      </c>
      <c r="D273" t="str">
        <f t="shared" si="15"/>
        <v>0102</v>
      </c>
      <c r="E273" t="str">
        <f t="shared" si="16"/>
        <v/>
      </c>
      <c r="F273" t="str">
        <f t="shared" si="17"/>
        <v>MS</v>
      </c>
    </row>
    <row r="274" spans="1:6" x14ac:dyDescent="0.3">
      <c r="A274" t="s">
        <v>1478</v>
      </c>
      <c r="B274">
        <v>1</v>
      </c>
      <c r="D274" t="str">
        <f t="shared" si="15"/>
        <v>0103</v>
      </c>
      <c r="E274" t="str">
        <f t="shared" si="16"/>
        <v>1</v>
      </c>
      <c r="F274" t="str">
        <f t="shared" si="17"/>
        <v>CN</v>
      </c>
    </row>
    <row r="275" spans="1:6" x14ac:dyDescent="0.3">
      <c r="A275" t="s">
        <v>1480</v>
      </c>
      <c r="B275">
        <v>1</v>
      </c>
      <c r="D275" t="str">
        <f t="shared" si="15"/>
        <v>0103</v>
      </c>
      <c r="E275" t="str">
        <f t="shared" si="16"/>
        <v>2</v>
      </c>
      <c r="F275" t="str">
        <f t="shared" si="17"/>
        <v>CR</v>
      </c>
    </row>
    <row r="276" spans="1:6" x14ac:dyDescent="0.3">
      <c r="A276" t="s">
        <v>2689</v>
      </c>
      <c r="B276">
        <v>1</v>
      </c>
      <c r="D276" t="str">
        <f t="shared" si="15"/>
        <v>0103</v>
      </c>
      <c r="E276" t="str">
        <f t="shared" si="16"/>
        <v>3</v>
      </c>
      <c r="F276" t="str">
        <f t="shared" si="17"/>
        <v>MS</v>
      </c>
    </row>
    <row r="277" spans="1:6" x14ac:dyDescent="0.3">
      <c r="A277" t="s">
        <v>1482</v>
      </c>
      <c r="B277">
        <v>1</v>
      </c>
      <c r="D277" t="str">
        <f t="shared" si="15"/>
        <v>0104</v>
      </c>
      <c r="E277" t="str">
        <f t="shared" si="16"/>
        <v/>
      </c>
      <c r="F277" t="str">
        <f t="shared" si="17"/>
        <v>CN</v>
      </c>
    </row>
    <row r="278" spans="1:6" x14ac:dyDescent="0.3">
      <c r="A278" t="s">
        <v>1484</v>
      </c>
      <c r="B278">
        <v>1</v>
      </c>
      <c r="D278" t="str">
        <f t="shared" si="15"/>
        <v>0105</v>
      </c>
      <c r="E278" t="str">
        <f t="shared" si="16"/>
        <v/>
      </c>
      <c r="F278" t="str">
        <f t="shared" si="17"/>
        <v>CN</v>
      </c>
    </row>
    <row r="279" spans="1:6" x14ac:dyDescent="0.3">
      <c r="A279" t="s">
        <v>1487</v>
      </c>
      <c r="B279">
        <v>1</v>
      </c>
      <c r="D279" t="str">
        <f t="shared" si="15"/>
        <v>0106</v>
      </c>
      <c r="E279" t="str">
        <f t="shared" si="16"/>
        <v/>
      </c>
      <c r="F279" t="str">
        <f t="shared" si="17"/>
        <v>CN</v>
      </c>
    </row>
    <row r="280" spans="1:6" x14ac:dyDescent="0.3">
      <c r="A280" t="s">
        <v>1491</v>
      </c>
      <c r="B280">
        <v>1</v>
      </c>
      <c r="D280" t="str">
        <f t="shared" si="15"/>
        <v>0107</v>
      </c>
      <c r="E280" t="str">
        <f t="shared" si="16"/>
        <v>1</v>
      </c>
      <c r="F280" t="str">
        <f t="shared" si="17"/>
        <v>CN</v>
      </c>
    </row>
    <row r="281" spans="1:6" x14ac:dyDescent="0.3">
      <c r="A281" t="s">
        <v>1492</v>
      </c>
      <c r="B281">
        <v>1</v>
      </c>
      <c r="D281" t="str">
        <f t="shared" si="15"/>
        <v>0107</v>
      </c>
      <c r="E281" t="str">
        <f t="shared" si="16"/>
        <v>3</v>
      </c>
      <c r="F281" t="str">
        <f t="shared" si="17"/>
        <v>CN</v>
      </c>
    </row>
    <row r="282" spans="1:6" x14ac:dyDescent="0.3">
      <c r="A282" t="s">
        <v>2690</v>
      </c>
      <c r="B282">
        <v>1</v>
      </c>
      <c r="D282" t="str">
        <f t="shared" si="15"/>
        <v>0107</v>
      </c>
      <c r="E282" t="str">
        <f t="shared" si="16"/>
        <v>2</v>
      </c>
      <c r="F282" t="str">
        <f t="shared" si="17"/>
        <v>FR</v>
      </c>
    </row>
    <row r="283" spans="1:6" x14ac:dyDescent="0.3">
      <c r="A283" t="s">
        <v>1495</v>
      </c>
      <c r="B283">
        <v>1</v>
      </c>
      <c r="D283" t="str">
        <f t="shared" si="15"/>
        <v>0108</v>
      </c>
      <c r="E283" t="str">
        <f t="shared" si="16"/>
        <v>1</v>
      </c>
      <c r="F283" t="str">
        <f t="shared" si="17"/>
        <v>CN</v>
      </c>
    </row>
    <row r="284" spans="1:6" x14ac:dyDescent="0.3">
      <c r="A284" t="s">
        <v>1496</v>
      </c>
      <c r="B284">
        <v>1</v>
      </c>
      <c r="D284" t="str">
        <f t="shared" si="15"/>
        <v>0108</v>
      </c>
      <c r="E284" t="str">
        <f t="shared" si="16"/>
        <v>3</v>
      </c>
      <c r="F284" t="str">
        <f t="shared" si="17"/>
        <v>CN</v>
      </c>
    </row>
    <row r="285" spans="1:6" x14ac:dyDescent="0.3">
      <c r="A285" t="s">
        <v>1498</v>
      </c>
      <c r="B285">
        <v>1</v>
      </c>
      <c r="D285" t="str">
        <f t="shared" si="15"/>
        <v>0108</v>
      </c>
      <c r="E285" t="str">
        <f t="shared" si="16"/>
        <v>2</v>
      </c>
      <c r="F285" t="str">
        <f t="shared" si="17"/>
        <v>CR</v>
      </c>
    </row>
    <row r="286" spans="1:6" x14ac:dyDescent="0.3">
      <c r="A286" t="s">
        <v>1500</v>
      </c>
      <c r="B286">
        <v>1</v>
      </c>
      <c r="D286" t="str">
        <f t="shared" si="15"/>
        <v>0109</v>
      </c>
      <c r="E286" t="str">
        <f t="shared" si="16"/>
        <v/>
      </c>
      <c r="F286" t="str">
        <f t="shared" si="17"/>
        <v>CN</v>
      </c>
    </row>
    <row r="287" spans="1:6" x14ac:dyDescent="0.3">
      <c r="A287" t="s">
        <v>1508</v>
      </c>
      <c r="B287">
        <v>1</v>
      </c>
      <c r="D287" t="str">
        <f t="shared" si="15"/>
        <v>0110</v>
      </c>
      <c r="E287" t="str">
        <f t="shared" si="16"/>
        <v>2</v>
      </c>
      <c r="F287" t="str">
        <f t="shared" si="17"/>
        <v>CR</v>
      </c>
    </row>
    <row r="288" spans="1:6" x14ac:dyDescent="0.3">
      <c r="A288" t="s">
        <v>1510</v>
      </c>
      <c r="B288">
        <v>1</v>
      </c>
      <c r="D288" t="str">
        <f t="shared" si="15"/>
        <v>0110</v>
      </c>
      <c r="E288" t="str">
        <f t="shared" si="16"/>
        <v>3</v>
      </c>
      <c r="F288" t="str">
        <f t="shared" si="17"/>
        <v>CS</v>
      </c>
    </row>
    <row r="289" spans="1:6" x14ac:dyDescent="0.3">
      <c r="A289" t="s">
        <v>1511</v>
      </c>
      <c r="B289">
        <v>1</v>
      </c>
      <c r="D289" t="str">
        <f t="shared" si="15"/>
        <v>0110</v>
      </c>
      <c r="E289" t="str">
        <f t="shared" si="16"/>
        <v>1</v>
      </c>
      <c r="F289" t="str">
        <f t="shared" si="17"/>
        <v>DN</v>
      </c>
    </row>
    <row r="290" spans="1:6" x14ac:dyDescent="0.3">
      <c r="A290" t="s">
        <v>1512</v>
      </c>
      <c r="B290">
        <v>1</v>
      </c>
      <c r="D290" t="str">
        <f t="shared" si="15"/>
        <v>0111</v>
      </c>
      <c r="E290" t="str">
        <f t="shared" si="16"/>
        <v/>
      </c>
      <c r="F290" t="str">
        <f t="shared" si="17"/>
        <v>CR</v>
      </c>
    </row>
    <row r="291" spans="1:6" x14ac:dyDescent="0.3">
      <c r="A291" t="s">
        <v>2691</v>
      </c>
      <c r="B291">
        <v>1</v>
      </c>
      <c r="D291" t="str">
        <f t="shared" si="15"/>
        <v>0112</v>
      </c>
      <c r="E291" t="str">
        <f t="shared" si="16"/>
        <v/>
      </c>
      <c r="F291" t="str">
        <f t="shared" si="17"/>
        <v>MS</v>
      </c>
    </row>
    <row r="292" spans="1:6" x14ac:dyDescent="0.3">
      <c r="A292" t="s">
        <v>1515</v>
      </c>
      <c r="B292">
        <v>1</v>
      </c>
      <c r="D292" t="str">
        <f t="shared" si="15"/>
        <v>0113</v>
      </c>
      <c r="E292" t="str">
        <f t="shared" si="16"/>
        <v>2</v>
      </c>
      <c r="F292" t="str">
        <f t="shared" si="17"/>
        <v>CR</v>
      </c>
    </row>
    <row r="293" spans="1:6" x14ac:dyDescent="0.3">
      <c r="A293" t="s">
        <v>1516</v>
      </c>
      <c r="B293">
        <v>1</v>
      </c>
      <c r="D293" t="str">
        <f t="shared" si="15"/>
        <v>0113</v>
      </c>
      <c r="E293" t="str">
        <f t="shared" si="16"/>
        <v>3</v>
      </c>
      <c r="F293" t="str">
        <f t="shared" si="17"/>
        <v>CS</v>
      </c>
    </row>
    <row r="294" spans="1:6" x14ac:dyDescent="0.3">
      <c r="A294" t="s">
        <v>2692</v>
      </c>
      <c r="B294">
        <v>1</v>
      </c>
      <c r="D294" t="str">
        <f t="shared" si="15"/>
        <v>0113</v>
      </c>
      <c r="E294" t="str">
        <f t="shared" si="16"/>
        <v>1</v>
      </c>
      <c r="F294" t="str">
        <f t="shared" si="17"/>
        <v>MS</v>
      </c>
    </row>
    <row r="295" spans="1:6" x14ac:dyDescent="0.3">
      <c r="A295" t="s">
        <v>1517</v>
      </c>
      <c r="B295">
        <v>1</v>
      </c>
      <c r="D295" t="str">
        <f t="shared" si="15"/>
        <v>0114</v>
      </c>
      <c r="E295" t="str">
        <f t="shared" si="16"/>
        <v/>
      </c>
      <c r="F295" t="str">
        <f t="shared" si="17"/>
        <v>CN</v>
      </c>
    </row>
    <row r="296" spans="1:6" x14ac:dyDescent="0.3">
      <c r="A296" t="s">
        <v>1519</v>
      </c>
      <c r="B296">
        <v>1</v>
      </c>
      <c r="D296" t="str">
        <f t="shared" si="15"/>
        <v>0115</v>
      </c>
      <c r="E296" t="str">
        <f t="shared" si="16"/>
        <v/>
      </c>
      <c r="F296" t="str">
        <f t="shared" si="17"/>
        <v>CN</v>
      </c>
    </row>
    <row r="297" spans="1:6" x14ac:dyDescent="0.3">
      <c r="A297" t="s">
        <v>1521</v>
      </c>
      <c r="B297">
        <v>1</v>
      </c>
      <c r="D297" t="str">
        <f t="shared" si="15"/>
        <v>0116</v>
      </c>
      <c r="E297" t="str">
        <f t="shared" si="16"/>
        <v/>
      </c>
      <c r="F297" t="str">
        <f t="shared" si="17"/>
        <v>CN</v>
      </c>
    </row>
    <row r="298" spans="1:6" x14ac:dyDescent="0.3">
      <c r="A298" t="s">
        <v>1523</v>
      </c>
      <c r="B298">
        <v>1</v>
      </c>
      <c r="D298" t="str">
        <f t="shared" si="15"/>
        <v>0117</v>
      </c>
      <c r="E298" t="str">
        <f t="shared" si="16"/>
        <v/>
      </c>
      <c r="F298" t="str">
        <f t="shared" si="17"/>
        <v>CN</v>
      </c>
    </row>
    <row r="299" spans="1:6" x14ac:dyDescent="0.3">
      <c r="A299" t="s">
        <v>1526</v>
      </c>
      <c r="B299">
        <v>1</v>
      </c>
      <c r="D299" t="str">
        <f t="shared" si="15"/>
        <v>0118</v>
      </c>
      <c r="E299" t="str">
        <f t="shared" si="16"/>
        <v/>
      </c>
      <c r="F299" t="str">
        <f t="shared" si="17"/>
        <v>CN</v>
      </c>
    </row>
    <row r="300" spans="1:6" x14ac:dyDescent="0.3">
      <c r="A300" t="s">
        <v>1528</v>
      </c>
      <c r="B300">
        <v>1</v>
      </c>
      <c r="D300" t="str">
        <f t="shared" si="15"/>
        <v>0119</v>
      </c>
      <c r="E300" t="str">
        <f t="shared" si="16"/>
        <v/>
      </c>
      <c r="F300" t="str">
        <f t="shared" si="17"/>
        <v>CN</v>
      </c>
    </row>
    <row r="301" spans="1:6" x14ac:dyDescent="0.3">
      <c r="A301" t="s">
        <v>1530</v>
      </c>
      <c r="B301">
        <v>1</v>
      </c>
      <c r="D301" t="str">
        <f t="shared" si="15"/>
        <v>0120</v>
      </c>
      <c r="E301" t="str">
        <f t="shared" si="16"/>
        <v/>
      </c>
      <c r="F301" t="str">
        <f t="shared" si="17"/>
        <v>CN</v>
      </c>
    </row>
    <row r="302" spans="1:6" x14ac:dyDescent="0.3">
      <c r="A302" t="s">
        <v>1532</v>
      </c>
      <c r="B302">
        <v>1</v>
      </c>
      <c r="D302" t="str">
        <f t="shared" si="15"/>
        <v>0121</v>
      </c>
      <c r="E302" t="str">
        <f t="shared" si="16"/>
        <v/>
      </c>
      <c r="F302" t="str">
        <f t="shared" si="17"/>
        <v>CN</v>
      </c>
    </row>
    <row r="303" spans="1:6" x14ac:dyDescent="0.3">
      <c r="A303" t="s">
        <v>1534</v>
      </c>
      <c r="B303">
        <v>1</v>
      </c>
      <c r="D303" t="str">
        <f t="shared" si="15"/>
        <v>0122</v>
      </c>
      <c r="E303" t="str">
        <f t="shared" si="16"/>
        <v/>
      </c>
      <c r="F303" t="str">
        <f t="shared" si="17"/>
        <v>CN</v>
      </c>
    </row>
    <row r="304" spans="1:6" x14ac:dyDescent="0.3">
      <c r="A304" t="s">
        <v>1536</v>
      </c>
      <c r="B304">
        <v>1</v>
      </c>
      <c r="D304" t="str">
        <f t="shared" si="15"/>
        <v>0123</v>
      </c>
      <c r="E304" t="str">
        <f t="shared" si="16"/>
        <v/>
      </c>
      <c r="F304" t="str">
        <f t="shared" si="17"/>
        <v>CN</v>
      </c>
    </row>
    <row r="305" spans="1:6" x14ac:dyDescent="0.3">
      <c r="A305" t="s">
        <v>1538</v>
      </c>
      <c r="B305">
        <v>1</v>
      </c>
      <c r="D305" t="str">
        <f t="shared" si="15"/>
        <v>0124</v>
      </c>
      <c r="E305" t="str">
        <f t="shared" si="16"/>
        <v/>
      </c>
      <c r="F305" t="str">
        <f t="shared" si="17"/>
        <v>CN</v>
      </c>
    </row>
    <row r="306" spans="1:6" x14ac:dyDescent="0.3">
      <c r="A306" t="s">
        <v>1541</v>
      </c>
      <c r="B306">
        <v>1</v>
      </c>
      <c r="D306" t="str">
        <f t="shared" si="15"/>
        <v>0125</v>
      </c>
      <c r="E306" t="str">
        <f t="shared" si="16"/>
        <v/>
      </c>
      <c r="F306" t="str">
        <f t="shared" si="17"/>
        <v>CN</v>
      </c>
    </row>
    <row r="307" spans="1:6" x14ac:dyDescent="0.3">
      <c r="A307" t="s">
        <v>1543</v>
      </c>
      <c r="B307">
        <v>1</v>
      </c>
      <c r="D307" t="str">
        <f t="shared" si="15"/>
        <v>0126</v>
      </c>
      <c r="E307" t="str">
        <f t="shared" si="16"/>
        <v/>
      </c>
      <c r="F307" t="str">
        <f t="shared" si="17"/>
        <v>CN</v>
      </c>
    </row>
    <row r="308" spans="1:6" x14ac:dyDescent="0.3">
      <c r="A308" t="s">
        <v>1547</v>
      </c>
      <c r="B308">
        <v>1</v>
      </c>
      <c r="D308" t="str">
        <f t="shared" si="15"/>
        <v>0127</v>
      </c>
      <c r="E308" t="str">
        <f t="shared" si="16"/>
        <v/>
      </c>
      <c r="F308" t="str">
        <f t="shared" si="17"/>
        <v>CS</v>
      </c>
    </row>
    <row r="309" spans="1:6" x14ac:dyDescent="0.3">
      <c r="A309" t="s">
        <v>1548</v>
      </c>
      <c r="B309">
        <v>1</v>
      </c>
      <c r="D309" t="str">
        <f t="shared" si="15"/>
        <v>0128</v>
      </c>
      <c r="E309" t="str">
        <f t="shared" si="16"/>
        <v/>
      </c>
      <c r="F309" t="str">
        <f t="shared" si="17"/>
        <v>CN</v>
      </c>
    </row>
    <row r="310" spans="1:6" x14ac:dyDescent="0.3">
      <c r="A310" t="s">
        <v>1552</v>
      </c>
      <c r="B310">
        <v>1</v>
      </c>
      <c r="D310" t="str">
        <f t="shared" si="15"/>
        <v>0129</v>
      </c>
      <c r="E310" t="str">
        <f t="shared" si="16"/>
        <v/>
      </c>
      <c r="F310" t="str">
        <f t="shared" si="17"/>
        <v>CS</v>
      </c>
    </row>
    <row r="311" spans="1:6" x14ac:dyDescent="0.3">
      <c r="A311" t="s">
        <v>1553</v>
      </c>
      <c r="B311">
        <v>1</v>
      </c>
      <c r="D311" t="str">
        <f t="shared" si="15"/>
        <v>0130</v>
      </c>
      <c r="E311" t="str">
        <f t="shared" si="16"/>
        <v/>
      </c>
      <c r="F311" t="str">
        <f t="shared" si="17"/>
        <v>CN</v>
      </c>
    </row>
    <row r="312" spans="1:6" x14ac:dyDescent="0.3">
      <c r="A312" t="s">
        <v>1556</v>
      </c>
      <c r="B312">
        <v>1</v>
      </c>
      <c r="D312" t="str">
        <f t="shared" si="15"/>
        <v>0131</v>
      </c>
      <c r="E312" t="str">
        <f t="shared" si="16"/>
        <v/>
      </c>
      <c r="F312" t="str">
        <f t="shared" si="17"/>
        <v>CN</v>
      </c>
    </row>
    <row r="313" spans="1:6" x14ac:dyDescent="0.3">
      <c r="A313" t="s">
        <v>1560</v>
      </c>
      <c r="B313">
        <v>1</v>
      </c>
      <c r="D313" t="str">
        <f t="shared" si="15"/>
        <v>0132</v>
      </c>
      <c r="E313" t="str">
        <f t="shared" si="16"/>
        <v/>
      </c>
      <c r="F313" t="str">
        <f t="shared" si="17"/>
        <v>CS</v>
      </c>
    </row>
    <row r="314" spans="1:6" x14ac:dyDescent="0.3">
      <c r="A314" t="s">
        <v>1563</v>
      </c>
      <c r="B314">
        <v>1</v>
      </c>
      <c r="D314" t="str">
        <f t="shared" si="15"/>
        <v>0133</v>
      </c>
      <c r="E314" t="str">
        <f t="shared" si="16"/>
        <v/>
      </c>
      <c r="F314" t="str">
        <f t="shared" si="17"/>
        <v>CS</v>
      </c>
    </row>
    <row r="315" spans="1:6" x14ac:dyDescent="0.3">
      <c r="A315" t="s">
        <v>1564</v>
      </c>
      <c r="B315">
        <v>1</v>
      </c>
      <c r="D315" t="str">
        <f t="shared" si="15"/>
        <v>0134</v>
      </c>
      <c r="E315" t="str">
        <f t="shared" si="16"/>
        <v>1</v>
      </c>
      <c r="F315" t="str">
        <f t="shared" si="17"/>
        <v>CN</v>
      </c>
    </row>
    <row r="316" spans="1:6" x14ac:dyDescent="0.3">
      <c r="A316" t="s">
        <v>1565</v>
      </c>
      <c r="B316">
        <v>1</v>
      </c>
      <c r="D316" t="str">
        <f t="shared" si="15"/>
        <v>0134</v>
      </c>
      <c r="E316" t="str">
        <f t="shared" si="16"/>
        <v>3</v>
      </c>
      <c r="F316" t="str">
        <f t="shared" si="17"/>
        <v>CN</v>
      </c>
    </row>
    <row r="317" spans="1:6" x14ac:dyDescent="0.3">
      <c r="A317" t="s">
        <v>1567</v>
      </c>
      <c r="B317">
        <v>1</v>
      </c>
      <c r="D317" t="str">
        <f t="shared" si="15"/>
        <v>0134</v>
      </c>
      <c r="E317" t="str">
        <f t="shared" si="16"/>
        <v>2</v>
      </c>
      <c r="F317" t="str">
        <f t="shared" si="17"/>
        <v>CR</v>
      </c>
    </row>
    <row r="318" spans="1:6" x14ac:dyDescent="0.3">
      <c r="A318" t="s">
        <v>1569</v>
      </c>
      <c r="B318">
        <v>1</v>
      </c>
      <c r="D318" t="str">
        <f t="shared" si="15"/>
        <v>0135</v>
      </c>
      <c r="E318" t="str">
        <f t="shared" si="16"/>
        <v>1</v>
      </c>
      <c r="F318" t="str">
        <f t="shared" si="17"/>
        <v>CN</v>
      </c>
    </row>
    <row r="319" spans="1:6" x14ac:dyDescent="0.3">
      <c r="A319" t="s">
        <v>1570</v>
      </c>
      <c r="B319">
        <v>1</v>
      </c>
      <c r="D319" t="str">
        <f t="shared" si="15"/>
        <v>0135</v>
      </c>
      <c r="E319" t="str">
        <f t="shared" si="16"/>
        <v>3</v>
      </c>
      <c r="F319" t="str">
        <f t="shared" si="17"/>
        <v>CN</v>
      </c>
    </row>
    <row r="320" spans="1:6" x14ac:dyDescent="0.3">
      <c r="A320" t="s">
        <v>1572</v>
      </c>
      <c r="B320">
        <v>1</v>
      </c>
      <c r="D320" t="str">
        <f t="shared" si="15"/>
        <v>0135</v>
      </c>
      <c r="E320" t="str">
        <f t="shared" si="16"/>
        <v>2</v>
      </c>
      <c r="F320" t="str">
        <f t="shared" si="17"/>
        <v>CR</v>
      </c>
    </row>
    <row r="321" spans="1:6" x14ac:dyDescent="0.3">
      <c r="A321" t="s">
        <v>1574</v>
      </c>
      <c r="B321">
        <v>1</v>
      </c>
      <c r="D321" t="str">
        <f t="shared" si="15"/>
        <v>0136</v>
      </c>
      <c r="E321" t="str">
        <f t="shared" si="16"/>
        <v/>
      </c>
      <c r="F321" t="str">
        <f t="shared" si="17"/>
        <v>CN</v>
      </c>
    </row>
    <row r="322" spans="1:6" x14ac:dyDescent="0.3">
      <c r="A322" t="s">
        <v>1576</v>
      </c>
      <c r="B322">
        <v>1</v>
      </c>
      <c r="D322" t="str">
        <f t="shared" si="15"/>
        <v>0137</v>
      </c>
      <c r="E322" t="str">
        <f t="shared" si="16"/>
        <v/>
      </c>
      <c r="F322" t="str">
        <f t="shared" si="17"/>
        <v>CN</v>
      </c>
    </row>
    <row r="323" spans="1:6" x14ac:dyDescent="0.3">
      <c r="A323" t="s">
        <v>1578</v>
      </c>
      <c r="B323">
        <v>1</v>
      </c>
      <c r="D323" t="str">
        <f t="shared" ref="D323:D386" si="18">IF(LEFT(A323,2)="SP",MID(A323,4,4),IF(LEFT(A323,1)="X",MID(A323,3,4),""))</f>
        <v>0138</v>
      </c>
      <c r="E323" t="str">
        <f t="shared" ref="E323:E386" si="19">IF(OR(LEFT(A323,2)="SP",AND(LEFT(A323,1)="X",LEN(A323)&gt;9)),RIGHT(A323,1),"")</f>
        <v/>
      </c>
      <c r="F323" t="str">
        <f t="shared" ref="F323:F386" si="20">IF(LEFT(A323,1)="X",MID(A323,8,2),"")</f>
        <v>CN</v>
      </c>
    </row>
    <row r="324" spans="1:6" x14ac:dyDescent="0.3">
      <c r="A324" t="s">
        <v>1580</v>
      </c>
      <c r="B324">
        <v>1</v>
      </c>
      <c r="D324" t="str">
        <f t="shared" si="18"/>
        <v>0139</v>
      </c>
      <c r="E324" t="str">
        <f t="shared" si="19"/>
        <v/>
      </c>
      <c r="F324" t="str">
        <f t="shared" si="20"/>
        <v>CN</v>
      </c>
    </row>
    <row r="325" spans="1:6" x14ac:dyDescent="0.3">
      <c r="A325" t="s">
        <v>1582</v>
      </c>
      <c r="B325">
        <v>1</v>
      </c>
      <c r="D325" t="str">
        <f t="shared" si="18"/>
        <v>0140</v>
      </c>
      <c r="E325" t="str">
        <f t="shared" si="19"/>
        <v/>
      </c>
      <c r="F325" t="str">
        <f t="shared" si="20"/>
        <v>CN</v>
      </c>
    </row>
    <row r="326" spans="1:6" x14ac:dyDescent="0.3">
      <c r="A326" t="s">
        <v>2693</v>
      </c>
      <c r="B326">
        <v>1</v>
      </c>
      <c r="D326" t="str">
        <f t="shared" si="18"/>
        <v>0141</v>
      </c>
      <c r="E326" t="str">
        <f t="shared" si="19"/>
        <v/>
      </c>
      <c r="F326" t="str">
        <f t="shared" si="20"/>
        <v>MS</v>
      </c>
    </row>
    <row r="327" spans="1:6" x14ac:dyDescent="0.3">
      <c r="A327" t="s">
        <v>1586</v>
      </c>
      <c r="B327">
        <v>1</v>
      </c>
      <c r="D327" t="str">
        <f t="shared" si="18"/>
        <v>0142</v>
      </c>
      <c r="E327" t="str">
        <f t="shared" si="19"/>
        <v/>
      </c>
      <c r="F327" t="str">
        <f t="shared" si="20"/>
        <v>CN</v>
      </c>
    </row>
    <row r="328" spans="1:6" x14ac:dyDescent="0.3">
      <c r="A328" t="s">
        <v>1588</v>
      </c>
      <c r="B328">
        <v>1</v>
      </c>
      <c r="D328" t="str">
        <f t="shared" si="18"/>
        <v>0143</v>
      </c>
      <c r="E328" t="str">
        <f t="shared" si="19"/>
        <v/>
      </c>
      <c r="F328" t="str">
        <f t="shared" si="20"/>
        <v>CN</v>
      </c>
    </row>
    <row r="329" spans="1:6" x14ac:dyDescent="0.3">
      <c r="A329" t="s">
        <v>1590</v>
      </c>
      <c r="B329">
        <v>1</v>
      </c>
      <c r="D329" t="str">
        <f t="shared" si="18"/>
        <v>0144</v>
      </c>
      <c r="E329" t="str">
        <f t="shared" si="19"/>
        <v/>
      </c>
      <c r="F329" t="str">
        <f t="shared" si="20"/>
        <v>CN</v>
      </c>
    </row>
    <row r="330" spans="1:6" x14ac:dyDescent="0.3">
      <c r="A330" t="s">
        <v>1592</v>
      </c>
      <c r="B330">
        <v>1</v>
      </c>
      <c r="D330" t="str">
        <f t="shared" si="18"/>
        <v>0145</v>
      </c>
      <c r="E330" t="str">
        <f t="shared" si="19"/>
        <v/>
      </c>
      <c r="F330" t="str">
        <f t="shared" si="20"/>
        <v>CN</v>
      </c>
    </row>
    <row r="331" spans="1:6" x14ac:dyDescent="0.3">
      <c r="A331" t="s">
        <v>1595</v>
      </c>
      <c r="B331">
        <v>1</v>
      </c>
      <c r="D331" t="str">
        <f t="shared" si="18"/>
        <v>0146</v>
      </c>
      <c r="E331" t="str">
        <f t="shared" si="19"/>
        <v/>
      </c>
      <c r="F331" t="str">
        <f t="shared" si="20"/>
        <v>CS</v>
      </c>
    </row>
    <row r="332" spans="1:6" x14ac:dyDescent="0.3">
      <c r="A332" t="s">
        <v>1596</v>
      </c>
      <c r="B332">
        <v>1</v>
      </c>
      <c r="D332" t="str">
        <f t="shared" si="18"/>
        <v>0147</v>
      </c>
      <c r="E332" t="str">
        <f t="shared" si="19"/>
        <v/>
      </c>
      <c r="F332" t="str">
        <f t="shared" si="20"/>
        <v>CN</v>
      </c>
    </row>
    <row r="333" spans="1:6" x14ac:dyDescent="0.3">
      <c r="A333" t="s">
        <v>1599</v>
      </c>
      <c r="B333">
        <v>1</v>
      </c>
      <c r="D333" t="str">
        <f t="shared" si="18"/>
        <v>0148</v>
      </c>
      <c r="E333" t="str">
        <f t="shared" si="19"/>
        <v/>
      </c>
      <c r="F333" t="str">
        <f t="shared" si="20"/>
        <v>CN</v>
      </c>
    </row>
    <row r="334" spans="1:6" x14ac:dyDescent="0.3">
      <c r="A334" t="s">
        <v>1601</v>
      </c>
      <c r="B334">
        <v>1</v>
      </c>
      <c r="D334" t="str">
        <f t="shared" si="18"/>
        <v>0149</v>
      </c>
      <c r="E334" t="str">
        <f t="shared" si="19"/>
        <v/>
      </c>
      <c r="F334" t="str">
        <f t="shared" si="20"/>
        <v>CN</v>
      </c>
    </row>
    <row r="335" spans="1:6" x14ac:dyDescent="0.3">
      <c r="A335" t="s">
        <v>1603</v>
      </c>
      <c r="B335">
        <v>1</v>
      </c>
      <c r="D335" t="str">
        <f t="shared" si="18"/>
        <v>0150</v>
      </c>
      <c r="E335" t="str">
        <f t="shared" si="19"/>
        <v/>
      </c>
      <c r="F335" t="str">
        <f t="shared" si="20"/>
        <v>CN</v>
      </c>
    </row>
    <row r="336" spans="1:6" x14ac:dyDescent="0.3">
      <c r="A336" t="s">
        <v>1605</v>
      </c>
      <c r="B336">
        <v>1</v>
      </c>
      <c r="D336" t="str">
        <f t="shared" si="18"/>
        <v>0151</v>
      </c>
      <c r="E336" t="str">
        <f t="shared" si="19"/>
        <v/>
      </c>
      <c r="F336" t="str">
        <f t="shared" si="20"/>
        <v>CN</v>
      </c>
    </row>
    <row r="337" spans="1:6" x14ac:dyDescent="0.3">
      <c r="A337" t="s">
        <v>1608</v>
      </c>
      <c r="B337">
        <v>1</v>
      </c>
      <c r="D337" t="str">
        <f t="shared" si="18"/>
        <v>0152</v>
      </c>
      <c r="E337" t="str">
        <f t="shared" si="19"/>
        <v/>
      </c>
      <c r="F337" t="str">
        <f t="shared" si="20"/>
        <v>CN</v>
      </c>
    </row>
    <row r="338" spans="1:6" x14ac:dyDescent="0.3">
      <c r="A338" t="s">
        <v>1611</v>
      </c>
      <c r="B338">
        <v>1</v>
      </c>
      <c r="D338" t="str">
        <f t="shared" si="18"/>
        <v>0153</v>
      </c>
      <c r="E338" t="str">
        <f t="shared" si="19"/>
        <v/>
      </c>
      <c r="F338" t="str">
        <f t="shared" si="20"/>
        <v>CN</v>
      </c>
    </row>
    <row r="339" spans="1:6" x14ac:dyDescent="0.3">
      <c r="A339" t="s">
        <v>1613</v>
      </c>
      <c r="B339">
        <v>1</v>
      </c>
      <c r="D339" t="str">
        <f t="shared" si="18"/>
        <v>0154</v>
      </c>
      <c r="E339" t="str">
        <f t="shared" si="19"/>
        <v/>
      </c>
      <c r="F339" t="str">
        <f t="shared" si="20"/>
        <v>CN</v>
      </c>
    </row>
    <row r="340" spans="1:6" x14ac:dyDescent="0.3">
      <c r="A340" t="s">
        <v>1615</v>
      </c>
      <c r="B340">
        <v>1</v>
      </c>
      <c r="D340" t="str">
        <f t="shared" si="18"/>
        <v>0155</v>
      </c>
      <c r="E340" t="str">
        <f t="shared" si="19"/>
        <v/>
      </c>
      <c r="F340" t="str">
        <f t="shared" si="20"/>
        <v>CN</v>
      </c>
    </row>
    <row r="341" spans="1:6" x14ac:dyDescent="0.3">
      <c r="A341" t="s">
        <v>1617</v>
      </c>
      <c r="B341">
        <v>1</v>
      </c>
      <c r="D341" t="str">
        <f t="shared" si="18"/>
        <v>0156</v>
      </c>
      <c r="E341" t="str">
        <f t="shared" si="19"/>
        <v/>
      </c>
      <c r="F341" t="str">
        <f t="shared" si="20"/>
        <v>CN</v>
      </c>
    </row>
    <row r="342" spans="1:6" x14ac:dyDescent="0.3">
      <c r="A342" t="s">
        <v>1622</v>
      </c>
      <c r="B342">
        <v>1</v>
      </c>
      <c r="D342" t="str">
        <f t="shared" si="18"/>
        <v>0157</v>
      </c>
      <c r="E342" t="str">
        <f t="shared" si="19"/>
        <v/>
      </c>
      <c r="F342" t="str">
        <f t="shared" si="20"/>
        <v>CS</v>
      </c>
    </row>
    <row r="343" spans="1:6" x14ac:dyDescent="0.3">
      <c r="A343" t="s">
        <v>1623</v>
      </c>
      <c r="B343">
        <v>1</v>
      </c>
      <c r="D343" t="str">
        <f t="shared" si="18"/>
        <v>0158</v>
      </c>
      <c r="E343" t="str">
        <f t="shared" si="19"/>
        <v/>
      </c>
      <c r="F343" t="str">
        <f t="shared" si="20"/>
        <v>CN</v>
      </c>
    </row>
    <row r="344" spans="1:6" x14ac:dyDescent="0.3">
      <c r="A344" t="s">
        <v>1627</v>
      </c>
      <c r="B344">
        <v>1</v>
      </c>
      <c r="D344" t="str">
        <f t="shared" si="18"/>
        <v>0159</v>
      </c>
      <c r="E344" t="str">
        <f t="shared" si="19"/>
        <v/>
      </c>
      <c r="F344" t="str">
        <f t="shared" si="20"/>
        <v>DS</v>
      </c>
    </row>
    <row r="345" spans="1:6" x14ac:dyDescent="0.3">
      <c r="A345" t="s">
        <v>1629</v>
      </c>
      <c r="B345">
        <v>1</v>
      </c>
      <c r="D345" t="str">
        <f t="shared" si="18"/>
        <v>0160</v>
      </c>
      <c r="E345" t="str">
        <f t="shared" si="19"/>
        <v/>
      </c>
      <c r="F345" t="str">
        <f t="shared" si="20"/>
        <v>CS</v>
      </c>
    </row>
    <row r="346" spans="1:6" x14ac:dyDescent="0.3">
      <c r="A346" t="s">
        <v>1630</v>
      </c>
      <c r="B346">
        <v>1</v>
      </c>
      <c r="D346" t="str">
        <f t="shared" si="18"/>
        <v>0161</v>
      </c>
      <c r="E346" t="str">
        <f t="shared" si="19"/>
        <v/>
      </c>
      <c r="F346" t="str">
        <f t="shared" si="20"/>
        <v>CN</v>
      </c>
    </row>
    <row r="347" spans="1:6" x14ac:dyDescent="0.3">
      <c r="A347" t="s">
        <v>2608</v>
      </c>
      <c r="B347">
        <v>1</v>
      </c>
      <c r="D347" t="str">
        <f t="shared" si="18"/>
        <v>0162</v>
      </c>
      <c r="E347" t="str">
        <f t="shared" si="19"/>
        <v/>
      </c>
      <c r="F347" t="str">
        <f t="shared" si="20"/>
        <v>MS</v>
      </c>
    </row>
    <row r="348" spans="1:6" x14ac:dyDescent="0.3">
      <c r="A348" t="s">
        <v>1634</v>
      </c>
      <c r="B348">
        <v>1</v>
      </c>
      <c r="D348" t="str">
        <f t="shared" si="18"/>
        <v>0163</v>
      </c>
      <c r="E348" t="str">
        <f t="shared" si="19"/>
        <v/>
      </c>
      <c r="F348" t="str">
        <f t="shared" si="20"/>
        <v>CN</v>
      </c>
    </row>
    <row r="349" spans="1:6" x14ac:dyDescent="0.3">
      <c r="A349" t="s">
        <v>1636</v>
      </c>
      <c r="B349">
        <v>1</v>
      </c>
      <c r="D349" t="str">
        <f t="shared" si="18"/>
        <v>0164</v>
      </c>
      <c r="E349" t="str">
        <f t="shared" si="19"/>
        <v/>
      </c>
      <c r="F349" t="str">
        <f t="shared" si="20"/>
        <v>CN</v>
      </c>
    </row>
    <row r="350" spans="1:6" x14ac:dyDescent="0.3">
      <c r="A350" t="s">
        <v>1638</v>
      </c>
      <c r="B350">
        <v>1</v>
      </c>
      <c r="D350" t="str">
        <f t="shared" si="18"/>
        <v>0165</v>
      </c>
      <c r="E350" t="str">
        <f t="shared" si="19"/>
        <v/>
      </c>
      <c r="F350" t="str">
        <f t="shared" si="20"/>
        <v>CN</v>
      </c>
    </row>
    <row r="351" spans="1:6" x14ac:dyDescent="0.3">
      <c r="A351" t="s">
        <v>2694</v>
      </c>
      <c r="B351">
        <v>1</v>
      </c>
      <c r="D351" t="str">
        <f t="shared" si="18"/>
        <v>0166</v>
      </c>
      <c r="E351" t="str">
        <f t="shared" si="19"/>
        <v/>
      </c>
      <c r="F351" t="str">
        <f t="shared" si="20"/>
        <v>MS</v>
      </c>
    </row>
    <row r="352" spans="1:6" x14ac:dyDescent="0.3">
      <c r="A352" t="s">
        <v>1642</v>
      </c>
      <c r="B352">
        <v>1</v>
      </c>
      <c r="D352" t="str">
        <f t="shared" si="18"/>
        <v>0167</v>
      </c>
      <c r="E352" t="str">
        <f t="shared" si="19"/>
        <v/>
      </c>
      <c r="F352" t="str">
        <f t="shared" si="20"/>
        <v>CN</v>
      </c>
    </row>
    <row r="353" spans="1:6" x14ac:dyDescent="0.3">
      <c r="A353" t="s">
        <v>1646</v>
      </c>
      <c r="B353">
        <v>1</v>
      </c>
      <c r="D353" t="str">
        <f t="shared" si="18"/>
        <v>0168</v>
      </c>
      <c r="E353" t="str">
        <f t="shared" si="19"/>
        <v/>
      </c>
      <c r="F353" t="str">
        <f t="shared" si="20"/>
        <v>CS</v>
      </c>
    </row>
    <row r="354" spans="1:6" x14ac:dyDescent="0.3">
      <c r="A354" t="s">
        <v>2695</v>
      </c>
      <c r="B354">
        <v>1</v>
      </c>
      <c r="D354" t="str">
        <f t="shared" si="18"/>
        <v>0169</v>
      </c>
      <c r="E354" t="str">
        <f t="shared" si="19"/>
        <v/>
      </c>
      <c r="F354" t="str">
        <f t="shared" si="20"/>
        <v>MS</v>
      </c>
    </row>
    <row r="355" spans="1:6" x14ac:dyDescent="0.3">
      <c r="A355" t="s">
        <v>1649</v>
      </c>
      <c r="B355">
        <v>1</v>
      </c>
      <c r="D355" t="str">
        <f t="shared" si="18"/>
        <v>0170</v>
      </c>
      <c r="E355" t="str">
        <f t="shared" si="19"/>
        <v/>
      </c>
      <c r="F355" t="str">
        <f t="shared" si="20"/>
        <v>CN</v>
      </c>
    </row>
    <row r="356" spans="1:6" x14ac:dyDescent="0.3">
      <c r="A356" t="s">
        <v>1651</v>
      </c>
      <c r="B356">
        <v>1</v>
      </c>
      <c r="D356" t="str">
        <f t="shared" si="18"/>
        <v>0171</v>
      </c>
      <c r="E356" t="str">
        <f t="shared" si="19"/>
        <v/>
      </c>
      <c r="F356" t="str">
        <f t="shared" si="20"/>
        <v>CN</v>
      </c>
    </row>
    <row r="357" spans="1:6" x14ac:dyDescent="0.3">
      <c r="A357" t="s">
        <v>1656</v>
      </c>
      <c r="B357">
        <v>1</v>
      </c>
      <c r="D357" t="str">
        <f t="shared" si="18"/>
        <v>0172</v>
      </c>
      <c r="E357" t="str">
        <f t="shared" si="19"/>
        <v/>
      </c>
      <c r="F357" t="str">
        <f t="shared" si="20"/>
        <v>DS</v>
      </c>
    </row>
    <row r="358" spans="1:6" x14ac:dyDescent="0.3">
      <c r="A358" t="s">
        <v>2582</v>
      </c>
      <c r="B358">
        <v>1</v>
      </c>
      <c r="D358" t="str">
        <f t="shared" si="18"/>
        <v>0173</v>
      </c>
      <c r="E358" t="str">
        <f t="shared" si="19"/>
        <v/>
      </c>
      <c r="F358" t="str">
        <f t="shared" si="20"/>
        <v>MS</v>
      </c>
    </row>
    <row r="359" spans="1:6" x14ac:dyDescent="0.3">
      <c r="A359" t="s">
        <v>1662</v>
      </c>
      <c r="B359">
        <v>1</v>
      </c>
      <c r="D359" t="str">
        <f t="shared" si="18"/>
        <v>0174</v>
      </c>
      <c r="E359" t="str">
        <f t="shared" si="19"/>
        <v/>
      </c>
      <c r="F359" t="str">
        <f t="shared" si="20"/>
        <v>DN</v>
      </c>
    </row>
    <row r="360" spans="1:6" x14ac:dyDescent="0.3">
      <c r="A360" t="s">
        <v>1663</v>
      </c>
      <c r="B360">
        <v>1</v>
      </c>
      <c r="D360" t="str">
        <f t="shared" si="18"/>
        <v>0175</v>
      </c>
      <c r="E360" t="str">
        <f t="shared" si="19"/>
        <v/>
      </c>
      <c r="F360" t="str">
        <f t="shared" si="20"/>
        <v>CN</v>
      </c>
    </row>
    <row r="361" spans="1:6" x14ac:dyDescent="0.3">
      <c r="A361" t="s">
        <v>1665</v>
      </c>
      <c r="B361">
        <v>1</v>
      </c>
      <c r="D361" t="str">
        <f t="shared" si="18"/>
        <v>0176</v>
      </c>
      <c r="E361" t="str">
        <f t="shared" si="19"/>
        <v/>
      </c>
      <c r="F361" t="str">
        <f t="shared" si="20"/>
        <v>CN</v>
      </c>
    </row>
    <row r="362" spans="1:6" x14ac:dyDescent="0.3">
      <c r="A362" t="s">
        <v>1667</v>
      </c>
      <c r="B362">
        <v>1</v>
      </c>
      <c r="D362" t="str">
        <f t="shared" si="18"/>
        <v>0177</v>
      </c>
      <c r="E362" t="str">
        <f t="shared" si="19"/>
        <v/>
      </c>
      <c r="F362" t="str">
        <f t="shared" si="20"/>
        <v>CN</v>
      </c>
    </row>
    <row r="363" spans="1:6" x14ac:dyDescent="0.3">
      <c r="A363" t="s">
        <v>1669</v>
      </c>
      <c r="B363">
        <v>1</v>
      </c>
      <c r="D363" t="str">
        <f t="shared" si="18"/>
        <v>0178</v>
      </c>
      <c r="E363" t="str">
        <f t="shared" si="19"/>
        <v/>
      </c>
      <c r="F363" t="str">
        <f t="shared" si="20"/>
        <v>CN</v>
      </c>
    </row>
    <row r="364" spans="1:6" x14ac:dyDescent="0.3">
      <c r="A364" t="s">
        <v>1672</v>
      </c>
      <c r="B364">
        <v>1</v>
      </c>
      <c r="D364" t="str">
        <f t="shared" si="18"/>
        <v>0179</v>
      </c>
      <c r="E364" t="str">
        <f t="shared" si="19"/>
        <v/>
      </c>
      <c r="F364" t="str">
        <f t="shared" si="20"/>
        <v>CN</v>
      </c>
    </row>
    <row r="365" spans="1:6" x14ac:dyDescent="0.3">
      <c r="A365" t="s">
        <v>1673</v>
      </c>
      <c r="B365">
        <v>1</v>
      </c>
      <c r="D365" t="str">
        <f t="shared" si="18"/>
        <v>0180</v>
      </c>
      <c r="E365" t="str">
        <f t="shared" si="19"/>
        <v/>
      </c>
      <c r="F365" t="str">
        <f t="shared" si="20"/>
        <v>BN</v>
      </c>
    </row>
    <row r="366" spans="1:6" x14ac:dyDescent="0.3">
      <c r="A366" t="s">
        <v>1676</v>
      </c>
      <c r="B366">
        <v>1</v>
      </c>
      <c r="D366" t="str">
        <f t="shared" si="18"/>
        <v>0181</v>
      </c>
      <c r="E366" t="str">
        <f t="shared" si="19"/>
        <v/>
      </c>
      <c r="F366" t="str">
        <f t="shared" si="20"/>
        <v>BS</v>
      </c>
    </row>
    <row r="367" spans="1:6" x14ac:dyDescent="0.3">
      <c r="A367" t="s">
        <v>1678</v>
      </c>
      <c r="B367">
        <v>1</v>
      </c>
      <c r="D367" t="str">
        <f t="shared" si="18"/>
        <v>0182</v>
      </c>
      <c r="E367" t="str">
        <f t="shared" si="19"/>
        <v/>
      </c>
      <c r="F367" t="str">
        <f t="shared" si="20"/>
        <v>CN</v>
      </c>
    </row>
    <row r="368" spans="1:6" x14ac:dyDescent="0.3">
      <c r="A368" t="s">
        <v>1681</v>
      </c>
      <c r="B368">
        <v>1</v>
      </c>
      <c r="D368" t="str">
        <f t="shared" si="18"/>
        <v>0183</v>
      </c>
      <c r="E368" t="str">
        <f t="shared" si="19"/>
        <v/>
      </c>
      <c r="F368" t="str">
        <f t="shared" si="20"/>
        <v>CN</v>
      </c>
    </row>
    <row r="369" spans="1:6" x14ac:dyDescent="0.3">
      <c r="A369" t="s">
        <v>1683</v>
      </c>
      <c r="B369">
        <v>1</v>
      </c>
      <c r="D369" t="str">
        <f t="shared" si="18"/>
        <v>0184</v>
      </c>
      <c r="E369" t="str">
        <f t="shared" si="19"/>
        <v/>
      </c>
      <c r="F369" t="str">
        <f t="shared" si="20"/>
        <v>BS</v>
      </c>
    </row>
    <row r="370" spans="1:6" x14ac:dyDescent="0.3">
      <c r="A370" t="s">
        <v>1686</v>
      </c>
      <c r="B370">
        <v>1</v>
      </c>
      <c r="D370" t="str">
        <f t="shared" si="18"/>
        <v>0185</v>
      </c>
      <c r="E370" t="str">
        <f t="shared" si="19"/>
        <v/>
      </c>
      <c r="F370" t="str">
        <f t="shared" si="20"/>
        <v>BI</v>
      </c>
    </row>
    <row r="371" spans="1:6" x14ac:dyDescent="0.3">
      <c r="A371" t="s">
        <v>2696</v>
      </c>
      <c r="B371">
        <v>1</v>
      </c>
      <c r="D371" t="str">
        <f t="shared" si="18"/>
        <v>0186</v>
      </c>
      <c r="E371" t="str">
        <f t="shared" si="19"/>
        <v/>
      </c>
      <c r="F371" t="str">
        <f t="shared" si="20"/>
        <v>MS</v>
      </c>
    </row>
    <row r="372" spans="1:6" x14ac:dyDescent="0.3">
      <c r="A372" t="s">
        <v>1692</v>
      </c>
      <c r="B372">
        <v>1</v>
      </c>
      <c r="D372" t="str">
        <f t="shared" si="18"/>
        <v>0187</v>
      </c>
      <c r="E372" t="str">
        <f t="shared" si="19"/>
        <v/>
      </c>
      <c r="F372" t="str">
        <f t="shared" si="20"/>
        <v>BS</v>
      </c>
    </row>
    <row r="373" spans="1:6" x14ac:dyDescent="0.3">
      <c r="A373" t="s">
        <v>1695</v>
      </c>
      <c r="B373">
        <v>1</v>
      </c>
      <c r="D373" t="str">
        <f t="shared" si="18"/>
        <v>0188</v>
      </c>
      <c r="E373" t="str">
        <f t="shared" si="19"/>
        <v/>
      </c>
      <c r="F373" t="str">
        <f t="shared" si="20"/>
        <v>BN</v>
      </c>
    </row>
    <row r="374" spans="1:6" x14ac:dyDescent="0.3">
      <c r="A374" t="s">
        <v>1698</v>
      </c>
      <c r="B374">
        <v>1</v>
      </c>
      <c r="D374" t="str">
        <f t="shared" si="18"/>
        <v>0189</v>
      </c>
      <c r="E374" t="str">
        <f t="shared" si="19"/>
        <v/>
      </c>
      <c r="F374" t="str">
        <f t="shared" si="20"/>
        <v>CN</v>
      </c>
    </row>
    <row r="375" spans="1:6" x14ac:dyDescent="0.3">
      <c r="A375" t="s">
        <v>2697</v>
      </c>
      <c r="B375">
        <v>1</v>
      </c>
      <c r="D375" t="str">
        <f t="shared" si="18"/>
        <v>0190</v>
      </c>
      <c r="E375" t="str">
        <f t="shared" si="19"/>
        <v/>
      </c>
      <c r="F375" t="str">
        <f t="shared" si="20"/>
        <v>MS</v>
      </c>
    </row>
    <row r="376" spans="1:6" x14ac:dyDescent="0.3">
      <c r="A376" t="s">
        <v>2612</v>
      </c>
      <c r="B376">
        <v>1</v>
      </c>
      <c r="D376" t="str">
        <f t="shared" si="18"/>
        <v>0191</v>
      </c>
      <c r="E376" t="str">
        <f t="shared" si="19"/>
        <v/>
      </c>
      <c r="F376" t="str">
        <f t="shared" si="20"/>
        <v>MS</v>
      </c>
    </row>
    <row r="377" spans="1:6" x14ac:dyDescent="0.3">
      <c r="A377" t="s">
        <v>1705</v>
      </c>
      <c r="B377">
        <v>1</v>
      </c>
      <c r="D377" t="str">
        <f t="shared" si="18"/>
        <v>0192</v>
      </c>
      <c r="E377" t="str">
        <f t="shared" si="19"/>
        <v/>
      </c>
      <c r="F377" t="str">
        <f t="shared" si="20"/>
        <v>CN</v>
      </c>
    </row>
    <row r="378" spans="1:6" x14ac:dyDescent="0.3">
      <c r="A378" t="s">
        <v>1707</v>
      </c>
      <c r="B378">
        <v>1</v>
      </c>
      <c r="D378" t="str">
        <f t="shared" si="18"/>
        <v>0193</v>
      </c>
      <c r="E378" t="str">
        <f t="shared" si="19"/>
        <v/>
      </c>
      <c r="F378" t="str">
        <f t="shared" si="20"/>
        <v>CN</v>
      </c>
    </row>
    <row r="379" spans="1:6" x14ac:dyDescent="0.3">
      <c r="A379" t="s">
        <v>1710</v>
      </c>
      <c r="B379">
        <v>1</v>
      </c>
      <c r="D379" t="str">
        <f t="shared" si="18"/>
        <v>0194</v>
      </c>
      <c r="E379" t="str">
        <f t="shared" si="19"/>
        <v/>
      </c>
      <c r="F379" t="str">
        <f t="shared" si="20"/>
        <v>CS</v>
      </c>
    </row>
    <row r="380" spans="1:6" x14ac:dyDescent="0.3">
      <c r="A380" t="s">
        <v>1711</v>
      </c>
      <c r="B380">
        <v>1</v>
      </c>
      <c r="D380" t="str">
        <f t="shared" si="18"/>
        <v>0195</v>
      </c>
      <c r="E380" t="str">
        <f t="shared" si="19"/>
        <v/>
      </c>
      <c r="F380" t="str">
        <f t="shared" si="20"/>
        <v>BS</v>
      </c>
    </row>
    <row r="381" spans="1:6" x14ac:dyDescent="0.3">
      <c r="A381" t="s">
        <v>1713</v>
      </c>
      <c r="B381">
        <v>1</v>
      </c>
      <c r="D381" t="str">
        <f t="shared" si="18"/>
        <v>0196</v>
      </c>
      <c r="E381" t="str">
        <f t="shared" si="19"/>
        <v/>
      </c>
      <c r="F381" t="str">
        <f t="shared" si="20"/>
        <v>BS</v>
      </c>
    </row>
    <row r="382" spans="1:6" x14ac:dyDescent="0.3">
      <c r="A382" t="s">
        <v>1716</v>
      </c>
      <c r="B382">
        <v>1</v>
      </c>
      <c r="D382" t="str">
        <f t="shared" si="18"/>
        <v>0197</v>
      </c>
      <c r="E382" t="str">
        <f t="shared" si="19"/>
        <v/>
      </c>
      <c r="F382" t="str">
        <f t="shared" si="20"/>
        <v>CN</v>
      </c>
    </row>
    <row r="383" spans="1:6" x14ac:dyDescent="0.3">
      <c r="A383" t="s">
        <v>2698</v>
      </c>
      <c r="B383">
        <v>1</v>
      </c>
      <c r="D383" t="str">
        <f t="shared" si="18"/>
        <v>0198</v>
      </c>
      <c r="E383" t="str">
        <f t="shared" si="19"/>
        <v/>
      </c>
      <c r="F383" t="str">
        <f t="shared" si="20"/>
        <v>MS</v>
      </c>
    </row>
    <row r="384" spans="1:6" x14ac:dyDescent="0.3">
      <c r="A384" t="s">
        <v>1720</v>
      </c>
      <c r="B384">
        <v>1</v>
      </c>
      <c r="D384" t="str">
        <f t="shared" si="18"/>
        <v>0199</v>
      </c>
      <c r="E384" t="str">
        <f t="shared" si="19"/>
        <v/>
      </c>
      <c r="F384" t="str">
        <f t="shared" si="20"/>
        <v>CS</v>
      </c>
    </row>
    <row r="385" spans="1:6" x14ac:dyDescent="0.3">
      <c r="A385" t="s">
        <v>1721</v>
      </c>
      <c r="B385">
        <v>1</v>
      </c>
      <c r="D385" t="str">
        <f t="shared" si="18"/>
        <v>0200</v>
      </c>
      <c r="E385" t="str">
        <f t="shared" si="19"/>
        <v/>
      </c>
      <c r="F385" t="str">
        <f t="shared" si="20"/>
        <v>CN</v>
      </c>
    </row>
    <row r="386" spans="1:6" x14ac:dyDescent="0.3">
      <c r="A386" t="s">
        <v>1723</v>
      </c>
      <c r="B386">
        <v>1</v>
      </c>
      <c r="D386" t="str">
        <f t="shared" si="18"/>
        <v>0201</v>
      </c>
      <c r="E386" t="str">
        <f t="shared" si="19"/>
        <v/>
      </c>
      <c r="F386" t="str">
        <f t="shared" si="20"/>
        <v>CN</v>
      </c>
    </row>
    <row r="387" spans="1:6" x14ac:dyDescent="0.3">
      <c r="A387" t="s">
        <v>1725</v>
      </c>
      <c r="B387">
        <v>1</v>
      </c>
      <c r="D387" t="str">
        <f t="shared" ref="D387:D450" si="21">IF(LEFT(A387,2)="SP",MID(A387,4,4),IF(LEFT(A387,1)="X",MID(A387,3,4),""))</f>
        <v>0202</v>
      </c>
      <c r="E387" t="str">
        <f t="shared" ref="E387:E450" si="22">IF(OR(LEFT(A387,2)="SP",AND(LEFT(A387,1)="X",LEN(A387)&gt;9)),RIGHT(A387,1),"")</f>
        <v/>
      </c>
      <c r="F387" t="str">
        <f t="shared" ref="F387:F450" si="23">IF(LEFT(A387,1)="X",MID(A387,8,2),"")</f>
        <v>CS</v>
      </c>
    </row>
    <row r="388" spans="1:6" x14ac:dyDescent="0.3">
      <c r="A388" t="s">
        <v>1726</v>
      </c>
      <c r="B388">
        <v>1</v>
      </c>
      <c r="D388" t="str">
        <f t="shared" si="21"/>
        <v>0203</v>
      </c>
      <c r="E388" t="str">
        <f t="shared" si="22"/>
        <v/>
      </c>
      <c r="F388" t="str">
        <f t="shared" si="23"/>
        <v>CN</v>
      </c>
    </row>
    <row r="389" spans="1:6" x14ac:dyDescent="0.3">
      <c r="A389" t="s">
        <v>2614</v>
      </c>
      <c r="B389">
        <v>1</v>
      </c>
      <c r="D389" t="str">
        <f t="shared" si="21"/>
        <v>0204</v>
      </c>
      <c r="E389" t="str">
        <f t="shared" si="22"/>
        <v/>
      </c>
      <c r="F389" t="str">
        <f t="shared" si="23"/>
        <v>MS</v>
      </c>
    </row>
    <row r="390" spans="1:6" x14ac:dyDescent="0.3">
      <c r="A390" t="s">
        <v>1729</v>
      </c>
      <c r="B390">
        <v>1</v>
      </c>
      <c r="D390" t="str">
        <f t="shared" si="21"/>
        <v>0205</v>
      </c>
      <c r="E390" t="str">
        <f t="shared" si="22"/>
        <v/>
      </c>
      <c r="F390" t="str">
        <f t="shared" si="23"/>
        <v>BS</v>
      </c>
    </row>
    <row r="391" spans="1:6" x14ac:dyDescent="0.3">
      <c r="A391" t="s">
        <v>2699</v>
      </c>
      <c r="B391">
        <v>1</v>
      </c>
      <c r="D391" t="str">
        <f t="shared" si="21"/>
        <v>0206</v>
      </c>
      <c r="E391" t="str">
        <f t="shared" si="22"/>
        <v/>
      </c>
      <c r="F391" t="str">
        <f t="shared" si="23"/>
        <v>MS</v>
      </c>
    </row>
    <row r="392" spans="1:6" x14ac:dyDescent="0.3">
      <c r="A392" t="s">
        <v>1738</v>
      </c>
      <c r="B392">
        <v>1</v>
      </c>
      <c r="D392" t="str">
        <f t="shared" si="21"/>
        <v>0207</v>
      </c>
      <c r="E392" t="str">
        <f t="shared" si="22"/>
        <v/>
      </c>
      <c r="F392" t="str">
        <f t="shared" si="23"/>
        <v>CS</v>
      </c>
    </row>
    <row r="393" spans="1:6" x14ac:dyDescent="0.3">
      <c r="A393" t="s">
        <v>1739</v>
      </c>
      <c r="B393">
        <v>1</v>
      </c>
      <c r="D393" t="str">
        <f t="shared" si="21"/>
        <v>0208</v>
      </c>
      <c r="E393" t="str">
        <f t="shared" si="22"/>
        <v/>
      </c>
      <c r="F393" t="str">
        <f t="shared" si="23"/>
        <v>BN</v>
      </c>
    </row>
    <row r="394" spans="1:6" x14ac:dyDescent="0.3">
      <c r="A394" t="s">
        <v>1743</v>
      </c>
      <c r="B394">
        <v>1</v>
      </c>
      <c r="D394" t="str">
        <f t="shared" si="21"/>
        <v>0209</v>
      </c>
      <c r="E394" t="str">
        <f t="shared" si="22"/>
        <v/>
      </c>
      <c r="F394" t="str">
        <f t="shared" si="23"/>
        <v>BS</v>
      </c>
    </row>
    <row r="395" spans="1:6" x14ac:dyDescent="0.3">
      <c r="A395" t="s">
        <v>1746</v>
      </c>
      <c r="B395">
        <v>1</v>
      </c>
      <c r="D395" t="str">
        <f t="shared" si="21"/>
        <v>0210</v>
      </c>
      <c r="E395" t="str">
        <f t="shared" si="22"/>
        <v/>
      </c>
      <c r="F395" t="str">
        <f t="shared" si="23"/>
        <v>BI</v>
      </c>
    </row>
    <row r="396" spans="1:6" x14ac:dyDescent="0.3">
      <c r="A396" t="s">
        <v>1750</v>
      </c>
      <c r="B396">
        <v>1</v>
      </c>
      <c r="D396" t="str">
        <f t="shared" si="21"/>
        <v>0211</v>
      </c>
      <c r="E396" t="str">
        <f t="shared" si="22"/>
        <v/>
      </c>
      <c r="F396" t="str">
        <f t="shared" si="23"/>
        <v>BS</v>
      </c>
    </row>
    <row r="397" spans="1:6" x14ac:dyDescent="0.3">
      <c r="A397" t="s">
        <v>1754</v>
      </c>
      <c r="B397">
        <v>1</v>
      </c>
      <c r="D397" t="str">
        <f t="shared" si="21"/>
        <v>0212</v>
      </c>
      <c r="E397" t="str">
        <f t="shared" si="22"/>
        <v/>
      </c>
      <c r="F397" t="str">
        <f t="shared" si="23"/>
        <v>CN</v>
      </c>
    </row>
    <row r="398" spans="1:6" x14ac:dyDescent="0.3">
      <c r="A398" t="s">
        <v>1756</v>
      </c>
      <c r="B398">
        <v>1</v>
      </c>
      <c r="D398" t="str">
        <f t="shared" si="21"/>
        <v>0213</v>
      </c>
      <c r="E398" t="str">
        <f t="shared" si="22"/>
        <v/>
      </c>
      <c r="F398" t="str">
        <f t="shared" si="23"/>
        <v>CN</v>
      </c>
    </row>
    <row r="399" spans="1:6" x14ac:dyDescent="0.3">
      <c r="A399" t="s">
        <v>1759</v>
      </c>
      <c r="B399">
        <v>1</v>
      </c>
      <c r="D399" t="str">
        <f t="shared" si="21"/>
        <v>0214</v>
      </c>
      <c r="E399" t="str">
        <f t="shared" si="22"/>
        <v/>
      </c>
      <c r="F399" t="str">
        <f t="shared" si="23"/>
        <v>CS</v>
      </c>
    </row>
    <row r="400" spans="1:6" x14ac:dyDescent="0.3">
      <c r="A400" t="s">
        <v>1760</v>
      </c>
      <c r="B400">
        <v>1</v>
      </c>
      <c r="D400" t="str">
        <f t="shared" si="21"/>
        <v>0215</v>
      </c>
      <c r="E400" t="str">
        <f t="shared" si="22"/>
        <v/>
      </c>
      <c r="F400" t="str">
        <f t="shared" si="23"/>
        <v>BN</v>
      </c>
    </row>
    <row r="401" spans="1:6" x14ac:dyDescent="0.3">
      <c r="A401" t="s">
        <v>1763</v>
      </c>
      <c r="B401">
        <v>1</v>
      </c>
      <c r="D401" t="str">
        <f t="shared" si="21"/>
        <v>0216</v>
      </c>
      <c r="E401" t="str">
        <f t="shared" si="22"/>
        <v/>
      </c>
      <c r="F401" t="str">
        <f t="shared" si="23"/>
        <v>BS</v>
      </c>
    </row>
    <row r="402" spans="1:6" x14ac:dyDescent="0.3">
      <c r="A402" t="s">
        <v>1767</v>
      </c>
      <c r="B402">
        <v>1</v>
      </c>
      <c r="D402" t="str">
        <f t="shared" si="21"/>
        <v>0217</v>
      </c>
      <c r="E402" t="str">
        <f t="shared" si="22"/>
        <v/>
      </c>
      <c r="F402" t="str">
        <f t="shared" si="23"/>
        <v>CN</v>
      </c>
    </row>
    <row r="403" spans="1:6" x14ac:dyDescent="0.3">
      <c r="A403" t="s">
        <v>1769</v>
      </c>
      <c r="B403">
        <v>1</v>
      </c>
      <c r="D403" t="str">
        <f t="shared" si="21"/>
        <v>0218</v>
      </c>
      <c r="E403" t="str">
        <f t="shared" si="22"/>
        <v/>
      </c>
      <c r="F403" t="str">
        <f t="shared" si="23"/>
        <v>CN</v>
      </c>
    </row>
    <row r="404" spans="1:6" x14ac:dyDescent="0.3">
      <c r="A404" t="s">
        <v>1771</v>
      </c>
      <c r="B404">
        <v>1</v>
      </c>
      <c r="D404" t="str">
        <f t="shared" si="21"/>
        <v>0219</v>
      </c>
      <c r="E404" t="str">
        <f t="shared" si="22"/>
        <v/>
      </c>
      <c r="F404" t="str">
        <f t="shared" si="23"/>
        <v>BI</v>
      </c>
    </row>
    <row r="405" spans="1:6" x14ac:dyDescent="0.3">
      <c r="A405" t="s">
        <v>1775</v>
      </c>
      <c r="B405">
        <v>1</v>
      </c>
      <c r="D405" t="str">
        <f t="shared" si="21"/>
        <v>0220</v>
      </c>
      <c r="E405" t="str">
        <f t="shared" si="22"/>
        <v/>
      </c>
      <c r="F405" t="str">
        <f t="shared" si="23"/>
        <v>BS</v>
      </c>
    </row>
    <row r="406" spans="1:6" x14ac:dyDescent="0.3">
      <c r="A406" t="s">
        <v>1778</v>
      </c>
      <c r="B406">
        <v>1</v>
      </c>
      <c r="D406" t="str">
        <f t="shared" si="21"/>
        <v>0221</v>
      </c>
      <c r="E406" t="str">
        <f t="shared" si="22"/>
        <v/>
      </c>
      <c r="F406" t="str">
        <f t="shared" si="23"/>
        <v>BS</v>
      </c>
    </row>
    <row r="407" spans="1:6" x14ac:dyDescent="0.3">
      <c r="A407" t="s">
        <v>1782</v>
      </c>
      <c r="B407">
        <v>1</v>
      </c>
      <c r="D407" t="str">
        <f t="shared" si="21"/>
        <v>0222</v>
      </c>
      <c r="E407" t="str">
        <f t="shared" si="22"/>
        <v/>
      </c>
      <c r="F407" t="str">
        <f t="shared" si="23"/>
        <v>CS</v>
      </c>
    </row>
    <row r="408" spans="1:6" x14ac:dyDescent="0.3">
      <c r="A408" t="s">
        <v>1784</v>
      </c>
      <c r="B408">
        <v>1</v>
      </c>
      <c r="D408" t="str">
        <f t="shared" si="21"/>
        <v>0223</v>
      </c>
      <c r="E408" t="str">
        <f t="shared" si="22"/>
        <v/>
      </c>
      <c r="F408" t="str">
        <f t="shared" si="23"/>
        <v>CS</v>
      </c>
    </row>
    <row r="409" spans="1:6" x14ac:dyDescent="0.3">
      <c r="A409" t="s">
        <v>1785</v>
      </c>
      <c r="B409">
        <v>1</v>
      </c>
      <c r="D409" t="str">
        <f t="shared" si="21"/>
        <v>0224</v>
      </c>
      <c r="E409" t="str">
        <f t="shared" si="22"/>
        <v/>
      </c>
      <c r="F409" t="str">
        <f t="shared" si="23"/>
        <v>BN</v>
      </c>
    </row>
    <row r="410" spans="1:6" x14ac:dyDescent="0.3">
      <c r="A410" t="s">
        <v>1788</v>
      </c>
      <c r="B410">
        <v>1</v>
      </c>
      <c r="D410" t="str">
        <f t="shared" si="21"/>
        <v>0225</v>
      </c>
      <c r="E410" t="str">
        <f t="shared" si="22"/>
        <v/>
      </c>
      <c r="F410" t="str">
        <f t="shared" si="23"/>
        <v>CN</v>
      </c>
    </row>
    <row r="411" spans="1:6" x14ac:dyDescent="0.3">
      <c r="A411" t="s">
        <v>1790</v>
      </c>
      <c r="B411">
        <v>1</v>
      </c>
      <c r="D411" t="str">
        <f t="shared" si="21"/>
        <v>0226</v>
      </c>
      <c r="E411" t="str">
        <f t="shared" si="22"/>
        <v/>
      </c>
      <c r="F411" t="str">
        <f t="shared" si="23"/>
        <v>BI</v>
      </c>
    </row>
    <row r="412" spans="1:6" x14ac:dyDescent="0.3">
      <c r="A412" t="s">
        <v>1793</v>
      </c>
      <c r="B412">
        <v>1</v>
      </c>
      <c r="D412" t="str">
        <f t="shared" si="21"/>
        <v>0227</v>
      </c>
      <c r="E412" t="str">
        <f t="shared" si="22"/>
        <v/>
      </c>
      <c r="F412" t="str">
        <f t="shared" si="23"/>
        <v>BN</v>
      </c>
    </row>
    <row r="413" spans="1:6" x14ac:dyDescent="0.3">
      <c r="A413" t="s">
        <v>1796</v>
      </c>
      <c r="B413">
        <v>1</v>
      </c>
      <c r="D413" t="str">
        <f t="shared" si="21"/>
        <v>0228</v>
      </c>
      <c r="E413" t="str">
        <f t="shared" si="22"/>
        <v/>
      </c>
      <c r="F413" t="str">
        <f t="shared" si="23"/>
        <v>BS</v>
      </c>
    </row>
    <row r="414" spans="1:6" x14ac:dyDescent="0.3">
      <c r="A414" t="s">
        <v>1799</v>
      </c>
      <c r="B414">
        <v>1</v>
      </c>
      <c r="D414" t="str">
        <f t="shared" si="21"/>
        <v>0229</v>
      </c>
      <c r="E414" t="str">
        <f t="shared" si="22"/>
        <v/>
      </c>
      <c r="F414" t="str">
        <f t="shared" si="23"/>
        <v>BS</v>
      </c>
    </row>
    <row r="415" spans="1:6" x14ac:dyDescent="0.3">
      <c r="A415" t="s">
        <v>1803</v>
      </c>
      <c r="B415">
        <v>1</v>
      </c>
      <c r="D415" t="str">
        <f t="shared" si="21"/>
        <v>0230</v>
      </c>
      <c r="E415" t="str">
        <f t="shared" si="22"/>
        <v/>
      </c>
      <c r="F415" t="str">
        <f t="shared" si="23"/>
        <v>CN</v>
      </c>
    </row>
    <row r="416" spans="1:6" x14ac:dyDescent="0.3">
      <c r="A416" t="s">
        <v>1805</v>
      </c>
      <c r="B416">
        <v>1</v>
      </c>
      <c r="D416" t="str">
        <f t="shared" si="21"/>
        <v>0231</v>
      </c>
      <c r="E416" t="str">
        <f t="shared" si="22"/>
        <v/>
      </c>
      <c r="F416" t="str">
        <f t="shared" si="23"/>
        <v>CN</v>
      </c>
    </row>
    <row r="417" spans="1:6" x14ac:dyDescent="0.3">
      <c r="A417" t="s">
        <v>1807</v>
      </c>
      <c r="B417">
        <v>1</v>
      </c>
      <c r="D417" t="str">
        <f t="shared" si="21"/>
        <v>0232</v>
      </c>
      <c r="E417" t="str">
        <f t="shared" si="22"/>
        <v/>
      </c>
      <c r="F417" t="str">
        <f t="shared" si="23"/>
        <v>BS</v>
      </c>
    </row>
    <row r="418" spans="1:6" x14ac:dyDescent="0.3">
      <c r="A418" t="s">
        <v>1810</v>
      </c>
      <c r="B418">
        <v>1</v>
      </c>
      <c r="D418" t="str">
        <f t="shared" si="21"/>
        <v>0233</v>
      </c>
      <c r="E418" t="str">
        <f t="shared" si="22"/>
        <v/>
      </c>
      <c r="F418" t="str">
        <f t="shared" si="23"/>
        <v>BI</v>
      </c>
    </row>
    <row r="419" spans="1:6" x14ac:dyDescent="0.3">
      <c r="A419" t="s">
        <v>1815</v>
      </c>
      <c r="B419">
        <v>1</v>
      </c>
      <c r="D419" t="str">
        <f t="shared" si="21"/>
        <v>0234</v>
      </c>
      <c r="E419" t="str">
        <f t="shared" si="22"/>
        <v/>
      </c>
      <c r="F419" t="str">
        <f t="shared" si="23"/>
        <v>CN</v>
      </c>
    </row>
    <row r="420" spans="1:6" x14ac:dyDescent="0.3">
      <c r="A420" t="s">
        <v>1817</v>
      </c>
      <c r="B420">
        <v>1</v>
      </c>
      <c r="D420" t="str">
        <f t="shared" si="21"/>
        <v>0235</v>
      </c>
      <c r="E420" t="str">
        <f t="shared" si="22"/>
        <v/>
      </c>
      <c r="F420" t="str">
        <f t="shared" si="23"/>
        <v>CN</v>
      </c>
    </row>
    <row r="421" spans="1:6" x14ac:dyDescent="0.3">
      <c r="A421" t="s">
        <v>1819</v>
      </c>
      <c r="B421">
        <v>1</v>
      </c>
      <c r="D421" t="str">
        <f t="shared" si="21"/>
        <v>0236</v>
      </c>
      <c r="E421" t="str">
        <f t="shared" si="22"/>
        <v/>
      </c>
      <c r="F421" t="str">
        <f t="shared" si="23"/>
        <v>BN</v>
      </c>
    </row>
    <row r="422" spans="1:6" x14ac:dyDescent="0.3">
      <c r="A422" t="s">
        <v>1822</v>
      </c>
      <c r="B422">
        <v>1</v>
      </c>
      <c r="D422" t="str">
        <f t="shared" si="21"/>
        <v>0237</v>
      </c>
      <c r="E422" t="str">
        <f t="shared" si="22"/>
        <v/>
      </c>
      <c r="F422" t="str">
        <f t="shared" si="23"/>
        <v>CN</v>
      </c>
    </row>
    <row r="423" spans="1:6" x14ac:dyDescent="0.3">
      <c r="A423" t="s">
        <v>2615</v>
      </c>
      <c r="B423">
        <v>1</v>
      </c>
      <c r="D423" t="str">
        <f t="shared" si="21"/>
        <v>0238</v>
      </c>
      <c r="E423" t="str">
        <f t="shared" si="22"/>
        <v/>
      </c>
      <c r="F423" t="str">
        <f t="shared" si="23"/>
        <v>MS</v>
      </c>
    </row>
    <row r="424" spans="1:6" x14ac:dyDescent="0.3">
      <c r="A424" t="s">
        <v>2561</v>
      </c>
      <c r="B424">
        <v>1</v>
      </c>
      <c r="D424" t="str">
        <f t="shared" si="21"/>
        <v>0239</v>
      </c>
      <c r="E424" t="str">
        <f t="shared" si="22"/>
        <v/>
      </c>
      <c r="F424" t="str">
        <f t="shared" si="23"/>
        <v>MS</v>
      </c>
    </row>
    <row r="425" spans="1:6" x14ac:dyDescent="0.3">
      <c r="A425" t="s">
        <v>1829</v>
      </c>
      <c r="B425">
        <v>1</v>
      </c>
      <c r="D425" t="str">
        <f t="shared" si="21"/>
        <v>0240</v>
      </c>
      <c r="E425" t="str">
        <f t="shared" si="22"/>
        <v/>
      </c>
      <c r="F425" t="str">
        <f t="shared" si="23"/>
        <v>BS</v>
      </c>
    </row>
    <row r="426" spans="1:6" x14ac:dyDescent="0.3">
      <c r="A426" t="s">
        <v>1833</v>
      </c>
      <c r="B426">
        <v>1</v>
      </c>
      <c r="D426" t="str">
        <f t="shared" si="21"/>
        <v>0241</v>
      </c>
      <c r="E426" t="str">
        <f t="shared" si="22"/>
        <v/>
      </c>
      <c r="F426" t="str">
        <f t="shared" si="23"/>
        <v>CN</v>
      </c>
    </row>
    <row r="427" spans="1:6" x14ac:dyDescent="0.3">
      <c r="A427" t="s">
        <v>1835</v>
      </c>
      <c r="B427">
        <v>1</v>
      </c>
      <c r="D427" t="str">
        <f t="shared" si="21"/>
        <v>0242</v>
      </c>
      <c r="E427" t="str">
        <f t="shared" si="22"/>
        <v/>
      </c>
      <c r="F427" t="str">
        <f t="shared" si="23"/>
        <v>BI</v>
      </c>
    </row>
    <row r="428" spans="1:6" x14ac:dyDescent="0.3">
      <c r="A428" t="s">
        <v>1838</v>
      </c>
      <c r="B428">
        <v>1</v>
      </c>
      <c r="D428" t="str">
        <f t="shared" si="21"/>
        <v>0243</v>
      </c>
      <c r="E428" t="str">
        <f t="shared" si="22"/>
        <v/>
      </c>
      <c r="F428" t="str">
        <f t="shared" si="23"/>
        <v>BN</v>
      </c>
    </row>
    <row r="429" spans="1:6" x14ac:dyDescent="0.3">
      <c r="A429" t="s">
        <v>1841</v>
      </c>
      <c r="B429">
        <v>1</v>
      </c>
      <c r="D429" t="str">
        <f t="shared" si="21"/>
        <v>0244</v>
      </c>
      <c r="E429" t="str">
        <f t="shared" si="22"/>
        <v/>
      </c>
      <c r="F429" t="str">
        <f t="shared" si="23"/>
        <v>BS</v>
      </c>
    </row>
    <row r="430" spans="1:6" x14ac:dyDescent="0.3">
      <c r="A430" t="s">
        <v>1843</v>
      </c>
      <c r="B430">
        <v>1</v>
      </c>
      <c r="D430" t="str">
        <f t="shared" si="21"/>
        <v>0245</v>
      </c>
      <c r="E430" t="str">
        <f t="shared" si="22"/>
        <v/>
      </c>
      <c r="F430" t="str">
        <f t="shared" si="23"/>
        <v>CN</v>
      </c>
    </row>
    <row r="431" spans="1:6" x14ac:dyDescent="0.3">
      <c r="A431" t="s">
        <v>2700</v>
      </c>
      <c r="B431">
        <v>1</v>
      </c>
      <c r="D431" t="str">
        <f t="shared" si="21"/>
        <v>0246</v>
      </c>
      <c r="E431" t="str">
        <f t="shared" si="22"/>
        <v/>
      </c>
      <c r="F431" t="str">
        <f t="shared" si="23"/>
        <v>MS</v>
      </c>
    </row>
    <row r="432" spans="1:6" x14ac:dyDescent="0.3">
      <c r="A432" t="s">
        <v>1848</v>
      </c>
      <c r="B432">
        <v>1</v>
      </c>
      <c r="D432" t="str">
        <f t="shared" si="21"/>
        <v>0247</v>
      </c>
      <c r="E432" t="str">
        <f t="shared" si="22"/>
        <v/>
      </c>
      <c r="F432" t="str">
        <f t="shared" si="23"/>
        <v>CN</v>
      </c>
    </row>
    <row r="433" spans="1:6" x14ac:dyDescent="0.3">
      <c r="A433" t="s">
        <v>1850</v>
      </c>
      <c r="B433">
        <v>1</v>
      </c>
      <c r="D433" t="str">
        <f t="shared" si="21"/>
        <v>0248</v>
      </c>
      <c r="E433" t="str">
        <f t="shared" si="22"/>
        <v/>
      </c>
      <c r="F433" t="str">
        <f t="shared" si="23"/>
        <v>BS</v>
      </c>
    </row>
    <row r="434" spans="1:6" x14ac:dyDescent="0.3">
      <c r="A434" t="s">
        <v>1853</v>
      </c>
      <c r="B434">
        <v>1</v>
      </c>
      <c r="D434" t="str">
        <f t="shared" si="21"/>
        <v>0249</v>
      </c>
      <c r="E434" t="str">
        <f t="shared" si="22"/>
        <v/>
      </c>
      <c r="F434" t="str">
        <f t="shared" si="23"/>
        <v>CN</v>
      </c>
    </row>
    <row r="435" spans="1:6" x14ac:dyDescent="0.3">
      <c r="A435" t="s">
        <v>1855</v>
      </c>
      <c r="B435">
        <v>1</v>
      </c>
      <c r="D435" t="str">
        <f t="shared" si="21"/>
        <v>0250</v>
      </c>
      <c r="E435" t="str">
        <f t="shared" si="22"/>
        <v/>
      </c>
      <c r="F435" t="str">
        <f t="shared" si="23"/>
        <v>BS</v>
      </c>
    </row>
    <row r="436" spans="1:6" x14ac:dyDescent="0.3">
      <c r="A436" t="s">
        <v>1858</v>
      </c>
      <c r="B436">
        <v>1</v>
      </c>
      <c r="D436" t="str">
        <f t="shared" si="21"/>
        <v>0251</v>
      </c>
      <c r="E436" t="str">
        <f t="shared" si="22"/>
        <v/>
      </c>
      <c r="F436" t="str">
        <f t="shared" si="23"/>
        <v>BI</v>
      </c>
    </row>
    <row r="437" spans="1:6" x14ac:dyDescent="0.3">
      <c r="A437" t="s">
        <v>1862</v>
      </c>
      <c r="B437">
        <v>1</v>
      </c>
      <c r="D437" t="str">
        <f t="shared" si="21"/>
        <v>0252</v>
      </c>
      <c r="E437" t="str">
        <f t="shared" si="22"/>
        <v/>
      </c>
      <c r="F437" t="str">
        <f t="shared" si="23"/>
        <v>CS</v>
      </c>
    </row>
    <row r="438" spans="1:6" x14ac:dyDescent="0.3">
      <c r="A438" t="s">
        <v>1863</v>
      </c>
      <c r="B438">
        <v>1</v>
      </c>
      <c r="D438" t="str">
        <f t="shared" si="21"/>
        <v>0253</v>
      </c>
      <c r="E438" t="str">
        <f t="shared" si="22"/>
        <v/>
      </c>
      <c r="F438" t="str">
        <f t="shared" si="23"/>
        <v>CN</v>
      </c>
    </row>
    <row r="439" spans="1:6" x14ac:dyDescent="0.3">
      <c r="A439" t="s">
        <v>1864</v>
      </c>
      <c r="B439">
        <v>1</v>
      </c>
      <c r="D439" t="str">
        <f t="shared" si="21"/>
        <v>0254</v>
      </c>
      <c r="E439" t="str">
        <f t="shared" si="22"/>
        <v/>
      </c>
      <c r="F439" t="str">
        <f t="shared" si="23"/>
        <v>CN</v>
      </c>
    </row>
    <row r="440" spans="1:6" x14ac:dyDescent="0.3">
      <c r="A440" t="s">
        <v>1869</v>
      </c>
      <c r="B440">
        <v>1</v>
      </c>
      <c r="D440" t="str">
        <f t="shared" si="21"/>
        <v>0255</v>
      </c>
      <c r="E440" t="str">
        <f t="shared" si="22"/>
        <v/>
      </c>
      <c r="F440" t="str">
        <f t="shared" si="23"/>
        <v>CS</v>
      </c>
    </row>
    <row r="441" spans="1:6" x14ac:dyDescent="0.3">
      <c r="A441" t="s">
        <v>2583</v>
      </c>
      <c r="B441">
        <v>1</v>
      </c>
      <c r="D441" t="str">
        <f t="shared" si="21"/>
        <v>0256</v>
      </c>
      <c r="E441" t="str">
        <f t="shared" si="22"/>
        <v/>
      </c>
      <c r="F441" t="str">
        <f t="shared" si="23"/>
        <v>MS</v>
      </c>
    </row>
    <row r="442" spans="1:6" x14ac:dyDescent="0.3">
      <c r="A442" t="s">
        <v>1873</v>
      </c>
      <c r="B442">
        <v>1</v>
      </c>
      <c r="D442" t="str">
        <f t="shared" si="21"/>
        <v>0257</v>
      </c>
      <c r="E442" t="str">
        <f t="shared" si="22"/>
        <v/>
      </c>
      <c r="F442" t="str">
        <f t="shared" si="23"/>
        <v>CN</v>
      </c>
    </row>
    <row r="443" spans="1:6" x14ac:dyDescent="0.3">
      <c r="A443" t="s">
        <v>1877</v>
      </c>
      <c r="B443">
        <v>1</v>
      </c>
      <c r="D443" t="str">
        <f t="shared" si="21"/>
        <v>0258</v>
      </c>
      <c r="E443" t="str">
        <f t="shared" si="22"/>
        <v/>
      </c>
      <c r="F443" t="str">
        <f t="shared" si="23"/>
        <v>CS</v>
      </c>
    </row>
    <row r="444" spans="1:6" x14ac:dyDescent="0.3">
      <c r="A444" t="s">
        <v>1878</v>
      </c>
      <c r="B444">
        <v>1</v>
      </c>
      <c r="D444" t="str">
        <f t="shared" si="21"/>
        <v>0259</v>
      </c>
      <c r="E444" t="str">
        <f t="shared" si="22"/>
        <v/>
      </c>
      <c r="F444" t="str">
        <f t="shared" si="23"/>
        <v>CN</v>
      </c>
    </row>
    <row r="445" spans="1:6" x14ac:dyDescent="0.3">
      <c r="A445" t="s">
        <v>2701</v>
      </c>
      <c r="B445">
        <v>1</v>
      </c>
      <c r="D445" t="str">
        <f t="shared" si="21"/>
        <v>0260</v>
      </c>
      <c r="E445" t="str">
        <f t="shared" si="22"/>
        <v/>
      </c>
      <c r="F445" t="str">
        <f t="shared" si="23"/>
        <v>MS</v>
      </c>
    </row>
    <row r="446" spans="1:6" x14ac:dyDescent="0.3">
      <c r="A446" t="s">
        <v>2658</v>
      </c>
      <c r="B446">
        <v>1</v>
      </c>
      <c r="D446" t="str">
        <f t="shared" si="21"/>
        <v>0261</v>
      </c>
      <c r="E446" t="str">
        <f t="shared" si="22"/>
        <v/>
      </c>
      <c r="F446" t="str">
        <f t="shared" si="23"/>
        <v>MS</v>
      </c>
    </row>
    <row r="447" spans="1:6" x14ac:dyDescent="0.3">
      <c r="A447" t="s">
        <v>1885</v>
      </c>
      <c r="B447">
        <v>1</v>
      </c>
      <c r="D447" t="str">
        <f t="shared" si="21"/>
        <v>0262</v>
      </c>
      <c r="E447" t="str">
        <f t="shared" si="22"/>
        <v/>
      </c>
      <c r="F447" t="str">
        <f t="shared" si="23"/>
        <v>BS</v>
      </c>
    </row>
    <row r="448" spans="1:6" x14ac:dyDescent="0.3">
      <c r="A448" t="s">
        <v>1888</v>
      </c>
      <c r="B448">
        <v>1</v>
      </c>
      <c r="D448" t="str">
        <f t="shared" si="21"/>
        <v>0263</v>
      </c>
      <c r="E448" t="str">
        <f t="shared" si="22"/>
        <v/>
      </c>
      <c r="F448" t="str">
        <f t="shared" si="23"/>
        <v>BS</v>
      </c>
    </row>
    <row r="449" spans="1:6" x14ac:dyDescent="0.3">
      <c r="A449" t="s">
        <v>2562</v>
      </c>
      <c r="B449">
        <v>1</v>
      </c>
      <c r="D449" t="str">
        <f t="shared" si="21"/>
        <v>0264</v>
      </c>
      <c r="E449" t="str">
        <f t="shared" si="22"/>
        <v/>
      </c>
      <c r="F449" t="str">
        <f t="shared" si="23"/>
        <v>MS</v>
      </c>
    </row>
    <row r="450" spans="1:6" x14ac:dyDescent="0.3">
      <c r="A450" t="s">
        <v>1893</v>
      </c>
      <c r="B450">
        <v>1</v>
      </c>
      <c r="D450" t="str">
        <f t="shared" si="21"/>
        <v>0265</v>
      </c>
      <c r="E450" t="str">
        <f t="shared" si="22"/>
        <v>1</v>
      </c>
      <c r="F450" t="str">
        <f t="shared" si="23"/>
        <v>BI</v>
      </c>
    </row>
    <row r="451" spans="1:6" x14ac:dyDescent="0.3">
      <c r="A451" t="s">
        <v>1894</v>
      </c>
      <c r="B451">
        <v>1</v>
      </c>
      <c r="D451" t="str">
        <f t="shared" ref="D451:D514" si="24">IF(LEFT(A451,2)="SP",MID(A451,4,4),IF(LEFT(A451,1)="X",MID(A451,3,4),""))</f>
        <v>0265</v>
      </c>
      <c r="E451" t="str">
        <f t="shared" ref="E451:E514" si="25">IF(OR(LEFT(A451,2)="SP",AND(LEFT(A451,1)="X",LEN(A451)&gt;9)),RIGHT(A451,1),"")</f>
        <v>3</v>
      </c>
      <c r="F451" t="str">
        <f t="shared" ref="F451:F514" si="26">IF(LEFT(A451,1)="X",MID(A451,8,2),"")</f>
        <v>BS</v>
      </c>
    </row>
    <row r="452" spans="1:6" x14ac:dyDescent="0.3">
      <c r="A452" t="s">
        <v>2584</v>
      </c>
      <c r="B452">
        <v>1</v>
      </c>
      <c r="D452" t="str">
        <f t="shared" si="24"/>
        <v>0265</v>
      </c>
      <c r="E452" t="str">
        <f t="shared" si="25"/>
        <v>2</v>
      </c>
      <c r="F452" t="str">
        <f t="shared" si="26"/>
        <v>FR</v>
      </c>
    </row>
    <row r="453" spans="1:6" x14ac:dyDescent="0.3">
      <c r="A453" t="s">
        <v>1897</v>
      </c>
      <c r="B453">
        <v>1</v>
      </c>
      <c r="D453" t="str">
        <f t="shared" si="24"/>
        <v>0266</v>
      </c>
      <c r="E453" t="str">
        <f t="shared" si="25"/>
        <v/>
      </c>
      <c r="F453" t="str">
        <f t="shared" si="26"/>
        <v>BN</v>
      </c>
    </row>
    <row r="454" spans="1:6" x14ac:dyDescent="0.3">
      <c r="A454" t="s">
        <v>1901</v>
      </c>
      <c r="B454">
        <v>1</v>
      </c>
      <c r="D454" t="str">
        <f t="shared" si="24"/>
        <v>0267</v>
      </c>
      <c r="E454" t="str">
        <f t="shared" si="25"/>
        <v/>
      </c>
      <c r="F454" t="str">
        <f t="shared" si="26"/>
        <v>CS</v>
      </c>
    </row>
    <row r="455" spans="1:6" x14ac:dyDescent="0.3">
      <c r="A455" t="s">
        <v>1902</v>
      </c>
      <c r="B455">
        <v>1</v>
      </c>
      <c r="D455" t="str">
        <f t="shared" si="24"/>
        <v>0268</v>
      </c>
      <c r="E455" t="str">
        <f t="shared" si="25"/>
        <v>1</v>
      </c>
      <c r="F455" t="str">
        <f t="shared" si="26"/>
        <v>CN</v>
      </c>
    </row>
    <row r="456" spans="1:6" x14ac:dyDescent="0.3">
      <c r="A456" t="s">
        <v>1904</v>
      </c>
      <c r="B456">
        <v>1</v>
      </c>
      <c r="D456" t="str">
        <f t="shared" si="24"/>
        <v>0268</v>
      </c>
      <c r="E456" t="str">
        <f t="shared" si="25"/>
        <v>2</v>
      </c>
      <c r="F456" t="str">
        <f t="shared" si="26"/>
        <v>CR</v>
      </c>
    </row>
    <row r="457" spans="1:6" x14ac:dyDescent="0.3">
      <c r="A457" t="s">
        <v>2621</v>
      </c>
      <c r="B457">
        <v>1</v>
      </c>
      <c r="D457" t="str">
        <f t="shared" si="24"/>
        <v>0268</v>
      </c>
      <c r="E457" t="str">
        <f t="shared" si="25"/>
        <v>3</v>
      </c>
      <c r="F457" t="str">
        <f t="shared" si="26"/>
        <v>MS</v>
      </c>
    </row>
    <row r="458" spans="1:6" x14ac:dyDescent="0.3">
      <c r="A458" t="s">
        <v>2702</v>
      </c>
      <c r="B458">
        <v>1</v>
      </c>
      <c r="D458" t="str">
        <f t="shared" si="24"/>
        <v>0269</v>
      </c>
      <c r="E458" t="str">
        <f t="shared" si="25"/>
        <v/>
      </c>
      <c r="F458" t="str">
        <f t="shared" si="26"/>
        <v>MS</v>
      </c>
    </row>
    <row r="459" spans="1:6" x14ac:dyDescent="0.3">
      <c r="A459" t="s">
        <v>1908</v>
      </c>
      <c r="B459">
        <v>1</v>
      </c>
      <c r="D459" t="str">
        <f t="shared" si="24"/>
        <v>0270</v>
      </c>
      <c r="E459" t="str">
        <f t="shared" si="25"/>
        <v>2</v>
      </c>
      <c r="F459" t="str">
        <f t="shared" si="26"/>
        <v>BI</v>
      </c>
    </row>
    <row r="460" spans="1:6" x14ac:dyDescent="0.3">
      <c r="A460" t="s">
        <v>1909</v>
      </c>
      <c r="B460">
        <v>1</v>
      </c>
      <c r="D460" t="str">
        <f t="shared" si="24"/>
        <v>0270</v>
      </c>
      <c r="E460" t="str">
        <f t="shared" si="25"/>
        <v>1</v>
      </c>
      <c r="F460" t="str">
        <f t="shared" si="26"/>
        <v>CN</v>
      </c>
    </row>
    <row r="461" spans="1:6" x14ac:dyDescent="0.3">
      <c r="A461" t="s">
        <v>2564</v>
      </c>
      <c r="B461">
        <v>1</v>
      </c>
      <c r="D461" t="str">
        <f t="shared" si="24"/>
        <v>0270</v>
      </c>
      <c r="E461" t="str">
        <f t="shared" si="25"/>
        <v>3</v>
      </c>
      <c r="F461" t="str">
        <f t="shared" si="26"/>
        <v>MS</v>
      </c>
    </row>
    <row r="462" spans="1:6" x14ac:dyDescent="0.3">
      <c r="A462" t="s">
        <v>1911</v>
      </c>
      <c r="B462">
        <v>1</v>
      </c>
      <c r="D462" t="str">
        <f t="shared" si="24"/>
        <v>0271</v>
      </c>
      <c r="E462" t="str">
        <f t="shared" si="25"/>
        <v>3</v>
      </c>
      <c r="F462" t="str">
        <f t="shared" si="26"/>
        <v>BI</v>
      </c>
    </row>
    <row r="463" spans="1:6" x14ac:dyDescent="0.3">
      <c r="A463" t="s">
        <v>1913</v>
      </c>
      <c r="B463">
        <v>1</v>
      </c>
      <c r="D463" t="str">
        <f t="shared" si="24"/>
        <v>0271</v>
      </c>
      <c r="E463" t="str">
        <f t="shared" si="25"/>
        <v>1</v>
      </c>
      <c r="F463" t="str">
        <f t="shared" si="26"/>
        <v>CN</v>
      </c>
    </row>
    <row r="464" spans="1:6" x14ac:dyDescent="0.3">
      <c r="A464" t="s">
        <v>1915</v>
      </c>
      <c r="B464">
        <v>1</v>
      </c>
      <c r="D464" t="str">
        <f t="shared" si="24"/>
        <v>0271</v>
      </c>
      <c r="E464" t="str">
        <f t="shared" si="25"/>
        <v>2</v>
      </c>
      <c r="F464" t="str">
        <f t="shared" si="26"/>
        <v>CR</v>
      </c>
    </row>
    <row r="465" spans="1:6" x14ac:dyDescent="0.3">
      <c r="A465" t="s">
        <v>1917</v>
      </c>
      <c r="B465">
        <v>1</v>
      </c>
      <c r="D465" t="str">
        <f t="shared" si="24"/>
        <v>0272</v>
      </c>
      <c r="E465" t="str">
        <f t="shared" si="25"/>
        <v>3</v>
      </c>
      <c r="F465" t="str">
        <f t="shared" si="26"/>
        <v>BN</v>
      </c>
    </row>
    <row r="466" spans="1:6" x14ac:dyDescent="0.3">
      <c r="A466" t="s">
        <v>1919</v>
      </c>
      <c r="B466">
        <v>1</v>
      </c>
      <c r="D466" t="str">
        <f t="shared" si="24"/>
        <v>0272</v>
      </c>
      <c r="E466" t="str">
        <f t="shared" si="25"/>
        <v>1</v>
      </c>
      <c r="F466" t="str">
        <f t="shared" si="26"/>
        <v>CN</v>
      </c>
    </row>
    <row r="467" spans="1:6" x14ac:dyDescent="0.3">
      <c r="A467" t="s">
        <v>1921</v>
      </c>
      <c r="B467">
        <v>1</v>
      </c>
      <c r="D467" t="str">
        <f t="shared" si="24"/>
        <v>0272</v>
      </c>
      <c r="E467" t="str">
        <f t="shared" si="25"/>
        <v>2</v>
      </c>
      <c r="F467" t="str">
        <f t="shared" si="26"/>
        <v>CR</v>
      </c>
    </row>
    <row r="468" spans="1:6" x14ac:dyDescent="0.3">
      <c r="A468" t="s">
        <v>1922</v>
      </c>
      <c r="B468">
        <v>1</v>
      </c>
      <c r="D468" t="str">
        <f t="shared" si="24"/>
        <v>0273</v>
      </c>
      <c r="E468" t="str">
        <f t="shared" si="25"/>
        <v/>
      </c>
      <c r="F468" t="str">
        <f t="shared" si="26"/>
        <v>BS</v>
      </c>
    </row>
    <row r="469" spans="1:6" x14ac:dyDescent="0.3">
      <c r="A469" t="s">
        <v>1924</v>
      </c>
      <c r="B469">
        <v>1</v>
      </c>
      <c r="D469" t="str">
        <f t="shared" si="24"/>
        <v>0274</v>
      </c>
      <c r="E469" t="str">
        <f t="shared" si="25"/>
        <v/>
      </c>
      <c r="F469" t="str">
        <f t="shared" si="26"/>
        <v>CN</v>
      </c>
    </row>
    <row r="470" spans="1:6" x14ac:dyDescent="0.3">
      <c r="A470" t="s">
        <v>1926</v>
      </c>
      <c r="B470">
        <v>1</v>
      </c>
      <c r="D470" t="str">
        <f t="shared" si="24"/>
        <v>0275</v>
      </c>
      <c r="E470" t="str">
        <f t="shared" si="25"/>
        <v/>
      </c>
      <c r="F470" t="str">
        <f t="shared" si="26"/>
        <v>BS</v>
      </c>
    </row>
    <row r="471" spans="1:6" x14ac:dyDescent="0.3">
      <c r="A471" t="s">
        <v>1927</v>
      </c>
      <c r="B471">
        <v>1</v>
      </c>
      <c r="D471" t="str">
        <f t="shared" si="24"/>
        <v>0276</v>
      </c>
      <c r="E471" t="str">
        <f t="shared" si="25"/>
        <v/>
      </c>
      <c r="F471" t="str">
        <f t="shared" si="26"/>
        <v>CN</v>
      </c>
    </row>
    <row r="472" spans="1:6" x14ac:dyDescent="0.3">
      <c r="A472" t="s">
        <v>1929</v>
      </c>
      <c r="B472">
        <v>1</v>
      </c>
      <c r="D472" t="str">
        <f t="shared" si="24"/>
        <v>0277</v>
      </c>
      <c r="E472" t="str">
        <f t="shared" si="25"/>
        <v/>
      </c>
      <c r="F472" t="str">
        <f t="shared" si="26"/>
        <v>CN</v>
      </c>
    </row>
    <row r="473" spans="1:6" x14ac:dyDescent="0.3">
      <c r="A473" t="s">
        <v>1932</v>
      </c>
      <c r="B473">
        <v>1</v>
      </c>
      <c r="D473" t="str">
        <f t="shared" si="24"/>
        <v>0278</v>
      </c>
      <c r="E473" t="str">
        <f t="shared" si="25"/>
        <v/>
      </c>
      <c r="F473" t="str">
        <f t="shared" si="26"/>
        <v>CN</v>
      </c>
    </row>
    <row r="474" spans="1:6" x14ac:dyDescent="0.3">
      <c r="A474" t="s">
        <v>1934</v>
      </c>
      <c r="B474">
        <v>1</v>
      </c>
      <c r="D474" t="str">
        <f t="shared" si="24"/>
        <v>0279</v>
      </c>
      <c r="E474" t="str">
        <f t="shared" si="25"/>
        <v/>
      </c>
      <c r="F474" t="str">
        <f t="shared" si="26"/>
        <v>CN</v>
      </c>
    </row>
    <row r="475" spans="1:6" x14ac:dyDescent="0.3">
      <c r="A475" t="s">
        <v>1938</v>
      </c>
      <c r="B475">
        <v>1</v>
      </c>
      <c r="D475" t="str">
        <f t="shared" si="24"/>
        <v>0280</v>
      </c>
      <c r="E475" t="str">
        <f t="shared" si="25"/>
        <v/>
      </c>
      <c r="F475" t="str">
        <f t="shared" si="26"/>
        <v>DN</v>
      </c>
    </row>
    <row r="476" spans="1:6" x14ac:dyDescent="0.3">
      <c r="A476" t="s">
        <v>1939</v>
      </c>
      <c r="B476">
        <v>1</v>
      </c>
      <c r="D476" t="str">
        <f t="shared" si="24"/>
        <v>0281</v>
      </c>
      <c r="E476" t="str">
        <f t="shared" si="25"/>
        <v/>
      </c>
      <c r="F476" t="str">
        <f t="shared" si="26"/>
        <v>CN</v>
      </c>
    </row>
    <row r="477" spans="1:6" x14ac:dyDescent="0.3">
      <c r="A477" t="s">
        <v>1941</v>
      </c>
      <c r="B477">
        <v>1</v>
      </c>
      <c r="D477" t="str">
        <f t="shared" si="24"/>
        <v>0282</v>
      </c>
      <c r="E477" t="str">
        <f t="shared" si="25"/>
        <v/>
      </c>
      <c r="F477" t="str">
        <f t="shared" si="26"/>
        <v>CN</v>
      </c>
    </row>
    <row r="478" spans="1:6" x14ac:dyDescent="0.3">
      <c r="A478" t="s">
        <v>1943</v>
      </c>
      <c r="B478">
        <v>1</v>
      </c>
      <c r="D478" t="str">
        <f t="shared" si="24"/>
        <v>0283</v>
      </c>
      <c r="E478" t="str">
        <f t="shared" si="25"/>
        <v/>
      </c>
      <c r="F478" t="str">
        <f t="shared" si="26"/>
        <v>CN</v>
      </c>
    </row>
    <row r="479" spans="1:6" x14ac:dyDescent="0.3">
      <c r="A479" t="s">
        <v>2703</v>
      </c>
      <c r="B479">
        <v>1</v>
      </c>
      <c r="D479" t="str">
        <f t="shared" si="24"/>
        <v>0284</v>
      </c>
      <c r="E479" t="str">
        <f t="shared" si="25"/>
        <v/>
      </c>
      <c r="F479" t="str">
        <f t="shared" si="26"/>
        <v>MS</v>
      </c>
    </row>
    <row r="480" spans="1:6" x14ac:dyDescent="0.3">
      <c r="A480" t="s">
        <v>1947</v>
      </c>
      <c r="B480">
        <v>1</v>
      </c>
      <c r="D480" t="str">
        <f t="shared" si="24"/>
        <v>0285</v>
      </c>
      <c r="E480" t="str">
        <f t="shared" si="25"/>
        <v/>
      </c>
      <c r="F480" t="str">
        <f t="shared" si="26"/>
        <v>CN</v>
      </c>
    </row>
    <row r="481" spans="1:6" x14ac:dyDescent="0.3">
      <c r="A481" t="s">
        <v>1950</v>
      </c>
      <c r="B481">
        <v>1</v>
      </c>
      <c r="D481" t="str">
        <f t="shared" si="24"/>
        <v>0286</v>
      </c>
      <c r="E481" t="str">
        <f t="shared" si="25"/>
        <v/>
      </c>
      <c r="F481" t="str">
        <f t="shared" si="26"/>
        <v>CN</v>
      </c>
    </row>
    <row r="482" spans="1:6" x14ac:dyDescent="0.3">
      <c r="A482" t="s">
        <v>1954</v>
      </c>
      <c r="B482">
        <v>1</v>
      </c>
      <c r="D482" t="str">
        <f t="shared" si="24"/>
        <v>0287</v>
      </c>
      <c r="E482" t="str">
        <f t="shared" si="25"/>
        <v/>
      </c>
      <c r="F482" t="str">
        <f t="shared" si="26"/>
        <v>DS</v>
      </c>
    </row>
    <row r="483" spans="1:6" x14ac:dyDescent="0.3">
      <c r="A483" t="s">
        <v>1955</v>
      </c>
      <c r="B483">
        <v>1</v>
      </c>
      <c r="D483" t="str">
        <f t="shared" si="24"/>
        <v>0288</v>
      </c>
      <c r="E483" t="str">
        <f t="shared" si="25"/>
        <v/>
      </c>
      <c r="F483" t="str">
        <f t="shared" si="26"/>
        <v>CN</v>
      </c>
    </row>
    <row r="484" spans="1:6" x14ac:dyDescent="0.3">
      <c r="A484" t="s">
        <v>1957</v>
      </c>
      <c r="B484">
        <v>1</v>
      </c>
      <c r="D484" t="str">
        <f t="shared" si="24"/>
        <v>0289</v>
      </c>
      <c r="E484" t="str">
        <f t="shared" si="25"/>
        <v/>
      </c>
      <c r="F484" t="str">
        <f t="shared" si="26"/>
        <v>CN</v>
      </c>
    </row>
    <row r="485" spans="1:6" x14ac:dyDescent="0.3">
      <c r="A485" t="s">
        <v>1959</v>
      </c>
      <c r="B485">
        <v>1</v>
      </c>
      <c r="D485" t="str">
        <f t="shared" si="24"/>
        <v>0290</v>
      </c>
      <c r="E485" t="str">
        <f t="shared" si="25"/>
        <v/>
      </c>
      <c r="F485" t="str">
        <f t="shared" si="26"/>
        <v>CN</v>
      </c>
    </row>
    <row r="486" spans="1:6" x14ac:dyDescent="0.3">
      <c r="A486" t="s">
        <v>1961</v>
      </c>
      <c r="B486">
        <v>1</v>
      </c>
      <c r="D486" t="str">
        <f t="shared" si="24"/>
        <v>0291</v>
      </c>
      <c r="E486" t="str">
        <f t="shared" si="25"/>
        <v/>
      </c>
      <c r="F486" t="str">
        <f t="shared" si="26"/>
        <v>CN</v>
      </c>
    </row>
    <row r="487" spans="1:6" x14ac:dyDescent="0.3">
      <c r="A487" t="s">
        <v>1963</v>
      </c>
      <c r="B487">
        <v>1</v>
      </c>
      <c r="D487" t="str">
        <f t="shared" si="24"/>
        <v>0292</v>
      </c>
      <c r="E487" t="str">
        <f t="shared" si="25"/>
        <v/>
      </c>
      <c r="F487" t="str">
        <f t="shared" si="26"/>
        <v>CN</v>
      </c>
    </row>
    <row r="488" spans="1:6" x14ac:dyDescent="0.3">
      <c r="A488" t="s">
        <v>1965</v>
      </c>
      <c r="B488">
        <v>1</v>
      </c>
      <c r="D488" t="str">
        <f t="shared" si="24"/>
        <v>0293</v>
      </c>
      <c r="E488" t="str">
        <f t="shared" si="25"/>
        <v/>
      </c>
      <c r="F488" t="str">
        <f t="shared" si="26"/>
        <v>CN</v>
      </c>
    </row>
    <row r="489" spans="1:6" x14ac:dyDescent="0.3">
      <c r="A489" t="s">
        <v>1967</v>
      </c>
      <c r="B489">
        <v>1</v>
      </c>
      <c r="D489" t="str">
        <f t="shared" si="24"/>
        <v>0294</v>
      </c>
      <c r="E489" t="str">
        <f t="shared" si="25"/>
        <v/>
      </c>
      <c r="F489" t="str">
        <f t="shared" si="26"/>
        <v>CN</v>
      </c>
    </row>
    <row r="490" spans="1:6" x14ac:dyDescent="0.3">
      <c r="A490" t="s">
        <v>1969</v>
      </c>
      <c r="B490">
        <v>1</v>
      </c>
      <c r="D490" t="str">
        <f t="shared" si="24"/>
        <v>0295</v>
      </c>
      <c r="E490" t="str">
        <f t="shared" si="25"/>
        <v/>
      </c>
      <c r="F490" t="str">
        <f t="shared" si="26"/>
        <v>CN</v>
      </c>
    </row>
    <row r="491" spans="1:6" x14ac:dyDescent="0.3">
      <c r="A491" t="s">
        <v>2704</v>
      </c>
      <c r="B491">
        <v>1</v>
      </c>
      <c r="D491" t="str">
        <f t="shared" si="24"/>
        <v>0296</v>
      </c>
      <c r="E491" t="str">
        <f t="shared" si="25"/>
        <v/>
      </c>
      <c r="F491" t="str">
        <f t="shared" si="26"/>
        <v>MS</v>
      </c>
    </row>
    <row r="492" spans="1:6" x14ac:dyDescent="0.3">
      <c r="A492" t="s">
        <v>1973</v>
      </c>
      <c r="B492">
        <v>1</v>
      </c>
      <c r="D492" t="str">
        <f t="shared" si="24"/>
        <v>0297</v>
      </c>
      <c r="E492" t="str">
        <f t="shared" si="25"/>
        <v/>
      </c>
      <c r="F492" t="str">
        <f t="shared" si="26"/>
        <v>CN</v>
      </c>
    </row>
    <row r="493" spans="1:6" x14ac:dyDescent="0.3">
      <c r="A493" t="s">
        <v>1976</v>
      </c>
      <c r="B493">
        <v>1</v>
      </c>
      <c r="D493" t="str">
        <f t="shared" si="24"/>
        <v>0298</v>
      </c>
      <c r="E493" t="str">
        <f t="shared" si="25"/>
        <v/>
      </c>
      <c r="F493" t="str">
        <f t="shared" si="26"/>
        <v>CN</v>
      </c>
    </row>
    <row r="494" spans="1:6" x14ac:dyDescent="0.3">
      <c r="A494" t="s">
        <v>1980</v>
      </c>
      <c r="B494">
        <v>1</v>
      </c>
      <c r="D494" t="str">
        <f t="shared" si="24"/>
        <v>0299</v>
      </c>
      <c r="E494" t="str">
        <f t="shared" si="25"/>
        <v/>
      </c>
      <c r="F494" t="str">
        <f t="shared" si="26"/>
        <v>DS</v>
      </c>
    </row>
    <row r="495" spans="1:6" x14ac:dyDescent="0.3">
      <c r="A495" t="s">
        <v>1981</v>
      </c>
      <c r="B495">
        <v>1</v>
      </c>
      <c r="D495" t="str">
        <f t="shared" si="24"/>
        <v>0300</v>
      </c>
      <c r="E495" t="str">
        <f t="shared" si="25"/>
        <v/>
      </c>
      <c r="F495" t="str">
        <f t="shared" si="26"/>
        <v>CN</v>
      </c>
    </row>
    <row r="496" spans="1:6" x14ac:dyDescent="0.3">
      <c r="A496" t="s">
        <v>1985</v>
      </c>
      <c r="B496">
        <v>1</v>
      </c>
      <c r="D496" t="str">
        <f t="shared" si="24"/>
        <v>0301</v>
      </c>
      <c r="E496" t="str">
        <f t="shared" si="25"/>
        <v/>
      </c>
      <c r="F496" t="str">
        <f t="shared" si="26"/>
        <v>DN</v>
      </c>
    </row>
    <row r="497" spans="1:6" x14ac:dyDescent="0.3">
      <c r="A497" t="s">
        <v>1986</v>
      </c>
      <c r="B497">
        <v>1</v>
      </c>
      <c r="D497" t="str">
        <f t="shared" si="24"/>
        <v>0302</v>
      </c>
      <c r="E497" t="str">
        <f t="shared" si="25"/>
        <v/>
      </c>
      <c r="F497" t="str">
        <f t="shared" si="26"/>
        <v>CN</v>
      </c>
    </row>
    <row r="498" spans="1:6" x14ac:dyDescent="0.3">
      <c r="A498" t="s">
        <v>1989</v>
      </c>
      <c r="B498">
        <v>1</v>
      </c>
      <c r="D498" t="str">
        <f t="shared" si="24"/>
        <v>0303</v>
      </c>
      <c r="E498" t="str">
        <f t="shared" si="25"/>
        <v/>
      </c>
      <c r="F498" t="str">
        <f t="shared" si="26"/>
        <v>CN</v>
      </c>
    </row>
    <row r="499" spans="1:6" x14ac:dyDescent="0.3">
      <c r="A499" t="s">
        <v>1991</v>
      </c>
      <c r="B499">
        <v>1</v>
      </c>
      <c r="D499" t="str">
        <f t="shared" si="24"/>
        <v>0304</v>
      </c>
      <c r="E499" t="str">
        <f t="shared" si="25"/>
        <v/>
      </c>
      <c r="F499" t="str">
        <f t="shared" si="26"/>
        <v>CN</v>
      </c>
    </row>
    <row r="500" spans="1:6" x14ac:dyDescent="0.3">
      <c r="A500" t="s">
        <v>1994</v>
      </c>
      <c r="B500">
        <v>1</v>
      </c>
      <c r="D500" t="str">
        <f t="shared" si="24"/>
        <v>0305</v>
      </c>
      <c r="E500" t="str">
        <f t="shared" si="25"/>
        <v/>
      </c>
      <c r="F500" t="str">
        <f t="shared" si="26"/>
        <v>CN</v>
      </c>
    </row>
    <row r="501" spans="1:6" x14ac:dyDescent="0.3">
      <c r="A501" t="s">
        <v>1996</v>
      </c>
      <c r="B501">
        <v>1</v>
      </c>
      <c r="D501" t="str">
        <f t="shared" si="24"/>
        <v>0306</v>
      </c>
      <c r="E501" t="str">
        <f t="shared" si="25"/>
        <v/>
      </c>
      <c r="F501" t="str">
        <f t="shared" si="26"/>
        <v>CN</v>
      </c>
    </row>
    <row r="502" spans="1:6" x14ac:dyDescent="0.3">
      <c r="A502" t="s">
        <v>1998</v>
      </c>
      <c r="B502">
        <v>1</v>
      </c>
      <c r="D502" t="str">
        <f t="shared" si="24"/>
        <v>0307</v>
      </c>
      <c r="E502" t="str">
        <f t="shared" si="25"/>
        <v/>
      </c>
      <c r="F502" t="str">
        <f t="shared" si="26"/>
        <v>CN</v>
      </c>
    </row>
    <row r="503" spans="1:6" x14ac:dyDescent="0.3">
      <c r="A503" t="s">
        <v>2000</v>
      </c>
      <c r="B503">
        <v>1</v>
      </c>
      <c r="D503" t="str">
        <f t="shared" si="24"/>
        <v>0308</v>
      </c>
      <c r="E503" t="str">
        <f t="shared" si="25"/>
        <v/>
      </c>
      <c r="F503" t="str">
        <f t="shared" si="26"/>
        <v>CN</v>
      </c>
    </row>
    <row r="504" spans="1:6" x14ac:dyDescent="0.3">
      <c r="A504" t="s">
        <v>2002</v>
      </c>
      <c r="B504">
        <v>1</v>
      </c>
      <c r="D504" t="str">
        <f t="shared" si="24"/>
        <v>0309</v>
      </c>
      <c r="E504" t="str">
        <f t="shared" si="25"/>
        <v/>
      </c>
      <c r="F504" t="str">
        <f t="shared" si="26"/>
        <v>CN</v>
      </c>
    </row>
    <row r="505" spans="1:6" x14ac:dyDescent="0.3">
      <c r="A505" t="s">
        <v>2006</v>
      </c>
      <c r="B505">
        <v>1</v>
      </c>
      <c r="D505" t="str">
        <f t="shared" si="24"/>
        <v>0310</v>
      </c>
      <c r="E505" t="str">
        <f t="shared" si="25"/>
        <v/>
      </c>
      <c r="F505" t="str">
        <f t="shared" si="26"/>
        <v>CS</v>
      </c>
    </row>
    <row r="506" spans="1:6" x14ac:dyDescent="0.3">
      <c r="A506" t="s">
        <v>2007</v>
      </c>
      <c r="B506">
        <v>1</v>
      </c>
      <c r="D506" t="str">
        <f t="shared" si="24"/>
        <v>0311</v>
      </c>
      <c r="E506" t="str">
        <f t="shared" si="25"/>
        <v/>
      </c>
      <c r="F506" t="str">
        <f t="shared" si="26"/>
        <v>CN</v>
      </c>
    </row>
    <row r="507" spans="1:6" x14ac:dyDescent="0.3">
      <c r="A507" t="s">
        <v>2011</v>
      </c>
      <c r="B507">
        <v>1</v>
      </c>
      <c r="D507" t="str">
        <f t="shared" si="24"/>
        <v>0312</v>
      </c>
      <c r="E507" t="str">
        <f t="shared" si="25"/>
        <v/>
      </c>
      <c r="F507" t="str">
        <f t="shared" si="26"/>
        <v>CS</v>
      </c>
    </row>
    <row r="508" spans="1:6" x14ac:dyDescent="0.3">
      <c r="A508" t="s">
        <v>2013</v>
      </c>
      <c r="B508">
        <v>1</v>
      </c>
      <c r="D508" t="str">
        <f t="shared" si="24"/>
        <v>0313</v>
      </c>
      <c r="E508" t="str">
        <f t="shared" si="25"/>
        <v>3</v>
      </c>
      <c r="F508" t="str">
        <f t="shared" si="26"/>
        <v>CN</v>
      </c>
    </row>
    <row r="509" spans="1:6" x14ac:dyDescent="0.3">
      <c r="A509" t="s">
        <v>2015</v>
      </c>
      <c r="B509">
        <v>1</v>
      </c>
      <c r="D509" t="str">
        <f t="shared" si="24"/>
        <v>0313</v>
      </c>
      <c r="E509" t="str">
        <f t="shared" si="25"/>
        <v>2</v>
      </c>
      <c r="F509" t="str">
        <f t="shared" si="26"/>
        <v>CR</v>
      </c>
    </row>
    <row r="510" spans="1:6" x14ac:dyDescent="0.3">
      <c r="A510" t="s">
        <v>2705</v>
      </c>
      <c r="B510">
        <v>1</v>
      </c>
      <c r="D510" t="str">
        <f t="shared" si="24"/>
        <v>0313</v>
      </c>
      <c r="E510" t="str">
        <f t="shared" si="25"/>
        <v>1</v>
      </c>
      <c r="F510" t="str">
        <f t="shared" si="26"/>
        <v>MS</v>
      </c>
    </row>
    <row r="511" spans="1:6" x14ac:dyDescent="0.3">
      <c r="A511" t="s">
        <v>2017</v>
      </c>
      <c r="B511">
        <v>1</v>
      </c>
      <c r="D511" t="str">
        <f t="shared" si="24"/>
        <v>0314</v>
      </c>
      <c r="E511" t="str">
        <f t="shared" si="25"/>
        <v>1</v>
      </c>
      <c r="F511" t="str">
        <f t="shared" si="26"/>
        <v>CN</v>
      </c>
    </row>
    <row r="512" spans="1:6" x14ac:dyDescent="0.3">
      <c r="A512" t="s">
        <v>2019</v>
      </c>
      <c r="B512">
        <v>1</v>
      </c>
      <c r="D512" t="str">
        <f t="shared" si="24"/>
        <v>0314</v>
      </c>
      <c r="E512" t="str">
        <f t="shared" si="25"/>
        <v>2</v>
      </c>
      <c r="F512" t="str">
        <f t="shared" si="26"/>
        <v>CR</v>
      </c>
    </row>
    <row r="513" spans="1:6" x14ac:dyDescent="0.3">
      <c r="A513" t="s">
        <v>2021</v>
      </c>
      <c r="B513">
        <v>1</v>
      </c>
      <c r="D513" t="str">
        <f t="shared" si="24"/>
        <v>0314</v>
      </c>
      <c r="E513" t="str">
        <f t="shared" si="25"/>
        <v>3</v>
      </c>
      <c r="F513" t="str">
        <f t="shared" si="26"/>
        <v>CS</v>
      </c>
    </row>
    <row r="514" spans="1:6" x14ac:dyDescent="0.3">
      <c r="A514" t="s">
        <v>2024</v>
      </c>
      <c r="B514">
        <v>1</v>
      </c>
      <c r="D514" t="str">
        <f t="shared" si="24"/>
        <v>0315</v>
      </c>
      <c r="E514" t="str">
        <f t="shared" si="25"/>
        <v>3</v>
      </c>
      <c r="F514" t="str">
        <f t="shared" si="26"/>
        <v>CN</v>
      </c>
    </row>
    <row r="515" spans="1:6" x14ac:dyDescent="0.3">
      <c r="A515" t="s">
        <v>2026</v>
      </c>
      <c r="B515">
        <v>1</v>
      </c>
      <c r="D515" t="str">
        <f t="shared" ref="D515:D578" si="27">IF(LEFT(A515,2)="SP",MID(A515,4,4),IF(LEFT(A515,1)="X",MID(A515,3,4),""))</f>
        <v>0315</v>
      </c>
      <c r="E515" t="str">
        <f t="shared" ref="E515:E578" si="28">IF(OR(LEFT(A515,2)="SP",AND(LEFT(A515,1)="X",LEN(A515)&gt;9)),RIGHT(A515,1),"")</f>
        <v>2</v>
      </c>
      <c r="F515" t="str">
        <f t="shared" ref="F515:F578" si="29">IF(LEFT(A515,1)="X",MID(A515,8,2),"")</f>
        <v>CR</v>
      </c>
    </row>
    <row r="516" spans="1:6" x14ac:dyDescent="0.3">
      <c r="A516" t="s">
        <v>2027</v>
      </c>
      <c r="B516">
        <v>1</v>
      </c>
      <c r="D516" t="str">
        <f t="shared" si="27"/>
        <v>0315</v>
      </c>
      <c r="E516" t="str">
        <f t="shared" si="28"/>
        <v>1</v>
      </c>
      <c r="F516" t="str">
        <f t="shared" si="29"/>
        <v>CS</v>
      </c>
    </row>
    <row r="517" spans="1:6" x14ac:dyDescent="0.3">
      <c r="A517" t="s">
        <v>2031</v>
      </c>
      <c r="B517">
        <v>1</v>
      </c>
      <c r="D517" t="str">
        <f t="shared" si="27"/>
        <v>0316</v>
      </c>
      <c r="E517" t="str">
        <f t="shared" si="28"/>
        <v>2</v>
      </c>
      <c r="F517" t="str">
        <f t="shared" si="29"/>
        <v>CR</v>
      </c>
    </row>
    <row r="518" spans="1:6" x14ac:dyDescent="0.3">
      <c r="A518" t="s">
        <v>2033</v>
      </c>
      <c r="B518">
        <v>1</v>
      </c>
      <c r="D518" t="str">
        <f t="shared" si="27"/>
        <v>0316</v>
      </c>
      <c r="E518" t="str">
        <f t="shared" si="28"/>
        <v>3</v>
      </c>
      <c r="F518" t="str">
        <f t="shared" si="29"/>
        <v>CS</v>
      </c>
    </row>
    <row r="519" spans="1:6" x14ac:dyDescent="0.3">
      <c r="A519" t="s">
        <v>2706</v>
      </c>
      <c r="B519">
        <v>1</v>
      </c>
      <c r="D519" t="str">
        <f t="shared" si="27"/>
        <v>0316</v>
      </c>
      <c r="E519" t="str">
        <f t="shared" si="28"/>
        <v>1</v>
      </c>
      <c r="F519" t="str">
        <f t="shared" si="29"/>
        <v>MS</v>
      </c>
    </row>
    <row r="520" spans="1:6" x14ac:dyDescent="0.3">
      <c r="A520" t="s">
        <v>2036</v>
      </c>
      <c r="B520">
        <v>1</v>
      </c>
      <c r="D520" t="str">
        <f t="shared" si="27"/>
        <v>0317</v>
      </c>
      <c r="E520" t="str">
        <f t="shared" si="28"/>
        <v/>
      </c>
      <c r="F520" t="str">
        <f t="shared" si="29"/>
        <v>DS</v>
      </c>
    </row>
    <row r="521" spans="1:6" x14ac:dyDescent="0.3">
      <c r="A521" t="s">
        <v>2625</v>
      </c>
      <c r="B521">
        <v>1</v>
      </c>
      <c r="D521" t="str">
        <f t="shared" si="27"/>
        <v>0318</v>
      </c>
      <c r="E521" t="str">
        <f t="shared" si="28"/>
        <v/>
      </c>
      <c r="F521" t="str">
        <f t="shared" si="29"/>
        <v>MS</v>
      </c>
    </row>
    <row r="522" spans="1:6" x14ac:dyDescent="0.3">
      <c r="A522" t="s">
        <v>2039</v>
      </c>
      <c r="B522">
        <v>1</v>
      </c>
      <c r="D522" t="str">
        <f t="shared" si="27"/>
        <v>0319</v>
      </c>
      <c r="E522" t="str">
        <f t="shared" si="28"/>
        <v/>
      </c>
      <c r="F522" t="str">
        <f t="shared" si="29"/>
        <v>ES</v>
      </c>
    </row>
    <row r="523" spans="1:6" x14ac:dyDescent="0.3">
      <c r="A523" t="s">
        <v>2586</v>
      </c>
      <c r="B523">
        <v>1</v>
      </c>
      <c r="D523" t="str">
        <f t="shared" si="27"/>
        <v>0320</v>
      </c>
      <c r="E523" t="str">
        <f t="shared" si="28"/>
        <v/>
      </c>
      <c r="F523" t="str">
        <f t="shared" si="29"/>
        <v>MS</v>
      </c>
    </row>
    <row r="524" spans="1:6" x14ac:dyDescent="0.3">
      <c r="A524" t="s">
        <v>2587</v>
      </c>
      <c r="B524">
        <v>1</v>
      </c>
      <c r="D524" t="str">
        <f t="shared" si="27"/>
        <v>0321</v>
      </c>
      <c r="E524" t="str">
        <f t="shared" si="28"/>
        <v/>
      </c>
      <c r="F524" t="str">
        <f t="shared" si="29"/>
        <v>MS</v>
      </c>
    </row>
    <row r="525" spans="1:6" x14ac:dyDescent="0.3">
      <c r="A525" t="s">
        <v>2707</v>
      </c>
      <c r="B525">
        <v>1</v>
      </c>
      <c r="D525" t="str">
        <f t="shared" si="27"/>
        <v>0322</v>
      </c>
      <c r="E525" t="str">
        <f t="shared" si="28"/>
        <v/>
      </c>
      <c r="F525" t="str">
        <f t="shared" si="29"/>
        <v>MS</v>
      </c>
    </row>
    <row r="526" spans="1:6" x14ac:dyDescent="0.3">
      <c r="A526" t="s">
        <v>2045</v>
      </c>
      <c r="B526">
        <v>1</v>
      </c>
      <c r="D526" t="str">
        <f t="shared" si="27"/>
        <v>0323</v>
      </c>
      <c r="E526" t="str">
        <f t="shared" si="28"/>
        <v>3</v>
      </c>
      <c r="F526" t="str">
        <f t="shared" si="29"/>
        <v>CN</v>
      </c>
    </row>
    <row r="527" spans="1:6" x14ac:dyDescent="0.3">
      <c r="A527" t="s">
        <v>2047</v>
      </c>
      <c r="B527">
        <v>1</v>
      </c>
      <c r="D527" t="str">
        <f t="shared" si="27"/>
        <v>0323</v>
      </c>
      <c r="E527" t="str">
        <f t="shared" si="28"/>
        <v>2</v>
      </c>
      <c r="F527" t="str">
        <f t="shared" si="29"/>
        <v>CR</v>
      </c>
    </row>
    <row r="528" spans="1:6" x14ac:dyDescent="0.3">
      <c r="A528" t="s">
        <v>2627</v>
      </c>
      <c r="B528">
        <v>1</v>
      </c>
      <c r="D528" t="str">
        <f t="shared" si="27"/>
        <v>0323</v>
      </c>
      <c r="E528" t="str">
        <f t="shared" si="28"/>
        <v>1</v>
      </c>
      <c r="F528" t="str">
        <f t="shared" si="29"/>
        <v>MS</v>
      </c>
    </row>
    <row r="529" spans="1:6" x14ac:dyDescent="0.3">
      <c r="A529" t="s">
        <v>2048</v>
      </c>
      <c r="B529">
        <v>1</v>
      </c>
      <c r="D529" t="str">
        <f t="shared" si="27"/>
        <v>0324</v>
      </c>
      <c r="E529" t="str">
        <f t="shared" si="28"/>
        <v/>
      </c>
      <c r="F529" t="str">
        <f t="shared" si="29"/>
        <v>CN</v>
      </c>
    </row>
    <row r="530" spans="1:6" x14ac:dyDescent="0.3">
      <c r="A530" t="s">
        <v>2050</v>
      </c>
      <c r="B530">
        <v>1</v>
      </c>
      <c r="D530" t="str">
        <f t="shared" si="27"/>
        <v>0325</v>
      </c>
      <c r="E530" t="str">
        <f t="shared" si="28"/>
        <v/>
      </c>
      <c r="F530" t="str">
        <f t="shared" si="29"/>
        <v>CN</v>
      </c>
    </row>
    <row r="531" spans="1:6" x14ac:dyDescent="0.3">
      <c r="A531" t="s">
        <v>2052</v>
      </c>
      <c r="B531">
        <v>1</v>
      </c>
      <c r="D531" t="str">
        <f t="shared" si="27"/>
        <v>0326</v>
      </c>
      <c r="E531" t="str">
        <f t="shared" si="28"/>
        <v/>
      </c>
      <c r="F531" t="str">
        <f t="shared" si="29"/>
        <v>CN</v>
      </c>
    </row>
    <row r="532" spans="1:6" x14ac:dyDescent="0.3">
      <c r="A532" t="s">
        <v>2054</v>
      </c>
      <c r="B532">
        <v>1</v>
      </c>
      <c r="D532" t="str">
        <f t="shared" si="27"/>
        <v>0327</v>
      </c>
      <c r="E532" t="str">
        <f t="shared" si="28"/>
        <v/>
      </c>
      <c r="F532" t="str">
        <f t="shared" si="29"/>
        <v>CN</v>
      </c>
    </row>
    <row r="533" spans="1:6" x14ac:dyDescent="0.3">
      <c r="A533" t="s">
        <v>2057</v>
      </c>
      <c r="B533">
        <v>1</v>
      </c>
      <c r="D533" t="str">
        <f t="shared" si="27"/>
        <v>0328</v>
      </c>
      <c r="E533" t="str">
        <f t="shared" si="28"/>
        <v/>
      </c>
      <c r="F533" t="str">
        <f t="shared" si="29"/>
        <v>CN</v>
      </c>
    </row>
    <row r="534" spans="1:6" x14ac:dyDescent="0.3">
      <c r="A534" t="s">
        <v>2663</v>
      </c>
      <c r="B534">
        <v>1</v>
      </c>
      <c r="D534" t="str">
        <f t="shared" si="27"/>
        <v>0329</v>
      </c>
      <c r="E534" t="str">
        <f t="shared" si="28"/>
        <v/>
      </c>
      <c r="F534" t="str">
        <f t="shared" si="29"/>
        <v>MS</v>
      </c>
    </row>
    <row r="535" spans="1:6" x14ac:dyDescent="0.3">
      <c r="A535" t="s">
        <v>2063</v>
      </c>
      <c r="B535">
        <v>1</v>
      </c>
      <c r="D535" t="str">
        <f t="shared" si="27"/>
        <v>0330</v>
      </c>
      <c r="E535" t="str">
        <f t="shared" si="28"/>
        <v/>
      </c>
      <c r="F535" t="str">
        <f t="shared" si="29"/>
        <v>CN</v>
      </c>
    </row>
    <row r="536" spans="1:6" x14ac:dyDescent="0.3">
      <c r="A536" t="s">
        <v>2065</v>
      </c>
      <c r="B536">
        <v>1</v>
      </c>
      <c r="D536" t="str">
        <f t="shared" si="27"/>
        <v>0331</v>
      </c>
      <c r="E536" t="str">
        <f t="shared" si="28"/>
        <v/>
      </c>
      <c r="F536" t="str">
        <f t="shared" si="29"/>
        <v>CN</v>
      </c>
    </row>
    <row r="537" spans="1:6" x14ac:dyDescent="0.3">
      <c r="A537" t="s">
        <v>2067</v>
      </c>
      <c r="B537">
        <v>1</v>
      </c>
      <c r="D537" t="str">
        <f t="shared" si="27"/>
        <v>0332</v>
      </c>
      <c r="E537" t="str">
        <f t="shared" si="28"/>
        <v/>
      </c>
      <c r="F537" t="str">
        <f t="shared" si="29"/>
        <v>CN</v>
      </c>
    </row>
    <row r="538" spans="1:6" x14ac:dyDescent="0.3">
      <c r="A538" t="s">
        <v>2069</v>
      </c>
      <c r="B538">
        <v>1</v>
      </c>
      <c r="D538" t="str">
        <f t="shared" si="27"/>
        <v>0333</v>
      </c>
      <c r="E538" t="str">
        <f t="shared" si="28"/>
        <v/>
      </c>
      <c r="F538" t="str">
        <f t="shared" si="29"/>
        <v>CN</v>
      </c>
    </row>
    <row r="539" spans="1:6" x14ac:dyDescent="0.3">
      <c r="A539" t="s">
        <v>2071</v>
      </c>
      <c r="B539">
        <v>1</v>
      </c>
      <c r="D539" t="str">
        <f t="shared" si="27"/>
        <v>0334</v>
      </c>
      <c r="E539" t="str">
        <f t="shared" si="28"/>
        <v/>
      </c>
      <c r="F539" t="str">
        <f t="shared" si="29"/>
        <v>CN</v>
      </c>
    </row>
    <row r="540" spans="1:6" x14ac:dyDescent="0.3">
      <c r="A540" t="s">
        <v>2073</v>
      </c>
      <c r="B540">
        <v>1</v>
      </c>
      <c r="D540" t="str">
        <f t="shared" si="27"/>
        <v>0335</v>
      </c>
      <c r="E540" t="str">
        <f t="shared" si="28"/>
        <v/>
      </c>
      <c r="F540" t="str">
        <f t="shared" si="29"/>
        <v>CN</v>
      </c>
    </row>
    <row r="541" spans="1:6" x14ac:dyDescent="0.3">
      <c r="A541" t="s">
        <v>2076</v>
      </c>
      <c r="B541">
        <v>1</v>
      </c>
      <c r="D541" t="str">
        <f t="shared" si="27"/>
        <v>0336</v>
      </c>
      <c r="E541" t="str">
        <f t="shared" si="28"/>
        <v>1</v>
      </c>
      <c r="F541" t="str">
        <f t="shared" si="29"/>
        <v>CN</v>
      </c>
    </row>
    <row r="542" spans="1:6" x14ac:dyDescent="0.3">
      <c r="A542" t="s">
        <v>2077</v>
      </c>
      <c r="B542">
        <v>1</v>
      </c>
      <c r="D542" t="str">
        <f t="shared" si="27"/>
        <v>0336</v>
      </c>
      <c r="E542" t="str">
        <f t="shared" si="28"/>
        <v>3</v>
      </c>
      <c r="F542" t="str">
        <f t="shared" si="29"/>
        <v>CN</v>
      </c>
    </row>
    <row r="543" spans="1:6" x14ac:dyDescent="0.3">
      <c r="A543" t="s">
        <v>2079</v>
      </c>
      <c r="B543">
        <v>1</v>
      </c>
      <c r="D543" t="str">
        <f t="shared" si="27"/>
        <v>0336</v>
      </c>
      <c r="E543" t="str">
        <f t="shared" si="28"/>
        <v>2</v>
      </c>
      <c r="F543" t="str">
        <f t="shared" si="29"/>
        <v>CR</v>
      </c>
    </row>
    <row r="544" spans="1:6" x14ac:dyDescent="0.3">
      <c r="A544" t="s">
        <v>2081</v>
      </c>
      <c r="B544">
        <v>1</v>
      </c>
      <c r="D544" t="str">
        <f t="shared" si="27"/>
        <v>0337</v>
      </c>
      <c r="E544" t="str">
        <f t="shared" si="28"/>
        <v/>
      </c>
      <c r="F544" t="str">
        <f t="shared" si="29"/>
        <v>CN</v>
      </c>
    </row>
    <row r="545" spans="1:6" x14ac:dyDescent="0.3">
      <c r="A545" t="s">
        <v>2083</v>
      </c>
      <c r="B545">
        <v>1</v>
      </c>
      <c r="D545" t="str">
        <f t="shared" si="27"/>
        <v>0338</v>
      </c>
      <c r="E545" t="str">
        <f t="shared" si="28"/>
        <v/>
      </c>
      <c r="F545" t="str">
        <f t="shared" si="29"/>
        <v>CN</v>
      </c>
    </row>
    <row r="546" spans="1:6" x14ac:dyDescent="0.3">
      <c r="A546" t="s">
        <v>2085</v>
      </c>
      <c r="B546">
        <v>1</v>
      </c>
      <c r="D546" t="str">
        <f t="shared" si="27"/>
        <v>0339</v>
      </c>
      <c r="E546" t="str">
        <f t="shared" si="28"/>
        <v/>
      </c>
      <c r="F546" t="str">
        <f t="shared" si="29"/>
        <v>CN</v>
      </c>
    </row>
    <row r="547" spans="1:6" x14ac:dyDescent="0.3">
      <c r="A547" t="s">
        <v>2087</v>
      </c>
      <c r="B547">
        <v>1</v>
      </c>
      <c r="D547" t="str">
        <f t="shared" si="27"/>
        <v>0340</v>
      </c>
      <c r="E547" t="str">
        <f t="shared" si="28"/>
        <v/>
      </c>
      <c r="F547" t="str">
        <f t="shared" si="29"/>
        <v>CN</v>
      </c>
    </row>
    <row r="548" spans="1:6" x14ac:dyDescent="0.3">
      <c r="A548" t="s">
        <v>2089</v>
      </c>
      <c r="B548">
        <v>1</v>
      </c>
      <c r="D548" t="str">
        <f t="shared" si="27"/>
        <v>0341</v>
      </c>
      <c r="E548" t="str">
        <f t="shared" si="28"/>
        <v>1</v>
      </c>
      <c r="F548" t="str">
        <f t="shared" si="29"/>
        <v>CN</v>
      </c>
    </row>
    <row r="549" spans="1:6" x14ac:dyDescent="0.3">
      <c r="A549" t="s">
        <v>2092</v>
      </c>
      <c r="B549">
        <v>1</v>
      </c>
      <c r="D549" t="str">
        <f t="shared" si="27"/>
        <v>0341</v>
      </c>
      <c r="E549" t="str">
        <f t="shared" si="28"/>
        <v>2</v>
      </c>
      <c r="F549" t="str">
        <f t="shared" si="29"/>
        <v>CR</v>
      </c>
    </row>
    <row r="550" spans="1:6" x14ac:dyDescent="0.3">
      <c r="A550" t="s">
        <v>2093</v>
      </c>
      <c r="B550">
        <v>1</v>
      </c>
      <c r="D550" t="str">
        <f t="shared" si="27"/>
        <v>0341</v>
      </c>
      <c r="E550" t="str">
        <f t="shared" si="28"/>
        <v>3</v>
      </c>
      <c r="F550" t="str">
        <f t="shared" si="29"/>
        <v>DS</v>
      </c>
    </row>
    <row r="551" spans="1:6" x14ac:dyDescent="0.3">
      <c r="A551" t="s">
        <v>2094</v>
      </c>
      <c r="B551">
        <v>1</v>
      </c>
      <c r="D551" t="str">
        <f t="shared" si="27"/>
        <v>0342</v>
      </c>
      <c r="E551" t="str">
        <f t="shared" si="28"/>
        <v/>
      </c>
      <c r="F551" t="str">
        <f t="shared" si="29"/>
        <v>CN</v>
      </c>
    </row>
    <row r="552" spans="1:6" x14ac:dyDescent="0.3">
      <c r="A552" t="s">
        <v>2099</v>
      </c>
      <c r="B552">
        <v>1</v>
      </c>
      <c r="D552" t="str">
        <f t="shared" si="27"/>
        <v>0343</v>
      </c>
      <c r="E552" t="str">
        <f t="shared" si="28"/>
        <v/>
      </c>
      <c r="F552" t="str">
        <f t="shared" si="29"/>
        <v>DN</v>
      </c>
    </row>
    <row r="553" spans="1:6" x14ac:dyDescent="0.3">
      <c r="A553" t="s">
        <v>2100</v>
      </c>
      <c r="B553">
        <v>1</v>
      </c>
      <c r="D553" t="str">
        <f t="shared" si="27"/>
        <v>0344</v>
      </c>
      <c r="E553" t="str">
        <f t="shared" si="28"/>
        <v/>
      </c>
      <c r="F553" t="str">
        <f t="shared" si="29"/>
        <v>CN</v>
      </c>
    </row>
    <row r="554" spans="1:6" x14ac:dyDescent="0.3">
      <c r="A554" t="s">
        <v>2103</v>
      </c>
      <c r="B554">
        <v>1</v>
      </c>
      <c r="D554" t="str">
        <f t="shared" si="27"/>
        <v>0345</v>
      </c>
      <c r="E554" t="str">
        <f t="shared" si="28"/>
        <v/>
      </c>
      <c r="F554" t="str">
        <f t="shared" si="29"/>
        <v>CN</v>
      </c>
    </row>
    <row r="555" spans="1:6" x14ac:dyDescent="0.3">
      <c r="A555" t="s">
        <v>2105</v>
      </c>
      <c r="B555">
        <v>1</v>
      </c>
      <c r="D555" t="str">
        <f t="shared" si="27"/>
        <v>0346</v>
      </c>
      <c r="E555" t="str">
        <f t="shared" si="28"/>
        <v/>
      </c>
      <c r="F555" t="str">
        <f t="shared" si="29"/>
        <v>CN</v>
      </c>
    </row>
    <row r="556" spans="1:6" x14ac:dyDescent="0.3">
      <c r="A556" t="s">
        <v>2107</v>
      </c>
      <c r="B556">
        <v>1</v>
      </c>
      <c r="D556" t="str">
        <f t="shared" si="27"/>
        <v>0347</v>
      </c>
      <c r="E556" t="str">
        <f t="shared" si="28"/>
        <v/>
      </c>
      <c r="F556" t="str">
        <f t="shared" si="29"/>
        <v>CN</v>
      </c>
    </row>
    <row r="557" spans="1:6" x14ac:dyDescent="0.3">
      <c r="A557" t="s">
        <v>2112</v>
      </c>
      <c r="B557">
        <v>1</v>
      </c>
      <c r="D557" t="str">
        <f t="shared" si="27"/>
        <v>0348</v>
      </c>
      <c r="E557" t="str">
        <f t="shared" si="28"/>
        <v/>
      </c>
      <c r="F557" t="str">
        <f t="shared" si="29"/>
        <v>CN</v>
      </c>
    </row>
    <row r="558" spans="1:6" x14ac:dyDescent="0.3">
      <c r="A558" t="s">
        <v>2115</v>
      </c>
      <c r="B558">
        <v>1</v>
      </c>
      <c r="D558" t="str">
        <f t="shared" si="27"/>
        <v>0349</v>
      </c>
      <c r="E558" t="str">
        <f t="shared" si="28"/>
        <v>1</v>
      </c>
      <c r="F558" t="str">
        <f t="shared" si="29"/>
        <v>CN</v>
      </c>
    </row>
    <row r="559" spans="1:6" x14ac:dyDescent="0.3">
      <c r="A559" t="s">
        <v>2117</v>
      </c>
      <c r="B559">
        <v>1</v>
      </c>
      <c r="D559" t="str">
        <f t="shared" si="27"/>
        <v>0349</v>
      </c>
      <c r="E559" t="str">
        <f t="shared" si="28"/>
        <v>2</v>
      </c>
      <c r="F559" t="str">
        <f t="shared" si="29"/>
        <v>CR</v>
      </c>
    </row>
    <row r="560" spans="1:6" x14ac:dyDescent="0.3">
      <c r="A560" t="s">
        <v>2118</v>
      </c>
      <c r="B560">
        <v>1</v>
      </c>
      <c r="D560" t="str">
        <f t="shared" si="27"/>
        <v>0349</v>
      </c>
      <c r="E560" t="str">
        <f t="shared" si="28"/>
        <v>3</v>
      </c>
      <c r="F560" t="str">
        <f t="shared" si="29"/>
        <v>DS</v>
      </c>
    </row>
    <row r="561" spans="1:6" x14ac:dyDescent="0.3">
      <c r="A561" t="s">
        <v>2708</v>
      </c>
      <c r="B561">
        <v>1</v>
      </c>
      <c r="D561" t="str">
        <f t="shared" si="27"/>
        <v>0350</v>
      </c>
      <c r="E561" t="str">
        <f t="shared" si="28"/>
        <v/>
      </c>
      <c r="F561" t="str">
        <f t="shared" si="29"/>
        <v>MS</v>
      </c>
    </row>
    <row r="562" spans="1:6" x14ac:dyDescent="0.3">
      <c r="A562" t="s">
        <v>2124</v>
      </c>
      <c r="B562">
        <v>1</v>
      </c>
      <c r="D562" t="str">
        <f t="shared" si="27"/>
        <v>0351</v>
      </c>
      <c r="E562" t="str">
        <f t="shared" si="28"/>
        <v/>
      </c>
      <c r="F562" t="str">
        <f t="shared" si="29"/>
        <v>ES</v>
      </c>
    </row>
    <row r="563" spans="1:6" x14ac:dyDescent="0.3">
      <c r="A563" t="s">
        <v>2126</v>
      </c>
      <c r="B563">
        <v>1</v>
      </c>
      <c r="D563" t="str">
        <f t="shared" si="27"/>
        <v>0352</v>
      </c>
      <c r="E563" t="str">
        <f t="shared" si="28"/>
        <v/>
      </c>
      <c r="F563" t="str">
        <f t="shared" si="29"/>
        <v>ES</v>
      </c>
    </row>
    <row r="564" spans="1:6" x14ac:dyDescent="0.3">
      <c r="A564" t="s">
        <v>2129</v>
      </c>
      <c r="B564">
        <v>1</v>
      </c>
      <c r="D564" t="str">
        <f t="shared" si="27"/>
        <v>0353</v>
      </c>
      <c r="E564" t="str">
        <f t="shared" si="28"/>
        <v>2</v>
      </c>
      <c r="F564" t="str">
        <f t="shared" si="29"/>
        <v>DR</v>
      </c>
    </row>
    <row r="565" spans="1:6" x14ac:dyDescent="0.3">
      <c r="A565" t="s">
        <v>2131</v>
      </c>
      <c r="B565">
        <v>1</v>
      </c>
      <c r="D565" t="str">
        <f t="shared" si="27"/>
        <v>0353</v>
      </c>
      <c r="E565" t="str">
        <f t="shared" si="28"/>
        <v>3</v>
      </c>
      <c r="F565" t="str">
        <f t="shared" si="29"/>
        <v>DS</v>
      </c>
    </row>
    <row r="566" spans="1:6" x14ac:dyDescent="0.3">
      <c r="A566" t="s">
        <v>2133</v>
      </c>
      <c r="B566">
        <v>1</v>
      </c>
      <c r="D566" t="str">
        <f t="shared" si="27"/>
        <v>0353</v>
      </c>
      <c r="E566" t="str">
        <f t="shared" si="28"/>
        <v>1</v>
      </c>
      <c r="F566" t="str">
        <f t="shared" si="29"/>
        <v>ES</v>
      </c>
    </row>
    <row r="567" spans="1:6" x14ac:dyDescent="0.3">
      <c r="A567" t="s">
        <v>2134</v>
      </c>
      <c r="B567">
        <v>1</v>
      </c>
      <c r="D567" t="str">
        <f t="shared" si="27"/>
        <v>0354</v>
      </c>
      <c r="E567" t="str">
        <f t="shared" si="28"/>
        <v/>
      </c>
      <c r="F567" t="str">
        <f t="shared" si="29"/>
        <v>DN</v>
      </c>
    </row>
    <row r="568" spans="1:6" x14ac:dyDescent="0.3">
      <c r="A568" t="s">
        <v>2565</v>
      </c>
      <c r="B568">
        <v>1</v>
      </c>
      <c r="D568" t="str">
        <f t="shared" si="27"/>
        <v>0355</v>
      </c>
      <c r="E568" t="str">
        <f t="shared" si="28"/>
        <v/>
      </c>
      <c r="F568" t="str">
        <f t="shared" si="29"/>
        <v>MS</v>
      </c>
    </row>
    <row r="569" spans="1:6" x14ac:dyDescent="0.3">
      <c r="A569" t="s">
        <v>2140</v>
      </c>
      <c r="B569">
        <v>1</v>
      </c>
      <c r="D569" t="str">
        <f t="shared" si="27"/>
        <v>0356</v>
      </c>
      <c r="E569" t="str">
        <f t="shared" si="28"/>
        <v/>
      </c>
      <c r="F569" t="str">
        <f t="shared" si="29"/>
        <v>CN</v>
      </c>
    </row>
    <row r="570" spans="1:6" x14ac:dyDescent="0.3">
      <c r="A570" t="s">
        <v>2588</v>
      </c>
      <c r="B570">
        <v>1</v>
      </c>
      <c r="D570" t="str">
        <f t="shared" si="27"/>
        <v>0357</v>
      </c>
      <c r="E570" t="str">
        <f t="shared" si="28"/>
        <v/>
      </c>
      <c r="F570" t="str">
        <f t="shared" si="29"/>
        <v>MS</v>
      </c>
    </row>
    <row r="571" spans="1:6" x14ac:dyDescent="0.3">
      <c r="A571" t="s">
        <v>2145</v>
      </c>
      <c r="B571">
        <v>1</v>
      </c>
      <c r="D571" t="str">
        <f t="shared" si="27"/>
        <v>0358</v>
      </c>
      <c r="E571" t="str">
        <f t="shared" si="28"/>
        <v/>
      </c>
      <c r="F571" t="str">
        <f t="shared" si="29"/>
        <v>CN</v>
      </c>
    </row>
    <row r="572" spans="1:6" x14ac:dyDescent="0.3">
      <c r="A572" t="s">
        <v>2148</v>
      </c>
      <c r="B572">
        <v>1</v>
      </c>
      <c r="D572" t="str">
        <f t="shared" si="27"/>
        <v>0359</v>
      </c>
      <c r="E572" t="str">
        <f t="shared" si="28"/>
        <v>1</v>
      </c>
      <c r="F572" t="str">
        <f t="shared" si="29"/>
        <v>CN</v>
      </c>
    </row>
    <row r="573" spans="1:6" x14ac:dyDescent="0.3">
      <c r="A573" t="s">
        <v>2149</v>
      </c>
      <c r="B573">
        <v>1</v>
      </c>
      <c r="D573" t="str">
        <f t="shared" si="27"/>
        <v>0359</v>
      </c>
      <c r="E573" t="str">
        <f t="shared" si="28"/>
        <v>3</v>
      </c>
      <c r="F573" t="str">
        <f t="shared" si="29"/>
        <v>CN</v>
      </c>
    </row>
    <row r="574" spans="1:6" x14ac:dyDescent="0.3">
      <c r="A574" t="s">
        <v>2151</v>
      </c>
      <c r="B574">
        <v>1</v>
      </c>
      <c r="D574" t="str">
        <f t="shared" si="27"/>
        <v>0359</v>
      </c>
      <c r="E574" t="str">
        <f t="shared" si="28"/>
        <v>2</v>
      </c>
      <c r="F574" t="str">
        <f t="shared" si="29"/>
        <v>CR</v>
      </c>
    </row>
    <row r="575" spans="1:6" x14ac:dyDescent="0.3">
      <c r="A575" t="s">
        <v>2154</v>
      </c>
      <c r="B575">
        <v>1</v>
      </c>
      <c r="D575" t="str">
        <f t="shared" si="27"/>
        <v>0360</v>
      </c>
      <c r="E575" t="str">
        <f t="shared" si="28"/>
        <v/>
      </c>
      <c r="F575" t="str">
        <f t="shared" si="29"/>
        <v>CS</v>
      </c>
    </row>
    <row r="576" spans="1:6" x14ac:dyDescent="0.3">
      <c r="A576" t="s">
        <v>2155</v>
      </c>
      <c r="B576">
        <v>1</v>
      </c>
      <c r="D576" t="str">
        <f t="shared" si="27"/>
        <v>0361</v>
      </c>
      <c r="E576" t="str">
        <f t="shared" si="28"/>
        <v/>
      </c>
      <c r="F576" t="str">
        <f t="shared" si="29"/>
        <v>CN</v>
      </c>
    </row>
    <row r="577" spans="1:6" x14ac:dyDescent="0.3">
      <c r="A577" t="s">
        <v>2157</v>
      </c>
      <c r="B577">
        <v>1</v>
      </c>
      <c r="D577" t="str">
        <f t="shared" si="27"/>
        <v>0362</v>
      </c>
      <c r="E577" t="str">
        <f t="shared" si="28"/>
        <v/>
      </c>
      <c r="F577" t="str">
        <f t="shared" si="29"/>
        <v>CN</v>
      </c>
    </row>
    <row r="578" spans="1:6" x14ac:dyDescent="0.3">
      <c r="A578" t="s">
        <v>2161</v>
      </c>
      <c r="B578">
        <v>1</v>
      </c>
      <c r="D578" t="str">
        <f t="shared" si="27"/>
        <v>0363</v>
      </c>
      <c r="E578" t="str">
        <f t="shared" si="28"/>
        <v/>
      </c>
      <c r="F578" t="str">
        <f t="shared" si="29"/>
        <v>CS</v>
      </c>
    </row>
    <row r="579" spans="1:6" x14ac:dyDescent="0.3">
      <c r="A579" t="s">
        <v>2709</v>
      </c>
      <c r="B579">
        <v>1</v>
      </c>
      <c r="D579" t="str">
        <f t="shared" ref="D579:D642" si="30">IF(LEFT(A579,2)="SP",MID(A579,4,4),IF(LEFT(A579,1)="X",MID(A579,3,4),""))</f>
        <v>0364</v>
      </c>
      <c r="E579" t="str">
        <f t="shared" ref="E579:E642" si="31">IF(OR(LEFT(A579,2)="SP",AND(LEFT(A579,1)="X",LEN(A579)&gt;9)),RIGHT(A579,1),"")</f>
        <v/>
      </c>
      <c r="F579" t="str">
        <f t="shared" ref="F579:F642" si="32">IF(LEFT(A579,1)="X",MID(A579,8,2),"")</f>
        <v>MS</v>
      </c>
    </row>
    <row r="580" spans="1:6" x14ac:dyDescent="0.3">
      <c r="A580" t="s">
        <v>2165</v>
      </c>
      <c r="B580">
        <v>1</v>
      </c>
      <c r="D580" t="str">
        <f t="shared" si="30"/>
        <v>0365</v>
      </c>
      <c r="E580" t="str">
        <f t="shared" si="31"/>
        <v/>
      </c>
      <c r="F580" t="str">
        <f t="shared" si="32"/>
        <v>DS</v>
      </c>
    </row>
    <row r="581" spans="1:6" x14ac:dyDescent="0.3">
      <c r="A581" t="s">
        <v>2167</v>
      </c>
      <c r="B581">
        <v>1</v>
      </c>
      <c r="D581" t="str">
        <f t="shared" si="30"/>
        <v>0366</v>
      </c>
      <c r="E581" t="str">
        <f t="shared" si="31"/>
        <v>3</v>
      </c>
      <c r="F581" t="str">
        <f t="shared" si="32"/>
        <v>DN</v>
      </c>
    </row>
    <row r="582" spans="1:6" x14ac:dyDescent="0.3">
      <c r="A582" t="s">
        <v>2169</v>
      </c>
      <c r="B582">
        <v>1</v>
      </c>
      <c r="D582" t="str">
        <f t="shared" si="30"/>
        <v>0366</v>
      </c>
      <c r="E582" t="str">
        <f t="shared" si="31"/>
        <v>2</v>
      </c>
      <c r="F582" t="str">
        <f t="shared" si="32"/>
        <v>DR</v>
      </c>
    </row>
    <row r="583" spans="1:6" x14ac:dyDescent="0.3">
      <c r="A583" t="s">
        <v>2170</v>
      </c>
      <c r="B583">
        <v>1</v>
      </c>
      <c r="D583" t="str">
        <f t="shared" si="30"/>
        <v>0366</v>
      </c>
      <c r="E583" t="str">
        <f t="shared" si="31"/>
        <v>1</v>
      </c>
      <c r="F583" t="str">
        <f t="shared" si="32"/>
        <v>DS</v>
      </c>
    </row>
    <row r="584" spans="1:6" x14ac:dyDescent="0.3">
      <c r="A584" t="s">
        <v>2173</v>
      </c>
      <c r="B584">
        <v>1</v>
      </c>
      <c r="D584" t="str">
        <f t="shared" si="30"/>
        <v>0367</v>
      </c>
      <c r="E584" t="str">
        <f t="shared" si="31"/>
        <v>2</v>
      </c>
      <c r="F584" t="str">
        <f t="shared" si="32"/>
        <v>DR</v>
      </c>
    </row>
    <row r="585" spans="1:6" x14ac:dyDescent="0.3">
      <c r="A585" t="s">
        <v>2174</v>
      </c>
      <c r="B585">
        <v>1</v>
      </c>
      <c r="D585" t="str">
        <f t="shared" si="30"/>
        <v>0367</v>
      </c>
      <c r="E585" t="str">
        <f t="shared" si="31"/>
        <v>1</v>
      </c>
      <c r="F585" t="str">
        <f t="shared" si="32"/>
        <v>DS</v>
      </c>
    </row>
    <row r="586" spans="1:6" x14ac:dyDescent="0.3">
      <c r="A586" t="s">
        <v>2176</v>
      </c>
      <c r="B586">
        <v>1</v>
      </c>
      <c r="D586" t="str">
        <f t="shared" si="30"/>
        <v>0367</v>
      </c>
      <c r="E586" t="str">
        <f t="shared" si="31"/>
        <v>3</v>
      </c>
      <c r="F586" t="str">
        <f t="shared" si="32"/>
        <v>ES</v>
      </c>
    </row>
    <row r="587" spans="1:6" x14ac:dyDescent="0.3">
      <c r="A587" t="s">
        <v>2177</v>
      </c>
      <c r="B587">
        <v>1</v>
      </c>
      <c r="D587" t="str">
        <f t="shared" si="30"/>
        <v>0368</v>
      </c>
      <c r="E587" t="str">
        <f t="shared" si="31"/>
        <v/>
      </c>
      <c r="F587" t="str">
        <f t="shared" si="32"/>
        <v>CN</v>
      </c>
    </row>
    <row r="588" spans="1:6" x14ac:dyDescent="0.3">
      <c r="A588" t="s">
        <v>2180</v>
      </c>
      <c r="B588">
        <v>1</v>
      </c>
      <c r="D588" t="str">
        <f t="shared" si="30"/>
        <v>0369</v>
      </c>
      <c r="E588" t="str">
        <f t="shared" si="31"/>
        <v>3</v>
      </c>
      <c r="F588" t="str">
        <f t="shared" si="32"/>
        <v>CN</v>
      </c>
    </row>
    <row r="589" spans="1:6" x14ac:dyDescent="0.3">
      <c r="A589" t="s">
        <v>2183</v>
      </c>
      <c r="B589">
        <v>1</v>
      </c>
      <c r="D589" t="str">
        <f t="shared" si="30"/>
        <v>0369</v>
      </c>
      <c r="E589" t="str">
        <f t="shared" si="31"/>
        <v>1</v>
      </c>
      <c r="F589" t="str">
        <f t="shared" si="32"/>
        <v>DS</v>
      </c>
    </row>
    <row r="590" spans="1:6" x14ac:dyDescent="0.3">
      <c r="A590" t="s">
        <v>2710</v>
      </c>
      <c r="B590">
        <v>1</v>
      </c>
      <c r="D590" t="str">
        <f t="shared" si="30"/>
        <v>0369</v>
      </c>
      <c r="E590" t="str">
        <f t="shared" si="31"/>
        <v>2</v>
      </c>
      <c r="F590" t="str">
        <f t="shared" si="32"/>
        <v>FR</v>
      </c>
    </row>
    <row r="591" spans="1:6" x14ac:dyDescent="0.3">
      <c r="A591" t="s">
        <v>2184</v>
      </c>
      <c r="B591">
        <v>1</v>
      </c>
      <c r="D591" t="str">
        <f t="shared" si="30"/>
        <v>0370</v>
      </c>
      <c r="E591" t="str">
        <f t="shared" si="31"/>
        <v/>
      </c>
      <c r="F591" t="str">
        <f t="shared" si="32"/>
        <v>CN</v>
      </c>
    </row>
    <row r="592" spans="1:6" x14ac:dyDescent="0.3">
      <c r="A592" t="s">
        <v>2186</v>
      </c>
      <c r="B592">
        <v>1</v>
      </c>
      <c r="D592" t="str">
        <f t="shared" si="30"/>
        <v>0371</v>
      </c>
      <c r="E592" t="str">
        <f t="shared" si="31"/>
        <v/>
      </c>
      <c r="F592" t="str">
        <f t="shared" si="32"/>
        <v>CN</v>
      </c>
    </row>
    <row r="593" spans="1:6" x14ac:dyDescent="0.3">
      <c r="A593" t="s">
        <v>2188</v>
      </c>
      <c r="B593">
        <v>1</v>
      </c>
      <c r="D593" t="str">
        <f t="shared" si="30"/>
        <v>0372</v>
      </c>
      <c r="E593" t="str">
        <f t="shared" si="31"/>
        <v/>
      </c>
      <c r="F593" t="str">
        <f t="shared" si="32"/>
        <v>CN</v>
      </c>
    </row>
    <row r="594" spans="1:6" x14ac:dyDescent="0.3">
      <c r="A594" t="s">
        <v>2192</v>
      </c>
      <c r="B594">
        <v>1</v>
      </c>
      <c r="D594" t="str">
        <f t="shared" si="30"/>
        <v>0373</v>
      </c>
      <c r="E594" t="str">
        <f t="shared" si="31"/>
        <v/>
      </c>
      <c r="F594" t="str">
        <f t="shared" si="32"/>
        <v>DN</v>
      </c>
    </row>
    <row r="595" spans="1:6" x14ac:dyDescent="0.3">
      <c r="A595" t="s">
        <v>2193</v>
      </c>
      <c r="B595">
        <v>1</v>
      </c>
      <c r="D595" t="str">
        <f t="shared" si="30"/>
        <v>0374</v>
      </c>
      <c r="E595" t="str">
        <f t="shared" si="31"/>
        <v/>
      </c>
      <c r="F595" t="str">
        <f t="shared" si="32"/>
        <v>CN</v>
      </c>
    </row>
    <row r="596" spans="1:6" x14ac:dyDescent="0.3">
      <c r="A596" t="s">
        <v>2196</v>
      </c>
      <c r="B596">
        <v>1</v>
      </c>
      <c r="D596" t="str">
        <f t="shared" si="30"/>
        <v>0375</v>
      </c>
      <c r="E596" t="str">
        <f t="shared" si="31"/>
        <v/>
      </c>
      <c r="F596" t="str">
        <f t="shared" si="32"/>
        <v>CN</v>
      </c>
    </row>
    <row r="597" spans="1:6" x14ac:dyDescent="0.3">
      <c r="A597" t="s">
        <v>2198</v>
      </c>
      <c r="B597">
        <v>1</v>
      </c>
      <c r="D597" t="str">
        <f t="shared" si="30"/>
        <v>0376</v>
      </c>
      <c r="E597" t="str">
        <f t="shared" si="31"/>
        <v/>
      </c>
      <c r="F597" t="str">
        <f t="shared" si="32"/>
        <v>CN</v>
      </c>
    </row>
    <row r="598" spans="1:6" x14ac:dyDescent="0.3">
      <c r="A598" t="s">
        <v>2201</v>
      </c>
      <c r="B598">
        <v>1</v>
      </c>
      <c r="D598" t="str">
        <f t="shared" si="30"/>
        <v>0377</v>
      </c>
      <c r="E598" t="str">
        <f t="shared" si="31"/>
        <v>3</v>
      </c>
      <c r="F598" t="str">
        <f t="shared" si="32"/>
        <v>CN</v>
      </c>
    </row>
    <row r="599" spans="1:6" x14ac:dyDescent="0.3">
      <c r="A599" t="s">
        <v>2203</v>
      </c>
      <c r="B599">
        <v>1</v>
      </c>
      <c r="D599" t="str">
        <f t="shared" si="30"/>
        <v>0377</v>
      </c>
      <c r="E599" t="str">
        <f t="shared" si="31"/>
        <v>2</v>
      </c>
      <c r="F599" t="str">
        <f t="shared" si="32"/>
        <v>CR</v>
      </c>
    </row>
    <row r="600" spans="1:6" x14ac:dyDescent="0.3">
      <c r="A600" t="s">
        <v>2711</v>
      </c>
      <c r="B600">
        <v>1</v>
      </c>
      <c r="D600" t="str">
        <f t="shared" si="30"/>
        <v>0377</v>
      </c>
      <c r="E600" t="str">
        <f t="shared" si="31"/>
        <v>1</v>
      </c>
      <c r="F600" t="str">
        <f t="shared" si="32"/>
        <v>MS</v>
      </c>
    </row>
    <row r="601" spans="1:6" x14ac:dyDescent="0.3">
      <c r="A601" t="s">
        <v>2204</v>
      </c>
      <c r="B601">
        <v>1</v>
      </c>
      <c r="D601" t="str">
        <f t="shared" si="30"/>
        <v>0378</v>
      </c>
      <c r="E601" t="str">
        <f t="shared" si="31"/>
        <v/>
      </c>
      <c r="F601" t="str">
        <f t="shared" si="32"/>
        <v>CN</v>
      </c>
    </row>
    <row r="602" spans="1:6" x14ac:dyDescent="0.3">
      <c r="A602" t="s">
        <v>2207</v>
      </c>
      <c r="B602">
        <v>1</v>
      </c>
      <c r="D602" t="str">
        <f t="shared" si="30"/>
        <v>0379</v>
      </c>
      <c r="E602" t="str">
        <f t="shared" si="31"/>
        <v/>
      </c>
      <c r="F602" t="str">
        <f t="shared" si="32"/>
        <v>ES</v>
      </c>
    </row>
    <row r="603" spans="1:6" x14ac:dyDescent="0.3">
      <c r="A603" t="s">
        <v>2209</v>
      </c>
      <c r="B603">
        <v>1</v>
      </c>
      <c r="D603" t="str">
        <f t="shared" si="30"/>
        <v>0380</v>
      </c>
      <c r="E603" t="str">
        <f t="shared" si="31"/>
        <v>1</v>
      </c>
      <c r="F603" t="str">
        <f t="shared" si="32"/>
        <v>CN</v>
      </c>
    </row>
    <row r="604" spans="1:6" x14ac:dyDescent="0.3">
      <c r="A604" t="s">
        <v>2210</v>
      </c>
      <c r="B604">
        <v>1</v>
      </c>
      <c r="D604" t="str">
        <f t="shared" si="30"/>
        <v>0380</v>
      </c>
      <c r="E604" t="str">
        <f t="shared" si="31"/>
        <v>3</v>
      </c>
      <c r="F604" t="str">
        <f t="shared" si="32"/>
        <v>CN</v>
      </c>
    </row>
    <row r="605" spans="1:6" x14ac:dyDescent="0.3">
      <c r="A605" t="s">
        <v>2212</v>
      </c>
      <c r="B605">
        <v>1</v>
      </c>
      <c r="D605" t="str">
        <f t="shared" si="30"/>
        <v>0380</v>
      </c>
      <c r="E605" t="str">
        <f t="shared" si="31"/>
        <v>2</v>
      </c>
      <c r="F605" t="str">
        <f t="shared" si="32"/>
        <v>CR</v>
      </c>
    </row>
    <row r="606" spans="1:6" x14ac:dyDescent="0.3">
      <c r="A606" t="s">
        <v>2214</v>
      </c>
      <c r="B606">
        <v>1</v>
      </c>
      <c r="D606" t="str">
        <f t="shared" si="30"/>
        <v>0381</v>
      </c>
      <c r="E606" t="str">
        <f t="shared" si="31"/>
        <v/>
      </c>
      <c r="F606" t="str">
        <f t="shared" si="32"/>
        <v>CN</v>
      </c>
    </row>
    <row r="607" spans="1:6" x14ac:dyDescent="0.3">
      <c r="A607" t="s">
        <v>2217</v>
      </c>
      <c r="B607">
        <v>1</v>
      </c>
      <c r="D607" t="str">
        <f t="shared" si="30"/>
        <v>0382</v>
      </c>
      <c r="E607" t="str">
        <f t="shared" si="31"/>
        <v/>
      </c>
      <c r="F607" t="str">
        <f t="shared" si="32"/>
        <v>CN</v>
      </c>
    </row>
    <row r="608" spans="1:6" x14ac:dyDescent="0.3">
      <c r="A608" t="s">
        <v>2219</v>
      </c>
      <c r="B608">
        <v>1</v>
      </c>
      <c r="D608" t="str">
        <f t="shared" si="30"/>
        <v>0383</v>
      </c>
      <c r="E608" t="str">
        <f t="shared" si="31"/>
        <v/>
      </c>
      <c r="F608" t="str">
        <f t="shared" si="32"/>
        <v>CN</v>
      </c>
    </row>
    <row r="609" spans="1:6" x14ac:dyDescent="0.3">
      <c r="A609" t="s">
        <v>2221</v>
      </c>
      <c r="B609">
        <v>1</v>
      </c>
      <c r="D609" t="str">
        <f t="shared" si="30"/>
        <v>0384</v>
      </c>
      <c r="E609" t="str">
        <f t="shared" si="31"/>
        <v/>
      </c>
      <c r="F609" t="str">
        <f t="shared" si="32"/>
        <v>CN</v>
      </c>
    </row>
    <row r="610" spans="1:6" x14ac:dyDescent="0.3">
      <c r="A610" t="s">
        <v>2223</v>
      </c>
      <c r="B610">
        <v>1</v>
      </c>
      <c r="D610" t="str">
        <f t="shared" si="30"/>
        <v>0385</v>
      </c>
      <c r="E610" t="str">
        <f t="shared" si="31"/>
        <v>3</v>
      </c>
      <c r="F610" t="str">
        <f t="shared" si="32"/>
        <v>ES</v>
      </c>
    </row>
    <row r="611" spans="1:6" x14ac:dyDescent="0.3">
      <c r="A611" t="s">
        <v>2225</v>
      </c>
      <c r="B611">
        <v>1</v>
      </c>
      <c r="D611" t="str">
        <f t="shared" si="30"/>
        <v>0385</v>
      </c>
      <c r="E611" t="str">
        <f t="shared" si="31"/>
        <v>2</v>
      </c>
      <c r="F611" t="str">
        <f t="shared" si="32"/>
        <v>FR</v>
      </c>
    </row>
    <row r="612" spans="1:6" x14ac:dyDescent="0.3">
      <c r="A612" t="s">
        <v>2632</v>
      </c>
      <c r="B612">
        <v>1</v>
      </c>
      <c r="D612" t="str">
        <f t="shared" si="30"/>
        <v>0385</v>
      </c>
      <c r="E612" t="str">
        <f t="shared" si="31"/>
        <v>1</v>
      </c>
      <c r="F612" t="str">
        <f t="shared" si="32"/>
        <v>MS</v>
      </c>
    </row>
    <row r="613" spans="1:6" x14ac:dyDescent="0.3">
      <c r="A613" t="s">
        <v>2589</v>
      </c>
      <c r="B613">
        <v>1</v>
      </c>
      <c r="D613" t="str">
        <f t="shared" si="30"/>
        <v>0386</v>
      </c>
      <c r="E613" t="str">
        <f t="shared" si="31"/>
        <v/>
      </c>
      <c r="F613" t="str">
        <f t="shared" si="32"/>
        <v>MS</v>
      </c>
    </row>
    <row r="614" spans="1:6" x14ac:dyDescent="0.3">
      <c r="A614" t="s">
        <v>2228</v>
      </c>
      <c r="B614">
        <v>1</v>
      </c>
      <c r="D614" t="str">
        <f t="shared" si="30"/>
        <v>0387</v>
      </c>
      <c r="E614" t="str">
        <f t="shared" si="31"/>
        <v>1</v>
      </c>
      <c r="F614" t="str">
        <f t="shared" si="32"/>
        <v>CN</v>
      </c>
    </row>
    <row r="615" spans="1:6" x14ac:dyDescent="0.3">
      <c r="A615" t="s">
        <v>2229</v>
      </c>
      <c r="B615">
        <v>1</v>
      </c>
      <c r="D615" t="str">
        <f t="shared" si="30"/>
        <v>0387</v>
      </c>
      <c r="E615" t="str">
        <f t="shared" si="31"/>
        <v>3</v>
      </c>
      <c r="F615" t="str">
        <f t="shared" si="32"/>
        <v>CN</v>
      </c>
    </row>
    <row r="616" spans="1:6" x14ac:dyDescent="0.3">
      <c r="A616" t="s">
        <v>2230</v>
      </c>
      <c r="B616">
        <v>1</v>
      </c>
      <c r="D616" t="str">
        <f t="shared" si="30"/>
        <v>0387</v>
      </c>
      <c r="E616" t="str">
        <f t="shared" si="31"/>
        <v>2</v>
      </c>
      <c r="F616" t="str">
        <f t="shared" si="32"/>
        <v>CR</v>
      </c>
    </row>
    <row r="617" spans="1:6" x14ac:dyDescent="0.3">
      <c r="A617" t="s">
        <v>2231</v>
      </c>
      <c r="B617">
        <v>1</v>
      </c>
      <c r="D617" t="str">
        <f t="shared" si="30"/>
        <v>0388</v>
      </c>
      <c r="E617" t="str">
        <f t="shared" si="31"/>
        <v/>
      </c>
      <c r="F617" t="str">
        <f t="shared" si="32"/>
        <v>CN</v>
      </c>
    </row>
    <row r="618" spans="1:6" x14ac:dyDescent="0.3">
      <c r="A618" t="s">
        <v>2233</v>
      </c>
      <c r="B618">
        <v>1</v>
      </c>
      <c r="D618" t="str">
        <f t="shared" si="30"/>
        <v>0389</v>
      </c>
      <c r="E618" t="str">
        <f t="shared" si="31"/>
        <v/>
      </c>
      <c r="F618" t="str">
        <f t="shared" si="32"/>
        <v>CN</v>
      </c>
    </row>
    <row r="619" spans="1:6" x14ac:dyDescent="0.3">
      <c r="A619" t="s">
        <v>2235</v>
      </c>
      <c r="B619">
        <v>1</v>
      </c>
      <c r="D619" t="str">
        <f t="shared" si="30"/>
        <v>0390</v>
      </c>
      <c r="E619" t="str">
        <f t="shared" si="31"/>
        <v/>
      </c>
      <c r="F619" t="str">
        <f t="shared" si="32"/>
        <v>CN</v>
      </c>
    </row>
    <row r="620" spans="1:6" x14ac:dyDescent="0.3">
      <c r="A620" t="s">
        <v>2238</v>
      </c>
      <c r="B620">
        <v>1</v>
      </c>
      <c r="D620" t="str">
        <f t="shared" si="30"/>
        <v>0391</v>
      </c>
      <c r="E620" t="str">
        <f t="shared" si="31"/>
        <v>3</v>
      </c>
      <c r="F620" t="str">
        <f t="shared" si="32"/>
        <v>CN</v>
      </c>
    </row>
    <row r="621" spans="1:6" x14ac:dyDescent="0.3">
      <c r="A621" t="s">
        <v>2242</v>
      </c>
      <c r="B621">
        <v>1</v>
      </c>
      <c r="D621" t="str">
        <f t="shared" si="30"/>
        <v>0391</v>
      </c>
      <c r="E621" t="str">
        <f t="shared" si="31"/>
        <v>1</v>
      </c>
      <c r="F621" t="str">
        <f t="shared" si="32"/>
        <v>DN</v>
      </c>
    </row>
    <row r="622" spans="1:6" x14ac:dyDescent="0.3">
      <c r="A622" t="s">
        <v>2243</v>
      </c>
      <c r="B622">
        <v>1</v>
      </c>
      <c r="D622" t="str">
        <f t="shared" si="30"/>
        <v>0391</v>
      </c>
      <c r="E622" t="str">
        <f t="shared" si="31"/>
        <v>2</v>
      </c>
      <c r="F622" t="str">
        <f t="shared" si="32"/>
        <v>DR</v>
      </c>
    </row>
    <row r="623" spans="1:6" x14ac:dyDescent="0.3">
      <c r="A623" t="s">
        <v>2245</v>
      </c>
      <c r="B623">
        <v>1</v>
      </c>
      <c r="D623" t="str">
        <f t="shared" si="30"/>
        <v>0392</v>
      </c>
      <c r="E623" t="str">
        <f t="shared" si="31"/>
        <v>1</v>
      </c>
      <c r="F623" t="str">
        <f t="shared" si="32"/>
        <v>CN</v>
      </c>
    </row>
    <row r="624" spans="1:6" x14ac:dyDescent="0.3">
      <c r="A624" t="s">
        <v>2247</v>
      </c>
      <c r="B624">
        <v>1</v>
      </c>
      <c r="D624" t="str">
        <f t="shared" si="30"/>
        <v>0392</v>
      </c>
      <c r="E624" t="str">
        <f t="shared" si="31"/>
        <v>2</v>
      </c>
      <c r="F624" t="str">
        <f t="shared" si="32"/>
        <v>CR</v>
      </c>
    </row>
    <row r="625" spans="1:6" x14ac:dyDescent="0.3">
      <c r="A625" t="s">
        <v>2248</v>
      </c>
      <c r="B625">
        <v>1</v>
      </c>
      <c r="D625" t="str">
        <f t="shared" si="30"/>
        <v>0392</v>
      </c>
      <c r="E625" t="str">
        <f t="shared" si="31"/>
        <v>3</v>
      </c>
      <c r="F625" t="str">
        <f t="shared" si="32"/>
        <v>CS</v>
      </c>
    </row>
    <row r="626" spans="1:6" x14ac:dyDescent="0.3">
      <c r="A626" t="s">
        <v>2249</v>
      </c>
      <c r="B626">
        <v>1</v>
      </c>
      <c r="D626" t="str">
        <f t="shared" si="30"/>
        <v>0393</v>
      </c>
      <c r="E626" t="str">
        <f t="shared" si="31"/>
        <v/>
      </c>
      <c r="F626" t="str">
        <f t="shared" si="32"/>
        <v>CN</v>
      </c>
    </row>
    <row r="627" spans="1:6" x14ac:dyDescent="0.3">
      <c r="A627" t="s">
        <v>2253</v>
      </c>
      <c r="B627">
        <v>1</v>
      </c>
      <c r="D627" t="str">
        <f t="shared" si="30"/>
        <v>0394</v>
      </c>
      <c r="E627" t="str">
        <f t="shared" si="31"/>
        <v/>
      </c>
      <c r="F627" t="str">
        <f t="shared" si="32"/>
        <v>CN</v>
      </c>
    </row>
    <row r="628" spans="1:6" x14ac:dyDescent="0.3">
      <c r="A628" t="s">
        <v>2255</v>
      </c>
      <c r="B628">
        <v>1</v>
      </c>
      <c r="D628" t="str">
        <f t="shared" si="30"/>
        <v>0395</v>
      </c>
      <c r="E628" t="str">
        <f t="shared" si="31"/>
        <v/>
      </c>
      <c r="F628" t="str">
        <f t="shared" si="32"/>
        <v>CN</v>
      </c>
    </row>
    <row r="629" spans="1:6" x14ac:dyDescent="0.3">
      <c r="A629" t="s">
        <v>2257</v>
      </c>
      <c r="B629">
        <v>1</v>
      </c>
      <c r="D629" t="str">
        <f t="shared" si="30"/>
        <v>0396</v>
      </c>
      <c r="E629" t="str">
        <f t="shared" si="31"/>
        <v/>
      </c>
      <c r="F629" t="str">
        <f t="shared" si="32"/>
        <v>CN</v>
      </c>
    </row>
    <row r="630" spans="1:6" x14ac:dyDescent="0.3">
      <c r="A630" t="s">
        <v>2260</v>
      </c>
      <c r="B630">
        <v>1</v>
      </c>
      <c r="D630" t="str">
        <f t="shared" si="30"/>
        <v>0397</v>
      </c>
      <c r="E630" t="str">
        <f t="shared" si="31"/>
        <v>1</v>
      </c>
      <c r="F630" t="str">
        <f t="shared" si="32"/>
        <v>CN</v>
      </c>
    </row>
    <row r="631" spans="1:6" x14ac:dyDescent="0.3">
      <c r="A631" t="s">
        <v>2261</v>
      </c>
      <c r="B631">
        <v>1</v>
      </c>
      <c r="D631" t="str">
        <f t="shared" si="30"/>
        <v>0397</v>
      </c>
      <c r="E631" t="str">
        <f t="shared" si="31"/>
        <v>3</v>
      </c>
      <c r="F631" t="str">
        <f t="shared" si="32"/>
        <v>CN</v>
      </c>
    </row>
    <row r="632" spans="1:6" x14ac:dyDescent="0.3">
      <c r="A632" t="s">
        <v>2263</v>
      </c>
      <c r="B632">
        <v>1</v>
      </c>
      <c r="D632" t="str">
        <f t="shared" si="30"/>
        <v>0397</v>
      </c>
      <c r="E632" t="str">
        <f t="shared" si="31"/>
        <v>2</v>
      </c>
      <c r="F632" t="str">
        <f t="shared" si="32"/>
        <v>CR</v>
      </c>
    </row>
    <row r="633" spans="1:6" x14ac:dyDescent="0.3">
      <c r="A633" t="s">
        <v>2266</v>
      </c>
      <c r="B633">
        <v>1</v>
      </c>
      <c r="D633" t="str">
        <f t="shared" si="30"/>
        <v>0398</v>
      </c>
      <c r="E633" t="str">
        <f t="shared" si="31"/>
        <v>1</v>
      </c>
      <c r="F633" t="str">
        <f t="shared" si="32"/>
        <v>CN</v>
      </c>
    </row>
    <row r="634" spans="1:6" x14ac:dyDescent="0.3">
      <c r="A634" t="s">
        <v>2267</v>
      </c>
      <c r="B634">
        <v>1</v>
      </c>
      <c r="D634" t="str">
        <f t="shared" si="30"/>
        <v>0398</v>
      </c>
      <c r="E634" t="str">
        <f t="shared" si="31"/>
        <v>3</v>
      </c>
      <c r="F634" t="str">
        <f t="shared" si="32"/>
        <v>CN</v>
      </c>
    </row>
    <row r="635" spans="1:6" x14ac:dyDescent="0.3">
      <c r="A635" t="s">
        <v>2269</v>
      </c>
      <c r="B635">
        <v>1</v>
      </c>
      <c r="D635" t="str">
        <f t="shared" si="30"/>
        <v>0398</v>
      </c>
      <c r="E635" t="str">
        <f t="shared" si="31"/>
        <v>2</v>
      </c>
      <c r="F635" t="str">
        <f t="shared" si="32"/>
        <v>CR</v>
      </c>
    </row>
    <row r="636" spans="1:6" x14ac:dyDescent="0.3">
      <c r="A636" t="s">
        <v>2272</v>
      </c>
      <c r="B636">
        <v>1</v>
      </c>
      <c r="D636" t="str">
        <f t="shared" si="30"/>
        <v>0399</v>
      </c>
      <c r="E636" t="str">
        <f t="shared" si="31"/>
        <v>2</v>
      </c>
      <c r="F636" t="str">
        <f t="shared" si="32"/>
        <v>DR</v>
      </c>
    </row>
    <row r="637" spans="1:6" x14ac:dyDescent="0.3">
      <c r="A637" t="s">
        <v>2273</v>
      </c>
      <c r="B637">
        <v>1</v>
      </c>
      <c r="D637" t="str">
        <f t="shared" si="30"/>
        <v>0399</v>
      </c>
      <c r="E637" t="str">
        <f t="shared" si="31"/>
        <v>1</v>
      </c>
      <c r="F637" t="str">
        <f t="shared" si="32"/>
        <v>ES</v>
      </c>
    </row>
    <row r="638" spans="1:6" x14ac:dyDescent="0.3">
      <c r="A638" t="s">
        <v>2274</v>
      </c>
      <c r="B638">
        <v>1</v>
      </c>
      <c r="D638" t="str">
        <f t="shared" si="30"/>
        <v>0399</v>
      </c>
      <c r="E638" t="str">
        <f t="shared" si="31"/>
        <v>3</v>
      </c>
      <c r="F638" t="str">
        <f t="shared" si="32"/>
        <v>ES</v>
      </c>
    </row>
    <row r="639" spans="1:6" x14ac:dyDescent="0.3">
      <c r="A639" t="s">
        <v>2712</v>
      </c>
      <c r="B639">
        <v>1</v>
      </c>
      <c r="D639" t="str">
        <f t="shared" si="30"/>
        <v>0400</v>
      </c>
      <c r="E639" t="str">
        <f t="shared" si="31"/>
        <v/>
      </c>
      <c r="F639" t="str">
        <f t="shared" si="32"/>
        <v>MS</v>
      </c>
    </row>
    <row r="640" spans="1:6" x14ac:dyDescent="0.3">
      <c r="A640" t="s">
        <v>2278</v>
      </c>
      <c r="B640">
        <v>1</v>
      </c>
      <c r="D640" t="str">
        <f t="shared" si="30"/>
        <v>0401</v>
      </c>
      <c r="E640" t="str">
        <f t="shared" si="31"/>
        <v/>
      </c>
      <c r="F640" t="str">
        <f t="shared" si="32"/>
        <v>DS</v>
      </c>
    </row>
    <row r="641" spans="1:6" x14ac:dyDescent="0.3">
      <c r="A641" t="s">
        <v>2280</v>
      </c>
      <c r="B641">
        <v>1</v>
      </c>
      <c r="D641" t="str">
        <f t="shared" si="30"/>
        <v>0402</v>
      </c>
      <c r="E641" t="str">
        <f t="shared" si="31"/>
        <v/>
      </c>
      <c r="F641" t="str">
        <f t="shared" si="32"/>
        <v>CN</v>
      </c>
    </row>
    <row r="642" spans="1:6" x14ac:dyDescent="0.3">
      <c r="A642" t="s">
        <v>2282</v>
      </c>
      <c r="B642">
        <v>1</v>
      </c>
      <c r="D642" t="str">
        <f t="shared" si="30"/>
        <v>0403</v>
      </c>
      <c r="E642" t="str">
        <f t="shared" si="31"/>
        <v/>
      </c>
      <c r="F642" t="str">
        <f t="shared" si="32"/>
        <v>CN</v>
      </c>
    </row>
    <row r="643" spans="1:6" x14ac:dyDescent="0.3">
      <c r="A643" t="s">
        <v>2285</v>
      </c>
      <c r="B643">
        <v>1</v>
      </c>
      <c r="D643" t="str">
        <f t="shared" ref="D643:D706" si="33">IF(LEFT(A643,2)="SP",MID(A643,4,4),IF(LEFT(A643,1)="X",MID(A643,3,4),""))</f>
        <v>0404</v>
      </c>
      <c r="E643" t="str">
        <f t="shared" ref="E643:E706" si="34">IF(OR(LEFT(A643,2)="SP",AND(LEFT(A643,1)="X",LEN(A643)&gt;9)),RIGHT(A643,1),"")</f>
        <v/>
      </c>
      <c r="F643" t="str">
        <f t="shared" ref="F643:F706" si="35">IF(LEFT(A643,1)="X",MID(A643,8,2),"")</f>
        <v>CN</v>
      </c>
    </row>
    <row r="644" spans="1:6" x14ac:dyDescent="0.3">
      <c r="A644" t="s">
        <v>2287</v>
      </c>
      <c r="B644">
        <v>1</v>
      </c>
      <c r="D644" t="str">
        <f t="shared" si="33"/>
        <v>0405</v>
      </c>
      <c r="E644" t="str">
        <f t="shared" si="34"/>
        <v/>
      </c>
      <c r="F644" t="str">
        <f t="shared" si="35"/>
        <v>CN</v>
      </c>
    </row>
    <row r="645" spans="1:6" x14ac:dyDescent="0.3">
      <c r="A645" t="s">
        <v>2713</v>
      </c>
      <c r="B645">
        <v>1</v>
      </c>
      <c r="D645" t="str">
        <f t="shared" si="33"/>
        <v>0406</v>
      </c>
      <c r="E645" t="str">
        <f t="shared" si="34"/>
        <v/>
      </c>
      <c r="F645" t="str">
        <f t="shared" si="35"/>
        <v>MS</v>
      </c>
    </row>
    <row r="646" spans="1:6" x14ac:dyDescent="0.3">
      <c r="A646" t="s">
        <v>2292</v>
      </c>
      <c r="B646">
        <v>1</v>
      </c>
      <c r="D646" t="str">
        <f t="shared" si="33"/>
        <v>0407</v>
      </c>
      <c r="E646" t="str">
        <f t="shared" si="34"/>
        <v/>
      </c>
      <c r="F646" t="str">
        <f t="shared" si="35"/>
        <v>CN</v>
      </c>
    </row>
    <row r="647" spans="1:6" x14ac:dyDescent="0.3">
      <c r="A647" t="s">
        <v>2294</v>
      </c>
      <c r="B647">
        <v>1</v>
      </c>
      <c r="D647" t="str">
        <f t="shared" si="33"/>
        <v>0408</v>
      </c>
      <c r="E647" t="str">
        <f t="shared" si="34"/>
        <v/>
      </c>
      <c r="F647" t="str">
        <f t="shared" si="35"/>
        <v>CN</v>
      </c>
    </row>
    <row r="648" spans="1:6" x14ac:dyDescent="0.3">
      <c r="A648" t="s">
        <v>2296</v>
      </c>
      <c r="B648">
        <v>1</v>
      </c>
      <c r="D648" t="str">
        <f t="shared" si="33"/>
        <v>0409</v>
      </c>
      <c r="E648" t="str">
        <f t="shared" si="34"/>
        <v/>
      </c>
      <c r="F648" t="str">
        <f t="shared" si="35"/>
        <v>CN</v>
      </c>
    </row>
    <row r="649" spans="1:6" x14ac:dyDescent="0.3">
      <c r="A649" t="s">
        <v>2298</v>
      </c>
      <c r="B649">
        <v>1</v>
      </c>
      <c r="D649" t="str">
        <f t="shared" si="33"/>
        <v>0410</v>
      </c>
      <c r="E649" t="str">
        <f t="shared" si="34"/>
        <v/>
      </c>
      <c r="F649" t="str">
        <f t="shared" si="35"/>
        <v>CN</v>
      </c>
    </row>
    <row r="650" spans="1:6" x14ac:dyDescent="0.3">
      <c r="A650" t="s">
        <v>2300</v>
      </c>
      <c r="B650">
        <v>1</v>
      </c>
      <c r="D650" t="str">
        <f t="shared" si="33"/>
        <v>0411</v>
      </c>
      <c r="E650" t="str">
        <f t="shared" si="34"/>
        <v/>
      </c>
      <c r="F650" t="str">
        <f t="shared" si="35"/>
        <v>CN</v>
      </c>
    </row>
    <row r="651" spans="1:6" x14ac:dyDescent="0.3">
      <c r="A651" t="s">
        <v>2302</v>
      </c>
      <c r="B651">
        <v>1</v>
      </c>
      <c r="D651" t="str">
        <f t="shared" si="33"/>
        <v>0412</v>
      </c>
      <c r="E651" t="str">
        <f t="shared" si="34"/>
        <v/>
      </c>
      <c r="F651" t="str">
        <f t="shared" si="35"/>
        <v>CN</v>
      </c>
    </row>
    <row r="652" spans="1:6" x14ac:dyDescent="0.3">
      <c r="A652" t="s">
        <v>2304</v>
      </c>
      <c r="B652">
        <v>1</v>
      </c>
      <c r="D652" t="str">
        <f t="shared" si="33"/>
        <v>0413</v>
      </c>
      <c r="E652" t="str">
        <f t="shared" si="34"/>
        <v/>
      </c>
      <c r="F652" t="str">
        <f t="shared" si="35"/>
        <v>CN</v>
      </c>
    </row>
    <row r="653" spans="1:6" x14ac:dyDescent="0.3">
      <c r="A653" t="s">
        <v>2307</v>
      </c>
      <c r="B653">
        <v>1</v>
      </c>
      <c r="D653" t="str">
        <f t="shared" si="33"/>
        <v>0414</v>
      </c>
      <c r="E653" t="str">
        <f t="shared" si="34"/>
        <v/>
      </c>
      <c r="F653" t="str">
        <f t="shared" si="35"/>
        <v>CN</v>
      </c>
    </row>
    <row r="654" spans="1:6" x14ac:dyDescent="0.3">
      <c r="A654" t="s">
        <v>2309</v>
      </c>
      <c r="B654">
        <v>1</v>
      </c>
      <c r="D654" t="str">
        <f t="shared" si="33"/>
        <v>0415</v>
      </c>
      <c r="E654" t="str">
        <f t="shared" si="34"/>
        <v/>
      </c>
      <c r="F654" t="str">
        <f t="shared" si="35"/>
        <v>CN</v>
      </c>
    </row>
    <row r="655" spans="1:6" x14ac:dyDescent="0.3">
      <c r="A655" t="s">
        <v>2311</v>
      </c>
      <c r="B655">
        <v>1</v>
      </c>
      <c r="D655" t="str">
        <f t="shared" si="33"/>
        <v>0416</v>
      </c>
      <c r="E655" t="str">
        <f t="shared" si="34"/>
        <v/>
      </c>
      <c r="F655" t="str">
        <f t="shared" si="35"/>
        <v>CN</v>
      </c>
    </row>
    <row r="656" spans="1:6" x14ac:dyDescent="0.3">
      <c r="A656" t="s">
        <v>2315</v>
      </c>
      <c r="B656">
        <v>1</v>
      </c>
      <c r="D656" t="str">
        <f t="shared" si="33"/>
        <v>0417</v>
      </c>
      <c r="E656" t="str">
        <f t="shared" si="34"/>
        <v/>
      </c>
      <c r="F656" t="str">
        <f t="shared" si="35"/>
        <v>DN</v>
      </c>
    </row>
    <row r="657" spans="1:6" x14ac:dyDescent="0.3">
      <c r="A657" t="s">
        <v>2316</v>
      </c>
      <c r="B657">
        <v>1</v>
      </c>
      <c r="D657" t="str">
        <f t="shared" si="33"/>
        <v>0418</v>
      </c>
      <c r="E657" t="str">
        <f t="shared" si="34"/>
        <v/>
      </c>
      <c r="F657" t="str">
        <f t="shared" si="35"/>
        <v>CN</v>
      </c>
    </row>
    <row r="658" spans="1:6" x14ac:dyDescent="0.3">
      <c r="A658" t="s">
        <v>2320</v>
      </c>
      <c r="B658">
        <v>1</v>
      </c>
      <c r="D658" t="str">
        <f t="shared" si="33"/>
        <v>0419</v>
      </c>
      <c r="E658" t="str">
        <f t="shared" si="34"/>
        <v/>
      </c>
      <c r="F658" t="str">
        <f t="shared" si="35"/>
        <v>CN</v>
      </c>
    </row>
    <row r="659" spans="1:6" x14ac:dyDescent="0.3">
      <c r="A659" t="s">
        <v>2322</v>
      </c>
      <c r="B659">
        <v>1</v>
      </c>
      <c r="D659" t="str">
        <f t="shared" si="33"/>
        <v>0420</v>
      </c>
      <c r="E659" t="str">
        <f t="shared" si="34"/>
        <v/>
      </c>
      <c r="F659" t="str">
        <f t="shared" si="35"/>
        <v>CN</v>
      </c>
    </row>
    <row r="660" spans="1:6" x14ac:dyDescent="0.3">
      <c r="A660" t="s">
        <v>2326</v>
      </c>
      <c r="B660">
        <v>1</v>
      </c>
      <c r="D660" t="str">
        <f t="shared" si="33"/>
        <v>0421</v>
      </c>
      <c r="E660" t="str">
        <f t="shared" si="34"/>
        <v/>
      </c>
      <c r="F660" t="str">
        <f t="shared" si="35"/>
        <v>CN</v>
      </c>
    </row>
    <row r="661" spans="1:6" x14ac:dyDescent="0.3">
      <c r="A661" t="s">
        <v>2331</v>
      </c>
      <c r="B661">
        <v>1</v>
      </c>
      <c r="D661" t="str">
        <f t="shared" si="33"/>
        <v>0422</v>
      </c>
      <c r="E661" t="str">
        <f t="shared" si="34"/>
        <v/>
      </c>
      <c r="F661" t="str">
        <f t="shared" si="35"/>
        <v>CN</v>
      </c>
    </row>
    <row r="662" spans="1:6" x14ac:dyDescent="0.3">
      <c r="A662" t="s">
        <v>2333</v>
      </c>
      <c r="B662">
        <v>1</v>
      </c>
      <c r="D662" t="str">
        <f t="shared" si="33"/>
        <v>0423</v>
      </c>
      <c r="E662" t="str">
        <f t="shared" si="34"/>
        <v/>
      </c>
      <c r="F662" t="str">
        <f t="shared" si="35"/>
        <v>CN</v>
      </c>
    </row>
    <row r="663" spans="1:6" x14ac:dyDescent="0.3">
      <c r="A663" t="s">
        <v>2335</v>
      </c>
      <c r="B663">
        <v>1</v>
      </c>
      <c r="D663" t="str">
        <f t="shared" si="33"/>
        <v>0424</v>
      </c>
      <c r="E663" t="str">
        <f t="shared" si="34"/>
        <v/>
      </c>
      <c r="F663" t="str">
        <f t="shared" si="35"/>
        <v>CN</v>
      </c>
    </row>
    <row r="664" spans="1:6" x14ac:dyDescent="0.3">
      <c r="A664" t="s">
        <v>2337</v>
      </c>
      <c r="B664">
        <v>1</v>
      </c>
      <c r="D664" t="str">
        <f t="shared" si="33"/>
        <v>0425</v>
      </c>
      <c r="E664" t="str">
        <f t="shared" si="34"/>
        <v>1</v>
      </c>
      <c r="F664" t="str">
        <f t="shared" si="35"/>
        <v>CN</v>
      </c>
    </row>
    <row r="665" spans="1:6" x14ac:dyDescent="0.3">
      <c r="A665" t="s">
        <v>2338</v>
      </c>
      <c r="B665">
        <v>1</v>
      </c>
      <c r="D665" t="str">
        <f t="shared" si="33"/>
        <v>0425</v>
      </c>
      <c r="E665" t="str">
        <f t="shared" si="34"/>
        <v>3</v>
      </c>
      <c r="F665" t="str">
        <f t="shared" si="35"/>
        <v>CN</v>
      </c>
    </row>
    <row r="666" spans="1:6" x14ac:dyDescent="0.3">
      <c r="A666" t="s">
        <v>2340</v>
      </c>
      <c r="B666">
        <v>1</v>
      </c>
      <c r="D666" t="str">
        <f t="shared" si="33"/>
        <v>0425</v>
      </c>
      <c r="E666" t="str">
        <f t="shared" si="34"/>
        <v>2</v>
      </c>
      <c r="F666" t="str">
        <f t="shared" si="35"/>
        <v>CR</v>
      </c>
    </row>
    <row r="667" spans="1:6" x14ac:dyDescent="0.3">
      <c r="A667" t="s">
        <v>2714</v>
      </c>
      <c r="B667">
        <v>1</v>
      </c>
      <c r="D667" t="str">
        <f t="shared" si="33"/>
        <v>0426</v>
      </c>
      <c r="E667" t="str">
        <f t="shared" si="34"/>
        <v/>
      </c>
      <c r="F667" t="str">
        <f t="shared" si="35"/>
        <v>MS</v>
      </c>
    </row>
    <row r="668" spans="1:6" x14ac:dyDescent="0.3">
      <c r="A668" t="s">
        <v>2344</v>
      </c>
      <c r="B668">
        <v>1</v>
      </c>
      <c r="D668" t="str">
        <f t="shared" si="33"/>
        <v>0427</v>
      </c>
      <c r="E668" t="str">
        <f t="shared" si="34"/>
        <v/>
      </c>
      <c r="F668" t="str">
        <f t="shared" si="35"/>
        <v>CN</v>
      </c>
    </row>
    <row r="669" spans="1:6" x14ac:dyDescent="0.3">
      <c r="A669" t="s">
        <v>2715</v>
      </c>
      <c r="B669">
        <v>1</v>
      </c>
      <c r="D669" t="str">
        <f t="shared" si="33"/>
        <v>0428</v>
      </c>
      <c r="E669" t="str">
        <f t="shared" si="34"/>
        <v/>
      </c>
      <c r="F669" t="str">
        <f t="shared" si="35"/>
        <v>MS</v>
      </c>
    </row>
    <row r="670" spans="1:6" x14ac:dyDescent="0.3">
      <c r="A670" t="s">
        <v>2348</v>
      </c>
      <c r="B670">
        <v>1</v>
      </c>
      <c r="D670" t="str">
        <f t="shared" si="33"/>
        <v>0429</v>
      </c>
      <c r="E670" t="str">
        <f t="shared" si="34"/>
        <v/>
      </c>
      <c r="F670" t="str">
        <f t="shared" si="35"/>
        <v>CN</v>
      </c>
    </row>
    <row r="671" spans="1:6" x14ac:dyDescent="0.3">
      <c r="A671" t="s">
        <v>2350</v>
      </c>
      <c r="B671">
        <v>1</v>
      </c>
      <c r="D671" t="str">
        <f t="shared" si="33"/>
        <v>0430</v>
      </c>
      <c r="E671" t="str">
        <f t="shared" si="34"/>
        <v/>
      </c>
      <c r="F671" t="str">
        <f t="shared" si="35"/>
        <v>CN</v>
      </c>
    </row>
    <row r="672" spans="1:6" x14ac:dyDescent="0.3">
      <c r="A672" t="s">
        <v>2352</v>
      </c>
      <c r="B672">
        <v>1</v>
      </c>
      <c r="D672" t="str">
        <f t="shared" si="33"/>
        <v>0431</v>
      </c>
      <c r="E672" t="str">
        <f t="shared" si="34"/>
        <v/>
      </c>
      <c r="F672" t="str">
        <f t="shared" si="35"/>
        <v>CN</v>
      </c>
    </row>
    <row r="673" spans="1:6" x14ac:dyDescent="0.3">
      <c r="A673" t="s">
        <v>2355</v>
      </c>
      <c r="B673">
        <v>1</v>
      </c>
      <c r="D673" t="str">
        <f t="shared" si="33"/>
        <v>0432</v>
      </c>
      <c r="E673" t="str">
        <f t="shared" si="34"/>
        <v/>
      </c>
      <c r="F673" t="str">
        <f t="shared" si="35"/>
        <v>CN</v>
      </c>
    </row>
    <row r="674" spans="1:6" x14ac:dyDescent="0.3">
      <c r="A674" t="s">
        <v>2358</v>
      </c>
      <c r="B674">
        <v>1</v>
      </c>
      <c r="D674" t="str">
        <f t="shared" si="33"/>
        <v>0433</v>
      </c>
      <c r="E674" t="str">
        <f t="shared" si="34"/>
        <v/>
      </c>
      <c r="F674" t="str">
        <f t="shared" si="35"/>
        <v>CN</v>
      </c>
    </row>
    <row r="675" spans="1:6" x14ac:dyDescent="0.3">
      <c r="A675" t="s">
        <v>2362</v>
      </c>
      <c r="B675">
        <v>1</v>
      </c>
      <c r="D675" t="str">
        <f t="shared" si="33"/>
        <v>0434</v>
      </c>
      <c r="E675" t="str">
        <f t="shared" si="34"/>
        <v>1</v>
      </c>
      <c r="F675" t="str">
        <f t="shared" si="35"/>
        <v>CN</v>
      </c>
    </row>
    <row r="676" spans="1:6" x14ac:dyDescent="0.3">
      <c r="A676" t="s">
        <v>2364</v>
      </c>
      <c r="B676">
        <v>1</v>
      </c>
      <c r="D676" t="str">
        <f t="shared" si="33"/>
        <v>0434</v>
      </c>
      <c r="E676" t="str">
        <f t="shared" si="34"/>
        <v>2</v>
      </c>
      <c r="F676" t="str">
        <f t="shared" si="35"/>
        <v>CR</v>
      </c>
    </row>
    <row r="677" spans="1:6" x14ac:dyDescent="0.3">
      <c r="A677" t="s">
        <v>2365</v>
      </c>
      <c r="B677">
        <v>1</v>
      </c>
      <c r="D677" t="str">
        <f t="shared" si="33"/>
        <v>0434</v>
      </c>
      <c r="E677" t="str">
        <f t="shared" si="34"/>
        <v>3</v>
      </c>
      <c r="F677" t="str">
        <f t="shared" si="35"/>
        <v>CS</v>
      </c>
    </row>
    <row r="678" spans="1:6" x14ac:dyDescent="0.3">
      <c r="A678" t="s">
        <v>2367</v>
      </c>
      <c r="B678">
        <v>1</v>
      </c>
      <c r="D678" t="str">
        <f t="shared" si="33"/>
        <v>0435</v>
      </c>
      <c r="E678" t="str">
        <f t="shared" si="34"/>
        <v>1</v>
      </c>
      <c r="F678" t="str">
        <f t="shared" si="35"/>
        <v>CN</v>
      </c>
    </row>
    <row r="679" spans="1:6" x14ac:dyDescent="0.3">
      <c r="A679" t="s">
        <v>2368</v>
      </c>
      <c r="B679">
        <v>1</v>
      </c>
      <c r="D679" t="str">
        <f t="shared" si="33"/>
        <v>0435</v>
      </c>
      <c r="E679" t="str">
        <f t="shared" si="34"/>
        <v>3</v>
      </c>
      <c r="F679" t="str">
        <f t="shared" si="35"/>
        <v>CN</v>
      </c>
    </row>
    <row r="680" spans="1:6" x14ac:dyDescent="0.3">
      <c r="A680" t="s">
        <v>2716</v>
      </c>
      <c r="B680">
        <v>1</v>
      </c>
      <c r="D680" t="str">
        <f t="shared" si="33"/>
        <v>0435</v>
      </c>
      <c r="E680" t="str">
        <f t="shared" si="34"/>
        <v>2</v>
      </c>
      <c r="F680" t="str">
        <f t="shared" si="35"/>
        <v>FR</v>
      </c>
    </row>
    <row r="681" spans="1:6" x14ac:dyDescent="0.3">
      <c r="A681" t="s">
        <v>2371</v>
      </c>
      <c r="B681">
        <v>1</v>
      </c>
      <c r="D681" t="str">
        <f t="shared" si="33"/>
        <v>0436</v>
      </c>
      <c r="E681" t="str">
        <f t="shared" si="34"/>
        <v/>
      </c>
      <c r="F681" t="str">
        <f t="shared" si="35"/>
        <v>CN</v>
      </c>
    </row>
    <row r="682" spans="1:6" x14ac:dyDescent="0.3">
      <c r="A682" t="s">
        <v>2374</v>
      </c>
      <c r="B682">
        <v>1</v>
      </c>
      <c r="D682" t="str">
        <f t="shared" si="33"/>
        <v>0437</v>
      </c>
      <c r="E682" t="str">
        <f t="shared" si="34"/>
        <v>3</v>
      </c>
      <c r="F682" t="str">
        <f t="shared" si="35"/>
        <v>DN</v>
      </c>
    </row>
    <row r="683" spans="1:6" x14ac:dyDescent="0.3">
      <c r="A683" t="s">
        <v>2375</v>
      </c>
      <c r="B683">
        <v>1</v>
      </c>
      <c r="D683" t="str">
        <f t="shared" si="33"/>
        <v>0437</v>
      </c>
      <c r="E683" t="str">
        <f t="shared" si="34"/>
        <v>2</v>
      </c>
      <c r="F683" t="str">
        <f t="shared" si="35"/>
        <v>DR</v>
      </c>
    </row>
    <row r="684" spans="1:6" x14ac:dyDescent="0.3">
      <c r="A684" t="s">
        <v>2376</v>
      </c>
      <c r="B684">
        <v>1</v>
      </c>
      <c r="D684" t="str">
        <f t="shared" si="33"/>
        <v>0437</v>
      </c>
      <c r="E684" t="str">
        <f t="shared" si="34"/>
        <v>1</v>
      </c>
      <c r="F684" t="str">
        <f t="shared" si="35"/>
        <v>DS</v>
      </c>
    </row>
    <row r="685" spans="1:6" x14ac:dyDescent="0.3">
      <c r="A685" t="s">
        <v>2378</v>
      </c>
      <c r="B685">
        <v>1</v>
      </c>
      <c r="D685" t="str">
        <f t="shared" si="33"/>
        <v>0438</v>
      </c>
      <c r="E685" t="str">
        <f t="shared" si="34"/>
        <v>1</v>
      </c>
      <c r="F685" t="str">
        <f t="shared" si="35"/>
        <v>DN</v>
      </c>
    </row>
    <row r="686" spans="1:6" x14ac:dyDescent="0.3">
      <c r="A686" t="s">
        <v>2380</v>
      </c>
      <c r="B686">
        <v>1</v>
      </c>
      <c r="D686" t="str">
        <f t="shared" si="33"/>
        <v>0438</v>
      </c>
      <c r="E686" t="str">
        <f t="shared" si="34"/>
        <v>2</v>
      </c>
      <c r="F686" t="str">
        <f t="shared" si="35"/>
        <v>DR</v>
      </c>
    </row>
    <row r="687" spans="1:6" x14ac:dyDescent="0.3">
      <c r="A687" t="s">
        <v>2381</v>
      </c>
      <c r="B687">
        <v>1</v>
      </c>
      <c r="D687" t="str">
        <f t="shared" si="33"/>
        <v>0438</v>
      </c>
      <c r="E687" t="str">
        <f t="shared" si="34"/>
        <v>3</v>
      </c>
      <c r="F687" t="str">
        <f t="shared" si="35"/>
        <v>DS</v>
      </c>
    </row>
    <row r="688" spans="1:6" x14ac:dyDescent="0.3">
      <c r="A688" t="s">
        <v>2384</v>
      </c>
      <c r="B688">
        <v>1</v>
      </c>
      <c r="D688" t="str">
        <f t="shared" si="33"/>
        <v>0439</v>
      </c>
      <c r="E688" t="str">
        <f t="shared" si="34"/>
        <v>1</v>
      </c>
      <c r="F688" t="str">
        <f t="shared" si="35"/>
        <v>ES</v>
      </c>
    </row>
    <row r="689" spans="1:6" x14ac:dyDescent="0.3">
      <c r="A689" t="s">
        <v>2387</v>
      </c>
      <c r="B689">
        <v>1</v>
      </c>
      <c r="D689" t="str">
        <f t="shared" si="33"/>
        <v>0439</v>
      </c>
      <c r="E689" t="str">
        <f t="shared" si="34"/>
        <v>2</v>
      </c>
      <c r="F689" t="str">
        <f t="shared" si="35"/>
        <v>FR</v>
      </c>
    </row>
    <row r="690" spans="1:6" x14ac:dyDescent="0.3">
      <c r="A690" t="s">
        <v>2717</v>
      </c>
      <c r="B690">
        <v>1</v>
      </c>
      <c r="D690" t="str">
        <f t="shared" si="33"/>
        <v>0439</v>
      </c>
      <c r="E690" t="str">
        <f t="shared" si="34"/>
        <v>3</v>
      </c>
      <c r="F690" t="str">
        <f t="shared" si="35"/>
        <v>MS</v>
      </c>
    </row>
    <row r="691" spans="1:6" x14ac:dyDescent="0.3">
      <c r="A691" t="s">
        <v>2388</v>
      </c>
      <c r="B691">
        <v>1</v>
      </c>
      <c r="D691" t="str">
        <f t="shared" si="33"/>
        <v>0440</v>
      </c>
      <c r="E691" t="str">
        <f t="shared" si="34"/>
        <v/>
      </c>
      <c r="F691" t="str">
        <f t="shared" si="35"/>
        <v>CN</v>
      </c>
    </row>
    <row r="692" spans="1:6" x14ac:dyDescent="0.3">
      <c r="A692" t="s">
        <v>2390</v>
      </c>
      <c r="B692">
        <v>1</v>
      </c>
      <c r="D692" t="str">
        <f t="shared" si="33"/>
        <v>0441</v>
      </c>
      <c r="E692" t="str">
        <f t="shared" si="34"/>
        <v/>
      </c>
      <c r="F692" t="str">
        <f t="shared" si="35"/>
        <v>CS</v>
      </c>
    </row>
    <row r="693" spans="1:6" x14ac:dyDescent="0.3">
      <c r="A693" t="s">
        <v>2391</v>
      </c>
      <c r="B693">
        <v>1</v>
      </c>
      <c r="D693" t="str">
        <f t="shared" si="33"/>
        <v>0442</v>
      </c>
      <c r="E693" t="str">
        <f t="shared" si="34"/>
        <v/>
      </c>
      <c r="F693" t="str">
        <f t="shared" si="35"/>
        <v>CN</v>
      </c>
    </row>
    <row r="694" spans="1:6" x14ac:dyDescent="0.3">
      <c r="A694" t="s">
        <v>2393</v>
      </c>
      <c r="B694">
        <v>1</v>
      </c>
      <c r="D694" t="str">
        <f t="shared" si="33"/>
        <v>0443</v>
      </c>
      <c r="E694" t="str">
        <f t="shared" si="34"/>
        <v/>
      </c>
      <c r="F694" t="str">
        <f t="shared" si="35"/>
        <v>BN</v>
      </c>
    </row>
    <row r="695" spans="1:6" x14ac:dyDescent="0.3">
      <c r="A695" t="s">
        <v>2396</v>
      </c>
      <c r="B695">
        <v>1</v>
      </c>
      <c r="D695" t="str">
        <f t="shared" si="33"/>
        <v>0444</v>
      </c>
      <c r="E695" t="str">
        <f t="shared" si="34"/>
        <v/>
      </c>
      <c r="F695" t="str">
        <f t="shared" si="35"/>
        <v>BS</v>
      </c>
    </row>
    <row r="696" spans="1:6" x14ac:dyDescent="0.3">
      <c r="A696" t="s">
        <v>2398</v>
      </c>
      <c r="B696">
        <v>1</v>
      </c>
      <c r="D696" t="str">
        <f t="shared" si="33"/>
        <v>0445</v>
      </c>
      <c r="E696" t="str">
        <f t="shared" si="34"/>
        <v/>
      </c>
      <c r="F696" t="str">
        <f t="shared" si="35"/>
        <v>BS</v>
      </c>
    </row>
    <row r="697" spans="1:6" x14ac:dyDescent="0.3">
      <c r="A697" t="s">
        <v>2401</v>
      </c>
      <c r="B697">
        <v>1</v>
      </c>
      <c r="D697" t="str">
        <f t="shared" si="33"/>
        <v>0446</v>
      </c>
      <c r="E697" t="str">
        <f t="shared" si="34"/>
        <v/>
      </c>
      <c r="F697" t="str">
        <f t="shared" si="35"/>
        <v>CN</v>
      </c>
    </row>
    <row r="698" spans="1:6" x14ac:dyDescent="0.3">
      <c r="A698" t="s">
        <v>2644</v>
      </c>
      <c r="B698">
        <v>1</v>
      </c>
      <c r="D698" t="str">
        <f t="shared" si="33"/>
        <v>0447</v>
      </c>
      <c r="E698" t="str">
        <f t="shared" si="34"/>
        <v/>
      </c>
      <c r="F698" t="str">
        <f t="shared" si="35"/>
        <v>MS</v>
      </c>
    </row>
    <row r="699" spans="1:6" x14ac:dyDescent="0.3">
      <c r="A699" t="s">
        <v>2405</v>
      </c>
      <c r="B699">
        <v>1</v>
      </c>
      <c r="D699" t="str">
        <f t="shared" si="33"/>
        <v>0448</v>
      </c>
      <c r="E699" t="str">
        <f t="shared" si="34"/>
        <v/>
      </c>
      <c r="F699" t="str">
        <f t="shared" si="35"/>
        <v>CS</v>
      </c>
    </row>
    <row r="700" spans="1:6" x14ac:dyDescent="0.3">
      <c r="A700" t="s">
        <v>2406</v>
      </c>
      <c r="B700">
        <v>1</v>
      </c>
      <c r="D700" t="str">
        <f t="shared" si="33"/>
        <v>0449</v>
      </c>
      <c r="E700" t="str">
        <f t="shared" si="34"/>
        <v/>
      </c>
      <c r="F700" t="str">
        <f t="shared" si="35"/>
        <v>CN</v>
      </c>
    </row>
    <row r="701" spans="1:6" x14ac:dyDescent="0.3">
      <c r="A701" t="s">
        <v>2408</v>
      </c>
      <c r="B701">
        <v>1</v>
      </c>
      <c r="D701" t="str">
        <f t="shared" si="33"/>
        <v>0450</v>
      </c>
      <c r="E701" t="str">
        <f t="shared" si="34"/>
        <v/>
      </c>
      <c r="F701" t="str">
        <f t="shared" si="35"/>
        <v>BS</v>
      </c>
    </row>
    <row r="702" spans="1:6" x14ac:dyDescent="0.3">
      <c r="A702" t="s">
        <v>2410</v>
      </c>
      <c r="B702">
        <v>1</v>
      </c>
      <c r="D702" t="str">
        <f t="shared" si="33"/>
        <v>0451</v>
      </c>
      <c r="E702" t="str">
        <f t="shared" si="34"/>
        <v/>
      </c>
      <c r="F702" t="str">
        <f t="shared" si="35"/>
        <v>BN</v>
      </c>
    </row>
    <row r="703" spans="1:6" x14ac:dyDescent="0.3">
      <c r="A703" t="s">
        <v>2413</v>
      </c>
      <c r="B703">
        <v>1</v>
      </c>
      <c r="D703" t="str">
        <f t="shared" si="33"/>
        <v>0452</v>
      </c>
      <c r="E703" t="str">
        <f t="shared" si="34"/>
        <v/>
      </c>
      <c r="F703" t="str">
        <f t="shared" si="35"/>
        <v>BS</v>
      </c>
    </row>
    <row r="704" spans="1:6" x14ac:dyDescent="0.3">
      <c r="A704" t="s">
        <v>2415</v>
      </c>
      <c r="B704">
        <v>1</v>
      </c>
      <c r="D704" t="str">
        <f t="shared" si="33"/>
        <v>0453</v>
      </c>
      <c r="E704" t="str">
        <f t="shared" si="34"/>
        <v/>
      </c>
      <c r="F704" t="str">
        <f t="shared" si="35"/>
        <v>BN</v>
      </c>
    </row>
    <row r="705" spans="1:6" x14ac:dyDescent="0.3">
      <c r="A705" t="s">
        <v>2418</v>
      </c>
      <c r="B705">
        <v>1</v>
      </c>
      <c r="D705" t="str">
        <f t="shared" si="33"/>
        <v>0454</v>
      </c>
      <c r="E705" t="str">
        <f t="shared" si="34"/>
        <v/>
      </c>
      <c r="F705" t="str">
        <f t="shared" si="35"/>
        <v>CN</v>
      </c>
    </row>
    <row r="706" spans="1:6" x14ac:dyDescent="0.3">
      <c r="A706" t="s">
        <v>2420</v>
      </c>
      <c r="B706">
        <v>1</v>
      </c>
      <c r="D706" t="str">
        <f t="shared" si="33"/>
        <v>0455</v>
      </c>
      <c r="E706" t="str">
        <f t="shared" si="34"/>
        <v/>
      </c>
      <c r="F706" t="str">
        <f t="shared" si="35"/>
        <v>CN</v>
      </c>
    </row>
    <row r="707" spans="1:6" x14ac:dyDescent="0.3">
      <c r="A707" t="s">
        <v>2423</v>
      </c>
      <c r="B707">
        <v>1</v>
      </c>
      <c r="D707" t="str">
        <f t="shared" ref="D707:D764" si="36">IF(LEFT(A707,2)="SP",MID(A707,4,4),IF(LEFT(A707,1)="X",MID(A707,3,4),""))</f>
        <v>0456</v>
      </c>
      <c r="E707" t="str">
        <f t="shared" ref="E707:E764" si="37">IF(OR(LEFT(A707,2)="SP",AND(LEFT(A707,1)="X",LEN(A707)&gt;9)),RIGHT(A707,1),"")</f>
        <v/>
      </c>
      <c r="F707" t="str">
        <f t="shared" ref="F707:F764" si="38">IF(LEFT(A707,1)="X",MID(A707,8,2),"")</f>
        <v>DS</v>
      </c>
    </row>
    <row r="708" spans="1:6" x14ac:dyDescent="0.3">
      <c r="A708" t="s">
        <v>2424</v>
      </c>
      <c r="B708">
        <v>1</v>
      </c>
      <c r="D708" t="str">
        <f t="shared" si="36"/>
        <v>0457</v>
      </c>
      <c r="E708" t="str">
        <f t="shared" si="37"/>
        <v/>
      </c>
      <c r="F708" t="str">
        <f t="shared" si="38"/>
        <v>CN</v>
      </c>
    </row>
    <row r="709" spans="1:6" x14ac:dyDescent="0.3">
      <c r="A709" t="s">
        <v>2427</v>
      </c>
      <c r="B709">
        <v>1</v>
      </c>
      <c r="D709" t="str">
        <f t="shared" si="36"/>
        <v>0458</v>
      </c>
      <c r="E709" t="str">
        <f t="shared" si="37"/>
        <v>1</v>
      </c>
      <c r="F709" t="str">
        <f t="shared" si="38"/>
        <v>CN</v>
      </c>
    </row>
    <row r="710" spans="1:6" x14ac:dyDescent="0.3">
      <c r="A710" t="s">
        <v>2430</v>
      </c>
      <c r="B710">
        <v>1</v>
      </c>
      <c r="D710" t="str">
        <f t="shared" si="36"/>
        <v>0458</v>
      </c>
      <c r="E710" t="str">
        <f t="shared" si="37"/>
        <v>2</v>
      </c>
      <c r="F710" t="str">
        <f t="shared" si="38"/>
        <v>CR</v>
      </c>
    </row>
    <row r="711" spans="1:6" x14ac:dyDescent="0.3">
      <c r="A711" t="s">
        <v>2431</v>
      </c>
      <c r="B711">
        <v>1</v>
      </c>
      <c r="D711" t="str">
        <f t="shared" si="36"/>
        <v>0458</v>
      </c>
      <c r="E711" t="str">
        <f t="shared" si="37"/>
        <v>3</v>
      </c>
      <c r="F711" t="str">
        <f t="shared" si="38"/>
        <v>DS</v>
      </c>
    </row>
    <row r="712" spans="1:6" x14ac:dyDescent="0.3">
      <c r="A712" t="s">
        <v>2432</v>
      </c>
      <c r="B712">
        <v>1</v>
      </c>
      <c r="D712" t="str">
        <f t="shared" si="36"/>
        <v>0459</v>
      </c>
      <c r="E712" t="str">
        <f t="shared" si="37"/>
        <v/>
      </c>
      <c r="F712" t="str">
        <f t="shared" si="38"/>
        <v>CN</v>
      </c>
    </row>
    <row r="713" spans="1:6" x14ac:dyDescent="0.3">
      <c r="A713" t="s">
        <v>2436</v>
      </c>
      <c r="B713">
        <v>1</v>
      </c>
      <c r="D713" t="str">
        <f t="shared" si="36"/>
        <v>0460</v>
      </c>
      <c r="E713" t="str">
        <f t="shared" si="37"/>
        <v/>
      </c>
      <c r="F713" t="str">
        <f t="shared" si="38"/>
        <v>CS</v>
      </c>
    </row>
    <row r="714" spans="1:6" x14ac:dyDescent="0.3">
      <c r="A714" t="s">
        <v>2438</v>
      </c>
      <c r="B714">
        <v>1</v>
      </c>
      <c r="D714" t="str">
        <f t="shared" si="36"/>
        <v>0461</v>
      </c>
      <c r="E714" t="str">
        <f t="shared" si="37"/>
        <v>1</v>
      </c>
      <c r="F714" t="str">
        <f t="shared" si="38"/>
        <v>CN</v>
      </c>
    </row>
    <row r="715" spans="1:6" x14ac:dyDescent="0.3">
      <c r="A715" t="s">
        <v>2439</v>
      </c>
      <c r="B715">
        <v>1</v>
      </c>
      <c r="D715" t="str">
        <f t="shared" si="36"/>
        <v>0461</v>
      </c>
      <c r="E715" t="str">
        <f t="shared" si="37"/>
        <v>3</v>
      </c>
      <c r="F715" t="str">
        <f t="shared" si="38"/>
        <v>CN</v>
      </c>
    </row>
    <row r="716" spans="1:6" x14ac:dyDescent="0.3">
      <c r="A716" t="s">
        <v>2441</v>
      </c>
      <c r="B716">
        <v>1</v>
      </c>
      <c r="D716" t="str">
        <f t="shared" si="36"/>
        <v>0461</v>
      </c>
      <c r="E716" t="str">
        <f t="shared" si="37"/>
        <v>2</v>
      </c>
      <c r="F716" t="str">
        <f t="shared" si="38"/>
        <v>CR</v>
      </c>
    </row>
    <row r="717" spans="1:6" x14ac:dyDescent="0.3">
      <c r="A717" t="s">
        <v>2443</v>
      </c>
      <c r="B717">
        <v>1</v>
      </c>
      <c r="D717" t="str">
        <f t="shared" si="36"/>
        <v>0462</v>
      </c>
      <c r="E717" t="str">
        <f t="shared" si="37"/>
        <v/>
      </c>
      <c r="F717" t="str">
        <f t="shared" si="38"/>
        <v>CN</v>
      </c>
    </row>
    <row r="718" spans="1:6" x14ac:dyDescent="0.3">
      <c r="A718" t="s">
        <v>2445</v>
      </c>
      <c r="B718">
        <v>1</v>
      </c>
      <c r="D718" t="str">
        <f t="shared" si="36"/>
        <v>0463</v>
      </c>
      <c r="E718" t="str">
        <f t="shared" si="37"/>
        <v/>
      </c>
      <c r="F718" t="str">
        <f t="shared" si="38"/>
        <v>CN</v>
      </c>
    </row>
    <row r="719" spans="1:6" x14ac:dyDescent="0.3">
      <c r="A719" t="s">
        <v>2447</v>
      </c>
      <c r="B719">
        <v>1</v>
      </c>
      <c r="D719" t="str">
        <f t="shared" si="36"/>
        <v>0464</v>
      </c>
      <c r="E719" t="str">
        <f t="shared" si="37"/>
        <v/>
      </c>
      <c r="F719" t="str">
        <f t="shared" si="38"/>
        <v>CN</v>
      </c>
    </row>
    <row r="720" spans="1:6" x14ac:dyDescent="0.3">
      <c r="A720" t="s">
        <v>2449</v>
      </c>
      <c r="B720">
        <v>1</v>
      </c>
      <c r="D720" t="str">
        <f t="shared" si="36"/>
        <v>0465</v>
      </c>
      <c r="E720" t="str">
        <f t="shared" si="37"/>
        <v/>
      </c>
      <c r="F720" t="str">
        <f t="shared" si="38"/>
        <v>CN</v>
      </c>
    </row>
    <row r="721" spans="1:6" x14ac:dyDescent="0.3">
      <c r="A721" t="s">
        <v>2453</v>
      </c>
      <c r="B721">
        <v>1</v>
      </c>
      <c r="D721" t="str">
        <f t="shared" si="36"/>
        <v>0466</v>
      </c>
      <c r="E721" t="str">
        <f t="shared" si="37"/>
        <v/>
      </c>
      <c r="F721" t="str">
        <f t="shared" si="38"/>
        <v>CS</v>
      </c>
    </row>
    <row r="722" spans="1:6" x14ac:dyDescent="0.3">
      <c r="A722" t="s">
        <v>2454</v>
      </c>
      <c r="B722">
        <v>1</v>
      </c>
      <c r="D722" t="str">
        <f t="shared" si="36"/>
        <v>0467</v>
      </c>
      <c r="E722" t="str">
        <f t="shared" si="37"/>
        <v/>
      </c>
      <c r="F722" t="str">
        <f t="shared" si="38"/>
        <v>CN</v>
      </c>
    </row>
    <row r="723" spans="1:6" x14ac:dyDescent="0.3">
      <c r="A723" t="s">
        <v>2718</v>
      </c>
      <c r="B723">
        <v>1</v>
      </c>
      <c r="D723" t="str">
        <f t="shared" si="36"/>
        <v>0468</v>
      </c>
      <c r="E723" t="str">
        <f t="shared" si="37"/>
        <v/>
      </c>
      <c r="F723" t="str">
        <f t="shared" si="38"/>
        <v>MS</v>
      </c>
    </row>
    <row r="724" spans="1:6" x14ac:dyDescent="0.3">
      <c r="A724" t="s">
        <v>2458</v>
      </c>
      <c r="B724">
        <v>1</v>
      </c>
      <c r="D724" t="str">
        <f t="shared" si="36"/>
        <v>0469</v>
      </c>
      <c r="E724" t="str">
        <f t="shared" si="37"/>
        <v/>
      </c>
      <c r="F724" t="str">
        <f t="shared" si="38"/>
        <v>CN</v>
      </c>
    </row>
    <row r="725" spans="1:6" x14ac:dyDescent="0.3">
      <c r="A725" t="s">
        <v>2460</v>
      </c>
      <c r="B725">
        <v>1</v>
      </c>
      <c r="D725" t="str">
        <f t="shared" si="36"/>
        <v>0470</v>
      </c>
      <c r="E725" t="str">
        <f t="shared" si="37"/>
        <v/>
      </c>
      <c r="F725" t="str">
        <f t="shared" si="38"/>
        <v>CN</v>
      </c>
    </row>
    <row r="726" spans="1:6" x14ac:dyDescent="0.3">
      <c r="A726" t="s">
        <v>2462</v>
      </c>
      <c r="B726">
        <v>1</v>
      </c>
      <c r="D726" t="str">
        <f t="shared" si="36"/>
        <v>0471</v>
      </c>
      <c r="E726" t="str">
        <f t="shared" si="37"/>
        <v/>
      </c>
      <c r="F726" t="str">
        <f t="shared" si="38"/>
        <v>CN</v>
      </c>
    </row>
    <row r="727" spans="1:6" x14ac:dyDescent="0.3">
      <c r="A727" t="s">
        <v>2464</v>
      </c>
      <c r="B727">
        <v>1</v>
      </c>
      <c r="D727" t="str">
        <f t="shared" si="36"/>
        <v>0472</v>
      </c>
      <c r="E727" t="str">
        <f t="shared" si="37"/>
        <v/>
      </c>
      <c r="F727" t="str">
        <f t="shared" si="38"/>
        <v>CN</v>
      </c>
    </row>
    <row r="728" spans="1:6" x14ac:dyDescent="0.3">
      <c r="A728" t="s">
        <v>2468</v>
      </c>
      <c r="B728">
        <v>1</v>
      </c>
      <c r="D728" t="str">
        <f t="shared" si="36"/>
        <v>0473</v>
      </c>
      <c r="E728" t="str">
        <f t="shared" si="37"/>
        <v/>
      </c>
      <c r="F728" t="str">
        <f t="shared" si="38"/>
        <v>DN</v>
      </c>
    </row>
    <row r="729" spans="1:6" x14ac:dyDescent="0.3">
      <c r="A729" t="s">
        <v>2471</v>
      </c>
      <c r="B729">
        <v>1</v>
      </c>
      <c r="D729" t="str">
        <f t="shared" si="36"/>
        <v>0474</v>
      </c>
      <c r="E729" t="str">
        <f t="shared" si="37"/>
        <v/>
      </c>
      <c r="F729" t="str">
        <f t="shared" si="38"/>
        <v>CS</v>
      </c>
    </row>
    <row r="730" spans="1:6" x14ac:dyDescent="0.3">
      <c r="A730" t="s">
        <v>2473</v>
      </c>
      <c r="B730">
        <v>1</v>
      </c>
      <c r="D730" t="str">
        <f t="shared" si="36"/>
        <v>0475</v>
      </c>
      <c r="E730" t="str">
        <f t="shared" si="37"/>
        <v/>
      </c>
      <c r="F730" t="str">
        <f t="shared" si="38"/>
        <v>CN</v>
      </c>
    </row>
    <row r="731" spans="1:6" x14ac:dyDescent="0.3">
      <c r="A731" t="s">
        <v>2475</v>
      </c>
      <c r="B731">
        <v>1</v>
      </c>
      <c r="D731" t="str">
        <f t="shared" si="36"/>
        <v>0476</v>
      </c>
      <c r="E731" t="str">
        <f t="shared" si="37"/>
        <v/>
      </c>
      <c r="F731" t="str">
        <f t="shared" si="38"/>
        <v>CN</v>
      </c>
    </row>
    <row r="732" spans="1:6" x14ac:dyDescent="0.3">
      <c r="A732" t="s">
        <v>2477</v>
      </c>
      <c r="B732">
        <v>1</v>
      </c>
      <c r="D732" t="str">
        <f t="shared" si="36"/>
        <v>0477</v>
      </c>
      <c r="E732" t="str">
        <f t="shared" si="37"/>
        <v/>
      </c>
      <c r="F732" t="str">
        <f t="shared" si="38"/>
        <v>CN</v>
      </c>
    </row>
    <row r="733" spans="1:6" x14ac:dyDescent="0.3">
      <c r="A733" t="s">
        <v>2479</v>
      </c>
      <c r="B733">
        <v>1</v>
      </c>
      <c r="D733" t="str">
        <f t="shared" si="36"/>
        <v>0478</v>
      </c>
      <c r="E733" t="str">
        <f t="shared" si="37"/>
        <v/>
      </c>
      <c r="F733" t="str">
        <f t="shared" si="38"/>
        <v>CN</v>
      </c>
    </row>
    <row r="734" spans="1:6" x14ac:dyDescent="0.3">
      <c r="A734" t="s">
        <v>2481</v>
      </c>
      <c r="B734">
        <v>1</v>
      </c>
      <c r="D734" t="str">
        <f t="shared" si="36"/>
        <v>0479</v>
      </c>
      <c r="E734" t="str">
        <f t="shared" si="37"/>
        <v/>
      </c>
      <c r="F734" t="str">
        <f t="shared" si="38"/>
        <v>CN</v>
      </c>
    </row>
    <row r="735" spans="1:6" x14ac:dyDescent="0.3">
      <c r="A735" t="s">
        <v>2483</v>
      </c>
      <c r="B735">
        <v>1</v>
      </c>
      <c r="D735" t="str">
        <f t="shared" si="36"/>
        <v>0480</v>
      </c>
      <c r="E735" t="str">
        <f t="shared" si="37"/>
        <v/>
      </c>
      <c r="F735" t="str">
        <f t="shared" si="38"/>
        <v>CN</v>
      </c>
    </row>
    <row r="736" spans="1:6" x14ac:dyDescent="0.3">
      <c r="A736" t="s">
        <v>2486</v>
      </c>
      <c r="B736">
        <v>1</v>
      </c>
      <c r="D736" t="str">
        <f t="shared" si="36"/>
        <v>0481</v>
      </c>
      <c r="E736" t="str">
        <f t="shared" si="37"/>
        <v/>
      </c>
      <c r="F736" t="str">
        <f t="shared" si="38"/>
        <v>CN</v>
      </c>
    </row>
    <row r="737" spans="1:6" x14ac:dyDescent="0.3">
      <c r="A737" t="s">
        <v>2488</v>
      </c>
      <c r="B737">
        <v>1</v>
      </c>
      <c r="D737" t="str">
        <f t="shared" si="36"/>
        <v>0482</v>
      </c>
      <c r="E737" t="str">
        <f t="shared" si="37"/>
        <v/>
      </c>
      <c r="F737" t="str">
        <f t="shared" si="38"/>
        <v>CN</v>
      </c>
    </row>
    <row r="738" spans="1:6" x14ac:dyDescent="0.3">
      <c r="A738" t="s">
        <v>2491</v>
      </c>
      <c r="B738">
        <v>1</v>
      </c>
      <c r="D738" t="str">
        <f t="shared" si="36"/>
        <v>0483</v>
      </c>
      <c r="E738" t="str">
        <f t="shared" si="37"/>
        <v/>
      </c>
      <c r="F738" t="str">
        <f t="shared" si="38"/>
        <v>CN</v>
      </c>
    </row>
    <row r="739" spans="1:6" x14ac:dyDescent="0.3">
      <c r="A739" t="s">
        <v>2493</v>
      </c>
      <c r="B739">
        <v>1</v>
      </c>
      <c r="D739" t="str">
        <f t="shared" si="36"/>
        <v>0484</v>
      </c>
      <c r="E739" t="str">
        <f t="shared" si="37"/>
        <v/>
      </c>
      <c r="F739" t="str">
        <f t="shared" si="38"/>
        <v>CN</v>
      </c>
    </row>
    <row r="740" spans="1:6" x14ac:dyDescent="0.3">
      <c r="A740" t="s">
        <v>2495</v>
      </c>
      <c r="B740">
        <v>1</v>
      </c>
      <c r="D740" t="str">
        <f t="shared" si="36"/>
        <v>0485</v>
      </c>
      <c r="E740" t="str">
        <f t="shared" si="37"/>
        <v/>
      </c>
      <c r="F740" t="str">
        <f t="shared" si="38"/>
        <v>CN</v>
      </c>
    </row>
    <row r="741" spans="1:6" x14ac:dyDescent="0.3">
      <c r="A741" t="s">
        <v>2500</v>
      </c>
      <c r="B741">
        <v>1</v>
      </c>
      <c r="D741" t="str">
        <f t="shared" si="36"/>
        <v>0486</v>
      </c>
      <c r="E741" t="str">
        <f t="shared" si="37"/>
        <v>1</v>
      </c>
      <c r="F741" t="str">
        <f t="shared" si="38"/>
        <v>CN</v>
      </c>
    </row>
    <row r="742" spans="1:6" x14ac:dyDescent="0.3">
      <c r="A742" t="s">
        <v>2501</v>
      </c>
      <c r="B742">
        <v>1</v>
      </c>
      <c r="D742" t="str">
        <f t="shared" si="36"/>
        <v>0486</v>
      </c>
      <c r="E742" t="str">
        <f t="shared" si="37"/>
        <v>3</v>
      </c>
      <c r="F742" t="str">
        <f t="shared" si="38"/>
        <v>CN</v>
      </c>
    </row>
    <row r="743" spans="1:6" x14ac:dyDescent="0.3">
      <c r="A743" t="s">
        <v>2503</v>
      </c>
      <c r="B743">
        <v>1</v>
      </c>
      <c r="D743" t="str">
        <f t="shared" si="36"/>
        <v>0486</v>
      </c>
      <c r="E743" t="str">
        <f t="shared" si="37"/>
        <v>2</v>
      </c>
      <c r="F743" t="str">
        <f t="shared" si="38"/>
        <v>CR</v>
      </c>
    </row>
    <row r="744" spans="1:6" x14ac:dyDescent="0.3">
      <c r="A744" t="s">
        <v>2505</v>
      </c>
      <c r="B744">
        <v>1</v>
      </c>
      <c r="D744" t="str">
        <f t="shared" si="36"/>
        <v>0487</v>
      </c>
      <c r="E744" t="str">
        <f t="shared" si="37"/>
        <v>3</v>
      </c>
      <c r="F744" t="str">
        <f t="shared" si="38"/>
        <v>CN</v>
      </c>
    </row>
    <row r="745" spans="1:6" x14ac:dyDescent="0.3">
      <c r="A745" t="s">
        <v>2507</v>
      </c>
      <c r="B745">
        <v>1</v>
      </c>
      <c r="D745" t="str">
        <f t="shared" si="36"/>
        <v>0487</v>
      </c>
      <c r="E745" t="str">
        <f t="shared" si="37"/>
        <v>2</v>
      </c>
      <c r="F745" t="str">
        <f t="shared" si="38"/>
        <v>CR</v>
      </c>
    </row>
    <row r="746" spans="1:6" x14ac:dyDescent="0.3">
      <c r="A746" t="s">
        <v>2719</v>
      </c>
      <c r="B746">
        <v>1</v>
      </c>
      <c r="D746" t="str">
        <f t="shared" si="36"/>
        <v>0487</v>
      </c>
      <c r="E746" t="str">
        <f t="shared" si="37"/>
        <v>1</v>
      </c>
      <c r="F746" t="str">
        <f t="shared" si="38"/>
        <v>MS</v>
      </c>
    </row>
    <row r="747" spans="1:6" x14ac:dyDescent="0.3">
      <c r="A747" t="s">
        <v>2508</v>
      </c>
      <c r="B747">
        <v>1</v>
      </c>
      <c r="D747" t="str">
        <f t="shared" si="36"/>
        <v>0488</v>
      </c>
      <c r="E747" t="str">
        <f t="shared" si="37"/>
        <v>1</v>
      </c>
      <c r="F747" t="str">
        <f t="shared" si="38"/>
        <v>CN</v>
      </c>
    </row>
    <row r="748" spans="1:6" x14ac:dyDescent="0.3">
      <c r="A748" t="s">
        <v>2509</v>
      </c>
      <c r="B748">
        <v>1</v>
      </c>
      <c r="D748" t="str">
        <f t="shared" si="36"/>
        <v>0488</v>
      </c>
      <c r="E748" t="str">
        <f t="shared" si="37"/>
        <v>3</v>
      </c>
      <c r="F748" t="str">
        <f t="shared" si="38"/>
        <v>CN</v>
      </c>
    </row>
    <row r="749" spans="1:6" x14ac:dyDescent="0.3">
      <c r="A749" t="s">
        <v>2511</v>
      </c>
      <c r="B749">
        <v>1</v>
      </c>
      <c r="D749" t="str">
        <f t="shared" si="36"/>
        <v>0488</v>
      </c>
      <c r="E749" t="str">
        <f t="shared" si="37"/>
        <v>2</v>
      </c>
      <c r="F749" t="str">
        <f t="shared" si="38"/>
        <v>CR</v>
      </c>
    </row>
    <row r="750" spans="1:6" x14ac:dyDescent="0.3">
      <c r="A750" t="s">
        <v>2514</v>
      </c>
      <c r="B750">
        <v>1</v>
      </c>
      <c r="D750" t="str">
        <f t="shared" si="36"/>
        <v>0489</v>
      </c>
      <c r="E750" t="str">
        <f t="shared" si="37"/>
        <v>1</v>
      </c>
      <c r="F750" t="str">
        <f t="shared" si="38"/>
        <v>CN</v>
      </c>
    </row>
    <row r="751" spans="1:6" x14ac:dyDescent="0.3">
      <c r="A751" t="s">
        <v>2515</v>
      </c>
      <c r="B751">
        <v>1</v>
      </c>
      <c r="D751" t="str">
        <f t="shared" si="36"/>
        <v>0489</v>
      </c>
      <c r="E751" t="str">
        <f t="shared" si="37"/>
        <v>3</v>
      </c>
      <c r="F751" t="str">
        <f t="shared" si="38"/>
        <v>CN</v>
      </c>
    </row>
    <row r="752" spans="1:6" x14ac:dyDescent="0.3">
      <c r="A752" t="s">
        <v>2517</v>
      </c>
      <c r="B752">
        <v>1</v>
      </c>
      <c r="D752" t="str">
        <f t="shared" si="36"/>
        <v>0489</v>
      </c>
      <c r="E752" t="str">
        <f t="shared" si="37"/>
        <v>2</v>
      </c>
      <c r="F752" t="str">
        <f t="shared" si="38"/>
        <v>CR</v>
      </c>
    </row>
    <row r="753" spans="1:6" x14ac:dyDescent="0.3">
      <c r="A753" t="s">
        <v>2520</v>
      </c>
      <c r="B753">
        <v>1</v>
      </c>
      <c r="D753" t="str">
        <f t="shared" si="36"/>
        <v>0490</v>
      </c>
      <c r="E753" t="str">
        <f t="shared" si="37"/>
        <v/>
      </c>
      <c r="F753" t="str">
        <f t="shared" si="38"/>
        <v>DS</v>
      </c>
    </row>
    <row r="754" spans="1:6" x14ac:dyDescent="0.3">
      <c r="A754" t="s">
        <v>2521</v>
      </c>
      <c r="B754">
        <v>1</v>
      </c>
      <c r="D754" t="str">
        <f t="shared" si="36"/>
        <v>0491</v>
      </c>
      <c r="E754" t="str">
        <f t="shared" si="37"/>
        <v/>
      </c>
      <c r="F754" t="str">
        <f t="shared" si="38"/>
        <v>CN</v>
      </c>
    </row>
    <row r="755" spans="1:6" x14ac:dyDescent="0.3">
      <c r="A755" t="s">
        <v>2527</v>
      </c>
      <c r="B755">
        <v>1</v>
      </c>
      <c r="D755" t="str">
        <f t="shared" si="36"/>
        <v>0492</v>
      </c>
      <c r="E755" t="str">
        <f t="shared" si="37"/>
        <v/>
      </c>
      <c r="F755" t="str">
        <f t="shared" si="38"/>
        <v>DN</v>
      </c>
    </row>
    <row r="756" spans="1:6" x14ac:dyDescent="0.3">
      <c r="A756" t="s">
        <v>2530</v>
      </c>
      <c r="B756">
        <v>1</v>
      </c>
      <c r="D756" t="str">
        <f t="shared" si="36"/>
        <v>0493</v>
      </c>
      <c r="E756" t="str">
        <f t="shared" si="37"/>
        <v/>
      </c>
      <c r="F756" t="str">
        <f t="shared" si="38"/>
        <v>DN</v>
      </c>
    </row>
    <row r="757" spans="1:6" x14ac:dyDescent="0.3">
      <c r="A757" t="s">
        <v>2531</v>
      </c>
      <c r="B757">
        <v>1</v>
      </c>
      <c r="D757" t="str">
        <f t="shared" si="36"/>
        <v>0494</v>
      </c>
      <c r="E757" t="str">
        <f t="shared" si="37"/>
        <v/>
      </c>
      <c r="F757" t="str">
        <f t="shared" si="38"/>
        <v>CN</v>
      </c>
    </row>
    <row r="758" spans="1:6" x14ac:dyDescent="0.3">
      <c r="A758" t="s">
        <v>2533</v>
      </c>
      <c r="B758">
        <v>1</v>
      </c>
      <c r="D758" t="str">
        <f t="shared" si="36"/>
        <v>0495</v>
      </c>
      <c r="E758" t="str">
        <f t="shared" si="37"/>
        <v/>
      </c>
      <c r="F758" t="str">
        <f t="shared" si="38"/>
        <v>CN</v>
      </c>
    </row>
    <row r="759" spans="1:6" x14ac:dyDescent="0.3">
      <c r="A759" t="s">
        <v>2537</v>
      </c>
      <c r="B759">
        <v>1</v>
      </c>
      <c r="D759" t="str">
        <f t="shared" si="36"/>
        <v>0496</v>
      </c>
      <c r="E759" t="str">
        <f t="shared" si="37"/>
        <v/>
      </c>
      <c r="F759" t="str">
        <f t="shared" si="38"/>
        <v>DS</v>
      </c>
    </row>
    <row r="760" spans="1:6" x14ac:dyDescent="0.3">
      <c r="A760" t="s">
        <v>2538</v>
      </c>
      <c r="B760">
        <v>1</v>
      </c>
      <c r="D760" t="str">
        <f t="shared" si="36"/>
        <v>0497</v>
      </c>
      <c r="E760" t="str">
        <f t="shared" si="37"/>
        <v/>
      </c>
      <c r="F760" t="str">
        <f t="shared" si="38"/>
        <v>CN</v>
      </c>
    </row>
    <row r="761" spans="1:6" x14ac:dyDescent="0.3">
      <c r="A761" t="s">
        <v>2540</v>
      </c>
      <c r="B761">
        <v>1</v>
      </c>
      <c r="D761" t="str">
        <f t="shared" si="36"/>
        <v>0498</v>
      </c>
      <c r="E761" t="str">
        <f t="shared" si="37"/>
        <v/>
      </c>
      <c r="F761" t="str">
        <f t="shared" si="38"/>
        <v>CN</v>
      </c>
    </row>
    <row r="762" spans="1:6" x14ac:dyDescent="0.3">
      <c r="A762" t="s">
        <v>2544</v>
      </c>
      <c r="B762">
        <v>1</v>
      </c>
      <c r="D762" t="str">
        <f t="shared" si="36"/>
        <v>0499</v>
      </c>
      <c r="E762" t="str">
        <f t="shared" si="37"/>
        <v>1</v>
      </c>
      <c r="F762" t="str">
        <f t="shared" si="38"/>
        <v>CN</v>
      </c>
    </row>
    <row r="763" spans="1:6" x14ac:dyDescent="0.3">
      <c r="A763" t="s">
        <v>2547</v>
      </c>
      <c r="B763">
        <v>1</v>
      </c>
      <c r="D763" t="str">
        <f t="shared" si="36"/>
        <v>0499</v>
      </c>
      <c r="E763" t="str">
        <f t="shared" si="37"/>
        <v>2</v>
      </c>
      <c r="F763" t="str">
        <f t="shared" si="38"/>
        <v>CR</v>
      </c>
    </row>
    <row r="764" spans="1:6" x14ac:dyDescent="0.3">
      <c r="A764" t="s">
        <v>2591</v>
      </c>
      <c r="B764">
        <v>1</v>
      </c>
      <c r="D764" t="str">
        <f t="shared" si="36"/>
        <v>0499</v>
      </c>
      <c r="E764" t="str">
        <f t="shared" si="37"/>
        <v>3</v>
      </c>
      <c r="F764" t="str">
        <f t="shared" si="38"/>
        <v>MS</v>
      </c>
    </row>
    <row r="766" spans="1:6" x14ac:dyDescent="0.3">
      <c r="D766" t="str">
        <f t="shared" ref="D766:D829" si="39">IF(LEFT(A766,2)="SP",MID(A766,4,4),IF(LEFT(A766,1)="X",MID(A766,3,4),""))</f>
        <v/>
      </c>
      <c r="E766" t="str">
        <f t="shared" ref="E766:E782" si="40">IF(OR(LEFT(A766,2)="SP",AND(LEFT(A766,1)="X",LEN(A766)&gt;9)),RIGHT(A766,1),"")</f>
        <v/>
      </c>
      <c r="F766" t="str">
        <f t="shared" ref="F766:F783" si="41">IF(LEFT(A766,1)="X",MID(A766,8,2),"")</f>
        <v/>
      </c>
    </row>
    <row r="767" spans="1:6" x14ac:dyDescent="0.3">
      <c r="D767" t="str">
        <f t="shared" si="39"/>
        <v/>
      </c>
      <c r="E767" t="str">
        <f t="shared" si="40"/>
        <v/>
      </c>
      <c r="F767" t="str">
        <f t="shared" si="41"/>
        <v/>
      </c>
    </row>
    <row r="768" spans="1:6" x14ac:dyDescent="0.3">
      <c r="D768" t="str">
        <f t="shared" si="39"/>
        <v/>
      </c>
      <c r="E768" t="str">
        <f t="shared" si="40"/>
        <v/>
      </c>
      <c r="F768" t="str">
        <f t="shared" si="41"/>
        <v/>
      </c>
    </row>
    <row r="769" spans="4:6" x14ac:dyDescent="0.3">
      <c r="D769" t="str">
        <f t="shared" si="39"/>
        <v/>
      </c>
      <c r="E769" t="str">
        <f t="shared" si="40"/>
        <v/>
      </c>
      <c r="F769" t="str">
        <f t="shared" si="41"/>
        <v/>
      </c>
    </row>
    <row r="770" spans="4:6" x14ac:dyDescent="0.3">
      <c r="D770" t="str">
        <f t="shared" si="39"/>
        <v/>
      </c>
      <c r="E770" t="str">
        <f t="shared" si="40"/>
        <v/>
      </c>
      <c r="F770" t="str">
        <f t="shared" si="41"/>
        <v/>
      </c>
    </row>
    <row r="771" spans="4:6" x14ac:dyDescent="0.3">
      <c r="D771" t="str">
        <f t="shared" si="39"/>
        <v/>
      </c>
      <c r="E771" t="str">
        <f t="shared" si="40"/>
        <v/>
      </c>
      <c r="F771" t="str">
        <f t="shared" si="41"/>
        <v/>
      </c>
    </row>
    <row r="772" spans="4:6" x14ac:dyDescent="0.3">
      <c r="D772" t="str">
        <f t="shared" si="39"/>
        <v/>
      </c>
      <c r="E772" t="str">
        <f t="shared" si="40"/>
        <v/>
      </c>
      <c r="F772" t="str">
        <f t="shared" si="41"/>
        <v/>
      </c>
    </row>
    <row r="773" spans="4:6" x14ac:dyDescent="0.3">
      <c r="D773" t="str">
        <f t="shared" si="39"/>
        <v/>
      </c>
      <c r="E773" t="str">
        <f t="shared" si="40"/>
        <v/>
      </c>
      <c r="F773" t="str">
        <f t="shared" si="41"/>
        <v/>
      </c>
    </row>
    <row r="774" spans="4:6" x14ac:dyDescent="0.3">
      <c r="D774" t="str">
        <f t="shared" si="39"/>
        <v/>
      </c>
      <c r="E774" t="str">
        <f t="shared" si="40"/>
        <v/>
      </c>
      <c r="F774" t="str">
        <f t="shared" si="41"/>
        <v/>
      </c>
    </row>
    <row r="775" spans="4:6" x14ac:dyDescent="0.3">
      <c r="D775" t="str">
        <f t="shared" si="39"/>
        <v/>
      </c>
      <c r="E775" t="str">
        <f t="shared" si="40"/>
        <v/>
      </c>
      <c r="F775" t="str">
        <f t="shared" si="41"/>
        <v/>
      </c>
    </row>
    <row r="776" spans="4:6" x14ac:dyDescent="0.3">
      <c r="D776" t="str">
        <f t="shared" si="39"/>
        <v/>
      </c>
      <c r="E776" t="str">
        <f t="shared" si="40"/>
        <v/>
      </c>
      <c r="F776" t="str">
        <f t="shared" si="41"/>
        <v/>
      </c>
    </row>
    <row r="777" spans="4:6" x14ac:dyDescent="0.3">
      <c r="D777" t="str">
        <f t="shared" si="39"/>
        <v/>
      </c>
      <c r="E777" t="str">
        <f t="shared" si="40"/>
        <v/>
      </c>
      <c r="F777" t="str">
        <f t="shared" si="41"/>
        <v/>
      </c>
    </row>
    <row r="778" spans="4:6" x14ac:dyDescent="0.3">
      <c r="D778" t="str">
        <f t="shared" si="39"/>
        <v/>
      </c>
      <c r="E778" t="str">
        <f t="shared" si="40"/>
        <v/>
      </c>
      <c r="F778" t="str">
        <f t="shared" si="41"/>
        <v/>
      </c>
    </row>
    <row r="779" spans="4:6" x14ac:dyDescent="0.3">
      <c r="D779" t="str">
        <f t="shared" si="39"/>
        <v/>
      </c>
      <c r="E779" t="str">
        <f t="shared" si="40"/>
        <v/>
      </c>
      <c r="F779" t="str">
        <f t="shared" si="41"/>
        <v/>
      </c>
    </row>
    <row r="780" spans="4:6" x14ac:dyDescent="0.3">
      <c r="D780" t="str">
        <f t="shared" si="39"/>
        <v/>
      </c>
      <c r="E780" t="str">
        <f t="shared" si="40"/>
        <v/>
      </c>
      <c r="F780" t="str">
        <f t="shared" si="41"/>
        <v/>
      </c>
    </row>
    <row r="781" spans="4:6" x14ac:dyDescent="0.3">
      <c r="D781" t="str">
        <f t="shared" si="39"/>
        <v/>
      </c>
      <c r="E781" t="str">
        <f t="shared" si="40"/>
        <v/>
      </c>
      <c r="F781" t="str">
        <f t="shared" si="41"/>
        <v/>
      </c>
    </row>
    <row r="782" spans="4:6" x14ac:dyDescent="0.3">
      <c r="D782" t="str">
        <f t="shared" si="39"/>
        <v/>
      </c>
      <c r="E782" t="str">
        <f t="shared" si="40"/>
        <v/>
      </c>
      <c r="F782" t="str">
        <f t="shared" si="41"/>
        <v/>
      </c>
    </row>
    <row r="783" spans="4:6" x14ac:dyDescent="0.3">
      <c r="D783" t="str">
        <f t="shared" si="39"/>
        <v/>
      </c>
      <c r="F783" t="str">
        <f t="shared" si="41"/>
        <v/>
      </c>
    </row>
    <row r="784" spans="4:6" x14ac:dyDescent="0.3">
      <c r="D784" t="str">
        <f t="shared" si="39"/>
        <v/>
      </c>
    </row>
    <row r="785" spans="4:4" x14ac:dyDescent="0.3">
      <c r="D785" t="str">
        <f t="shared" si="39"/>
        <v/>
      </c>
    </row>
    <row r="786" spans="4:4" x14ac:dyDescent="0.3">
      <c r="D786" t="str">
        <f t="shared" si="39"/>
        <v/>
      </c>
    </row>
    <row r="787" spans="4:4" x14ac:dyDescent="0.3">
      <c r="D787" t="str">
        <f t="shared" si="39"/>
        <v/>
      </c>
    </row>
    <row r="788" spans="4:4" x14ac:dyDescent="0.3">
      <c r="D788" t="str">
        <f t="shared" si="39"/>
        <v/>
      </c>
    </row>
    <row r="789" spans="4:4" x14ac:dyDescent="0.3">
      <c r="D789" t="str">
        <f t="shared" si="39"/>
        <v/>
      </c>
    </row>
    <row r="790" spans="4:4" x14ac:dyDescent="0.3">
      <c r="D790" t="str">
        <f t="shared" si="39"/>
        <v/>
      </c>
    </row>
    <row r="791" spans="4:4" x14ac:dyDescent="0.3">
      <c r="D791" t="str">
        <f t="shared" si="39"/>
        <v/>
      </c>
    </row>
    <row r="792" spans="4:4" x14ac:dyDescent="0.3">
      <c r="D792" t="str">
        <f t="shared" si="39"/>
        <v/>
      </c>
    </row>
    <row r="793" spans="4:4" x14ac:dyDescent="0.3">
      <c r="D793" t="str">
        <f t="shared" si="39"/>
        <v/>
      </c>
    </row>
    <row r="794" spans="4:4" x14ac:dyDescent="0.3">
      <c r="D794" t="str">
        <f t="shared" si="39"/>
        <v/>
      </c>
    </row>
    <row r="795" spans="4:4" x14ac:dyDescent="0.3">
      <c r="D795" t="str">
        <f t="shared" si="39"/>
        <v/>
      </c>
    </row>
    <row r="796" spans="4:4" x14ac:dyDescent="0.3">
      <c r="D796" t="str">
        <f t="shared" si="39"/>
        <v/>
      </c>
    </row>
    <row r="797" spans="4:4" x14ac:dyDescent="0.3">
      <c r="D797" t="str">
        <f t="shared" si="39"/>
        <v/>
      </c>
    </row>
    <row r="798" spans="4:4" x14ac:dyDescent="0.3">
      <c r="D798" t="str">
        <f t="shared" si="39"/>
        <v/>
      </c>
    </row>
    <row r="799" spans="4:4" x14ac:dyDescent="0.3">
      <c r="D799" t="str">
        <f t="shared" si="39"/>
        <v/>
      </c>
    </row>
    <row r="800" spans="4:4" x14ac:dyDescent="0.3">
      <c r="D800" t="str">
        <f t="shared" si="39"/>
        <v/>
      </c>
    </row>
    <row r="801" spans="4:4" x14ac:dyDescent="0.3">
      <c r="D801" t="str">
        <f t="shared" si="39"/>
        <v/>
      </c>
    </row>
    <row r="802" spans="4:4" x14ac:dyDescent="0.3">
      <c r="D802" t="str">
        <f t="shared" si="39"/>
        <v/>
      </c>
    </row>
    <row r="803" spans="4:4" x14ac:dyDescent="0.3">
      <c r="D803" t="str">
        <f t="shared" si="39"/>
        <v/>
      </c>
    </row>
    <row r="804" spans="4:4" x14ac:dyDescent="0.3">
      <c r="D804" t="str">
        <f t="shared" si="39"/>
        <v/>
      </c>
    </row>
    <row r="805" spans="4:4" x14ac:dyDescent="0.3">
      <c r="D805" t="str">
        <f t="shared" si="39"/>
        <v/>
      </c>
    </row>
    <row r="806" spans="4:4" x14ac:dyDescent="0.3">
      <c r="D806" t="str">
        <f t="shared" si="39"/>
        <v/>
      </c>
    </row>
    <row r="807" spans="4:4" x14ac:dyDescent="0.3">
      <c r="D807" t="str">
        <f t="shared" si="39"/>
        <v/>
      </c>
    </row>
    <row r="808" spans="4:4" x14ac:dyDescent="0.3">
      <c r="D808" t="str">
        <f t="shared" si="39"/>
        <v/>
      </c>
    </row>
    <row r="809" spans="4:4" x14ac:dyDescent="0.3">
      <c r="D809" t="str">
        <f t="shared" si="39"/>
        <v/>
      </c>
    </row>
    <row r="810" spans="4:4" x14ac:dyDescent="0.3">
      <c r="D810" t="str">
        <f t="shared" si="39"/>
        <v/>
      </c>
    </row>
    <row r="811" spans="4:4" x14ac:dyDescent="0.3">
      <c r="D811" t="str">
        <f t="shared" si="39"/>
        <v/>
      </c>
    </row>
    <row r="812" spans="4:4" x14ac:dyDescent="0.3">
      <c r="D812" t="str">
        <f t="shared" si="39"/>
        <v/>
      </c>
    </row>
    <row r="813" spans="4:4" x14ac:dyDescent="0.3">
      <c r="D813" t="str">
        <f t="shared" si="39"/>
        <v/>
      </c>
    </row>
    <row r="814" spans="4:4" x14ac:dyDescent="0.3">
      <c r="D814" t="str">
        <f t="shared" si="39"/>
        <v/>
      </c>
    </row>
    <row r="815" spans="4:4" x14ac:dyDescent="0.3">
      <c r="D815" t="str">
        <f t="shared" si="39"/>
        <v/>
      </c>
    </row>
    <row r="816" spans="4:4" x14ac:dyDescent="0.3">
      <c r="D816" t="str">
        <f t="shared" si="39"/>
        <v/>
      </c>
    </row>
    <row r="817" spans="4:4" x14ac:dyDescent="0.3">
      <c r="D817" t="str">
        <f t="shared" si="39"/>
        <v/>
      </c>
    </row>
    <row r="818" spans="4:4" x14ac:dyDescent="0.3">
      <c r="D818" t="str">
        <f t="shared" si="39"/>
        <v/>
      </c>
    </row>
    <row r="819" spans="4:4" x14ac:dyDescent="0.3">
      <c r="D819" t="str">
        <f t="shared" si="39"/>
        <v/>
      </c>
    </row>
    <row r="820" spans="4:4" x14ac:dyDescent="0.3">
      <c r="D820" t="str">
        <f t="shared" si="39"/>
        <v/>
      </c>
    </row>
    <row r="821" spans="4:4" x14ac:dyDescent="0.3">
      <c r="D821" t="str">
        <f t="shared" si="39"/>
        <v/>
      </c>
    </row>
    <row r="822" spans="4:4" x14ac:dyDescent="0.3">
      <c r="D822" t="str">
        <f t="shared" si="39"/>
        <v/>
      </c>
    </row>
    <row r="823" spans="4:4" x14ac:dyDescent="0.3">
      <c r="D823" t="str">
        <f t="shared" si="39"/>
        <v/>
      </c>
    </row>
    <row r="824" spans="4:4" x14ac:dyDescent="0.3">
      <c r="D824" t="str">
        <f t="shared" si="39"/>
        <v/>
      </c>
    </row>
    <row r="825" spans="4:4" x14ac:dyDescent="0.3">
      <c r="D825" t="str">
        <f t="shared" si="39"/>
        <v/>
      </c>
    </row>
    <row r="826" spans="4:4" x14ac:dyDescent="0.3">
      <c r="D826" t="str">
        <f t="shared" si="39"/>
        <v/>
      </c>
    </row>
    <row r="827" spans="4:4" x14ac:dyDescent="0.3">
      <c r="D827" t="str">
        <f t="shared" si="39"/>
        <v/>
      </c>
    </row>
    <row r="828" spans="4:4" x14ac:dyDescent="0.3">
      <c r="D828" t="str">
        <f t="shared" si="39"/>
        <v/>
      </c>
    </row>
    <row r="829" spans="4:4" x14ac:dyDescent="0.3">
      <c r="D829" t="str">
        <f t="shared" si="39"/>
        <v/>
      </c>
    </row>
    <row r="830" spans="4:4" x14ac:dyDescent="0.3">
      <c r="D830" t="str">
        <f t="shared" ref="D830:D893" si="42">IF(LEFT(A830,2)="SP",MID(A830,4,4),IF(LEFT(A830,1)="X",MID(A830,3,4),""))</f>
        <v/>
      </c>
    </row>
    <row r="831" spans="4:4" x14ac:dyDescent="0.3">
      <c r="D831" t="str">
        <f t="shared" si="42"/>
        <v/>
      </c>
    </row>
    <row r="832" spans="4:4" x14ac:dyDescent="0.3">
      <c r="D832" t="str">
        <f t="shared" si="42"/>
        <v/>
      </c>
    </row>
    <row r="833" spans="4:4" x14ac:dyDescent="0.3">
      <c r="D833" t="str">
        <f t="shared" si="42"/>
        <v/>
      </c>
    </row>
    <row r="834" spans="4:4" x14ac:dyDescent="0.3">
      <c r="D834" t="str">
        <f t="shared" si="42"/>
        <v/>
      </c>
    </row>
    <row r="835" spans="4:4" x14ac:dyDescent="0.3">
      <c r="D835" t="str">
        <f t="shared" si="42"/>
        <v/>
      </c>
    </row>
    <row r="836" spans="4:4" x14ac:dyDescent="0.3">
      <c r="D836" t="str">
        <f t="shared" si="42"/>
        <v/>
      </c>
    </row>
    <row r="837" spans="4:4" x14ac:dyDescent="0.3">
      <c r="D837" t="str">
        <f t="shared" si="42"/>
        <v/>
      </c>
    </row>
    <row r="838" spans="4:4" x14ac:dyDescent="0.3">
      <c r="D838" t="str">
        <f t="shared" si="42"/>
        <v/>
      </c>
    </row>
    <row r="839" spans="4:4" x14ac:dyDescent="0.3">
      <c r="D839" t="str">
        <f t="shared" si="42"/>
        <v/>
      </c>
    </row>
    <row r="840" spans="4:4" x14ac:dyDescent="0.3">
      <c r="D840" t="str">
        <f t="shared" si="42"/>
        <v/>
      </c>
    </row>
    <row r="841" spans="4:4" x14ac:dyDescent="0.3">
      <c r="D841" t="str">
        <f t="shared" si="42"/>
        <v/>
      </c>
    </row>
    <row r="842" spans="4:4" x14ac:dyDescent="0.3">
      <c r="D842" t="str">
        <f t="shared" si="42"/>
        <v/>
      </c>
    </row>
    <row r="843" spans="4:4" x14ac:dyDescent="0.3">
      <c r="D843" t="str">
        <f t="shared" si="42"/>
        <v/>
      </c>
    </row>
    <row r="844" spans="4:4" x14ac:dyDescent="0.3">
      <c r="D844" t="str">
        <f t="shared" si="42"/>
        <v/>
      </c>
    </row>
    <row r="845" spans="4:4" x14ac:dyDescent="0.3">
      <c r="D845" t="str">
        <f t="shared" si="42"/>
        <v/>
      </c>
    </row>
    <row r="846" spans="4:4" x14ac:dyDescent="0.3">
      <c r="D846" t="str">
        <f t="shared" si="42"/>
        <v/>
      </c>
    </row>
    <row r="847" spans="4:4" x14ac:dyDescent="0.3">
      <c r="D847" t="str">
        <f t="shared" si="42"/>
        <v/>
      </c>
    </row>
    <row r="848" spans="4:4" x14ac:dyDescent="0.3">
      <c r="D848" t="str">
        <f t="shared" si="42"/>
        <v/>
      </c>
    </row>
    <row r="849" spans="4:4" x14ac:dyDescent="0.3">
      <c r="D849" t="str">
        <f t="shared" si="42"/>
        <v/>
      </c>
    </row>
    <row r="850" spans="4:4" x14ac:dyDescent="0.3">
      <c r="D850" t="str">
        <f t="shared" si="42"/>
        <v/>
      </c>
    </row>
    <row r="851" spans="4:4" x14ac:dyDescent="0.3">
      <c r="D851" t="str">
        <f t="shared" si="42"/>
        <v/>
      </c>
    </row>
    <row r="852" spans="4:4" x14ac:dyDescent="0.3">
      <c r="D852" t="str">
        <f t="shared" si="42"/>
        <v/>
      </c>
    </row>
    <row r="853" spans="4:4" x14ac:dyDescent="0.3">
      <c r="D853" t="str">
        <f t="shared" si="42"/>
        <v/>
      </c>
    </row>
    <row r="854" spans="4:4" x14ac:dyDescent="0.3">
      <c r="D854" t="str">
        <f t="shared" si="42"/>
        <v/>
      </c>
    </row>
    <row r="855" spans="4:4" x14ac:dyDescent="0.3">
      <c r="D855" t="str">
        <f t="shared" si="42"/>
        <v/>
      </c>
    </row>
    <row r="856" spans="4:4" x14ac:dyDescent="0.3">
      <c r="D856" t="str">
        <f t="shared" si="42"/>
        <v/>
      </c>
    </row>
    <row r="857" spans="4:4" x14ac:dyDescent="0.3">
      <c r="D857" t="str">
        <f t="shared" si="42"/>
        <v/>
      </c>
    </row>
    <row r="858" spans="4:4" x14ac:dyDescent="0.3">
      <c r="D858" t="str">
        <f t="shared" si="42"/>
        <v/>
      </c>
    </row>
    <row r="859" spans="4:4" x14ac:dyDescent="0.3">
      <c r="D859" t="str">
        <f t="shared" si="42"/>
        <v/>
      </c>
    </row>
    <row r="860" spans="4:4" x14ac:dyDescent="0.3">
      <c r="D860" t="str">
        <f t="shared" si="42"/>
        <v/>
      </c>
    </row>
    <row r="861" spans="4:4" x14ac:dyDescent="0.3">
      <c r="D861" t="str">
        <f t="shared" si="42"/>
        <v/>
      </c>
    </row>
    <row r="862" spans="4:4" x14ac:dyDescent="0.3">
      <c r="D862" t="str">
        <f t="shared" si="42"/>
        <v/>
      </c>
    </row>
    <row r="863" spans="4:4" x14ac:dyDescent="0.3">
      <c r="D863" t="str">
        <f t="shared" si="42"/>
        <v/>
      </c>
    </row>
    <row r="864" spans="4:4" x14ac:dyDescent="0.3">
      <c r="D864" t="str">
        <f t="shared" si="42"/>
        <v/>
      </c>
    </row>
    <row r="865" spans="4:4" x14ac:dyDescent="0.3">
      <c r="D865" t="str">
        <f t="shared" si="42"/>
        <v/>
      </c>
    </row>
    <row r="866" spans="4:4" x14ac:dyDescent="0.3">
      <c r="D866" t="str">
        <f t="shared" si="42"/>
        <v/>
      </c>
    </row>
    <row r="867" spans="4:4" x14ac:dyDescent="0.3">
      <c r="D867" t="str">
        <f t="shared" si="42"/>
        <v/>
      </c>
    </row>
    <row r="868" spans="4:4" x14ac:dyDescent="0.3">
      <c r="D868" t="str">
        <f t="shared" si="42"/>
        <v/>
      </c>
    </row>
    <row r="869" spans="4:4" x14ac:dyDescent="0.3">
      <c r="D869" t="str">
        <f t="shared" si="42"/>
        <v/>
      </c>
    </row>
    <row r="870" spans="4:4" x14ac:dyDescent="0.3">
      <c r="D870" t="str">
        <f t="shared" si="42"/>
        <v/>
      </c>
    </row>
    <row r="871" spans="4:4" x14ac:dyDescent="0.3">
      <c r="D871" t="str">
        <f t="shared" si="42"/>
        <v/>
      </c>
    </row>
    <row r="872" spans="4:4" x14ac:dyDescent="0.3">
      <c r="D872" t="str">
        <f t="shared" si="42"/>
        <v/>
      </c>
    </row>
    <row r="873" spans="4:4" x14ac:dyDescent="0.3">
      <c r="D873" t="str">
        <f t="shared" si="42"/>
        <v/>
      </c>
    </row>
    <row r="874" spans="4:4" x14ac:dyDescent="0.3">
      <c r="D874" t="str">
        <f t="shared" si="42"/>
        <v/>
      </c>
    </row>
    <row r="875" spans="4:4" x14ac:dyDescent="0.3">
      <c r="D875" t="str">
        <f t="shared" si="42"/>
        <v/>
      </c>
    </row>
    <row r="876" spans="4:4" x14ac:dyDescent="0.3">
      <c r="D876" t="str">
        <f t="shared" si="42"/>
        <v/>
      </c>
    </row>
    <row r="877" spans="4:4" x14ac:dyDescent="0.3">
      <c r="D877" t="str">
        <f t="shared" si="42"/>
        <v/>
      </c>
    </row>
    <row r="878" spans="4:4" x14ac:dyDescent="0.3">
      <c r="D878" t="str">
        <f t="shared" si="42"/>
        <v/>
      </c>
    </row>
    <row r="879" spans="4:4" x14ac:dyDescent="0.3">
      <c r="D879" t="str">
        <f t="shared" si="42"/>
        <v/>
      </c>
    </row>
    <row r="880" spans="4:4" x14ac:dyDescent="0.3">
      <c r="D880" t="str">
        <f t="shared" si="42"/>
        <v/>
      </c>
    </row>
    <row r="881" spans="4:4" x14ac:dyDescent="0.3">
      <c r="D881" t="str">
        <f t="shared" si="42"/>
        <v/>
      </c>
    </row>
    <row r="882" spans="4:4" x14ac:dyDescent="0.3">
      <c r="D882" t="str">
        <f t="shared" si="42"/>
        <v/>
      </c>
    </row>
    <row r="883" spans="4:4" x14ac:dyDescent="0.3">
      <c r="D883" t="str">
        <f t="shared" si="42"/>
        <v/>
      </c>
    </row>
    <row r="884" spans="4:4" x14ac:dyDescent="0.3">
      <c r="D884" t="str">
        <f t="shared" si="42"/>
        <v/>
      </c>
    </row>
    <row r="885" spans="4:4" x14ac:dyDescent="0.3">
      <c r="D885" t="str">
        <f t="shared" si="42"/>
        <v/>
      </c>
    </row>
    <row r="886" spans="4:4" x14ac:dyDescent="0.3">
      <c r="D886" t="str">
        <f t="shared" si="42"/>
        <v/>
      </c>
    </row>
    <row r="887" spans="4:4" x14ac:dyDescent="0.3">
      <c r="D887" t="str">
        <f t="shared" si="42"/>
        <v/>
      </c>
    </row>
    <row r="888" spans="4:4" x14ac:dyDescent="0.3">
      <c r="D888" t="str">
        <f t="shared" si="42"/>
        <v/>
      </c>
    </row>
    <row r="889" spans="4:4" x14ac:dyDescent="0.3">
      <c r="D889" t="str">
        <f t="shared" si="42"/>
        <v/>
      </c>
    </row>
    <row r="890" spans="4:4" x14ac:dyDescent="0.3">
      <c r="D890" t="str">
        <f t="shared" si="42"/>
        <v/>
      </c>
    </row>
    <row r="891" spans="4:4" x14ac:dyDescent="0.3">
      <c r="D891" t="str">
        <f t="shared" si="42"/>
        <v/>
      </c>
    </row>
    <row r="892" spans="4:4" x14ac:dyDescent="0.3">
      <c r="D892" t="str">
        <f t="shared" si="42"/>
        <v/>
      </c>
    </row>
    <row r="893" spans="4:4" x14ac:dyDescent="0.3">
      <c r="D893" t="str">
        <f t="shared" si="42"/>
        <v/>
      </c>
    </row>
    <row r="894" spans="4:4" x14ac:dyDescent="0.3">
      <c r="D894" t="str">
        <f t="shared" ref="D894:D957" si="43">IF(LEFT(A894,2)="SP",MID(A894,4,4),IF(LEFT(A894,1)="X",MID(A894,3,4),""))</f>
        <v/>
      </c>
    </row>
    <row r="895" spans="4:4" x14ac:dyDescent="0.3">
      <c r="D895" t="str">
        <f t="shared" si="43"/>
        <v/>
      </c>
    </row>
    <row r="896" spans="4:4" x14ac:dyDescent="0.3">
      <c r="D896" t="str">
        <f t="shared" si="43"/>
        <v/>
      </c>
    </row>
    <row r="897" spans="4:4" x14ac:dyDescent="0.3">
      <c r="D897" t="str">
        <f t="shared" si="43"/>
        <v/>
      </c>
    </row>
    <row r="898" spans="4:4" x14ac:dyDescent="0.3">
      <c r="D898" t="str">
        <f t="shared" si="43"/>
        <v/>
      </c>
    </row>
    <row r="899" spans="4:4" x14ac:dyDescent="0.3">
      <c r="D899" t="str">
        <f t="shared" si="43"/>
        <v/>
      </c>
    </row>
    <row r="900" spans="4:4" x14ac:dyDescent="0.3">
      <c r="D900" t="str">
        <f t="shared" si="43"/>
        <v/>
      </c>
    </row>
    <row r="901" spans="4:4" x14ac:dyDescent="0.3">
      <c r="D901" t="str">
        <f t="shared" si="43"/>
        <v/>
      </c>
    </row>
    <row r="902" spans="4:4" x14ac:dyDescent="0.3">
      <c r="D902" t="str">
        <f t="shared" si="43"/>
        <v/>
      </c>
    </row>
    <row r="903" spans="4:4" x14ac:dyDescent="0.3">
      <c r="D903" t="str">
        <f t="shared" si="43"/>
        <v/>
      </c>
    </row>
    <row r="904" spans="4:4" x14ac:dyDescent="0.3">
      <c r="D904" t="str">
        <f t="shared" si="43"/>
        <v/>
      </c>
    </row>
    <row r="905" spans="4:4" x14ac:dyDescent="0.3">
      <c r="D905" t="str">
        <f t="shared" si="43"/>
        <v/>
      </c>
    </row>
    <row r="906" spans="4:4" x14ac:dyDescent="0.3">
      <c r="D906" t="str">
        <f t="shared" si="43"/>
        <v/>
      </c>
    </row>
    <row r="907" spans="4:4" x14ac:dyDescent="0.3">
      <c r="D907" t="str">
        <f t="shared" si="43"/>
        <v/>
      </c>
    </row>
    <row r="908" spans="4:4" x14ac:dyDescent="0.3">
      <c r="D908" t="str">
        <f t="shared" si="43"/>
        <v/>
      </c>
    </row>
    <row r="909" spans="4:4" x14ac:dyDescent="0.3">
      <c r="D909" t="str">
        <f t="shared" si="43"/>
        <v/>
      </c>
    </row>
    <row r="910" spans="4:4" x14ac:dyDescent="0.3">
      <c r="D910" t="str">
        <f t="shared" si="43"/>
        <v/>
      </c>
    </row>
    <row r="911" spans="4:4" x14ac:dyDescent="0.3">
      <c r="D911" t="str">
        <f t="shared" si="43"/>
        <v/>
      </c>
    </row>
    <row r="912" spans="4:4" x14ac:dyDescent="0.3">
      <c r="D912" t="str">
        <f t="shared" si="43"/>
        <v/>
      </c>
    </row>
    <row r="913" spans="4:4" x14ac:dyDescent="0.3">
      <c r="D913" t="str">
        <f t="shared" si="43"/>
        <v/>
      </c>
    </row>
    <row r="914" spans="4:4" x14ac:dyDescent="0.3">
      <c r="D914" t="str">
        <f t="shared" si="43"/>
        <v/>
      </c>
    </row>
    <row r="915" spans="4:4" x14ac:dyDescent="0.3">
      <c r="D915" t="str">
        <f t="shared" si="43"/>
        <v/>
      </c>
    </row>
    <row r="916" spans="4:4" x14ac:dyDescent="0.3">
      <c r="D916" t="str">
        <f t="shared" si="43"/>
        <v/>
      </c>
    </row>
    <row r="917" spans="4:4" x14ac:dyDescent="0.3">
      <c r="D917" t="str">
        <f t="shared" si="43"/>
        <v/>
      </c>
    </row>
    <row r="918" spans="4:4" x14ac:dyDescent="0.3">
      <c r="D918" t="str">
        <f t="shared" si="43"/>
        <v/>
      </c>
    </row>
    <row r="919" spans="4:4" x14ac:dyDescent="0.3">
      <c r="D919" t="str">
        <f t="shared" si="43"/>
        <v/>
      </c>
    </row>
    <row r="920" spans="4:4" x14ac:dyDescent="0.3">
      <c r="D920" t="str">
        <f t="shared" si="43"/>
        <v/>
      </c>
    </row>
    <row r="921" spans="4:4" x14ac:dyDescent="0.3">
      <c r="D921" t="str">
        <f t="shared" si="43"/>
        <v/>
      </c>
    </row>
    <row r="922" spans="4:4" x14ac:dyDescent="0.3">
      <c r="D922" t="str">
        <f t="shared" si="43"/>
        <v/>
      </c>
    </row>
    <row r="923" spans="4:4" x14ac:dyDescent="0.3">
      <c r="D923" t="str">
        <f t="shared" si="43"/>
        <v/>
      </c>
    </row>
    <row r="924" spans="4:4" x14ac:dyDescent="0.3">
      <c r="D924" t="str">
        <f t="shared" si="43"/>
        <v/>
      </c>
    </row>
    <row r="925" spans="4:4" x14ac:dyDescent="0.3">
      <c r="D925" t="str">
        <f t="shared" si="43"/>
        <v/>
      </c>
    </row>
    <row r="926" spans="4:4" x14ac:dyDescent="0.3">
      <c r="D926" t="str">
        <f t="shared" si="43"/>
        <v/>
      </c>
    </row>
    <row r="927" spans="4:4" x14ac:dyDescent="0.3">
      <c r="D927" t="str">
        <f t="shared" si="43"/>
        <v/>
      </c>
    </row>
    <row r="928" spans="4:4" x14ac:dyDescent="0.3">
      <c r="D928" t="str">
        <f t="shared" si="43"/>
        <v/>
      </c>
    </row>
    <row r="929" spans="4:4" x14ac:dyDescent="0.3">
      <c r="D929" t="str">
        <f t="shared" si="43"/>
        <v/>
      </c>
    </row>
    <row r="930" spans="4:4" x14ac:dyDescent="0.3">
      <c r="D930" t="str">
        <f t="shared" si="43"/>
        <v/>
      </c>
    </row>
    <row r="931" spans="4:4" x14ac:dyDescent="0.3">
      <c r="D931" t="str">
        <f t="shared" si="43"/>
        <v/>
      </c>
    </row>
    <row r="932" spans="4:4" x14ac:dyDescent="0.3">
      <c r="D932" t="str">
        <f t="shared" si="43"/>
        <v/>
      </c>
    </row>
    <row r="933" spans="4:4" x14ac:dyDescent="0.3">
      <c r="D933" t="str">
        <f t="shared" si="43"/>
        <v/>
      </c>
    </row>
    <row r="934" spans="4:4" x14ac:dyDescent="0.3">
      <c r="D934" t="str">
        <f t="shared" si="43"/>
        <v/>
      </c>
    </row>
    <row r="935" spans="4:4" x14ac:dyDescent="0.3">
      <c r="D935" t="str">
        <f t="shared" si="43"/>
        <v/>
      </c>
    </row>
    <row r="936" spans="4:4" x14ac:dyDescent="0.3">
      <c r="D936" t="str">
        <f t="shared" si="43"/>
        <v/>
      </c>
    </row>
    <row r="937" spans="4:4" x14ac:dyDescent="0.3">
      <c r="D937" t="str">
        <f t="shared" si="43"/>
        <v/>
      </c>
    </row>
    <row r="938" spans="4:4" x14ac:dyDescent="0.3">
      <c r="D938" t="str">
        <f t="shared" si="43"/>
        <v/>
      </c>
    </row>
    <row r="939" spans="4:4" x14ac:dyDescent="0.3">
      <c r="D939" t="str">
        <f t="shared" si="43"/>
        <v/>
      </c>
    </row>
    <row r="940" spans="4:4" x14ac:dyDescent="0.3">
      <c r="D940" t="str">
        <f t="shared" si="43"/>
        <v/>
      </c>
    </row>
    <row r="941" spans="4:4" x14ac:dyDescent="0.3">
      <c r="D941" t="str">
        <f t="shared" si="43"/>
        <v/>
      </c>
    </row>
    <row r="942" spans="4:4" x14ac:dyDescent="0.3">
      <c r="D942" t="str">
        <f t="shared" si="43"/>
        <v/>
      </c>
    </row>
    <row r="943" spans="4:4" x14ac:dyDescent="0.3">
      <c r="D943" t="str">
        <f t="shared" si="43"/>
        <v/>
      </c>
    </row>
    <row r="944" spans="4:4" x14ac:dyDescent="0.3">
      <c r="D944" t="str">
        <f t="shared" si="43"/>
        <v/>
      </c>
    </row>
    <row r="945" spans="4:4" x14ac:dyDescent="0.3">
      <c r="D945" t="str">
        <f t="shared" si="43"/>
        <v/>
      </c>
    </row>
    <row r="946" spans="4:4" x14ac:dyDescent="0.3">
      <c r="D946" t="str">
        <f t="shared" si="43"/>
        <v/>
      </c>
    </row>
    <row r="947" spans="4:4" x14ac:dyDescent="0.3">
      <c r="D947" t="str">
        <f t="shared" si="43"/>
        <v/>
      </c>
    </row>
    <row r="948" spans="4:4" x14ac:dyDescent="0.3">
      <c r="D948" t="str">
        <f t="shared" si="43"/>
        <v/>
      </c>
    </row>
    <row r="949" spans="4:4" x14ac:dyDescent="0.3">
      <c r="D949" t="str">
        <f t="shared" si="43"/>
        <v/>
      </c>
    </row>
    <row r="950" spans="4:4" x14ac:dyDescent="0.3">
      <c r="D950" t="str">
        <f t="shared" si="43"/>
        <v/>
      </c>
    </row>
    <row r="951" spans="4:4" x14ac:dyDescent="0.3">
      <c r="D951" t="str">
        <f t="shared" si="43"/>
        <v/>
      </c>
    </row>
    <row r="952" spans="4:4" x14ac:dyDescent="0.3">
      <c r="D952" t="str">
        <f t="shared" si="43"/>
        <v/>
      </c>
    </row>
    <row r="953" spans="4:4" x14ac:dyDescent="0.3">
      <c r="D953" t="str">
        <f t="shared" si="43"/>
        <v/>
      </c>
    </row>
    <row r="954" spans="4:4" x14ac:dyDescent="0.3">
      <c r="D954" t="str">
        <f t="shared" si="43"/>
        <v/>
      </c>
    </row>
    <row r="955" spans="4:4" x14ac:dyDescent="0.3">
      <c r="D955" t="str">
        <f t="shared" si="43"/>
        <v/>
      </c>
    </row>
    <row r="956" spans="4:4" x14ac:dyDescent="0.3">
      <c r="D956" t="str">
        <f t="shared" si="43"/>
        <v/>
      </c>
    </row>
    <row r="957" spans="4:4" x14ac:dyDescent="0.3">
      <c r="D957" t="str">
        <f t="shared" si="43"/>
        <v/>
      </c>
    </row>
    <row r="958" spans="4:4" x14ac:dyDescent="0.3">
      <c r="D958" t="str">
        <f t="shared" ref="D958:D1021" si="44">IF(LEFT(A958,2)="SP",MID(A958,4,4),IF(LEFT(A958,1)="X",MID(A958,3,4),""))</f>
        <v/>
      </c>
    </row>
    <row r="959" spans="4:4" x14ac:dyDescent="0.3">
      <c r="D959" t="str">
        <f t="shared" si="44"/>
        <v/>
      </c>
    </row>
    <row r="960" spans="4:4" x14ac:dyDescent="0.3">
      <c r="D960" t="str">
        <f t="shared" si="44"/>
        <v/>
      </c>
    </row>
    <row r="961" spans="4:4" x14ac:dyDescent="0.3">
      <c r="D961" t="str">
        <f t="shared" si="44"/>
        <v/>
      </c>
    </row>
    <row r="962" spans="4:4" x14ac:dyDescent="0.3">
      <c r="D962" t="str">
        <f t="shared" si="44"/>
        <v/>
      </c>
    </row>
    <row r="963" spans="4:4" x14ac:dyDescent="0.3">
      <c r="D963" t="str">
        <f t="shared" si="44"/>
        <v/>
      </c>
    </row>
    <row r="964" spans="4:4" x14ac:dyDescent="0.3">
      <c r="D964" t="str">
        <f t="shared" si="44"/>
        <v/>
      </c>
    </row>
    <row r="965" spans="4:4" x14ac:dyDescent="0.3">
      <c r="D965" t="str">
        <f t="shared" si="44"/>
        <v/>
      </c>
    </row>
    <row r="966" spans="4:4" x14ac:dyDescent="0.3">
      <c r="D966" t="str">
        <f t="shared" si="44"/>
        <v/>
      </c>
    </row>
    <row r="967" spans="4:4" x14ac:dyDescent="0.3">
      <c r="D967" t="str">
        <f t="shared" si="44"/>
        <v/>
      </c>
    </row>
    <row r="968" spans="4:4" x14ac:dyDescent="0.3">
      <c r="D968" t="str">
        <f t="shared" si="44"/>
        <v/>
      </c>
    </row>
    <row r="969" spans="4:4" x14ac:dyDescent="0.3">
      <c r="D969" t="str">
        <f t="shared" si="44"/>
        <v/>
      </c>
    </row>
    <row r="970" spans="4:4" x14ac:dyDescent="0.3">
      <c r="D970" t="str">
        <f t="shared" si="44"/>
        <v/>
      </c>
    </row>
    <row r="971" spans="4:4" x14ac:dyDescent="0.3">
      <c r="D971" t="str">
        <f t="shared" si="44"/>
        <v/>
      </c>
    </row>
    <row r="972" spans="4:4" x14ac:dyDescent="0.3">
      <c r="D972" t="str">
        <f t="shared" si="44"/>
        <v/>
      </c>
    </row>
    <row r="973" spans="4:4" x14ac:dyDescent="0.3">
      <c r="D973" t="str">
        <f t="shared" si="44"/>
        <v/>
      </c>
    </row>
    <row r="974" spans="4:4" x14ac:dyDescent="0.3">
      <c r="D974" t="str">
        <f t="shared" si="44"/>
        <v/>
      </c>
    </row>
    <row r="975" spans="4:4" x14ac:dyDescent="0.3">
      <c r="D975" t="str">
        <f t="shared" si="44"/>
        <v/>
      </c>
    </row>
    <row r="976" spans="4:4" x14ac:dyDescent="0.3">
      <c r="D976" t="str">
        <f t="shared" si="44"/>
        <v/>
      </c>
    </row>
    <row r="977" spans="4:4" x14ac:dyDescent="0.3">
      <c r="D977" t="str">
        <f t="shared" si="44"/>
        <v/>
      </c>
    </row>
    <row r="978" spans="4:4" x14ac:dyDescent="0.3">
      <c r="D978" t="str">
        <f t="shared" si="44"/>
        <v/>
      </c>
    </row>
    <row r="979" spans="4:4" x14ac:dyDescent="0.3">
      <c r="D979" t="str">
        <f t="shared" si="44"/>
        <v/>
      </c>
    </row>
    <row r="980" spans="4:4" x14ac:dyDescent="0.3">
      <c r="D980" t="str">
        <f t="shared" si="44"/>
        <v/>
      </c>
    </row>
    <row r="981" spans="4:4" x14ac:dyDescent="0.3">
      <c r="D981" t="str">
        <f t="shared" si="44"/>
        <v/>
      </c>
    </row>
    <row r="982" spans="4:4" x14ac:dyDescent="0.3">
      <c r="D982" t="str">
        <f t="shared" si="44"/>
        <v/>
      </c>
    </row>
    <row r="983" spans="4:4" x14ac:dyDescent="0.3">
      <c r="D983" t="str">
        <f t="shared" si="44"/>
        <v/>
      </c>
    </row>
    <row r="984" spans="4:4" x14ac:dyDescent="0.3">
      <c r="D984" t="str">
        <f t="shared" si="44"/>
        <v/>
      </c>
    </row>
    <row r="985" spans="4:4" x14ac:dyDescent="0.3">
      <c r="D985" t="str">
        <f t="shared" si="44"/>
        <v/>
      </c>
    </row>
    <row r="986" spans="4:4" x14ac:dyDescent="0.3">
      <c r="D986" t="str">
        <f t="shared" si="44"/>
        <v/>
      </c>
    </row>
    <row r="987" spans="4:4" x14ac:dyDescent="0.3">
      <c r="D987" t="str">
        <f t="shared" si="44"/>
        <v/>
      </c>
    </row>
    <row r="988" spans="4:4" x14ac:dyDescent="0.3">
      <c r="D988" t="str">
        <f t="shared" si="44"/>
        <v/>
      </c>
    </row>
    <row r="989" spans="4:4" x14ac:dyDescent="0.3">
      <c r="D989" t="str">
        <f t="shared" si="44"/>
        <v/>
      </c>
    </row>
    <row r="990" spans="4:4" x14ac:dyDescent="0.3">
      <c r="D990" t="str">
        <f t="shared" si="44"/>
        <v/>
      </c>
    </row>
    <row r="991" spans="4:4" x14ac:dyDescent="0.3">
      <c r="D991" t="str">
        <f t="shared" si="44"/>
        <v/>
      </c>
    </row>
    <row r="992" spans="4:4" x14ac:dyDescent="0.3">
      <c r="D992" t="str">
        <f t="shared" si="44"/>
        <v/>
      </c>
    </row>
    <row r="993" spans="4:4" x14ac:dyDescent="0.3">
      <c r="D993" t="str">
        <f t="shared" si="44"/>
        <v/>
      </c>
    </row>
    <row r="994" spans="4:4" x14ac:dyDescent="0.3">
      <c r="D994" t="str">
        <f t="shared" si="44"/>
        <v/>
      </c>
    </row>
    <row r="995" spans="4:4" x14ac:dyDescent="0.3">
      <c r="D995" t="str">
        <f t="shared" si="44"/>
        <v/>
      </c>
    </row>
    <row r="996" spans="4:4" x14ac:dyDescent="0.3">
      <c r="D996" t="str">
        <f t="shared" si="44"/>
        <v/>
      </c>
    </row>
    <row r="997" spans="4:4" x14ac:dyDescent="0.3">
      <c r="D997" t="str">
        <f t="shared" si="44"/>
        <v/>
      </c>
    </row>
    <row r="998" spans="4:4" x14ac:dyDescent="0.3">
      <c r="D998" t="str">
        <f t="shared" si="44"/>
        <v/>
      </c>
    </row>
    <row r="999" spans="4:4" x14ac:dyDescent="0.3">
      <c r="D999" t="str">
        <f t="shared" si="44"/>
        <v/>
      </c>
    </row>
    <row r="1000" spans="4:4" x14ac:dyDescent="0.3">
      <c r="D1000" t="str">
        <f t="shared" si="44"/>
        <v/>
      </c>
    </row>
    <row r="1001" spans="4:4" x14ac:dyDescent="0.3">
      <c r="D1001" t="str">
        <f t="shared" si="44"/>
        <v/>
      </c>
    </row>
    <row r="1002" spans="4:4" x14ac:dyDescent="0.3">
      <c r="D1002" t="str">
        <f t="shared" si="44"/>
        <v/>
      </c>
    </row>
    <row r="1003" spans="4:4" x14ac:dyDescent="0.3">
      <c r="D1003" t="str">
        <f t="shared" si="44"/>
        <v/>
      </c>
    </row>
    <row r="1004" spans="4:4" x14ac:dyDescent="0.3">
      <c r="D1004" t="str">
        <f t="shared" si="44"/>
        <v/>
      </c>
    </row>
    <row r="1005" spans="4:4" x14ac:dyDescent="0.3">
      <c r="D1005" t="str">
        <f t="shared" si="44"/>
        <v/>
      </c>
    </row>
    <row r="1006" spans="4:4" x14ac:dyDescent="0.3">
      <c r="D1006" t="str">
        <f t="shared" si="44"/>
        <v/>
      </c>
    </row>
    <row r="1007" spans="4:4" x14ac:dyDescent="0.3">
      <c r="D1007" t="str">
        <f t="shared" si="44"/>
        <v/>
      </c>
    </row>
    <row r="1008" spans="4:4" x14ac:dyDescent="0.3">
      <c r="D1008" t="str">
        <f t="shared" si="44"/>
        <v/>
      </c>
    </row>
    <row r="1009" spans="4:4" x14ac:dyDescent="0.3">
      <c r="D1009" t="str">
        <f t="shared" si="44"/>
        <v/>
      </c>
    </row>
    <row r="1010" spans="4:4" x14ac:dyDescent="0.3">
      <c r="D1010" t="str">
        <f t="shared" si="44"/>
        <v/>
      </c>
    </row>
    <row r="1011" spans="4:4" x14ac:dyDescent="0.3">
      <c r="D1011" t="str">
        <f t="shared" si="44"/>
        <v/>
      </c>
    </row>
    <row r="1012" spans="4:4" x14ac:dyDescent="0.3">
      <c r="D1012" t="str">
        <f t="shared" si="44"/>
        <v/>
      </c>
    </row>
    <row r="1013" spans="4:4" x14ac:dyDescent="0.3">
      <c r="D1013" t="str">
        <f t="shared" si="44"/>
        <v/>
      </c>
    </row>
    <row r="1014" spans="4:4" x14ac:dyDescent="0.3">
      <c r="D1014" t="str">
        <f t="shared" si="44"/>
        <v/>
      </c>
    </row>
    <row r="1015" spans="4:4" x14ac:dyDescent="0.3">
      <c r="D1015" t="str">
        <f t="shared" si="44"/>
        <v/>
      </c>
    </row>
    <row r="1016" spans="4:4" x14ac:dyDescent="0.3">
      <c r="D1016" t="str">
        <f t="shared" si="44"/>
        <v/>
      </c>
    </row>
    <row r="1017" spans="4:4" x14ac:dyDescent="0.3">
      <c r="D1017" t="str">
        <f t="shared" si="44"/>
        <v/>
      </c>
    </row>
    <row r="1018" spans="4:4" x14ac:dyDescent="0.3">
      <c r="D1018" t="str">
        <f t="shared" si="44"/>
        <v/>
      </c>
    </row>
    <row r="1019" spans="4:4" x14ac:dyDescent="0.3">
      <c r="D1019" t="str">
        <f t="shared" si="44"/>
        <v/>
      </c>
    </row>
    <row r="1020" spans="4:4" x14ac:dyDescent="0.3">
      <c r="D1020" t="str">
        <f t="shared" si="44"/>
        <v/>
      </c>
    </row>
    <row r="1021" spans="4:4" x14ac:dyDescent="0.3">
      <c r="D1021" t="str">
        <f t="shared" si="44"/>
        <v/>
      </c>
    </row>
    <row r="1022" spans="4:4" x14ac:dyDescent="0.3">
      <c r="D1022" t="str">
        <f t="shared" ref="D1022:D1085" si="45">IF(LEFT(A1022,2)="SP",MID(A1022,4,4),IF(LEFT(A1022,1)="X",MID(A1022,3,4),""))</f>
        <v/>
      </c>
    </row>
    <row r="1023" spans="4:4" x14ac:dyDescent="0.3">
      <c r="D1023" t="str">
        <f t="shared" si="45"/>
        <v/>
      </c>
    </row>
    <row r="1024" spans="4:4" x14ac:dyDescent="0.3">
      <c r="D1024" t="str">
        <f t="shared" si="45"/>
        <v/>
      </c>
    </row>
    <row r="1025" spans="4:4" x14ac:dyDescent="0.3">
      <c r="D1025" t="str">
        <f t="shared" si="45"/>
        <v/>
      </c>
    </row>
    <row r="1026" spans="4:4" x14ac:dyDescent="0.3">
      <c r="D1026" t="str">
        <f t="shared" si="45"/>
        <v/>
      </c>
    </row>
    <row r="1027" spans="4:4" x14ac:dyDescent="0.3">
      <c r="D1027" t="str">
        <f t="shared" si="45"/>
        <v/>
      </c>
    </row>
    <row r="1028" spans="4:4" x14ac:dyDescent="0.3">
      <c r="D1028" t="str">
        <f t="shared" si="45"/>
        <v/>
      </c>
    </row>
    <row r="1029" spans="4:4" x14ac:dyDescent="0.3">
      <c r="D1029" t="str">
        <f t="shared" si="45"/>
        <v/>
      </c>
    </row>
    <row r="1030" spans="4:4" x14ac:dyDescent="0.3">
      <c r="D1030" t="str">
        <f t="shared" si="45"/>
        <v/>
      </c>
    </row>
    <row r="1031" spans="4:4" x14ac:dyDescent="0.3">
      <c r="D1031" t="str">
        <f t="shared" si="45"/>
        <v/>
      </c>
    </row>
    <row r="1032" spans="4:4" x14ac:dyDescent="0.3">
      <c r="D1032" t="str">
        <f t="shared" si="45"/>
        <v/>
      </c>
    </row>
    <row r="1033" spans="4:4" x14ac:dyDescent="0.3">
      <c r="D1033" t="str">
        <f t="shared" si="45"/>
        <v/>
      </c>
    </row>
    <row r="1034" spans="4:4" x14ac:dyDescent="0.3">
      <c r="D1034" t="str">
        <f t="shared" si="45"/>
        <v/>
      </c>
    </row>
    <row r="1035" spans="4:4" x14ac:dyDescent="0.3">
      <c r="D1035" t="str">
        <f t="shared" si="45"/>
        <v/>
      </c>
    </row>
    <row r="1036" spans="4:4" x14ac:dyDescent="0.3">
      <c r="D1036" t="str">
        <f t="shared" si="45"/>
        <v/>
      </c>
    </row>
    <row r="1037" spans="4:4" x14ac:dyDescent="0.3">
      <c r="D1037" t="str">
        <f t="shared" si="45"/>
        <v/>
      </c>
    </row>
    <row r="1038" spans="4:4" x14ac:dyDescent="0.3">
      <c r="D1038" t="str">
        <f t="shared" si="45"/>
        <v/>
      </c>
    </row>
    <row r="1039" spans="4:4" x14ac:dyDescent="0.3">
      <c r="D1039" t="str">
        <f t="shared" si="45"/>
        <v/>
      </c>
    </row>
    <row r="1040" spans="4:4" x14ac:dyDescent="0.3">
      <c r="D1040" t="str">
        <f t="shared" si="45"/>
        <v/>
      </c>
    </row>
    <row r="1041" spans="4:4" x14ac:dyDescent="0.3">
      <c r="D1041" t="str">
        <f t="shared" si="45"/>
        <v/>
      </c>
    </row>
    <row r="1042" spans="4:4" x14ac:dyDescent="0.3">
      <c r="D1042" t="str">
        <f t="shared" si="45"/>
        <v/>
      </c>
    </row>
    <row r="1043" spans="4:4" x14ac:dyDescent="0.3">
      <c r="D1043" t="str">
        <f t="shared" si="45"/>
        <v/>
      </c>
    </row>
    <row r="1044" spans="4:4" x14ac:dyDescent="0.3">
      <c r="D1044" t="str">
        <f t="shared" si="45"/>
        <v/>
      </c>
    </row>
    <row r="1045" spans="4:4" x14ac:dyDescent="0.3">
      <c r="D1045" t="str">
        <f t="shared" si="45"/>
        <v/>
      </c>
    </row>
    <row r="1046" spans="4:4" x14ac:dyDescent="0.3">
      <c r="D1046" t="str">
        <f t="shared" si="45"/>
        <v/>
      </c>
    </row>
    <row r="1047" spans="4:4" x14ac:dyDescent="0.3">
      <c r="D1047" t="str">
        <f t="shared" si="45"/>
        <v/>
      </c>
    </row>
    <row r="1048" spans="4:4" x14ac:dyDescent="0.3">
      <c r="D1048" t="str">
        <f t="shared" si="45"/>
        <v/>
      </c>
    </row>
    <row r="1049" spans="4:4" x14ac:dyDescent="0.3">
      <c r="D1049" t="str">
        <f t="shared" si="45"/>
        <v/>
      </c>
    </row>
    <row r="1050" spans="4:4" x14ac:dyDescent="0.3">
      <c r="D1050" t="str">
        <f t="shared" si="45"/>
        <v/>
      </c>
    </row>
    <row r="1051" spans="4:4" x14ac:dyDescent="0.3">
      <c r="D1051" t="str">
        <f t="shared" si="45"/>
        <v/>
      </c>
    </row>
    <row r="1052" spans="4:4" x14ac:dyDescent="0.3">
      <c r="D1052" t="str">
        <f t="shared" si="45"/>
        <v/>
      </c>
    </row>
    <row r="1053" spans="4:4" x14ac:dyDescent="0.3">
      <c r="D1053" t="str">
        <f t="shared" si="45"/>
        <v/>
      </c>
    </row>
    <row r="1054" spans="4:4" x14ac:dyDescent="0.3">
      <c r="D1054" t="str">
        <f t="shared" si="45"/>
        <v/>
      </c>
    </row>
    <row r="1055" spans="4:4" x14ac:dyDescent="0.3">
      <c r="D1055" t="str">
        <f t="shared" si="45"/>
        <v/>
      </c>
    </row>
    <row r="1056" spans="4:4" x14ac:dyDescent="0.3">
      <c r="D1056" t="str">
        <f t="shared" si="45"/>
        <v/>
      </c>
    </row>
    <row r="1057" spans="4:4" x14ac:dyDescent="0.3">
      <c r="D1057" t="str">
        <f t="shared" si="45"/>
        <v/>
      </c>
    </row>
    <row r="1058" spans="4:4" x14ac:dyDescent="0.3">
      <c r="D1058" t="str">
        <f t="shared" si="45"/>
        <v/>
      </c>
    </row>
    <row r="1059" spans="4:4" x14ac:dyDescent="0.3">
      <c r="D1059" t="str">
        <f t="shared" si="45"/>
        <v/>
      </c>
    </row>
    <row r="1060" spans="4:4" x14ac:dyDescent="0.3">
      <c r="D1060" t="str">
        <f t="shared" si="45"/>
        <v/>
      </c>
    </row>
    <row r="1061" spans="4:4" x14ac:dyDescent="0.3">
      <c r="D1061" t="str">
        <f t="shared" si="45"/>
        <v/>
      </c>
    </row>
    <row r="1062" spans="4:4" x14ac:dyDescent="0.3">
      <c r="D1062" t="str">
        <f t="shared" si="45"/>
        <v/>
      </c>
    </row>
    <row r="1063" spans="4:4" x14ac:dyDescent="0.3">
      <c r="D1063" t="str">
        <f t="shared" si="45"/>
        <v/>
      </c>
    </row>
    <row r="1064" spans="4:4" x14ac:dyDescent="0.3">
      <c r="D1064" t="str">
        <f t="shared" si="45"/>
        <v/>
      </c>
    </row>
    <row r="1065" spans="4:4" x14ac:dyDescent="0.3">
      <c r="D1065" t="str">
        <f t="shared" si="45"/>
        <v/>
      </c>
    </row>
    <row r="1066" spans="4:4" x14ac:dyDescent="0.3">
      <c r="D1066" t="str">
        <f t="shared" si="45"/>
        <v/>
      </c>
    </row>
    <row r="1067" spans="4:4" x14ac:dyDescent="0.3">
      <c r="D1067" t="str">
        <f t="shared" si="45"/>
        <v/>
      </c>
    </row>
    <row r="1068" spans="4:4" x14ac:dyDescent="0.3">
      <c r="D1068" t="str">
        <f t="shared" si="45"/>
        <v/>
      </c>
    </row>
    <row r="1069" spans="4:4" x14ac:dyDescent="0.3">
      <c r="D1069" t="str">
        <f t="shared" si="45"/>
        <v/>
      </c>
    </row>
    <row r="1070" spans="4:4" x14ac:dyDescent="0.3">
      <c r="D1070" t="str">
        <f t="shared" si="45"/>
        <v/>
      </c>
    </row>
    <row r="1071" spans="4:4" x14ac:dyDescent="0.3">
      <c r="D1071" t="str">
        <f t="shared" si="45"/>
        <v/>
      </c>
    </row>
    <row r="1072" spans="4:4" x14ac:dyDescent="0.3">
      <c r="D1072" t="str">
        <f t="shared" si="45"/>
        <v/>
      </c>
    </row>
    <row r="1073" spans="4:4" x14ac:dyDescent="0.3">
      <c r="D1073" t="str">
        <f t="shared" si="45"/>
        <v/>
      </c>
    </row>
    <row r="1074" spans="4:4" x14ac:dyDescent="0.3">
      <c r="D1074" t="str">
        <f t="shared" si="45"/>
        <v/>
      </c>
    </row>
    <row r="1075" spans="4:4" x14ac:dyDescent="0.3">
      <c r="D1075" t="str">
        <f t="shared" si="45"/>
        <v/>
      </c>
    </row>
    <row r="1076" spans="4:4" x14ac:dyDescent="0.3">
      <c r="D1076" t="str">
        <f t="shared" si="45"/>
        <v/>
      </c>
    </row>
    <row r="1077" spans="4:4" x14ac:dyDescent="0.3">
      <c r="D1077" t="str">
        <f t="shared" si="45"/>
        <v/>
      </c>
    </row>
    <row r="1078" spans="4:4" x14ac:dyDescent="0.3">
      <c r="D1078" t="str">
        <f t="shared" si="45"/>
        <v/>
      </c>
    </row>
    <row r="1079" spans="4:4" x14ac:dyDescent="0.3">
      <c r="D1079" t="str">
        <f t="shared" si="45"/>
        <v/>
      </c>
    </row>
    <row r="1080" spans="4:4" x14ac:dyDescent="0.3">
      <c r="D1080" t="str">
        <f t="shared" si="45"/>
        <v/>
      </c>
    </row>
    <row r="1081" spans="4:4" x14ac:dyDescent="0.3">
      <c r="D1081" t="str">
        <f t="shared" si="45"/>
        <v/>
      </c>
    </row>
    <row r="1082" spans="4:4" x14ac:dyDescent="0.3">
      <c r="D1082" t="str">
        <f t="shared" si="45"/>
        <v/>
      </c>
    </row>
    <row r="1083" spans="4:4" x14ac:dyDescent="0.3">
      <c r="D1083" t="str">
        <f t="shared" si="45"/>
        <v/>
      </c>
    </row>
    <row r="1084" spans="4:4" x14ac:dyDescent="0.3">
      <c r="D1084" t="str">
        <f t="shared" si="45"/>
        <v/>
      </c>
    </row>
    <row r="1085" spans="4:4" x14ac:dyDescent="0.3">
      <c r="D1085" t="str">
        <f t="shared" si="45"/>
        <v/>
      </c>
    </row>
    <row r="1086" spans="4:4" x14ac:dyDescent="0.3">
      <c r="D1086" t="str">
        <f t="shared" ref="D1086:D1149" si="46">IF(LEFT(A1086,2)="SP",MID(A1086,4,4),IF(LEFT(A1086,1)="X",MID(A1086,3,4),""))</f>
        <v/>
      </c>
    </row>
    <row r="1087" spans="4:4" x14ac:dyDescent="0.3">
      <c r="D1087" t="str">
        <f t="shared" si="46"/>
        <v/>
      </c>
    </row>
    <row r="1088" spans="4:4" x14ac:dyDescent="0.3">
      <c r="D1088" t="str">
        <f t="shared" si="46"/>
        <v/>
      </c>
    </row>
    <row r="1089" spans="4:4" x14ac:dyDescent="0.3">
      <c r="D1089" t="str">
        <f t="shared" si="46"/>
        <v/>
      </c>
    </row>
    <row r="1090" spans="4:4" x14ac:dyDescent="0.3">
      <c r="D1090" t="str">
        <f t="shared" si="46"/>
        <v/>
      </c>
    </row>
    <row r="1091" spans="4:4" x14ac:dyDescent="0.3">
      <c r="D1091" t="str">
        <f t="shared" si="46"/>
        <v/>
      </c>
    </row>
    <row r="1092" spans="4:4" x14ac:dyDescent="0.3">
      <c r="D1092" t="str">
        <f t="shared" si="46"/>
        <v/>
      </c>
    </row>
    <row r="1093" spans="4:4" x14ac:dyDescent="0.3">
      <c r="D1093" t="str">
        <f t="shared" si="46"/>
        <v/>
      </c>
    </row>
    <row r="1094" spans="4:4" x14ac:dyDescent="0.3">
      <c r="D1094" t="str">
        <f t="shared" si="46"/>
        <v/>
      </c>
    </row>
    <row r="1095" spans="4:4" x14ac:dyDescent="0.3">
      <c r="D1095" t="str">
        <f t="shared" si="46"/>
        <v/>
      </c>
    </row>
    <row r="1096" spans="4:4" x14ac:dyDescent="0.3">
      <c r="D1096" t="str">
        <f t="shared" si="46"/>
        <v/>
      </c>
    </row>
    <row r="1097" spans="4:4" x14ac:dyDescent="0.3">
      <c r="D1097" t="str">
        <f t="shared" si="46"/>
        <v/>
      </c>
    </row>
    <row r="1098" spans="4:4" x14ac:dyDescent="0.3">
      <c r="D1098" t="str">
        <f t="shared" si="46"/>
        <v/>
      </c>
    </row>
    <row r="1099" spans="4:4" x14ac:dyDescent="0.3">
      <c r="D1099" t="str">
        <f t="shared" si="46"/>
        <v/>
      </c>
    </row>
    <row r="1100" spans="4:4" x14ac:dyDescent="0.3">
      <c r="D1100" t="str">
        <f t="shared" si="46"/>
        <v/>
      </c>
    </row>
    <row r="1101" spans="4:4" x14ac:dyDescent="0.3">
      <c r="D1101" t="str">
        <f t="shared" si="46"/>
        <v/>
      </c>
    </row>
    <row r="1102" spans="4:4" x14ac:dyDescent="0.3">
      <c r="D1102" t="str">
        <f t="shared" si="46"/>
        <v/>
      </c>
    </row>
    <row r="1103" spans="4:4" x14ac:dyDescent="0.3">
      <c r="D1103" t="str">
        <f t="shared" si="46"/>
        <v/>
      </c>
    </row>
    <row r="1104" spans="4:4" x14ac:dyDescent="0.3">
      <c r="D1104" t="str">
        <f t="shared" si="46"/>
        <v/>
      </c>
    </row>
    <row r="1105" spans="4:4" x14ac:dyDescent="0.3">
      <c r="D1105" t="str">
        <f t="shared" si="46"/>
        <v/>
      </c>
    </row>
    <row r="1106" spans="4:4" x14ac:dyDescent="0.3">
      <c r="D1106" t="str">
        <f t="shared" si="46"/>
        <v/>
      </c>
    </row>
    <row r="1107" spans="4:4" x14ac:dyDescent="0.3">
      <c r="D1107" t="str">
        <f t="shared" si="46"/>
        <v/>
      </c>
    </row>
    <row r="1108" spans="4:4" x14ac:dyDescent="0.3">
      <c r="D1108" t="str">
        <f t="shared" si="46"/>
        <v/>
      </c>
    </row>
    <row r="1109" spans="4:4" x14ac:dyDescent="0.3">
      <c r="D1109" t="str">
        <f t="shared" si="46"/>
        <v/>
      </c>
    </row>
    <row r="1110" spans="4:4" x14ac:dyDescent="0.3">
      <c r="D1110" t="str">
        <f t="shared" si="46"/>
        <v/>
      </c>
    </row>
    <row r="1111" spans="4:4" x14ac:dyDescent="0.3">
      <c r="D1111" t="str">
        <f t="shared" si="46"/>
        <v/>
      </c>
    </row>
    <row r="1112" spans="4:4" x14ac:dyDescent="0.3">
      <c r="D1112" t="str">
        <f t="shared" si="46"/>
        <v/>
      </c>
    </row>
    <row r="1113" spans="4:4" x14ac:dyDescent="0.3">
      <c r="D1113" t="str">
        <f t="shared" si="46"/>
        <v/>
      </c>
    </row>
    <row r="1114" spans="4:4" x14ac:dyDescent="0.3">
      <c r="D1114" t="str">
        <f t="shared" si="46"/>
        <v/>
      </c>
    </row>
    <row r="1115" spans="4:4" x14ac:dyDescent="0.3">
      <c r="D1115" t="str">
        <f t="shared" si="46"/>
        <v/>
      </c>
    </row>
    <row r="1116" spans="4:4" x14ac:dyDescent="0.3">
      <c r="D1116" t="str">
        <f t="shared" si="46"/>
        <v/>
      </c>
    </row>
    <row r="1117" spans="4:4" x14ac:dyDescent="0.3">
      <c r="D1117" t="str">
        <f t="shared" si="46"/>
        <v/>
      </c>
    </row>
    <row r="1118" spans="4:4" x14ac:dyDescent="0.3">
      <c r="D1118" t="str">
        <f t="shared" si="46"/>
        <v/>
      </c>
    </row>
    <row r="1119" spans="4:4" x14ac:dyDescent="0.3">
      <c r="D1119" t="str">
        <f t="shared" si="46"/>
        <v/>
      </c>
    </row>
    <row r="1120" spans="4:4" x14ac:dyDescent="0.3">
      <c r="D1120" t="str">
        <f t="shared" si="46"/>
        <v/>
      </c>
    </row>
    <row r="1121" spans="4:4" x14ac:dyDescent="0.3">
      <c r="D1121" t="str">
        <f t="shared" si="46"/>
        <v/>
      </c>
    </row>
    <row r="1122" spans="4:4" x14ac:dyDescent="0.3">
      <c r="D1122" t="str">
        <f t="shared" si="46"/>
        <v/>
      </c>
    </row>
    <row r="1123" spans="4:4" x14ac:dyDescent="0.3">
      <c r="D1123" t="str">
        <f t="shared" si="46"/>
        <v/>
      </c>
    </row>
    <row r="1124" spans="4:4" x14ac:dyDescent="0.3">
      <c r="D1124" t="str">
        <f t="shared" si="46"/>
        <v/>
      </c>
    </row>
    <row r="1125" spans="4:4" x14ac:dyDescent="0.3">
      <c r="D1125" t="str">
        <f t="shared" si="46"/>
        <v/>
      </c>
    </row>
    <row r="1126" spans="4:4" x14ac:dyDescent="0.3">
      <c r="D1126" t="str">
        <f t="shared" si="46"/>
        <v/>
      </c>
    </row>
    <row r="1127" spans="4:4" x14ac:dyDescent="0.3">
      <c r="D1127" t="str">
        <f t="shared" si="46"/>
        <v/>
      </c>
    </row>
    <row r="1128" spans="4:4" x14ac:dyDescent="0.3">
      <c r="D1128" t="str">
        <f t="shared" si="46"/>
        <v/>
      </c>
    </row>
    <row r="1129" spans="4:4" x14ac:dyDescent="0.3">
      <c r="D1129" t="str">
        <f t="shared" si="46"/>
        <v/>
      </c>
    </row>
    <row r="1130" spans="4:4" x14ac:dyDescent="0.3">
      <c r="D1130" t="str">
        <f t="shared" si="46"/>
        <v/>
      </c>
    </row>
    <row r="1131" spans="4:4" x14ac:dyDescent="0.3">
      <c r="D1131" t="str">
        <f t="shared" si="46"/>
        <v/>
      </c>
    </row>
    <row r="1132" spans="4:4" x14ac:dyDescent="0.3">
      <c r="D1132" t="str">
        <f t="shared" si="46"/>
        <v/>
      </c>
    </row>
    <row r="1133" spans="4:4" x14ac:dyDescent="0.3">
      <c r="D1133" t="str">
        <f t="shared" si="46"/>
        <v/>
      </c>
    </row>
    <row r="1134" spans="4:4" x14ac:dyDescent="0.3">
      <c r="D1134" t="str">
        <f t="shared" si="46"/>
        <v/>
      </c>
    </row>
    <row r="1135" spans="4:4" x14ac:dyDescent="0.3">
      <c r="D1135" t="str">
        <f t="shared" si="46"/>
        <v/>
      </c>
    </row>
    <row r="1136" spans="4:4" x14ac:dyDescent="0.3">
      <c r="D1136" t="str">
        <f t="shared" si="46"/>
        <v/>
      </c>
    </row>
    <row r="1137" spans="4:4" x14ac:dyDescent="0.3">
      <c r="D1137" t="str">
        <f t="shared" si="46"/>
        <v/>
      </c>
    </row>
    <row r="1138" spans="4:4" x14ac:dyDescent="0.3">
      <c r="D1138" t="str">
        <f t="shared" si="46"/>
        <v/>
      </c>
    </row>
    <row r="1139" spans="4:4" x14ac:dyDescent="0.3">
      <c r="D1139" t="str">
        <f t="shared" si="46"/>
        <v/>
      </c>
    </row>
    <row r="1140" spans="4:4" x14ac:dyDescent="0.3">
      <c r="D1140" t="str">
        <f t="shared" si="46"/>
        <v/>
      </c>
    </row>
    <row r="1141" spans="4:4" x14ac:dyDescent="0.3">
      <c r="D1141" t="str">
        <f t="shared" si="46"/>
        <v/>
      </c>
    </row>
    <row r="1142" spans="4:4" x14ac:dyDescent="0.3">
      <c r="D1142" t="str">
        <f t="shared" si="46"/>
        <v/>
      </c>
    </row>
    <row r="1143" spans="4:4" x14ac:dyDescent="0.3">
      <c r="D1143" t="str">
        <f t="shared" si="46"/>
        <v/>
      </c>
    </row>
    <row r="1144" spans="4:4" x14ac:dyDescent="0.3">
      <c r="D1144" t="str">
        <f t="shared" si="46"/>
        <v/>
      </c>
    </row>
    <row r="1145" spans="4:4" x14ac:dyDescent="0.3">
      <c r="D1145" t="str">
        <f t="shared" si="46"/>
        <v/>
      </c>
    </row>
    <row r="1146" spans="4:4" x14ac:dyDescent="0.3">
      <c r="D1146" t="str">
        <f t="shared" si="46"/>
        <v/>
      </c>
    </row>
    <row r="1147" spans="4:4" x14ac:dyDescent="0.3">
      <c r="D1147" t="str">
        <f t="shared" si="46"/>
        <v/>
      </c>
    </row>
    <row r="1148" spans="4:4" x14ac:dyDescent="0.3">
      <c r="D1148" t="str">
        <f t="shared" si="46"/>
        <v/>
      </c>
    </row>
    <row r="1149" spans="4:4" x14ac:dyDescent="0.3">
      <c r="D1149" t="str">
        <f t="shared" si="46"/>
        <v/>
      </c>
    </row>
    <row r="1150" spans="4:4" x14ac:dyDescent="0.3">
      <c r="D1150" t="str">
        <f t="shared" ref="D1150:D1213" si="47">IF(LEFT(A1150,2)="SP",MID(A1150,4,4),IF(LEFT(A1150,1)="X",MID(A1150,3,4),""))</f>
        <v/>
      </c>
    </row>
    <row r="1151" spans="4:4" x14ac:dyDescent="0.3">
      <c r="D1151" t="str">
        <f t="shared" si="47"/>
        <v/>
      </c>
    </row>
    <row r="1152" spans="4:4" x14ac:dyDescent="0.3">
      <c r="D1152" t="str">
        <f t="shared" si="47"/>
        <v/>
      </c>
    </row>
    <row r="1153" spans="4:4" x14ac:dyDescent="0.3">
      <c r="D1153" t="str">
        <f t="shared" si="47"/>
        <v/>
      </c>
    </row>
    <row r="1154" spans="4:4" x14ac:dyDescent="0.3">
      <c r="D1154" t="str">
        <f t="shared" si="47"/>
        <v/>
      </c>
    </row>
    <row r="1155" spans="4:4" x14ac:dyDescent="0.3">
      <c r="D1155" t="str">
        <f t="shared" si="47"/>
        <v/>
      </c>
    </row>
    <row r="1156" spans="4:4" x14ac:dyDescent="0.3">
      <c r="D1156" t="str">
        <f t="shared" si="47"/>
        <v/>
      </c>
    </row>
    <row r="1157" spans="4:4" x14ac:dyDescent="0.3">
      <c r="D1157" t="str">
        <f t="shared" si="47"/>
        <v/>
      </c>
    </row>
    <row r="1158" spans="4:4" x14ac:dyDescent="0.3">
      <c r="D1158" t="str">
        <f t="shared" si="47"/>
        <v/>
      </c>
    </row>
    <row r="1159" spans="4:4" x14ac:dyDescent="0.3">
      <c r="D1159" t="str">
        <f t="shared" si="47"/>
        <v/>
      </c>
    </row>
    <row r="1160" spans="4:4" x14ac:dyDescent="0.3">
      <c r="D1160" t="str">
        <f t="shared" si="47"/>
        <v/>
      </c>
    </row>
    <row r="1161" spans="4:4" x14ac:dyDescent="0.3">
      <c r="D1161" t="str">
        <f t="shared" si="47"/>
        <v/>
      </c>
    </row>
    <row r="1162" spans="4:4" x14ac:dyDescent="0.3">
      <c r="D1162" t="str">
        <f t="shared" si="47"/>
        <v/>
      </c>
    </row>
    <row r="1163" spans="4:4" x14ac:dyDescent="0.3">
      <c r="D1163" t="str">
        <f t="shared" si="47"/>
        <v/>
      </c>
    </row>
    <row r="1164" spans="4:4" x14ac:dyDescent="0.3">
      <c r="D1164" t="str">
        <f t="shared" si="47"/>
        <v/>
      </c>
    </row>
    <row r="1165" spans="4:4" x14ac:dyDescent="0.3">
      <c r="D1165" t="str">
        <f t="shared" si="47"/>
        <v/>
      </c>
    </row>
    <row r="1166" spans="4:4" x14ac:dyDescent="0.3">
      <c r="D1166" t="str">
        <f t="shared" si="47"/>
        <v/>
      </c>
    </row>
    <row r="1167" spans="4:4" x14ac:dyDescent="0.3">
      <c r="D1167" t="str">
        <f t="shared" si="47"/>
        <v/>
      </c>
    </row>
    <row r="1168" spans="4:4" x14ac:dyDescent="0.3">
      <c r="D1168" t="str">
        <f t="shared" si="47"/>
        <v/>
      </c>
    </row>
    <row r="1169" spans="4:4" x14ac:dyDescent="0.3">
      <c r="D1169" t="str">
        <f t="shared" si="47"/>
        <v/>
      </c>
    </row>
    <row r="1170" spans="4:4" x14ac:dyDescent="0.3">
      <c r="D1170" t="str">
        <f t="shared" si="47"/>
        <v/>
      </c>
    </row>
    <row r="1171" spans="4:4" x14ac:dyDescent="0.3">
      <c r="D1171" t="str">
        <f t="shared" si="47"/>
        <v/>
      </c>
    </row>
    <row r="1172" spans="4:4" x14ac:dyDescent="0.3">
      <c r="D1172" t="str">
        <f t="shared" si="47"/>
        <v/>
      </c>
    </row>
    <row r="1173" spans="4:4" x14ac:dyDescent="0.3">
      <c r="D1173" t="str">
        <f t="shared" si="47"/>
        <v/>
      </c>
    </row>
    <row r="1174" spans="4:4" x14ac:dyDescent="0.3">
      <c r="D1174" t="str">
        <f t="shared" si="47"/>
        <v/>
      </c>
    </row>
    <row r="1175" spans="4:4" x14ac:dyDescent="0.3">
      <c r="D1175" t="str">
        <f t="shared" si="47"/>
        <v/>
      </c>
    </row>
    <row r="1176" spans="4:4" x14ac:dyDescent="0.3">
      <c r="D1176" t="str">
        <f t="shared" si="47"/>
        <v/>
      </c>
    </row>
    <row r="1177" spans="4:4" x14ac:dyDescent="0.3">
      <c r="D1177" t="str">
        <f t="shared" si="47"/>
        <v/>
      </c>
    </row>
    <row r="1178" spans="4:4" x14ac:dyDescent="0.3">
      <c r="D1178" t="str">
        <f t="shared" si="47"/>
        <v/>
      </c>
    </row>
    <row r="1179" spans="4:4" x14ac:dyDescent="0.3">
      <c r="D1179" t="str">
        <f t="shared" si="47"/>
        <v/>
      </c>
    </row>
    <row r="1180" spans="4:4" x14ac:dyDescent="0.3">
      <c r="D1180" t="str">
        <f t="shared" si="47"/>
        <v/>
      </c>
    </row>
    <row r="1181" spans="4:4" x14ac:dyDescent="0.3">
      <c r="D1181" t="str">
        <f t="shared" si="47"/>
        <v/>
      </c>
    </row>
    <row r="1182" spans="4:4" x14ac:dyDescent="0.3">
      <c r="D1182" t="str">
        <f t="shared" si="47"/>
        <v/>
      </c>
    </row>
    <row r="1183" spans="4:4" x14ac:dyDescent="0.3">
      <c r="D1183" t="str">
        <f t="shared" si="47"/>
        <v/>
      </c>
    </row>
    <row r="1184" spans="4:4" x14ac:dyDescent="0.3">
      <c r="D1184" t="str">
        <f t="shared" si="47"/>
        <v/>
      </c>
    </row>
    <row r="1185" spans="4:4" x14ac:dyDescent="0.3">
      <c r="D1185" t="str">
        <f t="shared" si="47"/>
        <v/>
      </c>
    </row>
    <row r="1186" spans="4:4" x14ac:dyDescent="0.3">
      <c r="D1186" t="str">
        <f t="shared" si="47"/>
        <v/>
      </c>
    </row>
    <row r="1187" spans="4:4" x14ac:dyDescent="0.3">
      <c r="D1187" t="str">
        <f t="shared" si="47"/>
        <v/>
      </c>
    </row>
    <row r="1188" spans="4:4" x14ac:dyDescent="0.3">
      <c r="D1188" t="str">
        <f t="shared" si="47"/>
        <v/>
      </c>
    </row>
    <row r="1189" spans="4:4" x14ac:dyDescent="0.3">
      <c r="D1189" t="str">
        <f t="shared" si="47"/>
        <v/>
      </c>
    </row>
    <row r="1190" spans="4:4" x14ac:dyDescent="0.3">
      <c r="D1190" t="str">
        <f t="shared" si="47"/>
        <v/>
      </c>
    </row>
    <row r="1191" spans="4:4" x14ac:dyDescent="0.3">
      <c r="D1191" t="str">
        <f t="shared" si="47"/>
        <v/>
      </c>
    </row>
    <row r="1192" spans="4:4" x14ac:dyDescent="0.3">
      <c r="D1192" t="str">
        <f t="shared" si="47"/>
        <v/>
      </c>
    </row>
    <row r="1193" spans="4:4" x14ac:dyDescent="0.3">
      <c r="D1193" t="str">
        <f t="shared" si="47"/>
        <v/>
      </c>
    </row>
    <row r="1194" spans="4:4" x14ac:dyDescent="0.3">
      <c r="D1194" t="str">
        <f t="shared" si="47"/>
        <v/>
      </c>
    </row>
    <row r="1195" spans="4:4" x14ac:dyDescent="0.3">
      <c r="D1195" t="str">
        <f t="shared" si="47"/>
        <v/>
      </c>
    </row>
    <row r="1196" spans="4:4" x14ac:dyDescent="0.3">
      <c r="D1196" t="str">
        <f t="shared" si="47"/>
        <v/>
      </c>
    </row>
    <row r="1197" spans="4:4" x14ac:dyDescent="0.3">
      <c r="D1197" t="str">
        <f t="shared" si="47"/>
        <v/>
      </c>
    </row>
    <row r="1198" spans="4:4" x14ac:dyDescent="0.3">
      <c r="D1198" t="str">
        <f t="shared" si="47"/>
        <v/>
      </c>
    </row>
    <row r="1199" spans="4:4" x14ac:dyDescent="0.3">
      <c r="D1199" t="str">
        <f t="shared" si="47"/>
        <v/>
      </c>
    </row>
    <row r="1200" spans="4:4" x14ac:dyDescent="0.3">
      <c r="D1200" t="str">
        <f t="shared" si="47"/>
        <v/>
      </c>
    </row>
    <row r="1201" spans="4:4" x14ac:dyDescent="0.3">
      <c r="D1201" t="str">
        <f t="shared" si="47"/>
        <v/>
      </c>
    </row>
    <row r="1202" spans="4:4" x14ac:dyDescent="0.3">
      <c r="D1202" t="str">
        <f t="shared" si="47"/>
        <v/>
      </c>
    </row>
    <row r="1203" spans="4:4" x14ac:dyDescent="0.3">
      <c r="D1203" t="str">
        <f t="shared" si="47"/>
        <v/>
      </c>
    </row>
    <row r="1204" spans="4:4" x14ac:dyDescent="0.3">
      <c r="D1204" t="str">
        <f t="shared" si="47"/>
        <v/>
      </c>
    </row>
    <row r="1205" spans="4:4" x14ac:dyDescent="0.3">
      <c r="D1205" t="str">
        <f t="shared" si="47"/>
        <v/>
      </c>
    </row>
    <row r="1206" spans="4:4" x14ac:dyDescent="0.3">
      <c r="D1206" t="str">
        <f t="shared" si="47"/>
        <v/>
      </c>
    </row>
    <row r="1207" spans="4:4" x14ac:dyDescent="0.3">
      <c r="D1207" t="str">
        <f t="shared" si="47"/>
        <v/>
      </c>
    </row>
    <row r="1208" spans="4:4" x14ac:dyDescent="0.3">
      <c r="D1208" t="str">
        <f t="shared" si="47"/>
        <v/>
      </c>
    </row>
    <row r="1209" spans="4:4" x14ac:dyDescent="0.3">
      <c r="D1209" t="str">
        <f t="shared" si="47"/>
        <v/>
      </c>
    </row>
    <row r="1210" spans="4:4" x14ac:dyDescent="0.3">
      <c r="D1210" t="str">
        <f t="shared" si="47"/>
        <v/>
      </c>
    </row>
    <row r="1211" spans="4:4" x14ac:dyDescent="0.3">
      <c r="D1211" t="str">
        <f t="shared" si="47"/>
        <v/>
      </c>
    </row>
    <row r="1212" spans="4:4" x14ac:dyDescent="0.3">
      <c r="D1212" t="str">
        <f t="shared" si="47"/>
        <v/>
      </c>
    </row>
    <row r="1213" spans="4:4" x14ac:dyDescent="0.3">
      <c r="D1213" t="str">
        <f t="shared" si="47"/>
        <v/>
      </c>
    </row>
    <row r="1214" spans="4:4" x14ac:dyDescent="0.3">
      <c r="D1214" t="str">
        <f t="shared" ref="D1214:D1277" si="48">IF(LEFT(A1214,2)="SP",MID(A1214,4,4),IF(LEFT(A1214,1)="X",MID(A1214,3,4),""))</f>
        <v/>
      </c>
    </row>
    <row r="1215" spans="4:4" x14ac:dyDescent="0.3">
      <c r="D1215" t="str">
        <f t="shared" si="48"/>
        <v/>
      </c>
    </row>
    <row r="1216" spans="4:4" x14ac:dyDescent="0.3">
      <c r="D1216" t="str">
        <f t="shared" si="48"/>
        <v/>
      </c>
    </row>
    <row r="1217" spans="4:4" x14ac:dyDescent="0.3">
      <c r="D1217" t="str">
        <f t="shared" si="48"/>
        <v/>
      </c>
    </row>
    <row r="1218" spans="4:4" x14ac:dyDescent="0.3">
      <c r="D1218" t="str">
        <f t="shared" si="48"/>
        <v/>
      </c>
    </row>
    <row r="1219" spans="4:4" x14ac:dyDescent="0.3">
      <c r="D1219" t="str">
        <f t="shared" si="48"/>
        <v/>
      </c>
    </row>
    <row r="1220" spans="4:4" x14ac:dyDescent="0.3">
      <c r="D1220" t="str">
        <f t="shared" si="48"/>
        <v/>
      </c>
    </row>
    <row r="1221" spans="4:4" x14ac:dyDescent="0.3">
      <c r="D1221" t="str">
        <f t="shared" si="48"/>
        <v/>
      </c>
    </row>
    <row r="1222" spans="4:4" x14ac:dyDescent="0.3">
      <c r="D1222" t="str">
        <f t="shared" si="48"/>
        <v/>
      </c>
    </row>
    <row r="1223" spans="4:4" x14ac:dyDescent="0.3">
      <c r="D1223" t="str">
        <f t="shared" si="48"/>
        <v/>
      </c>
    </row>
    <row r="1224" spans="4:4" x14ac:dyDescent="0.3">
      <c r="D1224" t="str">
        <f t="shared" si="48"/>
        <v/>
      </c>
    </row>
    <row r="1225" spans="4:4" x14ac:dyDescent="0.3">
      <c r="D1225" t="str">
        <f t="shared" si="48"/>
        <v/>
      </c>
    </row>
    <row r="1226" spans="4:4" x14ac:dyDescent="0.3">
      <c r="D1226" t="str">
        <f t="shared" si="48"/>
        <v/>
      </c>
    </row>
    <row r="1227" spans="4:4" x14ac:dyDescent="0.3">
      <c r="D1227" t="str">
        <f t="shared" si="48"/>
        <v/>
      </c>
    </row>
    <row r="1228" spans="4:4" x14ac:dyDescent="0.3">
      <c r="D1228" t="str">
        <f t="shared" si="48"/>
        <v/>
      </c>
    </row>
    <row r="1229" spans="4:4" x14ac:dyDescent="0.3">
      <c r="D1229" t="str">
        <f t="shared" si="48"/>
        <v/>
      </c>
    </row>
    <row r="1230" spans="4:4" x14ac:dyDescent="0.3">
      <c r="D1230" t="str">
        <f t="shared" si="48"/>
        <v/>
      </c>
    </row>
    <row r="1231" spans="4:4" x14ac:dyDescent="0.3">
      <c r="D1231" t="str">
        <f t="shared" si="48"/>
        <v/>
      </c>
    </row>
    <row r="1232" spans="4:4" x14ac:dyDescent="0.3">
      <c r="D1232" t="str">
        <f t="shared" si="48"/>
        <v/>
      </c>
    </row>
    <row r="1233" spans="4:4" x14ac:dyDescent="0.3">
      <c r="D1233" t="str">
        <f t="shared" si="48"/>
        <v/>
      </c>
    </row>
    <row r="1234" spans="4:4" x14ac:dyDescent="0.3">
      <c r="D1234" t="str">
        <f t="shared" si="48"/>
        <v/>
      </c>
    </row>
    <row r="1235" spans="4:4" x14ac:dyDescent="0.3">
      <c r="D1235" t="str">
        <f t="shared" si="48"/>
        <v/>
      </c>
    </row>
    <row r="1236" spans="4:4" x14ac:dyDescent="0.3">
      <c r="D1236" t="str">
        <f t="shared" si="48"/>
        <v/>
      </c>
    </row>
    <row r="1237" spans="4:4" x14ac:dyDescent="0.3">
      <c r="D1237" t="str">
        <f t="shared" si="48"/>
        <v/>
      </c>
    </row>
    <row r="1238" spans="4:4" x14ac:dyDescent="0.3">
      <c r="D1238" t="str">
        <f t="shared" si="48"/>
        <v/>
      </c>
    </row>
    <row r="1239" spans="4:4" x14ac:dyDescent="0.3">
      <c r="D1239" t="str">
        <f t="shared" si="48"/>
        <v/>
      </c>
    </row>
    <row r="1240" spans="4:4" x14ac:dyDescent="0.3">
      <c r="D1240" t="str">
        <f t="shared" si="48"/>
        <v/>
      </c>
    </row>
    <row r="1241" spans="4:4" x14ac:dyDescent="0.3">
      <c r="D1241" t="str">
        <f t="shared" si="48"/>
        <v/>
      </c>
    </row>
    <row r="1242" spans="4:4" x14ac:dyDescent="0.3">
      <c r="D1242" t="str">
        <f t="shared" si="48"/>
        <v/>
      </c>
    </row>
    <row r="1243" spans="4:4" x14ac:dyDescent="0.3">
      <c r="D1243" t="str">
        <f t="shared" si="48"/>
        <v/>
      </c>
    </row>
    <row r="1244" spans="4:4" x14ac:dyDescent="0.3">
      <c r="D1244" t="str">
        <f t="shared" si="48"/>
        <v/>
      </c>
    </row>
    <row r="1245" spans="4:4" x14ac:dyDescent="0.3">
      <c r="D1245" t="str">
        <f t="shared" si="48"/>
        <v/>
      </c>
    </row>
    <row r="1246" spans="4:4" x14ac:dyDescent="0.3">
      <c r="D1246" t="str">
        <f t="shared" si="48"/>
        <v/>
      </c>
    </row>
    <row r="1247" spans="4:4" x14ac:dyDescent="0.3">
      <c r="D1247" t="str">
        <f t="shared" si="48"/>
        <v/>
      </c>
    </row>
    <row r="1248" spans="4:4" x14ac:dyDescent="0.3">
      <c r="D1248" t="str">
        <f t="shared" si="48"/>
        <v/>
      </c>
    </row>
    <row r="1249" spans="4:4" x14ac:dyDescent="0.3">
      <c r="D1249" t="str">
        <f t="shared" si="48"/>
        <v/>
      </c>
    </row>
    <row r="1250" spans="4:4" x14ac:dyDescent="0.3">
      <c r="D1250" t="str">
        <f t="shared" si="48"/>
        <v/>
      </c>
    </row>
    <row r="1251" spans="4:4" x14ac:dyDescent="0.3">
      <c r="D1251" t="str">
        <f t="shared" si="48"/>
        <v/>
      </c>
    </row>
    <row r="1252" spans="4:4" x14ac:dyDescent="0.3">
      <c r="D1252" t="str">
        <f t="shared" si="48"/>
        <v/>
      </c>
    </row>
    <row r="1253" spans="4:4" x14ac:dyDescent="0.3">
      <c r="D1253" t="str">
        <f t="shared" si="48"/>
        <v/>
      </c>
    </row>
    <row r="1254" spans="4:4" x14ac:dyDescent="0.3">
      <c r="D1254" t="str">
        <f t="shared" si="48"/>
        <v/>
      </c>
    </row>
    <row r="1255" spans="4:4" x14ac:dyDescent="0.3">
      <c r="D1255" t="str">
        <f t="shared" si="48"/>
        <v/>
      </c>
    </row>
    <row r="1256" spans="4:4" x14ac:dyDescent="0.3">
      <c r="D1256" t="str">
        <f t="shared" si="48"/>
        <v/>
      </c>
    </row>
    <row r="1257" spans="4:4" x14ac:dyDescent="0.3">
      <c r="D1257" t="str">
        <f t="shared" si="48"/>
        <v/>
      </c>
    </row>
    <row r="1258" spans="4:4" x14ac:dyDescent="0.3">
      <c r="D1258" t="str">
        <f t="shared" si="48"/>
        <v/>
      </c>
    </row>
    <row r="1259" spans="4:4" x14ac:dyDescent="0.3">
      <c r="D1259" t="str">
        <f t="shared" si="48"/>
        <v/>
      </c>
    </row>
    <row r="1260" spans="4:4" x14ac:dyDescent="0.3">
      <c r="D1260" t="str">
        <f t="shared" si="48"/>
        <v/>
      </c>
    </row>
    <row r="1261" spans="4:4" x14ac:dyDescent="0.3">
      <c r="D1261" t="str">
        <f t="shared" si="48"/>
        <v/>
      </c>
    </row>
    <row r="1262" spans="4:4" x14ac:dyDescent="0.3">
      <c r="D1262" t="str">
        <f t="shared" si="48"/>
        <v/>
      </c>
    </row>
    <row r="1263" spans="4:4" x14ac:dyDescent="0.3">
      <c r="D1263" t="str">
        <f t="shared" si="48"/>
        <v/>
      </c>
    </row>
    <row r="1264" spans="4:4" x14ac:dyDescent="0.3">
      <c r="D1264" t="str">
        <f t="shared" si="48"/>
        <v/>
      </c>
    </row>
    <row r="1265" spans="4:4" x14ac:dyDescent="0.3">
      <c r="D1265" t="str">
        <f t="shared" si="48"/>
        <v/>
      </c>
    </row>
    <row r="1266" spans="4:4" x14ac:dyDescent="0.3">
      <c r="D1266" t="str">
        <f t="shared" si="48"/>
        <v/>
      </c>
    </row>
    <row r="1267" spans="4:4" x14ac:dyDescent="0.3">
      <c r="D1267" t="str">
        <f t="shared" si="48"/>
        <v/>
      </c>
    </row>
    <row r="1268" spans="4:4" x14ac:dyDescent="0.3">
      <c r="D1268" t="str">
        <f t="shared" si="48"/>
        <v/>
      </c>
    </row>
    <row r="1269" spans="4:4" x14ac:dyDescent="0.3">
      <c r="D1269" t="str">
        <f t="shared" si="48"/>
        <v/>
      </c>
    </row>
    <row r="1270" spans="4:4" x14ac:dyDescent="0.3">
      <c r="D1270" t="str">
        <f t="shared" si="48"/>
        <v/>
      </c>
    </row>
    <row r="1271" spans="4:4" x14ac:dyDescent="0.3">
      <c r="D1271" t="str">
        <f t="shared" si="48"/>
        <v/>
      </c>
    </row>
    <row r="1272" spans="4:4" x14ac:dyDescent="0.3">
      <c r="D1272" t="str">
        <f t="shared" si="48"/>
        <v/>
      </c>
    </row>
    <row r="1273" spans="4:4" x14ac:dyDescent="0.3">
      <c r="D1273" t="str">
        <f t="shared" si="48"/>
        <v/>
      </c>
    </row>
    <row r="1274" spans="4:4" x14ac:dyDescent="0.3">
      <c r="D1274" t="str">
        <f t="shared" si="48"/>
        <v/>
      </c>
    </row>
    <row r="1275" spans="4:4" x14ac:dyDescent="0.3">
      <c r="D1275" t="str">
        <f t="shared" si="48"/>
        <v/>
      </c>
    </row>
    <row r="1276" spans="4:4" x14ac:dyDescent="0.3">
      <c r="D1276" t="str">
        <f t="shared" si="48"/>
        <v/>
      </c>
    </row>
    <row r="1277" spans="4:4" x14ac:dyDescent="0.3">
      <c r="D1277" t="str">
        <f t="shared" si="48"/>
        <v/>
      </c>
    </row>
    <row r="1278" spans="4:4" x14ac:dyDescent="0.3">
      <c r="D1278" t="str">
        <f t="shared" ref="D1278:D1341" si="49">IF(LEFT(A1278,2)="SP",MID(A1278,4,4),IF(LEFT(A1278,1)="X",MID(A1278,3,4),""))</f>
        <v/>
      </c>
    </row>
    <row r="1279" spans="4:4" x14ac:dyDescent="0.3">
      <c r="D1279" t="str">
        <f t="shared" si="49"/>
        <v/>
      </c>
    </row>
    <row r="1280" spans="4:4" x14ac:dyDescent="0.3">
      <c r="D1280" t="str">
        <f t="shared" si="49"/>
        <v/>
      </c>
    </row>
    <row r="1281" spans="4:4" x14ac:dyDescent="0.3">
      <c r="D1281" t="str">
        <f t="shared" si="49"/>
        <v/>
      </c>
    </row>
    <row r="1282" spans="4:4" x14ac:dyDescent="0.3">
      <c r="D1282" t="str">
        <f t="shared" si="49"/>
        <v/>
      </c>
    </row>
    <row r="1283" spans="4:4" x14ac:dyDescent="0.3">
      <c r="D1283" t="str">
        <f t="shared" si="49"/>
        <v/>
      </c>
    </row>
    <row r="1284" spans="4:4" x14ac:dyDescent="0.3">
      <c r="D1284" t="str">
        <f t="shared" si="49"/>
        <v/>
      </c>
    </row>
    <row r="1285" spans="4:4" x14ac:dyDescent="0.3">
      <c r="D1285" t="str">
        <f t="shared" si="49"/>
        <v/>
      </c>
    </row>
    <row r="1286" spans="4:4" x14ac:dyDescent="0.3">
      <c r="D1286" t="str">
        <f t="shared" si="49"/>
        <v/>
      </c>
    </row>
    <row r="1287" spans="4:4" x14ac:dyDescent="0.3">
      <c r="D1287" t="str">
        <f t="shared" si="49"/>
        <v/>
      </c>
    </row>
    <row r="1288" spans="4:4" x14ac:dyDescent="0.3">
      <c r="D1288" t="str">
        <f t="shared" si="49"/>
        <v/>
      </c>
    </row>
    <row r="1289" spans="4:4" x14ac:dyDescent="0.3">
      <c r="D1289" t="str">
        <f t="shared" si="49"/>
        <v/>
      </c>
    </row>
    <row r="1290" spans="4:4" x14ac:dyDescent="0.3">
      <c r="D1290" t="str">
        <f t="shared" si="49"/>
        <v/>
      </c>
    </row>
    <row r="1291" spans="4:4" x14ac:dyDescent="0.3">
      <c r="D1291" t="str">
        <f t="shared" si="49"/>
        <v/>
      </c>
    </row>
    <row r="1292" spans="4:4" x14ac:dyDescent="0.3">
      <c r="D1292" t="str">
        <f t="shared" si="49"/>
        <v/>
      </c>
    </row>
    <row r="1293" spans="4:4" x14ac:dyDescent="0.3">
      <c r="D1293" t="str">
        <f t="shared" si="49"/>
        <v/>
      </c>
    </row>
    <row r="1294" spans="4:4" x14ac:dyDescent="0.3">
      <c r="D1294" t="str">
        <f t="shared" si="49"/>
        <v/>
      </c>
    </row>
    <row r="1295" spans="4:4" x14ac:dyDescent="0.3">
      <c r="D1295" t="str">
        <f t="shared" si="49"/>
        <v/>
      </c>
    </row>
    <row r="1296" spans="4:4" x14ac:dyDescent="0.3">
      <c r="D1296" t="str">
        <f t="shared" si="49"/>
        <v/>
      </c>
    </row>
    <row r="1297" spans="4:4" x14ac:dyDescent="0.3">
      <c r="D1297" t="str">
        <f t="shared" si="49"/>
        <v/>
      </c>
    </row>
    <row r="1298" spans="4:4" x14ac:dyDescent="0.3">
      <c r="D1298" t="str">
        <f t="shared" si="49"/>
        <v/>
      </c>
    </row>
    <row r="1299" spans="4:4" x14ac:dyDescent="0.3">
      <c r="D1299" t="str">
        <f t="shared" si="49"/>
        <v/>
      </c>
    </row>
    <row r="1300" spans="4:4" x14ac:dyDescent="0.3">
      <c r="D1300" t="str">
        <f t="shared" si="49"/>
        <v/>
      </c>
    </row>
    <row r="1301" spans="4:4" x14ac:dyDescent="0.3">
      <c r="D1301" t="str">
        <f t="shared" si="49"/>
        <v/>
      </c>
    </row>
    <row r="1302" spans="4:4" x14ac:dyDescent="0.3">
      <c r="D1302" t="str">
        <f t="shared" si="49"/>
        <v/>
      </c>
    </row>
    <row r="1303" spans="4:4" x14ac:dyDescent="0.3">
      <c r="D1303" t="str">
        <f t="shared" si="49"/>
        <v/>
      </c>
    </row>
    <row r="1304" spans="4:4" x14ac:dyDescent="0.3">
      <c r="D1304" t="str">
        <f t="shared" si="49"/>
        <v/>
      </c>
    </row>
    <row r="1305" spans="4:4" x14ac:dyDescent="0.3">
      <c r="D1305" t="str">
        <f t="shared" si="49"/>
        <v/>
      </c>
    </row>
    <row r="1306" spans="4:4" x14ac:dyDescent="0.3">
      <c r="D1306" t="str">
        <f t="shared" si="49"/>
        <v/>
      </c>
    </row>
    <row r="1307" spans="4:4" x14ac:dyDescent="0.3">
      <c r="D1307" t="str">
        <f t="shared" si="49"/>
        <v/>
      </c>
    </row>
    <row r="1308" spans="4:4" x14ac:dyDescent="0.3">
      <c r="D1308" t="str">
        <f t="shared" si="49"/>
        <v/>
      </c>
    </row>
    <row r="1309" spans="4:4" x14ac:dyDescent="0.3">
      <c r="D1309" t="str">
        <f t="shared" si="49"/>
        <v/>
      </c>
    </row>
    <row r="1310" spans="4:4" x14ac:dyDescent="0.3">
      <c r="D1310" t="str">
        <f t="shared" si="49"/>
        <v/>
      </c>
    </row>
    <row r="1311" spans="4:4" x14ac:dyDescent="0.3">
      <c r="D1311" t="str">
        <f t="shared" si="49"/>
        <v/>
      </c>
    </row>
    <row r="1312" spans="4:4" x14ac:dyDescent="0.3">
      <c r="D1312" t="str">
        <f t="shared" si="49"/>
        <v/>
      </c>
    </row>
    <row r="1313" spans="4:4" x14ac:dyDescent="0.3">
      <c r="D1313" t="str">
        <f t="shared" si="49"/>
        <v/>
      </c>
    </row>
    <row r="1314" spans="4:4" x14ac:dyDescent="0.3">
      <c r="D1314" t="str">
        <f t="shared" si="49"/>
        <v/>
      </c>
    </row>
    <row r="1315" spans="4:4" x14ac:dyDescent="0.3">
      <c r="D1315" t="str">
        <f t="shared" si="49"/>
        <v/>
      </c>
    </row>
    <row r="1316" spans="4:4" x14ac:dyDescent="0.3">
      <c r="D1316" t="str">
        <f t="shared" si="49"/>
        <v/>
      </c>
    </row>
    <row r="1317" spans="4:4" x14ac:dyDescent="0.3">
      <c r="D1317" t="str">
        <f t="shared" si="49"/>
        <v/>
      </c>
    </row>
    <row r="1318" spans="4:4" x14ac:dyDescent="0.3">
      <c r="D1318" t="str">
        <f t="shared" si="49"/>
        <v/>
      </c>
    </row>
    <row r="1319" spans="4:4" x14ac:dyDescent="0.3">
      <c r="D1319" t="str">
        <f t="shared" si="49"/>
        <v/>
      </c>
    </row>
    <row r="1320" spans="4:4" x14ac:dyDescent="0.3">
      <c r="D1320" t="str">
        <f t="shared" si="49"/>
        <v/>
      </c>
    </row>
    <row r="1321" spans="4:4" x14ac:dyDescent="0.3">
      <c r="D1321" t="str">
        <f t="shared" si="49"/>
        <v/>
      </c>
    </row>
    <row r="1322" spans="4:4" x14ac:dyDescent="0.3">
      <c r="D1322" t="str">
        <f t="shared" si="49"/>
        <v/>
      </c>
    </row>
    <row r="1323" spans="4:4" x14ac:dyDescent="0.3">
      <c r="D1323" t="str">
        <f t="shared" si="49"/>
        <v/>
      </c>
    </row>
    <row r="1324" spans="4:4" x14ac:dyDescent="0.3">
      <c r="D1324" t="str">
        <f t="shared" si="49"/>
        <v/>
      </c>
    </row>
    <row r="1325" spans="4:4" x14ac:dyDescent="0.3">
      <c r="D1325" t="str">
        <f t="shared" si="49"/>
        <v/>
      </c>
    </row>
    <row r="1326" spans="4:4" x14ac:dyDescent="0.3">
      <c r="D1326" t="str">
        <f t="shared" si="49"/>
        <v/>
      </c>
    </row>
    <row r="1327" spans="4:4" x14ac:dyDescent="0.3">
      <c r="D1327" t="str">
        <f t="shared" si="49"/>
        <v/>
      </c>
    </row>
    <row r="1328" spans="4:4" x14ac:dyDescent="0.3">
      <c r="D1328" t="str">
        <f t="shared" si="49"/>
        <v/>
      </c>
    </row>
    <row r="1329" spans="4:4" x14ac:dyDescent="0.3">
      <c r="D1329" t="str">
        <f t="shared" si="49"/>
        <v/>
      </c>
    </row>
    <row r="1330" spans="4:4" x14ac:dyDescent="0.3">
      <c r="D1330" t="str">
        <f t="shared" si="49"/>
        <v/>
      </c>
    </row>
    <row r="1331" spans="4:4" x14ac:dyDescent="0.3">
      <c r="D1331" t="str">
        <f t="shared" si="49"/>
        <v/>
      </c>
    </row>
    <row r="1332" spans="4:4" x14ac:dyDescent="0.3">
      <c r="D1332" t="str">
        <f t="shared" si="49"/>
        <v/>
      </c>
    </row>
    <row r="1333" spans="4:4" x14ac:dyDescent="0.3">
      <c r="D1333" t="str">
        <f t="shared" si="49"/>
        <v/>
      </c>
    </row>
    <row r="1334" spans="4:4" x14ac:dyDescent="0.3">
      <c r="D1334" t="str">
        <f t="shared" si="49"/>
        <v/>
      </c>
    </row>
    <row r="1335" spans="4:4" x14ac:dyDescent="0.3">
      <c r="D1335" t="str">
        <f t="shared" si="49"/>
        <v/>
      </c>
    </row>
    <row r="1336" spans="4:4" x14ac:dyDescent="0.3">
      <c r="D1336" t="str">
        <f t="shared" si="49"/>
        <v/>
      </c>
    </row>
    <row r="1337" spans="4:4" x14ac:dyDescent="0.3">
      <c r="D1337" t="str">
        <f t="shared" si="49"/>
        <v/>
      </c>
    </row>
    <row r="1338" spans="4:4" x14ac:dyDescent="0.3">
      <c r="D1338" t="str">
        <f t="shared" si="49"/>
        <v/>
      </c>
    </row>
    <row r="1339" spans="4:4" x14ac:dyDescent="0.3">
      <c r="D1339" t="str">
        <f t="shared" si="49"/>
        <v/>
      </c>
    </row>
    <row r="1340" spans="4:4" x14ac:dyDescent="0.3">
      <c r="D1340" t="str">
        <f t="shared" si="49"/>
        <v/>
      </c>
    </row>
    <row r="1341" spans="4:4" x14ac:dyDescent="0.3">
      <c r="D1341" t="str">
        <f t="shared" si="49"/>
        <v/>
      </c>
    </row>
    <row r="1342" spans="4:4" x14ac:dyDescent="0.3">
      <c r="D1342" t="str">
        <f t="shared" ref="D1342:D1405" si="50">IF(LEFT(A1342,2)="SP",MID(A1342,4,4),IF(LEFT(A1342,1)="X",MID(A1342,3,4),""))</f>
        <v/>
      </c>
    </row>
    <row r="1343" spans="4:4" x14ac:dyDescent="0.3">
      <c r="D1343" t="str">
        <f t="shared" si="50"/>
        <v/>
      </c>
    </row>
    <row r="1344" spans="4:4" x14ac:dyDescent="0.3">
      <c r="D1344" t="str">
        <f t="shared" si="50"/>
        <v/>
      </c>
    </row>
    <row r="1345" spans="4:4" x14ac:dyDescent="0.3">
      <c r="D1345" t="str">
        <f t="shared" si="50"/>
        <v/>
      </c>
    </row>
    <row r="1346" spans="4:4" x14ac:dyDescent="0.3">
      <c r="D1346" t="str">
        <f t="shared" si="50"/>
        <v/>
      </c>
    </row>
    <row r="1347" spans="4:4" x14ac:dyDescent="0.3">
      <c r="D1347" t="str">
        <f t="shared" si="50"/>
        <v/>
      </c>
    </row>
    <row r="1348" spans="4:4" x14ac:dyDescent="0.3">
      <c r="D1348" t="str">
        <f t="shared" si="50"/>
        <v/>
      </c>
    </row>
    <row r="1349" spans="4:4" x14ac:dyDescent="0.3">
      <c r="D1349" t="str">
        <f t="shared" si="50"/>
        <v/>
      </c>
    </row>
    <row r="1350" spans="4:4" x14ac:dyDescent="0.3">
      <c r="D1350" t="str">
        <f t="shared" si="50"/>
        <v/>
      </c>
    </row>
    <row r="1351" spans="4:4" x14ac:dyDescent="0.3">
      <c r="D1351" t="str">
        <f t="shared" si="50"/>
        <v/>
      </c>
    </row>
    <row r="1352" spans="4:4" x14ac:dyDescent="0.3">
      <c r="D1352" t="str">
        <f t="shared" si="50"/>
        <v/>
      </c>
    </row>
    <row r="1353" spans="4:4" x14ac:dyDescent="0.3">
      <c r="D1353" t="str">
        <f t="shared" si="50"/>
        <v/>
      </c>
    </row>
    <row r="1354" spans="4:4" x14ac:dyDescent="0.3">
      <c r="D1354" t="str">
        <f t="shared" si="50"/>
        <v/>
      </c>
    </row>
    <row r="1355" spans="4:4" x14ac:dyDescent="0.3">
      <c r="D1355" t="str">
        <f t="shared" si="50"/>
        <v/>
      </c>
    </row>
    <row r="1356" spans="4:4" x14ac:dyDescent="0.3">
      <c r="D1356" t="str">
        <f t="shared" si="50"/>
        <v/>
      </c>
    </row>
    <row r="1357" spans="4:4" x14ac:dyDescent="0.3">
      <c r="D1357" t="str">
        <f t="shared" si="50"/>
        <v/>
      </c>
    </row>
    <row r="1358" spans="4:4" x14ac:dyDescent="0.3">
      <c r="D1358" t="str">
        <f t="shared" si="50"/>
        <v/>
      </c>
    </row>
    <row r="1359" spans="4:4" x14ac:dyDescent="0.3">
      <c r="D1359" t="str">
        <f t="shared" si="50"/>
        <v/>
      </c>
    </row>
    <row r="1360" spans="4:4" x14ac:dyDescent="0.3">
      <c r="D1360" t="str">
        <f t="shared" si="50"/>
        <v/>
      </c>
    </row>
    <row r="1361" spans="4:4" x14ac:dyDescent="0.3">
      <c r="D1361" t="str">
        <f t="shared" si="50"/>
        <v/>
      </c>
    </row>
    <row r="1362" spans="4:4" x14ac:dyDescent="0.3">
      <c r="D1362" t="str">
        <f t="shared" si="50"/>
        <v/>
      </c>
    </row>
    <row r="1363" spans="4:4" x14ac:dyDescent="0.3">
      <c r="D1363" t="str">
        <f t="shared" si="50"/>
        <v/>
      </c>
    </row>
    <row r="1364" spans="4:4" x14ac:dyDescent="0.3">
      <c r="D1364" t="str">
        <f t="shared" si="50"/>
        <v/>
      </c>
    </row>
    <row r="1365" spans="4:4" x14ac:dyDescent="0.3">
      <c r="D1365" t="str">
        <f t="shared" si="50"/>
        <v/>
      </c>
    </row>
    <row r="1366" spans="4:4" x14ac:dyDescent="0.3">
      <c r="D1366" t="str">
        <f t="shared" si="50"/>
        <v/>
      </c>
    </row>
    <row r="1367" spans="4:4" x14ac:dyDescent="0.3">
      <c r="D1367" t="str">
        <f t="shared" si="50"/>
        <v/>
      </c>
    </row>
    <row r="1368" spans="4:4" x14ac:dyDescent="0.3">
      <c r="D1368" t="str">
        <f t="shared" si="50"/>
        <v/>
      </c>
    </row>
    <row r="1369" spans="4:4" x14ac:dyDescent="0.3">
      <c r="D1369" t="str">
        <f t="shared" si="50"/>
        <v/>
      </c>
    </row>
    <row r="1370" spans="4:4" x14ac:dyDescent="0.3">
      <c r="D1370" t="str">
        <f t="shared" si="50"/>
        <v/>
      </c>
    </row>
    <row r="1371" spans="4:4" x14ac:dyDescent="0.3">
      <c r="D1371" t="str">
        <f t="shared" si="50"/>
        <v/>
      </c>
    </row>
    <row r="1372" spans="4:4" x14ac:dyDescent="0.3">
      <c r="D1372" t="str">
        <f t="shared" si="50"/>
        <v/>
      </c>
    </row>
    <row r="1373" spans="4:4" x14ac:dyDescent="0.3">
      <c r="D1373" t="str">
        <f t="shared" si="50"/>
        <v/>
      </c>
    </row>
    <row r="1374" spans="4:4" x14ac:dyDescent="0.3">
      <c r="D1374" t="str">
        <f t="shared" si="50"/>
        <v/>
      </c>
    </row>
    <row r="1375" spans="4:4" x14ac:dyDescent="0.3">
      <c r="D1375" t="str">
        <f t="shared" si="50"/>
        <v/>
      </c>
    </row>
    <row r="1376" spans="4:4" x14ac:dyDescent="0.3">
      <c r="D1376" t="str">
        <f t="shared" si="50"/>
        <v/>
      </c>
    </row>
    <row r="1377" spans="4:4" x14ac:dyDescent="0.3">
      <c r="D1377" t="str">
        <f t="shared" si="50"/>
        <v/>
      </c>
    </row>
    <row r="1378" spans="4:4" x14ac:dyDescent="0.3">
      <c r="D1378" t="str">
        <f t="shared" si="50"/>
        <v/>
      </c>
    </row>
    <row r="1379" spans="4:4" x14ac:dyDescent="0.3">
      <c r="D1379" t="str">
        <f t="shared" si="50"/>
        <v/>
      </c>
    </row>
    <row r="1380" spans="4:4" x14ac:dyDescent="0.3">
      <c r="D1380" t="str">
        <f t="shared" si="50"/>
        <v/>
      </c>
    </row>
    <row r="1381" spans="4:4" x14ac:dyDescent="0.3">
      <c r="D1381" t="str">
        <f t="shared" si="50"/>
        <v/>
      </c>
    </row>
    <row r="1382" spans="4:4" x14ac:dyDescent="0.3">
      <c r="D1382" t="str">
        <f t="shared" si="50"/>
        <v/>
      </c>
    </row>
    <row r="1383" spans="4:4" x14ac:dyDescent="0.3">
      <c r="D1383" t="str">
        <f t="shared" si="50"/>
        <v/>
      </c>
    </row>
    <row r="1384" spans="4:4" x14ac:dyDescent="0.3">
      <c r="D1384" t="str">
        <f t="shared" si="50"/>
        <v/>
      </c>
    </row>
    <row r="1385" spans="4:4" x14ac:dyDescent="0.3">
      <c r="D1385" t="str">
        <f t="shared" si="50"/>
        <v/>
      </c>
    </row>
    <row r="1386" spans="4:4" x14ac:dyDescent="0.3">
      <c r="D1386" t="str">
        <f t="shared" si="50"/>
        <v/>
      </c>
    </row>
    <row r="1387" spans="4:4" x14ac:dyDescent="0.3">
      <c r="D1387" t="str">
        <f t="shared" si="50"/>
        <v/>
      </c>
    </row>
    <row r="1388" spans="4:4" x14ac:dyDescent="0.3">
      <c r="D1388" t="str">
        <f t="shared" si="50"/>
        <v/>
      </c>
    </row>
    <row r="1389" spans="4:4" x14ac:dyDescent="0.3">
      <c r="D1389" t="str">
        <f t="shared" si="50"/>
        <v/>
      </c>
    </row>
    <row r="1390" spans="4:4" x14ac:dyDescent="0.3">
      <c r="D1390" t="str">
        <f t="shared" si="50"/>
        <v/>
      </c>
    </row>
    <row r="1391" spans="4:4" x14ac:dyDescent="0.3">
      <c r="D1391" t="str">
        <f t="shared" si="50"/>
        <v/>
      </c>
    </row>
    <row r="1392" spans="4:4" x14ac:dyDescent="0.3">
      <c r="D1392" t="str">
        <f t="shared" si="50"/>
        <v/>
      </c>
    </row>
    <row r="1393" spans="4:4" x14ac:dyDescent="0.3">
      <c r="D1393" t="str">
        <f t="shared" si="50"/>
        <v/>
      </c>
    </row>
    <row r="1394" spans="4:4" x14ac:dyDescent="0.3">
      <c r="D1394" t="str">
        <f t="shared" si="50"/>
        <v/>
      </c>
    </row>
    <row r="1395" spans="4:4" x14ac:dyDescent="0.3">
      <c r="D1395" t="str">
        <f t="shared" si="50"/>
        <v/>
      </c>
    </row>
    <row r="1396" spans="4:4" x14ac:dyDescent="0.3">
      <c r="D1396" t="str">
        <f t="shared" si="50"/>
        <v/>
      </c>
    </row>
    <row r="1397" spans="4:4" x14ac:dyDescent="0.3">
      <c r="D1397" t="str">
        <f t="shared" si="50"/>
        <v/>
      </c>
    </row>
    <row r="1398" spans="4:4" x14ac:dyDescent="0.3">
      <c r="D1398" t="str">
        <f t="shared" si="50"/>
        <v/>
      </c>
    </row>
    <row r="1399" spans="4:4" x14ac:dyDescent="0.3">
      <c r="D1399" t="str">
        <f t="shared" si="50"/>
        <v/>
      </c>
    </row>
    <row r="1400" spans="4:4" x14ac:dyDescent="0.3">
      <c r="D1400" t="str">
        <f t="shared" si="50"/>
        <v/>
      </c>
    </row>
    <row r="1401" spans="4:4" x14ac:dyDescent="0.3">
      <c r="D1401" t="str">
        <f t="shared" si="50"/>
        <v/>
      </c>
    </row>
    <row r="1402" spans="4:4" x14ac:dyDescent="0.3">
      <c r="D1402" t="str">
        <f t="shared" si="50"/>
        <v/>
      </c>
    </row>
    <row r="1403" spans="4:4" x14ac:dyDescent="0.3">
      <c r="D1403" t="str">
        <f t="shared" si="50"/>
        <v/>
      </c>
    </row>
    <row r="1404" spans="4:4" x14ac:dyDescent="0.3">
      <c r="D1404" t="str">
        <f t="shared" si="50"/>
        <v/>
      </c>
    </row>
    <row r="1405" spans="4:4" x14ac:dyDescent="0.3">
      <c r="D1405" t="str">
        <f t="shared" si="50"/>
        <v/>
      </c>
    </row>
    <row r="1406" spans="4:4" x14ac:dyDescent="0.3">
      <c r="D1406" t="str">
        <f t="shared" ref="D1406:D1469" si="51">IF(LEFT(A1406,2)="SP",MID(A1406,4,4),IF(LEFT(A1406,1)="X",MID(A1406,3,4),""))</f>
        <v/>
      </c>
    </row>
    <row r="1407" spans="4:4" x14ac:dyDescent="0.3">
      <c r="D1407" t="str">
        <f t="shared" si="51"/>
        <v/>
      </c>
    </row>
    <row r="1408" spans="4:4" x14ac:dyDescent="0.3">
      <c r="D1408" t="str">
        <f t="shared" si="51"/>
        <v/>
      </c>
    </row>
    <row r="1409" spans="4:4" x14ac:dyDescent="0.3">
      <c r="D1409" t="str">
        <f t="shared" si="51"/>
        <v/>
      </c>
    </row>
    <row r="1410" spans="4:4" x14ac:dyDescent="0.3">
      <c r="D1410" t="str">
        <f t="shared" si="51"/>
        <v/>
      </c>
    </row>
    <row r="1411" spans="4:4" x14ac:dyDescent="0.3">
      <c r="D1411" t="str">
        <f t="shared" si="51"/>
        <v/>
      </c>
    </row>
    <row r="1412" spans="4:4" x14ac:dyDescent="0.3">
      <c r="D1412" t="str">
        <f t="shared" si="51"/>
        <v/>
      </c>
    </row>
    <row r="1413" spans="4:4" x14ac:dyDescent="0.3">
      <c r="D1413" t="str">
        <f t="shared" si="51"/>
        <v/>
      </c>
    </row>
    <row r="1414" spans="4:4" x14ac:dyDescent="0.3">
      <c r="D1414" t="str">
        <f t="shared" si="51"/>
        <v/>
      </c>
    </row>
    <row r="1415" spans="4:4" x14ac:dyDescent="0.3">
      <c r="D1415" t="str">
        <f t="shared" si="51"/>
        <v/>
      </c>
    </row>
    <row r="1416" spans="4:4" x14ac:dyDescent="0.3">
      <c r="D1416" t="str">
        <f t="shared" si="51"/>
        <v/>
      </c>
    </row>
    <row r="1417" spans="4:4" x14ac:dyDescent="0.3">
      <c r="D1417" t="str">
        <f t="shared" si="51"/>
        <v/>
      </c>
    </row>
    <row r="1418" spans="4:4" x14ac:dyDescent="0.3">
      <c r="D1418" t="str">
        <f t="shared" si="51"/>
        <v/>
      </c>
    </row>
    <row r="1419" spans="4:4" x14ac:dyDescent="0.3">
      <c r="D1419" t="str">
        <f t="shared" si="51"/>
        <v/>
      </c>
    </row>
    <row r="1420" spans="4:4" x14ac:dyDescent="0.3">
      <c r="D1420" t="str">
        <f t="shared" si="51"/>
        <v/>
      </c>
    </row>
    <row r="1421" spans="4:4" x14ac:dyDescent="0.3">
      <c r="D1421" t="str">
        <f t="shared" si="51"/>
        <v/>
      </c>
    </row>
    <row r="1422" spans="4:4" x14ac:dyDescent="0.3">
      <c r="D1422" t="str">
        <f t="shared" si="51"/>
        <v/>
      </c>
    </row>
    <row r="1423" spans="4:4" x14ac:dyDescent="0.3">
      <c r="D1423" t="str">
        <f t="shared" si="51"/>
        <v/>
      </c>
    </row>
    <row r="1424" spans="4:4" x14ac:dyDescent="0.3">
      <c r="D1424" t="str">
        <f t="shared" si="51"/>
        <v/>
      </c>
    </row>
    <row r="1425" spans="4:4" x14ac:dyDescent="0.3">
      <c r="D1425" t="str">
        <f t="shared" si="51"/>
        <v/>
      </c>
    </row>
    <row r="1426" spans="4:4" x14ac:dyDescent="0.3">
      <c r="D1426" t="str">
        <f t="shared" si="51"/>
        <v/>
      </c>
    </row>
    <row r="1427" spans="4:4" x14ac:dyDescent="0.3">
      <c r="D1427" t="str">
        <f t="shared" si="51"/>
        <v/>
      </c>
    </row>
    <row r="1428" spans="4:4" x14ac:dyDescent="0.3">
      <c r="D1428" t="str">
        <f t="shared" si="51"/>
        <v/>
      </c>
    </row>
    <row r="1429" spans="4:4" x14ac:dyDescent="0.3">
      <c r="D1429" t="str">
        <f t="shared" si="51"/>
        <v/>
      </c>
    </row>
    <row r="1430" spans="4:4" x14ac:dyDescent="0.3">
      <c r="D1430" t="str">
        <f t="shared" si="51"/>
        <v/>
      </c>
    </row>
    <row r="1431" spans="4:4" x14ac:dyDescent="0.3">
      <c r="D1431" t="str">
        <f t="shared" si="51"/>
        <v/>
      </c>
    </row>
    <row r="1432" spans="4:4" x14ac:dyDescent="0.3">
      <c r="D1432" t="str">
        <f t="shared" si="51"/>
        <v/>
      </c>
    </row>
    <row r="1433" spans="4:4" x14ac:dyDescent="0.3">
      <c r="D1433" t="str">
        <f t="shared" si="51"/>
        <v/>
      </c>
    </row>
    <row r="1434" spans="4:4" x14ac:dyDescent="0.3">
      <c r="D1434" t="str">
        <f t="shared" si="51"/>
        <v/>
      </c>
    </row>
    <row r="1435" spans="4:4" x14ac:dyDescent="0.3">
      <c r="D1435" t="str">
        <f t="shared" si="51"/>
        <v/>
      </c>
    </row>
    <row r="1436" spans="4:4" x14ac:dyDescent="0.3">
      <c r="D1436" t="str">
        <f t="shared" si="51"/>
        <v/>
      </c>
    </row>
    <row r="1437" spans="4:4" x14ac:dyDescent="0.3">
      <c r="D1437" t="str">
        <f t="shared" si="51"/>
        <v/>
      </c>
    </row>
    <row r="1438" spans="4:4" x14ac:dyDescent="0.3">
      <c r="D1438" t="str">
        <f t="shared" si="51"/>
        <v/>
      </c>
    </row>
    <row r="1439" spans="4:4" x14ac:dyDescent="0.3">
      <c r="D1439" t="str">
        <f t="shared" si="51"/>
        <v/>
      </c>
    </row>
    <row r="1440" spans="4:4" x14ac:dyDescent="0.3">
      <c r="D1440" t="str">
        <f t="shared" si="51"/>
        <v/>
      </c>
    </row>
    <row r="1441" spans="4:4" x14ac:dyDescent="0.3">
      <c r="D1441" t="str">
        <f t="shared" si="51"/>
        <v/>
      </c>
    </row>
    <row r="1442" spans="4:4" x14ac:dyDescent="0.3">
      <c r="D1442" t="str">
        <f t="shared" si="51"/>
        <v/>
      </c>
    </row>
    <row r="1443" spans="4:4" x14ac:dyDescent="0.3">
      <c r="D1443" t="str">
        <f t="shared" si="51"/>
        <v/>
      </c>
    </row>
    <row r="1444" spans="4:4" x14ac:dyDescent="0.3">
      <c r="D1444" t="str">
        <f t="shared" si="51"/>
        <v/>
      </c>
    </row>
    <row r="1445" spans="4:4" x14ac:dyDescent="0.3">
      <c r="D1445" t="str">
        <f t="shared" si="51"/>
        <v/>
      </c>
    </row>
    <row r="1446" spans="4:4" x14ac:dyDescent="0.3">
      <c r="D1446" t="str">
        <f t="shared" si="51"/>
        <v/>
      </c>
    </row>
    <row r="1447" spans="4:4" x14ac:dyDescent="0.3">
      <c r="D1447" t="str">
        <f t="shared" si="51"/>
        <v/>
      </c>
    </row>
    <row r="1448" spans="4:4" x14ac:dyDescent="0.3">
      <c r="D1448" t="str">
        <f t="shared" si="51"/>
        <v/>
      </c>
    </row>
    <row r="1449" spans="4:4" x14ac:dyDescent="0.3">
      <c r="D1449" t="str">
        <f t="shared" si="51"/>
        <v/>
      </c>
    </row>
    <row r="1450" spans="4:4" x14ac:dyDescent="0.3">
      <c r="D1450" t="str">
        <f t="shared" si="51"/>
        <v/>
      </c>
    </row>
    <row r="1451" spans="4:4" x14ac:dyDescent="0.3">
      <c r="D1451" t="str">
        <f t="shared" si="51"/>
        <v/>
      </c>
    </row>
    <row r="1452" spans="4:4" x14ac:dyDescent="0.3">
      <c r="D1452" t="str">
        <f t="shared" si="51"/>
        <v/>
      </c>
    </row>
    <row r="1453" spans="4:4" x14ac:dyDescent="0.3">
      <c r="D1453" t="str">
        <f t="shared" si="51"/>
        <v/>
      </c>
    </row>
    <row r="1454" spans="4:4" x14ac:dyDescent="0.3">
      <c r="D1454" t="str">
        <f t="shared" si="51"/>
        <v/>
      </c>
    </row>
    <row r="1455" spans="4:4" x14ac:dyDescent="0.3">
      <c r="D1455" t="str">
        <f t="shared" si="51"/>
        <v/>
      </c>
    </row>
    <row r="1456" spans="4:4" x14ac:dyDescent="0.3">
      <c r="D1456" t="str">
        <f t="shared" si="51"/>
        <v/>
      </c>
    </row>
    <row r="1457" spans="4:4" x14ac:dyDescent="0.3">
      <c r="D1457" t="str">
        <f t="shared" si="51"/>
        <v/>
      </c>
    </row>
    <row r="1458" spans="4:4" x14ac:dyDescent="0.3">
      <c r="D1458" t="str">
        <f t="shared" si="51"/>
        <v/>
      </c>
    </row>
    <row r="1459" spans="4:4" x14ac:dyDescent="0.3">
      <c r="D1459" t="str">
        <f t="shared" si="51"/>
        <v/>
      </c>
    </row>
    <row r="1460" spans="4:4" x14ac:dyDescent="0.3">
      <c r="D1460" t="str">
        <f t="shared" si="51"/>
        <v/>
      </c>
    </row>
    <row r="1461" spans="4:4" x14ac:dyDescent="0.3">
      <c r="D1461" t="str">
        <f t="shared" si="51"/>
        <v/>
      </c>
    </row>
    <row r="1462" spans="4:4" x14ac:dyDescent="0.3">
      <c r="D1462" t="str">
        <f t="shared" si="51"/>
        <v/>
      </c>
    </row>
    <row r="1463" spans="4:4" x14ac:dyDescent="0.3">
      <c r="D1463" t="str">
        <f t="shared" si="51"/>
        <v/>
      </c>
    </row>
    <row r="1464" spans="4:4" x14ac:dyDescent="0.3">
      <c r="D1464" t="str">
        <f t="shared" si="51"/>
        <v/>
      </c>
    </row>
    <row r="1465" spans="4:4" x14ac:dyDescent="0.3">
      <c r="D1465" t="str">
        <f t="shared" si="51"/>
        <v/>
      </c>
    </row>
    <row r="1466" spans="4:4" x14ac:dyDescent="0.3">
      <c r="D1466" t="str">
        <f t="shared" si="51"/>
        <v/>
      </c>
    </row>
    <row r="1467" spans="4:4" x14ac:dyDescent="0.3">
      <c r="D1467" t="str">
        <f t="shared" si="51"/>
        <v/>
      </c>
    </row>
    <row r="1468" spans="4:4" x14ac:dyDescent="0.3">
      <c r="D1468" t="str">
        <f t="shared" si="51"/>
        <v/>
      </c>
    </row>
    <row r="1469" spans="4:4" x14ac:dyDescent="0.3">
      <c r="D1469" t="str">
        <f t="shared" si="51"/>
        <v/>
      </c>
    </row>
    <row r="1470" spans="4:4" x14ac:dyDescent="0.3">
      <c r="D1470" t="str">
        <f t="shared" ref="D1470:D1533" si="52">IF(LEFT(A1470,2)="SP",MID(A1470,4,4),IF(LEFT(A1470,1)="X",MID(A1470,3,4),""))</f>
        <v/>
      </c>
    </row>
    <row r="1471" spans="4:4" x14ac:dyDescent="0.3">
      <c r="D1471" t="str">
        <f t="shared" si="52"/>
        <v/>
      </c>
    </row>
    <row r="1472" spans="4:4" x14ac:dyDescent="0.3">
      <c r="D1472" t="str">
        <f t="shared" si="52"/>
        <v/>
      </c>
    </row>
    <row r="1473" spans="4:4" x14ac:dyDescent="0.3">
      <c r="D1473" t="str">
        <f t="shared" si="52"/>
        <v/>
      </c>
    </row>
    <row r="1474" spans="4:4" x14ac:dyDescent="0.3">
      <c r="D1474" t="str">
        <f t="shared" si="52"/>
        <v/>
      </c>
    </row>
    <row r="1475" spans="4:4" x14ac:dyDescent="0.3">
      <c r="D1475" t="str">
        <f t="shared" si="52"/>
        <v/>
      </c>
    </row>
    <row r="1476" spans="4:4" x14ac:dyDescent="0.3">
      <c r="D1476" t="str">
        <f t="shared" si="52"/>
        <v/>
      </c>
    </row>
    <row r="1477" spans="4:4" x14ac:dyDescent="0.3">
      <c r="D1477" t="str">
        <f t="shared" si="52"/>
        <v/>
      </c>
    </row>
    <row r="1478" spans="4:4" x14ac:dyDescent="0.3">
      <c r="D1478" t="str">
        <f t="shared" si="52"/>
        <v/>
      </c>
    </row>
    <row r="1479" spans="4:4" x14ac:dyDescent="0.3">
      <c r="D1479" t="str">
        <f t="shared" si="52"/>
        <v/>
      </c>
    </row>
    <row r="1480" spans="4:4" x14ac:dyDescent="0.3">
      <c r="D1480" t="str">
        <f t="shared" si="52"/>
        <v/>
      </c>
    </row>
    <row r="1481" spans="4:4" x14ac:dyDescent="0.3">
      <c r="D1481" t="str">
        <f t="shared" si="52"/>
        <v/>
      </c>
    </row>
    <row r="1482" spans="4:4" x14ac:dyDescent="0.3">
      <c r="D1482" t="str">
        <f t="shared" si="52"/>
        <v/>
      </c>
    </row>
    <row r="1483" spans="4:4" x14ac:dyDescent="0.3">
      <c r="D1483" t="str">
        <f t="shared" si="52"/>
        <v/>
      </c>
    </row>
    <row r="1484" spans="4:4" x14ac:dyDescent="0.3">
      <c r="D1484" t="str">
        <f t="shared" si="52"/>
        <v/>
      </c>
    </row>
    <row r="1485" spans="4:4" x14ac:dyDescent="0.3">
      <c r="D1485" t="str">
        <f t="shared" si="52"/>
        <v/>
      </c>
    </row>
    <row r="1486" spans="4:4" x14ac:dyDescent="0.3">
      <c r="D1486" t="str">
        <f t="shared" si="52"/>
        <v/>
      </c>
    </row>
    <row r="1487" spans="4:4" x14ac:dyDescent="0.3">
      <c r="D1487" t="str">
        <f t="shared" si="52"/>
        <v/>
      </c>
    </row>
    <row r="1488" spans="4:4" x14ac:dyDescent="0.3">
      <c r="D1488" t="str">
        <f t="shared" si="52"/>
        <v/>
      </c>
    </row>
    <row r="1489" spans="4:4" x14ac:dyDescent="0.3">
      <c r="D1489" t="str">
        <f t="shared" si="52"/>
        <v/>
      </c>
    </row>
    <row r="1490" spans="4:4" x14ac:dyDescent="0.3">
      <c r="D1490" t="str">
        <f t="shared" si="52"/>
        <v/>
      </c>
    </row>
    <row r="1491" spans="4:4" x14ac:dyDescent="0.3">
      <c r="D1491" t="str">
        <f t="shared" si="52"/>
        <v/>
      </c>
    </row>
    <row r="1492" spans="4:4" x14ac:dyDescent="0.3">
      <c r="D1492" t="str">
        <f t="shared" si="52"/>
        <v/>
      </c>
    </row>
    <row r="1493" spans="4:4" x14ac:dyDescent="0.3">
      <c r="D1493" t="str">
        <f t="shared" si="52"/>
        <v/>
      </c>
    </row>
    <row r="1494" spans="4:4" x14ac:dyDescent="0.3">
      <c r="D1494" t="str">
        <f t="shared" si="52"/>
        <v/>
      </c>
    </row>
    <row r="1495" spans="4:4" x14ac:dyDescent="0.3">
      <c r="D1495" t="str">
        <f t="shared" si="52"/>
        <v/>
      </c>
    </row>
    <row r="1496" spans="4:4" x14ac:dyDescent="0.3">
      <c r="D1496" t="str">
        <f t="shared" si="52"/>
        <v/>
      </c>
    </row>
    <row r="1497" spans="4:4" x14ac:dyDescent="0.3">
      <c r="D1497" t="str">
        <f t="shared" si="52"/>
        <v/>
      </c>
    </row>
    <row r="1498" spans="4:4" x14ac:dyDescent="0.3">
      <c r="D1498" t="str">
        <f t="shared" si="52"/>
        <v/>
      </c>
    </row>
    <row r="1499" spans="4:4" x14ac:dyDescent="0.3">
      <c r="D1499" t="str">
        <f t="shared" si="52"/>
        <v/>
      </c>
    </row>
    <row r="1500" spans="4:4" x14ac:dyDescent="0.3">
      <c r="D1500" t="str">
        <f t="shared" si="52"/>
        <v/>
      </c>
    </row>
    <row r="1501" spans="4:4" x14ac:dyDescent="0.3">
      <c r="D1501" t="str">
        <f t="shared" si="52"/>
        <v/>
      </c>
    </row>
    <row r="1502" spans="4:4" x14ac:dyDescent="0.3">
      <c r="D1502" t="str">
        <f t="shared" si="52"/>
        <v/>
      </c>
    </row>
    <row r="1503" spans="4:4" x14ac:dyDescent="0.3">
      <c r="D1503" t="str">
        <f t="shared" si="52"/>
        <v/>
      </c>
    </row>
    <row r="1504" spans="4:4" x14ac:dyDescent="0.3">
      <c r="D1504" t="str">
        <f t="shared" si="52"/>
        <v/>
      </c>
    </row>
    <row r="1505" spans="4:4" x14ac:dyDescent="0.3">
      <c r="D1505" t="str">
        <f t="shared" si="52"/>
        <v/>
      </c>
    </row>
    <row r="1506" spans="4:4" x14ac:dyDescent="0.3">
      <c r="D1506" t="str">
        <f t="shared" si="52"/>
        <v/>
      </c>
    </row>
    <row r="1507" spans="4:4" x14ac:dyDescent="0.3">
      <c r="D1507" t="str">
        <f t="shared" si="52"/>
        <v/>
      </c>
    </row>
    <row r="1508" spans="4:4" x14ac:dyDescent="0.3">
      <c r="D1508" t="str">
        <f t="shared" si="52"/>
        <v/>
      </c>
    </row>
    <row r="1509" spans="4:4" x14ac:dyDescent="0.3">
      <c r="D1509" t="str">
        <f t="shared" si="52"/>
        <v/>
      </c>
    </row>
    <row r="1510" spans="4:4" x14ac:dyDescent="0.3">
      <c r="D1510" t="str">
        <f t="shared" si="52"/>
        <v/>
      </c>
    </row>
    <row r="1511" spans="4:4" x14ac:dyDescent="0.3">
      <c r="D1511" t="str">
        <f t="shared" si="52"/>
        <v/>
      </c>
    </row>
    <row r="1512" spans="4:4" x14ac:dyDescent="0.3">
      <c r="D1512" t="str">
        <f t="shared" si="52"/>
        <v/>
      </c>
    </row>
    <row r="1513" spans="4:4" x14ac:dyDescent="0.3">
      <c r="D1513" t="str">
        <f t="shared" si="52"/>
        <v/>
      </c>
    </row>
    <row r="1514" spans="4:4" x14ac:dyDescent="0.3">
      <c r="D1514" t="str">
        <f t="shared" si="52"/>
        <v/>
      </c>
    </row>
    <row r="1515" spans="4:4" x14ac:dyDescent="0.3">
      <c r="D1515" t="str">
        <f t="shared" si="52"/>
        <v/>
      </c>
    </row>
    <row r="1516" spans="4:4" x14ac:dyDescent="0.3">
      <c r="D1516" t="str">
        <f t="shared" si="52"/>
        <v/>
      </c>
    </row>
    <row r="1517" spans="4:4" x14ac:dyDescent="0.3">
      <c r="D1517" t="str">
        <f t="shared" si="52"/>
        <v/>
      </c>
    </row>
    <row r="1518" spans="4:4" x14ac:dyDescent="0.3">
      <c r="D1518" t="str">
        <f t="shared" si="52"/>
        <v/>
      </c>
    </row>
    <row r="1519" spans="4:4" x14ac:dyDescent="0.3">
      <c r="D1519" t="str">
        <f t="shared" si="52"/>
        <v/>
      </c>
    </row>
    <row r="1520" spans="4:4" x14ac:dyDescent="0.3">
      <c r="D1520" t="str">
        <f t="shared" si="52"/>
        <v/>
      </c>
    </row>
    <row r="1521" spans="4:4" x14ac:dyDescent="0.3">
      <c r="D1521" t="str">
        <f t="shared" si="52"/>
        <v/>
      </c>
    </row>
    <row r="1522" spans="4:4" x14ac:dyDescent="0.3">
      <c r="D1522" t="str">
        <f t="shared" si="52"/>
        <v/>
      </c>
    </row>
    <row r="1523" spans="4:4" x14ac:dyDescent="0.3">
      <c r="D1523" t="str">
        <f t="shared" si="52"/>
        <v/>
      </c>
    </row>
    <row r="1524" spans="4:4" x14ac:dyDescent="0.3">
      <c r="D1524" t="str">
        <f t="shared" si="52"/>
        <v/>
      </c>
    </row>
    <row r="1525" spans="4:4" x14ac:dyDescent="0.3">
      <c r="D1525" t="str">
        <f t="shared" si="52"/>
        <v/>
      </c>
    </row>
    <row r="1526" spans="4:4" x14ac:dyDescent="0.3">
      <c r="D1526" t="str">
        <f t="shared" si="52"/>
        <v/>
      </c>
    </row>
    <row r="1527" spans="4:4" x14ac:dyDescent="0.3">
      <c r="D1527" t="str">
        <f t="shared" si="52"/>
        <v/>
      </c>
    </row>
    <row r="1528" spans="4:4" x14ac:dyDescent="0.3">
      <c r="D1528" t="str">
        <f t="shared" si="52"/>
        <v/>
      </c>
    </row>
    <row r="1529" spans="4:4" x14ac:dyDescent="0.3">
      <c r="D1529" t="str">
        <f t="shared" si="52"/>
        <v/>
      </c>
    </row>
    <row r="1530" spans="4:4" x14ac:dyDescent="0.3">
      <c r="D1530" t="str">
        <f t="shared" si="52"/>
        <v/>
      </c>
    </row>
    <row r="1531" spans="4:4" x14ac:dyDescent="0.3">
      <c r="D1531" t="str">
        <f t="shared" si="52"/>
        <v/>
      </c>
    </row>
    <row r="1532" spans="4:4" x14ac:dyDescent="0.3">
      <c r="D1532" t="str">
        <f t="shared" si="52"/>
        <v/>
      </c>
    </row>
    <row r="1533" spans="4:4" x14ac:dyDescent="0.3">
      <c r="D1533" t="str">
        <f t="shared" si="52"/>
        <v/>
      </c>
    </row>
    <row r="1534" spans="4:4" x14ac:dyDescent="0.3">
      <c r="D1534" t="str">
        <f t="shared" ref="D1534:D1597" si="53">IF(LEFT(A1534,2)="SP",MID(A1534,4,4),IF(LEFT(A1534,1)="X",MID(A1534,3,4),""))</f>
        <v/>
      </c>
    </row>
    <row r="1535" spans="4:4" x14ac:dyDescent="0.3">
      <c r="D1535" t="str">
        <f t="shared" si="53"/>
        <v/>
      </c>
    </row>
    <row r="1536" spans="4:4" x14ac:dyDescent="0.3">
      <c r="D1536" t="str">
        <f t="shared" si="53"/>
        <v/>
      </c>
    </row>
    <row r="1537" spans="4:4" x14ac:dyDescent="0.3">
      <c r="D1537" t="str">
        <f t="shared" si="53"/>
        <v/>
      </c>
    </row>
    <row r="1538" spans="4:4" x14ac:dyDescent="0.3">
      <c r="D1538" t="str">
        <f t="shared" si="53"/>
        <v/>
      </c>
    </row>
    <row r="1539" spans="4:4" x14ac:dyDescent="0.3">
      <c r="D1539" t="str">
        <f t="shared" si="53"/>
        <v/>
      </c>
    </row>
    <row r="1540" spans="4:4" x14ac:dyDescent="0.3">
      <c r="D1540" t="str">
        <f t="shared" si="53"/>
        <v/>
      </c>
    </row>
    <row r="1541" spans="4:4" x14ac:dyDescent="0.3">
      <c r="D1541" t="str">
        <f t="shared" si="53"/>
        <v/>
      </c>
    </row>
    <row r="1542" spans="4:4" x14ac:dyDescent="0.3">
      <c r="D1542" t="str">
        <f t="shared" si="53"/>
        <v/>
      </c>
    </row>
    <row r="1543" spans="4:4" x14ac:dyDescent="0.3">
      <c r="D1543" t="str">
        <f t="shared" si="53"/>
        <v/>
      </c>
    </row>
    <row r="1544" spans="4:4" x14ac:dyDescent="0.3">
      <c r="D1544" t="str">
        <f t="shared" si="53"/>
        <v/>
      </c>
    </row>
    <row r="1545" spans="4:4" x14ac:dyDescent="0.3">
      <c r="D1545" t="str">
        <f t="shared" si="53"/>
        <v/>
      </c>
    </row>
    <row r="1546" spans="4:4" x14ac:dyDescent="0.3">
      <c r="D1546" t="str">
        <f t="shared" si="53"/>
        <v/>
      </c>
    </row>
    <row r="1547" spans="4:4" x14ac:dyDescent="0.3">
      <c r="D1547" t="str">
        <f t="shared" si="53"/>
        <v/>
      </c>
    </row>
    <row r="1548" spans="4:4" x14ac:dyDescent="0.3">
      <c r="D1548" t="str">
        <f t="shared" si="53"/>
        <v/>
      </c>
    </row>
    <row r="1549" spans="4:4" x14ac:dyDescent="0.3">
      <c r="D1549" t="str">
        <f t="shared" si="53"/>
        <v/>
      </c>
    </row>
    <row r="1550" spans="4:4" x14ac:dyDescent="0.3">
      <c r="D1550" t="str">
        <f t="shared" si="53"/>
        <v/>
      </c>
    </row>
    <row r="1551" spans="4:4" x14ac:dyDescent="0.3">
      <c r="D1551" t="str">
        <f t="shared" si="53"/>
        <v/>
      </c>
    </row>
    <row r="1552" spans="4:4" x14ac:dyDescent="0.3">
      <c r="D1552" t="str">
        <f t="shared" si="53"/>
        <v/>
      </c>
    </row>
    <row r="1553" spans="4:4" x14ac:dyDescent="0.3">
      <c r="D1553" t="str">
        <f t="shared" si="53"/>
        <v/>
      </c>
    </row>
    <row r="1554" spans="4:4" x14ac:dyDescent="0.3">
      <c r="D1554" t="str">
        <f t="shared" si="53"/>
        <v/>
      </c>
    </row>
    <row r="1555" spans="4:4" x14ac:dyDescent="0.3">
      <c r="D1555" t="str">
        <f t="shared" si="53"/>
        <v/>
      </c>
    </row>
    <row r="1556" spans="4:4" x14ac:dyDescent="0.3">
      <c r="D1556" t="str">
        <f t="shared" si="53"/>
        <v/>
      </c>
    </row>
    <row r="1557" spans="4:4" x14ac:dyDescent="0.3">
      <c r="D1557" t="str">
        <f t="shared" si="53"/>
        <v/>
      </c>
    </row>
    <row r="1558" spans="4:4" x14ac:dyDescent="0.3">
      <c r="D1558" t="str">
        <f t="shared" si="53"/>
        <v/>
      </c>
    </row>
    <row r="1559" spans="4:4" x14ac:dyDescent="0.3">
      <c r="D1559" t="str">
        <f t="shared" si="53"/>
        <v/>
      </c>
    </row>
    <row r="1560" spans="4:4" x14ac:dyDescent="0.3">
      <c r="D1560" t="str">
        <f t="shared" si="53"/>
        <v/>
      </c>
    </row>
    <row r="1561" spans="4:4" x14ac:dyDescent="0.3">
      <c r="D1561" t="str">
        <f t="shared" si="53"/>
        <v/>
      </c>
    </row>
    <row r="1562" spans="4:4" x14ac:dyDescent="0.3">
      <c r="D1562" t="str">
        <f t="shared" si="53"/>
        <v/>
      </c>
    </row>
    <row r="1563" spans="4:4" x14ac:dyDescent="0.3">
      <c r="D1563" t="str">
        <f t="shared" si="53"/>
        <v/>
      </c>
    </row>
    <row r="1564" spans="4:4" x14ac:dyDescent="0.3">
      <c r="D1564" t="str">
        <f t="shared" si="53"/>
        <v/>
      </c>
    </row>
    <row r="1565" spans="4:4" x14ac:dyDescent="0.3">
      <c r="D1565" t="str">
        <f t="shared" si="53"/>
        <v/>
      </c>
    </row>
    <row r="1566" spans="4:4" x14ac:dyDescent="0.3">
      <c r="D1566" t="str">
        <f t="shared" si="53"/>
        <v/>
      </c>
    </row>
    <row r="1567" spans="4:4" x14ac:dyDescent="0.3">
      <c r="D1567" t="str">
        <f t="shared" si="53"/>
        <v/>
      </c>
    </row>
    <row r="1568" spans="4:4" x14ac:dyDescent="0.3">
      <c r="D1568" t="str">
        <f t="shared" si="53"/>
        <v/>
      </c>
    </row>
    <row r="1569" spans="4:4" x14ac:dyDescent="0.3">
      <c r="D1569" t="str">
        <f t="shared" si="53"/>
        <v/>
      </c>
    </row>
    <row r="1570" spans="4:4" x14ac:dyDescent="0.3">
      <c r="D1570" t="str">
        <f t="shared" si="53"/>
        <v/>
      </c>
    </row>
    <row r="1571" spans="4:4" x14ac:dyDescent="0.3">
      <c r="D1571" t="str">
        <f t="shared" si="53"/>
        <v/>
      </c>
    </row>
    <row r="1572" spans="4:4" x14ac:dyDescent="0.3">
      <c r="D1572" t="str">
        <f t="shared" si="53"/>
        <v/>
      </c>
    </row>
    <row r="1573" spans="4:4" x14ac:dyDescent="0.3">
      <c r="D1573" t="str">
        <f t="shared" si="53"/>
        <v/>
      </c>
    </row>
    <row r="1574" spans="4:4" x14ac:dyDescent="0.3">
      <c r="D1574" t="str">
        <f t="shared" si="53"/>
        <v/>
      </c>
    </row>
    <row r="1575" spans="4:4" x14ac:dyDescent="0.3">
      <c r="D1575" t="str">
        <f t="shared" si="53"/>
        <v/>
      </c>
    </row>
    <row r="1576" spans="4:4" x14ac:dyDescent="0.3">
      <c r="D1576" t="str">
        <f t="shared" si="53"/>
        <v/>
      </c>
    </row>
    <row r="1577" spans="4:4" x14ac:dyDescent="0.3">
      <c r="D1577" t="str">
        <f t="shared" si="53"/>
        <v/>
      </c>
    </row>
    <row r="1578" spans="4:4" x14ac:dyDescent="0.3">
      <c r="D1578" t="str">
        <f t="shared" si="53"/>
        <v/>
      </c>
    </row>
    <row r="1579" spans="4:4" x14ac:dyDescent="0.3">
      <c r="D1579" t="str">
        <f t="shared" si="53"/>
        <v/>
      </c>
    </row>
    <row r="1580" spans="4:4" x14ac:dyDescent="0.3">
      <c r="D1580" t="str">
        <f t="shared" si="53"/>
        <v/>
      </c>
    </row>
    <row r="1581" spans="4:4" x14ac:dyDescent="0.3">
      <c r="D1581" t="str">
        <f t="shared" si="53"/>
        <v/>
      </c>
    </row>
    <row r="1582" spans="4:4" x14ac:dyDescent="0.3">
      <c r="D1582" t="str">
        <f t="shared" si="53"/>
        <v/>
      </c>
    </row>
    <row r="1583" spans="4:4" x14ac:dyDescent="0.3">
      <c r="D1583" t="str">
        <f t="shared" si="53"/>
        <v/>
      </c>
    </row>
    <row r="1584" spans="4:4" x14ac:dyDescent="0.3">
      <c r="D1584" t="str">
        <f t="shared" si="53"/>
        <v/>
      </c>
    </row>
    <row r="1585" spans="4:4" x14ac:dyDescent="0.3">
      <c r="D1585" t="str">
        <f t="shared" si="53"/>
        <v/>
      </c>
    </row>
    <row r="1586" spans="4:4" x14ac:dyDescent="0.3">
      <c r="D1586" t="str">
        <f t="shared" si="53"/>
        <v/>
      </c>
    </row>
    <row r="1587" spans="4:4" x14ac:dyDescent="0.3">
      <c r="D1587" t="str">
        <f t="shared" si="53"/>
        <v/>
      </c>
    </row>
    <row r="1588" spans="4:4" x14ac:dyDescent="0.3">
      <c r="D1588" t="str">
        <f t="shared" si="53"/>
        <v/>
      </c>
    </row>
    <row r="1589" spans="4:4" x14ac:dyDescent="0.3">
      <c r="D1589" t="str">
        <f t="shared" si="53"/>
        <v/>
      </c>
    </row>
    <row r="1590" spans="4:4" x14ac:dyDescent="0.3">
      <c r="D1590" t="str">
        <f t="shared" si="53"/>
        <v/>
      </c>
    </row>
    <row r="1591" spans="4:4" x14ac:dyDescent="0.3">
      <c r="D1591" t="str">
        <f t="shared" si="53"/>
        <v/>
      </c>
    </row>
    <row r="1592" spans="4:4" x14ac:dyDescent="0.3">
      <c r="D1592" t="str">
        <f t="shared" si="53"/>
        <v/>
      </c>
    </row>
    <row r="1593" spans="4:4" x14ac:dyDescent="0.3">
      <c r="D1593" t="str">
        <f t="shared" si="53"/>
        <v/>
      </c>
    </row>
    <row r="1594" spans="4:4" x14ac:dyDescent="0.3">
      <c r="D1594" t="str">
        <f t="shared" si="53"/>
        <v/>
      </c>
    </row>
    <row r="1595" spans="4:4" x14ac:dyDescent="0.3">
      <c r="D1595" t="str">
        <f t="shared" si="53"/>
        <v/>
      </c>
    </row>
    <row r="1596" spans="4:4" x14ac:dyDescent="0.3">
      <c r="D1596" t="str">
        <f t="shared" si="53"/>
        <v/>
      </c>
    </row>
    <row r="1597" spans="4:4" x14ac:dyDescent="0.3">
      <c r="D1597" t="str">
        <f t="shared" si="53"/>
        <v/>
      </c>
    </row>
    <row r="1598" spans="4:4" x14ac:dyDescent="0.3">
      <c r="D1598" t="str">
        <f t="shared" ref="D1598:D1661" si="54">IF(LEFT(A1598,2)="SP",MID(A1598,4,4),IF(LEFT(A1598,1)="X",MID(A1598,3,4),""))</f>
        <v/>
      </c>
    </row>
    <row r="1599" spans="4:4" x14ac:dyDescent="0.3">
      <c r="D1599" t="str">
        <f t="shared" si="54"/>
        <v/>
      </c>
    </row>
    <row r="1600" spans="4:4" x14ac:dyDescent="0.3">
      <c r="D1600" t="str">
        <f t="shared" si="54"/>
        <v/>
      </c>
    </row>
    <row r="1601" spans="4:4" x14ac:dyDescent="0.3">
      <c r="D1601" t="str">
        <f t="shared" si="54"/>
        <v/>
      </c>
    </row>
    <row r="1602" spans="4:4" x14ac:dyDescent="0.3">
      <c r="D1602" t="str">
        <f t="shared" si="54"/>
        <v/>
      </c>
    </row>
    <row r="1603" spans="4:4" x14ac:dyDescent="0.3">
      <c r="D1603" t="str">
        <f t="shared" si="54"/>
        <v/>
      </c>
    </row>
    <row r="1604" spans="4:4" x14ac:dyDescent="0.3">
      <c r="D1604" t="str">
        <f t="shared" si="54"/>
        <v/>
      </c>
    </row>
    <row r="1605" spans="4:4" x14ac:dyDescent="0.3">
      <c r="D1605" t="str">
        <f t="shared" si="54"/>
        <v/>
      </c>
    </row>
    <row r="1606" spans="4:4" x14ac:dyDescent="0.3">
      <c r="D1606" t="str">
        <f t="shared" si="54"/>
        <v/>
      </c>
    </row>
    <row r="1607" spans="4:4" x14ac:dyDescent="0.3">
      <c r="D1607" t="str">
        <f t="shared" si="54"/>
        <v/>
      </c>
    </row>
    <row r="1608" spans="4:4" x14ac:dyDescent="0.3">
      <c r="D1608" t="str">
        <f t="shared" si="54"/>
        <v/>
      </c>
    </row>
    <row r="1609" spans="4:4" x14ac:dyDescent="0.3">
      <c r="D1609" t="str">
        <f t="shared" si="54"/>
        <v/>
      </c>
    </row>
    <row r="1610" spans="4:4" x14ac:dyDescent="0.3">
      <c r="D1610" t="str">
        <f t="shared" si="54"/>
        <v/>
      </c>
    </row>
    <row r="1611" spans="4:4" x14ac:dyDescent="0.3">
      <c r="D1611" t="str">
        <f t="shared" si="54"/>
        <v/>
      </c>
    </row>
    <row r="1612" spans="4:4" x14ac:dyDescent="0.3">
      <c r="D1612" t="str">
        <f t="shared" si="54"/>
        <v/>
      </c>
    </row>
    <row r="1613" spans="4:4" x14ac:dyDescent="0.3">
      <c r="D1613" t="str">
        <f t="shared" si="54"/>
        <v/>
      </c>
    </row>
    <row r="1614" spans="4:4" x14ac:dyDescent="0.3">
      <c r="D1614" t="str">
        <f t="shared" si="54"/>
        <v/>
      </c>
    </row>
    <row r="1615" spans="4:4" x14ac:dyDescent="0.3">
      <c r="D1615" t="str">
        <f t="shared" si="54"/>
        <v/>
      </c>
    </row>
    <row r="1616" spans="4:4" x14ac:dyDescent="0.3">
      <c r="D1616" t="str">
        <f t="shared" si="54"/>
        <v/>
      </c>
    </row>
    <row r="1617" spans="4:4" x14ac:dyDescent="0.3">
      <c r="D1617" t="str">
        <f t="shared" si="54"/>
        <v/>
      </c>
    </row>
    <row r="1618" spans="4:4" x14ac:dyDescent="0.3">
      <c r="D1618" t="str">
        <f t="shared" si="54"/>
        <v/>
      </c>
    </row>
    <row r="1619" spans="4:4" x14ac:dyDescent="0.3">
      <c r="D1619" t="str">
        <f t="shared" si="54"/>
        <v/>
      </c>
    </row>
    <row r="1620" spans="4:4" x14ac:dyDescent="0.3">
      <c r="D1620" t="str">
        <f t="shared" si="54"/>
        <v/>
      </c>
    </row>
    <row r="1621" spans="4:4" x14ac:dyDescent="0.3">
      <c r="D1621" t="str">
        <f t="shared" si="54"/>
        <v/>
      </c>
    </row>
    <row r="1622" spans="4:4" x14ac:dyDescent="0.3">
      <c r="D1622" t="str">
        <f t="shared" si="54"/>
        <v/>
      </c>
    </row>
    <row r="1623" spans="4:4" x14ac:dyDescent="0.3">
      <c r="D1623" t="str">
        <f t="shared" si="54"/>
        <v/>
      </c>
    </row>
    <row r="1624" spans="4:4" x14ac:dyDescent="0.3">
      <c r="D1624" t="str">
        <f t="shared" si="54"/>
        <v/>
      </c>
    </row>
    <row r="1625" spans="4:4" x14ac:dyDescent="0.3">
      <c r="D1625" t="str">
        <f t="shared" si="54"/>
        <v/>
      </c>
    </row>
    <row r="1626" spans="4:4" x14ac:dyDescent="0.3">
      <c r="D1626" t="str">
        <f t="shared" si="54"/>
        <v/>
      </c>
    </row>
    <row r="1627" spans="4:4" x14ac:dyDescent="0.3">
      <c r="D1627" t="str">
        <f t="shared" si="54"/>
        <v/>
      </c>
    </row>
    <row r="1628" spans="4:4" x14ac:dyDescent="0.3">
      <c r="D1628" t="str">
        <f t="shared" si="54"/>
        <v/>
      </c>
    </row>
    <row r="1629" spans="4:4" x14ac:dyDescent="0.3">
      <c r="D1629" t="str">
        <f t="shared" si="54"/>
        <v/>
      </c>
    </row>
    <row r="1630" spans="4:4" x14ac:dyDescent="0.3">
      <c r="D1630" t="str">
        <f t="shared" si="54"/>
        <v/>
      </c>
    </row>
    <row r="1631" spans="4:4" x14ac:dyDescent="0.3">
      <c r="D1631" t="str">
        <f t="shared" si="54"/>
        <v/>
      </c>
    </row>
    <row r="1632" spans="4:4" x14ac:dyDescent="0.3">
      <c r="D1632" t="str">
        <f t="shared" si="54"/>
        <v/>
      </c>
    </row>
    <row r="1633" spans="4:4" x14ac:dyDescent="0.3">
      <c r="D1633" t="str">
        <f t="shared" si="54"/>
        <v/>
      </c>
    </row>
    <row r="1634" spans="4:4" x14ac:dyDescent="0.3">
      <c r="D1634" t="str">
        <f t="shared" si="54"/>
        <v/>
      </c>
    </row>
    <row r="1635" spans="4:4" x14ac:dyDescent="0.3">
      <c r="D1635" t="str">
        <f t="shared" si="54"/>
        <v/>
      </c>
    </row>
    <row r="1636" spans="4:4" x14ac:dyDescent="0.3">
      <c r="D1636" t="str">
        <f t="shared" si="54"/>
        <v/>
      </c>
    </row>
    <row r="1637" spans="4:4" x14ac:dyDescent="0.3">
      <c r="D1637" t="str">
        <f t="shared" si="54"/>
        <v/>
      </c>
    </row>
    <row r="1638" spans="4:4" x14ac:dyDescent="0.3">
      <c r="D1638" t="str">
        <f t="shared" si="54"/>
        <v/>
      </c>
    </row>
    <row r="1639" spans="4:4" x14ac:dyDescent="0.3">
      <c r="D1639" t="str">
        <f t="shared" si="54"/>
        <v/>
      </c>
    </row>
    <row r="1640" spans="4:4" x14ac:dyDescent="0.3">
      <c r="D1640" t="str">
        <f t="shared" si="54"/>
        <v/>
      </c>
    </row>
    <row r="1641" spans="4:4" x14ac:dyDescent="0.3">
      <c r="D1641" t="str">
        <f t="shared" si="54"/>
        <v/>
      </c>
    </row>
    <row r="1642" spans="4:4" x14ac:dyDescent="0.3">
      <c r="D1642" t="str">
        <f t="shared" si="54"/>
        <v/>
      </c>
    </row>
    <row r="1643" spans="4:4" x14ac:dyDescent="0.3">
      <c r="D1643" t="str">
        <f t="shared" si="54"/>
        <v/>
      </c>
    </row>
    <row r="1644" spans="4:4" x14ac:dyDescent="0.3">
      <c r="D1644" t="str">
        <f t="shared" si="54"/>
        <v/>
      </c>
    </row>
    <row r="1645" spans="4:4" x14ac:dyDescent="0.3">
      <c r="D1645" t="str">
        <f t="shared" si="54"/>
        <v/>
      </c>
    </row>
    <row r="1646" spans="4:4" x14ac:dyDescent="0.3">
      <c r="D1646" t="str">
        <f t="shared" si="54"/>
        <v/>
      </c>
    </row>
    <row r="1647" spans="4:4" x14ac:dyDescent="0.3">
      <c r="D1647" t="str">
        <f t="shared" si="54"/>
        <v/>
      </c>
    </row>
    <row r="1648" spans="4:4" x14ac:dyDescent="0.3">
      <c r="D1648" t="str">
        <f t="shared" si="54"/>
        <v/>
      </c>
    </row>
    <row r="1649" spans="4:4" x14ac:dyDescent="0.3">
      <c r="D1649" t="str">
        <f t="shared" si="54"/>
        <v/>
      </c>
    </row>
    <row r="1650" spans="4:4" x14ac:dyDescent="0.3">
      <c r="D1650" t="str">
        <f t="shared" si="54"/>
        <v/>
      </c>
    </row>
    <row r="1651" spans="4:4" x14ac:dyDescent="0.3">
      <c r="D1651" t="str">
        <f t="shared" si="54"/>
        <v/>
      </c>
    </row>
    <row r="1652" spans="4:4" x14ac:dyDescent="0.3">
      <c r="D1652" t="str">
        <f t="shared" si="54"/>
        <v/>
      </c>
    </row>
    <row r="1653" spans="4:4" x14ac:dyDescent="0.3">
      <c r="D1653" t="str">
        <f t="shared" si="54"/>
        <v/>
      </c>
    </row>
    <row r="1654" spans="4:4" x14ac:dyDescent="0.3">
      <c r="D1654" t="str">
        <f t="shared" si="54"/>
        <v/>
      </c>
    </row>
    <row r="1655" spans="4:4" x14ac:dyDescent="0.3">
      <c r="D1655" t="str">
        <f t="shared" si="54"/>
        <v/>
      </c>
    </row>
    <row r="1656" spans="4:4" x14ac:dyDescent="0.3">
      <c r="D1656" t="str">
        <f t="shared" si="54"/>
        <v/>
      </c>
    </row>
    <row r="1657" spans="4:4" x14ac:dyDescent="0.3">
      <c r="D1657" t="str">
        <f t="shared" si="54"/>
        <v/>
      </c>
    </row>
    <row r="1658" spans="4:4" x14ac:dyDescent="0.3">
      <c r="D1658" t="str">
        <f t="shared" si="54"/>
        <v/>
      </c>
    </row>
    <row r="1659" spans="4:4" x14ac:dyDescent="0.3">
      <c r="D1659" t="str">
        <f t="shared" si="54"/>
        <v/>
      </c>
    </row>
    <row r="1660" spans="4:4" x14ac:dyDescent="0.3">
      <c r="D1660" t="str">
        <f t="shared" si="54"/>
        <v/>
      </c>
    </row>
    <row r="1661" spans="4:4" x14ac:dyDescent="0.3">
      <c r="D1661" t="str">
        <f t="shared" si="54"/>
        <v/>
      </c>
    </row>
    <row r="1662" spans="4:4" x14ac:dyDescent="0.3">
      <c r="D1662" t="str">
        <f t="shared" ref="D1662:D1725" si="55">IF(LEFT(A1662,2)="SP",MID(A1662,4,4),IF(LEFT(A1662,1)="X",MID(A1662,3,4),""))</f>
        <v/>
      </c>
    </row>
    <row r="1663" spans="4:4" x14ac:dyDescent="0.3">
      <c r="D1663" t="str">
        <f t="shared" si="55"/>
        <v/>
      </c>
    </row>
    <row r="1664" spans="4:4" x14ac:dyDescent="0.3">
      <c r="D1664" t="str">
        <f t="shared" si="55"/>
        <v/>
      </c>
    </row>
    <row r="1665" spans="4:4" x14ac:dyDescent="0.3">
      <c r="D1665" t="str">
        <f t="shared" si="55"/>
        <v/>
      </c>
    </row>
    <row r="1666" spans="4:4" x14ac:dyDescent="0.3">
      <c r="D1666" t="str">
        <f t="shared" si="55"/>
        <v/>
      </c>
    </row>
    <row r="1667" spans="4:4" x14ac:dyDescent="0.3">
      <c r="D1667" t="str">
        <f t="shared" si="55"/>
        <v/>
      </c>
    </row>
    <row r="1668" spans="4:4" x14ac:dyDescent="0.3">
      <c r="D1668" t="str">
        <f t="shared" si="55"/>
        <v/>
      </c>
    </row>
    <row r="1669" spans="4:4" x14ac:dyDescent="0.3">
      <c r="D1669" t="str">
        <f t="shared" si="55"/>
        <v/>
      </c>
    </row>
    <row r="1670" spans="4:4" x14ac:dyDescent="0.3">
      <c r="D1670" t="str">
        <f t="shared" si="55"/>
        <v/>
      </c>
    </row>
    <row r="1671" spans="4:4" x14ac:dyDescent="0.3">
      <c r="D1671" t="str">
        <f t="shared" si="55"/>
        <v/>
      </c>
    </row>
    <row r="1672" spans="4:4" x14ac:dyDescent="0.3">
      <c r="D1672" t="str">
        <f t="shared" si="55"/>
        <v/>
      </c>
    </row>
    <row r="1673" spans="4:4" x14ac:dyDescent="0.3">
      <c r="D1673" t="str">
        <f t="shared" si="55"/>
        <v/>
      </c>
    </row>
    <row r="1674" spans="4:4" x14ac:dyDescent="0.3">
      <c r="D1674" t="str">
        <f t="shared" si="55"/>
        <v/>
      </c>
    </row>
    <row r="1675" spans="4:4" x14ac:dyDescent="0.3">
      <c r="D1675" t="str">
        <f t="shared" si="55"/>
        <v/>
      </c>
    </row>
    <row r="1676" spans="4:4" x14ac:dyDescent="0.3">
      <c r="D1676" t="str">
        <f t="shared" si="55"/>
        <v/>
      </c>
    </row>
    <row r="1677" spans="4:4" x14ac:dyDescent="0.3">
      <c r="D1677" t="str">
        <f t="shared" si="55"/>
        <v/>
      </c>
    </row>
    <row r="1678" spans="4:4" x14ac:dyDescent="0.3">
      <c r="D1678" t="str">
        <f t="shared" si="55"/>
        <v/>
      </c>
    </row>
    <row r="1679" spans="4:4" x14ac:dyDescent="0.3">
      <c r="D1679" t="str">
        <f t="shared" si="55"/>
        <v/>
      </c>
    </row>
    <row r="1680" spans="4:4" x14ac:dyDescent="0.3">
      <c r="D1680" t="str">
        <f t="shared" si="55"/>
        <v/>
      </c>
    </row>
    <row r="1681" spans="4:4" x14ac:dyDescent="0.3">
      <c r="D1681" t="str">
        <f t="shared" si="55"/>
        <v/>
      </c>
    </row>
    <row r="1682" spans="4:4" x14ac:dyDescent="0.3">
      <c r="D1682" t="str">
        <f t="shared" si="55"/>
        <v/>
      </c>
    </row>
    <row r="1683" spans="4:4" x14ac:dyDescent="0.3">
      <c r="D1683" t="str">
        <f t="shared" si="55"/>
        <v/>
      </c>
    </row>
    <row r="1684" spans="4:4" x14ac:dyDescent="0.3">
      <c r="D1684" t="str">
        <f t="shared" si="55"/>
        <v/>
      </c>
    </row>
    <row r="1685" spans="4:4" x14ac:dyDescent="0.3">
      <c r="D1685" t="str">
        <f t="shared" si="55"/>
        <v/>
      </c>
    </row>
    <row r="1686" spans="4:4" x14ac:dyDescent="0.3">
      <c r="D1686" t="str">
        <f t="shared" si="55"/>
        <v/>
      </c>
    </row>
    <row r="1687" spans="4:4" x14ac:dyDescent="0.3">
      <c r="D1687" t="str">
        <f t="shared" si="55"/>
        <v/>
      </c>
    </row>
    <row r="1688" spans="4:4" x14ac:dyDescent="0.3">
      <c r="D1688" t="str">
        <f t="shared" si="55"/>
        <v/>
      </c>
    </row>
    <row r="1689" spans="4:4" x14ac:dyDescent="0.3">
      <c r="D1689" t="str">
        <f t="shared" si="55"/>
        <v/>
      </c>
    </row>
    <row r="1690" spans="4:4" x14ac:dyDescent="0.3">
      <c r="D1690" t="str">
        <f t="shared" si="55"/>
        <v/>
      </c>
    </row>
    <row r="1691" spans="4:4" x14ac:dyDescent="0.3">
      <c r="D1691" t="str">
        <f t="shared" si="55"/>
        <v/>
      </c>
    </row>
    <row r="1692" spans="4:4" x14ac:dyDescent="0.3">
      <c r="D1692" t="str">
        <f t="shared" si="55"/>
        <v/>
      </c>
    </row>
    <row r="1693" spans="4:4" x14ac:dyDescent="0.3">
      <c r="D1693" t="str">
        <f t="shared" si="55"/>
        <v/>
      </c>
    </row>
    <row r="1694" spans="4:4" x14ac:dyDescent="0.3">
      <c r="D1694" t="str">
        <f t="shared" si="55"/>
        <v/>
      </c>
    </row>
    <row r="1695" spans="4:4" x14ac:dyDescent="0.3">
      <c r="D1695" t="str">
        <f t="shared" si="55"/>
        <v/>
      </c>
    </row>
    <row r="1696" spans="4:4" x14ac:dyDescent="0.3">
      <c r="D1696" t="str">
        <f t="shared" si="55"/>
        <v/>
      </c>
    </row>
    <row r="1697" spans="4:4" x14ac:dyDescent="0.3">
      <c r="D1697" t="str">
        <f t="shared" si="55"/>
        <v/>
      </c>
    </row>
    <row r="1698" spans="4:4" x14ac:dyDescent="0.3">
      <c r="D1698" t="str">
        <f t="shared" si="55"/>
        <v/>
      </c>
    </row>
    <row r="1699" spans="4:4" x14ac:dyDescent="0.3">
      <c r="D1699" t="str">
        <f t="shared" si="55"/>
        <v/>
      </c>
    </row>
    <row r="1700" spans="4:4" x14ac:dyDescent="0.3">
      <c r="D1700" t="str">
        <f t="shared" si="55"/>
        <v/>
      </c>
    </row>
    <row r="1701" spans="4:4" x14ac:dyDescent="0.3">
      <c r="D1701" t="str">
        <f t="shared" si="55"/>
        <v/>
      </c>
    </row>
    <row r="1702" spans="4:4" x14ac:dyDescent="0.3">
      <c r="D1702" t="str">
        <f t="shared" si="55"/>
        <v/>
      </c>
    </row>
    <row r="1703" spans="4:4" x14ac:dyDescent="0.3">
      <c r="D1703" t="str">
        <f t="shared" si="55"/>
        <v/>
      </c>
    </row>
    <row r="1704" spans="4:4" x14ac:dyDescent="0.3">
      <c r="D1704" t="str">
        <f t="shared" si="55"/>
        <v/>
      </c>
    </row>
    <row r="1705" spans="4:4" x14ac:dyDescent="0.3">
      <c r="D1705" t="str">
        <f t="shared" si="55"/>
        <v/>
      </c>
    </row>
    <row r="1706" spans="4:4" x14ac:dyDescent="0.3">
      <c r="D1706" t="str">
        <f t="shared" si="55"/>
        <v/>
      </c>
    </row>
    <row r="1707" spans="4:4" x14ac:dyDescent="0.3">
      <c r="D1707" t="str">
        <f t="shared" si="55"/>
        <v/>
      </c>
    </row>
    <row r="1708" spans="4:4" x14ac:dyDescent="0.3">
      <c r="D1708" t="str">
        <f t="shared" si="55"/>
        <v/>
      </c>
    </row>
    <row r="1709" spans="4:4" x14ac:dyDescent="0.3">
      <c r="D1709" t="str">
        <f t="shared" si="55"/>
        <v/>
      </c>
    </row>
    <row r="1710" spans="4:4" x14ac:dyDescent="0.3">
      <c r="D1710" t="str">
        <f t="shared" si="55"/>
        <v/>
      </c>
    </row>
    <row r="1711" spans="4:4" x14ac:dyDescent="0.3">
      <c r="D1711" t="str">
        <f t="shared" si="55"/>
        <v/>
      </c>
    </row>
    <row r="1712" spans="4:4" x14ac:dyDescent="0.3">
      <c r="D1712" t="str">
        <f t="shared" si="55"/>
        <v/>
      </c>
    </row>
    <row r="1713" spans="4:4" x14ac:dyDescent="0.3">
      <c r="D1713" t="str">
        <f t="shared" si="55"/>
        <v/>
      </c>
    </row>
    <row r="1714" spans="4:4" x14ac:dyDescent="0.3">
      <c r="D1714" t="str">
        <f t="shared" si="55"/>
        <v/>
      </c>
    </row>
    <row r="1715" spans="4:4" x14ac:dyDescent="0.3">
      <c r="D1715" t="str">
        <f t="shared" si="55"/>
        <v/>
      </c>
    </row>
    <row r="1716" spans="4:4" x14ac:dyDescent="0.3">
      <c r="D1716" t="str">
        <f t="shared" si="55"/>
        <v/>
      </c>
    </row>
    <row r="1717" spans="4:4" x14ac:dyDescent="0.3">
      <c r="D1717" t="str">
        <f t="shared" si="55"/>
        <v/>
      </c>
    </row>
    <row r="1718" spans="4:4" x14ac:dyDescent="0.3">
      <c r="D1718" t="str">
        <f t="shared" si="55"/>
        <v/>
      </c>
    </row>
    <row r="1719" spans="4:4" x14ac:dyDescent="0.3">
      <c r="D1719" t="str">
        <f t="shared" si="55"/>
        <v/>
      </c>
    </row>
    <row r="1720" spans="4:4" x14ac:dyDescent="0.3">
      <c r="D1720" t="str">
        <f t="shared" si="55"/>
        <v/>
      </c>
    </row>
    <row r="1721" spans="4:4" x14ac:dyDescent="0.3">
      <c r="D1721" t="str">
        <f t="shared" si="55"/>
        <v/>
      </c>
    </row>
    <row r="1722" spans="4:4" x14ac:dyDescent="0.3">
      <c r="D1722" t="str">
        <f t="shared" si="55"/>
        <v/>
      </c>
    </row>
    <row r="1723" spans="4:4" x14ac:dyDescent="0.3">
      <c r="D1723" t="str">
        <f t="shared" si="55"/>
        <v/>
      </c>
    </row>
    <row r="1724" spans="4:4" x14ac:dyDescent="0.3">
      <c r="D1724" t="str">
        <f t="shared" si="55"/>
        <v/>
      </c>
    </row>
    <row r="1725" spans="4:4" x14ac:dyDescent="0.3">
      <c r="D1725" t="str">
        <f t="shared" si="55"/>
        <v/>
      </c>
    </row>
    <row r="1726" spans="4:4" x14ac:dyDescent="0.3">
      <c r="D1726" t="str">
        <f t="shared" ref="D1726:D1789" si="56">IF(LEFT(A1726,2)="SP",MID(A1726,4,4),IF(LEFT(A1726,1)="X",MID(A1726,3,4),""))</f>
        <v/>
      </c>
    </row>
    <row r="1727" spans="4:4" x14ac:dyDescent="0.3">
      <c r="D1727" t="str">
        <f t="shared" si="56"/>
        <v/>
      </c>
    </row>
    <row r="1728" spans="4:4" x14ac:dyDescent="0.3">
      <c r="D1728" t="str">
        <f t="shared" si="56"/>
        <v/>
      </c>
    </row>
    <row r="1729" spans="4:4" x14ac:dyDescent="0.3">
      <c r="D1729" t="str">
        <f t="shared" si="56"/>
        <v/>
      </c>
    </row>
    <row r="1730" spans="4:4" x14ac:dyDescent="0.3">
      <c r="D1730" t="str">
        <f t="shared" si="56"/>
        <v/>
      </c>
    </row>
    <row r="1731" spans="4:4" x14ac:dyDescent="0.3">
      <c r="D1731" t="str">
        <f t="shared" si="56"/>
        <v/>
      </c>
    </row>
    <row r="1732" spans="4:4" x14ac:dyDescent="0.3">
      <c r="D1732" t="str">
        <f t="shared" si="56"/>
        <v/>
      </c>
    </row>
    <row r="1733" spans="4:4" x14ac:dyDescent="0.3">
      <c r="D1733" t="str">
        <f t="shared" si="56"/>
        <v/>
      </c>
    </row>
    <row r="1734" spans="4:4" x14ac:dyDescent="0.3">
      <c r="D1734" t="str">
        <f t="shared" si="56"/>
        <v/>
      </c>
    </row>
    <row r="1735" spans="4:4" x14ac:dyDescent="0.3">
      <c r="D1735" t="str">
        <f t="shared" si="56"/>
        <v/>
      </c>
    </row>
    <row r="1736" spans="4:4" x14ac:dyDescent="0.3">
      <c r="D1736" t="str">
        <f t="shared" si="56"/>
        <v/>
      </c>
    </row>
    <row r="1737" spans="4:4" x14ac:dyDescent="0.3">
      <c r="D1737" t="str">
        <f t="shared" si="56"/>
        <v/>
      </c>
    </row>
    <row r="1738" spans="4:4" x14ac:dyDescent="0.3">
      <c r="D1738" t="str">
        <f t="shared" si="56"/>
        <v/>
      </c>
    </row>
    <row r="1739" spans="4:4" x14ac:dyDescent="0.3">
      <c r="D1739" t="str">
        <f t="shared" si="56"/>
        <v/>
      </c>
    </row>
    <row r="1740" spans="4:4" x14ac:dyDescent="0.3">
      <c r="D1740" t="str">
        <f t="shared" si="56"/>
        <v/>
      </c>
    </row>
    <row r="1741" spans="4:4" x14ac:dyDescent="0.3">
      <c r="D1741" t="str">
        <f t="shared" si="56"/>
        <v/>
      </c>
    </row>
    <row r="1742" spans="4:4" x14ac:dyDescent="0.3">
      <c r="D1742" t="str">
        <f t="shared" si="56"/>
        <v/>
      </c>
    </row>
    <row r="1743" spans="4:4" x14ac:dyDescent="0.3">
      <c r="D1743" t="str">
        <f t="shared" si="56"/>
        <v/>
      </c>
    </row>
    <row r="1744" spans="4:4" x14ac:dyDescent="0.3">
      <c r="D1744" t="str">
        <f t="shared" si="56"/>
        <v/>
      </c>
    </row>
    <row r="1745" spans="4:4" x14ac:dyDescent="0.3">
      <c r="D1745" t="str">
        <f t="shared" si="56"/>
        <v/>
      </c>
    </row>
    <row r="1746" spans="4:4" x14ac:dyDescent="0.3">
      <c r="D1746" t="str">
        <f t="shared" si="56"/>
        <v/>
      </c>
    </row>
    <row r="1747" spans="4:4" x14ac:dyDescent="0.3">
      <c r="D1747" t="str">
        <f t="shared" si="56"/>
        <v/>
      </c>
    </row>
    <row r="1748" spans="4:4" x14ac:dyDescent="0.3">
      <c r="D1748" t="str">
        <f t="shared" si="56"/>
        <v/>
      </c>
    </row>
    <row r="1749" spans="4:4" x14ac:dyDescent="0.3">
      <c r="D1749" t="str">
        <f t="shared" si="56"/>
        <v/>
      </c>
    </row>
    <row r="1750" spans="4:4" x14ac:dyDescent="0.3">
      <c r="D1750" t="str">
        <f t="shared" si="56"/>
        <v/>
      </c>
    </row>
    <row r="1751" spans="4:4" x14ac:dyDescent="0.3">
      <c r="D1751" t="str">
        <f t="shared" si="56"/>
        <v/>
      </c>
    </row>
    <row r="1752" spans="4:4" x14ac:dyDescent="0.3">
      <c r="D1752" t="str">
        <f t="shared" si="56"/>
        <v/>
      </c>
    </row>
    <row r="1753" spans="4:4" x14ac:dyDescent="0.3">
      <c r="D1753" t="str">
        <f t="shared" si="56"/>
        <v/>
      </c>
    </row>
    <row r="1754" spans="4:4" x14ac:dyDescent="0.3">
      <c r="D1754" t="str">
        <f t="shared" si="56"/>
        <v/>
      </c>
    </row>
    <row r="1755" spans="4:4" x14ac:dyDescent="0.3">
      <c r="D1755" t="str">
        <f t="shared" si="56"/>
        <v/>
      </c>
    </row>
    <row r="1756" spans="4:4" x14ac:dyDescent="0.3">
      <c r="D1756" t="str">
        <f t="shared" si="56"/>
        <v/>
      </c>
    </row>
    <row r="1757" spans="4:4" x14ac:dyDescent="0.3">
      <c r="D1757" t="str">
        <f t="shared" si="56"/>
        <v/>
      </c>
    </row>
    <row r="1758" spans="4:4" x14ac:dyDescent="0.3">
      <c r="D1758" t="str">
        <f t="shared" si="56"/>
        <v/>
      </c>
    </row>
    <row r="1759" spans="4:4" x14ac:dyDescent="0.3">
      <c r="D1759" t="str">
        <f t="shared" si="56"/>
        <v/>
      </c>
    </row>
    <row r="1760" spans="4:4" x14ac:dyDescent="0.3">
      <c r="D1760" t="str">
        <f t="shared" si="56"/>
        <v/>
      </c>
    </row>
    <row r="1761" spans="4:4" x14ac:dyDescent="0.3">
      <c r="D1761" t="str">
        <f t="shared" si="56"/>
        <v/>
      </c>
    </row>
    <row r="1762" spans="4:4" x14ac:dyDescent="0.3">
      <c r="D1762" t="str">
        <f t="shared" si="56"/>
        <v/>
      </c>
    </row>
    <row r="1763" spans="4:4" x14ac:dyDescent="0.3">
      <c r="D1763" t="str">
        <f t="shared" si="56"/>
        <v/>
      </c>
    </row>
    <row r="1764" spans="4:4" x14ac:dyDescent="0.3">
      <c r="D1764" t="str">
        <f t="shared" si="56"/>
        <v/>
      </c>
    </row>
    <row r="1765" spans="4:4" x14ac:dyDescent="0.3">
      <c r="D1765" t="str">
        <f t="shared" si="56"/>
        <v/>
      </c>
    </row>
    <row r="1766" spans="4:4" x14ac:dyDescent="0.3">
      <c r="D1766" t="str">
        <f t="shared" si="56"/>
        <v/>
      </c>
    </row>
    <row r="1767" spans="4:4" x14ac:dyDescent="0.3">
      <c r="D1767" t="str">
        <f t="shared" si="56"/>
        <v/>
      </c>
    </row>
    <row r="1768" spans="4:4" x14ac:dyDescent="0.3">
      <c r="D1768" t="str">
        <f t="shared" si="56"/>
        <v/>
      </c>
    </row>
    <row r="1769" spans="4:4" x14ac:dyDescent="0.3">
      <c r="D1769" t="str">
        <f t="shared" si="56"/>
        <v/>
      </c>
    </row>
    <row r="1770" spans="4:4" x14ac:dyDescent="0.3">
      <c r="D1770" t="str">
        <f t="shared" si="56"/>
        <v/>
      </c>
    </row>
    <row r="1771" spans="4:4" x14ac:dyDescent="0.3">
      <c r="D1771" t="str">
        <f t="shared" si="56"/>
        <v/>
      </c>
    </row>
    <row r="1772" spans="4:4" x14ac:dyDescent="0.3">
      <c r="D1772" t="str">
        <f t="shared" si="56"/>
        <v/>
      </c>
    </row>
    <row r="1773" spans="4:4" x14ac:dyDescent="0.3">
      <c r="D1773" t="str">
        <f t="shared" si="56"/>
        <v/>
      </c>
    </row>
    <row r="1774" spans="4:4" x14ac:dyDescent="0.3">
      <c r="D1774" t="str">
        <f t="shared" si="56"/>
        <v/>
      </c>
    </row>
    <row r="1775" spans="4:4" x14ac:dyDescent="0.3">
      <c r="D1775" t="str">
        <f t="shared" si="56"/>
        <v/>
      </c>
    </row>
    <row r="1776" spans="4:4" x14ac:dyDescent="0.3">
      <c r="D1776" t="str">
        <f t="shared" si="56"/>
        <v/>
      </c>
    </row>
    <row r="1777" spans="4:4" x14ac:dyDescent="0.3">
      <c r="D1777" t="str">
        <f t="shared" si="56"/>
        <v/>
      </c>
    </row>
    <row r="1778" spans="4:4" x14ac:dyDescent="0.3">
      <c r="D1778" t="str">
        <f t="shared" si="56"/>
        <v/>
      </c>
    </row>
    <row r="1779" spans="4:4" x14ac:dyDescent="0.3">
      <c r="D1779" t="str">
        <f t="shared" si="56"/>
        <v/>
      </c>
    </row>
    <row r="1780" spans="4:4" x14ac:dyDescent="0.3">
      <c r="D1780" t="str">
        <f t="shared" si="56"/>
        <v/>
      </c>
    </row>
    <row r="1781" spans="4:4" x14ac:dyDescent="0.3">
      <c r="D1781" t="str">
        <f t="shared" si="56"/>
        <v/>
      </c>
    </row>
    <row r="1782" spans="4:4" x14ac:dyDescent="0.3">
      <c r="D1782" t="str">
        <f t="shared" si="56"/>
        <v/>
      </c>
    </row>
    <row r="1783" spans="4:4" x14ac:dyDescent="0.3">
      <c r="D1783" t="str">
        <f t="shared" si="56"/>
        <v/>
      </c>
    </row>
    <row r="1784" spans="4:4" x14ac:dyDescent="0.3">
      <c r="D1784" t="str">
        <f t="shared" si="56"/>
        <v/>
      </c>
    </row>
    <row r="1785" spans="4:4" x14ac:dyDescent="0.3">
      <c r="D1785" t="str">
        <f t="shared" si="56"/>
        <v/>
      </c>
    </row>
    <row r="1786" spans="4:4" x14ac:dyDescent="0.3">
      <c r="D1786" t="str">
        <f t="shared" si="56"/>
        <v/>
      </c>
    </row>
    <row r="1787" spans="4:4" x14ac:dyDescent="0.3">
      <c r="D1787" t="str">
        <f t="shared" si="56"/>
        <v/>
      </c>
    </row>
    <row r="1788" spans="4:4" x14ac:dyDescent="0.3">
      <c r="D1788" t="str">
        <f t="shared" si="56"/>
        <v/>
      </c>
    </row>
    <row r="1789" spans="4:4" x14ac:dyDescent="0.3">
      <c r="D1789" t="str">
        <f t="shared" si="56"/>
        <v/>
      </c>
    </row>
    <row r="1790" spans="4:4" x14ac:dyDescent="0.3">
      <c r="D1790" t="str">
        <f t="shared" ref="D1790:D1853" si="57">IF(LEFT(A1790,2)="SP",MID(A1790,4,4),IF(LEFT(A1790,1)="X",MID(A1790,3,4),""))</f>
        <v/>
      </c>
    </row>
    <row r="1791" spans="4:4" x14ac:dyDescent="0.3">
      <c r="D1791" t="str">
        <f t="shared" si="57"/>
        <v/>
      </c>
    </row>
    <row r="1792" spans="4:4" x14ac:dyDescent="0.3">
      <c r="D1792" t="str">
        <f t="shared" si="57"/>
        <v/>
      </c>
    </row>
    <row r="1793" spans="4:4" x14ac:dyDescent="0.3">
      <c r="D1793" t="str">
        <f t="shared" si="57"/>
        <v/>
      </c>
    </row>
    <row r="1794" spans="4:4" x14ac:dyDescent="0.3">
      <c r="D1794" t="str">
        <f t="shared" si="57"/>
        <v/>
      </c>
    </row>
    <row r="1795" spans="4:4" x14ac:dyDescent="0.3">
      <c r="D1795" t="str">
        <f t="shared" si="57"/>
        <v/>
      </c>
    </row>
    <row r="1796" spans="4:4" x14ac:dyDescent="0.3">
      <c r="D1796" t="str">
        <f t="shared" si="57"/>
        <v/>
      </c>
    </row>
    <row r="1797" spans="4:4" x14ac:dyDescent="0.3">
      <c r="D1797" t="str">
        <f t="shared" si="57"/>
        <v/>
      </c>
    </row>
    <row r="1798" spans="4:4" x14ac:dyDescent="0.3">
      <c r="D1798" t="str">
        <f t="shared" si="57"/>
        <v/>
      </c>
    </row>
    <row r="1799" spans="4:4" x14ac:dyDescent="0.3">
      <c r="D1799" t="str">
        <f t="shared" si="57"/>
        <v/>
      </c>
    </row>
    <row r="1800" spans="4:4" x14ac:dyDescent="0.3">
      <c r="D1800" t="str">
        <f t="shared" si="57"/>
        <v/>
      </c>
    </row>
    <row r="1801" spans="4:4" x14ac:dyDescent="0.3">
      <c r="D1801" t="str">
        <f t="shared" si="57"/>
        <v/>
      </c>
    </row>
    <row r="1802" spans="4:4" x14ac:dyDescent="0.3">
      <c r="D1802" t="str">
        <f t="shared" si="57"/>
        <v/>
      </c>
    </row>
    <row r="1803" spans="4:4" x14ac:dyDescent="0.3">
      <c r="D1803" t="str">
        <f t="shared" si="57"/>
        <v/>
      </c>
    </row>
    <row r="1804" spans="4:4" x14ac:dyDescent="0.3">
      <c r="D1804" t="str">
        <f t="shared" si="57"/>
        <v/>
      </c>
    </row>
    <row r="1805" spans="4:4" x14ac:dyDescent="0.3">
      <c r="D1805" t="str">
        <f t="shared" si="57"/>
        <v/>
      </c>
    </row>
    <row r="1806" spans="4:4" x14ac:dyDescent="0.3">
      <c r="D1806" t="str">
        <f t="shared" si="57"/>
        <v/>
      </c>
    </row>
    <row r="1807" spans="4:4" x14ac:dyDescent="0.3">
      <c r="D1807" t="str">
        <f t="shared" si="57"/>
        <v/>
      </c>
    </row>
    <row r="1808" spans="4:4" x14ac:dyDescent="0.3">
      <c r="D1808" t="str">
        <f t="shared" si="57"/>
        <v/>
      </c>
    </row>
    <row r="1809" spans="4:4" x14ac:dyDescent="0.3">
      <c r="D1809" t="str">
        <f t="shared" si="57"/>
        <v/>
      </c>
    </row>
    <row r="1810" spans="4:4" x14ac:dyDescent="0.3">
      <c r="D1810" t="str">
        <f t="shared" si="57"/>
        <v/>
      </c>
    </row>
    <row r="1811" spans="4:4" x14ac:dyDescent="0.3">
      <c r="D1811" t="str">
        <f t="shared" si="57"/>
        <v/>
      </c>
    </row>
    <row r="1812" spans="4:4" x14ac:dyDescent="0.3">
      <c r="D1812" t="str">
        <f t="shared" si="57"/>
        <v/>
      </c>
    </row>
    <row r="1813" spans="4:4" x14ac:dyDescent="0.3">
      <c r="D1813" t="str">
        <f t="shared" si="57"/>
        <v/>
      </c>
    </row>
    <row r="1814" spans="4:4" x14ac:dyDescent="0.3">
      <c r="D1814" t="str">
        <f t="shared" si="57"/>
        <v/>
      </c>
    </row>
    <row r="1815" spans="4:4" x14ac:dyDescent="0.3">
      <c r="D1815" t="str">
        <f t="shared" si="57"/>
        <v/>
      </c>
    </row>
    <row r="1816" spans="4:4" x14ac:dyDescent="0.3">
      <c r="D1816" t="str">
        <f t="shared" si="57"/>
        <v/>
      </c>
    </row>
    <row r="1817" spans="4:4" x14ac:dyDescent="0.3">
      <c r="D1817" t="str">
        <f t="shared" si="57"/>
        <v/>
      </c>
    </row>
    <row r="1818" spans="4:4" x14ac:dyDescent="0.3">
      <c r="D1818" t="str">
        <f t="shared" si="57"/>
        <v/>
      </c>
    </row>
    <row r="1819" spans="4:4" x14ac:dyDescent="0.3">
      <c r="D1819" t="str">
        <f t="shared" si="57"/>
        <v/>
      </c>
    </row>
    <row r="1820" spans="4:4" x14ac:dyDescent="0.3">
      <c r="D1820" t="str">
        <f t="shared" si="57"/>
        <v/>
      </c>
    </row>
    <row r="1821" spans="4:4" x14ac:dyDescent="0.3">
      <c r="D1821" t="str">
        <f t="shared" si="57"/>
        <v/>
      </c>
    </row>
    <row r="1822" spans="4:4" x14ac:dyDescent="0.3">
      <c r="D1822" t="str">
        <f t="shared" si="57"/>
        <v/>
      </c>
    </row>
    <row r="1823" spans="4:4" x14ac:dyDescent="0.3">
      <c r="D1823" t="str">
        <f t="shared" si="57"/>
        <v/>
      </c>
    </row>
    <row r="1824" spans="4:4" x14ac:dyDescent="0.3">
      <c r="D1824" t="str">
        <f t="shared" si="57"/>
        <v/>
      </c>
    </row>
    <row r="1825" spans="4:4" x14ac:dyDescent="0.3">
      <c r="D1825" t="str">
        <f t="shared" si="57"/>
        <v/>
      </c>
    </row>
    <row r="1826" spans="4:4" x14ac:dyDescent="0.3">
      <c r="D1826" t="str">
        <f t="shared" si="57"/>
        <v/>
      </c>
    </row>
    <row r="1827" spans="4:4" x14ac:dyDescent="0.3">
      <c r="D1827" t="str">
        <f t="shared" si="57"/>
        <v/>
      </c>
    </row>
    <row r="1828" spans="4:4" x14ac:dyDescent="0.3">
      <c r="D1828" t="str">
        <f t="shared" si="57"/>
        <v/>
      </c>
    </row>
    <row r="1829" spans="4:4" x14ac:dyDescent="0.3">
      <c r="D1829" t="str">
        <f t="shared" si="57"/>
        <v/>
      </c>
    </row>
    <row r="1830" spans="4:4" x14ac:dyDescent="0.3">
      <c r="D1830" t="str">
        <f t="shared" si="57"/>
        <v/>
      </c>
    </row>
    <row r="1831" spans="4:4" x14ac:dyDescent="0.3">
      <c r="D1831" t="str">
        <f t="shared" si="57"/>
        <v/>
      </c>
    </row>
    <row r="1832" spans="4:4" x14ac:dyDescent="0.3">
      <c r="D1832" t="str">
        <f t="shared" si="57"/>
        <v/>
      </c>
    </row>
    <row r="1833" spans="4:4" x14ac:dyDescent="0.3">
      <c r="D1833" t="str">
        <f t="shared" si="57"/>
        <v/>
      </c>
    </row>
    <row r="1834" spans="4:4" x14ac:dyDescent="0.3">
      <c r="D1834" t="str">
        <f t="shared" si="57"/>
        <v/>
      </c>
    </row>
    <row r="1835" spans="4:4" x14ac:dyDescent="0.3">
      <c r="D1835" t="str">
        <f t="shared" si="57"/>
        <v/>
      </c>
    </row>
    <row r="1836" spans="4:4" x14ac:dyDescent="0.3">
      <c r="D1836" t="str">
        <f t="shared" si="57"/>
        <v/>
      </c>
    </row>
    <row r="1837" spans="4:4" x14ac:dyDescent="0.3">
      <c r="D1837" t="str">
        <f t="shared" si="57"/>
        <v/>
      </c>
    </row>
    <row r="1838" spans="4:4" x14ac:dyDescent="0.3">
      <c r="D1838" t="str">
        <f t="shared" si="57"/>
        <v/>
      </c>
    </row>
    <row r="1839" spans="4:4" x14ac:dyDescent="0.3">
      <c r="D1839" t="str">
        <f t="shared" si="57"/>
        <v/>
      </c>
    </row>
    <row r="1840" spans="4:4" x14ac:dyDescent="0.3">
      <c r="D1840" t="str">
        <f t="shared" si="57"/>
        <v/>
      </c>
    </row>
    <row r="1841" spans="4:4" x14ac:dyDescent="0.3">
      <c r="D1841" t="str">
        <f t="shared" si="57"/>
        <v/>
      </c>
    </row>
    <row r="1842" spans="4:4" x14ac:dyDescent="0.3">
      <c r="D1842" t="str">
        <f t="shared" si="57"/>
        <v/>
      </c>
    </row>
    <row r="1843" spans="4:4" x14ac:dyDescent="0.3">
      <c r="D1843" t="str">
        <f t="shared" si="57"/>
        <v/>
      </c>
    </row>
    <row r="1844" spans="4:4" x14ac:dyDescent="0.3">
      <c r="D1844" t="str">
        <f t="shared" si="57"/>
        <v/>
      </c>
    </row>
    <row r="1845" spans="4:4" x14ac:dyDescent="0.3">
      <c r="D1845" t="str">
        <f t="shared" si="57"/>
        <v/>
      </c>
    </row>
    <row r="1846" spans="4:4" x14ac:dyDescent="0.3">
      <c r="D1846" t="str">
        <f t="shared" si="57"/>
        <v/>
      </c>
    </row>
    <row r="1847" spans="4:4" x14ac:dyDescent="0.3">
      <c r="D1847" t="str">
        <f t="shared" si="57"/>
        <v/>
      </c>
    </row>
    <row r="1848" spans="4:4" x14ac:dyDescent="0.3">
      <c r="D1848" t="str">
        <f t="shared" si="57"/>
        <v/>
      </c>
    </row>
    <row r="1849" spans="4:4" x14ac:dyDescent="0.3">
      <c r="D1849" t="str">
        <f t="shared" si="57"/>
        <v/>
      </c>
    </row>
    <row r="1850" spans="4:4" x14ac:dyDescent="0.3">
      <c r="D1850" t="str">
        <f t="shared" si="57"/>
        <v/>
      </c>
    </row>
    <row r="1851" spans="4:4" x14ac:dyDescent="0.3">
      <c r="D1851" t="str">
        <f t="shared" si="57"/>
        <v/>
      </c>
    </row>
    <row r="1852" spans="4:4" x14ac:dyDescent="0.3">
      <c r="D1852" t="str">
        <f t="shared" si="57"/>
        <v/>
      </c>
    </row>
    <row r="1853" spans="4:4" x14ac:dyDescent="0.3">
      <c r="D1853" t="str">
        <f t="shared" si="57"/>
        <v/>
      </c>
    </row>
    <row r="1854" spans="4:4" x14ac:dyDescent="0.3">
      <c r="D1854" t="str">
        <f t="shared" ref="D1854:D1917" si="58">IF(LEFT(A1854,2)="SP",MID(A1854,4,4),IF(LEFT(A1854,1)="X",MID(A1854,3,4),""))</f>
        <v/>
      </c>
    </row>
    <row r="1855" spans="4:4" x14ac:dyDescent="0.3">
      <c r="D1855" t="str">
        <f t="shared" si="58"/>
        <v/>
      </c>
    </row>
    <row r="1856" spans="4:4" x14ac:dyDescent="0.3">
      <c r="D1856" t="str">
        <f t="shared" si="58"/>
        <v/>
      </c>
    </row>
    <row r="1857" spans="4:4" x14ac:dyDescent="0.3">
      <c r="D1857" t="str">
        <f t="shared" si="58"/>
        <v/>
      </c>
    </row>
    <row r="1858" spans="4:4" x14ac:dyDescent="0.3">
      <c r="D1858" t="str">
        <f t="shared" si="58"/>
        <v/>
      </c>
    </row>
    <row r="1859" spans="4:4" x14ac:dyDescent="0.3">
      <c r="D1859" t="str">
        <f t="shared" si="58"/>
        <v/>
      </c>
    </row>
    <row r="1860" spans="4:4" x14ac:dyDescent="0.3">
      <c r="D1860" t="str">
        <f t="shared" si="58"/>
        <v/>
      </c>
    </row>
    <row r="1861" spans="4:4" x14ac:dyDescent="0.3">
      <c r="D1861" t="str">
        <f t="shared" si="58"/>
        <v/>
      </c>
    </row>
    <row r="1862" spans="4:4" x14ac:dyDescent="0.3">
      <c r="D1862" t="str">
        <f t="shared" si="58"/>
        <v/>
      </c>
    </row>
    <row r="1863" spans="4:4" x14ac:dyDescent="0.3">
      <c r="D1863" t="str">
        <f t="shared" si="58"/>
        <v/>
      </c>
    </row>
    <row r="1864" spans="4:4" x14ac:dyDescent="0.3">
      <c r="D1864" t="str">
        <f t="shared" si="58"/>
        <v/>
      </c>
    </row>
    <row r="1865" spans="4:4" x14ac:dyDescent="0.3">
      <c r="D1865" t="str">
        <f t="shared" si="58"/>
        <v/>
      </c>
    </row>
    <row r="1866" spans="4:4" x14ac:dyDescent="0.3">
      <c r="D1866" t="str">
        <f t="shared" si="58"/>
        <v/>
      </c>
    </row>
    <row r="1867" spans="4:4" x14ac:dyDescent="0.3">
      <c r="D1867" t="str">
        <f t="shared" si="58"/>
        <v/>
      </c>
    </row>
    <row r="1868" spans="4:4" x14ac:dyDescent="0.3">
      <c r="D1868" t="str">
        <f t="shared" si="58"/>
        <v/>
      </c>
    </row>
    <row r="1869" spans="4:4" x14ac:dyDescent="0.3">
      <c r="D1869" t="str">
        <f t="shared" si="58"/>
        <v/>
      </c>
    </row>
    <row r="1870" spans="4:4" x14ac:dyDescent="0.3">
      <c r="D1870" t="str">
        <f t="shared" si="58"/>
        <v/>
      </c>
    </row>
    <row r="1871" spans="4:4" x14ac:dyDescent="0.3">
      <c r="D1871" t="str">
        <f t="shared" si="58"/>
        <v/>
      </c>
    </row>
    <row r="1872" spans="4:4" x14ac:dyDescent="0.3">
      <c r="D1872" t="str">
        <f t="shared" si="58"/>
        <v/>
      </c>
    </row>
    <row r="1873" spans="4:4" x14ac:dyDescent="0.3">
      <c r="D1873" t="str">
        <f t="shared" si="58"/>
        <v/>
      </c>
    </row>
    <row r="1874" spans="4:4" x14ac:dyDescent="0.3">
      <c r="D1874" t="str">
        <f t="shared" si="58"/>
        <v/>
      </c>
    </row>
    <row r="1875" spans="4:4" x14ac:dyDescent="0.3">
      <c r="D1875" t="str">
        <f t="shared" si="58"/>
        <v/>
      </c>
    </row>
    <row r="1876" spans="4:4" x14ac:dyDescent="0.3">
      <c r="D1876" t="str">
        <f t="shared" si="58"/>
        <v/>
      </c>
    </row>
    <row r="1877" spans="4:4" x14ac:dyDescent="0.3">
      <c r="D1877" t="str">
        <f t="shared" si="58"/>
        <v/>
      </c>
    </row>
    <row r="1878" spans="4:4" x14ac:dyDescent="0.3">
      <c r="D1878" t="str">
        <f t="shared" si="58"/>
        <v/>
      </c>
    </row>
    <row r="1879" spans="4:4" x14ac:dyDescent="0.3">
      <c r="D1879" t="str">
        <f t="shared" si="58"/>
        <v/>
      </c>
    </row>
    <row r="1880" spans="4:4" x14ac:dyDescent="0.3">
      <c r="D1880" t="str">
        <f t="shared" si="58"/>
        <v/>
      </c>
    </row>
    <row r="1881" spans="4:4" x14ac:dyDescent="0.3">
      <c r="D1881" t="str">
        <f t="shared" si="58"/>
        <v/>
      </c>
    </row>
    <row r="1882" spans="4:4" x14ac:dyDescent="0.3">
      <c r="D1882" t="str">
        <f t="shared" si="58"/>
        <v/>
      </c>
    </row>
    <row r="1883" spans="4:4" x14ac:dyDescent="0.3">
      <c r="D1883" t="str">
        <f t="shared" si="58"/>
        <v/>
      </c>
    </row>
    <row r="1884" spans="4:4" x14ac:dyDescent="0.3">
      <c r="D1884" t="str">
        <f t="shared" si="58"/>
        <v/>
      </c>
    </row>
    <row r="1885" spans="4:4" x14ac:dyDescent="0.3">
      <c r="D1885" t="str">
        <f t="shared" si="58"/>
        <v/>
      </c>
    </row>
    <row r="1886" spans="4:4" x14ac:dyDescent="0.3">
      <c r="D1886" t="str">
        <f t="shared" si="58"/>
        <v/>
      </c>
    </row>
    <row r="1887" spans="4:4" x14ac:dyDescent="0.3">
      <c r="D1887" t="str">
        <f t="shared" si="58"/>
        <v/>
      </c>
    </row>
    <row r="1888" spans="4:4" x14ac:dyDescent="0.3">
      <c r="D1888" t="str">
        <f t="shared" si="58"/>
        <v/>
      </c>
    </row>
    <row r="1889" spans="4:4" x14ac:dyDescent="0.3">
      <c r="D1889" t="str">
        <f t="shared" si="58"/>
        <v/>
      </c>
    </row>
    <row r="1890" spans="4:4" x14ac:dyDescent="0.3">
      <c r="D1890" t="str">
        <f t="shared" si="58"/>
        <v/>
      </c>
    </row>
    <row r="1891" spans="4:4" x14ac:dyDescent="0.3">
      <c r="D1891" t="str">
        <f t="shared" si="58"/>
        <v/>
      </c>
    </row>
    <row r="1892" spans="4:4" x14ac:dyDescent="0.3">
      <c r="D1892" t="str">
        <f t="shared" si="58"/>
        <v/>
      </c>
    </row>
    <row r="1893" spans="4:4" x14ac:dyDescent="0.3">
      <c r="D1893" t="str">
        <f t="shared" si="58"/>
        <v/>
      </c>
    </row>
    <row r="1894" spans="4:4" x14ac:dyDescent="0.3">
      <c r="D1894" t="str">
        <f t="shared" si="58"/>
        <v/>
      </c>
    </row>
    <row r="1895" spans="4:4" x14ac:dyDescent="0.3">
      <c r="D1895" t="str">
        <f t="shared" si="58"/>
        <v/>
      </c>
    </row>
    <row r="1896" spans="4:4" x14ac:dyDescent="0.3">
      <c r="D1896" t="str">
        <f t="shared" si="58"/>
        <v/>
      </c>
    </row>
    <row r="1897" spans="4:4" x14ac:dyDescent="0.3">
      <c r="D1897" t="str">
        <f t="shared" si="58"/>
        <v/>
      </c>
    </row>
    <row r="1898" spans="4:4" x14ac:dyDescent="0.3">
      <c r="D1898" t="str">
        <f t="shared" si="58"/>
        <v/>
      </c>
    </row>
    <row r="1899" spans="4:4" x14ac:dyDescent="0.3">
      <c r="D1899" t="str">
        <f t="shared" si="58"/>
        <v/>
      </c>
    </row>
    <row r="1900" spans="4:4" x14ac:dyDescent="0.3">
      <c r="D1900" t="str">
        <f t="shared" si="58"/>
        <v/>
      </c>
    </row>
    <row r="1901" spans="4:4" x14ac:dyDescent="0.3">
      <c r="D1901" t="str">
        <f t="shared" si="58"/>
        <v/>
      </c>
    </row>
    <row r="1902" spans="4:4" x14ac:dyDescent="0.3">
      <c r="D1902" t="str">
        <f t="shared" si="58"/>
        <v/>
      </c>
    </row>
    <row r="1903" spans="4:4" x14ac:dyDescent="0.3">
      <c r="D1903" t="str">
        <f t="shared" si="58"/>
        <v/>
      </c>
    </row>
    <row r="1904" spans="4:4" x14ac:dyDescent="0.3">
      <c r="D1904" t="str">
        <f t="shared" si="58"/>
        <v/>
      </c>
    </row>
    <row r="1905" spans="4:4" x14ac:dyDescent="0.3">
      <c r="D1905" t="str">
        <f t="shared" si="58"/>
        <v/>
      </c>
    </row>
    <row r="1906" spans="4:4" x14ac:dyDescent="0.3">
      <c r="D1906" t="str">
        <f t="shared" si="58"/>
        <v/>
      </c>
    </row>
    <row r="1907" spans="4:4" x14ac:dyDescent="0.3">
      <c r="D1907" t="str">
        <f t="shared" si="58"/>
        <v/>
      </c>
    </row>
    <row r="1908" spans="4:4" x14ac:dyDescent="0.3">
      <c r="D1908" t="str">
        <f t="shared" si="58"/>
        <v/>
      </c>
    </row>
    <row r="1909" spans="4:4" x14ac:dyDescent="0.3">
      <c r="D1909" t="str">
        <f t="shared" si="58"/>
        <v/>
      </c>
    </row>
    <row r="1910" spans="4:4" x14ac:dyDescent="0.3">
      <c r="D1910" t="str">
        <f t="shared" si="58"/>
        <v/>
      </c>
    </row>
    <row r="1911" spans="4:4" x14ac:dyDescent="0.3">
      <c r="D1911" t="str">
        <f t="shared" si="58"/>
        <v/>
      </c>
    </row>
    <row r="1912" spans="4:4" x14ac:dyDescent="0.3">
      <c r="D1912" t="str">
        <f t="shared" si="58"/>
        <v/>
      </c>
    </row>
    <row r="1913" spans="4:4" x14ac:dyDescent="0.3">
      <c r="D1913" t="str">
        <f t="shared" si="58"/>
        <v/>
      </c>
    </row>
    <row r="1914" spans="4:4" x14ac:dyDescent="0.3">
      <c r="D1914" t="str">
        <f t="shared" si="58"/>
        <v/>
      </c>
    </row>
    <row r="1915" spans="4:4" x14ac:dyDescent="0.3">
      <c r="D1915" t="str">
        <f t="shared" si="58"/>
        <v/>
      </c>
    </row>
    <row r="1916" spans="4:4" x14ac:dyDescent="0.3">
      <c r="D1916" t="str">
        <f t="shared" si="58"/>
        <v/>
      </c>
    </row>
    <row r="1917" spans="4:4" x14ac:dyDescent="0.3">
      <c r="D1917" t="str">
        <f t="shared" si="58"/>
        <v/>
      </c>
    </row>
    <row r="1918" spans="4:4" x14ac:dyDescent="0.3">
      <c r="D1918" t="str">
        <f t="shared" ref="D1918:D1981" si="59">IF(LEFT(A1918,2)="SP",MID(A1918,4,4),IF(LEFT(A1918,1)="X",MID(A1918,3,4),""))</f>
        <v/>
      </c>
    </row>
    <row r="1919" spans="4:4" x14ac:dyDescent="0.3">
      <c r="D1919" t="str">
        <f t="shared" si="59"/>
        <v/>
      </c>
    </row>
    <row r="1920" spans="4:4" x14ac:dyDescent="0.3">
      <c r="D1920" t="str">
        <f t="shared" si="59"/>
        <v/>
      </c>
    </row>
    <row r="1921" spans="4:4" x14ac:dyDescent="0.3">
      <c r="D1921" t="str">
        <f t="shared" si="59"/>
        <v/>
      </c>
    </row>
    <row r="1922" spans="4:4" x14ac:dyDescent="0.3">
      <c r="D1922" t="str">
        <f t="shared" si="59"/>
        <v/>
      </c>
    </row>
    <row r="1923" spans="4:4" x14ac:dyDescent="0.3">
      <c r="D1923" t="str">
        <f t="shared" si="59"/>
        <v/>
      </c>
    </row>
    <row r="1924" spans="4:4" x14ac:dyDescent="0.3">
      <c r="D1924" t="str">
        <f t="shared" si="59"/>
        <v/>
      </c>
    </row>
    <row r="1925" spans="4:4" x14ac:dyDescent="0.3">
      <c r="D1925" t="str">
        <f t="shared" si="59"/>
        <v/>
      </c>
    </row>
    <row r="1926" spans="4:4" x14ac:dyDescent="0.3">
      <c r="D1926" t="str">
        <f t="shared" si="59"/>
        <v/>
      </c>
    </row>
    <row r="1927" spans="4:4" x14ac:dyDescent="0.3">
      <c r="D1927" t="str">
        <f t="shared" si="59"/>
        <v/>
      </c>
    </row>
    <row r="1928" spans="4:4" x14ac:dyDescent="0.3">
      <c r="D1928" t="str">
        <f t="shared" si="59"/>
        <v/>
      </c>
    </row>
    <row r="1929" spans="4:4" x14ac:dyDescent="0.3">
      <c r="D1929" t="str">
        <f t="shared" si="59"/>
        <v/>
      </c>
    </row>
    <row r="1930" spans="4:4" x14ac:dyDescent="0.3">
      <c r="D1930" t="str">
        <f t="shared" si="59"/>
        <v/>
      </c>
    </row>
    <row r="1931" spans="4:4" x14ac:dyDescent="0.3">
      <c r="D1931" t="str">
        <f t="shared" si="59"/>
        <v/>
      </c>
    </row>
    <row r="1932" spans="4:4" x14ac:dyDescent="0.3">
      <c r="D1932" t="str">
        <f t="shared" si="59"/>
        <v/>
      </c>
    </row>
    <row r="1933" spans="4:4" x14ac:dyDescent="0.3">
      <c r="D1933" t="str">
        <f t="shared" si="59"/>
        <v/>
      </c>
    </row>
    <row r="1934" spans="4:4" x14ac:dyDescent="0.3">
      <c r="D1934" t="str">
        <f t="shared" si="59"/>
        <v/>
      </c>
    </row>
    <row r="1935" spans="4:4" x14ac:dyDescent="0.3">
      <c r="D1935" t="str">
        <f t="shared" si="59"/>
        <v/>
      </c>
    </row>
    <row r="1936" spans="4:4" x14ac:dyDescent="0.3">
      <c r="D1936" t="str">
        <f t="shared" si="59"/>
        <v/>
      </c>
    </row>
    <row r="1937" spans="4:4" x14ac:dyDescent="0.3">
      <c r="D1937" t="str">
        <f t="shared" si="59"/>
        <v/>
      </c>
    </row>
    <row r="1938" spans="4:4" x14ac:dyDescent="0.3">
      <c r="D1938" t="str">
        <f t="shared" si="59"/>
        <v/>
      </c>
    </row>
    <row r="1939" spans="4:4" x14ac:dyDescent="0.3">
      <c r="D1939" t="str">
        <f t="shared" si="59"/>
        <v/>
      </c>
    </row>
    <row r="1940" spans="4:4" x14ac:dyDescent="0.3">
      <c r="D1940" t="str">
        <f t="shared" si="59"/>
        <v/>
      </c>
    </row>
    <row r="1941" spans="4:4" x14ac:dyDescent="0.3">
      <c r="D1941" t="str">
        <f t="shared" si="59"/>
        <v/>
      </c>
    </row>
    <row r="1942" spans="4:4" x14ac:dyDescent="0.3">
      <c r="D1942" t="str">
        <f t="shared" si="59"/>
        <v/>
      </c>
    </row>
    <row r="1943" spans="4:4" x14ac:dyDescent="0.3">
      <c r="D1943" t="str">
        <f t="shared" si="59"/>
        <v/>
      </c>
    </row>
    <row r="1944" spans="4:4" x14ac:dyDescent="0.3">
      <c r="D1944" t="str">
        <f t="shared" si="59"/>
        <v/>
      </c>
    </row>
    <row r="1945" spans="4:4" x14ac:dyDescent="0.3">
      <c r="D1945" t="str">
        <f t="shared" si="59"/>
        <v/>
      </c>
    </row>
    <row r="1946" spans="4:4" x14ac:dyDescent="0.3">
      <c r="D1946" t="str">
        <f t="shared" si="59"/>
        <v/>
      </c>
    </row>
    <row r="1947" spans="4:4" x14ac:dyDescent="0.3">
      <c r="D1947" t="str">
        <f t="shared" si="59"/>
        <v/>
      </c>
    </row>
    <row r="1948" spans="4:4" x14ac:dyDescent="0.3">
      <c r="D1948" t="str">
        <f t="shared" si="59"/>
        <v/>
      </c>
    </row>
    <row r="1949" spans="4:4" x14ac:dyDescent="0.3">
      <c r="D1949" t="str">
        <f t="shared" si="59"/>
        <v/>
      </c>
    </row>
    <row r="1950" spans="4:4" x14ac:dyDescent="0.3">
      <c r="D1950" t="str">
        <f t="shared" si="59"/>
        <v/>
      </c>
    </row>
    <row r="1951" spans="4:4" x14ac:dyDescent="0.3">
      <c r="D1951" t="str">
        <f t="shared" si="59"/>
        <v/>
      </c>
    </row>
    <row r="1952" spans="4:4" x14ac:dyDescent="0.3">
      <c r="D1952" t="str">
        <f t="shared" si="59"/>
        <v/>
      </c>
    </row>
    <row r="1953" spans="4:4" x14ac:dyDescent="0.3">
      <c r="D1953" t="str">
        <f t="shared" si="59"/>
        <v/>
      </c>
    </row>
    <row r="1954" spans="4:4" x14ac:dyDescent="0.3">
      <c r="D1954" t="str">
        <f t="shared" si="59"/>
        <v/>
      </c>
    </row>
    <row r="1955" spans="4:4" x14ac:dyDescent="0.3">
      <c r="D1955" t="str">
        <f t="shared" si="59"/>
        <v/>
      </c>
    </row>
    <row r="1956" spans="4:4" x14ac:dyDescent="0.3">
      <c r="D1956" t="str">
        <f t="shared" si="59"/>
        <v/>
      </c>
    </row>
    <row r="1957" spans="4:4" x14ac:dyDescent="0.3">
      <c r="D1957" t="str">
        <f t="shared" si="59"/>
        <v/>
      </c>
    </row>
    <row r="1958" spans="4:4" x14ac:dyDescent="0.3">
      <c r="D1958" t="str">
        <f t="shared" si="59"/>
        <v/>
      </c>
    </row>
    <row r="1959" spans="4:4" x14ac:dyDescent="0.3">
      <c r="D1959" t="str">
        <f t="shared" si="59"/>
        <v/>
      </c>
    </row>
    <row r="1960" spans="4:4" x14ac:dyDescent="0.3">
      <c r="D1960" t="str">
        <f t="shared" si="59"/>
        <v/>
      </c>
    </row>
    <row r="1961" spans="4:4" x14ac:dyDescent="0.3">
      <c r="D1961" t="str">
        <f t="shared" si="59"/>
        <v/>
      </c>
    </row>
    <row r="1962" spans="4:4" x14ac:dyDescent="0.3">
      <c r="D1962" t="str">
        <f t="shared" si="59"/>
        <v/>
      </c>
    </row>
    <row r="1963" spans="4:4" x14ac:dyDescent="0.3">
      <c r="D1963" t="str">
        <f t="shared" si="59"/>
        <v/>
      </c>
    </row>
    <row r="1964" spans="4:4" x14ac:dyDescent="0.3">
      <c r="D1964" t="str">
        <f t="shared" si="59"/>
        <v/>
      </c>
    </row>
    <row r="1965" spans="4:4" x14ac:dyDescent="0.3">
      <c r="D1965" t="str">
        <f t="shared" si="59"/>
        <v/>
      </c>
    </row>
    <row r="1966" spans="4:4" x14ac:dyDescent="0.3">
      <c r="D1966" t="str">
        <f t="shared" si="59"/>
        <v/>
      </c>
    </row>
    <row r="1967" spans="4:4" x14ac:dyDescent="0.3">
      <c r="D1967" t="str">
        <f t="shared" si="59"/>
        <v/>
      </c>
    </row>
    <row r="1968" spans="4:4" x14ac:dyDescent="0.3">
      <c r="D1968" t="str">
        <f t="shared" si="59"/>
        <v/>
      </c>
    </row>
    <row r="1969" spans="4:4" x14ac:dyDescent="0.3">
      <c r="D1969" t="str">
        <f t="shared" si="59"/>
        <v/>
      </c>
    </row>
    <row r="1970" spans="4:4" x14ac:dyDescent="0.3">
      <c r="D1970" t="str">
        <f t="shared" si="59"/>
        <v/>
      </c>
    </row>
    <row r="1971" spans="4:4" x14ac:dyDescent="0.3">
      <c r="D1971" t="str">
        <f t="shared" si="59"/>
        <v/>
      </c>
    </row>
    <row r="1972" spans="4:4" x14ac:dyDescent="0.3">
      <c r="D1972" t="str">
        <f t="shared" si="59"/>
        <v/>
      </c>
    </row>
    <row r="1973" spans="4:4" x14ac:dyDescent="0.3">
      <c r="D1973" t="str">
        <f t="shared" si="59"/>
        <v/>
      </c>
    </row>
    <row r="1974" spans="4:4" x14ac:dyDescent="0.3">
      <c r="D1974" t="str">
        <f t="shared" si="59"/>
        <v/>
      </c>
    </row>
    <row r="1975" spans="4:4" x14ac:dyDescent="0.3">
      <c r="D1975" t="str">
        <f t="shared" si="59"/>
        <v/>
      </c>
    </row>
    <row r="1976" spans="4:4" x14ac:dyDescent="0.3">
      <c r="D1976" t="str">
        <f t="shared" si="59"/>
        <v/>
      </c>
    </row>
    <row r="1977" spans="4:4" x14ac:dyDescent="0.3">
      <c r="D1977" t="str">
        <f t="shared" si="59"/>
        <v/>
      </c>
    </row>
    <row r="1978" spans="4:4" x14ac:dyDescent="0.3">
      <c r="D1978" t="str">
        <f t="shared" si="59"/>
        <v/>
      </c>
    </row>
    <row r="1979" spans="4:4" x14ac:dyDescent="0.3">
      <c r="D1979" t="str">
        <f t="shared" si="59"/>
        <v/>
      </c>
    </row>
    <row r="1980" spans="4:4" x14ac:dyDescent="0.3">
      <c r="D1980" t="str">
        <f t="shared" si="59"/>
        <v/>
      </c>
    </row>
    <row r="1981" spans="4:4" x14ac:dyDescent="0.3">
      <c r="D1981" t="str">
        <f t="shared" si="59"/>
        <v/>
      </c>
    </row>
    <row r="1982" spans="4:4" x14ac:dyDescent="0.3">
      <c r="D1982" t="str">
        <f t="shared" ref="D1982:D2045" si="60">IF(LEFT(A1982,2)="SP",MID(A1982,4,4),IF(LEFT(A1982,1)="X",MID(A1982,3,4),""))</f>
        <v/>
      </c>
    </row>
    <row r="1983" spans="4:4" x14ac:dyDescent="0.3">
      <c r="D1983" t="str">
        <f t="shared" si="60"/>
        <v/>
      </c>
    </row>
    <row r="1984" spans="4:4" x14ac:dyDescent="0.3">
      <c r="D1984" t="str">
        <f t="shared" si="60"/>
        <v/>
      </c>
    </row>
    <row r="1985" spans="4:4" x14ac:dyDescent="0.3">
      <c r="D1985" t="str">
        <f t="shared" si="60"/>
        <v/>
      </c>
    </row>
    <row r="1986" spans="4:4" x14ac:dyDescent="0.3">
      <c r="D1986" t="str">
        <f t="shared" si="60"/>
        <v/>
      </c>
    </row>
    <row r="1987" spans="4:4" x14ac:dyDescent="0.3">
      <c r="D1987" t="str">
        <f t="shared" si="60"/>
        <v/>
      </c>
    </row>
    <row r="1988" spans="4:4" x14ac:dyDescent="0.3">
      <c r="D1988" t="str">
        <f t="shared" si="60"/>
        <v/>
      </c>
    </row>
    <row r="1989" spans="4:4" x14ac:dyDescent="0.3">
      <c r="D1989" t="str">
        <f t="shared" si="60"/>
        <v/>
      </c>
    </row>
    <row r="1990" spans="4:4" x14ac:dyDescent="0.3">
      <c r="D1990" t="str">
        <f t="shared" si="60"/>
        <v/>
      </c>
    </row>
    <row r="1991" spans="4:4" x14ac:dyDescent="0.3">
      <c r="D1991" t="str">
        <f t="shared" si="60"/>
        <v/>
      </c>
    </row>
    <row r="1992" spans="4:4" x14ac:dyDescent="0.3">
      <c r="D1992" t="str">
        <f t="shared" si="60"/>
        <v/>
      </c>
    </row>
    <row r="1993" spans="4:4" x14ac:dyDescent="0.3">
      <c r="D1993" t="str">
        <f t="shared" si="60"/>
        <v/>
      </c>
    </row>
    <row r="1994" spans="4:4" x14ac:dyDescent="0.3">
      <c r="D1994" t="str">
        <f t="shared" si="60"/>
        <v/>
      </c>
    </row>
    <row r="1995" spans="4:4" x14ac:dyDescent="0.3">
      <c r="D1995" t="str">
        <f t="shared" si="60"/>
        <v/>
      </c>
    </row>
    <row r="1996" spans="4:4" x14ac:dyDescent="0.3">
      <c r="D1996" t="str">
        <f t="shared" si="60"/>
        <v/>
      </c>
    </row>
    <row r="1997" spans="4:4" x14ac:dyDescent="0.3">
      <c r="D1997" t="str">
        <f t="shared" si="60"/>
        <v/>
      </c>
    </row>
    <row r="1998" spans="4:4" x14ac:dyDescent="0.3">
      <c r="D1998" t="str">
        <f t="shared" si="60"/>
        <v/>
      </c>
    </row>
    <row r="1999" spans="4:4" x14ac:dyDescent="0.3">
      <c r="D1999" t="str">
        <f t="shared" si="60"/>
        <v/>
      </c>
    </row>
    <row r="2000" spans="4:4" x14ac:dyDescent="0.3">
      <c r="D2000" t="str">
        <f t="shared" si="60"/>
        <v/>
      </c>
    </row>
    <row r="2001" spans="4:4" x14ac:dyDescent="0.3">
      <c r="D2001" t="str">
        <f t="shared" si="60"/>
        <v/>
      </c>
    </row>
    <row r="2002" spans="4:4" x14ac:dyDescent="0.3">
      <c r="D2002" t="str">
        <f t="shared" si="60"/>
        <v/>
      </c>
    </row>
    <row r="2003" spans="4:4" x14ac:dyDescent="0.3">
      <c r="D2003" t="str">
        <f t="shared" si="60"/>
        <v/>
      </c>
    </row>
    <row r="2004" spans="4:4" x14ac:dyDescent="0.3">
      <c r="D2004" t="str">
        <f t="shared" si="60"/>
        <v/>
      </c>
    </row>
    <row r="2005" spans="4:4" x14ac:dyDescent="0.3">
      <c r="D2005" t="str">
        <f t="shared" si="60"/>
        <v/>
      </c>
    </row>
    <row r="2006" spans="4:4" x14ac:dyDescent="0.3">
      <c r="D2006" t="str">
        <f t="shared" si="60"/>
        <v/>
      </c>
    </row>
    <row r="2007" spans="4:4" x14ac:dyDescent="0.3">
      <c r="D2007" t="str">
        <f t="shared" si="60"/>
        <v/>
      </c>
    </row>
    <row r="2008" spans="4:4" x14ac:dyDescent="0.3">
      <c r="D2008" t="str">
        <f t="shared" si="60"/>
        <v/>
      </c>
    </row>
    <row r="2009" spans="4:4" x14ac:dyDescent="0.3">
      <c r="D2009" t="str">
        <f t="shared" si="60"/>
        <v/>
      </c>
    </row>
    <row r="2010" spans="4:4" x14ac:dyDescent="0.3">
      <c r="D2010" t="str">
        <f t="shared" si="60"/>
        <v/>
      </c>
    </row>
    <row r="2011" spans="4:4" x14ac:dyDescent="0.3">
      <c r="D2011" t="str">
        <f t="shared" si="60"/>
        <v/>
      </c>
    </row>
    <row r="2012" spans="4:4" x14ac:dyDescent="0.3">
      <c r="D2012" t="str">
        <f t="shared" si="60"/>
        <v/>
      </c>
    </row>
    <row r="2013" spans="4:4" x14ac:dyDescent="0.3">
      <c r="D2013" t="str">
        <f t="shared" si="60"/>
        <v/>
      </c>
    </row>
    <row r="2014" spans="4:4" x14ac:dyDescent="0.3">
      <c r="D2014" t="str">
        <f t="shared" si="60"/>
        <v/>
      </c>
    </row>
    <row r="2015" spans="4:4" x14ac:dyDescent="0.3">
      <c r="D2015" t="str">
        <f t="shared" si="60"/>
        <v/>
      </c>
    </row>
    <row r="2016" spans="4:4" x14ac:dyDescent="0.3">
      <c r="D2016" t="str">
        <f t="shared" si="60"/>
        <v/>
      </c>
    </row>
    <row r="2017" spans="4:4" x14ac:dyDescent="0.3">
      <c r="D2017" t="str">
        <f t="shared" si="60"/>
        <v/>
      </c>
    </row>
    <row r="2018" spans="4:4" x14ac:dyDescent="0.3">
      <c r="D2018" t="str">
        <f t="shared" si="60"/>
        <v/>
      </c>
    </row>
    <row r="2019" spans="4:4" x14ac:dyDescent="0.3">
      <c r="D2019" t="str">
        <f t="shared" si="60"/>
        <v/>
      </c>
    </row>
    <row r="2020" spans="4:4" x14ac:dyDescent="0.3">
      <c r="D2020" t="str">
        <f t="shared" si="60"/>
        <v/>
      </c>
    </row>
    <row r="2021" spans="4:4" x14ac:dyDescent="0.3">
      <c r="D2021" t="str">
        <f t="shared" si="60"/>
        <v/>
      </c>
    </row>
    <row r="2022" spans="4:4" x14ac:dyDescent="0.3">
      <c r="D2022" t="str">
        <f t="shared" si="60"/>
        <v/>
      </c>
    </row>
    <row r="2023" spans="4:4" x14ac:dyDescent="0.3">
      <c r="D2023" t="str">
        <f t="shared" si="60"/>
        <v/>
      </c>
    </row>
    <row r="2024" spans="4:4" x14ac:dyDescent="0.3">
      <c r="D2024" t="str">
        <f t="shared" si="60"/>
        <v/>
      </c>
    </row>
    <row r="2025" spans="4:4" x14ac:dyDescent="0.3">
      <c r="D2025" t="str">
        <f t="shared" si="60"/>
        <v/>
      </c>
    </row>
    <row r="2026" spans="4:4" x14ac:dyDescent="0.3">
      <c r="D2026" t="str">
        <f t="shared" si="60"/>
        <v/>
      </c>
    </row>
    <row r="2027" spans="4:4" x14ac:dyDescent="0.3">
      <c r="D2027" t="str">
        <f t="shared" si="60"/>
        <v/>
      </c>
    </row>
    <row r="2028" spans="4:4" x14ac:dyDescent="0.3">
      <c r="D2028" t="str">
        <f t="shared" si="60"/>
        <v/>
      </c>
    </row>
    <row r="2029" spans="4:4" x14ac:dyDescent="0.3">
      <c r="D2029" t="str">
        <f t="shared" si="60"/>
        <v/>
      </c>
    </row>
    <row r="2030" spans="4:4" x14ac:dyDescent="0.3">
      <c r="D2030" t="str">
        <f t="shared" si="60"/>
        <v/>
      </c>
    </row>
    <row r="2031" spans="4:4" x14ac:dyDescent="0.3">
      <c r="D2031" t="str">
        <f t="shared" si="60"/>
        <v/>
      </c>
    </row>
    <row r="2032" spans="4:4" x14ac:dyDescent="0.3">
      <c r="D2032" t="str">
        <f t="shared" si="60"/>
        <v/>
      </c>
    </row>
    <row r="2033" spans="4:4" x14ac:dyDescent="0.3">
      <c r="D2033" t="str">
        <f t="shared" si="60"/>
        <v/>
      </c>
    </row>
    <row r="2034" spans="4:4" x14ac:dyDescent="0.3">
      <c r="D2034" t="str">
        <f t="shared" si="60"/>
        <v/>
      </c>
    </row>
    <row r="2035" spans="4:4" x14ac:dyDescent="0.3">
      <c r="D2035" t="str">
        <f t="shared" si="60"/>
        <v/>
      </c>
    </row>
    <row r="2036" spans="4:4" x14ac:dyDescent="0.3">
      <c r="D2036" t="str">
        <f t="shared" si="60"/>
        <v/>
      </c>
    </row>
    <row r="2037" spans="4:4" x14ac:dyDescent="0.3">
      <c r="D2037" t="str">
        <f t="shared" si="60"/>
        <v/>
      </c>
    </row>
    <row r="2038" spans="4:4" x14ac:dyDescent="0.3">
      <c r="D2038" t="str">
        <f t="shared" si="60"/>
        <v/>
      </c>
    </row>
    <row r="2039" spans="4:4" x14ac:dyDescent="0.3">
      <c r="D2039" t="str">
        <f t="shared" si="60"/>
        <v/>
      </c>
    </row>
    <row r="2040" spans="4:4" x14ac:dyDescent="0.3">
      <c r="D2040" t="str">
        <f t="shared" si="60"/>
        <v/>
      </c>
    </row>
    <row r="2041" spans="4:4" x14ac:dyDescent="0.3">
      <c r="D2041" t="str">
        <f t="shared" si="60"/>
        <v/>
      </c>
    </row>
    <row r="2042" spans="4:4" x14ac:dyDescent="0.3">
      <c r="D2042" t="str">
        <f t="shared" si="60"/>
        <v/>
      </c>
    </row>
    <row r="2043" spans="4:4" x14ac:dyDescent="0.3">
      <c r="D2043" t="str">
        <f t="shared" si="60"/>
        <v/>
      </c>
    </row>
    <row r="2044" spans="4:4" x14ac:dyDescent="0.3">
      <c r="D2044" t="str">
        <f t="shared" si="60"/>
        <v/>
      </c>
    </row>
    <row r="2045" spans="4:4" x14ac:dyDescent="0.3">
      <c r="D2045" t="str">
        <f t="shared" si="60"/>
        <v/>
      </c>
    </row>
    <row r="2046" spans="4:4" x14ac:dyDescent="0.3">
      <c r="D2046" t="str">
        <f t="shared" ref="D2046:D2109" si="61">IF(LEFT(A2046,2)="SP",MID(A2046,4,4),IF(LEFT(A2046,1)="X",MID(A2046,3,4),""))</f>
        <v/>
      </c>
    </row>
    <row r="2047" spans="4:4" x14ac:dyDescent="0.3">
      <c r="D2047" t="str">
        <f t="shared" si="61"/>
        <v/>
      </c>
    </row>
    <row r="2048" spans="4:4" x14ac:dyDescent="0.3">
      <c r="D2048" t="str">
        <f t="shared" si="61"/>
        <v/>
      </c>
    </row>
    <row r="2049" spans="4:4" x14ac:dyDescent="0.3">
      <c r="D2049" t="str">
        <f t="shared" si="61"/>
        <v/>
      </c>
    </row>
    <row r="2050" spans="4:4" x14ac:dyDescent="0.3">
      <c r="D2050" t="str">
        <f t="shared" si="61"/>
        <v/>
      </c>
    </row>
    <row r="2051" spans="4:4" x14ac:dyDescent="0.3">
      <c r="D2051" t="str">
        <f t="shared" si="61"/>
        <v/>
      </c>
    </row>
    <row r="2052" spans="4:4" x14ac:dyDescent="0.3">
      <c r="D2052" t="str">
        <f t="shared" si="61"/>
        <v/>
      </c>
    </row>
    <row r="2053" spans="4:4" x14ac:dyDescent="0.3">
      <c r="D2053" t="str">
        <f t="shared" si="61"/>
        <v/>
      </c>
    </row>
    <row r="2054" spans="4:4" x14ac:dyDescent="0.3">
      <c r="D2054" t="str">
        <f t="shared" si="61"/>
        <v/>
      </c>
    </row>
    <row r="2055" spans="4:4" x14ac:dyDescent="0.3">
      <c r="D2055" t="str">
        <f t="shared" si="61"/>
        <v/>
      </c>
    </row>
    <row r="2056" spans="4:4" x14ac:dyDescent="0.3">
      <c r="D2056" t="str">
        <f t="shared" si="61"/>
        <v/>
      </c>
    </row>
    <row r="2057" spans="4:4" x14ac:dyDescent="0.3">
      <c r="D2057" t="str">
        <f t="shared" si="61"/>
        <v/>
      </c>
    </row>
    <row r="2058" spans="4:4" x14ac:dyDescent="0.3">
      <c r="D2058" t="str">
        <f t="shared" si="61"/>
        <v/>
      </c>
    </row>
    <row r="2059" spans="4:4" x14ac:dyDescent="0.3">
      <c r="D2059" t="str">
        <f t="shared" si="61"/>
        <v/>
      </c>
    </row>
    <row r="2060" spans="4:4" x14ac:dyDescent="0.3">
      <c r="D2060" t="str">
        <f t="shared" si="61"/>
        <v/>
      </c>
    </row>
    <row r="2061" spans="4:4" x14ac:dyDescent="0.3">
      <c r="D2061" t="str">
        <f t="shared" si="61"/>
        <v/>
      </c>
    </row>
    <row r="2062" spans="4:4" x14ac:dyDescent="0.3">
      <c r="D2062" t="str">
        <f t="shared" si="61"/>
        <v/>
      </c>
    </row>
    <row r="2063" spans="4:4" x14ac:dyDescent="0.3">
      <c r="D2063" t="str">
        <f t="shared" si="61"/>
        <v/>
      </c>
    </row>
    <row r="2064" spans="4:4" x14ac:dyDescent="0.3">
      <c r="D2064" t="str">
        <f t="shared" si="61"/>
        <v/>
      </c>
    </row>
    <row r="2065" spans="4:4" x14ac:dyDescent="0.3">
      <c r="D2065" t="str">
        <f t="shared" si="61"/>
        <v/>
      </c>
    </row>
    <row r="2066" spans="4:4" x14ac:dyDescent="0.3">
      <c r="D2066" t="str">
        <f t="shared" si="61"/>
        <v/>
      </c>
    </row>
    <row r="2067" spans="4:4" x14ac:dyDescent="0.3">
      <c r="D2067" t="str">
        <f t="shared" si="61"/>
        <v/>
      </c>
    </row>
    <row r="2068" spans="4:4" x14ac:dyDescent="0.3">
      <c r="D2068" t="str">
        <f t="shared" si="61"/>
        <v/>
      </c>
    </row>
    <row r="2069" spans="4:4" x14ac:dyDescent="0.3">
      <c r="D2069" t="str">
        <f t="shared" si="61"/>
        <v/>
      </c>
    </row>
    <row r="2070" spans="4:4" x14ac:dyDescent="0.3">
      <c r="D2070" t="str">
        <f t="shared" si="61"/>
        <v/>
      </c>
    </row>
    <row r="2071" spans="4:4" x14ac:dyDescent="0.3">
      <c r="D2071" t="str">
        <f t="shared" si="61"/>
        <v/>
      </c>
    </row>
    <row r="2072" spans="4:4" x14ac:dyDescent="0.3">
      <c r="D2072" t="str">
        <f t="shared" si="61"/>
        <v/>
      </c>
    </row>
    <row r="2073" spans="4:4" x14ac:dyDescent="0.3">
      <c r="D2073" t="str">
        <f t="shared" si="61"/>
        <v/>
      </c>
    </row>
    <row r="2074" spans="4:4" x14ac:dyDescent="0.3">
      <c r="D2074" t="str">
        <f t="shared" si="61"/>
        <v/>
      </c>
    </row>
    <row r="2075" spans="4:4" x14ac:dyDescent="0.3">
      <c r="D2075" t="str">
        <f t="shared" si="61"/>
        <v/>
      </c>
    </row>
    <row r="2076" spans="4:4" x14ac:dyDescent="0.3">
      <c r="D2076" t="str">
        <f t="shared" si="61"/>
        <v/>
      </c>
    </row>
    <row r="2077" spans="4:4" x14ac:dyDescent="0.3">
      <c r="D2077" t="str">
        <f t="shared" si="61"/>
        <v/>
      </c>
    </row>
    <row r="2078" spans="4:4" x14ac:dyDescent="0.3">
      <c r="D2078" t="str">
        <f t="shared" si="61"/>
        <v/>
      </c>
    </row>
    <row r="2079" spans="4:4" x14ac:dyDescent="0.3">
      <c r="D2079" t="str">
        <f t="shared" si="61"/>
        <v/>
      </c>
    </row>
    <row r="2080" spans="4:4" x14ac:dyDescent="0.3">
      <c r="D2080" t="str">
        <f t="shared" si="61"/>
        <v/>
      </c>
    </row>
    <row r="2081" spans="4:4" x14ac:dyDescent="0.3">
      <c r="D2081" t="str">
        <f t="shared" si="61"/>
        <v/>
      </c>
    </row>
    <row r="2082" spans="4:4" x14ac:dyDescent="0.3">
      <c r="D2082" t="str">
        <f t="shared" si="61"/>
        <v/>
      </c>
    </row>
    <row r="2083" spans="4:4" x14ac:dyDescent="0.3">
      <c r="D2083" t="str">
        <f t="shared" si="61"/>
        <v/>
      </c>
    </row>
    <row r="2084" spans="4:4" x14ac:dyDescent="0.3">
      <c r="D2084" t="str">
        <f t="shared" si="61"/>
        <v/>
      </c>
    </row>
    <row r="2085" spans="4:4" x14ac:dyDescent="0.3">
      <c r="D2085" t="str">
        <f t="shared" si="61"/>
        <v/>
      </c>
    </row>
    <row r="2086" spans="4:4" x14ac:dyDescent="0.3">
      <c r="D2086" t="str">
        <f t="shared" si="61"/>
        <v/>
      </c>
    </row>
    <row r="2087" spans="4:4" x14ac:dyDescent="0.3">
      <c r="D2087" t="str">
        <f t="shared" si="61"/>
        <v/>
      </c>
    </row>
    <row r="2088" spans="4:4" x14ac:dyDescent="0.3">
      <c r="D2088" t="str">
        <f t="shared" si="61"/>
        <v/>
      </c>
    </row>
    <row r="2089" spans="4:4" x14ac:dyDescent="0.3">
      <c r="D2089" t="str">
        <f t="shared" si="61"/>
        <v/>
      </c>
    </row>
    <row r="2090" spans="4:4" x14ac:dyDescent="0.3">
      <c r="D2090" t="str">
        <f t="shared" si="61"/>
        <v/>
      </c>
    </row>
    <row r="2091" spans="4:4" x14ac:dyDescent="0.3">
      <c r="D2091" t="str">
        <f t="shared" si="61"/>
        <v/>
      </c>
    </row>
    <row r="2092" spans="4:4" x14ac:dyDescent="0.3">
      <c r="D2092" t="str">
        <f t="shared" si="61"/>
        <v/>
      </c>
    </row>
    <row r="2093" spans="4:4" x14ac:dyDescent="0.3">
      <c r="D2093" t="str">
        <f t="shared" si="61"/>
        <v/>
      </c>
    </row>
    <row r="2094" spans="4:4" x14ac:dyDescent="0.3">
      <c r="D2094" t="str">
        <f t="shared" si="61"/>
        <v/>
      </c>
    </row>
    <row r="2095" spans="4:4" x14ac:dyDescent="0.3">
      <c r="D2095" t="str">
        <f t="shared" si="61"/>
        <v/>
      </c>
    </row>
    <row r="2096" spans="4:4" x14ac:dyDescent="0.3">
      <c r="D2096" t="str">
        <f t="shared" si="61"/>
        <v/>
      </c>
    </row>
    <row r="2097" spans="4:4" x14ac:dyDescent="0.3">
      <c r="D2097" t="str">
        <f t="shared" si="61"/>
        <v/>
      </c>
    </row>
    <row r="2098" spans="4:4" x14ac:dyDescent="0.3">
      <c r="D2098" t="str">
        <f t="shared" si="61"/>
        <v/>
      </c>
    </row>
    <row r="2099" spans="4:4" x14ac:dyDescent="0.3">
      <c r="D2099" t="str">
        <f t="shared" si="61"/>
        <v/>
      </c>
    </row>
    <row r="2100" spans="4:4" x14ac:dyDescent="0.3">
      <c r="D2100" t="str">
        <f t="shared" si="61"/>
        <v/>
      </c>
    </row>
    <row r="2101" spans="4:4" x14ac:dyDescent="0.3">
      <c r="D2101" t="str">
        <f t="shared" si="61"/>
        <v/>
      </c>
    </row>
    <row r="2102" spans="4:4" x14ac:dyDescent="0.3">
      <c r="D2102" t="str">
        <f t="shared" si="61"/>
        <v/>
      </c>
    </row>
    <row r="2103" spans="4:4" x14ac:dyDescent="0.3">
      <c r="D2103" t="str">
        <f t="shared" si="61"/>
        <v/>
      </c>
    </row>
    <row r="2104" spans="4:4" x14ac:dyDescent="0.3">
      <c r="D2104" t="str">
        <f t="shared" si="61"/>
        <v/>
      </c>
    </row>
    <row r="2105" spans="4:4" x14ac:dyDescent="0.3">
      <c r="D2105" t="str">
        <f t="shared" si="61"/>
        <v/>
      </c>
    </row>
    <row r="2106" spans="4:4" x14ac:dyDescent="0.3">
      <c r="D2106" t="str">
        <f t="shared" si="61"/>
        <v/>
      </c>
    </row>
    <row r="2107" spans="4:4" x14ac:dyDescent="0.3">
      <c r="D2107" t="str">
        <f t="shared" si="61"/>
        <v/>
      </c>
    </row>
    <row r="2108" spans="4:4" x14ac:dyDescent="0.3">
      <c r="D2108" t="str">
        <f t="shared" si="61"/>
        <v/>
      </c>
    </row>
    <row r="2109" spans="4:4" x14ac:dyDescent="0.3">
      <c r="D2109" t="str">
        <f t="shared" si="61"/>
        <v/>
      </c>
    </row>
    <row r="2110" spans="4:4" x14ac:dyDescent="0.3">
      <c r="D2110" t="str">
        <f t="shared" ref="D2110:D2173" si="62">IF(LEFT(A2110,2)="SP",MID(A2110,4,4),IF(LEFT(A2110,1)="X",MID(A2110,3,4),""))</f>
        <v/>
      </c>
    </row>
    <row r="2111" spans="4:4" x14ac:dyDescent="0.3">
      <c r="D2111" t="str">
        <f t="shared" si="62"/>
        <v/>
      </c>
    </row>
    <row r="2112" spans="4:4" x14ac:dyDescent="0.3">
      <c r="D2112" t="str">
        <f t="shared" si="62"/>
        <v/>
      </c>
    </row>
    <row r="2113" spans="4:4" x14ac:dyDescent="0.3">
      <c r="D2113" t="str">
        <f t="shared" si="62"/>
        <v/>
      </c>
    </row>
    <row r="2114" spans="4:4" x14ac:dyDescent="0.3">
      <c r="D2114" t="str">
        <f t="shared" si="62"/>
        <v/>
      </c>
    </row>
    <row r="2115" spans="4:4" x14ac:dyDescent="0.3">
      <c r="D2115" t="str">
        <f t="shared" si="62"/>
        <v/>
      </c>
    </row>
    <row r="2116" spans="4:4" x14ac:dyDescent="0.3">
      <c r="D2116" t="str">
        <f t="shared" si="62"/>
        <v/>
      </c>
    </row>
    <row r="2117" spans="4:4" x14ac:dyDescent="0.3">
      <c r="D2117" t="str">
        <f t="shared" si="62"/>
        <v/>
      </c>
    </row>
    <row r="2118" spans="4:4" x14ac:dyDescent="0.3">
      <c r="D2118" t="str">
        <f t="shared" si="62"/>
        <v/>
      </c>
    </row>
    <row r="2119" spans="4:4" x14ac:dyDescent="0.3">
      <c r="D2119" t="str">
        <f t="shared" si="62"/>
        <v/>
      </c>
    </row>
    <row r="2120" spans="4:4" x14ac:dyDescent="0.3">
      <c r="D2120" t="str">
        <f t="shared" si="62"/>
        <v/>
      </c>
    </row>
    <row r="2121" spans="4:4" x14ac:dyDescent="0.3">
      <c r="D2121" t="str">
        <f t="shared" si="62"/>
        <v/>
      </c>
    </row>
    <row r="2122" spans="4:4" x14ac:dyDescent="0.3">
      <c r="D2122" t="str">
        <f t="shared" si="62"/>
        <v/>
      </c>
    </row>
    <row r="2123" spans="4:4" x14ac:dyDescent="0.3">
      <c r="D2123" t="str">
        <f t="shared" si="62"/>
        <v/>
      </c>
    </row>
    <row r="2124" spans="4:4" x14ac:dyDescent="0.3">
      <c r="D2124" t="str">
        <f t="shared" si="62"/>
        <v/>
      </c>
    </row>
    <row r="2125" spans="4:4" x14ac:dyDescent="0.3">
      <c r="D2125" t="str">
        <f t="shared" si="62"/>
        <v/>
      </c>
    </row>
    <row r="2126" spans="4:4" x14ac:dyDescent="0.3">
      <c r="D2126" t="str">
        <f t="shared" si="62"/>
        <v/>
      </c>
    </row>
    <row r="2127" spans="4:4" x14ac:dyDescent="0.3">
      <c r="D2127" t="str">
        <f t="shared" si="62"/>
        <v/>
      </c>
    </row>
    <row r="2128" spans="4:4" x14ac:dyDescent="0.3">
      <c r="D2128" t="str">
        <f t="shared" si="62"/>
        <v/>
      </c>
    </row>
    <row r="2129" spans="4:4" x14ac:dyDescent="0.3">
      <c r="D2129" t="str">
        <f t="shared" si="62"/>
        <v/>
      </c>
    </row>
    <row r="2130" spans="4:4" x14ac:dyDescent="0.3">
      <c r="D2130" t="str">
        <f t="shared" si="62"/>
        <v/>
      </c>
    </row>
    <row r="2131" spans="4:4" x14ac:dyDescent="0.3">
      <c r="D2131" t="str">
        <f t="shared" si="62"/>
        <v/>
      </c>
    </row>
    <row r="2132" spans="4:4" x14ac:dyDescent="0.3">
      <c r="D2132" t="str">
        <f t="shared" si="62"/>
        <v/>
      </c>
    </row>
    <row r="2133" spans="4:4" x14ac:dyDescent="0.3">
      <c r="D2133" t="str">
        <f t="shared" si="62"/>
        <v/>
      </c>
    </row>
    <row r="2134" spans="4:4" x14ac:dyDescent="0.3">
      <c r="D2134" t="str">
        <f t="shared" si="62"/>
        <v/>
      </c>
    </row>
    <row r="2135" spans="4:4" x14ac:dyDescent="0.3">
      <c r="D2135" t="str">
        <f t="shared" si="62"/>
        <v/>
      </c>
    </row>
    <row r="2136" spans="4:4" x14ac:dyDescent="0.3">
      <c r="D2136" t="str">
        <f t="shared" si="62"/>
        <v/>
      </c>
    </row>
    <row r="2137" spans="4:4" x14ac:dyDescent="0.3">
      <c r="D2137" t="str">
        <f t="shared" si="62"/>
        <v/>
      </c>
    </row>
    <row r="2138" spans="4:4" x14ac:dyDescent="0.3">
      <c r="D2138" t="str">
        <f t="shared" si="62"/>
        <v/>
      </c>
    </row>
    <row r="2139" spans="4:4" x14ac:dyDescent="0.3">
      <c r="D2139" t="str">
        <f t="shared" si="62"/>
        <v/>
      </c>
    </row>
    <row r="2140" spans="4:4" x14ac:dyDescent="0.3">
      <c r="D2140" t="str">
        <f t="shared" si="62"/>
        <v/>
      </c>
    </row>
    <row r="2141" spans="4:4" x14ac:dyDescent="0.3">
      <c r="D2141" t="str">
        <f t="shared" si="62"/>
        <v/>
      </c>
    </row>
    <row r="2142" spans="4:4" x14ac:dyDescent="0.3">
      <c r="D2142" t="str">
        <f t="shared" si="62"/>
        <v/>
      </c>
    </row>
    <row r="2143" spans="4:4" x14ac:dyDescent="0.3">
      <c r="D2143" t="str">
        <f t="shared" si="62"/>
        <v/>
      </c>
    </row>
    <row r="2144" spans="4:4" x14ac:dyDescent="0.3">
      <c r="D2144" t="str">
        <f t="shared" si="62"/>
        <v/>
      </c>
    </row>
    <row r="2145" spans="4:4" x14ac:dyDescent="0.3">
      <c r="D2145" t="str">
        <f t="shared" si="62"/>
        <v/>
      </c>
    </row>
    <row r="2146" spans="4:4" x14ac:dyDescent="0.3">
      <c r="D2146" t="str">
        <f t="shared" si="62"/>
        <v/>
      </c>
    </row>
    <row r="2147" spans="4:4" x14ac:dyDescent="0.3">
      <c r="D2147" t="str">
        <f t="shared" si="62"/>
        <v/>
      </c>
    </row>
    <row r="2148" spans="4:4" x14ac:dyDescent="0.3">
      <c r="D2148" t="str">
        <f t="shared" si="62"/>
        <v/>
      </c>
    </row>
    <row r="2149" spans="4:4" x14ac:dyDescent="0.3">
      <c r="D2149" t="str">
        <f t="shared" si="62"/>
        <v/>
      </c>
    </row>
    <row r="2150" spans="4:4" x14ac:dyDescent="0.3">
      <c r="D2150" t="str">
        <f t="shared" si="62"/>
        <v/>
      </c>
    </row>
    <row r="2151" spans="4:4" x14ac:dyDescent="0.3">
      <c r="D2151" t="str">
        <f t="shared" si="62"/>
        <v/>
      </c>
    </row>
    <row r="2152" spans="4:4" x14ac:dyDescent="0.3">
      <c r="D2152" t="str">
        <f t="shared" si="62"/>
        <v/>
      </c>
    </row>
    <row r="2153" spans="4:4" x14ac:dyDescent="0.3">
      <c r="D2153" t="str">
        <f t="shared" si="62"/>
        <v/>
      </c>
    </row>
    <row r="2154" spans="4:4" x14ac:dyDescent="0.3">
      <c r="D2154" t="str">
        <f t="shared" si="62"/>
        <v/>
      </c>
    </row>
    <row r="2155" spans="4:4" x14ac:dyDescent="0.3">
      <c r="D2155" t="str">
        <f t="shared" si="62"/>
        <v/>
      </c>
    </row>
    <row r="2156" spans="4:4" x14ac:dyDescent="0.3">
      <c r="D2156" t="str">
        <f t="shared" si="62"/>
        <v/>
      </c>
    </row>
    <row r="2157" spans="4:4" x14ac:dyDescent="0.3">
      <c r="D2157" t="str">
        <f t="shared" si="62"/>
        <v/>
      </c>
    </row>
    <row r="2158" spans="4:4" x14ac:dyDescent="0.3">
      <c r="D2158" t="str">
        <f t="shared" si="62"/>
        <v/>
      </c>
    </row>
    <row r="2159" spans="4:4" x14ac:dyDescent="0.3">
      <c r="D2159" t="str">
        <f t="shared" si="62"/>
        <v/>
      </c>
    </row>
    <row r="2160" spans="4:4" x14ac:dyDescent="0.3">
      <c r="D2160" t="str">
        <f t="shared" si="62"/>
        <v/>
      </c>
    </row>
    <row r="2161" spans="4:4" x14ac:dyDescent="0.3">
      <c r="D2161" t="str">
        <f t="shared" si="62"/>
        <v/>
      </c>
    </row>
    <row r="2162" spans="4:4" x14ac:dyDescent="0.3">
      <c r="D2162" t="str">
        <f t="shared" si="62"/>
        <v/>
      </c>
    </row>
    <row r="2163" spans="4:4" x14ac:dyDescent="0.3">
      <c r="D2163" t="str">
        <f t="shared" si="62"/>
        <v/>
      </c>
    </row>
    <row r="2164" spans="4:4" x14ac:dyDescent="0.3">
      <c r="D2164" t="str">
        <f t="shared" si="62"/>
        <v/>
      </c>
    </row>
    <row r="2165" spans="4:4" x14ac:dyDescent="0.3">
      <c r="D2165" t="str">
        <f t="shared" si="62"/>
        <v/>
      </c>
    </row>
    <row r="2166" spans="4:4" x14ac:dyDescent="0.3">
      <c r="D2166" t="str">
        <f t="shared" si="62"/>
        <v/>
      </c>
    </row>
    <row r="2167" spans="4:4" x14ac:dyDescent="0.3">
      <c r="D2167" t="str">
        <f t="shared" si="62"/>
        <v/>
      </c>
    </row>
    <row r="2168" spans="4:4" x14ac:dyDescent="0.3">
      <c r="D2168" t="str">
        <f t="shared" si="62"/>
        <v/>
      </c>
    </row>
    <row r="2169" spans="4:4" x14ac:dyDescent="0.3">
      <c r="D2169" t="str">
        <f t="shared" si="62"/>
        <v/>
      </c>
    </row>
    <row r="2170" spans="4:4" x14ac:dyDescent="0.3">
      <c r="D2170" t="str">
        <f t="shared" si="62"/>
        <v/>
      </c>
    </row>
    <row r="2171" spans="4:4" x14ac:dyDescent="0.3">
      <c r="D2171" t="str">
        <f t="shared" si="62"/>
        <v/>
      </c>
    </row>
    <row r="2172" spans="4:4" x14ac:dyDescent="0.3">
      <c r="D2172" t="str">
        <f t="shared" si="62"/>
        <v/>
      </c>
    </row>
    <row r="2173" spans="4:4" x14ac:dyDescent="0.3">
      <c r="D2173" t="str">
        <f t="shared" si="62"/>
        <v/>
      </c>
    </row>
    <row r="2174" spans="4:4" x14ac:dyDescent="0.3">
      <c r="D2174" t="str">
        <f t="shared" ref="D2174:D2237" si="63">IF(LEFT(A2174,2)="SP",MID(A2174,4,4),IF(LEFT(A2174,1)="X",MID(A2174,3,4),""))</f>
        <v/>
      </c>
    </row>
    <row r="2175" spans="4:4" x14ac:dyDescent="0.3">
      <c r="D2175" t="str">
        <f t="shared" si="63"/>
        <v/>
      </c>
    </row>
    <row r="2176" spans="4:4" x14ac:dyDescent="0.3">
      <c r="D2176" t="str">
        <f t="shared" si="63"/>
        <v/>
      </c>
    </row>
    <row r="2177" spans="4:4" x14ac:dyDescent="0.3">
      <c r="D2177" t="str">
        <f t="shared" si="63"/>
        <v/>
      </c>
    </row>
    <row r="2178" spans="4:4" x14ac:dyDescent="0.3">
      <c r="D2178" t="str">
        <f t="shared" si="63"/>
        <v/>
      </c>
    </row>
    <row r="2179" spans="4:4" x14ac:dyDescent="0.3">
      <c r="D2179" t="str">
        <f t="shared" si="63"/>
        <v/>
      </c>
    </row>
    <row r="2180" spans="4:4" x14ac:dyDescent="0.3">
      <c r="D2180" t="str">
        <f t="shared" si="63"/>
        <v/>
      </c>
    </row>
    <row r="2181" spans="4:4" x14ac:dyDescent="0.3">
      <c r="D2181" t="str">
        <f t="shared" si="63"/>
        <v/>
      </c>
    </row>
    <row r="2182" spans="4:4" x14ac:dyDescent="0.3">
      <c r="D2182" t="str">
        <f t="shared" si="63"/>
        <v/>
      </c>
    </row>
    <row r="2183" spans="4:4" x14ac:dyDescent="0.3">
      <c r="D2183" t="str">
        <f t="shared" si="63"/>
        <v/>
      </c>
    </row>
    <row r="2184" spans="4:4" x14ac:dyDescent="0.3">
      <c r="D2184" t="str">
        <f t="shared" si="63"/>
        <v/>
      </c>
    </row>
    <row r="2185" spans="4:4" x14ac:dyDescent="0.3">
      <c r="D2185" t="str">
        <f t="shared" si="63"/>
        <v/>
      </c>
    </row>
    <row r="2186" spans="4:4" x14ac:dyDescent="0.3">
      <c r="D2186" t="str">
        <f t="shared" si="63"/>
        <v/>
      </c>
    </row>
    <row r="2187" spans="4:4" x14ac:dyDescent="0.3">
      <c r="D2187" t="str">
        <f t="shared" si="63"/>
        <v/>
      </c>
    </row>
    <row r="2188" spans="4:4" x14ac:dyDescent="0.3">
      <c r="D2188" t="str">
        <f t="shared" si="63"/>
        <v/>
      </c>
    </row>
    <row r="2189" spans="4:4" x14ac:dyDescent="0.3">
      <c r="D2189" t="str">
        <f t="shared" si="63"/>
        <v/>
      </c>
    </row>
    <row r="2190" spans="4:4" x14ac:dyDescent="0.3">
      <c r="D2190" t="str">
        <f t="shared" si="63"/>
        <v/>
      </c>
    </row>
    <row r="2191" spans="4:4" x14ac:dyDescent="0.3">
      <c r="D2191" t="str">
        <f t="shared" si="63"/>
        <v/>
      </c>
    </row>
    <row r="2192" spans="4:4" x14ac:dyDescent="0.3">
      <c r="D2192" t="str">
        <f t="shared" si="63"/>
        <v/>
      </c>
    </row>
    <row r="2193" spans="4:4" x14ac:dyDescent="0.3">
      <c r="D2193" t="str">
        <f t="shared" si="63"/>
        <v/>
      </c>
    </row>
    <row r="2194" spans="4:4" x14ac:dyDescent="0.3">
      <c r="D2194" t="str">
        <f t="shared" si="63"/>
        <v/>
      </c>
    </row>
    <row r="2195" spans="4:4" x14ac:dyDescent="0.3">
      <c r="D2195" t="str">
        <f t="shared" si="63"/>
        <v/>
      </c>
    </row>
    <row r="2196" spans="4:4" x14ac:dyDescent="0.3">
      <c r="D2196" t="str">
        <f t="shared" si="63"/>
        <v/>
      </c>
    </row>
    <row r="2197" spans="4:4" x14ac:dyDescent="0.3">
      <c r="D2197" t="str">
        <f t="shared" si="63"/>
        <v/>
      </c>
    </row>
    <row r="2198" spans="4:4" x14ac:dyDescent="0.3">
      <c r="D2198" t="str">
        <f t="shared" si="63"/>
        <v/>
      </c>
    </row>
    <row r="2199" spans="4:4" x14ac:dyDescent="0.3">
      <c r="D2199" t="str">
        <f t="shared" si="63"/>
        <v/>
      </c>
    </row>
    <row r="2200" spans="4:4" x14ac:dyDescent="0.3">
      <c r="D2200" t="str">
        <f t="shared" si="63"/>
        <v/>
      </c>
    </row>
    <row r="2201" spans="4:4" x14ac:dyDescent="0.3">
      <c r="D2201" t="str">
        <f t="shared" si="63"/>
        <v/>
      </c>
    </row>
    <row r="2202" spans="4:4" x14ac:dyDescent="0.3">
      <c r="D2202" t="str">
        <f t="shared" si="63"/>
        <v/>
      </c>
    </row>
    <row r="2203" spans="4:4" x14ac:dyDescent="0.3">
      <c r="D2203" t="str">
        <f t="shared" si="63"/>
        <v/>
      </c>
    </row>
    <row r="2204" spans="4:4" x14ac:dyDescent="0.3">
      <c r="D2204" t="str">
        <f t="shared" si="63"/>
        <v/>
      </c>
    </row>
    <row r="2205" spans="4:4" x14ac:dyDescent="0.3">
      <c r="D2205" t="str">
        <f t="shared" si="63"/>
        <v/>
      </c>
    </row>
    <row r="2206" spans="4:4" x14ac:dyDescent="0.3">
      <c r="D2206" t="str">
        <f t="shared" si="63"/>
        <v/>
      </c>
    </row>
    <row r="2207" spans="4:4" x14ac:dyDescent="0.3">
      <c r="D2207" t="str">
        <f t="shared" si="63"/>
        <v/>
      </c>
    </row>
    <row r="2208" spans="4:4" x14ac:dyDescent="0.3">
      <c r="D2208" t="str">
        <f t="shared" si="63"/>
        <v/>
      </c>
    </row>
    <row r="2209" spans="4:4" x14ac:dyDescent="0.3">
      <c r="D2209" t="str">
        <f t="shared" si="63"/>
        <v/>
      </c>
    </row>
    <row r="2210" spans="4:4" x14ac:dyDescent="0.3">
      <c r="D2210" t="str">
        <f t="shared" si="63"/>
        <v/>
      </c>
    </row>
    <row r="2211" spans="4:4" x14ac:dyDescent="0.3">
      <c r="D2211" t="str">
        <f t="shared" si="63"/>
        <v/>
      </c>
    </row>
    <row r="2212" spans="4:4" x14ac:dyDescent="0.3">
      <c r="D2212" t="str">
        <f t="shared" si="63"/>
        <v/>
      </c>
    </row>
    <row r="2213" spans="4:4" x14ac:dyDescent="0.3">
      <c r="D2213" t="str">
        <f t="shared" si="63"/>
        <v/>
      </c>
    </row>
    <row r="2214" spans="4:4" x14ac:dyDescent="0.3">
      <c r="D2214" t="str">
        <f t="shared" si="63"/>
        <v/>
      </c>
    </row>
    <row r="2215" spans="4:4" x14ac:dyDescent="0.3">
      <c r="D2215" t="str">
        <f t="shared" si="63"/>
        <v/>
      </c>
    </row>
    <row r="2216" spans="4:4" x14ac:dyDescent="0.3">
      <c r="D2216" t="str">
        <f t="shared" si="63"/>
        <v/>
      </c>
    </row>
    <row r="2217" spans="4:4" x14ac:dyDescent="0.3">
      <c r="D2217" t="str">
        <f t="shared" si="63"/>
        <v/>
      </c>
    </row>
    <row r="2218" spans="4:4" x14ac:dyDescent="0.3">
      <c r="D2218" t="str">
        <f t="shared" si="63"/>
        <v/>
      </c>
    </row>
    <row r="2219" spans="4:4" x14ac:dyDescent="0.3">
      <c r="D2219" t="str">
        <f t="shared" si="63"/>
        <v/>
      </c>
    </row>
    <row r="2220" spans="4:4" x14ac:dyDescent="0.3">
      <c r="D2220" t="str">
        <f t="shared" si="63"/>
        <v/>
      </c>
    </row>
    <row r="2221" spans="4:4" x14ac:dyDescent="0.3">
      <c r="D2221" t="str">
        <f t="shared" si="63"/>
        <v/>
      </c>
    </row>
    <row r="2222" spans="4:4" x14ac:dyDescent="0.3">
      <c r="D2222" t="str">
        <f t="shared" si="63"/>
        <v/>
      </c>
    </row>
    <row r="2223" spans="4:4" x14ac:dyDescent="0.3">
      <c r="D2223" t="str">
        <f t="shared" si="63"/>
        <v/>
      </c>
    </row>
    <row r="2224" spans="4:4" x14ac:dyDescent="0.3">
      <c r="D2224" t="str">
        <f t="shared" si="63"/>
        <v/>
      </c>
    </row>
    <row r="2225" spans="4:4" x14ac:dyDescent="0.3">
      <c r="D2225" t="str">
        <f t="shared" si="63"/>
        <v/>
      </c>
    </row>
    <row r="2226" spans="4:4" x14ac:dyDescent="0.3">
      <c r="D2226" t="str">
        <f t="shared" si="63"/>
        <v/>
      </c>
    </row>
    <row r="2227" spans="4:4" x14ac:dyDescent="0.3">
      <c r="D2227" t="str">
        <f t="shared" si="63"/>
        <v/>
      </c>
    </row>
    <row r="2228" spans="4:4" x14ac:dyDescent="0.3">
      <c r="D2228" t="str">
        <f t="shared" si="63"/>
        <v/>
      </c>
    </row>
    <row r="2229" spans="4:4" x14ac:dyDescent="0.3">
      <c r="D2229" t="str">
        <f t="shared" si="63"/>
        <v/>
      </c>
    </row>
    <row r="2230" spans="4:4" x14ac:dyDescent="0.3">
      <c r="D2230" t="str">
        <f t="shared" si="63"/>
        <v/>
      </c>
    </row>
    <row r="2231" spans="4:4" x14ac:dyDescent="0.3">
      <c r="D2231" t="str">
        <f t="shared" si="63"/>
        <v/>
      </c>
    </row>
    <row r="2232" spans="4:4" x14ac:dyDescent="0.3">
      <c r="D2232" t="str">
        <f t="shared" si="63"/>
        <v/>
      </c>
    </row>
    <row r="2233" spans="4:4" x14ac:dyDescent="0.3">
      <c r="D2233" t="str">
        <f t="shared" si="63"/>
        <v/>
      </c>
    </row>
    <row r="2234" spans="4:4" x14ac:dyDescent="0.3">
      <c r="D2234" t="str">
        <f t="shared" si="63"/>
        <v/>
      </c>
    </row>
    <row r="2235" spans="4:4" x14ac:dyDescent="0.3">
      <c r="D2235" t="str">
        <f t="shared" si="63"/>
        <v/>
      </c>
    </row>
    <row r="2236" spans="4:4" x14ac:dyDescent="0.3">
      <c r="D2236" t="str">
        <f t="shared" si="63"/>
        <v/>
      </c>
    </row>
    <row r="2237" spans="4:4" x14ac:dyDescent="0.3">
      <c r="D2237" t="str">
        <f t="shared" si="63"/>
        <v/>
      </c>
    </row>
    <row r="2238" spans="4:4" x14ac:dyDescent="0.3">
      <c r="D2238" t="str">
        <f t="shared" ref="D2238:D2301" si="64">IF(LEFT(A2238,2)="SP",MID(A2238,4,4),IF(LEFT(A2238,1)="X",MID(A2238,3,4),""))</f>
        <v/>
      </c>
    </row>
    <row r="2239" spans="4:4" x14ac:dyDescent="0.3">
      <c r="D2239" t="str">
        <f t="shared" si="64"/>
        <v/>
      </c>
    </row>
    <row r="2240" spans="4:4" x14ac:dyDescent="0.3">
      <c r="D2240" t="str">
        <f t="shared" si="64"/>
        <v/>
      </c>
    </row>
    <row r="2241" spans="4:4" x14ac:dyDescent="0.3">
      <c r="D2241" t="str">
        <f t="shared" si="64"/>
        <v/>
      </c>
    </row>
    <row r="2242" spans="4:4" x14ac:dyDescent="0.3">
      <c r="D2242" t="str">
        <f t="shared" si="64"/>
        <v/>
      </c>
    </row>
    <row r="2243" spans="4:4" x14ac:dyDescent="0.3">
      <c r="D2243" t="str">
        <f t="shared" si="64"/>
        <v/>
      </c>
    </row>
    <row r="2244" spans="4:4" x14ac:dyDescent="0.3">
      <c r="D2244" t="str">
        <f t="shared" si="64"/>
        <v/>
      </c>
    </row>
    <row r="2245" spans="4:4" x14ac:dyDescent="0.3">
      <c r="D2245" t="str">
        <f t="shared" si="64"/>
        <v/>
      </c>
    </row>
    <row r="2246" spans="4:4" x14ac:dyDescent="0.3">
      <c r="D2246" t="str">
        <f t="shared" si="64"/>
        <v/>
      </c>
    </row>
    <row r="2247" spans="4:4" x14ac:dyDescent="0.3">
      <c r="D2247" t="str">
        <f t="shared" si="64"/>
        <v/>
      </c>
    </row>
    <row r="2248" spans="4:4" x14ac:dyDescent="0.3">
      <c r="D2248" t="str">
        <f t="shared" si="64"/>
        <v/>
      </c>
    </row>
    <row r="2249" spans="4:4" x14ac:dyDescent="0.3">
      <c r="D2249" t="str">
        <f t="shared" si="64"/>
        <v/>
      </c>
    </row>
    <row r="2250" spans="4:4" x14ac:dyDescent="0.3">
      <c r="D2250" t="str">
        <f t="shared" si="64"/>
        <v/>
      </c>
    </row>
    <row r="2251" spans="4:4" x14ac:dyDescent="0.3">
      <c r="D2251" t="str">
        <f t="shared" si="64"/>
        <v/>
      </c>
    </row>
    <row r="2252" spans="4:4" x14ac:dyDescent="0.3">
      <c r="D2252" t="str">
        <f t="shared" si="64"/>
        <v/>
      </c>
    </row>
    <row r="2253" spans="4:4" x14ac:dyDescent="0.3">
      <c r="D2253" t="str">
        <f t="shared" si="64"/>
        <v/>
      </c>
    </row>
    <row r="2254" spans="4:4" x14ac:dyDescent="0.3">
      <c r="D2254" t="str">
        <f t="shared" si="64"/>
        <v/>
      </c>
    </row>
    <row r="2255" spans="4:4" x14ac:dyDescent="0.3">
      <c r="D2255" t="str">
        <f t="shared" si="64"/>
        <v/>
      </c>
    </row>
    <row r="2256" spans="4:4" x14ac:dyDescent="0.3">
      <c r="D2256" t="str">
        <f t="shared" si="64"/>
        <v/>
      </c>
    </row>
    <row r="2257" spans="4:4" x14ac:dyDescent="0.3">
      <c r="D2257" t="str">
        <f t="shared" si="64"/>
        <v/>
      </c>
    </row>
    <row r="2258" spans="4:4" x14ac:dyDescent="0.3">
      <c r="D2258" t="str">
        <f t="shared" si="64"/>
        <v/>
      </c>
    </row>
    <row r="2259" spans="4:4" x14ac:dyDescent="0.3">
      <c r="D2259" t="str">
        <f t="shared" si="64"/>
        <v/>
      </c>
    </row>
    <row r="2260" spans="4:4" x14ac:dyDescent="0.3">
      <c r="D2260" t="str">
        <f t="shared" si="64"/>
        <v/>
      </c>
    </row>
    <row r="2261" spans="4:4" x14ac:dyDescent="0.3">
      <c r="D2261" t="str">
        <f t="shared" si="64"/>
        <v/>
      </c>
    </row>
    <row r="2262" spans="4:4" x14ac:dyDescent="0.3">
      <c r="D2262" t="str">
        <f t="shared" si="64"/>
        <v/>
      </c>
    </row>
    <row r="2263" spans="4:4" x14ac:dyDescent="0.3">
      <c r="D2263" t="str">
        <f t="shared" si="64"/>
        <v/>
      </c>
    </row>
    <row r="2264" spans="4:4" x14ac:dyDescent="0.3">
      <c r="D2264" t="str">
        <f t="shared" si="64"/>
        <v/>
      </c>
    </row>
    <row r="2265" spans="4:4" x14ac:dyDescent="0.3">
      <c r="D2265" t="str">
        <f t="shared" si="64"/>
        <v/>
      </c>
    </row>
    <row r="2266" spans="4:4" x14ac:dyDescent="0.3">
      <c r="D2266" t="str">
        <f t="shared" si="64"/>
        <v/>
      </c>
    </row>
    <row r="2267" spans="4:4" x14ac:dyDescent="0.3">
      <c r="D2267" t="str">
        <f t="shared" si="64"/>
        <v/>
      </c>
    </row>
    <row r="2268" spans="4:4" x14ac:dyDescent="0.3">
      <c r="D2268" t="str">
        <f t="shared" si="64"/>
        <v/>
      </c>
    </row>
    <row r="2269" spans="4:4" x14ac:dyDescent="0.3">
      <c r="D2269" t="str">
        <f t="shared" si="64"/>
        <v/>
      </c>
    </row>
    <row r="2270" spans="4:4" x14ac:dyDescent="0.3">
      <c r="D2270" t="str">
        <f t="shared" si="64"/>
        <v/>
      </c>
    </row>
    <row r="2271" spans="4:4" x14ac:dyDescent="0.3">
      <c r="D2271" t="str">
        <f t="shared" si="64"/>
        <v/>
      </c>
    </row>
    <row r="2272" spans="4:4" x14ac:dyDescent="0.3">
      <c r="D2272" t="str">
        <f t="shared" si="64"/>
        <v/>
      </c>
    </row>
    <row r="2273" spans="4:4" x14ac:dyDescent="0.3">
      <c r="D2273" t="str">
        <f t="shared" si="64"/>
        <v/>
      </c>
    </row>
    <row r="2274" spans="4:4" x14ac:dyDescent="0.3">
      <c r="D2274" t="str">
        <f t="shared" si="64"/>
        <v/>
      </c>
    </row>
    <row r="2275" spans="4:4" x14ac:dyDescent="0.3">
      <c r="D2275" t="str">
        <f t="shared" si="64"/>
        <v/>
      </c>
    </row>
    <row r="2276" spans="4:4" x14ac:dyDescent="0.3">
      <c r="D2276" t="str">
        <f t="shared" si="64"/>
        <v/>
      </c>
    </row>
    <row r="2277" spans="4:4" x14ac:dyDescent="0.3">
      <c r="D2277" t="str">
        <f t="shared" si="64"/>
        <v/>
      </c>
    </row>
    <row r="2278" spans="4:4" x14ac:dyDescent="0.3">
      <c r="D2278" t="str">
        <f t="shared" si="64"/>
        <v/>
      </c>
    </row>
    <row r="2279" spans="4:4" x14ac:dyDescent="0.3">
      <c r="D2279" t="str">
        <f t="shared" si="64"/>
        <v/>
      </c>
    </row>
    <row r="2280" spans="4:4" x14ac:dyDescent="0.3">
      <c r="D2280" t="str">
        <f t="shared" si="64"/>
        <v/>
      </c>
    </row>
    <row r="2281" spans="4:4" x14ac:dyDescent="0.3">
      <c r="D2281" t="str">
        <f t="shared" si="64"/>
        <v/>
      </c>
    </row>
    <row r="2282" spans="4:4" x14ac:dyDescent="0.3">
      <c r="D2282" t="str">
        <f t="shared" si="64"/>
        <v/>
      </c>
    </row>
    <row r="2283" spans="4:4" x14ac:dyDescent="0.3">
      <c r="D2283" t="str">
        <f t="shared" si="64"/>
        <v/>
      </c>
    </row>
    <row r="2284" spans="4:4" x14ac:dyDescent="0.3">
      <c r="D2284" t="str">
        <f t="shared" si="64"/>
        <v/>
      </c>
    </row>
    <row r="2285" spans="4:4" x14ac:dyDescent="0.3">
      <c r="D2285" t="str">
        <f t="shared" si="64"/>
        <v/>
      </c>
    </row>
    <row r="2286" spans="4:4" x14ac:dyDescent="0.3">
      <c r="D2286" t="str">
        <f t="shared" si="64"/>
        <v/>
      </c>
    </row>
    <row r="2287" spans="4:4" x14ac:dyDescent="0.3">
      <c r="D2287" t="str">
        <f t="shared" si="64"/>
        <v/>
      </c>
    </row>
    <row r="2288" spans="4:4" x14ac:dyDescent="0.3">
      <c r="D2288" t="str">
        <f t="shared" si="64"/>
        <v/>
      </c>
    </row>
    <row r="2289" spans="4:4" x14ac:dyDescent="0.3">
      <c r="D2289" t="str">
        <f t="shared" si="64"/>
        <v/>
      </c>
    </row>
    <row r="2290" spans="4:4" x14ac:dyDescent="0.3">
      <c r="D2290" t="str">
        <f t="shared" si="64"/>
        <v/>
      </c>
    </row>
    <row r="2291" spans="4:4" x14ac:dyDescent="0.3">
      <c r="D2291" t="str">
        <f t="shared" si="64"/>
        <v/>
      </c>
    </row>
    <row r="2292" spans="4:4" x14ac:dyDescent="0.3">
      <c r="D2292" t="str">
        <f t="shared" si="64"/>
        <v/>
      </c>
    </row>
    <row r="2293" spans="4:4" x14ac:dyDescent="0.3">
      <c r="D2293" t="str">
        <f t="shared" si="64"/>
        <v/>
      </c>
    </row>
    <row r="2294" spans="4:4" x14ac:dyDescent="0.3">
      <c r="D2294" t="str">
        <f t="shared" si="64"/>
        <v/>
      </c>
    </row>
    <row r="2295" spans="4:4" x14ac:dyDescent="0.3">
      <c r="D2295" t="str">
        <f t="shared" si="64"/>
        <v/>
      </c>
    </row>
    <row r="2296" spans="4:4" x14ac:dyDescent="0.3">
      <c r="D2296" t="str">
        <f t="shared" si="64"/>
        <v/>
      </c>
    </row>
    <row r="2297" spans="4:4" x14ac:dyDescent="0.3">
      <c r="D2297" t="str">
        <f t="shared" si="64"/>
        <v/>
      </c>
    </row>
    <row r="2298" spans="4:4" x14ac:dyDescent="0.3">
      <c r="D2298" t="str">
        <f t="shared" si="64"/>
        <v/>
      </c>
    </row>
    <row r="2299" spans="4:4" x14ac:dyDescent="0.3">
      <c r="D2299" t="str">
        <f t="shared" si="64"/>
        <v/>
      </c>
    </row>
    <row r="2300" spans="4:4" x14ac:dyDescent="0.3">
      <c r="D2300" t="str">
        <f t="shared" si="64"/>
        <v/>
      </c>
    </row>
    <row r="2301" spans="4:4" x14ac:dyDescent="0.3">
      <c r="D2301" t="str">
        <f t="shared" si="64"/>
        <v/>
      </c>
    </row>
    <row r="2302" spans="4:4" x14ac:dyDescent="0.3">
      <c r="D2302" t="str">
        <f t="shared" ref="D2302:D2365" si="65">IF(LEFT(A2302,2)="SP",MID(A2302,4,4),IF(LEFT(A2302,1)="X",MID(A2302,3,4),""))</f>
        <v/>
      </c>
    </row>
    <row r="2303" spans="4:4" x14ac:dyDescent="0.3">
      <c r="D2303" t="str">
        <f t="shared" si="65"/>
        <v/>
      </c>
    </row>
    <row r="2304" spans="4:4" x14ac:dyDescent="0.3">
      <c r="D2304" t="str">
        <f t="shared" si="65"/>
        <v/>
      </c>
    </row>
    <row r="2305" spans="4:4" x14ac:dyDescent="0.3">
      <c r="D2305" t="str">
        <f t="shared" si="65"/>
        <v/>
      </c>
    </row>
    <row r="2306" spans="4:4" x14ac:dyDescent="0.3">
      <c r="D2306" t="str">
        <f t="shared" si="65"/>
        <v/>
      </c>
    </row>
    <row r="2307" spans="4:4" x14ac:dyDescent="0.3">
      <c r="D2307" t="str">
        <f t="shared" si="65"/>
        <v/>
      </c>
    </row>
    <row r="2308" spans="4:4" x14ac:dyDescent="0.3">
      <c r="D2308" t="str">
        <f t="shared" si="65"/>
        <v/>
      </c>
    </row>
    <row r="2309" spans="4:4" x14ac:dyDescent="0.3">
      <c r="D2309" t="str">
        <f t="shared" si="65"/>
        <v/>
      </c>
    </row>
    <row r="2310" spans="4:4" x14ac:dyDescent="0.3">
      <c r="D2310" t="str">
        <f t="shared" si="65"/>
        <v/>
      </c>
    </row>
    <row r="2311" spans="4:4" x14ac:dyDescent="0.3">
      <c r="D2311" t="str">
        <f t="shared" si="65"/>
        <v/>
      </c>
    </row>
    <row r="2312" spans="4:4" x14ac:dyDescent="0.3">
      <c r="D2312" t="str">
        <f t="shared" si="65"/>
        <v/>
      </c>
    </row>
    <row r="2313" spans="4:4" x14ac:dyDescent="0.3">
      <c r="D2313" t="str">
        <f t="shared" si="65"/>
        <v/>
      </c>
    </row>
    <row r="2314" spans="4:4" x14ac:dyDescent="0.3">
      <c r="D2314" t="str">
        <f t="shared" si="65"/>
        <v/>
      </c>
    </row>
    <row r="2315" spans="4:4" x14ac:dyDescent="0.3">
      <c r="D2315" t="str">
        <f t="shared" si="65"/>
        <v/>
      </c>
    </row>
    <row r="2316" spans="4:4" x14ac:dyDescent="0.3">
      <c r="D2316" t="str">
        <f t="shared" si="65"/>
        <v/>
      </c>
    </row>
    <row r="2317" spans="4:4" x14ac:dyDescent="0.3">
      <c r="D2317" t="str">
        <f t="shared" si="65"/>
        <v/>
      </c>
    </row>
    <row r="2318" spans="4:4" x14ac:dyDescent="0.3">
      <c r="D2318" t="str">
        <f t="shared" si="65"/>
        <v/>
      </c>
    </row>
    <row r="2319" spans="4:4" x14ac:dyDescent="0.3">
      <c r="D2319" t="str">
        <f t="shared" si="65"/>
        <v/>
      </c>
    </row>
    <row r="2320" spans="4:4" x14ac:dyDescent="0.3">
      <c r="D2320" t="str">
        <f t="shared" si="65"/>
        <v/>
      </c>
    </row>
    <row r="2321" spans="4:4" x14ac:dyDescent="0.3">
      <c r="D2321" t="str">
        <f t="shared" si="65"/>
        <v/>
      </c>
    </row>
    <row r="2322" spans="4:4" x14ac:dyDescent="0.3">
      <c r="D2322" t="str">
        <f t="shared" si="65"/>
        <v/>
      </c>
    </row>
    <row r="2323" spans="4:4" x14ac:dyDescent="0.3">
      <c r="D2323" t="str">
        <f t="shared" si="65"/>
        <v/>
      </c>
    </row>
    <row r="2324" spans="4:4" x14ac:dyDescent="0.3">
      <c r="D2324" t="str">
        <f t="shared" si="65"/>
        <v/>
      </c>
    </row>
    <row r="2325" spans="4:4" x14ac:dyDescent="0.3">
      <c r="D2325" t="str">
        <f t="shared" si="65"/>
        <v/>
      </c>
    </row>
    <row r="2326" spans="4:4" x14ac:dyDescent="0.3">
      <c r="D2326" t="str">
        <f t="shared" si="65"/>
        <v/>
      </c>
    </row>
    <row r="2327" spans="4:4" x14ac:dyDescent="0.3">
      <c r="D2327" t="str">
        <f t="shared" si="65"/>
        <v/>
      </c>
    </row>
    <row r="2328" spans="4:4" x14ac:dyDescent="0.3">
      <c r="D2328" t="str">
        <f t="shared" si="65"/>
        <v/>
      </c>
    </row>
    <row r="2329" spans="4:4" x14ac:dyDescent="0.3">
      <c r="D2329" t="str">
        <f t="shared" si="65"/>
        <v/>
      </c>
    </row>
    <row r="2330" spans="4:4" x14ac:dyDescent="0.3">
      <c r="D2330" t="str">
        <f t="shared" si="65"/>
        <v/>
      </c>
    </row>
    <row r="2331" spans="4:4" x14ac:dyDescent="0.3">
      <c r="D2331" t="str">
        <f t="shared" si="65"/>
        <v/>
      </c>
    </row>
    <row r="2332" spans="4:4" x14ac:dyDescent="0.3">
      <c r="D2332" t="str">
        <f t="shared" si="65"/>
        <v/>
      </c>
    </row>
    <row r="2333" spans="4:4" x14ac:dyDescent="0.3">
      <c r="D2333" t="str">
        <f t="shared" si="65"/>
        <v/>
      </c>
    </row>
    <row r="2334" spans="4:4" x14ac:dyDescent="0.3">
      <c r="D2334" t="str">
        <f t="shared" si="65"/>
        <v/>
      </c>
    </row>
    <row r="2335" spans="4:4" x14ac:dyDescent="0.3">
      <c r="D2335" t="str">
        <f t="shared" si="65"/>
        <v/>
      </c>
    </row>
    <row r="2336" spans="4:4" x14ac:dyDescent="0.3">
      <c r="D2336" t="str">
        <f t="shared" si="65"/>
        <v/>
      </c>
    </row>
    <row r="2337" spans="4:4" x14ac:dyDescent="0.3">
      <c r="D2337" t="str">
        <f t="shared" si="65"/>
        <v/>
      </c>
    </row>
    <row r="2338" spans="4:4" x14ac:dyDescent="0.3">
      <c r="D2338" t="str">
        <f t="shared" si="65"/>
        <v/>
      </c>
    </row>
    <row r="2339" spans="4:4" x14ac:dyDescent="0.3">
      <c r="D2339" t="str">
        <f t="shared" si="65"/>
        <v/>
      </c>
    </row>
    <row r="2340" spans="4:4" x14ac:dyDescent="0.3">
      <c r="D2340" t="str">
        <f t="shared" si="65"/>
        <v/>
      </c>
    </row>
    <row r="2341" spans="4:4" x14ac:dyDescent="0.3">
      <c r="D2341" t="str">
        <f t="shared" si="65"/>
        <v/>
      </c>
    </row>
    <row r="2342" spans="4:4" x14ac:dyDescent="0.3">
      <c r="D2342" t="str">
        <f t="shared" si="65"/>
        <v/>
      </c>
    </row>
    <row r="2343" spans="4:4" x14ac:dyDescent="0.3">
      <c r="D2343" t="str">
        <f t="shared" si="65"/>
        <v/>
      </c>
    </row>
    <row r="2344" spans="4:4" x14ac:dyDescent="0.3">
      <c r="D2344" t="str">
        <f t="shared" si="65"/>
        <v/>
      </c>
    </row>
    <row r="2345" spans="4:4" x14ac:dyDescent="0.3">
      <c r="D2345" t="str">
        <f t="shared" si="65"/>
        <v/>
      </c>
    </row>
    <row r="2346" spans="4:4" x14ac:dyDescent="0.3">
      <c r="D2346" t="str">
        <f t="shared" si="65"/>
        <v/>
      </c>
    </row>
    <row r="2347" spans="4:4" x14ac:dyDescent="0.3">
      <c r="D2347" t="str">
        <f t="shared" si="65"/>
        <v/>
      </c>
    </row>
    <row r="2348" spans="4:4" x14ac:dyDescent="0.3">
      <c r="D2348" t="str">
        <f t="shared" si="65"/>
        <v/>
      </c>
    </row>
    <row r="2349" spans="4:4" x14ac:dyDescent="0.3">
      <c r="D2349" t="str">
        <f t="shared" si="65"/>
        <v/>
      </c>
    </row>
    <row r="2350" spans="4:4" x14ac:dyDescent="0.3">
      <c r="D2350" t="str">
        <f t="shared" si="65"/>
        <v/>
      </c>
    </row>
    <row r="2351" spans="4:4" x14ac:dyDescent="0.3">
      <c r="D2351" t="str">
        <f t="shared" si="65"/>
        <v/>
      </c>
    </row>
    <row r="2352" spans="4:4" x14ac:dyDescent="0.3">
      <c r="D2352" t="str">
        <f t="shared" si="65"/>
        <v/>
      </c>
    </row>
    <row r="2353" spans="4:4" x14ac:dyDescent="0.3">
      <c r="D2353" t="str">
        <f t="shared" si="65"/>
        <v/>
      </c>
    </row>
    <row r="2354" spans="4:4" x14ac:dyDescent="0.3">
      <c r="D2354" t="str">
        <f t="shared" si="65"/>
        <v/>
      </c>
    </row>
    <row r="2355" spans="4:4" x14ac:dyDescent="0.3">
      <c r="D2355" t="str">
        <f t="shared" si="65"/>
        <v/>
      </c>
    </row>
    <row r="2356" spans="4:4" x14ac:dyDescent="0.3">
      <c r="D2356" t="str">
        <f t="shared" si="65"/>
        <v/>
      </c>
    </row>
    <row r="2357" spans="4:4" x14ac:dyDescent="0.3">
      <c r="D2357" t="str">
        <f t="shared" si="65"/>
        <v/>
      </c>
    </row>
    <row r="2358" spans="4:4" x14ac:dyDescent="0.3">
      <c r="D2358" t="str">
        <f t="shared" si="65"/>
        <v/>
      </c>
    </row>
    <row r="2359" spans="4:4" x14ac:dyDescent="0.3">
      <c r="D2359" t="str">
        <f t="shared" si="65"/>
        <v/>
      </c>
    </row>
    <row r="2360" spans="4:4" x14ac:dyDescent="0.3">
      <c r="D2360" t="str">
        <f t="shared" si="65"/>
        <v/>
      </c>
    </row>
    <row r="2361" spans="4:4" x14ac:dyDescent="0.3">
      <c r="D2361" t="str">
        <f t="shared" si="65"/>
        <v/>
      </c>
    </row>
    <row r="2362" spans="4:4" x14ac:dyDescent="0.3">
      <c r="D2362" t="str">
        <f t="shared" si="65"/>
        <v/>
      </c>
    </row>
    <row r="2363" spans="4:4" x14ac:dyDescent="0.3">
      <c r="D2363" t="str">
        <f t="shared" si="65"/>
        <v/>
      </c>
    </row>
    <row r="2364" spans="4:4" x14ac:dyDescent="0.3">
      <c r="D2364" t="str">
        <f t="shared" si="65"/>
        <v/>
      </c>
    </row>
    <row r="2365" spans="4:4" x14ac:dyDescent="0.3">
      <c r="D2365" t="str">
        <f t="shared" si="65"/>
        <v/>
      </c>
    </row>
    <row r="2366" spans="4:4" x14ac:dyDescent="0.3">
      <c r="D2366" t="str">
        <f t="shared" ref="D2366:D2429" si="66">IF(LEFT(A2366,2)="SP",MID(A2366,4,4),IF(LEFT(A2366,1)="X",MID(A2366,3,4),""))</f>
        <v/>
      </c>
    </row>
    <row r="2367" spans="4:4" x14ac:dyDescent="0.3">
      <c r="D2367" t="str">
        <f t="shared" si="66"/>
        <v/>
      </c>
    </row>
    <row r="2368" spans="4:4" x14ac:dyDescent="0.3">
      <c r="D2368" t="str">
        <f t="shared" si="66"/>
        <v/>
      </c>
    </row>
    <row r="2369" spans="4:4" x14ac:dyDescent="0.3">
      <c r="D2369" t="str">
        <f t="shared" si="66"/>
        <v/>
      </c>
    </row>
    <row r="2370" spans="4:4" x14ac:dyDescent="0.3">
      <c r="D2370" t="str">
        <f t="shared" si="66"/>
        <v/>
      </c>
    </row>
    <row r="2371" spans="4:4" x14ac:dyDescent="0.3">
      <c r="D2371" t="str">
        <f t="shared" si="66"/>
        <v/>
      </c>
    </row>
    <row r="2372" spans="4:4" x14ac:dyDescent="0.3">
      <c r="D2372" t="str">
        <f t="shared" si="66"/>
        <v/>
      </c>
    </row>
    <row r="2373" spans="4:4" x14ac:dyDescent="0.3">
      <c r="D2373" t="str">
        <f t="shared" si="66"/>
        <v/>
      </c>
    </row>
    <row r="2374" spans="4:4" x14ac:dyDescent="0.3">
      <c r="D2374" t="str">
        <f t="shared" si="66"/>
        <v/>
      </c>
    </row>
    <row r="2375" spans="4:4" x14ac:dyDescent="0.3">
      <c r="D2375" t="str">
        <f t="shared" si="66"/>
        <v/>
      </c>
    </row>
    <row r="2376" spans="4:4" x14ac:dyDescent="0.3">
      <c r="D2376" t="str">
        <f t="shared" si="66"/>
        <v/>
      </c>
    </row>
    <row r="2377" spans="4:4" x14ac:dyDescent="0.3">
      <c r="D2377" t="str">
        <f t="shared" si="66"/>
        <v/>
      </c>
    </row>
    <row r="2378" spans="4:4" x14ac:dyDescent="0.3">
      <c r="D2378" t="str">
        <f t="shared" si="66"/>
        <v/>
      </c>
    </row>
    <row r="2379" spans="4:4" x14ac:dyDescent="0.3">
      <c r="D2379" t="str">
        <f t="shared" si="66"/>
        <v/>
      </c>
    </row>
    <row r="2380" spans="4:4" x14ac:dyDescent="0.3">
      <c r="D2380" t="str">
        <f t="shared" si="66"/>
        <v/>
      </c>
    </row>
    <row r="2381" spans="4:4" x14ac:dyDescent="0.3">
      <c r="D2381" t="str">
        <f t="shared" si="66"/>
        <v/>
      </c>
    </row>
    <row r="2382" spans="4:4" x14ac:dyDescent="0.3">
      <c r="D2382" t="str">
        <f t="shared" si="66"/>
        <v/>
      </c>
    </row>
    <row r="2383" spans="4:4" x14ac:dyDescent="0.3">
      <c r="D2383" t="str">
        <f t="shared" si="66"/>
        <v/>
      </c>
    </row>
    <row r="2384" spans="4:4" x14ac:dyDescent="0.3">
      <c r="D2384" t="str">
        <f t="shared" si="66"/>
        <v/>
      </c>
    </row>
    <row r="2385" spans="4:4" x14ac:dyDescent="0.3">
      <c r="D2385" t="str">
        <f t="shared" si="66"/>
        <v/>
      </c>
    </row>
    <row r="2386" spans="4:4" x14ac:dyDescent="0.3">
      <c r="D2386" t="str">
        <f t="shared" si="66"/>
        <v/>
      </c>
    </row>
    <row r="2387" spans="4:4" x14ac:dyDescent="0.3">
      <c r="D2387" t="str">
        <f t="shared" si="66"/>
        <v/>
      </c>
    </row>
    <row r="2388" spans="4:4" x14ac:dyDescent="0.3">
      <c r="D2388" t="str">
        <f t="shared" si="66"/>
        <v/>
      </c>
    </row>
    <row r="2389" spans="4:4" x14ac:dyDescent="0.3">
      <c r="D2389" t="str">
        <f t="shared" si="66"/>
        <v/>
      </c>
    </row>
    <row r="2390" spans="4:4" x14ac:dyDescent="0.3">
      <c r="D2390" t="str">
        <f t="shared" si="66"/>
        <v/>
      </c>
    </row>
    <row r="2391" spans="4:4" x14ac:dyDescent="0.3">
      <c r="D2391" t="str">
        <f t="shared" si="66"/>
        <v/>
      </c>
    </row>
    <row r="2392" spans="4:4" x14ac:dyDescent="0.3">
      <c r="D2392" t="str">
        <f t="shared" si="66"/>
        <v/>
      </c>
    </row>
    <row r="2393" spans="4:4" x14ac:dyDescent="0.3">
      <c r="D2393" t="str">
        <f t="shared" si="66"/>
        <v/>
      </c>
    </row>
    <row r="2394" spans="4:4" x14ac:dyDescent="0.3">
      <c r="D2394" t="str">
        <f t="shared" si="66"/>
        <v/>
      </c>
    </row>
    <row r="2395" spans="4:4" x14ac:dyDescent="0.3">
      <c r="D2395" t="str">
        <f t="shared" si="66"/>
        <v/>
      </c>
    </row>
    <row r="2396" spans="4:4" x14ac:dyDescent="0.3">
      <c r="D2396" t="str">
        <f t="shared" si="66"/>
        <v/>
      </c>
    </row>
    <row r="2397" spans="4:4" x14ac:dyDescent="0.3">
      <c r="D2397" t="str">
        <f t="shared" si="66"/>
        <v/>
      </c>
    </row>
    <row r="2398" spans="4:4" x14ac:dyDescent="0.3">
      <c r="D2398" t="str">
        <f t="shared" si="66"/>
        <v/>
      </c>
    </row>
    <row r="2399" spans="4:4" x14ac:dyDescent="0.3">
      <c r="D2399" t="str">
        <f t="shared" si="66"/>
        <v/>
      </c>
    </row>
    <row r="2400" spans="4:4" x14ac:dyDescent="0.3">
      <c r="D2400" t="str">
        <f t="shared" si="66"/>
        <v/>
      </c>
    </row>
    <row r="2401" spans="4:4" x14ac:dyDescent="0.3">
      <c r="D2401" t="str">
        <f t="shared" si="66"/>
        <v/>
      </c>
    </row>
    <row r="2402" spans="4:4" x14ac:dyDescent="0.3">
      <c r="D2402" t="str">
        <f t="shared" si="66"/>
        <v/>
      </c>
    </row>
    <row r="2403" spans="4:4" x14ac:dyDescent="0.3">
      <c r="D2403" t="str">
        <f t="shared" si="66"/>
        <v/>
      </c>
    </row>
    <row r="2404" spans="4:4" x14ac:dyDescent="0.3">
      <c r="D2404" t="str">
        <f t="shared" si="66"/>
        <v/>
      </c>
    </row>
    <row r="2405" spans="4:4" x14ac:dyDescent="0.3">
      <c r="D2405" t="str">
        <f t="shared" si="66"/>
        <v/>
      </c>
    </row>
    <row r="2406" spans="4:4" x14ac:dyDescent="0.3">
      <c r="D2406" t="str">
        <f t="shared" si="66"/>
        <v/>
      </c>
    </row>
    <row r="2407" spans="4:4" x14ac:dyDescent="0.3">
      <c r="D2407" t="str">
        <f t="shared" si="66"/>
        <v/>
      </c>
    </row>
    <row r="2408" spans="4:4" x14ac:dyDescent="0.3">
      <c r="D2408" t="str">
        <f t="shared" si="66"/>
        <v/>
      </c>
    </row>
    <row r="2409" spans="4:4" x14ac:dyDescent="0.3">
      <c r="D2409" t="str">
        <f t="shared" si="66"/>
        <v/>
      </c>
    </row>
    <row r="2410" spans="4:4" x14ac:dyDescent="0.3">
      <c r="D2410" t="str">
        <f t="shared" si="66"/>
        <v/>
      </c>
    </row>
    <row r="2411" spans="4:4" x14ac:dyDescent="0.3">
      <c r="D2411" t="str">
        <f t="shared" si="66"/>
        <v/>
      </c>
    </row>
    <row r="2412" spans="4:4" x14ac:dyDescent="0.3">
      <c r="D2412" t="str">
        <f t="shared" si="66"/>
        <v/>
      </c>
    </row>
    <row r="2413" spans="4:4" x14ac:dyDescent="0.3">
      <c r="D2413" t="str">
        <f t="shared" si="66"/>
        <v/>
      </c>
    </row>
    <row r="2414" spans="4:4" x14ac:dyDescent="0.3">
      <c r="D2414" t="str">
        <f t="shared" si="66"/>
        <v/>
      </c>
    </row>
    <row r="2415" spans="4:4" x14ac:dyDescent="0.3">
      <c r="D2415" t="str">
        <f t="shared" si="66"/>
        <v/>
      </c>
    </row>
    <row r="2416" spans="4:4" x14ac:dyDescent="0.3">
      <c r="D2416" t="str">
        <f t="shared" si="66"/>
        <v/>
      </c>
    </row>
    <row r="2417" spans="4:4" x14ac:dyDescent="0.3">
      <c r="D2417" t="str">
        <f t="shared" si="66"/>
        <v/>
      </c>
    </row>
    <row r="2418" spans="4:4" x14ac:dyDescent="0.3">
      <c r="D2418" t="str">
        <f t="shared" si="66"/>
        <v/>
      </c>
    </row>
    <row r="2419" spans="4:4" x14ac:dyDescent="0.3">
      <c r="D2419" t="str">
        <f t="shared" si="66"/>
        <v/>
      </c>
    </row>
    <row r="2420" spans="4:4" x14ac:dyDescent="0.3">
      <c r="D2420" t="str">
        <f t="shared" si="66"/>
        <v/>
      </c>
    </row>
    <row r="2421" spans="4:4" x14ac:dyDescent="0.3">
      <c r="D2421" t="str">
        <f t="shared" si="66"/>
        <v/>
      </c>
    </row>
    <row r="2422" spans="4:4" x14ac:dyDescent="0.3">
      <c r="D2422" t="str">
        <f t="shared" si="66"/>
        <v/>
      </c>
    </row>
    <row r="2423" spans="4:4" x14ac:dyDescent="0.3">
      <c r="D2423" t="str">
        <f t="shared" si="66"/>
        <v/>
      </c>
    </row>
    <row r="2424" spans="4:4" x14ac:dyDescent="0.3">
      <c r="D2424" t="str">
        <f t="shared" si="66"/>
        <v/>
      </c>
    </row>
    <row r="2425" spans="4:4" x14ac:dyDescent="0.3">
      <c r="D2425" t="str">
        <f t="shared" si="66"/>
        <v/>
      </c>
    </row>
    <row r="2426" spans="4:4" x14ac:dyDescent="0.3">
      <c r="D2426" t="str">
        <f t="shared" si="66"/>
        <v/>
      </c>
    </row>
    <row r="2427" spans="4:4" x14ac:dyDescent="0.3">
      <c r="D2427" t="str">
        <f t="shared" si="66"/>
        <v/>
      </c>
    </row>
    <row r="2428" spans="4:4" x14ac:dyDescent="0.3">
      <c r="D2428" t="str">
        <f t="shared" si="66"/>
        <v/>
      </c>
    </row>
    <row r="2429" spans="4:4" x14ac:dyDescent="0.3">
      <c r="D2429" t="str">
        <f t="shared" si="66"/>
        <v/>
      </c>
    </row>
    <row r="2430" spans="4:4" x14ac:dyDescent="0.3">
      <c r="D2430" t="str">
        <f t="shared" ref="D2430:D2493" si="67">IF(LEFT(A2430,2)="SP",MID(A2430,4,4),IF(LEFT(A2430,1)="X",MID(A2430,3,4),""))</f>
        <v/>
      </c>
    </row>
    <row r="2431" spans="4:4" x14ac:dyDescent="0.3">
      <c r="D2431" t="str">
        <f t="shared" si="67"/>
        <v/>
      </c>
    </row>
    <row r="2432" spans="4:4" x14ac:dyDescent="0.3">
      <c r="D2432" t="str">
        <f t="shared" si="67"/>
        <v/>
      </c>
    </row>
    <row r="2433" spans="4:4" x14ac:dyDescent="0.3">
      <c r="D2433" t="str">
        <f t="shared" si="67"/>
        <v/>
      </c>
    </row>
    <row r="2434" spans="4:4" x14ac:dyDescent="0.3">
      <c r="D2434" t="str">
        <f t="shared" si="67"/>
        <v/>
      </c>
    </row>
    <row r="2435" spans="4:4" x14ac:dyDescent="0.3">
      <c r="D2435" t="str">
        <f t="shared" si="67"/>
        <v/>
      </c>
    </row>
    <row r="2436" spans="4:4" x14ac:dyDescent="0.3">
      <c r="D2436" t="str">
        <f t="shared" si="67"/>
        <v/>
      </c>
    </row>
    <row r="2437" spans="4:4" x14ac:dyDescent="0.3">
      <c r="D2437" t="str">
        <f t="shared" si="67"/>
        <v/>
      </c>
    </row>
    <row r="2438" spans="4:4" x14ac:dyDescent="0.3">
      <c r="D2438" t="str">
        <f t="shared" si="67"/>
        <v/>
      </c>
    </row>
    <row r="2439" spans="4:4" x14ac:dyDescent="0.3">
      <c r="D2439" t="str">
        <f t="shared" si="67"/>
        <v/>
      </c>
    </row>
    <row r="2440" spans="4:4" x14ac:dyDescent="0.3">
      <c r="D2440" t="str">
        <f t="shared" si="67"/>
        <v/>
      </c>
    </row>
    <row r="2441" spans="4:4" x14ac:dyDescent="0.3">
      <c r="D2441" t="str">
        <f t="shared" si="67"/>
        <v/>
      </c>
    </row>
    <row r="2442" spans="4:4" x14ac:dyDescent="0.3">
      <c r="D2442" t="str">
        <f t="shared" si="67"/>
        <v/>
      </c>
    </row>
    <row r="2443" spans="4:4" x14ac:dyDescent="0.3">
      <c r="D2443" t="str">
        <f t="shared" si="67"/>
        <v/>
      </c>
    </row>
    <row r="2444" spans="4:4" x14ac:dyDescent="0.3">
      <c r="D2444" t="str">
        <f t="shared" si="67"/>
        <v/>
      </c>
    </row>
    <row r="2445" spans="4:4" x14ac:dyDescent="0.3">
      <c r="D2445" t="str">
        <f t="shared" si="67"/>
        <v/>
      </c>
    </row>
    <row r="2446" spans="4:4" x14ac:dyDescent="0.3">
      <c r="D2446" t="str">
        <f t="shared" si="67"/>
        <v/>
      </c>
    </row>
    <row r="2447" spans="4:4" x14ac:dyDescent="0.3">
      <c r="D2447" t="str">
        <f t="shared" si="67"/>
        <v/>
      </c>
    </row>
    <row r="2448" spans="4:4" x14ac:dyDescent="0.3">
      <c r="D2448" t="str">
        <f t="shared" si="67"/>
        <v/>
      </c>
    </row>
    <row r="2449" spans="4:4" x14ac:dyDescent="0.3">
      <c r="D2449" t="str">
        <f t="shared" si="67"/>
        <v/>
      </c>
    </row>
    <row r="2450" spans="4:4" x14ac:dyDescent="0.3">
      <c r="D2450" t="str">
        <f t="shared" si="67"/>
        <v/>
      </c>
    </row>
    <row r="2451" spans="4:4" x14ac:dyDescent="0.3">
      <c r="D2451" t="str">
        <f t="shared" si="67"/>
        <v/>
      </c>
    </row>
    <row r="2452" spans="4:4" x14ac:dyDescent="0.3">
      <c r="D2452" t="str">
        <f t="shared" si="67"/>
        <v/>
      </c>
    </row>
    <row r="2453" spans="4:4" x14ac:dyDescent="0.3">
      <c r="D2453" t="str">
        <f t="shared" si="67"/>
        <v/>
      </c>
    </row>
    <row r="2454" spans="4:4" x14ac:dyDescent="0.3">
      <c r="D2454" t="str">
        <f t="shared" si="67"/>
        <v/>
      </c>
    </row>
    <row r="2455" spans="4:4" x14ac:dyDescent="0.3">
      <c r="D2455" t="str">
        <f t="shared" si="67"/>
        <v/>
      </c>
    </row>
    <row r="2456" spans="4:4" x14ac:dyDescent="0.3">
      <c r="D2456" t="str">
        <f t="shared" si="67"/>
        <v/>
      </c>
    </row>
    <row r="2457" spans="4:4" x14ac:dyDescent="0.3">
      <c r="D2457" t="str">
        <f t="shared" si="67"/>
        <v/>
      </c>
    </row>
    <row r="2458" spans="4:4" x14ac:dyDescent="0.3">
      <c r="D2458" t="str">
        <f t="shared" si="67"/>
        <v/>
      </c>
    </row>
    <row r="2459" spans="4:4" x14ac:dyDescent="0.3">
      <c r="D2459" t="str">
        <f t="shared" si="67"/>
        <v/>
      </c>
    </row>
    <row r="2460" spans="4:4" x14ac:dyDescent="0.3">
      <c r="D2460" t="str">
        <f t="shared" si="67"/>
        <v/>
      </c>
    </row>
    <row r="2461" spans="4:4" x14ac:dyDescent="0.3">
      <c r="D2461" t="str">
        <f t="shared" si="67"/>
        <v/>
      </c>
    </row>
    <row r="2462" spans="4:4" x14ac:dyDescent="0.3">
      <c r="D2462" t="str">
        <f t="shared" si="67"/>
        <v/>
      </c>
    </row>
    <row r="2463" spans="4:4" x14ac:dyDescent="0.3">
      <c r="D2463" t="str">
        <f t="shared" si="67"/>
        <v/>
      </c>
    </row>
    <row r="2464" spans="4:4" x14ac:dyDescent="0.3">
      <c r="D2464" t="str">
        <f t="shared" si="67"/>
        <v/>
      </c>
    </row>
    <row r="2465" spans="4:4" x14ac:dyDescent="0.3">
      <c r="D2465" t="str">
        <f t="shared" si="67"/>
        <v/>
      </c>
    </row>
    <row r="2466" spans="4:4" x14ac:dyDescent="0.3">
      <c r="D2466" t="str">
        <f t="shared" si="67"/>
        <v/>
      </c>
    </row>
    <row r="2467" spans="4:4" x14ac:dyDescent="0.3">
      <c r="D2467" t="str">
        <f t="shared" si="67"/>
        <v/>
      </c>
    </row>
    <row r="2468" spans="4:4" x14ac:dyDescent="0.3">
      <c r="D2468" t="str">
        <f t="shared" si="67"/>
        <v/>
      </c>
    </row>
    <row r="2469" spans="4:4" x14ac:dyDescent="0.3">
      <c r="D2469" t="str">
        <f t="shared" si="67"/>
        <v/>
      </c>
    </row>
    <row r="2470" spans="4:4" x14ac:dyDescent="0.3">
      <c r="D2470" t="str">
        <f t="shared" si="67"/>
        <v/>
      </c>
    </row>
    <row r="2471" spans="4:4" x14ac:dyDescent="0.3">
      <c r="D2471" t="str">
        <f t="shared" si="67"/>
        <v/>
      </c>
    </row>
    <row r="2472" spans="4:4" x14ac:dyDescent="0.3">
      <c r="D2472" t="str">
        <f t="shared" si="67"/>
        <v/>
      </c>
    </row>
    <row r="2473" spans="4:4" x14ac:dyDescent="0.3">
      <c r="D2473" t="str">
        <f t="shared" si="67"/>
        <v/>
      </c>
    </row>
    <row r="2474" spans="4:4" x14ac:dyDescent="0.3">
      <c r="D2474" t="str">
        <f t="shared" si="67"/>
        <v/>
      </c>
    </row>
    <row r="2475" spans="4:4" x14ac:dyDescent="0.3">
      <c r="D2475" t="str">
        <f t="shared" si="67"/>
        <v/>
      </c>
    </row>
    <row r="2476" spans="4:4" x14ac:dyDescent="0.3">
      <c r="D2476" t="str">
        <f t="shared" si="67"/>
        <v/>
      </c>
    </row>
    <row r="2477" spans="4:4" x14ac:dyDescent="0.3">
      <c r="D2477" t="str">
        <f t="shared" si="67"/>
        <v/>
      </c>
    </row>
    <row r="2478" spans="4:4" x14ac:dyDescent="0.3">
      <c r="D2478" t="str">
        <f t="shared" si="67"/>
        <v/>
      </c>
    </row>
    <row r="2479" spans="4:4" x14ac:dyDescent="0.3">
      <c r="D2479" t="str">
        <f t="shared" si="67"/>
        <v/>
      </c>
    </row>
    <row r="2480" spans="4:4" x14ac:dyDescent="0.3">
      <c r="D2480" t="str">
        <f t="shared" si="67"/>
        <v/>
      </c>
    </row>
    <row r="2481" spans="4:4" x14ac:dyDescent="0.3">
      <c r="D2481" t="str">
        <f t="shared" si="67"/>
        <v/>
      </c>
    </row>
    <row r="2482" spans="4:4" x14ac:dyDescent="0.3">
      <c r="D2482" t="str">
        <f t="shared" si="67"/>
        <v/>
      </c>
    </row>
    <row r="2483" spans="4:4" x14ac:dyDescent="0.3">
      <c r="D2483" t="str">
        <f t="shared" si="67"/>
        <v/>
      </c>
    </row>
    <row r="2484" spans="4:4" x14ac:dyDescent="0.3">
      <c r="D2484" t="str">
        <f t="shared" si="67"/>
        <v/>
      </c>
    </row>
    <row r="2485" spans="4:4" x14ac:dyDescent="0.3">
      <c r="D2485" t="str">
        <f t="shared" si="67"/>
        <v/>
      </c>
    </row>
    <row r="2486" spans="4:4" x14ac:dyDescent="0.3">
      <c r="D2486" t="str">
        <f t="shared" si="67"/>
        <v/>
      </c>
    </row>
    <row r="2487" spans="4:4" x14ac:dyDescent="0.3">
      <c r="D2487" t="str">
        <f t="shared" si="67"/>
        <v/>
      </c>
    </row>
    <row r="2488" spans="4:4" x14ac:dyDescent="0.3">
      <c r="D2488" t="str">
        <f t="shared" si="67"/>
        <v/>
      </c>
    </row>
    <row r="2489" spans="4:4" x14ac:dyDescent="0.3">
      <c r="D2489" t="str">
        <f t="shared" si="67"/>
        <v/>
      </c>
    </row>
    <row r="2490" spans="4:4" x14ac:dyDescent="0.3">
      <c r="D2490" t="str">
        <f t="shared" si="67"/>
        <v/>
      </c>
    </row>
    <row r="2491" spans="4:4" x14ac:dyDescent="0.3">
      <c r="D2491" t="str">
        <f t="shared" si="67"/>
        <v/>
      </c>
    </row>
    <row r="2492" spans="4:4" x14ac:dyDescent="0.3">
      <c r="D2492" t="str">
        <f t="shared" si="67"/>
        <v/>
      </c>
    </row>
    <row r="2493" spans="4:4" x14ac:dyDescent="0.3">
      <c r="D2493" t="str">
        <f t="shared" si="67"/>
        <v/>
      </c>
    </row>
    <row r="2494" spans="4:4" x14ac:dyDescent="0.3">
      <c r="D2494" t="str">
        <f t="shared" ref="D2494:D2557" si="68">IF(LEFT(A2494,2)="SP",MID(A2494,4,4),IF(LEFT(A2494,1)="X",MID(A2494,3,4),""))</f>
        <v/>
      </c>
    </row>
    <row r="2495" spans="4:4" x14ac:dyDescent="0.3">
      <c r="D2495" t="str">
        <f t="shared" si="68"/>
        <v/>
      </c>
    </row>
    <row r="2496" spans="4:4" x14ac:dyDescent="0.3">
      <c r="D2496" t="str">
        <f t="shared" si="68"/>
        <v/>
      </c>
    </row>
    <row r="2497" spans="4:4" x14ac:dyDescent="0.3">
      <c r="D2497" t="str">
        <f t="shared" si="68"/>
        <v/>
      </c>
    </row>
    <row r="2498" spans="4:4" x14ac:dyDescent="0.3">
      <c r="D2498" t="str">
        <f t="shared" si="68"/>
        <v/>
      </c>
    </row>
    <row r="2499" spans="4:4" x14ac:dyDescent="0.3">
      <c r="D2499" t="str">
        <f t="shared" si="68"/>
        <v/>
      </c>
    </row>
    <row r="2500" spans="4:4" x14ac:dyDescent="0.3">
      <c r="D2500" t="str">
        <f t="shared" si="68"/>
        <v/>
      </c>
    </row>
    <row r="2501" spans="4:4" x14ac:dyDescent="0.3">
      <c r="D2501" t="str">
        <f t="shared" si="68"/>
        <v/>
      </c>
    </row>
    <row r="2502" spans="4:4" x14ac:dyDescent="0.3">
      <c r="D2502" t="str">
        <f t="shared" si="68"/>
        <v/>
      </c>
    </row>
    <row r="2503" spans="4:4" x14ac:dyDescent="0.3">
      <c r="D2503" t="str">
        <f t="shared" si="68"/>
        <v/>
      </c>
    </row>
    <row r="2504" spans="4:4" x14ac:dyDescent="0.3">
      <c r="D2504" t="str">
        <f t="shared" si="68"/>
        <v/>
      </c>
    </row>
    <row r="2505" spans="4:4" x14ac:dyDescent="0.3">
      <c r="D2505" t="str">
        <f t="shared" si="68"/>
        <v/>
      </c>
    </row>
    <row r="2506" spans="4:4" x14ac:dyDescent="0.3">
      <c r="D2506" t="str">
        <f t="shared" si="68"/>
        <v/>
      </c>
    </row>
    <row r="2507" spans="4:4" x14ac:dyDescent="0.3">
      <c r="D2507" t="str">
        <f t="shared" si="68"/>
        <v/>
      </c>
    </row>
    <row r="2508" spans="4:4" x14ac:dyDescent="0.3">
      <c r="D2508" t="str">
        <f t="shared" si="68"/>
        <v/>
      </c>
    </row>
    <row r="2509" spans="4:4" x14ac:dyDescent="0.3">
      <c r="D2509" t="str">
        <f t="shared" si="68"/>
        <v/>
      </c>
    </row>
    <row r="2510" spans="4:4" x14ac:dyDescent="0.3">
      <c r="D2510" t="str">
        <f t="shared" si="68"/>
        <v/>
      </c>
    </row>
    <row r="2511" spans="4:4" x14ac:dyDescent="0.3">
      <c r="D2511" t="str">
        <f t="shared" si="68"/>
        <v/>
      </c>
    </row>
    <row r="2512" spans="4:4" x14ac:dyDescent="0.3">
      <c r="D2512" t="str">
        <f t="shared" si="68"/>
        <v/>
      </c>
    </row>
    <row r="2513" spans="4:4" x14ac:dyDescent="0.3">
      <c r="D2513" t="str">
        <f t="shared" si="68"/>
        <v/>
      </c>
    </row>
    <row r="2514" spans="4:4" x14ac:dyDescent="0.3">
      <c r="D2514" t="str">
        <f t="shared" si="68"/>
        <v/>
      </c>
    </row>
    <row r="2515" spans="4:4" x14ac:dyDescent="0.3">
      <c r="D2515" t="str">
        <f t="shared" si="68"/>
        <v/>
      </c>
    </row>
    <row r="2516" spans="4:4" x14ac:dyDescent="0.3">
      <c r="D2516" t="str">
        <f t="shared" si="68"/>
        <v/>
      </c>
    </row>
    <row r="2517" spans="4:4" x14ac:dyDescent="0.3">
      <c r="D2517" t="str">
        <f t="shared" si="68"/>
        <v/>
      </c>
    </row>
    <row r="2518" spans="4:4" x14ac:dyDescent="0.3">
      <c r="D2518" t="str">
        <f t="shared" si="68"/>
        <v/>
      </c>
    </row>
    <row r="2519" spans="4:4" x14ac:dyDescent="0.3">
      <c r="D2519" t="str">
        <f t="shared" si="68"/>
        <v/>
      </c>
    </row>
    <row r="2520" spans="4:4" x14ac:dyDescent="0.3">
      <c r="D2520" t="str">
        <f t="shared" si="68"/>
        <v/>
      </c>
    </row>
    <row r="2521" spans="4:4" x14ac:dyDescent="0.3">
      <c r="D2521" t="str">
        <f t="shared" si="68"/>
        <v/>
      </c>
    </row>
    <row r="2522" spans="4:4" x14ac:dyDescent="0.3">
      <c r="D2522" t="str">
        <f t="shared" si="68"/>
        <v/>
      </c>
    </row>
    <row r="2523" spans="4:4" x14ac:dyDescent="0.3">
      <c r="D2523" t="str">
        <f t="shared" si="68"/>
        <v/>
      </c>
    </row>
    <row r="2524" spans="4:4" x14ac:dyDescent="0.3">
      <c r="D2524" t="str">
        <f t="shared" si="68"/>
        <v/>
      </c>
    </row>
    <row r="2525" spans="4:4" x14ac:dyDescent="0.3">
      <c r="D2525" t="str">
        <f t="shared" si="68"/>
        <v/>
      </c>
    </row>
    <row r="2526" spans="4:4" x14ac:dyDescent="0.3">
      <c r="D2526" t="str">
        <f t="shared" si="68"/>
        <v/>
      </c>
    </row>
    <row r="2527" spans="4:4" x14ac:dyDescent="0.3">
      <c r="D2527" t="str">
        <f t="shared" si="68"/>
        <v/>
      </c>
    </row>
    <row r="2528" spans="4:4" x14ac:dyDescent="0.3">
      <c r="D2528" t="str">
        <f t="shared" si="68"/>
        <v/>
      </c>
    </row>
    <row r="2529" spans="4:4" x14ac:dyDescent="0.3">
      <c r="D2529" t="str">
        <f t="shared" si="68"/>
        <v/>
      </c>
    </row>
    <row r="2530" spans="4:4" x14ac:dyDescent="0.3">
      <c r="D2530" t="str">
        <f t="shared" si="68"/>
        <v/>
      </c>
    </row>
    <row r="2531" spans="4:4" x14ac:dyDescent="0.3">
      <c r="D2531" t="str">
        <f t="shared" si="68"/>
        <v/>
      </c>
    </row>
    <row r="2532" spans="4:4" x14ac:dyDescent="0.3">
      <c r="D2532" t="str">
        <f t="shared" si="68"/>
        <v/>
      </c>
    </row>
    <row r="2533" spans="4:4" x14ac:dyDescent="0.3">
      <c r="D2533" t="str">
        <f t="shared" si="68"/>
        <v/>
      </c>
    </row>
    <row r="2534" spans="4:4" x14ac:dyDescent="0.3">
      <c r="D2534" t="str">
        <f t="shared" si="68"/>
        <v/>
      </c>
    </row>
    <row r="2535" spans="4:4" x14ac:dyDescent="0.3">
      <c r="D2535" t="str">
        <f t="shared" si="68"/>
        <v/>
      </c>
    </row>
    <row r="2536" spans="4:4" x14ac:dyDescent="0.3">
      <c r="D2536" t="str">
        <f t="shared" si="68"/>
        <v/>
      </c>
    </row>
    <row r="2537" spans="4:4" x14ac:dyDescent="0.3">
      <c r="D2537" t="str">
        <f t="shared" si="68"/>
        <v/>
      </c>
    </row>
    <row r="2538" spans="4:4" x14ac:dyDescent="0.3">
      <c r="D2538" t="str">
        <f t="shared" si="68"/>
        <v/>
      </c>
    </row>
    <row r="2539" spans="4:4" x14ac:dyDescent="0.3">
      <c r="D2539" t="str">
        <f t="shared" si="68"/>
        <v/>
      </c>
    </row>
    <row r="2540" spans="4:4" x14ac:dyDescent="0.3">
      <c r="D2540" t="str">
        <f t="shared" si="68"/>
        <v/>
      </c>
    </row>
    <row r="2541" spans="4:4" x14ac:dyDescent="0.3">
      <c r="D2541" t="str">
        <f t="shared" si="68"/>
        <v/>
      </c>
    </row>
    <row r="2542" spans="4:4" x14ac:dyDescent="0.3">
      <c r="D2542" t="str">
        <f t="shared" si="68"/>
        <v/>
      </c>
    </row>
    <row r="2543" spans="4:4" x14ac:dyDescent="0.3">
      <c r="D2543" t="str">
        <f t="shared" si="68"/>
        <v/>
      </c>
    </row>
    <row r="2544" spans="4:4" x14ac:dyDescent="0.3">
      <c r="D2544" t="str">
        <f t="shared" si="68"/>
        <v/>
      </c>
    </row>
    <row r="2545" spans="4:4" x14ac:dyDescent="0.3">
      <c r="D2545" t="str">
        <f t="shared" si="68"/>
        <v/>
      </c>
    </row>
    <row r="2546" spans="4:4" x14ac:dyDescent="0.3">
      <c r="D2546" t="str">
        <f t="shared" si="68"/>
        <v/>
      </c>
    </row>
    <row r="2547" spans="4:4" x14ac:dyDescent="0.3">
      <c r="D2547" t="str">
        <f t="shared" si="68"/>
        <v/>
      </c>
    </row>
    <row r="2548" spans="4:4" x14ac:dyDescent="0.3">
      <c r="D2548" t="str">
        <f t="shared" si="68"/>
        <v/>
      </c>
    </row>
    <row r="2549" spans="4:4" x14ac:dyDescent="0.3">
      <c r="D2549" t="str">
        <f t="shared" si="68"/>
        <v/>
      </c>
    </row>
    <row r="2550" spans="4:4" x14ac:dyDescent="0.3">
      <c r="D2550" t="str">
        <f t="shared" si="68"/>
        <v/>
      </c>
    </row>
    <row r="2551" spans="4:4" x14ac:dyDescent="0.3">
      <c r="D2551" t="str">
        <f t="shared" si="68"/>
        <v/>
      </c>
    </row>
    <row r="2552" spans="4:4" x14ac:dyDescent="0.3">
      <c r="D2552" t="str">
        <f t="shared" si="68"/>
        <v/>
      </c>
    </row>
    <row r="2553" spans="4:4" x14ac:dyDescent="0.3">
      <c r="D2553" t="str">
        <f t="shared" si="68"/>
        <v/>
      </c>
    </row>
    <row r="2554" spans="4:4" x14ac:dyDescent="0.3">
      <c r="D2554" t="str">
        <f t="shared" si="68"/>
        <v/>
      </c>
    </row>
    <row r="2555" spans="4:4" x14ac:dyDescent="0.3">
      <c r="D2555" t="str">
        <f t="shared" si="68"/>
        <v/>
      </c>
    </row>
    <row r="2556" spans="4:4" x14ac:dyDescent="0.3">
      <c r="D2556" t="str">
        <f t="shared" si="68"/>
        <v/>
      </c>
    </row>
    <row r="2557" spans="4:4" x14ac:dyDescent="0.3">
      <c r="D2557" t="str">
        <f t="shared" si="68"/>
        <v/>
      </c>
    </row>
    <row r="2558" spans="4:4" x14ac:dyDescent="0.3">
      <c r="D2558" t="str">
        <f t="shared" ref="D2558:D2621" si="69">IF(LEFT(A2558,2)="SP",MID(A2558,4,4),IF(LEFT(A2558,1)="X",MID(A2558,3,4),""))</f>
        <v/>
      </c>
    </row>
    <row r="2559" spans="4:4" x14ac:dyDescent="0.3">
      <c r="D2559" t="str">
        <f t="shared" si="69"/>
        <v/>
      </c>
    </row>
    <row r="2560" spans="4:4" x14ac:dyDescent="0.3">
      <c r="D2560" t="str">
        <f t="shared" si="69"/>
        <v/>
      </c>
    </row>
    <row r="2561" spans="4:4" x14ac:dyDescent="0.3">
      <c r="D2561" t="str">
        <f t="shared" si="69"/>
        <v/>
      </c>
    </row>
    <row r="2562" spans="4:4" x14ac:dyDescent="0.3">
      <c r="D2562" t="str">
        <f t="shared" si="69"/>
        <v/>
      </c>
    </row>
    <row r="2563" spans="4:4" x14ac:dyDescent="0.3">
      <c r="D2563" t="str">
        <f t="shared" si="69"/>
        <v/>
      </c>
    </row>
    <row r="2564" spans="4:4" x14ac:dyDescent="0.3">
      <c r="D2564" t="str">
        <f t="shared" si="69"/>
        <v/>
      </c>
    </row>
    <row r="2565" spans="4:4" x14ac:dyDescent="0.3">
      <c r="D2565" t="str">
        <f t="shared" si="69"/>
        <v/>
      </c>
    </row>
    <row r="2566" spans="4:4" x14ac:dyDescent="0.3">
      <c r="D2566" t="str">
        <f t="shared" si="69"/>
        <v/>
      </c>
    </row>
    <row r="2567" spans="4:4" x14ac:dyDescent="0.3">
      <c r="D2567" t="str">
        <f t="shared" si="69"/>
        <v/>
      </c>
    </row>
    <row r="2568" spans="4:4" x14ac:dyDescent="0.3">
      <c r="D2568" t="str">
        <f t="shared" si="69"/>
        <v/>
      </c>
    </row>
    <row r="2569" spans="4:4" x14ac:dyDescent="0.3">
      <c r="D2569" t="str">
        <f t="shared" si="69"/>
        <v/>
      </c>
    </row>
    <row r="2570" spans="4:4" x14ac:dyDescent="0.3">
      <c r="D2570" t="str">
        <f t="shared" si="69"/>
        <v/>
      </c>
    </row>
    <row r="2571" spans="4:4" x14ac:dyDescent="0.3">
      <c r="D2571" t="str">
        <f t="shared" si="69"/>
        <v/>
      </c>
    </row>
    <row r="2572" spans="4:4" x14ac:dyDescent="0.3">
      <c r="D2572" t="str">
        <f t="shared" si="69"/>
        <v/>
      </c>
    </row>
    <row r="2573" spans="4:4" x14ac:dyDescent="0.3">
      <c r="D2573" t="str">
        <f t="shared" si="69"/>
        <v/>
      </c>
    </row>
    <row r="2574" spans="4:4" x14ac:dyDescent="0.3">
      <c r="D2574" t="str">
        <f t="shared" si="69"/>
        <v/>
      </c>
    </row>
    <row r="2575" spans="4:4" x14ac:dyDescent="0.3">
      <c r="D2575" t="str">
        <f t="shared" si="69"/>
        <v/>
      </c>
    </row>
    <row r="2576" spans="4:4" x14ac:dyDescent="0.3">
      <c r="D2576" t="str">
        <f t="shared" si="69"/>
        <v/>
      </c>
    </row>
    <row r="2577" spans="4:4" x14ac:dyDescent="0.3">
      <c r="D2577" t="str">
        <f t="shared" si="69"/>
        <v/>
      </c>
    </row>
    <row r="2578" spans="4:4" x14ac:dyDescent="0.3">
      <c r="D2578" t="str">
        <f t="shared" si="69"/>
        <v/>
      </c>
    </row>
    <row r="2579" spans="4:4" x14ac:dyDescent="0.3">
      <c r="D2579" t="str">
        <f t="shared" si="69"/>
        <v/>
      </c>
    </row>
    <row r="2580" spans="4:4" x14ac:dyDescent="0.3">
      <c r="D2580" t="str">
        <f t="shared" si="69"/>
        <v/>
      </c>
    </row>
    <row r="2581" spans="4:4" x14ac:dyDescent="0.3">
      <c r="D2581" t="str">
        <f t="shared" si="69"/>
        <v/>
      </c>
    </row>
    <row r="2582" spans="4:4" x14ac:dyDescent="0.3">
      <c r="D2582" t="str">
        <f t="shared" si="69"/>
        <v/>
      </c>
    </row>
    <row r="2583" spans="4:4" x14ac:dyDescent="0.3">
      <c r="D2583" t="str">
        <f t="shared" si="69"/>
        <v/>
      </c>
    </row>
    <row r="2584" spans="4:4" x14ac:dyDescent="0.3">
      <c r="D2584" t="str">
        <f t="shared" si="69"/>
        <v/>
      </c>
    </row>
    <row r="2585" spans="4:4" x14ac:dyDescent="0.3">
      <c r="D2585" t="str">
        <f t="shared" si="69"/>
        <v/>
      </c>
    </row>
    <row r="2586" spans="4:4" x14ac:dyDescent="0.3">
      <c r="D2586" t="str">
        <f t="shared" si="69"/>
        <v/>
      </c>
    </row>
    <row r="2587" spans="4:4" x14ac:dyDescent="0.3">
      <c r="D2587" t="str">
        <f t="shared" si="69"/>
        <v/>
      </c>
    </row>
    <row r="2588" spans="4:4" x14ac:dyDescent="0.3">
      <c r="D2588" t="str">
        <f t="shared" si="69"/>
        <v/>
      </c>
    </row>
    <row r="2589" spans="4:4" x14ac:dyDescent="0.3">
      <c r="D2589" t="str">
        <f t="shared" si="69"/>
        <v/>
      </c>
    </row>
    <row r="2590" spans="4:4" x14ac:dyDescent="0.3">
      <c r="D2590" t="str">
        <f t="shared" si="69"/>
        <v/>
      </c>
    </row>
    <row r="2591" spans="4:4" x14ac:dyDescent="0.3">
      <c r="D2591" t="str">
        <f t="shared" si="69"/>
        <v/>
      </c>
    </row>
    <row r="2592" spans="4:4" x14ac:dyDescent="0.3">
      <c r="D2592" t="str">
        <f t="shared" si="69"/>
        <v/>
      </c>
    </row>
    <row r="2593" spans="4:4" x14ac:dyDescent="0.3">
      <c r="D2593" t="str">
        <f t="shared" si="69"/>
        <v/>
      </c>
    </row>
    <row r="2594" spans="4:4" x14ac:dyDescent="0.3">
      <c r="D2594" t="str">
        <f t="shared" si="69"/>
        <v/>
      </c>
    </row>
    <row r="2595" spans="4:4" x14ac:dyDescent="0.3">
      <c r="D2595" t="str">
        <f t="shared" si="69"/>
        <v/>
      </c>
    </row>
    <row r="2596" spans="4:4" x14ac:dyDescent="0.3">
      <c r="D2596" t="str">
        <f t="shared" si="69"/>
        <v/>
      </c>
    </row>
    <row r="2597" spans="4:4" x14ac:dyDescent="0.3">
      <c r="D2597" t="str">
        <f t="shared" si="69"/>
        <v/>
      </c>
    </row>
    <row r="2598" spans="4:4" x14ac:dyDescent="0.3">
      <c r="D2598" t="str">
        <f t="shared" si="69"/>
        <v/>
      </c>
    </row>
    <row r="2599" spans="4:4" x14ac:dyDescent="0.3">
      <c r="D2599" t="str">
        <f t="shared" si="69"/>
        <v/>
      </c>
    </row>
    <row r="2600" spans="4:4" x14ac:dyDescent="0.3">
      <c r="D2600" t="str">
        <f t="shared" si="69"/>
        <v/>
      </c>
    </row>
    <row r="2601" spans="4:4" x14ac:dyDescent="0.3">
      <c r="D2601" t="str">
        <f t="shared" si="69"/>
        <v/>
      </c>
    </row>
    <row r="2602" spans="4:4" x14ac:dyDescent="0.3">
      <c r="D2602" t="str">
        <f t="shared" si="69"/>
        <v/>
      </c>
    </row>
    <row r="2603" spans="4:4" x14ac:dyDescent="0.3">
      <c r="D2603" t="str">
        <f t="shared" si="69"/>
        <v/>
      </c>
    </row>
    <row r="2604" spans="4:4" x14ac:dyDescent="0.3">
      <c r="D2604" t="str">
        <f t="shared" si="69"/>
        <v/>
      </c>
    </row>
    <row r="2605" spans="4:4" x14ac:dyDescent="0.3">
      <c r="D2605" t="str">
        <f t="shared" si="69"/>
        <v/>
      </c>
    </row>
    <row r="2606" spans="4:4" x14ac:dyDescent="0.3">
      <c r="D2606" t="str">
        <f t="shared" si="69"/>
        <v/>
      </c>
    </row>
    <row r="2607" spans="4:4" x14ac:dyDescent="0.3">
      <c r="D2607" t="str">
        <f t="shared" si="69"/>
        <v/>
      </c>
    </row>
    <row r="2608" spans="4:4" x14ac:dyDescent="0.3">
      <c r="D2608" t="str">
        <f t="shared" si="69"/>
        <v/>
      </c>
    </row>
    <row r="2609" spans="4:4" x14ac:dyDescent="0.3">
      <c r="D2609" t="str">
        <f t="shared" si="69"/>
        <v/>
      </c>
    </row>
    <row r="2610" spans="4:4" x14ac:dyDescent="0.3">
      <c r="D2610" t="str">
        <f t="shared" si="69"/>
        <v/>
      </c>
    </row>
    <row r="2611" spans="4:4" x14ac:dyDescent="0.3">
      <c r="D2611" t="str">
        <f t="shared" si="69"/>
        <v/>
      </c>
    </row>
    <row r="2612" spans="4:4" x14ac:dyDescent="0.3">
      <c r="D2612" t="str">
        <f t="shared" si="69"/>
        <v/>
      </c>
    </row>
    <row r="2613" spans="4:4" x14ac:dyDescent="0.3">
      <c r="D2613" t="str">
        <f t="shared" si="69"/>
        <v/>
      </c>
    </row>
    <row r="2614" spans="4:4" x14ac:dyDescent="0.3">
      <c r="D2614" t="str">
        <f t="shared" si="69"/>
        <v/>
      </c>
    </row>
    <row r="2615" spans="4:4" x14ac:dyDescent="0.3">
      <c r="D2615" t="str">
        <f t="shared" si="69"/>
        <v/>
      </c>
    </row>
    <row r="2616" spans="4:4" x14ac:dyDescent="0.3">
      <c r="D2616" t="str">
        <f t="shared" si="69"/>
        <v/>
      </c>
    </row>
    <row r="2617" spans="4:4" x14ac:dyDescent="0.3">
      <c r="D2617" t="str">
        <f t="shared" si="69"/>
        <v/>
      </c>
    </row>
    <row r="2618" spans="4:4" x14ac:dyDescent="0.3">
      <c r="D2618" t="str">
        <f t="shared" si="69"/>
        <v/>
      </c>
    </row>
    <row r="2619" spans="4:4" x14ac:dyDescent="0.3">
      <c r="D2619" t="str">
        <f t="shared" si="69"/>
        <v/>
      </c>
    </row>
    <row r="2620" spans="4:4" x14ac:dyDescent="0.3">
      <c r="D2620" t="str">
        <f t="shared" si="69"/>
        <v/>
      </c>
    </row>
    <row r="2621" spans="4:4" x14ac:dyDescent="0.3">
      <c r="D2621" t="str">
        <f t="shared" si="69"/>
        <v/>
      </c>
    </row>
    <row r="2622" spans="4:4" x14ac:dyDescent="0.3">
      <c r="D2622" t="str">
        <f t="shared" ref="D2622:D2685" si="70">IF(LEFT(A2622,2)="SP",MID(A2622,4,4),IF(LEFT(A2622,1)="X",MID(A2622,3,4),""))</f>
        <v/>
      </c>
    </row>
    <row r="2623" spans="4:4" x14ac:dyDescent="0.3">
      <c r="D2623" t="str">
        <f t="shared" si="70"/>
        <v/>
      </c>
    </row>
    <row r="2624" spans="4:4" x14ac:dyDescent="0.3">
      <c r="D2624" t="str">
        <f t="shared" si="70"/>
        <v/>
      </c>
    </row>
    <row r="2625" spans="4:4" x14ac:dyDescent="0.3">
      <c r="D2625" t="str">
        <f t="shared" si="70"/>
        <v/>
      </c>
    </row>
    <row r="2626" spans="4:4" x14ac:dyDescent="0.3">
      <c r="D2626" t="str">
        <f t="shared" si="70"/>
        <v/>
      </c>
    </row>
    <row r="2627" spans="4:4" x14ac:dyDescent="0.3">
      <c r="D2627" t="str">
        <f t="shared" si="70"/>
        <v/>
      </c>
    </row>
    <row r="2628" spans="4:4" x14ac:dyDescent="0.3">
      <c r="D2628" t="str">
        <f t="shared" si="70"/>
        <v/>
      </c>
    </row>
    <row r="2629" spans="4:4" x14ac:dyDescent="0.3">
      <c r="D2629" t="str">
        <f t="shared" si="70"/>
        <v/>
      </c>
    </row>
    <row r="2630" spans="4:4" x14ac:dyDescent="0.3">
      <c r="D2630" t="str">
        <f t="shared" si="70"/>
        <v/>
      </c>
    </row>
    <row r="2631" spans="4:4" x14ac:dyDescent="0.3">
      <c r="D2631" t="str">
        <f t="shared" si="70"/>
        <v/>
      </c>
    </row>
    <row r="2632" spans="4:4" x14ac:dyDescent="0.3">
      <c r="D2632" t="str">
        <f t="shared" si="70"/>
        <v/>
      </c>
    </row>
    <row r="2633" spans="4:4" x14ac:dyDescent="0.3">
      <c r="D2633" t="str">
        <f t="shared" si="70"/>
        <v/>
      </c>
    </row>
    <row r="2634" spans="4:4" x14ac:dyDescent="0.3">
      <c r="D2634" t="str">
        <f t="shared" si="70"/>
        <v/>
      </c>
    </row>
    <row r="2635" spans="4:4" x14ac:dyDescent="0.3">
      <c r="D2635" t="str">
        <f t="shared" si="70"/>
        <v/>
      </c>
    </row>
    <row r="2636" spans="4:4" x14ac:dyDescent="0.3">
      <c r="D2636" t="str">
        <f t="shared" si="70"/>
        <v/>
      </c>
    </row>
    <row r="2637" spans="4:4" x14ac:dyDescent="0.3">
      <c r="D2637" t="str">
        <f t="shared" si="70"/>
        <v/>
      </c>
    </row>
    <row r="2638" spans="4:4" x14ac:dyDescent="0.3">
      <c r="D2638" t="str">
        <f t="shared" si="70"/>
        <v/>
      </c>
    </row>
    <row r="2639" spans="4:4" x14ac:dyDescent="0.3">
      <c r="D2639" t="str">
        <f t="shared" si="70"/>
        <v/>
      </c>
    </row>
    <row r="2640" spans="4:4" x14ac:dyDescent="0.3">
      <c r="D2640" t="str">
        <f t="shared" si="70"/>
        <v/>
      </c>
    </row>
    <row r="2641" spans="4:4" x14ac:dyDescent="0.3">
      <c r="D2641" t="str">
        <f t="shared" si="70"/>
        <v/>
      </c>
    </row>
    <row r="2642" spans="4:4" x14ac:dyDescent="0.3">
      <c r="D2642" t="str">
        <f t="shared" si="70"/>
        <v/>
      </c>
    </row>
    <row r="2643" spans="4:4" x14ac:dyDescent="0.3">
      <c r="D2643" t="str">
        <f t="shared" si="70"/>
        <v/>
      </c>
    </row>
    <row r="2644" spans="4:4" x14ac:dyDescent="0.3">
      <c r="D2644" t="str">
        <f t="shared" si="70"/>
        <v/>
      </c>
    </row>
    <row r="2645" spans="4:4" x14ac:dyDescent="0.3">
      <c r="D2645" t="str">
        <f t="shared" si="70"/>
        <v/>
      </c>
    </row>
    <row r="2646" spans="4:4" x14ac:dyDescent="0.3">
      <c r="D2646" t="str">
        <f t="shared" si="70"/>
        <v/>
      </c>
    </row>
    <row r="2647" spans="4:4" x14ac:dyDescent="0.3">
      <c r="D2647" t="str">
        <f t="shared" si="70"/>
        <v/>
      </c>
    </row>
    <row r="2648" spans="4:4" x14ac:dyDescent="0.3">
      <c r="D2648" t="str">
        <f t="shared" si="70"/>
        <v/>
      </c>
    </row>
    <row r="2649" spans="4:4" x14ac:dyDescent="0.3">
      <c r="D2649" t="str">
        <f t="shared" si="70"/>
        <v/>
      </c>
    </row>
    <row r="2650" spans="4:4" x14ac:dyDescent="0.3">
      <c r="D2650" t="str">
        <f t="shared" si="70"/>
        <v/>
      </c>
    </row>
    <row r="2651" spans="4:4" x14ac:dyDescent="0.3">
      <c r="D2651" t="str">
        <f t="shared" si="70"/>
        <v/>
      </c>
    </row>
    <row r="2652" spans="4:4" x14ac:dyDescent="0.3">
      <c r="D2652" t="str">
        <f t="shared" si="70"/>
        <v/>
      </c>
    </row>
    <row r="2653" spans="4:4" x14ac:dyDescent="0.3">
      <c r="D2653" t="str">
        <f t="shared" si="70"/>
        <v/>
      </c>
    </row>
    <row r="2654" spans="4:4" x14ac:dyDescent="0.3">
      <c r="D2654" t="str">
        <f t="shared" si="70"/>
        <v/>
      </c>
    </row>
    <row r="2655" spans="4:4" x14ac:dyDescent="0.3">
      <c r="D2655" t="str">
        <f t="shared" si="70"/>
        <v/>
      </c>
    </row>
    <row r="2656" spans="4:4" x14ac:dyDescent="0.3">
      <c r="D2656" t="str">
        <f t="shared" si="70"/>
        <v/>
      </c>
    </row>
    <row r="2657" spans="4:4" x14ac:dyDescent="0.3">
      <c r="D2657" t="str">
        <f t="shared" si="70"/>
        <v/>
      </c>
    </row>
    <row r="2658" spans="4:4" x14ac:dyDescent="0.3">
      <c r="D2658" t="str">
        <f t="shared" si="70"/>
        <v/>
      </c>
    </row>
    <row r="2659" spans="4:4" x14ac:dyDescent="0.3">
      <c r="D2659" t="str">
        <f t="shared" si="70"/>
        <v/>
      </c>
    </row>
    <row r="2660" spans="4:4" x14ac:dyDescent="0.3">
      <c r="D2660" t="str">
        <f t="shared" si="70"/>
        <v/>
      </c>
    </row>
    <row r="2661" spans="4:4" x14ac:dyDescent="0.3">
      <c r="D2661" t="str">
        <f t="shared" si="70"/>
        <v/>
      </c>
    </row>
    <row r="2662" spans="4:4" x14ac:dyDescent="0.3">
      <c r="D2662" t="str">
        <f t="shared" si="70"/>
        <v/>
      </c>
    </row>
    <row r="2663" spans="4:4" x14ac:dyDescent="0.3">
      <c r="D2663" t="str">
        <f t="shared" si="70"/>
        <v/>
      </c>
    </row>
    <row r="2664" spans="4:4" x14ac:dyDescent="0.3">
      <c r="D2664" t="str">
        <f t="shared" si="70"/>
        <v/>
      </c>
    </row>
    <row r="2665" spans="4:4" x14ac:dyDescent="0.3">
      <c r="D2665" t="str">
        <f t="shared" si="70"/>
        <v/>
      </c>
    </row>
    <row r="2666" spans="4:4" x14ac:dyDescent="0.3">
      <c r="D2666" t="str">
        <f t="shared" si="70"/>
        <v/>
      </c>
    </row>
    <row r="2667" spans="4:4" x14ac:dyDescent="0.3">
      <c r="D2667" t="str">
        <f t="shared" si="70"/>
        <v/>
      </c>
    </row>
    <row r="2668" spans="4:4" x14ac:dyDescent="0.3">
      <c r="D2668" t="str">
        <f t="shared" si="70"/>
        <v/>
      </c>
    </row>
    <row r="2669" spans="4:4" x14ac:dyDescent="0.3">
      <c r="D2669" t="str">
        <f t="shared" si="70"/>
        <v/>
      </c>
    </row>
    <row r="2670" spans="4:4" x14ac:dyDescent="0.3">
      <c r="D2670" t="str">
        <f t="shared" si="70"/>
        <v/>
      </c>
    </row>
    <row r="2671" spans="4:4" x14ac:dyDescent="0.3">
      <c r="D2671" t="str">
        <f t="shared" si="70"/>
        <v/>
      </c>
    </row>
    <row r="2672" spans="4:4" x14ac:dyDescent="0.3">
      <c r="D2672" t="str">
        <f t="shared" si="70"/>
        <v/>
      </c>
    </row>
    <row r="2673" spans="4:4" x14ac:dyDescent="0.3">
      <c r="D2673" t="str">
        <f t="shared" si="70"/>
        <v/>
      </c>
    </row>
    <row r="2674" spans="4:4" x14ac:dyDescent="0.3">
      <c r="D2674" t="str">
        <f t="shared" si="70"/>
        <v/>
      </c>
    </row>
    <row r="2675" spans="4:4" x14ac:dyDescent="0.3">
      <c r="D2675" t="str">
        <f t="shared" si="70"/>
        <v/>
      </c>
    </row>
    <row r="2676" spans="4:4" x14ac:dyDescent="0.3">
      <c r="D2676" t="str">
        <f t="shared" si="70"/>
        <v/>
      </c>
    </row>
    <row r="2677" spans="4:4" x14ac:dyDescent="0.3">
      <c r="D2677" t="str">
        <f t="shared" si="70"/>
        <v/>
      </c>
    </row>
    <row r="2678" spans="4:4" x14ac:dyDescent="0.3">
      <c r="D2678" t="str">
        <f t="shared" si="70"/>
        <v/>
      </c>
    </row>
    <row r="2679" spans="4:4" x14ac:dyDescent="0.3">
      <c r="D2679" t="str">
        <f t="shared" si="70"/>
        <v/>
      </c>
    </row>
    <row r="2680" spans="4:4" x14ac:dyDescent="0.3">
      <c r="D2680" t="str">
        <f t="shared" si="70"/>
        <v/>
      </c>
    </row>
    <row r="2681" spans="4:4" x14ac:dyDescent="0.3">
      <c r="D2681" t="str">
        <f t="shared" si="70"/>
        <v/>
      </c>
    </row>
    <row r="2682" spans="4:4" x14ac:dyDescent="0.3">
      <c r="D2682" t="str">
        <f t="shared" si="70"/>
        <v/>
      </c>
    </row>
    <row r="2683" spans="4:4" x14ac:dyDescent="0.3">
      <c r="D2683" t="str">
        <f t="shared" si="70"/>
        <v/>
      </c>
    </row>
    <row r="2684" spans="4:4" x14ac:dyDescent="0.3">
      <c r="D2684" t="str">
        <f t="shared" si="70"/>
        <v/>
      </c>
    </row>
    <row r="2685" spans="4:4" x14ac:dyDescent="0.3">
      <c r="D2685" t="str">
        <f t="shared" si="70"/>
        <v/>
      </c>
    </row>
    <row r="2686" spans="4:4" x14ac:dyDescent="0.3">
      <c r="D2686" t="str">
        <f t="shared" ref="D2686:D2749" si="71">IF(LEFT(A2686,2)="SP",MID(A2686,4,4),IF(LEFT(A2686,1)="X",MID(A2686,3,4),""))</f>
        <v/>
      </c>
    </row>
    <row r="2687" spans="4:4" x14ac:dyDescent="0.3">
      <c r="D2687" t="str">
        <f t="shared" si="71"/>
        <v/>
      </c>
    </row>
    <row r="2688" spans="4:4" x14ac:dyDescent="0.3">
      <c r="D2688" t="str">
        <f t="shared" si="71"/>
        <v/>
      </c>
    </row>
    <row r="2689" spans="4:4" x14ac:dyDescent="0.3">
      <c r="D2689" t="str">
        <f t="shared" si="71"/>
        <v/>
      </c>
    </row>
    <row r="2690" spans="4:4" x14ac:dyDescent="0.3">
      <c r="D2690" t="str">
        <f t="shared" si="71"/>
        <v/>
      </c>
    </row>
    <row r="2691" spans="4:4" x14ac:dyDescent="0.3">
      <c r="D2691" t="str">
        <f t="shared" si="71"/>
        <v/>
      </c>
    </row>
    <row r="2692" spans="4:4" x14ac:dyDescent="0.3">
      <c r="D2692" t="str">
        <f t="shared" si="71"/>
        <v/>
      </c>
    </row>
    <row r="2693" spans="4:4" x14ac:dyDescent="0.3">
      <c r="D2693" t="str">
        <f t="shared" si="71"/>
        <v/>
      </c>
    </row>
    <row r="2694" spans="4:4" x14ac:dyDescent="0.3">
      <c r="D2694" t="str">
        <f t="shared" si="71"/>
        <v/>
      </c>
    </row>
    <row r="2695" spans="4:4" x14ac:dyDescent="0.3">
      <c r="D2695" t="str">
        <f t="shared" si="71"/>
        <v/>
      </c>
    </row>
    <row r="2696" spans="4:4" x14ac:dyDescent="0.3">
      <c r="D2696" t="str">
        <f t="shared" si="71"/>
        <v/>
      </c>
    </row>
    <row r="2697" spans="4:4" x14ac:dyDescent="0.3">
      <c r="D2697" t="str">
        <f t="shared" si="71"/>
        <v/>
      </c>
    </row>
    <row r="2698" spans="4:4" x14ac:dyDescent="0.3">
      <c r="D2698" t="str">
        <f t="shared" si="71"/>
        <v/>
      </c>
    </row>
    <row r="2699" spans="4:4" x14ac:dyDescent="0.3">
      <c r="D2699" t="str">
        <f t="shared" si="71"/>
        <v/>
      </c>
    </row>
    <row r="2700" spans="4:4" x14ac:dyDescent="0.3">
      <c r="D2700" t="str">
        <f t="shared" si="71"/>
        <v/>
      </c>
    </row>
    <row r="2701" spans="4:4" x14ac:dyDescent="0.3">
      <c r="D2701" t="str">
        <f t="shared" si="71"/>
        <v/>
      </c>
    </row>
    <row r="2702" spans="4:4" x14ac:dyDescent="0.3">
      <c r="D2702" t="str">
        <f t="shared" si="71"/>
        <v/>
      </c>
    </row>
    <row r="2703" spans="4:4" x14ac:dyDescent="0.3">
      <c r="D2703" t="str">
        <f t="shared" si="71"/>
        <v/>
      </c>
    </row>
    <row r="2704" spans="4:4" x14ac:dyDescent="0.3">
      <c r="D2704" t="str">
        <f t="shared" si="71"/>
        <v/>
      </c>
    </row>
    <row r="2705" spans="4:4" x14ac:dyDescent="0.3">
      <c r="D2705" t="str">
        <f t="shared" si="71"/>
        <v/>
      </c>
    </row>
    <row r="2706" spans="4:4" x14ac:dyDescent="0.3">
      <c r="D2706" t="str">
        <f t="shared" si="71"/>
        <v/>
      </c>
    </row>
    <row r="2707" spans="4:4" x14ac:dyDescent="0.3">
      <c r="D2707" t="str">
        <f t="shared" si="71"/>
        <v/>
      </c>
    </row>
    <row r="2708" spans="4:4" x14ac:dyDescent="0.3">
      <c r="D2708" t="str">
        <f t="shared" si="71"/>
        <v/>
      </c>
    </row>
    <row r="2709" spans="4:4" x14ac:dyDescent="0.3">
      <c r="D2709" t="str">
        <f t="shared" si="71"/>
        <v/>
      </c>
    </row>
    <row r="2710" spans="4:4" x14ac:dyDescent="0.3">
      <c r="D2710" t="str">
        <f t="shared" si="71"/>
        <v/>
      </c>
    </row>
    <row r="2711" spans="4:4" x14ac:dyDescent="0.3">
      <c r="D2711" t="str">
        <f t="shared" si="71"/>
        <v/>
      </c>
    </row>
    <row r="2712" spans="4:4" x14ac:dyDescent="0.3">
      <c r="D2712" t="str">
        <f t="shared" si="71"/>
        <v/>
      </c>
    </row>
    <row r="2713" spans="4:4" x14ac:dyDescent="0.3">
      <c r="D2713" t="str">
        <f t="shared" si="71"/>
        <v/>
      </c>
    </row>
    <row r="2714" spans="4:4" x14ac:dyDescent="0.3">
      <c r="D2714" t="str">
        <f t="shared" si="71"/>
        <v/>
      </c>
    </row>
    <row r="2715" spans="4:4" x14ac:dyDescent="0.3">
      <c r="D2715" t="str">
        <f t="shared" si="71"/>
        <v/>
      </c>
    </row>
    <row r="2716" spans="4:4" x14ac:dyDescent="0.3">
      <c r="D2716" t="str">
        <f t="shared" si="71"/>
        <v/>
      </c>
    </row>
    <row r="2717" spans="4:4" x14ac:dyDescent="0.3">
      <c r="D2717" t="str">
        <f t="shared" si="71"/>
        <v/>
      </c>
    </row>
    <row r="2718" spans="4:4" x14ac:dyDescent="0.3">
      <c r="D2718" t="str">
        <f t="shared" si="71"/>
        <v/>
      </c>
    </row>
    <row r="2719" spans="4:4" x14ac:dyDescent="0.3">
      <c r="D2719" t="str">
        <f t="shared" si="71"/>
        <v/>
      </c>
    </row>
    <row r="2720" spans="4:4" x14ac:dyDescent="0.3">
      <c r="D2720" t="str">
        <f t="shared" si="71"/>
        <v/>
      </c>
    </row>
    <row r="2721" spans="4:4" x14ac:dyDescent="0.3">
      <c r="D2721" t="str">
        <f t="shared" si="71"/>
        <v/>
      </c>
    </row>
    <row r="2722" spans="4:4" x14ac:dyDescent="0.3">
      <c r="D2722" t="str">
        <f t="shared" si="71"/>
        <v/>
      </c>
    </row>
    <row r="2723" spans="4:4" x14ac:dyDescent="0.3">
      <c r="D2723" t="str">
        <f t="shared" si="71"/>
        <v/>
      </c>
    </row>
    <row r="2724" spans="4:4" x14ac:dyDescent="0.3">
      <c r="D2724" t="str">
        <f t="shared" si="71"/>
        <v/>
      </c>
    </row>
    <row r="2725" spans="4:4" x14ac:dyDescent="0.3">
      <c r="D2725" t="str">
        <f t="shared" si="71"/>
        <v/>
      </c>
    </row>
    <row r="2726" spans="4:4" x14ac:dyDescent="0.3">
      <c r="D2726" t="str">
        <f t="shared" si="71"/>
        <v/>
      </c>
    </row>
    <row r="2727" spans="4:4" x14ac:dyDescent="0.3">
      <c r="D2727" t="str">
        <f t="shared" si="71"/>
        <v/>
      </c>
    </row>
    <row r="2728" spans="4:4" x14ac:dyDescent="0.3">
      <c r="D2728" t="str">
        <f t="shared" si="71"/>
        <v/>
      </c>
    </row>
    <row r="2729" spans="4:4" x14ac:dyDescent="0.3">
      <c r="D2729" t="str">
        <f t="shared" si="71"/>
        <v/>
      </c>
    </row>
    <row r="2730" spans="4:4" x14ac:dyDescent="0.3">
      <c r="D2730" t="str">
        <f t="shared" si="71"/>
        <v/>
      </c>
    </row>
    <row r="2731" spans="4:4" x14ac:dyDescent="0.3">
      <c r="D2731" t="str">
        <f t="shared" si="71"/>
        <v/>
      </c>
    </row>
    <row r="2732" spans="4:4" x14ac:dyDescent="0.3">
      <c r="D2732" t="str">
        <f t="shared" si="71"/>
        <v/>
      </c>
    </row>
    <row r="2733" spans="4:4" x14ac:dyDescent="0.3">
      <c r="D2733" t="str">
        <f t="shared" si="71"/>
        <v/>
      </c>
    </row>
    <row r="2734" spans="4:4" x14ac:dyDescent="0.3">
      <c r="D2734" t="str">
        <f t="shared" si="71"/>
        <v/>
      </c>
    </row>
    <row r="2735" spans="4:4" x14ac:dyDescent="0.3">
      <c r="D2735" t="str">
        <f t="shared" si="71"/>
        <v/>
      </c>
    </row>
    <row r="2736" spans="4:4" x14ac:dyDescent="0.3">
      <c r="D2736" t="str">
        <f t="shared" si="71"/>
        <v/>
      </c>
    </row>
    <row r="2737" spans="4:4" x14ac:dyDescent="0.3">
      <c r="D2737" t="str">
        <f t="shared" si="71"/>
        <v/>
      </c>
    </row>
    <row r="2738" spans="4:4" x14ac:dyDescent="0.3">
      <c r="D2738" t="str">
        <f t="shared" si="71"/>
        <v/>
      </c>
    </row>
    <row r="2739" spans="4:4" x14ac:dyDescent="0.3">
      <c r="D2739" t="str">
        <f t="shared" si="71"/>
        <v/>
      </c>
    </row>
    <row r="2740" spans="4:4" x14ac:dyDescent="0.3">
      <c r="D2740" t="str">
        <f t="shared" si="71"/>
        <v/>
      </c>
    </row>
    <row r="2741" spans="4:4" x14ac:dyDescent="0.3">
      <c r="D2741" t="str">
        <f t="shared" si="71"/>
        <v/>
      </c>
    </row>
    <row r="2742" spans="4:4" x14ac:dyDescent="0.3">
      <c r="D2742" t="str">
        <f t="shared" si="71"/>
        <v/>
      </c>
    </row>
    <row r="2743" spans="4:4" x14ac:dyDescent="0.3">
      <c r="D2743" t="str">
        <f t="shared" si="71"/>
        <v/>
      </c>
    </row>
    <row r="2744" spans="4:4" x14ac:dyDescent="0.3">
      <c r="D2744" t="str">
        <f t="shared" si="71"/>
        <v/>
      </c>
    </row>
    <row r="2745" spans="4:4" x14ac:dyDescent="0.3">
      <c r="D2745" t="str">
        <f t="shared" si="71"/>
        <v/>
      </c>
    </row>
    <row r="2746" spans="4:4" x14ac:dyDescent="0.3">
      <c r="D2746" t="str">
        <f t="shared" si="71"/>
        <v/>
      </c>
    </row>
    <row r="2747" spans="4:4" x14ac:dyDescent="0.3">
      <c r="D2747" t="str">
        <f t="shared" si="71"/>
        <v/>
      </c>
    </row>
    <row r="2748" spans="4:4" x14ac:dyDescent="0.3">
      <c r="D2748" t="str">
        <f t="shared" si="71"/>
        <v/>
      </c>
    </row>
    <row r="2749" spans="4:4" x14ac:dyDescent="0.3">
      <c r="D2749" t="str">
        <f t="shared" si="71"/>
        <v/>
      </c>
    </row>
    <row r="2750" spans="4:4" x14ac:dyDescent="0.3">
      <c r="D2750" t="str">
        <f t="shared" ref="D2750:D2813" si="72">IF(LEFT(A2750,2)="SP",MID(A2750,4,4),IF(LEFT(A2750,1)="X",MID(A2750,3,4),""))</f>
        <v/>
      </c>
    </row>
    <row r="2751" spans="4:4" x14ac:dyDescent="0.3">
      <c r="D2751" t="str">
        <f t="shared" si="72"/>
        <v/>
      </c>
    </row>
    <row r="2752" spans="4:4" x14ac:dyDescent="0.3">
      <c r="D2752" t="str">
        <f t="shared" si="72"/>
        <v/>
      </c>
    </row>
    <row r="2753" spans="4:4" x14ac:dyDescent="0.3">
      <c r="D2753" t="str">
        <f t="shared" si="72"/>
        <v/>
      </c>
    </row>
    <row r="2754" spans="4:4" x14ac:dyDescent="0.3">
      <c r="D2754" t="str">
        <f t="shared" si="72"/>
        <v/>
      </c>
    </row>
    <row r="2755" spans="4:4" x14ac:dyDescent="0.3">
      <c r="D2755" t="str">
        <f t="shared" si="72"/>
        <v/>
      </c>
    </row>
    <row r="2756" spans="4:4" x14ac:dyDescent="0.3">
      <c r="D2756" t="str">
        <f t="shared" si="72"/>
        <v/>
      </c>
    </row>
    <row r="2757" spans="4:4" x14ac:dyDescent="0.3">
      <c r="D2757" t="str">
        <f t="shared" si="72"/>
        <v/>
      </c>
    </row>
    <row r="2758" spans="4:4" x14ac:dyDescent="0.3">
      <c r="D2758" t="str">
        <f t="shared" si="72"/>
        <v/>
      </c>
    </row>
    <row r="2759" spans="4:4" x14ac:dyDescent="0.3">
      <c r="D2759" t="str">
        <f t="shared" si="72"/>
        <v/>
      </c>
    </row>
    <row r="2760" spans="4:4" x14ac:dyDescent="0.3">
      <c r="D2760" t="str">
        <f t="shared" si="72"/>
        <v/>
      </c>
    </row>
    <row r="2761" spans="4:4" x14ac:dyDescent="0.3">
      <c r="D2761" t="str">
        <f t="shared" si="72"/>
        <v/>
      </c>
    </row>
    <row r="2762" spans="4:4" x14ac:dyDescent="0.3">
      <c r="D2762" t="str">
        <f t="shared" si="72"/>
        <v/>
      </c>
    </row>
    <row r="2763" spans="4:4" x14ac:dyDescent="0.3">
      <c r="D2763" t="str">
        <f t="shared" si="72"/>
        <v/>
      </c>
    </row>
    <row r="2764" spans="4:4" x14ac:dyDescent="0.3">
      <c r="D2764" t="str">
        <f t="shared" si="72"/>
        <v/>
      </c>
    </row>
    <row r="2765" spans="4:4" x14ac:dyDescent="0.3">
      <c r="D2765" t="str">
        <f t="shared" si="72"/>
        <v/>
      </c>
    </row>
    <row r="2766" spans="4:4" x14ac:dyDescent="0.3">
      <c r="D2766" t="str">
        <f t="shared" si="72"/>
        <v/>
      </c>
    </row>
    <row r="2767" spans="4:4" x14ac:dyDescent="0.3">
      <c r="D2767" t="str">
        <f t="shared" si="72"/>
        <v/>
      </c>
    </row>
    <row r="2768" spans="4:4" x14ac:dyDescent="0.3">
      <c r="D2768" t="str">
        <f t="shared" si="72"/>
        <v/>
      </c>
    </row>
    <row r="2769" spans="4:4" x14ac:dyDescent="0.3">
      <c r="D2769" t="str">
        <f t="shared" si="72"/>
        <v/>
      </c>
    </row>
    <row r="2770" spans="4:4" x14ac:dyDescent="0.3">
      <c r="D2770" t="str">
        <f t="shared" si="72"/>
        <v/>
      </c>
    </row>
    <row r="2771" spans="4:4" x14ac:dyDescent="0.3">
      <c r="D2771" t="str">
        <f t="shared" si="72"/>
        <v/>
      </c>
    </row>
    <row r="2772" spans="4:4" x14ac:dyDescent="0.3">
      <c r="D2772" t="str">
        <f t="shared" si="72"/>
        <v/>
      </c>
    </row>
    <row r="2773" spans="4:4" x14ac:dyDescent="0.3">
      <c r="D2773" t="str">
        <f t="shared" si="72"/>
        <v/>
      </c>
    </row>
    <row r="2774" spans="4:4" x14ac:dyDescent="0.3">
      <c r="D2774" t="str">
        <f t="shared" si="72"/>
        <v/>
      </c>
    </row>
    <row r="2775" spans="4:4" x14ac:dyDescent="0.3">
      <c r="D2775" t="str">
        <f t="shared" si="72"/>
        <v/>
      </c>
    </row>
    <row r="2776" spans="4:4" x14ac:dyDescent="0.3">
      <c r="D2776" t="str">
        <f t="shared" si="72"/>
        <v/>
      </c>
    </row>
    <row r="2777" spans="4:4" x14ac:dyDescent="0.3">
      <c r="D2777" t="str">
        <f t="shared" si="72"/>
        <v/>
      </c>
    </row>
    <row r="2778" spans="4:4" x14ac:dyDescent="0.3">
      <c r="D2778" t="str">
        <f t="shared" si="72"/>
        <v/>
      </c>
    </row>
    <row r="2779" spans="4:4" x14ac:dyDescent="0.3">
      <c r="D2779" t="str">
        <f t="shared" si="72"/>
        <v/>
      </c>
    </row>
    <row r="2780" spans="4:4" x14ac:dyDescent="0.3">
      <c r="D2780" t="str">
        <f t="shared" si="72"/>
        <v/>
      </c>
    </row>
    <row r="2781" spans="4:4" x14ac:dyDescent="0.3">
      <c r="D2781" t="str">
        <f t="shared" si="72"/>
        <v/>
      </c>
    </row>
    <row r="2782" spans="4:4" x14ac:dyDescent="0.3">
      <c r="D2782" t="str">
        <f t="shared" si="72"/>
        <v/>
      </c>
    </row>
    <row r="2783" spans="4:4" x14ac:dyDescent="0.3">
      <c r="D2783" t="str">
        <f t="shared" si="72"/>
        <v/>
      </c>
    </row>
    <row r="2784" spans="4:4" x14ac:dyDescent="0.3">
      <c r="D2784" t="str">
        <f t="shared" si="72"/>
        <v/>
      </c>
    </row>
    <row r="2785" spans="4:4" x14ac:dyDescent="0.3">
      <c r="D2785" t="str">
        <f t="shared" si="72"/>
        <v/>
      </c>
    </row>
    <row r="2786" spans="4:4" x14ac:dyDescent="0.3">
      <c r="D2786" t="str">
        <f t="shared" si="72"/>
        <v/>
      </c>
    </row>
    <row r="2787" spans="4:4" x14ac:dyDescent="0.3">
      <c r="D2787" t="str">
        <f t="shared" si="72"/>
        <v/>
      </c>
    </row>
    <row r="2788" spans="4:4" x14ac:dyDescent="0.3">
      <c r="D2788" t="str">
        <f t="shared" si="72"/>
        <v/>
      </c>
    </row>
    <row r="2789" spans="4:4" x14ac:dyDescent="0.3">
      <c r="D2789" t="str">
        <f t="shared" si="72"/>
        <v/>
      </c>
    </row>
    <row r="2790" spans="4:4" x14ac:dyDescent="0.3">
      <c r="D2790" t="str">
        <f t="shared" si="72"/>
        <v/>
      </c>
    </row>
    <row r="2791" spans="4:4" x14ac:dyDescent="0.3">
      <c r="D2791" t="str">
        <f t="shared" si="72"/>
        <v/>
      </c>
    </row>
    <row r="2792" spans="4:4" x14ac:dyDescent="0.3">
      <c r="D2792" t="str">
        <f t="shared" si="72"/>
        <v/>
      </c>
    </row>
    <row r="2793" spans="4:4" x14ac:dyDescent="0.3">
      <c r="D2793" t="str">
        <f t="shared" si="72"/>
        <v/>
      </c>
    </row>
    <row r="2794" spans="4:4" x14ac:dyDescent="0.3">
      <c r="D2794" t="str">
        <f t="shared" si="72"/>
        <v/>
      </c>
    </row>
    <row r="2795" spans="4:4" x14ac:dyDescent="0.3">
      <c r="D2795" t="str">
        <f t="shared" si="72"/>
        <v/>
      </c>
    </row>
    <row r="2796" spans="4:4" x14ac:dyDescent="0.3">
      <c r="D2796" t="str">
        <f t="shared" si="72"/>
        <v/>
      </c>
    </row>
    <row r="2797" spans="4:4" x14ac:dyDescent="0.3">
      <c r="D2797" t="str">
        <f t="shared" si="72"/>
        <v/>
      </c>
    </row>
    <row r="2798" spans="4:4" x14ac:dyDescent="0.3">
      <c r="D2798" t="str">
        <f t="shared" si="72"/>
        <v/>
      </c>
    </row>
    <row r="2799" spans="4:4" x14ac:dyDescent="0.3">
      <c r="D2799" t="str">
        <f t="shared" si="72"/>
        <v/>
      </c>
    </row>
    <row r="2800" spans="4:4" x14ac:dyDescent="0.3">
      <c r="D2800" t="str">
        <f t="shared" si="72"/>
        <v/>
      </c>
    </row>
    <row r="2801" spans="4:4" x14ac:dyDescent="0.3">
      <c r="D2801" t="str">
        <f t="shared" si="72"/>
        <v/>
      </c>
    </row>
    <row r="2802" spans="4:4" x14ac:dyDescent="0.3">
      <c r="D2802" t="str">
        <f t="shared" si="72"/>
        <v/>
      </c>
    </row>
    <row r="2803" spans="4:4" x14ac:dyDescent="0.3">
      <c r="D2803" t="str">
        <f t="shared" si="72"/>
        <v/>
      </c>
    </row>
    <row r="2804" spans="4:4" x14ac:dyDescent="0.3">
      <c r="D2804" t="str">
        <f t="shared" si="72"/>
        <v/>
      </c>
    </row>
    <row r="2805" spans="4:4" x14ac:dyDescent="0.3">
      <c r="D2805" t="str">
        <f t="shared" si="72"/>
        <v/>
      </c>
    </row>
    <row r="2806" spans="4:4" x14ac:dyDescent="0.3">
      <c r="D2806" t="str">
        <f t="shared" si="72"/>
        <v/>
      </c>
    </row>
    <row r="2807" spans="4:4" x14ac:dyDescent="0.3">
      <c r="D2807" t="str">
        <f t="shared" si="72"/>
        <v/>
      </c>
    </row>
    <row r="2808" spans="4:4" x14ac:dyDescent="0.3">
      <c r="D2808" t="str">
        <f t="shared" si="72"/>
        <v/>
      </c>
    </row>
    <row r="2809" spans="4:4" x14ac:dyDescent="0.3">
      <c r="D2809" t="str">
        <f t="shared" si="72"/>
        <v/>
      </c>
    </row>
    <row r="2810" spans="4:4" x14ac:dyDescent="0.3">
      <c r="D2810" t="str">
        <f t="shared" si="72"/>
        <v/>
      </c>
    </row>
    <row r="2811" spans="4:4" x14ac:dyDescent="0.3">
      <c r="D2811" t="str">
        <f t="shared" si="72"/>
        <v/>
      </c>
    </row>
    <row r="2812" spans="4:4" x14ac:dyDescent="0.3">
      <c r="D2812" t="str">
        <f t="shared" si="72"/>
        <v/>
      </c>
    </row>
    <row r="2813" spans="4:4" x14ac:dyDescent="0.3">
      <c r="D2813" t="str">
        <f t="shared" si="72"/>
        <v/>
      </c>
    </row>
    <row r="2814" spans="4:4" x14ac:dyDescent="0.3">
      <c r="D2814" t="str">
        <f t="shared" ref="D2814:D2877" si="73">IF(LEFT(A2814,2)="SP",MID(A2814,4,4),IF(LEFT(A2814,1)="X",MID(A2814,3,4),""))</f>
        <v/>
      </c>
    </row>
    <row r="2815" spans="4:4" x14ac:dyDescent="0.3">
      <c r="D2815" t="str">
        <f t="shared" si="73"/>
        <v/>
      </c>
    </row>
    <row r="2816" spans="4:4" x14ac:dyDescent="0.3">
      <c r="D2816" t="str">
        <f t="shared" si="73"/>
        <v/>
      </c>
    </row>
    <row r="2817" spans="4:4" x14ac:dyDescent="0.3">
      <c r="D2817" t="str">
        <f t="shared" si="73"/>
        <v/>
      </c>
    </row>
    <row r="2818" spans="4:4" x14ac:dyDescent="0.3">
      <c r="D2818" t="str">
        <f t="shared" si="73"/>
        <v/>
      </c>
    </row>
    <row r="2819" spans="4:4" x14ac:dyDescent="0.3">
      <c r="D2819" t="str">
        <f t="shared" si="73"/>
        <v/>
      </c>
    </row>
    <row r="2820" spans="4:4" x14ac:dyDescent="0.3">
      <c r="D2820" t="str">
        <f t="shared" si="73"/>
        <v/>
      </c>
    </row>
    <row r="2821" spans="4:4" x14ac:dyDescent="0.3">
      <c r="D2821" t="str">
        <f t="shared" si="73"/>
        <v/>
      </c>
    </row>
    <row r="2822" spans="4:4" x14ac:dyDescent="0.3">
      <c r="D2822" t="str">
        <f t="shared" si="73"/>
        <v/>
      </c>
    </row>
    <row r="2823" spans="4:4" x14ac:dyDescent="0.3">
      <c r="D2823" t="str">
        <f t="shared" si="73"/>
        <v/>
      </c>
    </row>
    <row r="2824" spans="4:4" x14ac:dyDescent="0.3">
      <c r="D2824" t="str">
        <f t="shared" si="73"/>
        <v/>
      </c>
    </row>
    <row r="2825" spans="4:4" x14ac:dyDescent="0.3">
      <c r="D2825" t="str">
        <f t="shared" si="73"/>
        <v/>
      </c>
    </row>
    <row r="2826" spans="4:4" x14ac:dyDescent="0.3">
      <c r="D2826" t="str">
        <f t="shared" si="73"/>
        <v/>
      </c>
    </row>
    <row r="2827" spans="4:4" x14ac:dyDescent="0.3">
      <c r="D2827" t="str">
        <f t="shared" si="73"/>
        <v/>
      </c>
    </row>
    <row r="2828" spans="4:4" x14ac:dyDescent="0.3">
      <c r="D2828" t="str">
        <f t="shared" si="73"/>
        <v/>
      </c>
    </row>
    <row r="2829" spans="4:4" x14ac:dyDescent="0.3">
      <c r="D2829" t="str">
        <f t="shared" si="73"/>
        <v/>
      </c>
    </row>
    <row r="2830" spans="4:4" x14ac:dyDescent="0.3">
      <c r="D2830" t="str">
        <f t="shared" si="73"/>
        <v/>
      </c>
    </row>
    <row r="2831" spans="4:4" x14ac:dyDescent="0.3">
      <c r="D2831" t="str">
        <f t="shared" si="73"/>
        <v/>
      </c>
    </row>
    <row r="2832" spans="4:4" x14ac:dyDescent="0.3">
      <c r="D2832" t="str">
        <f t="shared" si="73"/>
        <v/>
      </c>
    </row>
    <row r="2833" spans="4:4" x14ac:dyDescent="0.3">
      <c r="D2833" t="str">
        <f t="shared" si="73"/>
        <v/>
      </c>
    </row>
    <row r="2834" spans="4:4" x14ac:dyDescent="0.3">
      <c r="D2834" t="str">
        <f t="shared" si="73"/>
        <v/>
      </c>
    </row>
    <row r="2835" spans="4:4" x14ac:dyDescent="0.3">
      <c r="D2835" t="str">
        <f t="shared" si="73"/>
        <v/>
      </c>
    </row>
    <row r="2836" spans="4:4" x14ac:dyDescent="0.3">
      <c r="D2836" t="str">
        <f t="shared" si="73"/>
        <v/>
      </c>
    </row>
    <row r="2837" spans="4:4" x14ac:dyDescent="0.3">
      <c r="D2837" t="str">
        <f t="shared" si="73"/>
        <v/>
      </c>
    </row>
    <row r="2838" spans="4:4" x14ac:dyDescent="0.3">
      <c r="D2838" t="str">
        <f t="shared" si="73"/>
        <v/>
      </c>
    </row>
    <row r="2839" spans="4:4" x14ac:dyDescent="0.3">
      <c r="D2839" t="str">
        <f t="shared" si="73"/>
        <v/>
      </c>
    </row>
    <row r="2840" spans="4:4" x14ac:dyDescent="0.3">
      <c r="D2840" t="str">
        <f t="shared" si="73"/>
        <v/>
      </c>
    </row>
    <row r="2841" spans="4:4" x14ac:dyDescent="0.3">
      <c r="D2841" t="str">
        <f t="shared" si="73"/>
        <v/>
      </c>
    </row>
    <row r="2842" spans="4:4" x14ac:dyDescent="0.3">
      <c r="D2842" t="str">
        <f t="shared" si="73"/>
        <v/>
      </c>
    </row>
    <row r="2843" spans="4:4" x14ac:dyDescent="0.3">
      <c r="D2843" t="str">
        <f t="shared" si="73"/>
        <v/>
      </c>
    </row>
    <row r="2844" spans="4:4" x14ac:dyDescent="0.3">
      <c r="D2844" t="str">
        <f t="shared" si="73"/>
        <v/>
      </c>
    </row>
    <row r="2845" spans="4:4" x14ac:dyDescent="0.3">
      <c r="D2845" t="str">
        <f t="shared" si="73"/>
        <v/>
      </c>
    </row>
    <row r="2846" spans="4:4" x14ac:dyDescent="0.3">
      <c r="D2846" t="str">
        <f t="shared" si="73"/>
        <v/>
      </c>
    </row>
    <row r="2847" spans="4:4" x14ac:dyDescent="0.3">
      <c r="D2847" t="str">
        <f t="shared" si="73"/>
        <v/>
      </c>
    </row>
    <row r="2848" spans="4:4" x14ac:dyDescent="0.3">
      <c r="D2848" t="str">
        <f t="shared" si="73"/>
        <v/>
      </c>
    </row>
    <row r="2849" spans="4:4" x14ac:dyDescent="0.3">
      <c r="D2849" t="str">
        <f t="shared" si="73"/>
        <v/>
      </c>
    </row>
    <row r="2850" spans="4:4" x14ac:dyDescent="0.3">
      <c r="D2850" t="str">
        <f t="shared" si="73"/>
        <v/>
      </c>
    </row>
    <row r="2851" spans="4:4" x14ac:dyDescent="0.3">
      <c r="D2851" t="str">
        <f t="shared" si="73"/>
        <v/>
      </c>
    </row>
    <row r="2852" spans="4:4" x14ac:dyDescent="0.3">
      <c r="D2852" t="str">
        <f t="shared" si="73"/>
        <v/>
      </c>
    </row>
    <row r="2853" spans="4:4" x14ac:dyDescent="0.3">
      <c r="D2853" t="str">
        <f t="shared" si="73"/>
        <v/>
      </c>
    </row>
    <row r="2854" spans="4:4" x14ac:dyDescent="0.3">
      <c r="D2854" t="str">
        <f t="shared" si="73"/>
        <v/>
      </c>
    </row>
    <row r="2855" spans="4:4" x14ac:dyDescent="0.3">
      <c r="D2855" t="str">
        <f t="shared" si="73"/>
        <v/>
      </c>
    </row>
    <row r="2856" spans="4:4" x14ac:dyDescent="0.3">
      <c r="D2856" t="str">
        <f t="shared" si="73"/>
        <v/>
      </c>
    </row>
    <row r="2857" spans="4:4" x14ac:dyDescent="0.3">
      <c r="D2857" t="str">
        <f t="shared" si="73"/>
        <v/>
      </c>
    </row>
    <row r="2858" spans="4:4" x14ac:dyDescent="0.3">
      <c r="D2858" t="str">
        <f t="shared" si="73"/>
        <v/>
      </c>
    </row>
    <row r="2859" spans="4:4" x14ac:dyDescent="0.3">
      <c r="D2859" t="str">
        <f t="shared" si="73"/>
        <v/>
      </c>
    </row>
    <row r="2860" spans="4:4" x14ac:dyDescent="0.3">
      <c r="D2860" t="str">
        <f t="shared" si="73"/>
        <v/>
      </c>
    </row>
    <row r="2861" spans="4:4" x14ac:dyDescent="0.3">
      <c r="D2861" t="str">
        <f t="shared" si="73"/>
        <v/>
      </c>
    </row>
    <row r="2862" spans="4:4" x14ac:dyDescent="0.3">
      <c r="D2862" t="str">
        <f t="shared" si="73"/>
        <v/>
      </c>
    </row>
    <row r="2863" spans="4:4" x14ac:dyDescent="0.3">
      <c r="D2863" t="str">
        <f t="shared" si="73"/>
        <v/>
      </c>
    </row>
    <row r="2864" spans="4:4" x14ac:dyDescent="0.3">
      <c r="D2864" t="str">
        <f t="shared" si="73"/>
        <v/>
      </c>
    </row>
    <row r="2865" spans="4:4" x14ac:dyDescent="0.3">
      <c r="D2865" t="str">
        <f t="shared" si="73"/>
        <v/>
      </c>
    </row>
    <row r="2866" spans="4:4" x14ac:dyDescent="0.3">
      <c r="D2866" t="str">
        <f t="shared" si="73"/>
        <v/>
      </c>
    </row>
    <row r="2867" spans="4:4" x14ac:dyDescent="0.3">
      <c r="D2867" t="str">
        <f t="shared" si="73"/>
        <v/>
      </c>
    </row>
    <row r="2868" spans="4:4" x14ac:dyDescent="0.3">
      <c r="D2868" t="str">
        <f t="shared" si="73"/>
        <v/>
      </c>
    </row>
    <row r="2869" spans="4:4" x14ac:dyDescent="0.3">
      <c r="D2869" t="str">
        <f t="shared" si="73"/>
        <v/>
      </c>
    </row>
    <row r="2870" spans="4:4" x14ac:dyDescent="0.3">
      <c r="D2870" t="str">
        <f t="shared" si="73"/>
        <v/>
      </c>
    </row>
    <row r="2871" spans="4:4" x14ac:dyDescent="0.3">
      <c r="D2871" t="str">
        <f t="shared" si="73"/>
        <v/>
      </c>
    </row>
    <row r="2872" spans="4:4" x14ac:dyDescent="0.3">
      <c r="D2872" t="str">
        <f t="shared" si="73"/>
        <v/>
      </c>
    </row>
    <row r="2873" spans="4:4" x14ac:dyDescent="0.3">
      <c r="D2873" t="str">
        <f t="shared" si="73"/>
        <v/>
      </c>
    </row>
    <row r="2874" spans="4:4" x14ac:dyDescent="0.3">
      <c r="D2874" t="str">
        <f t="shared" si="73"/>
        <v/>
      </c>
    </row>
    <row r="2875" spans="4:4" x14ac:dyDescent="0.3">
      <c r="D2875" t="str">
        <f t="shared" si="73"/>
        <v/>
      </c>
    </row>
    <row r="2876" spans="4:4" x14ac:dyDescent="0.3">
      <c r="D2876" t="str">
        <f t="shared" si="73"/>
        <v/>
      </c>
    </row>
    <row r="2877" spans="4:4" x14ac:dyDescent="0.3">
      <c r="D2877" t="str">
        <f t="shared" si="73"/>
        <v/>
      </c>
    </row>
    <row r="2878" spans="4:4" x14ac:dyDescent="0.3">
      <c r="D2878" t="str">
        <f t="shared" ref="D2878:D2941" si="74">IF(LEFT(A2878,2)="SP",MID(A2878,4,4),IF(LEFT(A2878,1)="X",MID(A2878,3,4),""))</f>
        <v/>
      </c>
    </row>
    <row r="2879" spans="4:4" x14ac:dyDescent="0.3">
      <c r="D2879" t="str">
        <f t="shared" si="74"/>
        <v/>
      </c>
    </row>
    <row r="2880" spans="4:4" x14ac:dyDescent="0.3">
      <c r="D2880" t="str">
        <f t="shared" si="74"/>
        <v/>
      </c>
    </row>
    <row r="2881" spans="4:4" x14ac:dyDescent="0.3">
      <c r="D2881" t="str">
        <f t="shared" si="74"/>
        <v/>
      </c>
    </row>
    <row r="2882" spans="4:4" x14ac:dyDescent="0.3">
      <c r="D2882" t="str">
        <f t="shared" si="74"/>
        <v/>
      </c>
    </row>
    <row r="2883" spans="4:4" x14ac:dyDescent="0.3">
      <c r="D2883" t="str">
        <f t="shared" si="74"/>
        <v/>
      </c>
    </row>
    <row r="2884" spans="4:4" x14ac:dyDescent="0.3">
      <c r="D2884" t="str">
        <f t="shared" si="74"/>
        <v/>
      </c>
    </row>
    <row r="2885" spans="4:4" x14ac:dyDescent="0.3">
      <c r="D2885" t="str">
        <f t="shared" si="74"/>
        <v/>
      </c>
    </row>
    <row r="2886" spans="4:4" x14ac:dyDescent="0.3">
      <c r="D2886" t="str">
        <f t="shared" si="74"/>
        <v/>
      </c>
    </row>
    <row r="2887" spans="4:4" x14ac:dyDescent="0.3">
      <c r="D2887" t="str">
        <f t="shared" si="74"/>
        <v/>
      </c>
    </row>
    <row r="2888" spans="4:4" x14ac:dyDescent="0.3">
      <c r="D2888" t="str">
        <f t="shared" si="74"/>
        <v/>
      </c>
    </row>
    <row r="2889" spans="4:4" x14ac:dyDescent="0.3">
      <c r="D2889" t="str">
        <f t="shared" si="74"/>
        <v/>
      </c>
    </row>
    <row r="2890" spans="4:4" x14ac:dyDescent="0.3">
      <c r="D2890" t="str">
        <f t="shared" si="74"/>
        <v/>
      </c>
    </row>
    <row r="2891" spans="4:4" x14ac:dyDescent="0.3">
      <c r="D2891" t="str">
        <f t="shared" si="74"/>
        <v/>
      </c>
    </row>
    <row r="2892" spans="4:4" x14ac:dyDescent="0.3">
      <c r="D2892" t="str">
        <f t="shared" si="74"/>
        <v/>
      </c>
    </row>
    <row r="2893" spans="4:4" x14ac:dyDescent="0.3">
      <c r="D2893" t="str">
        <f t="shared" si="74"/>
        <v/>
      </c>
    </row>
    <row r="2894" spans="4:4" x14ac:dyDescent="0.3">
      <c r="D2894" t="str">
        <f t="shared" si="74"/>
        <v/>
      </c>
    </row>
    <row r="2895" spans="4:4" x14ac:dyDescent="0.3">
      <c r="D2895" t="str">
        <f t="shared" si="74"/>
        <v/>
      </c>
    </row>
    <row r="2896" spans="4:4" x14ac:dyDescent="0.3">
      <c r="D2896" t="str">
        <f t="shared" si="74"/>
        <v/>
      </c>
    </row>
    <row r="2897" spans="4:4" x14ac:dyDescent="0.3">
      <c r="D2897" t="str">
        <f t="shared" si="74"/>
        <v/>
      </c>
    </row>
    <row r="2898" spans="4:4" x14ac:dyDescent="0.3">
      <c r="D2898" t="str">
        <f t="shared" si="74"/>
        <v/>
      </c>
    </row>
    <row r="2899" spans="4:4" x14ac:dyDescent="0.3">
      <c r="D2899" t="str">
        <f t="shared" si="74"/>
        <v/>
      </c>
    </row>
    <row r="2900" spans="4:4" x14ac:dyDescent="0.3">
      <c r="D2900" t="str">
        <f t="shared" si="74"/>
        <v/>
      </c>
    </row>
    <row r="2901" spans="4:4" x14ac:dyDescent="0.3">
      <c r="D2901" t="str">
        <f t="shared" si="74"/>
        <v/>
      </c>
    </row>
    <row r="2902" spans="4:4" x14ac:dyDescent="0.3">
      <c r="D2902" t="str">
        <f t="shared" si="74"/>
        <v/>
      </c>
    </row>
    <row r="2903" spans="4:4" x14ac:dyDescent="0.3">
      <c r="D2903" t="str">
        <f t="shared" si="74"/>
        <v/>
      </c>
    </row>
    <row r="2904" spans="4:4" x14ac:dyDescent="0.3">
      <c r="D2904" t="str">
        <f t="shared" si="74"/>
        <v/>
      </c>
    </row>
    <row r="2905" spans="4:4" x14ac:dyDescent="0.3">
      <c r="D2905" t="str">
        <f t="shared" si="74"/>
        <v/>
      </c>
    </row>
    <row r="2906" spans="4:4" x14ac:dyDescent="0.3">
      <c r="D2906" t="str">
        <f t="shared" si="74"/>
        <v/>
      </c>
    </row>
    <row r="2907" spans="4:4" x14ac:dyDescent="0.3">
      <c r="D2907" t="str">
        <f t="shared" si="74"/>
        <v/>
      </c>
    </row>
    <row r="2908" spans="4:4" x14ac:dyDescent="0.3">
      <c r="D2908" t="str">
        <f t="shared" si="74"/>
        <v/>
      </c>
    </row>
    <row r="2909" spans="4:4" x14ac:dyDescent="0.3">
      <c r="D2909" t="str">
        <f t="shared" si="74"/>
        <v/>
      </c>
    </row>
    <row r="2910" spans="4:4" x14ac:dyDescent="0.3">
      <c r="D2910" t="str">
        <f t="shared" si="74"/>
        <v/>
      </c>
    </row>
    <row r="2911" spans="4:4" x14ac:dyDescent="0.3">
      <c r="D2911" t="str">
        <f t="shared" si="74"/>
        <v/>
      </c>
    </row>
    <row r="2912" spans="4:4" x14ac:dyDescent="0.3">
      <c r="D2912" t="str">
        <f t="shared" si="74"/>
        <v/>
      </c>
    </row>
    <row r="2913" spans="4:4" x14ac:dyDescent="0.3">
      <c r="D2913" t="str">
        <f t="shared" si="74"/>
        <v/>
      </c>
    </row>
    <row r="2914" spans="4:4" x14ac:dyDescent="0.3">
      <c r="D2914" t="str">
        <f t="shared" si="74"/>
        <v/>
      </c>
    </row>
    <row r="2915" spans="4:4" x14ac:dyDescent="0.3">
      <c r="D2915" t="str">
        <f t="shared" si="74"/>
        <v/>
      </c>
    </row>
    <row r="2916" spans="4:4" x14ac:dyDescent="0.3">
      <c r="D2916" t="str">
        <f t="shared" si="74"/>
        <v/>
      </c>
    </row>
    <row r="2917" spans="4:4" x14ac:dyDescent="0.3">
      <c r="D2917" t="str">
        <f t="shared" si="74"/>
        <v/>
      </c>
    </row>
    <row r="2918" spans="4:4" x14ac:dyDescent="0.3">
      <c r="D2918" t="str">
        <f t="shared" si="74"/>
        <v/>
      </c>
    </row>
    <row r="2919" spans="4:4" x14ac:dyDescent="0.3">
      <c r="D2919" t="str">
        <f t="shared" si="74"/>
        <v/>
      </c>
    </row>
    <row r="2920" spans="4:4" x14ac:dyDescent="0.3">
      <c r="D2920" t="str">
        <f t="shared" si="74"/>
        <v/>
      </c>
    </row>
    <row r="2921" spans="4:4" x14ac:dyDescent="0.3">
      <c r="D2921" t="str">
        <f t="shared" si="74"/>
        <v/>
      </c>
    </row>
    <row r="2922" spans="4:4" x14ac:dyDescent="0.3">
      <c r="D2922" t="str">
        <f t="shared" si="74"/>
        <v/>
      </c>
    </row>
    <row r="2923" spans="4:4" x14ac:dyDescent="0.3">
      <c r="D2923" t="str">
        <f t="shared" si="74"/>
        <v/>
      </c>
    </row>
    <row r="2924" spans="4:4" x14ac:dyDescent="0.3">
      <c r="D2924" t="str">
        <f t="shared" si="74"/>
        <v/>
      </c>
    </row>
    <row r="2925" spans="4:4" x14ac:dyDescent="0.3">
      <c r="D2925" t="str">
        <f t="shared" si="74"/>
        <v/>
      </c>
    </row>
    <row r="2926" spans="4:4" x14ac:dyDescent="0.3">
      <c r="D2926" t="str">
        <f t="shared" si="74"/>
        <v/>
      </c>
    </row>
    <row r="2927" spans="4:4" x14ac:dyDescent="0.3">
      <c r="D2927" t="str">
        <f t="shared" si="74"/>
        <v/>
      </c>
    </row>
    <row r="2928" spans="4:4" x14ac:dyDescent="0.3">
      <c r="D2928" t="str">
        <f t="shared" si="74"/>
        <v/>
      </c>
    </row>
    <row r="2929" spans="4:4" x14ac:dyDescent="0.3">
      <c r="D2929" t="str">
        <f t="shared" si="74"/>
        <v/>
      </c>
    </row>
    <row r="2930" spans="4:4" x14ac:dyDescent="0.3">
      <c r="D2930" t="str">
        <f t="shared" si="74"/>
        <v/>
      </c>
    </row>
    <row r="2931" spans="4:4" x14ac:dyDescent="0.3">
      <c r="D2931" t="str">
        <f t="shared" si="74"/>
        <v/>
      </c>
    </row>
    <row r="2932" spans="4:4" x14ac:dyDescent="0.3">
      <c r="D2932" t="str">
        <f t="shared" si="74"/>
        <v/>
      </c>
    </row>
    <row r="2933" spans="4:4" x14ac:dyDescent="0.3">
      <c r="D2933" t="str">
        <f t="shared" si="74"/>
        <v/>
      </c>
    </row>
    <row r="2934" spans="4:4" x14ac:dyDescent="0.3">
      <c r="D2934" t="str">
        <f t="shared" si="74"/>
        <v/>
      </c>
    </row>
    <row r="2935" spans="4:4" x14ac:dyDescent="0.3">
      <c r="D2935" t="str">
        <f t="shared" si="74"/>
        <v/>
      </c>
    </row>
    <row r="2936" spans="4:4" x14ac:dyDescent="0.3">
      <c r="D2936" t="str">
        <f t="shared" si="74"/>
        <v/>
      </c>
    </row>
    <row r="2937" spans="4:4" x14ac:dyDescent="0.3">
      <c r="D2937" t="str">
        <f t="shared" si="74"/>
        <v/>
      </c>
    </row>
    <row r="2938" spans="4:4" x14ac:dyDescent="0.3">
      <c r="D2938" t="str">
        <f t="shared" si="74"/>
        <v/>
      </c>
    </row>
    <row r="2939" spans="4:4" x14ac:dyDescent="0.3">
      <c r="D2939" t="str">
        <f t="shared" si="74"/>
        <v/>
      </c>
    </row>
    <row r="2940" spans="4:4" x14ac:dyDescent="0.3">
      <c r="D2940" t="str">
        <f t="shared" si="74"/>
        <v/>
      </c>
    </row>
    <row r="2941" spans="4:4" x14ac:dyDescent="0.3">
      <c r="D2941" t="str">
        <f t="shared" si="74"/>
        <v/>
      </c>
    </row>
    <row r="2942" spans="4:4" x14ac:dyDescent="0.3">
      <c r="D2942" t="str">
        <f t="shared" ref="D2942:D3005" si="75">IF(LEFT(A2942,2)="SP",MID(A2942,4,4),IF(LEFT(A2942,1)="X",MID(A2942,3,4),""))</f>
        <v/>
      </c>
    </row>
    <row r="2943" spans="4:4" x14ac:dyDescent="0.3">
      <c r="D2943" t="str">
        <f t="shared" si="75"/>
        <v/>
      </c>
    </row>
    <row r="2944" spans="4:4" x14ac:dyDescent="0.3">
      <c r="D2944" t="str">
        <f t="shared" si="75"/>
        <v/>
      </c>
    </row>
    <row r="2945" spans="4:4" x14ac:dyDescent="0.3">
      <c r="D2945" t="str">
        <f t="shared" si="75"/>
        <v/>
      </c>
    </row>
    <row r="2946" spans="4:4" x14ac:dyDescent="0.3">
      <c r="D2946" t="str">
        <f t="shared" si="75"/>
        <v/>
      </c>
    </row>
    <row r="2947" spans="4:4" x14ac:dyDescent="0.3">
      <c r="D2947" t="str">
        <f t="shared" si="75"/>
        <v/>
      </c>
    </row>
    <row r="2948" spans="4:4" x14ac:dyDescent="0.3">
      <c r="D2948" t="str">
        <f t="shared" si="75"/>
        <v/>
      </c>
    </row>
    <row r="2949" spans="4:4" x14ac:dyDescent="0.3">
      <c r="D2949" t="str">
        <f t="shared" si="75"/>
        <v/>
      </c>
    </row>
    <row r="2950" spans="4:4" x14ac:dyDescent="0.3">
      <c r="D2950" t="str">
        <f t="shared" si="75"/>
        <v/>
      </c>
    </row>
    <row r="2951" spans="4:4" x14ac:dyDescent="0.3">
      <c r="D2951" t="str">
        <f t="shared" si="75"/>
        <v/>
      </c>
    </row>
    <row r="2952" spans="4:4" x14ac:dyDescent="0.3">
      <c r="D2952" t="str">
        <f t="shared" si="75"/>
        <v/>
      </c>
    </row>
    <row r="2953" spans="4:4" x14ac:dyDescent="0.3">
      <c r="D2953" t="str">
        <f t="shared" si="75"/>
        <v/>
      </c>
    </row>
    <row r="2954" spans="4:4" x14ac:dyDescent="0.3">
      <c r="D2954" t="str">
        <f t="shared" si="75"/>
        <v/>
      </c>
    </row>
    <row r="2955" spans="4:4" x14ac:dyDescent="0.3">
      <c r="D2955" t="str">
        <f t="shared" si="75"/>
        <v/>
      </c>
    </row>
    <row r="2956" spans="4:4" x14ac:dyDescent="0.3">
      <c r="D2956" t="str">
        <f t="shared" si="75"/>
        <v/>
      </c>
    </row>
    <row r="2957" spans="4:4" x14ac:dyDescent="0.3">
      <c r="D2957" t="str">
        <f t="shared" si="75"/>
        <v/>
      </c>
    </row>
    <row r="2958" spans="4:4" x14ac:dyDescent="0.3">
      <c r="D2958" t="str">
        <f t="shared" si="75"/>
        <v/>
      </c>
    </row>
    <row r="2959" spans="4:4" x14ac:dyDescent="0.3">
      <c r="D2959" t="str">
        <f t="shared" si="75"/>
        <v/>
      </c>
    </row>
    <row r="2960" spans="4:4" x14ac:dyDescent="0.3">
      <c r="D2960" t="str">
        <f t="shared" si="75"/>
        <v/>
      </c>
    </row>
    <row r="2961" spans="4:4" x14ac:dyDescent="0.3">
      <c r="D2961" t="str">
        <f t="shared" si="75"/>
        <v/>
      </c>
    </row>
    <row r="2962" spans="4:4" x14ac:dyDescent="0.3">
      <c r="D2962" t="str">
        <f t="shared" si="75"/>
        <v/>
      </c>
    </row>
    <row r="2963" spans="4:4" x14ac:dyDescent="0.3">
      <c r="D2963" t="str">
        <f t="shared" si="75"/>
        <v/>
      </c>
    </row>
    <row r="2964" spans="4:4" x14ac:dyDescent="0.3">
      <c r="D2964" t="str">
        <f t="shared" si="75"/>
        <v/>
      </c>
    </row>
    <row r="2965" spans="4:4" x14ac:dyDescent="0.3">
      <c r="D2965" t="str">
        <f t="shared" si="75"/>
        <v/>
      </c>
    </row>
    <row r="2966" spans="4:4" x14ac:dyDescent="0.3">
      <c r="D2966" t="str">
        <f t="shared" si="75"/>
        <v/>
      </c>
    </row>
    <row r="2967" spans="4:4" x14ac:dyDescent="0.3">
      <c r="D2967" t="str">
        <f t="shared" si="75"/>
        <v/>
      </c>
    </row>
    <row r="2968" spans="4:4" x14ac:dyDescent="0.3">
      <c r="D2968" t="str">
        <f t="shared" si="75"/>
        <v/>
      </c>
    </row>
    <row r="2969" spans="4:4" x14ac:dyDescent="0.3">
      <c r="D2969" t="str">
        <f t="shared" si="75"/>
        <v/>
      </c>
    </row>
    <row r="2970" spans="4:4" x14ac:dyDescent="0.3">
      <c r="D2970" t="str">
        <f t="shared" si="75"/>
        <v/>
      </c>
    </row>
    <row r="2971" spans="4:4" x14ac:dyDescent="0.3">
      <c r="D2971" t="str">
        <f t="shared" si="75"/>
        <v/>
      </c>
    </row>
    <row r="2972" spans="4:4" x14ac:dyDescent="0.3">
      <c r="D2972" t="str">
        <f t="shared" si="75"/>
        <v/>
      </c>
    </row>
    <row r="2973" spans="4:4" x14ac:dyDescent="0.3">
      <c r="D2973" t="str">
        <f t="shared" si="75"/>
        <v/>
      </c>
    </row>
    <row r="2974" spans="4:4" x14ac:dyDescent="0.3">
      <c r="D2974" t="str">
        <f t="shared" si="75"/>
        <v/>
      </c>
    </row>
    <row r="2975" spans="4:4" x14ac:dyDescent="0.3">
      <c r="D2975" t="str">
        <f t="shared" si="75"/>
        <v/>
      </c>
    </row>
    <row r="2976" spans="4:4" x14ac:dyDescent="0.3">
      <c r="D2976" t="str">
        <f t="shared" si="75"/>
        <v/>
      </c>
    </row>
    <row r="2977" spans="4:4" x14ac:dyDescent="0.3">
      <c r="D2977" t="str">
        <f t="shared" si="75"/>
        <v/>
      </c>
    </row>
    <row r="2978" spans="4:4" x14ac:dyDescent="0.3">
      <c r="D2978" t="str">
        <f t="shared" si="75"/>
        <v/>
      </c>
    </row>
    <row r="2979" spans="4:4" x14ac:dyDescent="0.3">
      <c r="D2979" t="str">
        <f t="shared" si="75"/>
        <v/>
      </c>
    </row>
    <row r="2980" spans="4:4" x14ac:dyDescent="0.3">
      <c r="D2980" t="str">
        <f t="shared" si="75"/>
        <v/>
      </c>
    </row>
    <row r="2981" spans="4:4" x14ac:dyDescent="0.3">
      <c r="D2981" t="str">
        <f t="shared" si="75"/>
        <v/>
      </c>
    </row>
    <row r="2982" spans="4:4" x14ac:dyDescent="0.3">
      <c r="D2982" t="str">
        <f t="shared" si="75"/>
        <v/>
      </c>
    </row>
    <row r="2983" spans="4:4" x14ac:dyDescent="0.3">
      <c r="D2983" t="str">
        <f t="shared" si="75"/>
        <v/>
      </c>
    </row>
    <row r="2984" spans="4:4" x14ac:dyDescent="0.3">
      <c r="D2984" t="str">
        <f t="shared" si="75"/>
        <v/>
      </c>
    </row>
    <row r="2985" spans="4:4" x14ac:dyDescent="0.3">
      <c r="D2985" t="str">
        <f t="shared" si="75"/>
        <v/>
      </c>
    </row>
    <row r="2986" spans="4:4" x14ac:dyDescent="0.3">
      <c r="D2986" t="str">
        <f t="shared" si="75"/>
        <v/>
      </c>
    </row>
    <row r="2987" spans="4:4" x14ac:dyDescent="0.3">
      <c r="D2987" t="str">
        <f t="shared" si="75"/>
        <v/>
      </c>
    </row>
    <row r="2988" spans="4:4" x14ac:dyDescent="0.3">
      <c r="D2988" t="str">
        <f t="shared" si="75"/>
        <v/>
      </c>
    </row>
    <row r="2989" spans="4:4" x14ac:dyDescent="0.3">
      <c r="D2989" t="str">
        <f t="shared" si="75"/>
        <v/>
      </c>
    </row>
    <row r="2990" spans="4:4" x14ac:dyDescent="0.3">
      <c r="D2990" t="str">
        <f t="shared" si="75"/>
        <v/>
      </c>
    </row>
    <row r="2991" spans="4:4" x14ac:dyDescent="0.3">
      <c r="D2991" t="str">
        <f t="shared" si="75"/>
        <v/>
      </c>
    </row>
    <row r="2992" spans="4:4" x14ac:dyDescent="0.3">
      <c r="D2992" t="str">
        <f t="shared" si="75"/>
        <v/>
      </c>
    </row>
    <row r="2993" spans="4:4" x14ac:dyDescent="0.3">
      <c r="D2993" t="str">
        <f t="shared" si="75"/>
        <v/>
      </c>
    </row>
    <row r="2994" spans="4:4" x14ac:dyDescent="0.3">
      <c r="D2994" t="str">
        <f t="shared" si="75"/>
        <v/>
      </c>
    </row>
    <row r="2995" spans="4:4" x14ac:dyDescent="0.3">
      <c r="D2995" t="str">
        <f t="shared" si="75"/>
        <v/>
      </c>
    </row>
    <row r="2996" spans="4:4" x14ac:dyDescent="0.3">
      <c r="D2996" t="str">
        <f t="shared" si="75"/>
        <v/>
      </c>
    </row>
    <row r="2997" spans="4:4" x14ac:dyDescent="0.3">
      <c r="D2997" t="str">
        <f t="shared" si="75"/>
        <v/>
      </c>
    </row>
    <row r="2998" spans="4:4" x14ac:dyDescent="0.3">
      <c r="D2998" t="str">
        <f t="shared" si="75"/>
        <v/>
      </c>
    </row>
    <row r="2999" spans="4:4" x14ac:dyDescent="0.3">
      <c r="D2999" t="str">
        <f t="shared" si="75"/>
        <v/>
      </c>
    </row>
    <row r="3000" spans="4:4" x14ac:dyDescent="0.3">
      <c r="D3000" t="str">
        <f t="shared" si="75"/>
        <v/>
      </c>
    </row>
    <row r="3001" spans="4:4" x14ac:dyDescent="0.3">
      <c r="D3001" t="str">
        <f t="shared" si="75"/>
        <v/>
      </c>
    </row>
    <row r="3002" spans="4:4" x14ac:dyDescent="0.3">
      <c r="D3002" t="str">
        <f t="shared" si="75"/>
        <v/>
      </c>
    </row>
    <row r="3003" spans="4:4" x14ac:dyDescent="0.3">
      <c r="D3003" t="str">
        <f t="shared" si="75"/>
        <v/>
      </c>
    </row>
    <row r="3004" spans="4:4" x14ac:dyDescent="0.3">
      <c r="D3004" t="str">
        <f t="shared" si="75"/>
        <v/>
      </c>
    </row>
    <row r="3005" spans="4:4" x14ac:dyDescent="0.3">
      <c r="D3005" t="str">
        <f t="shared" si="75"/>
        <v/>
      </c>
    </row>
    <row r="3006" spans="4:4" x14ac:dyDescent="0.3">
      <c r="D3006" t="str">
        <f t="shared" ref="D3006:D3069" si="76">IF(LEFT(A3006,2)="SP",MID(A3006,4,4),IF(LEFT(A3006,1)="X",MID(A3006,3,4),""))</f>
        <v/>
      </c>
    </row>
    <row r="3007" spans="4:4" x14ac:dyDescent="0.3">
      <c r="D3007" t="str">
        <f t="shared" si="76"/>
        <v/>
      </c>
    </row>
    <row r="3008" spans="4:4" x14ac:dyDescent="0.3">
      <c r="D3008" t="str">
        <f t="shared" si="76"/>
        <v/>
      </c>
    </row>
    <row r="3009" spans="4:4" x14ac:dyDescent="0.3">
      <c r="D3009" t="str">
        <f t="shared" si="76"/>
        <v/>
      </c>
    </row>
    <row r="3010" spans="4:4" x14ac:dyDescent="0.3">
      <c r="D3010" t="str">
        <f t="shared" si="76"/>
        <v/>
      </c>
    </row>
    <row r="3011" spans="4:4" x14ac:dyDescent="0.3">
      <c r="D3011" t="str">
        <f t="shared" si="76"/>
        <v/>
      </c>
    </row>
    <row r="3012" spans="4:4" x14ac:dyDescent="0.3">
      <c r="D3012" t="str">
        <f t="shared" si="76"/>
        <v/>
      </c>
    </row>
    <row r="3013" spans="4:4" x14ac:dyDescent="0.3">
      <c r="D3013" t="str">
        <f t="shared" si="76"/>
        <v/>
      </c>
    </row>
    <row r="3014" spans="4:4" x14ac:dyDescent="0.3">
      <c r="D3014" t="str">
        <f t="shared" si="76"/>
        <v/>
      </c>
    </row>
    <row r="3015" spans="4:4" x14ac:dyDescent="0.3">
      <c r="D3015" t="str">
        <f t="shared" si="76"/>
        <v/>
      </c>
    </row>
    <row r="3016" spans="4:4" x14ac:dyDescent="0.3">
      <c r="D3016" t="str">
        <f t="shared" si="76"/>
        <v/>
      </c>
    </row>
    <row r="3017" spans="4:4" x14ac:dyDescent="0.3">
      <c r="D3017" t="str">
        <f t="shared" si="76"/>
        <v/>
      </c>
    </row>
    <row r="3018" spans="4:4" x14ac:dyDescent="0.3">
      <c r="D3018" t="str">
        <f t="shared" si="76"/>
        <v/>
      </c>
    </row>
    <row r="3019" spans="4:4" x14ac:dyDescent="0.3">
      <c r="D3019" t="str">
        <f t="shared" si="76"/>
        <v/>
      </c>
    </row>
    <row r="3020" spans="4:4" x14ac:dyDescent="0.3">
      <c r="D3020" t="str">
        <f t="shared" si="76"/>
        <v/>
      </c>
    </row>
    <row r="3021" spans="4:4" x14ac:dyDescent="0.3">
      <c r="D3021" t="str">
        <f t="shared" si="76"/>
        <v/>
      </c>
    </row>
    <row r="3022" spans="4:4" x14ac:dyDescent="0.3">
      <c r="D3022" t="str">
        <f t="shared" si="76"/>
        <v/>
      </c>
    </row>
    <row r="3023" spans="4:4" x14ac:dyDescent="0.3">
      <c r="D3023" t="str">
        <f t="shared" si="76"/>
        <v/>
      </c>
    </row>
    <row r="3024" spans="4:4" x14ac:dyDescent="0.3">
      <c r="D3024" t="str">
        <f t="shared" si="76"/>
        <v/>
      </c>
    </row>
    <row r="3025" spans="4:4" x14ac:dyDescent="0.3">
      <c r="D3025" t="str">
        <f t="shared" si="76"/>
        <v/>
      </c>
    </row>
    <row r="3026" spans="4:4" x14ac:dyDescent="0.3">
      <c r="D3026" t="str">
        <f t="shared" si="76"/>
        <v/>
      </c>
    </row>
    <row r="3027" spans="4:4" x14ac:dyDescent="0.3">
      <c r="D3027" t="str">
        <f t="shared" si="76"/>
        <v/>
      </c>
    </row>
    <row r="3028" spans="4:4" x14ac:dyDescent="0.3">
      <c r="D3028" t="str">
        <f t="shared" si="76"/>
        <v/>
      </c>
    </row>
    <row r="3029" spans="4:4" x14ac:dyDescent="0.3">
      <c r="D3029" t="str">
        <f t="shared" si="76"/>
        <v/>
      </c>
    </row>
    <row r="3030" spans="4:4" x14ac:dyDescent="0.3">
      <c r="D3030" t="str">
        <f t="shared" si="76"/>
        <v/>
      </c>
    </row>
    <row r="3031" spans="4:4" x14ac:dyDescent="0.3">
      <c r="D3031" t="str">
        <f t="shared" si="76"/>
        <v/>
      </c>
    </row>
    <row r="3032" spans="4:4" x14ac:dyDescent="0.3">
      <c r="D3032" t="str">
        <f t="shared" si="76"/>
        <v/>
      </c>
    </row>
    <row r="3033" spans="4:4" x14ac:dyDescent="0.3">
      <c r="D3033" t="str">
        <f t="shared" si="76"/>
        <v/>
      </c>
    </row>
    <row r="3034" spans="4:4" x14ac:dyDescent="0.3">
      <c r="D3034" t="str">
        <f t="shared" si="76"/>
        <v/>
      </c>
    </row>
    <row r="3035" spans="4:4" x14ac:dyDescent="0.3">
      <c r="D3035" t="str">
        <f t="shared" si="76"/>
        <v/>
      </c>
    </row>
    <row r="3036" spans="4:4" x14ac:dyDescent="0.3">
      <c r="D3036" t="str">
        <f t="shared" si="76"/>
        <v/>
      </c>
    </row>
    <row r="3037" spans="4:4" x14ac:dyDescent="0.3">
      <c r="D3037" t="str">
        <f t="shared" si="76"/>
        <v/>
      </c>
    </row>
    <row r="3038" spans="4:4" x14ac:dyDescent="0.3">
      <c r="D3038" t="str">
        <f t="shared" si="76"/>
        <v/>
      </c>
    </row>
    <row r="3039" spans="4:4" x14ac:dyDescent="0.3">
      <c r="D3039" t="str">
        <f t="shared" si="76"/>
        <v/>
      </c>
    </row>
    <row r="3040" spans="4:4" x14ac:dyDescent="0.3">
      <c r="D3040" t="str">
        <f t="shared" si="76"/>
        <v/>
      </c>
    </row>
    <row r="3041" spans="4:4" x14ac:dyDescent="0.3">
      <c r="D3041" t="str">
        <f t="shared" si="76"/>
        <v/>
      </c>
    </row>
    <row r="3042" spans="4:4" x14ac:dyDescent="0.3">
      <c r="D3042" t="str">
        <f t="shared" si="76"/>
        <v/>
      </c>
    </row>
    <row r="3043" spans="4:4" x14ac:dyDescent="0.3">
      <c r="D3043" t="str">
        <f t="shared" si="76"/>
        <v/>
      </c>
    </row>
    <row r="3044" spans="4:4" x14ac:dyDescent="0.3">
      <c r="D3044" t="str">
        <f t="shared" si="76"/>
        <v/>
      </c>
    </row>
    <row r="3045" spans="4:4" x14ac:dyDescent="0.3">
      <c r="D3045" t="str">
        <f t="shared" si="76"/>
        <v/>
      </c>
    </row>
    <row r="3046" spans="4:4" x14ac:dyDescent="0.3">
      <c r="D3046" t="str">
        <f t="shared" si="76"/>
        <v/>
      </c>
    </row>
    <row r="3047" spans="4:4" x14ac:dyDescent="0.3">
      <c r="D3047" t="str">
        <f t="shared" si="76"/>
        <v/>
      </c>
    </row>
    <row r="3048" spans="4:4" x14ac:dyDescent="0.3">
      <c r="D3048" t="str">
        <f t="shared" si="76"/>
        <v/>
      </c>
    </row>
    <row r="3049" spans="4:4" x14ac:dyDescent="0.3">
      <c r="D3049" t="str">
        <f t="shared" si="76"/>
        <v/>
      </c>
    </row>
    <row r="3050" spans="4:4" x14ac:dyDescent="0.3">
      <c r="D3050" t="str">
        <f t="shared" si="76"/>
        <v/>
      </c>
    </row>
    <row r="3051" spans="4:4" x14ac:dyDescent="0.3">
      <c r="D3051" t="str">
        <f t="shared" si="76"/>
        <v/>
      </c>
    </row>
    <row r="3052" spans="4:4" x14ac:dyDescent="0.3">
      <c r="D3052" t="str">
        <f t="shared" si="76"/>
        <v/>
      </c>
    </row>
    <row r="3053" spans="4:4" x14ac:dyDescent="0.3">
      <c r="D3053" t="str">
        <f t="shared" si="76"/>
        <v/>
      </c>
    </row>
    <row r="3054" spans="4:4" x14ac:dyDescent="0.3">
      <c r="D3054" t="str">
        <f t="shared" si="76"/>
        <v/>
      </c>
    </row>
    <row r="3055" spans="4:4" x14ac:dyDescent="0.3">
      <c r="D3055" t="str">
        <f t="shared" si="76"/>
        <v/>
      </c>
    </row>
    <row r="3056" spans="4:4" x14ac:dyDescent="0.3">
      <c r="D3056" t="str">
        <f t="shared" si="76"/>
        <v/>
      </c>
    </row>
    <row r="3057" spans="4:4" x14ac:dyDescent="0.3">
      <c r="D3057" t="str">
        <f t="shared" si="76"/>
        <v/>
      </c>
    </row>
    <row r="3058" spans="4:4" x14ac:dyDescent="0.3">
      <c r="D3058" t="str">
        <f t="shared" si="76"/>
        <v/>
      </c>
    </row>
    <row r="3059" spans="4:4" x14ac:dyDescent="0.3">
      <c r="D3059" t="str">
        <f t="shared" si="76"/>
        <v/>
      </c>
    </row>
    <row r="3060" spans="4:4" x14ac:dyDescent="0.3">
      <c r="D3060" t="str">
        <f t="shared" si="76"/>
        <v/>
      </c>
    </row>
    <row r="3061" spans="4:4" x14ac:dyDescent="0.3">
      <c r="D3061" t="str">
        <f t="shared" si="76"/>
        <v/>
      </c>
    </row>
    <row r="3062" spans="4:4" x14ac:dyDescent="0.3">
      <c r="D3062" t="str">
        <f t="shared" si="76"/>
        <v/>
      </c>
    </row>
    <row r="3063" spans="4:4" x14ac:dyDescent="0.3">
      <c r="D3063" t="str">
        <f t="shared" si="76"/>
        <v/>
      </c>
    </row>
    <row r="3064" spans="4:4" x14ac:dyDescent="0.3">
      <c r="D3064" t="str">
        <f t="shared" si="76"/>
        <v/>
      </c>
    </row>
    <row r="3065" spans="4:4" x14ac:dyDescent="0.3">
      <c r="D3065" t="str">
        <f t="shared" si="76"/>
        <v/>
      </c>
    </row>
    <row r="3066" spans="4:4" x14ac:dyDescent="0.3">
      <c r="D3066" t="str">
        <f t="shared" si="76"/>
        <v/>
      </c>
    </row>
    <row r="3067" spans="4:4" x14ac:dyDescent="0.3">
      <c r="D3067" t="str">
        <f t="shared" si="76"/>
        <v/>
      </c>
    </row>
    <row r="3068" spans="4:4" x14ac:dyDescent="0.3">
      <c r="D3068" t="str">
        <f t="shared" si="76"/>
        <v/>
      </c>
    </row>
    <row r="3069" spans="4:4" x14ac:dyDescent="0.3">
      <c r="D3069" t="str">
        <f t="shared" si="76"/>
        <v/>
      </c>
    </row>
    <row r="3070" spans="4:4" x14ac:dyDescent="0.3">
      <c r="D3070" t="str">
        <f t="shared" ref="D3070:D3133" si="77">IF(LEFT(A3070,2)="SP",MID(A3070,4,4),IF(LEFT(A3070,1)="X",MID(A3070,3,4),""))</f>
        <v/>
      </c>
    </row>
    <row r="3071" spans="4:4" x14ac:dyDescent="0.3">
      <c r="D3071" t="str">
        <f t="shared" si="77"/>
        <v/>
      </c>
    </row>
    <row r="3072" spans="4:4" x14ac:dyDescent="0.3">
      <c r="D3072" t="str">
        <f t="shared" si="77"/>
        <v/>
      </c>
    </row>
    <row r="3073" spans="4:4" x14ac:dyDescent="0.3">
      <c r="D3073" t="str">
        <f t="shared" si="77"/>
        <v/>
      </c>
    </row>
    <row r="3074" spans="4:4" x14ac:dyDescent="0.3">
      <c r="D3074" t="str">
        <f t="shared" si="77"/>
        <v/>
      </c>
    </row>
    <row r="3075" spans="4:4" x14ac:dyDescent="0.3">
      <c r="D3075" t="str">
        <f t="shared" si="77"/>
        <v/>
      </c>
    </row>
    <row r="3076" spans="4:4" x14ac:dyDescent="0.3">
      <c r="D3076" t="str">
        <f t="shared" si="77"/>
        <v/>
      </c>
    </row>
    <row r="3077" spans="4:4" x14ac:dyDescent="0.3">
      <c r="D3077" t="str">
        <f t="shared" si="77"/>
        <v/>
      </c>
    </row>
    <row r="3078" spans="4:4" x14ac:dyDescent="0.3">
      <c r="D3078" t="str">
        <f t="shared" si="77"/>
        <v/>
      </c>
    </row>
    <row r="3079" spans="4:4" x14ac:dyDescent="0.3">
      <c r="D3079" t="str">
        <f t="shared" si="77"/>
        <v/>
      </c>
    </row>
    <row r="3080" spans="4:4" x14ac:dyDescent="0.3">
      <c r="D3080" t="str">
        <f t="shared" si="77"/>
        <v/>
      </c>
    </row>
    <row r="3081" spans="4:4" x14ac:dyDescent="0.3">
      <c r="D3081" t="str">
        <f t="shared" si="77"/>
        <v/>
      </c>
    </row>
    <row r="3082" spans="4:4" x14ac:dyDescent="0.3">
      <c r="D3082" t="str">
        <f t="shared" si="77"/>
        <v/>
      </c>
    </row>
    <row r="3083" spans="4:4" x14ac:dyDescent="0.3">
      <c r="D3083" t="str">
        <f t="shared" si="77"/>
        <v/>
      </c>
    </row>
    <row r="3084" spans="4:4" x14ac:dyDescent="0.3">
      <c r="D3084" t="str">
        <f t="shared" si="77"/>
        <v/>
      </c>
    </row>
    <row r="3085" spans="4:4" x14ac:dyDescent="0.3">
      <c r="D3085" t="str">
        <f t="shared" si="77"/>
        <v/>
      </c>
    </row>
    <row r="3086" spans="4:4" x14ac:dyDescent="0.3">
      <c r="D3086" t="str">
        <f t="shared" si="77"/>
        <v/>
      </c>
    </row>
    <row r="3087" spans="4:4" x14ac:dyDescent="0.3">
      <c r="D3087" t="str">
        <f t="shared" si="77"/>
        <v/>
      </c>
    </row>
    <row r="3088" spans="4:4" x14ac:dyDescent="0.3">
      <c r="D3088" t="str">
        <f t="shared" si="77"/>
        <v/>
      </c>
    </row>
    <row r="3089" spans="4:4" x14ac:dyDescent="0.3">
      <c r="D3089" t="str">
        <f t="shared" si="77"/>
        <v/>
      </c>
    </row>
    <row r="3090" spans="4:4" x14ac:dyDescent="0.3">
      <c r="D3090" t="str">
        <f t="shared" si="77"/>
        <v/>
      </c>
    </row>
    <row r="3091" spans="4:4" x14ac:dyDescent="0.3">
      <c r="D3091" t="str">
        <f t="shared" si="77"/>
        <v/>
      </c>
    </row>
    <row r="3092" spans="4:4" x14ac:dyDescent="0.3">
      <c r="D3092" t="str">
        <f t="shared" si="77"/>
        <v/>
      </c>
    </row>
    <row r="3093" spans="4:4" x14ac:dyDescent="0.3">
      <c r="D3093" t="str">
        <f t="shared" si="77"/>
        <v/>
      </c>
    </row>
    <row r="3094" spans="4:4" x14ac:dyDescent="0.3">
      <c r="D3094" t="str">
        <f t="shared" si="77"/>
        <v/>
      </c>
    </row>
    <row r="3095" spans="4:4" x14ac:dyDescent="0.3">
      <c r="D3095" t="str">
        <f t="shared" si="77"/>
        <v/>
      </c>
    </row>
    <row r="3096" spans="4:4" x14ac:dyDescent="0.3">
      <c r="D3096" t="str">
        <f t="shared" si="77"/>
        <v/>
      </c>
    </row>
    <row r="3097" spans="4:4" x14ac:dyDescent="0.3">
      <c r="D3097" t="str">
        <f t="shared" si="77"/>
        <v/>
      </c>
    </row>
    <row r="3098" spans="4:4" x14ac:dyDescent="0.3">
      <c r="D3098" t="str">
        <f t="shared" si="77"/>
        <v/>
      </c>
    </row>
    <row r="3099" spans="4:4" x14ac:dyDescent="0.3">
      <c r="D3099" t="str">
        <f t="shared" si="77"/>
        <v/>
      </c>
    </row>
    <row r="3100" spans="4:4" x14ac:dyDescent="0.3">
      <c r="D3100" t="str">
        <f t="shared" si="77"/>
        <v/>
      </c>
    </row>
    <row r="3101" spans="4:4" x14ac:dyDescent="0.3">
      <c r="D3101" t="str">
        <f t="shared" si="77"/>
        <v/>
      </c>
    </row>
    <row r="3102" spans="4:4" x14ac:dyDescent="0.3">
      <c r="D3102" t="str">
        <f t="shared" si="77"/>
        <v/>
      </c>
    </row>
    <row r="3103" spans="4:4" x14ac:dyDescent="0.3">
      <c r="D3103" t="str">
        <f t="shared" si="77"/>
        <v/>
      </c>
    </row>
    <row r="3104" spans="4:4" x14ac:dyDescent="0.3">
      <c r="D3104" t="str">
        <f t="shared" si="77"/>
        <v/>
      </c>
    </row>
    <row r="3105" spans="4:4" x14ac:dyDescent="0.3">
      <c r="D3105" t="str">
        <f t="shared" si="77"/>
        <v/>
      </c>
    </row>
    <row r="3106" spans="4:4" x14ac:dyDescent="0.3">
      <c r="D3106" t="str">
        <f t="shared" si="77"/>
        <v/>
      </c>
    </row>
    <row r="3107" spans="4:4" x14ac:dyDescent="0.3">
      <c r="D3107" t="str">
        <f t="shared" si="77"/>
        <v/>
      </c>
    </row>
    <row r="3108" spans="4:4" x14ac:dyDescent="0.3">
      <c r="D3108" t="str">
        <f t="shared" si="77"/>
        <v/>
      </c>
    </row>
    <row r="3109" spans="4:4" x14ac:dyDescent="0.3">
      <c r="D3109" t="str">
        <f t="shared" si="77"/>
        <v/>
      </c>
    </row>
    <row r="3110" spans="4:4" x14ac:dyDescent="0.3">
      <c r="D3110" t="str">
        <f t="shared" si="77"/>
        <v/>
      </c>
    </row>
    <row r="3111" spans="4:4" x14ac:dyDescent="0.3">
      <c r="D3111" t="str">
        <f t="shared" si="77"/>
        <v/>
      </c>
    </row>
    <row r="3112" spans="4:4" x14ac:dyDescent="0.3">
      <c r="D3112" t="str">
        <f t="shared" si="77"/>
        <v/>
      </c>
    </row>
    <row r="3113" spans="4:4" x14ac:dyDescent="0.3">
      <c r="D3113" t="str">
        <f t="shared" si="77"/>
        <v/>
      </c>
    </row>
    <row r="3114" spans="4:4" x14ac:dyDescent="0.3">
      <c r="D3114" t="str">
        <f t="shared" si="77"/>
        <v/>
      </c>
    </row>
    <row r="3115" spans="4:4" x14ac:dyDescent="0.3">
      <c r="D3115" t="str">
        <f t="shared" si="77"/>
        <v/>
      </c>
    </row>
    <row r="3116" spans="4:4" x14ac:dyDescent="0.3">
      <c r="D3116" t="str">
        <f t="shared" si="77"/>
        <v/>
      </c>
    </row>
    <row r="3117" spans="4:4" x14ac:dyDescent="0.3">
      <c r="D3117" t="str">
        <f t="shared" si="77"/>
        <v/>
      </c>
    </row>
    <row r="3118" spans="4:4" x14ac:dyDescent="0.3">
      <c r="D3118" t="str">
        <f t="shared" si="77"/>
        <v/>
      </c>
    </row>
    <row r="3119" spans="4:4" x14ac:dyDescent="0.3">
      <c r="D3119" t="str">
        <f t="shared" si="77"/>
        <v/>
      </c>
    </row>
    <row r="3120" spans="4:4" x14ac:dyDescent="0.3">
      <c r="D3120" t="str">
        <f t="shared" si="77"/>
        <v/>
      </c>
    </row>
    <row r="3121" spans="4:4" x14ac:dyDescent="0.3">
      <c r="D3121" t="str">
        <f t="shared" si="77"/>
        <v/>
      </c>
    </row>
    <row r="3122" spans="4:4" x14ac:dyDescent="0.3">
      <c r="D3122" t="str">
        <f t="shared" si="77"/>
        <v/>
      </c>
    </row>
    <row r="3123" spans="4:4" x14ac:dyDescent="0.3">
      <c r="D3123" t="str">
        <f t="shared" si="77"/>
        <v/>
      </c>
    </row>
    <row r="3124" spans="4:4" x14ac:dyDescent="0.3">
      <c r="D3124" t="str">
        <f t="shared" si="77"/>
        <v/>
      </c>
    </row>
    <row r="3125" spans="4:4" x14ac:dyDescent="0.3">
      <c r="D3125" t="str">
        <f t="shared" si="77"/>
        <v/>
      </c>
    </row>
    <row r="3126" spans="4:4" x14ac:dyDescent="0.3">
      <c r="D3126" t="str">
        <f t="shared" si="77"/>
        <v/>
      </c>
    </row>
    <row r="3127" spans="4:4" x14ac:dyDescent="0.3">
      <c r="D3127" t="str">
        <f t="shared" si="77"/>
        <v/>
      </c>
    </row>
    <row r="3128" spans="4:4" x14ac:dyDescent="0.3">
      <c r="D3128" t="str">
        <f t="shared" si="77"/>
        <v/>
      </c>
    </row>
    <row r="3129" spans="4:4" x14ac:dyDescent="0.3">
      <c r="D3129" t="str">
        <f t="shared" si="77"/>
        <v/>
      </c>
    </row>
    <row r="3130" spans="4:4" x14ac:dyDescent="0.3">
      <c r="D3130" t="str">
        <f t="shared" si="77"/>
        <v/>
      </c>
    </row>
    <row r="3131" spans="4:4" x14ac:dyDescent="0.3">
      <c r="D3131" t="str">
        <f t="shared" si="77"/>
        <v/>
      </c>
    </row>
    <row r="3132" spans="4:4" x14ac:dyDescent="0.3">
      <c r="D3132" t="str">
        <f t="shared" si="77"/>
        <v/>
      </c>
    </row>
    <row r="3133" spans="4:4" x14ac:dyDescent="0.3">
      <c r="D3133" t="str">
        <f t="shared" si="77"/>
        <v/>
      </c>
    </row>
    <row r="3134" spans="4:4" x14ac:dyDescent="0.3">
      <c r="D3134" t="str">
        <f t="shared" ref="D3134:D3197" si="78">IF(LEFT(A3134,2)="SP",MID(A3134,4,4),IF(LEFT(A3134,1)="X",MID(A3134,3,4),""))</f>
        <v/>
      </c>
    </row>
    <row r="3135" spans="4:4" x14ac:dyDescent="0.3">
      <c r="D3135" t="str">
        <f t="shared" si="78"/>
        <v/>
      </c>
    </row>
    <row r="3136" spans="4:4" x14ac:dyDescent="0.3">
      <c r="D3136" t="str">
        <f t="shared" si="78"/>
        <v/>
      </c>
    </row>
    <row r="3137" spans="4:4" x14ac:dyDescent="0.3">
      <c r="D3137" t="str">
        <f t="shared" si="78"/>
        <v/>
      </c>
    </row>
    <row r="3138" spans="4:4" x14ac:dyDescent="0.3">
      <c r="D3138" t="str">
        <f t="shared" si="78"/>
        <v/>
      </c>
    </row>
    <row r="3139" spans="4:4" x14ac:dyDescent="0.3">
      <c r="D3139" t="str">
        <f t="shared" si="78"/>
        <v/>
      </c>
    </row>
    <row r="3140" spans="4:4" x14ac:dyDescent="0.3">
      <c r="D3140" t="str">
        <f t="shared" si="78"/>
        <v/>
      </c>
    </row>
    <row r="3141" spans="4:4" x14ac:dyDescent="0.3">
      <c r="D3141" t="str">
        <f t="shared" si="78"/>
        <v/>
      </c>
    </row>
    <row r="3142" spans="4:4" x14ac:dyDescent="0.3">
      <c r="D3142" t="str">
        <f t="shared" si="78"/>
        <v/>
      </c>
    </row>
    <row r="3143" spans="4:4" x14ac:dyDescent="0.3">
      <c r="D3143" t="str">
        <f t="shared" si="78"/>
        <v/>
      </c>
    </row>
    <row r="3144" spans="4:4" x14ac:dyDescent="0.3">
      <c r="D3144" t="str">
        <f t="shared" si="78"/>
        <v/>
      </c>
    </row>
    <row r="3145" spans="4:4" x14ac:dyDescent="0.3">
      <c r="D3145" t="str">
        <f t="shared" si="78"/>
        <v/>
      </c>
    </row>
    <row r="3146" spans="4:4" x14ac:dyDescent="0.3">
      <c r="D3146" t="str">
        <f t="shared" si="78"/>
        <v/>
      </c>
    </row>
    <row r="3147" spans="4:4" x14ac:dyDescent="0.3">
      <c r="D3147" t="str">
        <f t="shared" si="78"/>
        <v/>
      </c>
    </row>
    <row r="3148" spans="4:4" x14ac:dyDescent="0.3">
      <c r="D3148" t="str">
        <f t="shared" si="78"/>
        <v/>
      </c>
    </row>
    <row r="3149" spans="4:4" x14ac:dyDescent="0.3">
      <c r="D3149" t="str">
        <f t="shared" si="78"/>
        <v/>
      </c>
    </row>
    <row r="3150" spans="4:4" x14ac:dyDescent="0.3">
      <c r="D3150" t="str">
        <f t="shared" si="78"/>
        <v/>
      </c>
    </row>
    <row r="3151" spans="4:4" x14ac:dyDescent="0.3">
      <c r="D3151" t="str">
        <f t="shared" si="78"/>
        <v/>
      </c>
    </row>
    <row r="3152" spans="4:4" x14ac:dyDescent="0.3">
      <c r="D3152" t="str">
        <f t="shared" si="78"/>
        <v/>
      </c>
    </row>
    <row r="3153" spans="4:4" x14ac:dyDescent="0.3">
      <c r="D3153" t="str">
        <f t="shared" si="78"/>
        <v/>
      </c>
    </row>
    <row r="3154" spans="4:4" x14ac:dyDescent="0.3">
      <c r="D3154" t="str">
        <f t="shared" si="78"/>
        <v/>
      </c>
    </row>
    <row r="3155" spans="4:4" x14ac:dyDescent="0.3">
      <c r="D3155" t="str">
        <f t="shared" si="78"/>
        <v/>
      </c>
    </row>
    <row r="3156" spans="4:4" x14ac:dyDescent="0.3">
      <c r="D3156" t="str">
        <f t="shared" si="78"/>
        <v/>
      </c>
    </row>
    <row r="3157" spans="4:4" x14ac:dyDescent="0.3">
      <c r="D3157" t="str">
        <f t="shared" si="78"/>
        <v/>
      </c>
    </row>
    <row r="3158" spans="4:4" x14ac:dyDescent="0.3">
      <c r="D3158" t="str">
        <f t="shared" si="78"/>
        <v/>
      </c>
    </row>
    <row r="3159" spans="4:4" x14ac:dyDescent="0.3">
      <c r="D3159" t="str">
        <f t="shared" si="78"/>
        <v/>
      </c>
    </row>
    <row r="3160" spans="4:4" x14ac:dyDescent="0.3">
      <c r="D3160" t="str">
        <f t="shared" si="78"/>
        <v/>
      </c>
    </row>
    <row r="3161" spans="4:4" x14ac:dyDescent="0.3">
      <c r="D3161" t="str">
        <f t="shared" si="78"/>
        <v/>
      </c>
    </row>
    <row r="3162" spans="4:4" x14ac:dyDescent="0.3">
      <c r="D3162" t="str">
        <f t="shared" si="78"/>
        <v/>
      </c>
    </row>
    <row r="3163" spans="4:4" x14ac:dyDescent="0.3">
      <c r="D3163" t="str">
        <f t="shared" si="78"/>
        <v/>
      </c>
    </row>
    <row r="3164" spans="4:4" x14ac:dyDescent="0.3">
      <c r="D3164" t="str">
        <f t="shared" si="78"/>
        <v/>
      </c>
    </row>
    <row r="3165" spans="4:4" x14ac:dyDescent="0.3">
      <c r="D3165" t="str">
        <f t="shared" si="78"/>
        <v/>
      </c>
    </row>
    <row r="3166" spans="4:4" x14ac:dyDescent="0.3">
      <c r="D3166" t="str">
        <f t="shared" si="78"/>
        <v/>
      </c>
    </row>
    <row r="3167" spans="4:4" x14ac:dyDescent="0.3">
      <c r="D3167" t="str">
        <f t="shared" si="78"/>
        <v/>
      </c>
    </row>
    <row r="3168" spans="4:4" x14ac:dyDescent="0.3">
      <c r="D3168" t="str">
        <f t="shared" si="78"/>
        <v/>
      </c>
    </row>
    <row r="3169" spans="4:4" x14ac:dyDescent="0.3">
      <c r="D3169" t="str">
        <f t="shared" si="78"/>
        <v/>
      </c>
    </row>
    <row r="3170" spans="4:4" x14ac:dyDescent="0.3">
      <c r="D3170" t="str">
        <f t="shared" si="78"/>
        <v/>
      </c>
    </row>
    <row r="3171" spans="4:4" x14ac:dyDescent="0.3">
      <c r="D3171" t="str">
        <f t="shared" si="78"/>
        <v/>
      </c>
    </row>
    <row r="3172" spans="4:4" x14ac:dyDescent="0.3">
      <c r="D3172" t="str">
        <f t="shared" si="78"/>
        <v/>
      </c>
    </row>
    <row r="3173" spans="4:4" x14ac:dyDescent="0.3">
      <c r="D3173" t="str">
        <f t="shared" si="78"/>
        <v/>
      </c>
    </row>
    <row r="3174" spans="4:4" x14ac:dyDescent="0.3">
      <c r="D3174" t="str">
        <f t="shared" si="78"/>
        <v/>
      </c>
    </row>
    <row r="3175" spans="4:4" x14ac:dyDescent="0.3">
      <c r="D3175" t="str">
        <f t="shared" si="78"/>
        <v/>
      </c>
    </row>
    <row r="3176" spans="4:4" x14ac:dyDescent="0.3">
      <c r="D3176" t="str">
        <f t="shared" si="78"/>
        <v/>
      </c>
    </row>
    <row r="3177" spans="4:4" x14ac:dyDescent="0.3">
      <c r="D3177" t="str">
        <f t="shared" si="78"/>
        <v/>
      </c>
    </row>
    <row r="3178" spans="4:4" x14ac:dyDescent="0.3">
      <c r="D3178" t="str">
        <f t="shared" si="78"/>
        <v/>
      </c>
    </row>
    <row r="3179" spans="4:4" x14ac:dyDescent="0.3">
      <c r="D3179" t="str">
        <f t="shared" si="78"/>
        <v/>
      </c>
    </row>
    <row r="3180" spans="4:4" x14ac:dyDescent="0.3">
      <c r="D3180" t="str">
        <f t="shared" si="78"/>
        <v/>
      </c>
    </row>
    <row r="3181" spans="4:4" x14ac:dyDescent="0.3">
      <c r="D3181" t="str">
        <f t="shared" si="78"/>
        <v/>
      </c>
    </row>
    <row r="3182" spans="4:4" x14ac:dyDescent="0.3">
      <c r="D3182" t="str">
        <f t="shared" si="78"/>
        <v/>
      </c>
    </row>
    <row r="3183" spans="4:4" x14ac:dyDescent="0.3">
      <c r="D3183" t="str">
        <f t="shared" si="78"/>
        <v/>
      </c>
    </row>
    <row r="3184" spans="4:4" x14ac:dyDescent="0.3">
      <c r="D3184" t="str">
        <f t="shared" si="78"/>
        <v/>
      </c>
    </row>
    <row r="3185" spans="4:4" x14ac:dyDescent="0.3">
      <c r="D3185" t="str">
        <f t="shared" si="78"/>
        <v/>
      </c>
    </row>
    <row r="3186" spans="4:4" x14ac:dyDescent="0.3">
      <c r="D3186" t="str">
        <f t="shared" si="78"/>
        <v/>
      </c>
    </row>
    <row r="3187" spans="4:4" x14ac:dyDescent="0.3">
      <c r="D3187" t="str">
        <f t="shared" si="78"/>
        <v/>
      </c>
    </row>
    <row r="3188" spans="4:4" x14ac:dyDescent="0.3">
      <c r="D3188" t="str">
        <f t="shared" si="78"/>
        <v/>
      </c>
    </row>
    <row r="3189" spans="4:4" x14ac:dyDescent="0.3">
      <c r="D3189" t="str">
        <f t="shared" si="78"/>
        <v/>
      </c>
    </row>
    <row r="3190" spans="4:4" x14ac:dyDescent="0.3">
      <c r="D3190" t="str">
        <f t="shared" si="78"/>
        <v/>
      </c>
    </row>
    <row r="3191" spans="4:4" x14ac:dyDescent="0.3">
      <c r="D3191" t="str">
        <f t="shared" si="78"/>
        <v/>
      </c>
    </row>
    <row r="3192" spans="4:4" x14ac:dyDescent="0.3">
      <c r="D3192" t="str">
        <f t="shared" si="78"/>
        <v/>
      </c>
    </row>
    <row r="3193" spans="4:4" x14ac:dyDescent="0.3">
      <c r="D3193" t="str">
        <f t="shared" si="78"/>
        <v/>
      </c>
    </row>
    <row r="3194" spans="4:4" x14ac:dyDescent="0.3">
      <c r="D3194" t="str">
        <f t="shared" si="78"/>
        <v/>
      </c>
    </row>
    <row r="3195" spans="4:4" x14ac:dyDescent="0.3">
      <c r="D3195" t="str">
        <f t="shared" si="78"/>
        <v/>
      </c>
    </row>
    <row r="3196" spans="4:4" x14ac:dyDescent="0.3">
      <c r="D3196" t="str">
        <f t="shared" si="78"/>
        <v/>
      </c>
    </row>
    <row r="3197" spans="4:4" x14ac:dyDescent="0.3">
      <c r="D3197" t="str">
        <f t="shared" si="78"/>
        <v/>
      </c>
    </row>
    <row r="3198" spans="4:4" x14ac:dyDescent="0.3">
      <c r="D3198" t="str">
        <f t="shared" ref="D3198:D3261" si="79">IF(LEFT(A3198,2)="SP",MID(A3198,4,4),IF(LEFT(A3198,1)="X",MID(A3198,3,4),""))</f>
        <v/>
      </c>
    </row>
    <row r="3199" spans="4:4" x14ac:dyDescent="0.3">
      <c r="D3199" t="str">
        <f t="shared" si="79"/>
        <v/>
      </c>
    </row>
    <row r="3200" spans="4:4" x14ac:dyDescent="0.3">
      <c r="D3200" t="str">
        <f t="shared" si="79"/>
        <v/>
      </c>
    </row>
    <row r="3201" spans="4:4" x14ac:dyDescent="0.3">
      <c r="D3201" t="str">
        <f t="shared" si="79"/>
        <v/>
      </c>
    </row>
    <row r="3202" spans="4:4" x14ac:dyDescent="0.3">
      <c r="D3202" t="str">
        <f t="shared" si="79"/>
        <v/>
      </c>
    </row>
    <row r="3203" spans="4:4" x14ac:dyDescent="0.3">
      <c r="D3203" t="str">
        <f t="shared" si="79"/>
        <v/>
      </c>
    </row>
    <row r="3204" spans="4:4" x14ac:dyDescent="0.3">
      <c r="D3204" t="str">
        <f t="shared" si="79"/>
        <v/>
      </c>
    </row>
    <row r="3205" spans="4:4" x14ac:dyDescent="0.3">
      <c r="D3205" t="str">
        <f t="shared" si="79"/>
        <v/>
      </c>
    </row>
    <row r="3206" spans="4:4" x14ac:dyDescent="0.3">
      <c r="D3206" t="str">
        <f t="shared" si="79"/>
        <v/>
      </c>
    </row>
    <row r="3207" spans="4:4" x14ac:dyDescent="0.3">
      <c r="D3207" t="str">
        <f t="shared" si="79"/>
        <v/>
      </c>
    </row>
    <row r="3208" spans="4:4" x14ac:dyDescent="0.3">
      <c r="D3208" t="str">
        <f t="shared" si="79"/>
        <v/>
      </c>
    </row>
    <row r="3209" spans="4:4" x14ac:dyDescent="0.3">
      <c r="D3209" t="str">
        <f t="shared" si="79"/>
        <v/>
      </c>
    </row>
    <row r="3210" spans="4:4" x14ac:dyDescent="0.3">
      <c r="D3210" t="str">
        <f t="shared" si="79"/>
        <v/>
      </c>
    </row>
    <row r="3211" spans="4:4" x14ac:dyDescent="0.3">
      <c r="D3211" t="str">
        <f t="shared" si="79"/>
        <v/>
      </c>
    </row>
    <row r="3212" spans="4:4" x14ac:dyDescent="0.3">
      <c r="D3212" t="str">
        <f t="shared" si="79"/>
        <v/>
      </c>
    </row>
    <row r="3213" spans="4:4" x14ac:dyDescent="0.3">
      <c r="D3213" t="str">
        <f t="shared" si="79"/>
        <v/>
      </c>
    </row>
    <row r="3214" spans="4:4" x14ac:dyDescent="0.3">
      <c r="D3214" t="str">
        <f t="shared" si="79"/>
        <v/>
      </c>
    </row>
    <row r="3215" spans="4:4" x14ac:dyDescent="0.3">
      <c r="D3215" t="str">
        <f t="shared" si="79"/>
        <v/>
      </c>
    </row>
    <row r="3216" spans="4:4" x14ac:dyDescent="0.3">
      <c r="D3216" t="str">
        <f t="shared" si="79"/>
        <v/>
      </c>
    </row>
    <row r="3217" spans="4:4" x14ac:dyDescent="0.3">
      <c r="D3217" t="str">
        <f t="shared" si="79"/>
        <v/>
      </c>
    </row>
    <row r="3218" spans="4:4" x14ac:dyDescent="0.3">
      <c r="D3218" t="str">
        <f t="shared" si="79"/>
        <v/>
      </c>
    </row>
    <row r="3219" spans="4:4" x14ac:dyDescent="0.3">
      <c r="D3219" t="str">
        <f t="shared" si="79"/>
        <v/>
      </c>
    </row>
    <row r="3220" spans="4:4" x14ac:dyDescent="0.3">
      <c r="D3220" t="str">
        <f t="shared" si="79"/>
        <v/>
      </c>
    </row>
    <row r="3221" spans="4:4" x14ac:dyDescent="0.3">
      <c r="D3221" t="str">
        <f t="shared" si="79"/>
        <v/>
      </c>
    </row>
    <row r="3222" spans="4:4" x14ac:dyDescent="0.3">
      <c r="D3222" t="str">
        <f t="shared" si="79"/>
        <v/>
      </c>
    </row>
    <row r="3223" spans="4:4" x14ac:dyDescent="0.3">
      <c r="D3223" t="str">
        <f t="shared" si="79"/>
        <v/>
      </c>
    </row>
    <row r="3224" spans="4:4" x14ac:dyDescent="0.3">
      <c r="D3224" t="str">
        <f t="shared" si="79"/>
        <v/>
      </c>
    </row>
    <row r="3225" spans="4:4" x14ac:dyDescent="0.3">
      <c r="D3225" t="str">
        <f t="shared" si="79"/>
        <v/>
      </c>
    </row>
    <row r="3226" spans="4:4" x14ac:dyDescent="0.3">
      <c r="D3226" t="str">
        <f t="shared" si="79"/>
        <v/>
      </c>
    </row>
    <row r="3227" spans="4:4" x14ac:dyDescent="0.3">
      <c r="D3227" t="str">
        <f t="shared" si="79"/>
        <v/>
      </c>
    </row>
    <row r="3228" spans="4:4" x14ac:dyDescent="0.3">
      <c r="D3228" t="str">
        <f t="shared" si="79"/>
        <v/>
      </c>
    </row>
    <row r="3229" spans="4:4" x14ac:dyDescent="0.3">
      <c r="D3229" t="str">
        <f t="shared" si="79"/>
        <v/>
      </c>
    </row>
    <row r="3230" spans="4:4" x14ac:dyDescent="0.3">
      <c r="D3230" t="str">
        <f t="shared" si="79"/>
        <v/>
      </c>
    </row>
    <row r="3231" spans="4:4" x14ac:dyDescent="0.3">
      <c r="D3231" t="str">
        <f t="shared" si="79"/>
        <v/>
      </c>
    </row>
    <row r="3232" spans="4:4" x14ac:dyDescent="0.3">
      <c r="D3232" t="str">
        <f t="shared" si="79"/>
        <v/>
      </c>
    </row>
    <row r="3233" spans="4:4" x14ac:dyDescent="0.3">
      <c r="D3233" t="str">
        <f t="shared" si="79"/>
        <v/>
      </c>
    </row>
    <row r="3234" spans="4:4" x14ac:dyDescent="0.3">
      <c r="D3234" t="str">
        <f t="shared" si="79"/>
        <v/>
      </c>
    </row>
    <row r="3235" spans="4:4" x14ac:dyDescent="0.3">
      <c r="D3235" t="str">
        <f t="shared" si="79"/>
        <v/>
      </c>
    </row>
    <row r="3236" spans="4:4" x14ac:dyDescent="0.3">
      <c r="D3236" t="str">
        <f t="shared" si="79"/>
        <v/>
      </c>
    </row>
    <row r="3237" spans="4:4" x14ac:dyDescent="0.3">
      <c r="D3237" t="str">
        <f t="shared" si="79"/>
        <v/>
      </c>
    </row>
    <row r="3238" spans="4:4" x14ac:dyDescent="0.3">
      <c r="D3238" t="str">
        <f t="shared" si="79"/>
        <v/>
      </c>
    </row>
    <row r="3239" spans="4:4" x14ac:dyDescent="0.3">
      <c r="D3239" t="str">
        <f t="shared" si="79"/>
        <v/>
      </c>
    </row>
    <row r="3240" spans="4:4" x14ac:dyDescent="0.3">
      <c r="D3240" t="str">
        <f t="shared" si="79"/>
        <v/>
      </c>
    </row>
    <row r="3241" spans="4:4" x14ac:dyDescent="0.3">
      <c r="D3241" t="str">
        <f t="shared" si="79"/>
        <v/>
      </c>
    </row>
    <row r="3242" spans="4:4" x14ac:dyDescent="0.3">
      <c r="D3242" t="str">
        <f t="shared" si="79"/>
        <v/>
      </c>
    </row>
    <row r="3243" spans="4:4" x14ac:dyDescent="0.3">
      <c r="D3243" t="str">
        <f t="shared" si="79"/>
        <v/>
      </c>
    </row>
    <row r="3244" spans="4:4" x14ac:dyDescent="0.3">
      <c r="D3244" t="str">
        <f t="shared" si="79"/>
        <v/>
      </c>
    </row>
    <row r="3245" spans="4:4" x14ac:dyDescent="0.3">
      <c r="D3245" t="str">
        <f t="shared" si="79"/>
        <v/>
      </c>
    </row>
    <row r="3246" spans="4:4" x14ac:dyDescent="0.3">
      <c r="D3246" t="str">
        <f t="shared" si="79"/>
        <v/>
      </c>
    </row>
    <row r="3247" spans="4:4" x14ac:dyDescent="0.3">
      <c r="D3247" t="str">
        <f t="shared" si="79"/>
        <v/>
      </c>
    </row>
    <row r="3248" spans="4:4" x14ac:dyDescent="0.3">
      <c r="D3248" t="str">
        <f t="shared" si="79"/>
        <v/>
      </c>
    </row>
    <row r="3249" spans="4:4" x14ac:dyDescent="0.3">
      <c r="D3249" t="str">
        <f t="shared" si="79"/>
        <v/>
      </c>
    </row>
    <row r="3250" spans="4:4" x14ac:dyDescent="0.3">
      <c r="D3250" t="str">
        <f t="shared" si="79"/>
        <v/>
      </c>
    </row>
    <row r="3251" spans="4:4" x14ac:dyDescent="0.3">
      <c r="D3251" t="str">
        <f t="shared" si="79"/>
        <v/>
      </c>
    </row>
    <row r="3252" spans="4:4" x14ac:dyDescent="0.3">
      <c r="D3252" t="str">
        <f t="shared" si="79"/>
        <v/>
      </c>
    </row>
    <row r="3253" spans="4:4" x14ac:dyDescent="0.3">
      <c r="D3253" t="str">
        <f t="shared" si="79"/>
        <v/>
      </c>
    </row>
    <row r="3254" spans="4:4" x14ac:dyDescent="0.3">
      <c r="D3254" t="str">
        <f t="shared" si="79"/>
        <v/>
      </c>
    </row>
    <row r="3255" spans="4:4" x14ac:dyDescent="0.3">
      <c r="D3255" t="str">
        <f t="shared" si="79"/>
        <v/>
      </c>
    </row>
    <row r="3256" spans="4:4" x14ac:dyDescent="0.3">
      <c r="D3256" t="str">
        <f t="shared" si="79"/>
        <v/>
      </c>
    </row>
    <row r="3257" spans="4:4" x14ac:dyDescent="0.3">
      <c r="D3257" t="str">
        <f t="shared" si="79"/>
        <v/>
      </c>
    </row>
    <row r="3258" spans="4:4" x14ac:dyDescent="0.3">
      <c r="D3258" t="str">
        <f t="shared" si="79"/>
        <v/>
      </c>
    </row>
    <row r="3259" spans="4:4" x14ac:dyDescent="0.3">
      <c r="D3259" t="str">
        <f t="shared" si="79"/>
        <v/>
      </c>
    </row>
    <row r="3260" spans="4:4" x14ac:dyDescent="0.3">
      <c r="D3260" t="str">
        <f t="shared" si="79"/>
        <v/>
      </c>
    </row>
    <row r="3261" spans="4:4" x14ac:dyDescent="0.3">
      <c r="D3261" t="str">
        <f t="shared" si="79"/>
        <v/>
      </c>
    </row>
    <row r="3262" spans="4:4" x14ac:dyDescent="0.3">
      <c r="D3262" t="str">
        <f t="shared" ref="D3262:D3325" si="80">IF(LEFT(A3262,2)="SP",MID(A3262,4,4),IF(LEFT(A3262,1)="X",MID(A3262,3,4),""))</f>
        <v/>
      </c>
    </row>
    <row r="3263" spans="4:4" x14ac:dyDescent="0.3">
      <c r="D3263" t="str">
        <f t="shared" si="80"/>
        <v/>
      </c>
    </row>
    <row r="3264" spans="4:4" x14ac:dyDescent="0.3">
      <c r="D3264" t="str">
        <f t="shared" si="80"/>
        <v/>
      </c>
    </row>
    <row r="3265" spans="4:4" x14ac:dyDescent="0.3">
      <c r="D3265" t="str">
        <f t="shared" si="80"/>
        <v/>
      </c>
    </row>
    <row r="3266" spans="4:4" x14ac:dyDescent="0.3">
      <c r="D3266" t="str">
        <f t="shared" si="80"/>
        <v/>
      </c>
    </row>
    <row r="3267" spans="4:4" x14ac:dyDescent="0.3">
      <c r="D3267" t="str">
        <f t="shared" si="80"/>
        <v/>
      </c>
    </row>
    <row r="3268" spans="4:4" x14ac:dyDescent="0.3">
      <c r="D3268" t="str">
        <f t="shared" si="80"/>
        <v/>
      </c>
    </row>
    <row r="3269" spans="4:4" x14ac:dyDescent="0.3">
      <c r="D3269" t="str">
        <f t="shared" si="80"/>
        <v/>
      </c>
    </row>
    <row r="3270" spans="4:4" x14ac:dyDescent="0.3">
      <c r="D3270" t="str">
        <f t="shared" si="80"/>
        <v/>
      </c>
    </row>
    <row r="3271" spans="4:4" x14ac:dyDescent="0.3">
      <c r="D3271" t="str">
        <f t="shared" si="80"/>
        <v/>
      </c>
    </row>
    <row r="3272" spans="4:4" x14ac:dyDescent="0.3">
      <c r="D3272" t="str">
        <f t="shared" si="80"/>
        <v/>
      </c>
    </row>
    <row r="3273" spans="4:4" x14ac:dyDescent="0.3">
      <c r="D3273" t="str">
        <f t="shared" si="80"/>
        <v/>
      </c>
    </row>
    <row r="3274" spans="4:4" x14ac:dyDescent="0.3">
      <c r="D3274" t="str">
        <f t="shared" si="80"/>
        <v/>
      </c>
    </row>
    <row r="3275" spans="4:4" x14ac:dyDescent="0.3">
      <c r="D3275" t="str">
        <f t="shared" si="80"/>
        <v/>
      </c>
    </row>
    <row r="3276" spans="4:4" x14ac:dyDescent="0.3">
      <c r="D3276" t="str">
        <f t="shared" si="80"/>
        <v/>
      </c>
    </row>
    <row r="3277" spans="4:4" x14ac:dyDescent="0.3">
      <c r="D3277" t="str">
        <f t="shared" si="80"/>
        <v/>
      </c>
    </row>
    <row r="3278" spans="4:4" x14ac:dyDescent="0.3">
      <c r="D3278" t="str">
        <f t="shared" si="80"/>
        <v/>
      </c>
    </row>
    <row r="3279" spans="4:4" x14ac:dyDescent="0.3">
      <c r="D3279" t="str">
        <f t="shared" si="80"/>
        <v/>
      </c>
    </row>
    <row r="3280" spans="4:4" x14ac:dyDescent="0.3">
      <c r="D3280" t="str">
        <f t="shared" si="80"/>
        <v/>
      </c>
    </row>
    <row r="3281" spans="4:4" x14ac:dyDescent="0.3">
      <c r="D3281" t="str">
        <f t="shared" si="80"/>
        <v/>
      </c>
    </row>
    <row r="3282" spans="4:4" x14ac:dyDescent="0.3">
      <c r="D3282" t="str">
        <f t="shared" si="80"/>
        <v/>
      </c>
    </row>
    <row r="3283" spans="4:4" x14ac:dyDescent="0.3">
      <c r="D3283" t="str">
        <f t="shared" si="80"/>
        <v/>
      </c>
    </row>
    <row r="3284" spans="4:4" x14ac:dyDescent="0.3">
      <c r="D3284" t="str">
        <f t="shared" si="80"/>
        <v/>
      </c>
    </row>
    <row r="3285" spans="4:4" x14ac:dyDescent="0.3">
      <c r="D3285" t="str">
        <f t="shared" si="80"/>
        <v/>
      </c>
    </row>
    <row r="3286" spans="4:4" x14ac:dyDescent="0.3">
      <c r="D3286" t="str">
        <f t="shared" si="80"/>
        <v/>
      </c>
    </row>
    <row r="3287" spans="4:4" x14ac:dyDescent="0.3">
      <c r="D3287" t="str">
        <f t="shared" si="80"/>
        <v/>
      </c>
    </row>
    <row r="3288" spans="4:4" x14ac:dyDescent="0.3">
      <c r="D3288" t="str">
        <f t="shared" si="80"/>
        <v/>
      </c>
    </row>
    <row r="3289" spans="4:4" x14ac:dyDescent="0.3">
      <c r="D3289" t="str">
        <f t="shared" si="80"/>
        <v/>
      </c>
    </row>
    <row r="3290" spans="4:4" x14ac:dyDescent="0.3">
      <c r="D3290" t="str">
        <f t="shared" si="80"/>
        <v/>
      </c>
    </row>
    <row r="3291" spans="4:4" x14ac:dyDescent="0.3">
      <c r="D3291" t="str">
        <f t="shared" si="80"/>
        <v/>
      </c>
    </row>
    <row r="3292" spans="4:4" x14ac:dyDescent="0.3">
      <c r="D3292" t="str">
        <f t="shared" si="80"/>
        <v/>
      </c>
    </row>
    <row r="3293" spans="4:4" x14ac:dyDescent="0.3">
      <c r="D3293" t="str">
        <f t="shared" si="80"/>
        <v/>
      </c>
    </row>
    <row r="3294" spans="4:4" x14ac:dyDescent="0.3">
      <c r="D3294" t="str">
        <f t="shared" si="80"/>
        <v/>
      </c>
    </row>
    <row r="3295" spans="4:4" x14ac:dyDescent="0.3">
      <c r="D3295" t="str">
        <f t="shared" si="80"/>
        <v/>
      </c>
    </row>
    <row r="3296" spans="4:4" x14ac:dyDescent="0.3">
      <c r="D3296" t="str">
        <f t="shared" si="80"/>
        <v/>
      </c>
    </row>
    <row r="3297" spans="4:4" x14ac:dyDescent="0.3">
      <c r="D3297" t="str">
        <f t="shared" si="80"/>
        <v/>
      </c>
    </row>
    <row r="3298" spans="4:4" x14ac:dyDescent="0.3">
      <c r="D3298" t="str">
        <f t="shared" si="80"/>
        <v/>
      </c>
    </row>
    <row r="3299" spans="4:4" x14ac:dyDescent="0.3">
      <c r="D3299" t="str">
        <f t="shared" si="80"/>
        <v/>
      </c>
    </row>
    <row r="3300" spans="4:4" x14ac:dyDescent="0.3">
      <c r="D3300" t="str">
        <f t="shared" si="80"/>
        <v/>
      </c>
    </row>
    <row r="3301" spans="4:4" x14ac:dyDescent="0.3">
      <c r="D3301" t="str">
        <f t="shared" si="80"/>
        <v/>
      </c>
    </row>
    <row r="3302" spans="4:4" x14ac:dyDescent="0.3">
      <c r="D3302" t="str">
        <f t="shared" si="80"/>
        <v/>
      </c>
    </row>
    <row r="3303" spans="4:4" x14ac:dyDescent="0.3">
      <c r="D3303" t="str">
        <f t="shared" si="80"/>
        <v/>
      </c>
    </row>
    <row r="3304" spans="4:4" x14ac:dyDescent="0.3">
      <c r="D3304" t="str">
        <f t="shared" si="80"/>
        <v/>
      </c>
    </row>
    <row r="3305" spans="4:4" x14ac:dyDescent="0.3">
      <c r="D3305" t="str">
        <f t="shared" si="80"/>
        <v/>
      </c>
    </row>
    <row r="3306" spans="4:4" x14ac:dyDescent="0.3">
      <c r="D3306" t="str">
        <f t="shared" si="80"/>
        <v/>
      </c>
    </row>
    <row r="3307" spans="4:4" x14ac:dyDescent="0.3">
      <c r="D3307" t="str">
        <f t="shared" si="80"/>
        <v/>
      </c>
    </row>
    <row r="3308" spans="4:4" x14ac:dyDescent="0.3">
      <c r="D3308" t="str">
        <f t="shared" si="80"/>
        <v/>
      </c>
    </row>
    <row r="3309" spans="4:4" x14ac:dyDescent="0.3">
      <c r="D3309" t="str">
        <f t="shared" si="80"/>
        <v/>
      </c>
    </row>
    <row r="3310" spans="4:4" x14ac:dyDescent="0.3">
      <c r="D3310" t="str">
        <f t="shared" si="80"/>
        <v/>
      </c>
    </row>
    <row r="3311" spans="4:4" x14ac:dyDescent="0.3">
      <c r="D3311" t="str">
        <f t="shared" si="80"/>
        <v/>
      </c>
    </row>
    <row r="3312" spans="4:4" x14ac:dyDescent="0.3">
      <c r="D3312" t="str">
        <f t="shared" si="80"/>
        <v/>
      </c>
    </row>
    <row r="3313" spans="4:4" x14ac:dyDescent="0.3">
      <c r="D3313" t="str">
        <f t="shared" si="80"/>
        <v/>
      </c>
    </row>
    <row r="3314" spans="4:4" x14ac:dyDescent="0.3">
      <c r="D3314" t="str">
        <f t="shared" si="80"/>
        <v/>
      </c>
    </row>
    <row r="3315" spans="4:4" x14ac:dyDescent="0.3">
      <c r="D3315" t="str">
        <f t="shared" si="80"/>
        <v/>
      </c>
    </row>
    <row r="3316" spans="4:4" x14ac:dyDescent="0.3">
      <c r="D3316" t="str">
        <f t="shared" si="80"/>
        <v/>
      </c>
    </row>
    <row r="3317" spans="4:4" x14ac:dyDescent="0.3">
      <c r="D3317" t="str">
        <f t="shared" si="80"/>
        <v/>
      </c>
    </row>
    <row r="3318" spans="4:4" x14ac:dyDescent="0.3">
      <c r="D3318" t="str">
        <f t="shared" si="80"/>
        <v/>
      </c>
    </row>
    <row r="3319" spans="4:4" x14ac:dyDescent="0.3">
      <c r="D3319" t="str">
        <f t="shared" si="80"/>
        <v/>
      </c>
    </row>
    <row r="3320" spans="4:4" x14ac:dyDescent="0.3">
      <c r="D3320" t="str">
        <f t="shared" si="80"/>
        <v/>
      </c>
    </row>
    <row r="3321" spans="4:4" x14ac:dyDescent="0.3">
      <c r="D3321" t="str">
        <f t="shared" si="80"/>
        <v/>
      </c>
    </row>
    <row r="3322" spans="4:4" x14ac:dyDescent="0.3">
      <c r="D3322" t="str">
        <f t="shared" si="80"/>
        <v/>
      </c>
    </row>
    <row r="3323" spans="4:4" x14ac:dyDescent="0.3">
      <c r="D3323" t="str">
        <f t="shared" si="80"/>
        <v/>
      </c>
    </row>
    <row r="3324" spans="4:4" x14ac:dyDescent="0.3">
      <c r="D3324" t="str">
        <f t="shared" si="80"/>
        <v/>
      </c>
    </row>
    <row r="3325" spans="4:4" x14ac:dyDescent="0.3">
      <c r="D3325" t="str">
        <f t="shared" si="80"/>
        <v/>
      </c>
    </row>
    <row r="3326" spans="4:4" x14ac:dyDescent="0.3">
      <c r="D3326" t="str">
        <f t="shared" ref="D3326:D3389" si="81">IF(LEFT(A3326,2)="SP",MID(A3326,4,4),IF(LEFT(A3326,1)="X",MID(A3326,3,4),""))</f>
        <v/>
      </c>
    </row>
    <row r="3327" spans="4:4" x14ac:dyDescent="0.3">
      <c r="D3327" t="str">
        <f t="shared" si="81"/>
        <v/>
      </c>
    </row>
    <row r="3328" spans="4:4" x14ac:dyDescent="0.3">
      <c r="D3328" t="str">
        <f t="shared" si="81"/>
        <v/>
      </c>
    </row>
    <row r="3329" spans="4:4" x14ac:dyDescent="0.3">
      <c r="D3329" t="str">
        <f t="shared" si="81"/>
        <v/>
      </c>
    </row>
    <row r="3330" spans="4:4" x14ac:dyDescent="0.3">
      <c r="D3330" t="str">
        <f t="shared" si="81"/>
        <v/>
      </c>
    </row>
    <row r="3331" spans="4:4" x14ac:dyDescent="0.3">
      <c r="D3331" t="str">
        <f t="shared" si="81"/>
        <v/>
      </c>
    </row>
    <row r="3332" spans="4:4" x14ac:dyDescent="0.3">
      <c r="D3332" t="str">
        <f t="shared" si="81"/>
        <v/>
      </c>
    </row>
    <row r="3333" spans="4:4" x14ac:dyDescent="0.3">
      <c r="D3333" t="str">
        <f t="shared" si="81"/>
        <v/>
      </c>
    </row>
    <row r="3334" spans="4:4" x14ac:dyDescent="0.3">
      <c r="D3334" t="str">
        <f t="shared" si="81"/>
        <v/>
      </c>
    </row>
    <row r="3335" spans="4:4" x14ac:dyDescent="0.3">
      <c r="D3335" t="str">
        <f t="shared" si="81"/>
        <v/>
      </c>
    </row>
    <row r="3336" spans="4:4" x14ac:dyDescent="0.3">
      <c r="D3336" t="str">
        <f t="shared" si="81"/>
        <v/>
      </c>
    </row>
    <row r="3337" spans="4:4" x14ac:dyDescent="0.3">
      <c r="D3337" t="str">
        <f t="shared" si="81"/>
        <v/>
      </c>
    </row>
    <row r="3338" spans="4:4" x14ac:dyDescent="0.3">
      <c r="D3338" t="str">
        <f t="shared" si="81"/>
        <v/>
      </c>
    </row>
    <row r="3339" spans="4:4" x14ac:dyDescent="0.3">
      <c r="D3339" t="str">
        <f t="shared" si="81"/>
        <v/>
      </c>
    </row>
    <row r="3340" spans="4:4" x14ac:dyDescent="0.3">
      <c r="D3340" t="str">
        <f t="shared" si="81"/>
        <v/>
      </c>
    </row>
    <row r="3341" spans="4:4" x14ac:dyDescent="0.3">
      <c r="D3341" t="str">
        <f t="shared" si="81"/>
        <v/>
      </c>
    </row>
    <row r="3342" spans="4:4" x14ac:dyDescent="0.3">
      <c r="D3342" t="str">
        <f t="shared" si="81"/>
        <v/>
      </c>
    </row>
    <row r="3343" spans="4:4" x14ac:dyDescent="0.3">
      <c r="D3343" t="str">
        <f t="shared" si="81"/>
        <v/>
      </c>
    </row>
    <row r="3344" spans="4:4" x14ac:dyDescent="0.3">
      <c r="D3344" t="str">
        <f t="shared" si="81"/>
        <v/>
      </c>
    </row>
    <row r="3345" spans="4:4" x14ac:dyDescent="0.3">
      <c r="D3345" t="str">
        <f t="shared" si="81"/>
        <v/>
      </c>
    </row>
    <row r="3346" spans="4:4" x14ac:dyDescent="0.3">
      <c r="D3346" t="str">
        <f t="shared" si="81"/>
        <v/>
      </c>
    </row>
    <row r="3347" spans="4:4" x14ac:dyDescent="0.3">
      <c r="D3347" t="str">
        <f t="shared" si="81"/>
        <v/>
      </c>
    </row>
    <row r="3348" spans="4:4" x14ac:dyDescent="0.3">
      <c r="D3348" t="str">
        <f t="shared" si="81"/>
        <v/>
      </c>
    </row>
    <row r="3349" spans="4:4" x14ac:dyDescent="0.3">
      <c r="D3349" t="str">
        <f t="shared" si="81"/>
        <v/>
      </c>
    </row>
    <row r="3350" spans="4:4" x14ac:dyDescent="0.3">
      <c r="D3350" t="str">
        <f t="shared" si="81"/>
        <v/>
      </c>
    </row>
    <row r="3351" spans="4:4" x14ac:dyDescent="0.3">
      <c r="D3351" t="str">
        <f t="shared" si="81"/>
        <v/>
      </c>
    </row>
    <row r="3352" spans="4:4" x14ac:dyDescent="0.3">
      <c r="D3352" t="str">
        <f t="shared" si="81"/>
        <v/>
      </c>
    </row>
    <row r="3353" spans="4:4" x14ac:dyDescent="0.3">
      <c r="D3353" t="str">
        <f t="shared" si="81"/>
        <v/>
      </c>
    </row>
    <row r="3354" spans="4:4" x14ac:dyDescent="0.3">
      <c r="D3354" t="str">
        <f t="shared" si="81"/>
        <v/>
      </c>
    </row>
    <row r="3355" spans="4:4" x14ac:dyDescent="0.3">
      <c r="D3355" t="str">
        <f t="shared" si="81"/>
        <v/>
      </c>
    </row>
    <row r="3356" spans="4:4" x14ac:dyDescent="0.3">
      <c r="D3356" t="str">
        <f t="shared" si="81"/>
        <v/>
      </c>
    </row>
    <row r="3357" spans="4:4" x14ac:dyDescent="0.3">
      <c r="D3357" t="str">
        <f t="shared" si="81"/>
        <v/>
      </c>
    </row>
    <row r="3358" spans="4:4" x14ac:dyDescent="0.3">
      <c r="D3358" t="str">
        <f t="shared" si="81"/>
        <v/>
      </c>
    </row>
    <row r="3359" spans="4:4" x14ac:dyDescent="0.3">
      <c r="D3359" t="str">
        <f t="shared" si="81"/>
        <v/>
      </c>
    </row>
    <row r="3360" spans="4:4" x14ac:dyDescent="0.3">
      <c r="D3360" t="str">
        <f t="shared" si="81"/>
        <v/>
      </c>
    </row>
    <row r="3361" spans="4:4" x14ac:dyDescent="0.3">
      <c r="D3361" t="str">
        <f t="shared" si="81"/>
        <v/>
      </c>
    </row>
    <row r="3362" spans="4:4" x14ac:dyDescent="0.3">
      <c r="D3362" t="str">
        <f t="shared" si="81"/>
        <v/>
      </c>
    </row>
    <row r="3363" spans="4:4" x14ac:dyDescent="0.3">
      <c r="D3363" t="str">
        <f t="shared" si="81"/>
        <v/>
      </c>
    </row>
    <row r="3364" spans="4:4" x14ac:dyDescent="0.3">
      <c r="D3364" t="str">
        <f t="shared" si="81"/>
        <v/>
      </c>
    </row>
    <row r="3365" spans="4:4" x14ac:dyDescent="0.3">
      <c r="D3365" t="str">
        <f t="shared" si="81"/>
        <v/>
      </c>
    </row>
    <row r="3366" spans="4:4" x14ac:dyDescent="0.3">
      <c r="D3366" t="str">
        <f t="shared" si="81"/>
        <v/>
      </c>
    </row>
    <row r="3367" spans="4:4" x14ac:dyDescent="0.3">
      <c r="D3367" t="str">
        <f t="shared" si="81"/>
        <v/>
      </c>
    </row>
    <row r="3368" spans="4:4" x14ac:dyDescent="0.3">
      <c r="D3368" t="str">
        <f t="shared" si="81"/>
        <v/>
      </c>
    </row>
    <row r="3369" spans="4:4" x14ac:dyDescent="0.3">
      <c r="D3369" t="str">
        <f t="shared" si="81"/>
        <v/>
      </c>
    </row>
    <row r="3370" spans="4:4" x14ac:dyDescent="0.3">
      <c r="D3370" t="str">
        <f t="shared" si="81"/>
        <v/>
      </c>
    </row>
    <row r="3371" spans="4:4" x14ac:dyDescent="0.3">
      <c r="D3371" t="str">
        <f t="shared" si="81"/>
        <v/>
      </c>
    </row>
    <row r="3372" spans="4:4" x14ac:dyDescent="0.3">
      <c r="D3372" t="str">
        <f t="shared" si="81"/>
        <v/>
      </c>
    </row>
    <row r="3373" spans="4:4" x14ac:dyDescent="0.3">
      <c r="D3373" t="str">
        <f t="shared" si="81"/>
        <v/>
      </c>
    </row>
    <row r="3374" spans="4:4" x14ac:dyDescent="0.3">
      <c r="D3374" t="str">
        <f t="shared" si="81"/>
        <v/>
      </c>
    </row>
    <row r="3375" spans="4:4" x14ac:dyDescent="0.3">
      <c r="D3375" t="str">
        <f t="shared" si="81"/>
        <v/>
      </c>
    </row>
    <row r="3376" spans="4:4" x14ac:dyDescent="0.3">
      <c r="D3376" t="str">
        <f t="shared" si="81"/>
        <v/>
      </c>
    </row>
    <row r="3377" spans="4:4" x14ac:dyDescent="0.3">
      <c r="D3377" t="str">
        <f t="shared" si="81"/>
        <v/>
      </c>
    </row>
    <row r="3378" spans="4:4" x14ac:dyDescent="0.3">
      <c r="D3378" t="str">
        <f t="shared" si="81"/>
        <v/>
      </c>
    </row>
    <row r="3379" spans="4:4" x14ac:dyDescent="0.3">
      <c r="D3379" t="str">
        <f t="shared" si="81"/>
        <v/>
      </c>
    </row>
    <row r="3380" spans="4:4" x14ac:dyDescent="0.3">
      <c r="D3380" t="str">
        <f t="shared" si="81"/>
        <v/>
      </c>
    </row>
    <row r="3381" spans="4:4" x14ac:dyDescent="0.3">
      <c r="D3381" t="str">
        <f t="shared" si="81"/>
        <v/>
      </c>
    </row>
    <row r="3382" spans="4:4" x14ac:dyDescent="0.3">
      <c r="D3382" t="str">
        <f t="shared" si="81"/>
        <v/>
      </c>
    </row>
    <row r="3383" spans="4:4" x14ac:dyDescent="0.3">
      <c r="D3383" t="str">
        <f t="shared" si="81"/>
        <v/>
      </c>
    </row>
    <row r="3384" spans="4:4" x14ac:dyDescent="0.3">
      <c r="D3384" t="str">
        <f t="shared" si="81"/>
        <v/>
      </c>
    </row>
    <row r="3385" spans="4:4" x14ac:dyDescent="0.3">
      <c r="D3385" t="str">
        <f t="shared" si="81"/>
        <v/>
      </c>
    </row>
    <row r="3386" spans="4:4" x14ac:dyDescent="0.3">
      <c r="D3386" t="str">
        <f t="shared" si="81"/>
        <v/>
      </c>
    </row>
    <row r="3387" spans="4:4" x14ac:dyDescent="0.3">
      <c r="D3387" t="str">
        <f t="shared" si="81"/>
        <v/>
      </c>
    </row>
    <row r="3388" spans="4:4" x14ac:dyDescent="0.3">
      <c r="D3388" t="str">
        <f t="shared" si="81"/>
        <v/>
      </c>
    </row>
    <row r="3389" spans="4:4" x14ac:dyDescent="0.3">
      <c r="D3389" t="str">
        <f t="shared" si="81"/>
        <v/>
      </c>
    </row>
    <row r="3390" spans="4:4" x14ac:dyDescent="0.3">
      <c r="D3390" t="str">
        <f t="shared" ref="D3390:D3453" si="82">IF(LEFT(A3390,2)="SP",MID(A3390,4,4),IF(LEFT(A3390,1)="X",MID(A3390,3,4),""))</f>
        <v/>
      </c>
    </row>
    <row r="3391" spans="4:4" x14ac:dyDescent="0.3">
      <c r="D3391" t="str">
        <f t="shared" si="82"/>
        <v/>
      </c>
    </row>
    <row r="3392" spans="4:4" x14ac:dyDescent="0.3">
      <c r="D3392" t="str">
        <f t="shared" si="82"/>
        <v/>
      </c>
    </row>
    <row r="3393" spans="4:4" x14ac:dyDescent="0.3">
      <c r="D3393" t="str">
        <f t="shared" si="82"/>
        <v/>
      </c>
    </row>
    <row r="3394" spans="4:4" x14ac:dyDescent="0.3">
      <c r="D3394" t="str">
        <f t="shared" si="82"/>
        <v/>
      </c>
    </row>
    <row r="3395" spans="4:4" x14ac:dyDescent="0.3">
      <c r="D3395" t="str">
        <f t="shared" si="82"/>
        <v/>
      </c>
    </row>
    <row r="3396" spans="4:4" x14ac:dyDescent="0.3">
      <c r="D3396" t="str">
        <f t="shared" si="82"/>
        <v/>
      </c>
    </row>
    <row r="3397" spans="4:4" x14ac:dyDescent="0.3">
      <c r="D3397" t="str">
        <f t="shared" si="82"/>
        <v/>
      </c>
    </row>
    <row r="3398" spans="4:4" x14ac:dyDescent="0.3">
      <c r="D3398" t="str">
        <f t="shared" si="82"/>
        <v/>
      </c>
    </row>
    <row r="3399" spans="4:4" x14ac:dyDescent="0.3">
      <c r="D3399" t="str">
        <f t="shared" si="82"/>
        <v/>
      </c>
    </row>
    <row r="3400" spans="4:4" x14ac:dyDescent="0.3">
      <c r="D3400" t="str">
        <f t="shared" si="82"/>
        <v/>
      </c>
    </row>
    <row r="3401" spans="4:4" x14ac:dyDescent="0.3">
      <c r="D3401" t="str">
        <f t="shared" si="82"/>
        <v/>
      </c>
    </row>
    <row r="3402" spans="4:4" x14ac:dyDescent="0.3">
      <c r="D3402" t="str">
        <f t="shared" si="82"/>
        <v/>
      </c>
    </row>
    <row r="3403" spans="4:4" x14ac:dyDescent="0.3">
      <c r="D3403" t="str">
        <f t="shared" si="82"/>
        <v/>
      </c>
    </row>
    <row r="3404" spans="4:4" x14ac:dyDescent="0.3">
      <c r="D3404" t="str">
        <f t="shared" si="82"/>
        <v/>
      </c>
    </row>
    <row r="3405" spans="4:4" x14ac:dyDescent="0.3">
      <c r="D3405" t="str">
        <f t="shared" si="82"/>
        <v/>
      </c>
    </row>
    <row r="3406" spans="4:4" x14ac:dyDescent="0.3">
      <c r="D3406" t="str">
        <f t="shared" si="82"/>
        <v/>
      </c>
    </row>
    <row r="3407" spans="4:4" x14ac:dyDescent="0.3">
      <c r="D3407" t="str">
        <f t="shared" si="82"/>
        <v/>
      </c>
    </row>
    <row r="3408" spans="4:4" x14ac:dyDescent="0.3">
      <c r="D3408" t="str">
        <f t="shared" si="82"/>
        <v/>
      </c>
    </row>
    <row r="3409" spans="4:4" x14ac:dyDescent="0.3">
      <c r="D3409" t="str">
        <f t="shared" si="82"/>
        <v/>
      </c>
    </row>
    <row r="3410" spans="4:4" x14ac:dyDescent="0.3">
      <c r="D3410" t="str">
        <f t="shared" si="82"/>
        <v/>
      </c>
    </row>
    <row r="3411" spans="4:4" x14ac:dyDescent="0.3">
      <c r="D3411" t="str">
        <f t="shared" si="82"/>
        <v/>
      </c>
    </row>
    <row r="3412" spans="4:4" x14ac:dyDescent="0.3">
      <c r="D3412" t="str">
        <f t="shared" si="82"/>
        <v/>
      </c>
    </row>
    <row r="3413" spans="4:4" x14ac:dyDescent="0.3">
      <c r="D3413" t="str">
        <f t="shared" si="82"/>
        <v/>
      </c>
    </row>
    <row r="3414" spans="4:4" x14ac:dyDescent="0.3">
      <c r="D3414" t="str">
        <f t="shared" si="82"/>
        <v/>
      </c>
    </row>
    <row r="3415" spans="4:4" x14ac:dyDescent="0.3">
      <c r="D3415" t="str">
        <f t="shared" si="82"/>
        <v/>
      </c>
    </row>
    <row r="3416" spans="4:4" x14ac:dyDescent="0.3">
      <c r="D3416" t="str">
        <f t="shared" si="82"/>
        <v/>
      </c>
    </row>
    <row r="3417" spans="4:4" x14ac:dyDescent="0.3">
      <c r="D3417" t="str">
        <f t="shared" si="82"/>
        <v/>
      </c>
    </row>
    <row r="3418" spans="4:4" x14ac:dyDescent="0.3">
      <c r="D3418" t="str">
        <f t="shared" si="82"/>
        <v/>
      </c>
    </row>
    <row r="3419" spans="4:4" x14ac:dyDescent="0.3">
      <c r="D3419" t="str">
        <f t="shared" si="82"/>
        <v/>
      </c>
    </row>
    <row r="3420" spans="4:4" x14ac:dyDescent="0.3">
      <c r="D3420" t="str">
        <f t="shared" si="82"/>
        <v/>
      </c>
    </row>
    <row r="3421" spans="4:4" x14ac:dyDescent="0.3">
      <c r="D3421" t="str">
        <f t="shared" si="82"/>
        <v/>
      </c>
    </row>
    <row r="3422" spans="4:4" x14ac:dyDescent="0.3">
      <c r="D3422" t="str">
        <f t="shared" si="82"/>
        <v/>
      </c>
    </row>
    <row r="3423" spans="4:4" x14ac:dyDescent="0.3">
      <c r="D3423" t="str">
        <f t="shared" si="82"/>
        <v/>
      </c>
    </row>
    <row r="3424" spans="4:4" x14ac:dyDescent="0.3">
      <c r="D3424" t="str">
        <f t="shared" si="82"/>
        <v/>
      </c>
    </row>
    <row r="3425" spans="4:4" x14ac:dyDescent="0.3">
      <c r="D3425" t="str">
        <f t="shared" si="82"/>
        <v/>
      </c>
    </row>
    <row r="3426" spans="4:4" x14ac:dyDescent="0.3">
      <c r="D3426" t="str">
        <f t="shared" si="82"/>
        <v/>
      </c>
    </row>
    <row r="3427" spans="4:4" x14ac:dyDescent="0.3">
      <c r="D3427" t="str">
        <f t="shared" si="82"/>
        <v/>
      </c>
    </row>
    <row r="3428" spans="4:4" x14ac:dyDescent="0.3">
      <c r="D3428" t="str">
        <f t="shared" si="82"/>
        <v/>
      </c>
    </row>
    <row r="3429" spans="4:4" x14ac:dyDescent="0.3">
      <c r="D3429" t="str">
        <f t="shared" si="82"/>
        <v/>
      </c>
    </row>
    <row r="3430" spans="4:4" x14ac:dyDescent="0.3">
      <c r="D3430" t="str">
        <f t="shared" si="82"/>
        <v/>
      </c>
    </row>
    <row r="3431" spans="4:4" x14ac:dyDescent="0.3">
      <c r="D3431" t="str">
        <f t="shared" si="82"/>
        <v/>
      </c>
    </row>
    <row r="3432" spans="4:4" x14ac:dyDescent="0.3">
      <c r="D3432" t="str">
        <f t="shared" si="82"/>
        <v/>
      </c>
    </row>
    <row r="3433" spans="4:4" x14ac:dyDescent="0.3">
      <c r="D3433" t="str">
        <f t="shared" si="82"/>
        <v/>
      </c>
    </row>
    <row r="3434" spans="4:4" x14ac:dyDescent="0.3">
      <c r="D3434" t="str">
        <f t="shared" si="82"/>
        <v/>
      </c>
    </row>
    <row r="3435" spans="4:4" x14ac:dyDescent="0.3">
      <c r="D3435" t="str">
        <f t="shared" si="82"/>
        <v/>
      </c>
    </row>
    <row r="3436" spans="4:4" x14ac:dyDescent="0.3">
      <c r="D3436" t="str">
        <f t="shared" si="82"/>
        <v/>
      </c>
    </row>
    <row r="3437" spans="4:4" x14ac:dyDescent="0.3">
      <c r="D3437" t="str">
        <f t="shared" si="82"/>
        <v/>
      </c>
    </row>
    <row r="3438" spans="4:4" x14ac:dyDescent="0.3">
      <c r="D3438" t="str">
        <f t="shared" si="82"/>
        <v/>
      </c>
    </row>
    <row r="3439" spans="4:4" x14ac:dyDescent="0.3">
      <c r="D3439" t="str">
        <f t="shared" si="82"/>
        <v/>
      </c>
    </row>
    <row r="3440" spans="4:4" x14ac:dyDescent="0.3">
      <c r="D3440" t="str">
        <f t="shared" si="82"/>
        <v/>
      </c>
    </row>
    <row r="3441" spans="4:4" x14ac:dyDescent="0.3">
      <c r="D3441" t="str">
        <f t="shared" si="82"/>
        <v/>
      </c>
    </row>
    <row r="3442" spans="4:4" x14ac:dyDescent="0.3">
      <c r="D3442" t="str">
        <f t="shared" si="82"/>
        <v/>
      </c>
    </row>
    <row r="3443" spans="4:4" x14ac:dyDescent="0.3">
      <c r="D3443" t="str">
        <f t="shared" si="82"/>
        <v/>
      </c>
    </row>
    <row r="3444" spans="4:4" x14ac:dyDescent="0.3">
      <c r="D3444" t="str">
        <f t="shared" si="82"/>
        <v/>
      </c>
    </row>
    <row r="3445" spans="4:4" x14ac:dyDescent="0.3">
      <c r="D3445" t="str">
        <f t="shared" si="82"/>
        <v/>
      </c>
    </row>
    <row r="3446" spans="4:4" x14ac:dyDescent="0.3">
      <c r="D3446" t="str">
        <f t="shared" si="82"/>
        <v/>
      </c>
    </row>
    <row r="3447" spans="4:4" x14ac:dyDescent="0.3">
      <c r="D3447" t="str">
        <f t="shared" si="82"/>
        <v/>
      </c>
    </row>
    <row r="3448" spans="4:4" x14ac:dyDescent="0.3">
      <c r="D3448" t="str">
        <f t="shared" si="82"/>
        <v/>
      </c>
    </row>
    <row r="3449" spans="4:4" x14ac:dyDescent="0.3">
      <c r="D3449" t="str">
        <f t="shared" si="82"/>
        <v/>
      </c>
    </row>
    <row r="3450" spans="4:4" x14ac:dyDescent="0.3">
      <c r="D3450" t="str">
        <f t="shared" si="82"/>
        <v/>
      </c>
    </row>
    <row r="3451" spans="4:4" x14ac:dyDescent="0.3">
      <c r="D3451" t="str">
        <f t="shared" si="82"/>
        <v/>
      </c>
    </row>
    <row r="3452" spans="4:4" x14ac:dyDescent="0.3">
      <c r="D3452" t="str">
        <f t="shared" si="82"/>
        <v/>
      </c>
    </row>
    <row r="3453" spans="4:4" x14ac:dyDescent="0.3">
      <c r="D3453" t="str">
        <f t="shared" si="82"/>
        <v/>
      </c>
    </row>
    <row r="3454" spans="4:4" x14ac:dyDescent="0.3">
      <c r="D3454" t="str">
        <f t="shared" ref="D3454:D3517" si="83">IF(LEFT(A3454,2)="SP",MID(A3454,4,4),IF(LEFT(A3454,1)="X",MID(A3454,3,4),""))</f>
        <v/>
      </c>
    </row>
    <row r="3455" spans="4:4" x14ac:dyDescent="0.3">
      <c r="D3455" t="str">
        <f t="shared" si="83"/>
        <v/>
      </c>
    </row>
    <row r="3456" spans="4:4" x14ac:dyDescent="0.3">
      <c r="D3456" t="str">
        <f t="shared" si="83"/>
        <v/>
      </c>
    </row>
    <row r="3457" spans="4:4" x14ac:dyDescent="0.3">
      <c r="D3457" t="str">
        <f t="shared" si="83"/>
        <v/>
      </c>
    </row>
    <row r="3458" spans="4:4" x14ac:dyDescent="0.3">
      <c r="D3458" t="str">
        <f t="shared" si="83"/>
        <v/>
      </c>
    </row>
    <row r="3459" spans="4:4" x14ac:dyDescent="0.3">
      <c r="D3459" t="str">
        <f t="shared" si="83"/>
        <v/>
      </c>
    </row>
    <row r="3460" spans="4:4" x14ac:dyDescent="0.3">
      <c r="D3460" t="str">
        <f t="shared" si="83"/>
        <v/>
      </c>
    </row>
    <row r="3461" spans="4:4" x14ac:dyDescent="0.3">
      <c r="D3461" t="str">
        <f t="shared" si="83"/>
        <v/>
      </c>
    </row>
    <row r="3462" spans="4:4" x14ac:dyDescent="0.3">
      <c r="D3462" t="str">
        <f t="shared" si="83"/>
        <v/>
      </c>
    </row>
    <row r="3463" spans="4:4" x14ac:dyDescent="0.3">
      <c r="D3463" t="str">
        <f t="shared" si="83"/>
        <v/>
      </c>
    </row>
    <row r="3464" spans="4:4" x14ac:dyDescent="0.3">
      <c r="D3464" t="str">
        <f t="shared" si="83"/>
        <v/>
      </c>
    </row>
    <row r="3465" spans="4:4" x14ac:dyDescent="0.3">
      <c r="D3465" t="str">
        <f t="shared" si="83"/>
        <v/>
      </c>
    </row>
    <row r="3466" spans="4:4" x14ac:dyDescent="0.3">
      <c r="D3466" t="str">
        <f t="shared" si="83"/>
        <v/>
      </c>
    </row>
    <row r="3467" spans="4:4" x14ac:dyDescent="0.3">
      <c r="D3467" t="str">
        <f t="shared" si="83"/>
        <v/>
      </c>
    </row>
    <row r="3468" spans="4:4" x14ac:dyDescent="0.3">
      <c r="D3468" t="str">
        <f t="shared" si="83"/>
        <v/>
      </c>
    </row>
    <row r="3469" spans="4:4" x14ac:dyDescent="0.3">
      <c r="D3469" t="str">
        <f t="shared" si="83"/>
        <v/>
      </c>
    </row>
    <row r="3470" spans="4:4" x14ac:dyDescent="0.3">
      <c r="D3470" t="str">
        <f t="shared" si="83"/>
        <v/>
      </c>
    </row>
    <row r="3471" spans="4:4" x14ac:dyDescent="0.3">
      <c r="D3471" t="str">
        <f t="shared" si="83"/>
        <v/>
      </c>
    </row>
    <row r="3472" spans="4:4" x14ac:dyDescent="0.3">
      <c r="D3472" t="str">
        <f t="shared" si="83"/>
        <v/>
      </c>
    </row>
    <row r="3473" spans="4:4" x14ac:dyDescent="0.3">
      <c r="D3473" t="str">
        <f t="shared" si="83"/>
        <v/>
      </c>
    </row>
    <row r="3474" spans="4:4" x14ac:dyDescent="0.3">
      <c r="D3474" t="str">
        <f t="shared" si="83"/>
        <v/>
      </c>
    </row>
    <row r="3475" spans="4:4" x14ac:dyDescent="0.3">
      <c r="D3475" t="str">
        <f t="shared" si="83"/>
        <v/>
      </c>
    </row>
    <row r="3476" spans="4:4" x14ac:dyDescent="0.3">
      <c r="D3476" t="str">
        <f t="shared" si="83"/>
        <v/>
      </c>
    </row>
    <row r="3477" spans="4:4" x14ac:dyDescent="0.3">
      <c r="D3477" t="str">
        <f t="shared" si="83"/>
        <v/>
      </c>
    </row>
    <row r="3478" spans="4:4" x14ac:dyDescent="0.3">
      <c r="D3478" t="str">
        <f t="shared" si="83"/>
        <v/>
      </c>
    </row>
    <row r="3479" spans="4:4" x14ac:dyDescent="0.3">
      <c r="D3479" t="str">
        <f t="shared" si="83"/>
        <v/>
      </c>
    </row>
    <row r="3480" spans="4:4" x14ac:dyDescent="0.3">
      <c r="D3480" t="str">
        <f t="shared" si="83"/>
        <v/>
      </c>
    </row>
    <row r="3481" spans="4:4" x14ac:dyDescent="0.3">
      <c r="D3481" t="str">
        <f t="shared" si="83"/>
        <v/>
      </c>
    </row>
    <row r="3482" spans="4:4" x14ac:dyDescent="0.3">
      <c r="D3482" t="str">
        <f t="shared" si="83"/>
        <v/>
      </c>
    </row>
    <row r="3483" spans="4:4" x14ac:dyDescent="0.3">
      <c r="D3483" t="str">
        <f t="shared" si="83"/>
        <v/>
      </c>
    </row>
    <row r="3484" spans="4:4" x14ac:dyDescent="0.3">
      <c r="D3484" t="str">
        <f t="shared" si="83"/>
        <v/>
      </c>
    </row>
    <row r="3485" spans="4:4" x14ac:dyDescent="0.3">
      <c r="D3485" t="str">
        <f t="shared" si="83"/>
        <v/>
      </c>
    </row>
    <row r="3486" spans="4:4" x14ac:dyDescent="0.3">
      <c r="D3486" t="str">
        <f t="shared" si="83"/>
        <v/>
      </c>
    </row>
    <row r="3487" spans="4:4" x14ac:dyDescent="0.3">
      <c r="D3487" t="str">
        <f t="shared" si="83"/>
        <v/>
      </c>
    </row>
    <row r="3488" spans="4:4" x14ac:dyDescent="0.3">
      <c r="D3488" t="str">
        <f t="shared" si="83"/>
        <v/>
      </c>
    </row>
    <row r="3489" spans="4:4" x14ac:dyDescent="0.3">
      <c r="D3489" t="str">
        <f t="shared" si="83"/>
        <v/>
      </c>
    </row>
    <row r="3490" spans="4:4" x14ac:dyDescent="0.3">
      <c r="D3490" t="str">
        <f t="shared" si="83"/>
        <v/>
      </c>
    </row>
    <row r="3491" spans="4:4" x14ac:dyDescent="0.3">
      <c r="D3491" t="str">
        <f t="shared" si="83"/>
        <v/>
      </c>
    </row>
    <row r="3492" spans="4:4" x14ac:dyDescent="0.3">
      <c r="D3492" t="str">
        <f t="shared" si="83"/>
        <v/>
      </c>
    </row>
    <row r="3493" spans="4:4" x14ac:dyDescent="0.3">
      <c r="D3493" t="str">
        <f t="shared" si="83"/>
        <v/>
      </c>
    </row>
    <row r="3494" spans="4:4" x14ac:dyDescent="0.3">
      <c r="D3494" t="str">
        <f t="shared" si="83"/>
        <v/>
      </c>
    </row>
    <row r="3495" spans="4:4" x14ac:dyDescent="0.3">
      <c r="D3495" t="str">
        <f t="shared" si="83"/>
        <v/>
      </c>
    </row>
    <row r="3496" spans="4:4" x14ac:dyDescent="0.3">
      <c r="D3496" t="str">
        <f t="shared" si="83"/>
        <v/>
      </c>
    </row>
    <row r="3497" spans="4:4" x14ac:dyDescent="0.3">
      <c r="D3497" t="str">
        <f t="shared" si="83"/>
        <v/>
      </c>
    </row>
    <row r="3498" spans="4:4" x14ac:dyDescent="0.3">
      <c r="D3498" t="str">
        <f t="shared" si="83"/>
        <v/>
      </c>
    </row>
    <row r="3499" spans="4:4" x14ac:dyDescent="0.3">
      <c r="D3499" t="str">
        <f t="shared" si="83"/>
        <v/>
      </c>
    </row>
    <row r="3500" spans="4:4" x14ac:dyDescent="0.3">
      <c r="D3500" t="str">
        <f t="shared" si="83"/>
        <v/>
      </c>
    </row>
    <row r="3501" spans="4:4" x14ac:dyDescent="0.3">
      <c r="D3501" t="str">
        <f t="shared" si="83"/>
        <v/>
      </c>
    </row>
    <row r="3502" spans="4:4" x14ac:dyDescent="0.3">
      <c r="D3502" t="str">
        <f t="shared" si="83"/>
        <v/>
      </c>
    </row>
    <row r="3503" spans="4:4" x14ac:dyDescent="0.3">
      <c r="D3503" t="str">
        <f t="shared" si="83"/>
        <v/>
      </c>
    </row>
    <row r="3504" spans="4:4" x14ac:dyDescent="0.3">
      <c r="D3504" t="str">
        <f t="shared" si="83"/>
        <v/>
      </c>
    </row>
    <row r="3505" spans="4:4" x14ac:dyDescent="0.3">
      <c r="D3505" t="str">
        <f t="shared" si="83"/>
        <v/>
      </c>
    </row>
    <row r="3506" spans="4:4" x14ac:dyDescent="0.3">
      <c r="D3506" t="str">
        <f t="shared" si="83"/>
        <v/>
      </c>
    </row>
    <row r="3507" spans="4:4" x14ac:dyDescent="0.3">
      <c r="D3507" t="str">
        <f t="shared" si="83"/>
        <v/>
      </c>
    </row>
    <row r="3508" spans="4:4" x14ac:dyDescent="0.3">
      <c r="D3508" t="str">
        <f t="shared" si="83"/>
        <v/>
      </c>
    </row>
    <row r="3509" spans="4:4" x14ac:dyDescent="0.3">
      <c r="D3509" t="str">
        <f t="shared" si="83"/>
        <v/>
      </c>
    </row>
    <row r="3510" spans="4:4" x14ac:dyDescent="0.3">
      <c r="D3510" t="str">
        <f t="shared" si="83"/>
        <v/>
      </c>
    </row>
    <row r="3511" spans="4:4" x14ac:dyDescent="0.3">
      <c r="D3511" t="str">
        <f t="shared" si="83"/>
        <v/>
      </c>
    </row>
    <row r="3512" spans="4:4" x14ac:dyDescent="0.3">
      <c r="D3512" t="str">
        <f t="shared" si="83"/>
        <v/>
      </c>
    </row>
    <row r="3513" spans="4:4" x14ac:dyDescent="0.3">
      <c r="D3513" t="str">
        <f t="shared" si="83"/>
        <v/>
      </c>
    </row>
    <row r="3514" spans="4:4" x14ac:dyDescent="0.3">
      <c r="D3514" t="str">
        <f t="shared" si="83"/>
        <v/>
      </c>
    </row>
    <row r="3515" spans="4:4" x14ac:dyDescent="0.3">
      <c r="D3515" t="str">
        <f t="shared" si="83"/>
        <v/>
      </c>
    </row>
    <row r="3516" spans="4:4" x14ac:dyDescent="0.3">
      <c r="D3516" t="str">
        <f t="shared" si="83"/>
        <v/>
      </c>
    </row>
    <row r="3517" spans="4:4" x14ac:dyDescent="0.3">
      <c r="D3517" t="str">
        <f t="shared" si="83"/>
        <v/>
      </c>
    </row>
    <row r="3518" spans="4:4" x14ac:dyDescent="0.3">
      <c r="D3518" t="str">
        <f t="shared" ref="D3518:D3581" si="84">IF(LEFT(A3518,2)="SP",MID(A3518,4,4),IF(LEFT(A3518,1)="X",MID(A3518,3,4),""))</f>
        <v/>
      </c>
    </row>
    <row r="3519" spans="4:4" x14ac:dyDescent="0.3">
      <c r="D3519" t="str">
        <f t="shared" si="84"/>
        <v/>
      </c>
    </row>
    <row r="3520" spans="4:4" x14ac:dyDescent="0.3">
      <c r="D3520" t="str">
        <f t="shared" si="84"/>
        <v/>
      </c>
    </row>
    <row r="3521" spans="4:4" x14ac:dyDescent="0.3">
      <c r="D3521" t="str">
        <f t="shared" si="84"/>
        <v/>
      </c>
    </row>
    <row r="3522" spans="4:4" x14ac:dyDescent="0.3">
      <c r="D3522" t="str">
        <f t="shared" si="84"/>
        <v/>
      </c>
    </row>
    <row r="3523" spans="4:4" x14ac:dyDescent="0.3">
      <c r="D3523" t="str">
        <f t="shared" si="84"/>
        <v/>
      </c>
    </row>
    <row r="3524" spans="4:4" x14ac:dyDescent="0.3">
      <c r="D3524" t="str">
        <f t="shared" si="84"/>
        <v/>
      </c>
    </row>
    <row r="3525" spans="4:4" x14ac:dyDescent="0.3">
      <c r="D3525" t="str">
        <f t="shared" si="84"/>
        <v/>
      </c>
    </row>
    <row r="3526" spans="4:4" x14ac:dyDescent="0.3">
      <c r="D3526" t="str">
        <f t="shared" si="84"/>
        <v/>
      </c>
    </row>
    <row r="3527" spans="4:4" x14ac:dyDescent="0.3">
      <c r="D3527" t="str">
        <f t="shared" si="84"/>
        <v/>
      </c>
    </row>
    <row r="3528" spans="4:4" x14ac:dyDescent="0.3">
      <c r="D3528" t="str">
        <f t="shared" si="84"/>
        <v/>
      </c>
    </row>
    <row r="3529" spans="4:4" x14ac:dyDescent="0.3">
      <c r="D3529" t="str">
        <f t="shared" si="84"/>
        <v/>
      </c>
    </row>
    <row r="3530" spans="4:4" x14ac:dyDescent="0.3">
      <c r="D3530" t="str">
        <f t="shared" si="84"/>
        <v/>
      </c>
    </row>
    <row r="3531" spans="4:4" x14ac:dyDescent="0.3">
      <c r="D3531" t="str">
        <f t="shared" si="84"/>
        <v/>
      </c>
    </row>
    <row r="3532" spans="4:4" x14ac:dyDescent="0.3">
      <c r="D3532" t="str">
        <f t="shared" si="84"/>
        <v/>
      </c>
    </row>
    <row r="3533" spans="4:4" x14ac:dyDescent="0.3">
      <c r="D3533" t="str">
        <f t="shared" si="84"/>
        <v/>
      </c>
    </row>
    <row r="3534" spans="4:4" x14ac:dyDescent="0.3">
      <c r="D3534" t="str">
        <f t="shared" si="84"/>
        <v/>
      </c>
    </row>
    <row r="3535" spans="4:4" x14ac:dyDescent="0.3">
      <c r="D3535" t="str">
        <f t="shared" si="84"/>
        <v/>
      </c>
    </row>
    <row r="3536" spans="4:4" x14ac:dyDescent="0.3">
      <c r="D3536" t="str">
        <f t="shared" si="84"/>
        <v/>
      </c>
    </row>
    <row r="3537" spans="4:4" x14ac:dyDescent="0.3">
      <c r="D3537" t="str">
        <f t="shared" si="84"/>
        <v/>
      </c>
    </row>
    <row r="3538" spans="4:4" x14ac:dyDescent="0.3">
      <c r="D3538" t="str">
        <f t="shared" si="84"/>
        <v/>
      </c>
    </row>
    <row r="3539" spans="4:4" x14ac:dyDescent="0.3">
      <c r="D3539" t="str">
        <f t="shared" si="84"/>
        <v/>
      </c>
    </row>
    <row r="3540" spans="4:4" x14ac:dyDescent="0.3">
      <c r="D3540" t="str">
        <f t="shared" si="84"/>
        <v/>
      </c>
    </row>
    <row r="3541" spans="4:4" x14ac:dyDescent="0.3">
      <c r="D3541" t="str">
        <f t="shared" si="84"/>
        <v/>
      </c>
    </row>
    <row r="3542" spans="4:4" x14ac:dyDescent="0.3">
      <c r="D3542" t="str">
        <f t="shared" si="84"/>
        <v/>
      </c>
    </row>
    <row r="3543" spans="4:4" x14ac:dyDescent="0.3">
      <c r="D3543" t="str">
        <f t="shared" si="84"/>
        <v/>
      </c>
    </row>
    <row r="3544" spans="4:4" x14ac:dyDescent="0.3">
      <c r="D3544" t="str">
        <f t="shared" si="84"/>
        <v/>
      </c>
    </row>
    <row r="3545" spans="4:4" x14ac:dyDescent="0.3">
      <c r="D3545" t="str">
        <f t="shared" si="84"/>
        <v/>
      </c>
    </row>
    <row r="3546" spans="4:4" x14ac:dyDescent="0.3">
      <c r="D3546" t="str">
        <f t="shared" si="84"/>
        <v/>
      </c>
    </row>
    <row r="3547" spans="4:4" x14ac:dyDescent="0.3">
      <c r="D3547" t="str">
        <f t="shared" si="84"/>
        <v/>
      </c>
    </row>
    <row r="3548" spans="4:4" x14ac:dyDescent="0.3">
      <c r="D3548" t="str">
        <f t="shared" si="84"/>
        <v/>
      </c>
    </row>
    <row r="3549" spans="4:4" x14ac:dyDescent="0.3">
      <c r="D3549" t="str">
        <f t="shared" si="84"/>
        <v/>
      </c>
    </row>
    <row r="3550" spans="4:4" x14ac:dyDescent="0.3">
      <c r="D3550" t="str">
        <f t="shared" si="84"/>
        <v/>
      </c>
    </row>
    <row r="3551" spans="4:4" x14ac:dyDescent="0.3">
      <c r="D3551" t="str">
        <f t="shared" si="84"/>
        <v/>
      </c>
    </row>
    <row r="3552" spans="4:4" x14ac:dyDescent="0.3">
      <c r="D3552" t="str">
        <f t="shared" si="84"/>
        <v/>
      </c>
    </row>
    <row r="3553" spans="4:4" x14ac:dyDescent="0.3">
      <c r="D3553" t="str">
        <f t="shared" si="84"/>
        <v/>
      </c>
    </row>
    <row r="3554" spans="4:4" x14ac:dyDescent="0.3">
      <c r="D3554" t="str">
        <f t="shared" si="84"/>
        <v/>
      </c>
    </row>
    <row r="3555" spans="4:4" x14ac:dyDescent="0.3">
      <c r="D3555" t="str">
        <f t="shared" si="84"/>
        <v/>
      </c>
    </row>
    <row r="3556" spans="4:4" x14ac:dyDescent="0.3">
      <c r="D3556" t="str">
        <f t="shared" si="84"/>
        <v/>
      </c>
    </row>
    <row r="3557" spans="4:4" x14ac:dyDescent="0.3">
      <c r="D3557" t="str">
        <f t="shared" si="84"/>
        <v/>
      </c>
    </row>
    <row r="3558" spans="4:4" x14ac:dyDescent="0.3">
      <c r="D3558" t="str">
        <f t="shared" si="84"/>
        <v/>
      </c>
    </row>
    <row r="3559" spans="4:4" x14ac:dyDescent="0.3">
      <c r="D3559" t="str">
        <f t="shared" si="84"/>
        <v/>
      </c>
    </row>
    <row r="3560" spans="4:4" x14ac:dyDescent="0.3">
      <c r="D3560" t="str">
        <f t="shared" si="84"/>
        <v/>
      </c>
    </row>
    <row r="3561" spans="4:4" x14ac:dyDescent="0.3">
      <c r="D3561" t="str">
        <f t="shared" si="84"/>
        <v/>
      </c>
    </row>
    <row r="3562" spans="4:4" x14ac:dyDescent="0.3">
      <c r="D3562" t="str">
        <f t="shared" si="84"/>
        <v/>
      </c>
    </row>
    <row r="3563" spans="4:4" x14ac:dyDescent="0.3">
      <c r="D3563" t="str">
        <f t="shared" si="84"/>
        <v/>
      </c>
    </row>
    <row r="3564" spans="4:4" x14ac:dyDescent="0.3">
      <c r="D3564" t="str">
        <f t="shared" si="84"/>
        <v/>
      </c>
    </row>
    <row r="3565" spans="4:4" x14ac:dyDescent="0.3">
      <c r="D3565" t="str">
        <f t="shared" si="84"/>
        <v/>
      </c>
    </row>
    <row r="3566" spans="4:4" x14ac:dyDescent="0.3">
      <c r="D3566" t="str">
        <f t="shared" si="84"/>
        <v/>
      </c>
    </row>
    <row r="3567" spans="4:4" x14ac:dyDescent="0.3">
      <c r="D3567" t="str">
        <f t="shared" si="84"/>
        <v/>
      </c>
    </row>
    <row r="3568" spans="4:4" x14ac:dyDescent="0.3">
      <c r="D3568" t="str">
        <f t="shared" si="84"/>
        <v/>
      </c>
    </row>
    <row r="3569" spans="4:4" x14ac:dyDescent="0.3">
      <c r="D3569" t="str">
        <f t="shared" si="84"/>
        <v/>
      </c>
    </row>
    <row r="3570" spans="4:4" x14ac:dyDescent="0.3">
      <c r="D3570" t="str">
        <f t="shared" si="84"/>
        <v/>
      </c>
    </row>
    <row r="3571" spans="4:4" x14ac:dyDescent="0.3">
      <c r="D3571" t="str">
        <f t="shared" si="84"/>
        <v/>
      </c>
    </row>
    <row r="3572" spans="4:4" x14ac:dyDescent="0.3">
      <c r="D3572" t="str">
        <f t="shared" si="84"/>
        <v/>
      </c>
    </row>
    <row r="3573" spans="4:4" x14ac:dyDescent="0.3">
      <c r="D3573" t="str">
        <f t="shared" si="84"/>
        <v/>
      </c>
    </row>
    <row r="3574" spans="4:4" x14ac:dyDescent="0.3">
      <c r="D3574" t="str">
        <f t="shared" si="84"/>
        <v/>
      </c>
    </row>
    <row r="3575" spans="4:4" x14ac:dyDescent="0.3">
      <c r="D3575" t="str">
        <f t="shared" si="84"/>
        <v/>
      </c>
    </row>
    <row r="3576" spans="4:4" x14ac:dyDescent="0.3">
      <c r="D3576" t="str">
        <f t="shared" si="84"/>
        <v/>
      </c>
    </row>
    <row r="3577" spans="4:4" x14ac:dyDescent="0.3">
      <c r="D3577" t="str">
        <f t="shared" si="84"/>
        <v/>
      </c>
    </row>
    <row r="3578" spans="4:4" x14ac:dyDescent="0.3">
      <c r="D3578" t="str">
        <f t="shared" si="84"/>
        <v/>
      </c>
    </row>
    <row r="3579" spans="4:4" x14ac:dyDescent="0.3">
      <c r="D3579" t="str">
        <f t="shared" si="84"/>
        <v/>
      </c>
    </row>
    <row r="3580" spans="4:4" x14ac:dyDescent="0.3">
      <c r="D3580" t="str">
        <f t="shared" si="84"/>
        <v/>
      </c>
    </row>
    <row r="3581" spans="4:4" x14ac:dyDescent="0.3">
      <c r="D3581" t="str">
        <f t="shared" si="84"/>
        <v/>
      </c>
    </row>
    <row r="3582" spans="4:4" x14ac:dyDescent="0.3">
      <c r="D3582" t="str">
        <f t="shared" ref="D3582:D3645" si="85">IF(LEFT(A3582,2)="SP",MID(A3582,4,4),IF(LEFT(A3582,1)="X",MID(A3582,3,4),""))</f>
        <v/>
      </c>
    </row>
    <row r="3583" spans="4:4" x14ac:dyDescent="0.3">
      <c r="D3583" t="str">
        <f t="shared" si="85"/>
        <v/>
      </c>
    </row>
    <row r="3584" spans="4:4" x14ac:dyDescent="0.3">
      <c r="D3584" t="str">
        <f t="shared" si="85"/>
        <v/>
      </c>
    </row>
    <row r="3585" spans="4:4" x14ac:dyDescent="0.3">
      <c r="D3585" t="str">
        <f t="shared" si="85"/>
        <v/>
      </c>
    </row>
    <row r="3586" spans="4:4" x14ac:dyDescent="0.3">
      <c r="D3586" t="str">
        <f t="shared" si="85"/>
        <v/>
      </c>
    </row>
    <row r="3587" spans="4:4" x14ac:dyDescent="0.3">
      <c r="D3587" t="str">
        <f t="shared" si="85"/>
        <v/>
      </c>
    </row>
    <row r="3588" spans="4:4" x14ac:dyDescent="0.3">
      <c r="D3588" t="str">
        <f t="shared" si="85"/>
        <v/>
      </c>
    </row>
    <row r="3589" spans="4:4" x14ac:dyDescent="0.3">
      <c r="D3589" t="str">
        <f t="shared" si="85"/>
        <v/>
      </c>
    </row>
    <row r="3590" spans="4:4" x14ac:dyDescent="0.3">
      <c r="D3590" t="str">
        <f t="shared" si="85"/>
        <v/>
      </c>
    </row>
    <row r="3591" spans="4:4" x14ac:dyDescent="0.3">
      <c r="D3591" t="str">
        <f t="shared" si="85"/>
        <v/>
      </c>
    </row>
    <row r="3592" spans="4:4" x14ac:dyDescent="0.3">
      <c r="D3592" t="str">
        <f t="shared" si="85"/>
        <v/>
      </c>
    </row>
    <row r="3593" spans="4:4" x14ac:dyDescent="0.3">
      <c r="D3593" t="str">
        <f t="shared" si="85"/>
        <v/>
      </c>
    </row>
    <row r="3594" spans="4:4" x14ac:dyDescent="0.3">
      <c r="D3594" t="str">
        <f t="shared" si="85"/>
        <v/>
      </c>
    </row>
    <row r="3595" spans="4:4" x14ac:dyDescent="0.3">
      <c r="D3595" t="str">
        <f t="shared" si="85"/>
        <v/>
      </c>
    </row>
    <row r="3596" spans="4:4" x14ac:dyDescent="0.3">
      <c r="D3596" t="str">
        <f t="shared" si="85"/>
        <v/>
      </c>
    </row>
    <row r="3597" spans="4:4" x14ac:dyDescent="0.3">
      <c r="D3597" t="str">
        <f t="shared" si="85"/>
        <v/>
      </c>
    </row>
    <row r="3598" spans="4:4" x14ac:dyDescent="0.3">
      <c r="D3598" t="str">
        <f t="shared" si="85"/>
        <v/>
      </c>
    </row>
    <row r="3599" spans="4:4" x14ac:dyDescent="0.3">
      <c r="D3599" t="str">
        <f t="shared" si="85"/>
        <v/>
      </c>
    </row>
    <row r="3600" spans="4:4" x14ac:dyDescent="0.3">
      <c r="D3600" t="str">
        <f t="shared" si="85"/>
        <v/>
      </c>
    </row>
    <row r="3601" spans="4:4" x14ac:dyDescent="0.3">
      <c r="D3601" t="str">
        <f t="shared" si="85"/>
        <v/>
      </c>
    </row>
    <row r="3602" spans="4:4" x14ac:dyDescent="0.3">
      <c r="D3602" t="str">
        <f t="shared" si="85"/>
        <v/>
      </c>
    </row>
    <row r="3603" spans="4:4" x14ac:dyDescent="0.3">
      <c r="D3603" t="str">
        <f t="shared" si="85"/>
        <v/>
      </c>
    </row>
    <row r="3604" spans="4:4" x14ac:dyDescent="0.3">
      <c r="D3604" t="str">
        <f t="shared" si="85"/>
        <v/>
      </c>
    </row>
    <row r="3605" spans="4:4" x14ac:dyDescent="0.3">
      <c r="D3605" t="str">
        <f t="shared" si="85"/>
        <v/>
      </c>
    </row>
    <row r="3606" spans="4:4" x14ac:dyDescent="0.3">
      <c r="D3606" t="str">
        <f t="shared" si="85"/>
        <v/>
      </c>
    </row>
    <row r="3607" spans="4:4" x14ac:dyDescent="0.3">
      <c r="D3607" t="str">
        <f t="shared" si="85"/>
        <v/>
      </c>
    </row>
    <row r="3608" spans="4:4" x14ac:dyDescent="0.3">
      <c r="D3608" t="str">
        <f t="shared" si="85"/>
        <v/>
      </c>
    </row>
    <row r="3609" spans="4:4" x14ac:dyDescent="0.3">
      <c r="D3609" t="str">
        <f t="shared" si="85"/>
        <v/>
      </c>
    </row>
    <row r="3610" spans="4:4" x14ac:dyDescent="0.3">
      <c r="D3610" t="str">
        <f t="shared" si="85"/>
        <v/>
      </c>
    </row>
    <row r="3611" spans="4:4" x14ac:dyDescent="0.3">
      <c r="D3611" t="str">
        <f t="shared" si="85"/>
        <v/>
      </c>
    </row>
    <row r="3612" spans="4:4" x14ac:dyDescent="0.3">
      <c r="D3612" t="str">
        <f t="shared" si="85"/>
        <v/>
      </c>
    </row>
    <row r="3613" spans="4:4" x14ac:dyDescent="0.3">
      <c r="D3613" t="str">
        <f t="shared" si="85"/>
        <v/>
      </c>
    </row>
    <row r="3614" spans="4:4" x14ac:dyDescent="0.3">
      <c r="D3614" t="str">
        <f t="shared" si="85"/>
        <v/>
      </c>
    </row>
    <row r="3615" spans="4:4" x14ac:dyDescent="0.3">
      <c r="D3615" t="str">
        <f t="shared" si="85"/>
        <v/>
      </c>
    </row>
    <row r="3616" spans="4:4" x14ac:dyDescent="0.3">
      <c r="D3616" t="str">
        <f t="shared" si="85"/>
        <v/>
      </c>
    </row>
    <row r="3617" spans="4:4" x14ac:dyDescent="0.3">
      <c r="D3617" t="str">
        <f t="shared" si="85"/>
        <v/>
      </c>
    </row>
    <row r="3618" spans="4:4" x14ac:dyDescent="0.3">
      <c r="D3618" t="str">
        <f t="shared" si="85"/>
        <v/>
      </c>
    </row>
    <row r="3619" spans="4:4" x14ac:dyDescent="0.3">
      <c r="D3619" t="str">
        <f t="shared" si="85"/>
        <v/>
      </c>
    </row>
    <row r="3620" spans="4:4" x14ac:dyDescent="0.3">
      <c r="D3620" t="str">
        <f t="shared" si="85"/>
        <v/>
      </c>
    </row>
    <row r="3621" spans="4:4" x14ac:dyDescent="0.3">
      <c r="D3621" t="str">
        <f t="shared" si="85"/>
        <v/>
      </c>
    </row>
    <row r="3622" spans="4:4" x14ac:dyDescent="0.3">
      <c r="D3622" t="str">
        <f t="shared" si="85"/>
        <v/>
      </c>
    </row>
    <row r="3623" spans="4:4" x14ac:dyDescent="0.3">
      <c r="D3623" t="str">
        <f t="shared" si="85"/>
        <v/>
      </c>
    </row>
    <row r="3624" spans="4:4" x14ac:dyDescent="0.3">
      <c r="D3624" t="str">
        <f t="shared" si="85"/>
        <v/>
      </c>
    </row>
    <row r="3625" spans="4:4" x14ac:dyDescent="0.3">
      <c r="D3625" t="str">
        <f t="shared" si="85"/>
        <v/>
      </c>
    </row>
    <row r="3626" spans="4:4" x14ac:dyDescent="0.3">
      <c r="D3626" t="str">
        <f t="shared" si="85"/>
        <v/>
      </c>
    </row>
    <row r="3627" spans="4:4" x14ac:dyDescent="0.3">
      <c r="D3627" t="str">
        <f t="shared" si="85"/>
        <v/>
      </c>
    </row>
    <row r="3628" spans="4:4" x14ac:dyDescent="0.3">
      <c r="D3628" t="str">
        <f t="shared" si="85"/>
        <v/>
      </c>
    </row>
    <row r="3629" spans="4:4" x14ac:dyDescent="0.3">
      <c r="D3629" t="str">
        <f t="shared" si="85"/>
        <v/>
      </c>
    </row>
    <row r="3630" spans="4:4" x14ac:dyDescent="0.3">
      <c r="D3630" t="str">
        <f t="shared" si="85"/>
        <v/>
      </c>
    </row>
    <row r="3631" spans="4:4" x14ac:dyDescent="0.3">
      <c r="D3631" t="str">
        <f t="shared" si="85"/>
        <v/>
      </c>
    </row>
    <row r="3632" spans="4:4" x14ac:dyDescent="0.3">
      <c r="D3632" t="str">
        <f t="shared" si="85"/>
        <v/>
      </c>
    </row>
    <row r="3633" spans="4:4" x14ac:dyDescent="0.3">
      <c r="D3633" t="str">
        <f t="shared" si="85"/>
        <v/>
      </c>
    </row>
    <row r="3634" spans="4:4" x14ac:dyDescent="0.3">
      <c r="D3634" t="str">
        <f t="shared" si="85"/>
        <v/>
      </c>
    </row>
    <row r="3635" spans="4:4" x14ac:dyDescent="0.3">
      <c r="D3635" t="str">
        <f t="shared" si="85"/>
        <v/>
      </c>
    </row>
    <row r="3636" spans="4:4" x14ac:dyDescent="0.3">
      <c r="D3636" t="str">
        <f t="shared" si="85"/>
        <v/>
      </c>
    </row>
    <row r="3637" spans="4:4" x14ac:dyDescent="0.3">
      <c r="D3637" t="str">
        <f t="shared" si="85"/>
        <v/>
      </c>
    </row>
    <row r="3638" spans="4:4" x14ac:dyDescent="0.3">
      <c r="D3638" t="str">
        <f t="shared" si="85"/>
        <v/>
      </c>
    </row>
    <row r="3639" spans="4:4" x14ac:dyDescent="0.3">
      <c r="D3639" t="str">
        <f t="shared" si="85"/>
        <v/>
      </c>
    </row>
    <row r="3640" spans="4:4" x14ac:dyDescent="0.3">
      <c r="D3640" t="str">
        <f t="shared" si="85"/>
        <v/>
      </c>
    </row>
    <row r="3641" spans="4:4" x14ac:dyDescent="0.3">
      <c r="D3641" t="str">
        <f t="shared" si="85"/>
        <v/>
      </c>
    </row>
    <row r="3642" spans="4:4" x14ac:dyDescent="0.3">
      <c r="D3642" t="str">
        <f t="shared" si="85"/>
        <v/>
      </c>
    </row>
    <row r="3643" spans="4:4" x14ac:dyDescent="0.3">
      <c r="D3643" t="str">
        <f t="shared" si="85"/>
        <v/>
      </c>
    </row>
    <row r="3644" spans="4:4" x14ac:dyDescent="0.3">
      <c r="D3644" t="str">
        <f t="shared" si="85"/>
        <v/>
      </c>
    </row>
    <row r="3645" spans="4:4" x14ac:dyDescent="0.3">
      <c r="D3645" t="str">
        <f t="shared" si="85"/>
        <v/>
      </c>
    </row>
    <row r="3646" spans="4:4" x14ac:dyDescent="0.3">
      <c r="D3646" t="str">
        <f t="shared" ref="D3646:D3709" si="86">IF(LEFT(A3646,2)="SP",MID(A3646,4,4),IF(LEFT(A3646,1)="X",MID(A3646,3,4),""))</f>
        <v/>
      </c>
    </row>
    <row r="3647" spans="4:4" x14ac:dyDescent="0.3">
      <c r="D3647" t="str">
        <f t="shared" si="86"/>
        <v/>
      </c>
    </row>
    <row r="3648" spans="4:4" x14ac:dyDescent="0.3">
      <c r="D3648" t="str">
        <f t="shared" si="86"/>
        <v/>
      </c>
    </row>
    <row r="3649" spans="4:4" x14ac:dyDescent="0.3">
      <c r="D3649" t="str">
        <f t="shared" si="86"/>
        <v/>
      </c>
    </row>
    <row r="3650" spans="4:4" x14ac:dyDescent="0.3">
      <c r="D3650" t="str">
        <f t="shared" si="86"/>
        <v/>
      </c>
    </row>
    <row r="3651" spans="4:4" x14ac:dyDescent="0.3">
      <c r="D3651" t="str">
        <f t="shared" si="86"/>
        <v/>
      </c>
    </row>
    <row r="3652" spans="4:4" x14ac:dyDescent="0.3">
      <c r="D3652" t="str">
        <f t="shared" si="86"/>
        <v/>
      </c>
    </row>
    <row r="3653" spans="4:4" x14ac:dyDescent="0.3">
      <c r="D3653" t="str">
        <f t="shared" si="86"/>
        <v/>
      </c>
    </row>
    <row r="3654" spans="4:4" x14ac:dyDescent="0.3">
      <c r="D3654" t="str">
        <f t="shared" si="86"/>
        <v/>
      </c>
    </row>
    <row r="3655" spans="4:4" x14ac:dyDescent="0.3">
      <c r="D3655" t="str">
        <f t="shared" si="86"/>
        <v/>
      </c>
    </row>
    <row r="3656" spans="4:4" x14ac:dyDescent="0.3">
      <c r="D3656" t="str">
        <f t="shared" si="86"/>
        <v/>
      </c>
    </row>
    <row r="3657" spans="4:4" x14ac:dyDescent="0.3">
      <c r="D3657" t="str">
        <f t="shared" si="86"/>
        <v/>
      </c>
    </row>
    <row r="3658" spans="4:4" x14ac:dyDescent="0.3">
      <c r="D3658" t="str">
        <f t="shared" si="86"/>
        <v/>
      </c>
    </row>
    <row r="3659" spans="4:4" x14ac:dyDescent="0.3">
      <c r="D3659" t="str">
        <f t="shared" si="86"/>
        <v/>
      </c>
    </row>
    <row r="3660" spans="4:4" x14ac:dyDescent="0.3">
      <c r="D3660" t="str">
        <f t="shared" si="86"/>
        <v/>
      </c>
    </row>
    <row r="3661" spans="4:4" x14ac:dyDescent="0.3">
      <c r="D3661" t="str">
        <f t="shared" si="86"/>
        <v/>
      </c>
    </row>
    <row r="3662" spans="4:4" x14ac:dyDescent="0.3">
      <c r="D3662" t="str">
        <f t="shared" si="86"/>
        <v/>
      </c>
    </row>
    <row r="3663" spans="4:4" x14ac:dyDescent="0.3">
      <c r="D3663" t="str">
        <f t="shared" si="86"/>
        <v/>
      </c>
    </row>
    <row r="3664" spans="4:4" x14ac:dyDescent="0.3">
      <c r="D3664" t="str">
        <f t="shared" si="86"/>
        <v/>
      </c>
    </row>
    <row r="3665" spans="4:4" x14ac:dyDescent="0.3">
      <c r="D3665" t="str">
        <f t="shared" si="86"/>
        <v/>
      </c>
    </row>
    <row r="3666" spans="4:4" x14ac:dyDescent="0.3">
      <c r="D3666" t="str">
        <f t="shared" si="86"/>
        <v/>
      </c>
    </row>
    <row r="3667" spans="4:4" x14ac:dyDescent="0.3">
      <c r="D3667" t="str">
        <f t="shared" si="86"/>
        <v/>
      </c>
    </row>
    <row r="3668" spans="4:4" x14ac:dyDescent="0.3">
      <c r="D3668" t="str">
        <f t="shared" si="86"/>
        <v/>
      </c>
    </row>
    <row r="3669" spans="4:4" x14ac:dyDescent="0.3">
      <c r="D3669" t="str">
        <f t="shared" si="86"/>
        <v/>
      </c>
    </row>
    <row r="3670" spans="4:4" x14ac:dyDescent="0.3">
      <c r="D3670" t="str">
        <f t="shared" si="86"/>
        <v/>
      </c>
    </row>
    <row r="3671" spans="4:4" x14ac:dyDescent="0.3">
      <c r="D3671" t="str">
        <f t="shared" si="86"/>
        <v/>
      </c>
    </row>
    <row r="3672" spans="4:4" x14ac:dyDescent="0.3">
      <c r="D3672" t="str">
        <f t="shared" si="86"/>
        <v/>
      </c>
    </row>
    <row r="3673" spans="4:4" x14ac:dyDescent="0.3">
      <c r="D3673" t="str">
        <f t="shared" si="86"/>
        <v/>
      </c>
    </row>
    <row r="3674" spans="4:4" x14ac:dyDescent="0.3">
      <c r="D3674" t="str">
        <f t="shared" si="86"/>
        <v/>
      </c>
    </row>
    <row r="3675" spans="4:4" x14ac:dyDescent="0.3">
      <c r="D3675" t="str">
        <f t="shared" si="86"/>
        <v/>
      </c>
    </row>
    <row r="3676" spans="4:4" x14ac:dyDescent="0.3">
      <c r="D3676" t="str">
        <f t="shared" si="86"/>
        <v/>
      </c>
    </row>
    <row r="3677" spans="4:4" x14ac:dyDescent="0.3">
      <c r="D3677" t="str">
        <f t="shared" si="86"/>
        <v/>
      </c>
    </row>
    <row r="3678" spans="4:4" x14ac:dyDescent="0.3">
      <c r="D3678" t="str">
        <f t="shared" si="86"/>
        <v/>
      </c>
    </row>
    <row r="3679" spans="4:4" x14ac:dyDescent="0.3">
      <c r="D3679" t="str">
        <f t="shared" si="86"/>
        <v/>
      </c>
    </row>
    <row r="3680" spans="4:4" x14ac:dyDescent="0.3">
      <c r="D3680" t="str">
        <f t="shared" si="86"/>
        <v/>
      </c>
    </row>
    <row r="3681" spans="4:4" x14ac:dyDescent="0.3">
      <c r="D3681" t="str">
        <f t="shared" si="86"/>
        <v/>
      </c>
    </row>
    <row r="3682" spans="4:4" x14ac:dyDescent="0.3">
      <c r="D3682" t="str">
        <f t="shared" si="86"/>
        <v/>
      </c>
    </row>
    <row r="3683" spans="4:4" x14ac:dyDescent="0.3">
      <c r="D3683" t="str">
        <f t="shared" si="86"/>
        <v/>
      </c>
    </row>
    <row r="3684" spans="4:4" x14ac:dyDescent="0.3">
      <c r="D3684" t="str">
        <f t="shared" si="86"/>
        <v/>
      </c>
    </row>
    <row r="3685" spans="4:4" x14ac:dyDescent="0.3">
      <c r="D3685" t="str">
        <f t="shared" si="86"/>
        <v/>
      </c>
    </row>
    <row r="3686" spans="4:4" x14ac:dyDescent="0.3">
      <c r="D3686" t="str">
        <f t="shared" si="86"/>
        <v/>
      </c>
    </row>
    <row r="3687" spans="4:4" x14ac:dyDescent="0.3">
      <c r="D3687" t="str">
        <f t="shared" si="86"/>
        <v/>
      </c>
    </row>
    <row r="3688" spans="4:4" x14ac:dyDescent="0.3">
      <c r="D3688" t="str">
        <f t="shared" si="86"/>
        <v/>
      </c>
    </row>
    <row r="3689" spans="4:4" x14ac:dyDescent="0.3">
      <c r="D3689" t="str">
        <f t="shared" si="86"/>
        <v/>
      </c>
    </row>
    <row r="3690" spans="4:4" x14ac:dyDescent="0.3">
      <c r="D3690" t="str">
        <f t="shared" si="86"/>
        <v/>
      </c>
    </row>
    <row r="3691" spans="4:4" x14ac:dyDescent="0.3">
      <c r="D3691" t="str">
        <f t="shared" si="86"/>
        <v/>
      </c>
    </row>
    <row r="3692" spans="4:4" x14ac:dyDescent="0.3">
      <c r="D3692" t="str">
        <f t="shared" si="86"/>
        <v/>
      </c>
    </row>
    <row r="3693" spans="4:4" x14ac:dyDescent="0.3">
      <c r="D3693" t="str">
        <f t="shared" si="86"/>
        <v/>
      </c>
    </row>
    <row r="3694" spans="4:4" x14ac:dyDescent="0.3">
      <c r="D3694" t="str">
        <f t="shared" si="86"/>
        <v/>
      </c>
    </row>
    <row r="3695" spans="4:4" x14ac:dyDescent="0.3">
      <c r="D3695" t="str">
        <f t="shared" si="86"/>
        <v/>
      </c>
    </row>
    <row r="3696" spans="4:4" x14ac:dyDescent="0.3">
      <c r="D3696" t="str">
        <f t="shared" si="86"/>
        <v/>
      </c>
    </row>
    <row r="3697" spans="4:4" x14ac:dyDescent="0.3">
      <c r="D3697" t="str">
        <f t="shared" si="86"/>
        <v/>
      </c>
    </row>
    <row r="3698" spans="4:4" x14ac:dyDescent="0.3">
      <c r="D3698" t="str">
        <f t="shared" si="86"/>
        <v/>
      </c>
    </row>
    <row r="3699" spans="4:4" x14ac:dyDescent="0.3">
      <c r="D3699" t="str">
        <f t="shared" si="86"/>
        <v/>
      </c>
    </row>
    <row r="3700" spans="4:4" x14ac:dyDescent="0.3">
      <c r="D3700" t="str">
        <f t="shared" si="86"/>
        <v/>
      </c>
    </row>
    <row r="3701" spans="4:4" x14ac:dyDescent="0.3">
      <c r="D3701" t="str">
        <f t="shared" si="86"/>
        <v/>
      </c>
    </row>
    <row r="3702" spans="4:4" x14ac:dyDescent="0.3">
      <c r="D3702" t="str">
        <f t="shared" si="86"/>
        <v/>
      </c>
    </row>
    <row r="3703" spans="4:4" x14ac:dyDescent="0.3">
      <c r="D3703" t="str">
        <f t="shared" si="86"/>
        <v/>
      </c>
    </row>
    <row r="3704" spans="4:4" x14ac:dyDescent="0.3">
      <c r="D3704" t="str">
        <f t="shared" si="86"/>
        <v/>
      </c>
    </row>
    <row r="3705" spans="4:4" x14ac:dyDescent="0.3">
      <c r="D3705" t="str">
        <f t="shared" si="86"/>
        <v/>
      </c>
    </row>
    <row r="3706" spans="4:4" x14ac:dyDescent="0.3">
      <c r="D3706" t="str">
        <f t="shared" si="86"/>
        <v/>
      </c>
    </row>
    <row r="3707" spans="4:4" x14ac:dyDescent="0.3">
      <c r="D3707" t="str">
        <f t="shared" si="86"/>
        <v/>
      </c>
    </row>
    <row r="3708" spans="4:4" x14ac:dyDescent="0.3">
      <c r="D3708" t="str">
        <f t="shared" si="86"/>
        <v/>
      </c>
    </row>
    <row r="3709" spans="4:4" x14ac:dyDescent="0.3">
      <c r="D3709" t="str">
        <f t="shared" si="86"/>
        <v/>
      </c>
    </row>
    <row r="3710" spans="4:4" x14ac:dyDescent="0.3">
      <c r="D3710" t="str">
        <f t="shared" ref="D3710:D3773" si="87">IF(LEFT(A3710,2)="SP",MID(A3710,4,4),IF(LEFT(A3710,1)="X",MID(A3710,3,4),""))</f>
        <v/>
      </c>
    </row>
    <row r="3711" spans="4:4" x14ac:dyDescent="0.3">
      <c r="D3711" t="str">
        <f t="shared" si="87"/>
        <v/>
      </c>
    </row>
    <row r="3712" spans="4:4" x14ac:dyDescent="0.3">
      <c r="D3712" t="str">
        <f t="shared" si="87"/>
        <v/>
      </c>
    </row>
    <row r="3713" spans="4:4" x14ac:dyDescent="0.3">
      <c r="D3713" t="str">
        <f t="shared" si="87"/>
        <v/>
      </c>
    </row>
    <row r="3714" spans="4:4" x14ac:dyDescent="0.3">
      <c r="D3714" t="str">
        <f t="shared" si="87"/>
        <v/>
      </c>
    </row>
    <row r="3715" spans="4:4" x14ac:dyDescent="0.3">
      <c r="D3715" t="str">
        <f t="shared" si="87"/>
        <v/>
      </c>
    </row>
    <row r="3716" spans="4:4" x14ac:dyDescent="0.3">
      <c r="D3716" t="str">
        <f t="shared" si="87"/>
        <v/>
      </c>
    </row>
    <row r="3717" spans="4:4" x14ac:dyDescent="0.3">
      <c r="D3717" t="str">
        <f t="shared" si="87"/>
        <v/>
      </c>
    </row>
    <row r="3718" spans="4:4" x14ac:dyDescent="0.3">
      <c r="D3718" t="str">
        <f t="shared" si="87"/>
        <v/>
      </c>
    </row>
    <row r="3719" spans="4:4" x14ac:dyDescent="0.3">
      <c r="D3719" t="str">
        <f t="shared" si="87"/>
        <v/>
      </c>
    </row>
    <row r="3720" spans="4:4" x14ac:dyDescent="0.3">
      <c r="D3720" t="str">
        <f t="shared" si="87"/>
        <v/>
      </c>
    </row>
    <row r="3721" spans="4:4" x14ac:dyDescent="0.3">
      <c r="D3721" t="str">
        <f t="shared" si="87"/>
        <v/>
      </c>
    </row>
    <row r="3722" spans="4:4" x14ac:dyDescent="0.3">
      <c r="D3722" t="str">
        <f t="shared" si="87"/>
        <v/>
      </c>
    </row>
    <row r="3723" spans="4:4" x14ac:dyDescent="0.3">
      <c r="D3723" t="str">
        <f t="shared" si="87"/>
        <v/>
      </c>
    </row>
    <row r="3724" spans="4:4" x14ac:dyDescent="0.3">
      <c r="D3724" t="str">
        <f t="shared" si="87"/>
        <v/>
      </c>
    </row>
    <row r="3725" spans="4:4" x14ac:dyDescent="0.3">
      <c r="D3725" t="str">
        <f t="shared" si="87"/>
        <v/>
      </c>
    </row>
    <row r="3726" spans="4:4" x14ac:dyDescent="0.3">
      <c r="D3726" t="str">
        <f t="shared" si="87"/>
        <v/>
      </c>
    </row>
    <row r="3727" spans="4:4" x14ac:dyDescent="0.3">
      <c r="D3727" t="str">
        <f t="shared" si="87"/>
        <v/>
      </c>
    </row>
    <row r="3728" spans="4:4" x14ac:dyDescent="0.3">
      <c r="D3728" t="str">
        <f t="shared" si="87"/>
        <v/>
      </c>
    </row>
    <row r="3729" spans="4:4" x14ac:dyDescent="0.3">
      <c r="D3729" t="str">
        <f t="shared" si="87"/>
        <v/>
      </c>
    </row>
    <row r="3730" spans="4:4" x14ac:dyDescent="0.3">
      <c r="D3730" t="str">
        <f t="shared" si="87"/>
        <v/>
      </c>
    </row>
    <row r="3731" spans="4:4" x14ac:dyDescent="0.3">
      <c r="D3731" t="str">
        <f t="shared" si="87"/>
        <v/>
      </c>
    </row>
    <row r="3732" spans="4:4" x14ac:dyDescent="0.3">
      <c r="D3732" t="str">
        <f t="shared" si="87"/>
        <v/>
      </c>
    </row>
    <row r="3733" spans="4:4" x14ac:dyDescent="0.3">
      <c r="D3733" t="str">
        <f t="shared" si="87"/>
        <v/>
      </c>
    </row>
    <row r="3734" spans="4:4" x14ac:dyDescent="0.3">
      <c r="D3734" t="str">
        <f t="shared" si="87"/>
        <v/>
      </c>
    </row>
    <row r="3735" spans="4:4" x14ac:dyDescent="0.3">
      <c r="D3735" t="str">
        <f t="shared" si="87"/>
        <v/>
      </c>
    </row>
    <row r="3736" spans="4:4" x14ac:dyDescent="0.3">
      <c r="D3736" t="str">
        <f t="shared" si="87"/>
        <v/>
      </c>
    </row>
    <row r="3737" spans="4:4" x14ac:dyDescent="0.3">
      <c r="D3737" t="str">
        <f t="shared" si="87"/>
        <v/>
      </c>
    </row>
    <row r="3738" spans="4:4" x14ac:dyDescent="0.3">
      <c r="D3738" t="str">
        <f t="shared" si="87"/>
        <v/>
      </c>
    </row>
    <row r="3739" spans="4:4" x14ac:dyDescent="0.3">
      <c r="D3739" t="str">
        <f t="shared" si="87"/>
        <v/>
      </c>
    </row>
    <row r="3740" spans="4:4" x14ac:dyDescent="0.3">
      <c r="D3740" t="str">
        <f t="shared" si="87"/>
        <v/>
      </c>
    </row>
    <row r="3741" spans="4:4" x14ac:dyDescent="0.3">
      <c r="D3741" t="str">
        <f t="shared" si="87"/>
        <v/>
      </c>
    </row>
    <row r="3742" spans="4:4" x14ac:dyDescent="0.3">
      <c r="D3742" t="str">
        <f t="shared" si="87"/>
        <v/>
      </c>
    </row>
    <row r="3743" spans="4:4" x14ac:dyDescent="0.3">
      <c r="D3743" t="str">
        <f t="shared" si="87"/>
        <v/>
      </c>
    </row>
    <row r="3744" spans="4:4" x14ac:dyDescent="0.3">
      <c r="D3744" t="str">
        <f t="shared" si="87"/>
        <v/>
      </c>
    </row>
    <row r="3745" spans="4:4" x14ac:dyDescent="0.3">
      <c r="D3745" t="str">
        <f t="shared" si="87"/>
        <v/>
      </c>
    </row>
    <row r="3746" spans="4:4" x14ac:dyDescent="0.3">
      <c r="D3746" t="str">
        <f t="shared" si="87"/>
        <v/>
      </c>
    </row>
    <row r="3747" spans="4:4" x14ac:dyDescent="0.3">
      <c r="D3747" t="str">
        <f t="shared" si="87"/>
        <v/>
      </c>
    </row>
    <row r="3748" spans="4:4" x14ac:dyDescent="0.3">
      <c r="D3748" t="str">
        <f t="shared" si="87"/>
        <v/>
      </c>
    </row>
    <row r="3749" spans="4:4" x14ac:dyDescent="0.3">
      <c r="D3749" t="str">
        <f t="shared" si="87"/>
        <v/>
      </c>
    </row>
    <row r="3750" spans="4:4" x14ac:dyDescent="0.3">
      <c r="D3750" t="str">
        <f t="shared" si="87"/>
        <v/>
      </c>
    </row>
    <row r="3751" spans="4:4" x14ac:dyDescent="0.3">
      <c r="D3751" t="str">
        <f t="shared" si="87"/>
        <v/>
      </c>
    </row>
    <row r="3752" spans="4:4" x14ac:dyDescent="0.3">
      <c r="D3752" t="str">
        <f t="shared" si="87"/>
        <v/>
      </c>
    </row>
    <row r="3753" spans="4:4" x14ac:dyDescent="0.3">
      <c r="D3753" t="str">
        <f t="shared" si="87"/>
        <v/>
      </c>
    </row>
    <row r="3754" spans="4:4" x14ac:dyDescent="0.3">
      <c r="D3754" t="str">
        <f t="shared" si="87"/>
        <v/>
      </c>
    </row>
    <row r="3755" spans="4:4" x14ac:dyDescent="0.3">
      <c r="D3755" t="str">
        <f t="shared" si="87"/>
        <v/>
      </c>
    </row>
    <row r="3756" spans="4:4" x14ac:dyDescent="0.3">
      <c r="D3756" t="str">
        <f t="shared" si="87"/>
        <v/>
      </c>
    </row>
    <row r="3757" spans="4:4" x14ac:dyDescent="0.3">
      <c r="D3757" t="str">
        <f t="shared" si="87"/>
        <v/>
      </c>
    </row>
    <row r="3758" spans="4:4" x14ac:dyDescent="0.3">
      <c r="D3758" t="str">
        <f t="shared" si="87"/>
        <v/>
      </c>
    </row>
    <row r="3759" spans="4:4" x14ac:dyDescent="0.3">
      <c r="D3759" t="str">
        <f t="shared" si="87"/>
        <v/>
      </c>
    </row>
    <row r="3760" spans="4:4" x14ac:dyDescent="0.3">
      <c r="D3760" t="str">
        <f t="shared" si="87"/>
        <v/>
      </c>
    </row>
    <row r="3761" spans="4:4" x14ac:dyDescent="0.3">
      <c r="D3761" t="str">
        <f t="shared" si="87"/>
        <v/>
      </c>
    </row>
    <row r="3762" spans="4:4" x14ac:dyDescent="0.3">
      <c r="D3762" t="str">
        <f t="shared" si="87"/>
        <v/>
      </c>
    </row>
    <row r="3763" spans="4:4" x14ac:dyDescent="0.3">
      <c r="D3763" t="str">
        <f t="shared" si="87"/>
        <v/>
      </c>
    </row>
    <row r="3764" spans="4:4" x14ac:dyDescent="0.3">
      <c r="D3764" t="str">
        <f t="shared" si="87"/>
        <v/>
      </c>
    </row>
    <row r="3765" spans="4:4" x14ac:dyDescent="0.3">
      <c r="D3765" t="str">
        <f t="shared" si="87"/>
        <v/>
      </c>
    </row>
    <row r="3766" spans="4:4" x14ac:dyDescent="0.3">
      <c r="D3766" t="str">
        <f t="shared" si="87"/>
        <v/>
      </c>
    </row>
    <row r="3767" spans="4:4" x14ac:dyDescent="0.3">
      <c r="D3767" t="str">
        <f t="shared" si="87"/>
        <v/>
      </c>
    </row>
    <row r="3768" spans="4:4" x14ac:dyDescent="0.3">
      <c r="D3768" t="str">
        <f t="shared" si="87"/>
        <v/>
      </c>
    </row>
    <row r="3769" spans="4:4" x14ac:dyDescent="0.3">
      <c r="D3769" t="str">
        <f t="shared" si="87"/>
        <v/>
      </c>
    </row>
    <row r="3770" spans="4:4" x14ac:dyDescent="0.3">
      <c r="D3770" t="str">
        <f t="shared" si="87"/>
        <v/>
      </c>
    </row>
    <row r="3771" spans="4:4" x14ac:dyDescent="0.3">
      <c r="D3771" t="str">
        <f t="shared" si="87"/>
        <v/>
      </c>
    </row>
    <row r="3772" spans="4:4" x14ac:dyDescent="0.3">
      <c r="D3772" t="str">
        <f t="shared" si="87"/>
        <v/>
      </c>
    </row>
    <row r="3773" spans="4:4" x14ac:dyDescent="0.3">
      <c r="D3773" t="str">
        <f t="shared" si="87"/>
        <v/>
      </c>
    </row>
    <row r="3774" spans="4:4" x14ac:dyDescent="0.3">
      <c r="D3774" t="str">
        <f t="shared" ref="D3774:D3837" si="88">IF(LEFT(A3774,2)="SP",MID(A3774,4,4),IF(LEFT(A3774,1)="X",MID(A3774,3,4),""))</f>
        <v/>
      </c>
    </row>
    <row r="3775" spans="4:4" x14ac:dyDescent="0.3">
      <c r="D3775" t="str">
        <f t="shared" si="88"/>
        <v/>
      </c>
    </row>
    <row r="3776" spans="4:4" x14ac:dyDescent="0.3">
      <c r="D3776" t="str">
        <f t="shared" si="88"/>
        <v/>
      </c>
    </row>
    <row r="3777" spans="4:4" x14ac:dyDescent="0.3">
      <c r="D3777" t="str">
        <f t="shared" si="88"/>
        <v/>
      </c>
    </row>
    <row r="3778" spans="4:4" x14ac:dyDescent="0.3">
      <c r="D3778" t="str">
        <f t="shared" si="88"/>
        <v/>
      </c>
    </row>
    <row r="3779" spans="4:4" x14ac:dyDescent="0.3">
      <c r="D3779" t="str">
        <f t="shared" si="88"/>
        <v/>
      </c>
    </row>
    <row r="3780" spans="4:4" x14ac:dyDescent="0.3">
      <c r="D3780" t="str">
        <f t="shared" si="88"/>
        <v/>
      </c>
    </row>
    <row r="3781" spans="4:4" x14ac:dyDescent="0.3">
      <c r="D3781" t="str">
        <f t="shared" si="88"/>
        <v/>
      </c>
    </row>
    <row r="3782" spans="4:4" x14ac:dyDescent="0.3">
      <c r="D3782" t="str">
        <f t="shared" si="88"/>
        <v/>
      </c>
    </row>
    <row r="3783" spans="4:4" x14ac:dyDescent="0.3">
      <c r="D3783" t="str">
        <f t="shared" si="88"/>
        <v/>
      </c>
    </row>
    <row r="3784" spans="4:4" x14ac:dyDescent="0.3">
      <c r="D3784" t="str">
        <f t="shared" si="88"/>
        <v/>
      </c>
    </row>
    <row r="3785" spans="4:4" x14ac:dyDescent="0.3">
      <c r="D3785" t="str">
        <f t="shared" si="88"/>
        <v/>
      </c>
    </row>
    <row r="3786" spans="4:4" x14ac:dyDescent="0.3">
      <c r="D3786" t="str">
        <f t="shared" si="88"/>
        <v/>
      </c>
    </row>
    <row r="3787" spans="4:4" x14ac:dyDescent="0.3">
      <c r="D3787" t="str">
        <f t="shared" si="88"/>
        <v/>
      </c>
    </row>
    <row r="3788" spans="4:4" x14ac:dyDescent="0.3">
      <c r="D3788" t="str">
        <f t="shared" si="88"/>
        <v/>
      </c>
    </row>
    <row r="3789" spans="4:4" x14ac:dyDescent="0.3">
      <c r="D3789" t="str">
        <f t="shared" si="88"/>
        <v/>
      </c>
    </row>
    <row r="3790" spans="4:4" x14ac:dyDescent="0.3">
      <c r="D3790" t="str">
        <f t="shared" si="88"/>
        <v/>
      </c>
    </row>
    <row r="3791" spans="4:4" x14ac:dyDescent="0.3">
      <c r="D3791" t="str">
        <f t="shared" si="88"/>
        <v/>
      </c>
    </row>
    <row r="3792" spans="4:4" x14ac:dyDescent="0.3">
      <c r="D3792" t="str">
        <f t="shared" si="88"/>
        <v/>
      </c>
    </row>
    <row r="3793" spans="4:4" x14ac:dyDescent="0.3">
      <c r="D3793" t="str">
        <f t="shared" si="88"/>
        <v/>
      </c>
    </row>
    <row r="3794" spans="4:4" x14ac:dyDescent="0.3">
      <c r="D3794" t="str">
        <f t="shared" si="88"/>
        <v/>
      </c>
    </row>
    <row r="3795" spans="4:4" x14ac:dyDescent="0.3">
      <c r="D3795" t="str">
        <f t="shared" si="88"/>
        <v/>
      </c>
    </row>
    <row r="3796" spans="4:4" x14ac:dyDescent="0.3">
      <c r="D3796" t="str">
        <f t="shared" si="88"/>
        <v/>
      </c>
    </row>
    <row r="3797" spans="4:4" x14ac:dyDescent="0.3">
      <c r="D3797" t="str">
        <f t="shared" si="88"/>
        <v/>
      </c>
    </row>
    <row r="3798" spans="4:4" x14ac:dyDescent="0.3">
      <c r="D3798" t="str">
        <f t="shared" si="88"/>
        <v/>
      </c>
    </row>
    <row r="3799" spans="4:4" x14ac:dyDescent="0.3">
      <c r="D3799" t="str">
        <f t="shared" si="88"/>
        <v/>
      </c>
    </row>
    <row r="3800" spans="4:4" x14ac:dyDescent="0.3">
      <c r="D3800" t="str">
        <f t="shared" si="88"/>
        <v/>
      </c>
    </row>
    <row r="3801" spans="4:4" x14ac:dyDescent="0.3">
      <c r="D3801" t="str">
        <f t="shared" si="88"/>
        <v/>
      </c>
    </row>
    <row r="3802" spans="4:4" x14ac:dyDescent="0.3">
      <c r="D3802" t="str">
        <f t="shared" si="88"/>
        <v/>
      </c>
    </row>
    <row r="3803" spans="4:4" x14ac:dyDescent="0.3">
      <c r="D3803" t="str">
        <f t="shared" si="88"/>
        <v/>
      </c>
    </row>
    <row r="3804" spans="4:4" x14ac:dyDescent="0.3">
      <c r="D3804" t="str">
        <f t="shared" si="88"/>
        <v/>
      </c>
    </row>
    <row r="3805" spans="4:4" x14ac:dyDescent="0.3">
      <c r="D3805" t="str">
        <f t="shared" si="88"/>
        <v/>
      </c>
    </row>
    <row r="3806" spans="4:4" x14ac:dyDescent="0.3">
      <c r="D3806" t="str">
        <f t="shared" si="88"/>
        <v/>
      </c>
    </row>
    <row r="3807" spans="4:4" x14ac:dyDescent="0.3">
      <c r="D3807" t="str">
        <f t="shared" si="88"/>
        <v/>
      </c>
    </row>
    <row r="3808" spans="4:4" x14ac:dyDescent="0.3">
      <c r="D3808" t="str">
        <f t="shared" si="88"/>
        <v/>
      </c>
    </row>
    <row r="3809" spans="4:4" x14ac:dyDescent="0.3">
      <c r="D3809" t="str">
        <f t="shared" si="88"/>
        <v/>
      </c>
    </row>
    <row r="3810" spans="4:4" x14ac:dyDescent="0.3">
      <c r="D3810" t="str">
        <f t="shared" si="88"/>
        <v/>
      </c>
    </row>
    <row r="3811" spans="4:4" x14ac:dyDescent="0.3">
      <c r="D3811" t="str">
        <f t="shared" si="88"/>
        <v/>
      </c>
    </row>
    <row r="3812" spans="4:4" x14ac:dyDescent="0.3">
      <c r="D3812" t="str">
        <f t="shared" si="88"/>
        <v/>
      </c>
    </row>
    <row r="3813" spans="4:4" x14ac:dyDescent="0.3">
      <c r="D3813" t="str">
        <f t="shared" si="88"/>
        <v/>
      </c>
    </row>
    <row r="3814" spans="4:4" x14ac:dyDescent="0.3">
      <c r="D3814" t="str">
        <f t="shared" si="88"/>
        <v/>
      </c>
    </row>
    <row r="3815" spans="4:4" x14ac:dyDescent="0.3">
      <c r="D3815" t="str">
        <f t="shared" si="88"/>
        <v/>
      </c>
    </row>
    <row r="3816" spans="4:4" x14ac:dyDescent="0.3">
      <c r="D3816" t="str">
        <f t="shared" si="88"/>
        <v/>
      </c>
    </row>
    <row r="3817" spans="4:4" x14ac:dyDescent="0.3">
      <c r="D3817" t="str">
        <f t="shared" si="88"/>
        <v/>
      </c>
    </row>
    <row r="3818" spans="4:4" x14ac:dyDescent="0.3">
      <c r="D3818" t="str">
        <f t="shared" si="88"/>
        <v/>
      </c>
    </row>
    <row r="3819" spans="4:4" x14ac:dyDescent="0.3">
      <c r="D3819" t="str">
        <f t="shared" si="88"/>
        <v/>
      </c>
    </row>
    <row r="3820" spans="4:4" x14ac:dyDescent="0.3">
      <c r="D3820" t="str">
        <f t="shared" si="88"/>
        <v/>
      </c>
    </row>
    <row r="3821" spans="4:4" x14ac:dyDescent="0.3">
      <c r="D3821" t="str">
        <f t="shared" si="88"/>
        <v/>
      </c>
    </row>
    <row r="3822" spans="4:4" x14ac:dyDescent="0.3">
      <c r="D3822" t="str">
        <f t="shared" si="88"/>
        <v/>
      </c>
    </row>
    <row r="3823" spans="4:4" x14ac:dyDescent="0.3">
      <c r="D3823" t="str">
        <f t="shared" si="88"/>
        <v/>
      </c>
    </row>
    <row r="3824" spans="4:4" x14ac:dyDescent="0.3">
      <c r="D3824" t="str">
        <f t="shared" si="88"/>
        <v/>
      </c>
    </row>
    <row r="3825" spans="4:4" x14ac:dyDescent="0.3">
      <c r="D3825" t="str">
        <f t="shared" si="88"/>
        <v/>
      </c>
    </row>
    <row r="3826" spans="4:4" x14ac:dyDescent="0.3">
      <c r="D3826" t="str">
        <f t="shared" si="88"/>
        <v/>
      </c>
    </row>
    <row r="3827" spans="4:4" x14ac:dyDescent="0.3">
      <c r="D3827" t="str">
        <f t="shared" si="88"/>
        <v/>
      </c>
    </row>
    <row r="3828" spans="4:4" x14ac:dyDescent="0.3">
      <c r="D3828" t="str">
        <f t="shared" si="88"/>
        <v/>
      </c>
    </row>
    <row r="3829" spans="4:4" x14ac:dyDescent="0.3">
      <c r="D3829" t="str">
        <f t="shared" si="88"/>
        <v/>
      </c>
    </row>
    <row r="3830" spans="4:4" x14ac:dyDescent="0.3">
      <c r="D3830" t="str">
        <f t="shared" si="88"/>
        <v/>
      </c>
    </row>
    <row r="3831" spans="4:4" x14ac:dyDescent="0.3">
      <c r="D3831" t="str">
        <f t="shared" si="88"/>
        <v/>
      </c>
    </row>
    <row r="3832" spans="4:4" x14ac:dyDescent="0.3">
      <c r="D3832" t="str">
        <f t="shared" si="88"/>
        <v/>
      </c>
    </row>
    <row r="3833" spans="4:4" x14ac:dyDescent="0.3">
      <c r="D3833" t="str">
        <f t="shared" si="88"/>
        <v/>
      </c>
    </row>
    <row r="3834" spans="4:4" x14ac:dyDescent="0.3">
      <c r="D3834" t="str">
        <f t="shared" si="88"/>
        <v/>
      </c>
    </row>
    <row r="3835" spans="4:4" x14ac:dyDescent="0.3">
      <c r="D3835" t="str">
        <f t="shared" si="88"/>
        <v/>
      </c>
    </row>
    <row r="3836" spans="4:4" x14ac:dyDescent="0.3">
      <c r="D3836" t="str">
        <f t="shared" si="88"/>
        <v/>
      </c>
    </row>
    <row r="3837" spans="4:4" x14ac:dyDescent="0.3">
      <c r="D3837" t="str">
        <f t="shared" si="88"/>
        <v/>
      </c>
    </row>
    <row r="3838" spans="4:4" x14ac:dyDescent="0.3">
      <c r="D3838" t="str">
        <f t="shared" ref="D3838:D3901" si="89">IF(LEFT(A3838,2)="SP",MID(A3838,4,4),IF(LEFT(A3838,1)="X",MID(A3838,3,4),""))</f>
        <v/>
      </c>
    </row>
    <row r="3839" spans="4:4" x14ac:dyDescent="0.3">
      <c r="D3839" t="str">
        <f t="shared" si="89"/>
        <v/>
      </c>
    </row>
    <row r="3840" spans="4:4" x14ac:dyDescent="0.3">
      <c r="D3840" t="str">
        <f t="shared" si="89"/>
        <v/>
      </c>
    </row>
    <row r="3841" spans="4:4" x14ac:dyDescent="0.3">
      <c r="D3841" t="str">
        <f t="shared" si="89"/>
        <v/>
      </c>
    </row>
    <row r="3842" spans="4:4" x14ac:dyDescent="0.3">
      <c r="D3842" t="str">
        <f t="shared" si="89"/>
        <v/>
      </c>
    </row>
    <row r="3843" spans="4:4" x14ac:dyDescent="0.3">
      <c r="D3843" t="str">
        <f t="shared" si="89"/>
        <v/>
      </c>
    </row>
    <row r="3844" spans="4:4" x14ac:dyDescent="0.3">
      <c r="D3844" t="str">
        <f t="shared" si="89"/>
        <v/>
      </c>
    </row>
    <row r="3845" spans="4:4" x14ac:dyDescent="0.3">
      <c r="D3845" t="str">
        <f t="shared" si="89"/>
        <v/>
      </c>
    </row>
    <row r="3846" spans="4:4" x14ac:dyDescent="0.3">
      <c r="D3846" t="str">
        <f t="shared" si="89"/>
        <v/>
      </c>
    </row>
    <row r="3847" spans="4:4" x14ac:dyDescent="0.3">
      <c r="D3847" t="str">
        <f t="shared" si="89"/>
        <v/>
      </c>
    </row>
    <row r="3848" spans="4:4" x14ac:dyDescent="0.3">
      <c r="D3848" t="str">
        <f t="shared" si="89"/>
        <v/>
      </c>
    </row>
    <row r="3849" spans="4:4" x14ac:dyDescent="0.3">
      <c r="D3849" t="str">
        <f t="shared" si="89"/>
        <v/>
      </c>
    </row>
    <row r="3850" spans="4:4" x14ac:dyDescent="0.3">
      <c r="D3850" t="str">
        <f t="shared" si="89"/>
        <v/>
      </c>
    </row>
    <row r="3851" spans="4:4" x14ac:dyDescent="0.3">
      <c r="D3851" t="str">
        <f t="shared" si="89"/>
        <v/>
      </c>
    </row>
    <row r="3852" spans="4:4" x14ac:dyDescent="0.3">
      <c r="D3852" t="str">
        <f t="shared" si="89"/>
        <v/>
      </c>
    </row>
    <row r="3853" spans="4:4" x14ac:dyDescent="0.3">
      <c r="D3853" t="str">
        <f t="shared" si="89"/>
        <v/>
      </c>
    </row>
    <row r="3854" spans="4:4" x14ac:dyDescent="0.3">
      <c r="D3854" t="str">
        <f t="shared" si="89"/>
        <v/>
      </c>
    </row>
    <row r="3855" spans="4:4" x14ac:dyDescent="0.3">
      <c r="D3855" t="str">
        <f t="shared" si="89"/>
        <v/>
      </c>
    </row>
    <row r="3856" spans="4:4" x14ac:dyDescent="0.3">
      <c r="D3856" t="str">
        <f t="shared" si="89"/>
        <v/>
      </c>
    </row>
    <row r="3857" spans="4:4" x14ac:dyDescent="0.3">
      <c r="D3857" t="str">
        <f t="shared" si="89"/>
        <v/>
      </c>
    </row>
    <row r="3858" spans="4:4" x14ac:dyDescent="0.3">
      <c r="D3858" t="str">
        <f t="shared" si="89"/>
        <v/>
      </c>
    </row>
    <row r="3859" spans="4:4" x14ac:dyDescent="0.3">
      <c r="D3859" t="str">
        <f t="shared" si="89"/>
        <v/>
      </c>
    </row>
    <row r="3860" spans="4:4" x14ac:dyDescent="0.3">
      <c r="D3860" t="str">
        <f t="shared" si="89"/>
        <v/>
      </c>
    </row>
    <row r="3861" spans="4:4" x14ac:dyDescent="0.3">
      <c r="D3861" t="str">
        <f t="shared" si="89"/>
        <v/>
      </c>
    </row>
    <row r="3862" spans="4:4" x14ac:dyDescent="0.3">
      <c r="D3862" t="str">
        <f t="shared" si="89"/>
        <v/>
      </c>
    </row>
    <row r="3863" spans="4:4" x14ac:dyDescent="0.3">
      <c r="D3863" t="str">
        <f t="shared" si="89"/>
        <v/>
      </c>
    </row>
    <row r="3864" spans="4:4" x14ac:dyDescent="0.3">
      <c r="D3864" t="str">
        <f t="shared" si="89"/>
        <v/>
      </c>
    </row>
    <row r="3865" spans="4:4" x14ac:dyDescent="0.3">
      <c r="D3865" t="str">
        <f t="shared" si="89"/>
        <v/>
      </c>
    </row>
    <row r="3866" spans="4:4" x14ac:dyDescent="0.3">
      <c r="D3866" t="str">
        <f t="shared" si="89"/>
        <v/>
      </c>
    </row>
    <row r="3867" spans="4:4" x14ac:dyDescent="0.3">
      <c r="D3867" t="str">
        <f t="shared" si="89"/>
        <v/>
      </c>
    </row>
    <row r="3868" spans="4:4" x14ac:dyDescent="0.3">
      <c r="D3868" t="str">
        <f t="shared" si="89"/>
        <v/>
      </c>
    </row>
    <row r="3869" spans="4:4" x14ac:dyDescent="0.3">
      <c r="D3869" t="str">
        <f t="shared" si="89"/>
        <v/>
      </c>
    </row>
    <row r="3870" spans="4:4" x14ac:dyDescent="0.3">
      <c r="D3870" t="str">
        <f t="shared" si="89"/>
        <v/>
      </c>
    </row>
    <row r="3871" spans="4:4" x14ac:dyDescent="0.3">
      <c r="D3871" t="str">
        <f t="shared" si="89"/>
        <v/>
      </c>
    </row>
    <row r="3872" spans="4:4" x14ac:dyDescent="0.3">
      <c r="D3872" t="str">
        <f t="shared" si="89"/>
        <v/>
      </c>
    </row>
    <row r="3873" spans="4:4" x14ac:dyDescent="0.3">
      <c r="D3873" t="str">
        <f t="shared" si="89"/>
        <v/>
      </c>
    </row>
    <row r="3874" spans="4:4" x14ac:dyDescent="0.3">
      <c r="D3874" t="str">
        <f t="shared" si="89"/>
        <v/>
      </c>
    </row>
    <row r="3875" spans="4:4" x14ac:dyDescent="0.3">
      <c r="D3875" t="str">
        <f t="shared" si="89"/>
        <v/>
      </c>
    </row>
    <row r="3876" spans="4:4" x14ac:dyDescent="0.3">
      <c r="D3876" t="str">
        <f t="shared" si="89"/>
        <v/>
      </c>
    </row>
    <row r="3877" spans="4:4" x14ac:dyDescent="0.3">
      <c r="D3877" t="str">
        <f t="shared" si="89"/>
        <v/>
      </c>
    </row>
    <row r="3878" spans="4:4" x14ac:dyDescent="0.3">
      <c r="D3878" t="str">
        <f t="shared" si="89"/>
        <v/>
      </c>
    </row>
    <row r="3879" spans="4:4" x14ac:dyDescent="0.3">
      <c r="D3879" t="str">
        <f t="shared" si="89"/>
        <v/>
      </c>
    </row>
    <row r="3880" spans="4:4" x14ac:dyDescent="0.3">
      <c r="D3880" t="str">
        <f t="shared" si="89"/>
        <v/>
      </c>
    </row>
    <row r="3881" spans="4:4" x14ac:dyDescent="0.3">
      <c r="D3881" t="str">
        <f t="shared" si="89"/>
        <v/>
      </c>
    </row>
    <row r="3882" spans="4:4" x14ac:dyDescent="0.3">
      <c r="D3882" t="str">
        <f t="shared" si="89"/>
        <v/>
      </c>
    </row>
    <row r="3883" spans="4:4" x14ac:dyDescent="0.3">
      <c r="D3883" t="str">
        <f t="shared" si="89"/>
        <v/>
      </c>
    </row>
    <row r="3884" spans="4:4" x14ac:dyDescent="0.3">
      <c r="D3884" t="str">
        <f t="shared" si="89"/>
        <v/>
      </c>
    </row>
    <row r="3885" spans="4:4" x14ac:dyDescent="0.3">
      <c r="D3885" t="str">
        <f t="shared" si="89"/>
        <v/>
      </c>
    </row>
    <row r="3886" spans="4:4" x14ac:dyDescent="0.3">
      <c r="D3886" t="str">
        <f t="shared" si="89"/>
        <v/>
      </c>
    </row>
    <row r="3887" spans="4:4" x14ac:dyDescent="0.3">
      <c r="D3887" t="str">
        <f t="shared" si="89"/>
        <v/>
      </c>
    </row>
    <row r="3888" spans="4:4" x14ac:dyDescent="0.3">
      <c r="D3888" t="str">
        <f t="shared" si="89"/>
        <v/>
      </c>
    </row>
    <row r="3889" spans="4:4" x14ac:dyDescent="0.3">
      <c r="D3889" t="str">
        <f t="shared" si="89"/>
        <v/>
      </c>
    </row>
    <row r="3890" spans="4:4" x14ac:dyDescent="0.3">
      <c r="D3890" t="str">
        <f t="shared" si="89"/>
        <v/>
      </c>
    </row>
    <row r="3891" spans="4:4" x14ac:dyDescent="0.3">
      <c r="D3891" t="str">
        <f t="shared" si="89"/>
        <v/>
      </c>
    </row>
    <row r="3892" spans="4:4" x14ac:dyDescent="0.3">
      <c r="D3892" t="str">
        <f t="shared" si="89"/>
        <v/>
      </c>
    </row>
    <row r="3893" spans="4:4" x14ac:dyDescent="0.3">
      <c r="D3893" t="str">
        <f t="shared" si="89"/>
        <v/>
      </c>
    </row>
    <row r="3894" spans="4:4" x14ac:dyDescent="0.3">
      <c r="D3894" t="str">
        <f t="shared" si="89"/>
        <v/>
      </c>
    </row>
    <row r="3895" spans="4:4" x14ac:dyDescent="0.3">
      <c r="D3895" t="str">
        <f t="shared" si="89"/>
        <v/>
      </c>
    </row>
    <row r="3896" spans="4:4" x14ac:dyDescent="0.3">
      <c r="D3896" t="str">
        <f t="shared" si="89"/>
        <v/>
      </c>
    </row>
    <row r="3897" spans="4:4" x14ac:dyDescent="0.3">
      <c r="D3897" t="str">
        <f t="shared" si="89"/>
        <v/>
      </c>
    </row>
    <row r="3898" spans="4:4" x14ac:dyDescent="0.3">
      <c r="D3898" t="str">
        <f t="shared" si="89"/>
        <v/>
      </c>
    </row>
    <row r="3899" spans="4:4" x14ac:dyDescent="0.3">
      <c r="D3899" t="str">
        <f t="shared" si="89"/>
        <v/>
      </c>
    </row>
    <row r="3900" spans="4:4" x14ac:dyDescent="0.3">
      <c r="D3900" t="str">
        <f t="shared" si="89"/>
        <v/>
      </c>
    </row>
    <row r="3901" spans="4:4" x14ac:dyDescent="0.3">
      <c r="D3901" t="str">
        <f t="shared" si="89"/>
        <v/>
      </c>
    </row>
    <row r="3902" spans="4:4" x14ac:dyDescent="0.3">
      <c r="D3902" t="str">
        <f t="shared" ref="D3902:D3965" si="90">IF(LEFT(A3902,2)="SP",MID(A3902,4,4),IF(LEFT(A3902,1)="X",MID(A3902,3,4),""))</f>
        <v/>
      </c>
    </row>
    <row r="3903" spans="4:4" x14ac:dyDescent="0.3">
      <c r="D3903" t="str">
        <f t="shared" si="90"/>
        <v/>
      </c>
    </row>
    <row r="3904" spans="4:4" x14ac:dyDescent="0.3">
      <c r="D3904" t="str">
        <f t="shared" si="90"/>
        <v/>
      </c>
    </row>
    <row r="3905" spans="4:4" x14ac:dyDescent="0.3">
      <c r="D3905" t="str">
        <f t="shared" si="90"/>
        <v/>
      </c>
    </row>
    <row r="3906" spans="4:4" x14ac:dyDescent="0.3">
      <c r="D3906" t="str">
        <f t="shared" si="90"/>
        <v/>
      </c>
    </row>
    <row r="3907" spans="4:4" x14ac:dyDescent="0.3">
      <c r="D3907" t="str">
        <f t="shared" si="90"/>
        <v/>
      </c>
    </row>
    <row r="3908" spans="4:4" x14ac:dyDescent="0.3">
      <c r="D3908" t="str">
        <f t="shared" si="90"/>
        <v/>
      </c>
    </row>
    <row r="3909" spans="4:4" x14ac:dyDescent="0.3">
      <c r="D3909" t="str">
        <f t="shared" si="90"/>
        <v/>
      </c>
    </row>
    <row r="3910" spans="4:4" x14ac:dyDescent="0.3">
      <c r="D3910" t="str">
        <f t="shared" si="90"/>
        <v/>
      </c>
    </row>
    <row r="3911" spans="4:4" x14ac:dyDescent="0.3">
      <c r="D3911" t="str">
        <f t="shared" si="90"/>
        <v/>
      </c>
    </row>
    <row r="3912" spans="4:4" x14ac:dyDescent="0.3">
      <c r="D3912" t="str">
        <f t="shared" si="90"/>
        <v/>
      </c>
    </row>
    <row r="3913" spans="4:4" x14ac:dyDescent="0.3">
      <c r="D3913" t="str">
        <f t="shared" si="90"/>
        <v/>
      </c>
    </row>
    <row r="3914" spans="4:4" x14ac:dyDescent="0.3">
      <c r="D3914" t="str">
        <f t="shared" si="90"/>
        <v/>
      </c>
    </row>
    <row r="3915" spans="4:4" x14ac:dyDescent="0.3">
      <c r="D3915" t="str">
        <f t="shared" si="90"/>
        <v/>
      </c>
    </row>
    <row r="3916" spans="4:4" x14ac:dyDescent="0.3">
      <c r="D3916" t="str">
        <f t="shared" si="90"/>
        <v/>
      </c>
    </row>
    <row r="3917" spans="4:4" x14ac:dyDescent="0.3">
      <c r="D3917" t="str">
        <f t="shared" si="90"/>
        <v/>
      </c>
    </row>
    <row r="3918" spans="4:4" x14ac:dyDescent="0.3">
      <c r="D3918" t="str">
        <f t="shared" si="90"/>
        <v/>
      </c>
    </row>
    <row r="3919" spans="4:4" x14ac:dyDescent="0.3">
      <c r="D3919" t="str">
        <f t="shared" si="90"/>
        <v/>
      </c>
    </row>
    <row r="3920" spans="4:4" x14ac:dyDescent="0.3">
      <c r="D3920" t="str">
        <f t="shared" si="90"/>
        <v/>
      </c>
    </row>
    <row r="3921" spans="4:4" x14ac:dyDescent="0.3">
      <c r="D3921" t="str">
        <f t="shared" si="90"/>
        <v/>
      </c>
    </row>
    <row r="3922" spans="4:4" x14ac:dyDescent="0.3">
      <c r="D3922" t="str">
        <f t="shared" si="90"/>
        <v/>
      </c>
    </row>
    <row r="3923" spans="4:4" x14ac:dyDescent="0.3">
      <c r="D3923" t="str">
        <f t="shared" si="90"/>
        <v/>
      </c>
    </row>
    <row r="3924" spans="4:4" x14ac:dyDescent="0.3">
      <c r="D3924" t="str">
        <f t="shared" si="90"/>
        <v/>
      </c>
    </row>
    <row r="3925" spans="4:4" x14ac:dyDescent="0.3">
      <c r="D3925" t="str">
        <f t="shared" si="90"/>
        <v/>
      </c>
    </row>
    <row r="3926" spans="4:4" x14ac:dyDescent="0.3">
      <c r="D3926" t="str">
        <f t="shared" si="90"/>
        <v/>
      </c>
    </row>
    <row r="3927" spans="4:4" x14ac:dyDescent="0.3">
      <c r="D3927" t="str">
        <f t="shared" si="90"/>
        <v/>
      </c>
    </row>
    <row r="3928" spans="4:4" x14ac:dyDescent="0.3">
      <c r="D3928" t="str">
        <f t="shared" si="90"/>
        <v/>
      </c>
    </row>
    <row r="3929" spans="4:4" x14ac:dyDescent="0.3">
      <c r="D3929" t="str">
        <f t="shared" si="90"/>
        <v/>
      </c>
    </row>
    <row r="3930" spans="4:4" x14ac:dyDescent="0.3">
      <c r="D3930" t="str">
        <f t="shared" si="90"/>
        <v/>
      </c>
    </row>
    <row r="3931" spans="4:4" x14ac:dyDescent="0.3">
      <c r="D3931" t="str">
        <f t="shared" si="90"/>
        <v/>
      </c>
    </row>
    <row r="3932" spans="4:4" x14ac:dyDescent="0.3">
      <c r="D3932" t="str">
        <f t="shared" si="90"/>
        <v/>
      </c>
    </row>
    <row r="3933" spans="4:4" x14ac:dyDescent="0.3">
      <c r="D3933" t="str">
        <f t="shared" si="90"/>
        <v/>
      </c>
    </row>
    <row r="3934" spans="4:4" x14ac:dyDescent="0.3">
      <c r="D3934" t="str">
        <f t="shared" si="90"/>
        <v/>
      </c>
    </row>
    <row r="3935" spans="4:4" x14ac:dyDescent="0.3">
      <c r="D3935" t="str">
        <f t="shared" si="90"/>
        <v/>
      </c>
    </row>
    <row r="3936" spans="4:4" x14ac:dyDescent="0.3">
      <c r="D3936" t="str">
        <f t="shared" si="90"/>
        <v/>
      </c>
    </row>
    <row r="3937" spans="4:4" x14ac:dyDescent="0.3">
      <c r="D3937" t="str">
        <f t="shared" si="90"/>
        <v/>
      </c>
    </row>
    <row r="3938" spans="4:4" x14ac:dyDescent="0.3">
      <c r="D3938" t="str">
        <f t="shared" si="90"/>
        <v/>
      </c>
    </row>
    <row r="3939" spans="4:4" x14ac:dyDescent="0.3">
      <c r="D3939" t="str">
        <f t="shared" si="90"/>
        <v/>
      </c>
    </row>
    <row r="3940" spans="4:4" x14ac:dyDescent="0.3">
      <c r="D3940" t="str">
        <f t="shared" si="90"/>
        <v/>
      </c>
    </row>
    <row r="3941" spans="4:4" x14ac:dyDescent="0.3">
      <c r="D3941" t="str">
        <f t="shared" si="90"/>
        <v/>
      </c>
    </row>
    <row r="3942" spans="4:4" x14ac:dyDescent="0.3">
      <c r="D3942" t="str">
        <f t="shared" si="90"/>
        <v/>
      </c>
    </row>
    <row r="3943" spans="4:4" x14ac:dyDescent="0.3">
      <c r="D3943" t="str">
        <f t="shared" si="90"/>
        <v/>
      </c>
    </row>
    <row r="3944" spans="4:4" x14ac:dyDescent="0.3">
      <c r="D3944" t="str">
        <f t="shared" si="90"/>
        <v/>
      </c>
    </row>
    <row r="3945" spans="4:4" x14ac:dyDescent="0.3">
      <c r="D3945" t="str">
        <f t="shared" si="90"/>
        <v/>
      </c>
    </row>
    <row r="3946" spans="4:4" x14ac:dyDescent="0.3">
      <c r="D3946" t="str">
        <f t="shared" si="90"/>
        <v/>
      </c>
    </row>
    <row r="3947" spans="4:4" x14ac:dyDescent="0.3">
      <c r="D3947" t="str">
        <f t="shared" si="90"/>
        <v/>
      </c>
    </row>
    <row r="3948" spans="4:4" x14ac:dyDescent="0.3">
      <c r="D3948" t="str">
        <f t="shared" si="90"/>
        <v/>
      </c>
    </row>
    <row r="3949" spans="4:4" x14ac:dyDescent="0.3">
      <c r="D3949" t="str">
        <f t="shared" si="90"/>
        <v/>
      </c>
    </row>
    <row r="3950" spans="4:4" x14ac:dyDescent="0.3">
      <c r="D3950" t="str">
        <f t="shared" si="90"/>
        <v/>
      </c>
    </row>
    <row r="3951" spans="4:4" x14ac:dyDescent="0.3">
      <c r="D3951" t="str">
        <f t="shared" si="90"/>
        <v/>
      </c>
    </row>
    <row r="3952" spans="4:4" x14ac:dyDescent="0.3">
      <c r="D3952" t="str">
        <f t="shared" si="90"/>
        <v/>
      </c>
    </row>
    <row r="3953" spans="4:4" x14ac:dyDescent="0.3">
      <c r="D3953" t="str">
        <f t="shared" si="90"/>
        <v/>
      </c>
    </row>
    <row r="3954" spans="4:4" x14ac:dyDescent="0.3">
      <c r="D3954" t="str">
        <f t="shared" si="90"/>
        <v/>
      </c>
    </row>
    <row r="3955" spans="4:4" x14ac:dyDescent="0.3">
      <c r="D3955" t="str">
        <f t="shared" si="90"/>
        <v/>
      </c>
    </row>
    <row r="3956" spans="4:4" x14ac:dyDescent="0.3">
      <c r="D3956" t="str">
        <f t="shared" si="90"/>
        <v/>
      </c>
    </row>
    <row r="3957" spans="4:4" x14ac:dyDescent="0.3">
      <c r="D3957" t="str">
        <f t="shared" si="90"/>
        <v/>
      </c>
    </row>
    <row r="3958" spans="4:4" x14ac:dyDescent="0.3">
      <c r="D3958" t="str">
        <f t="shared" si="90"/>
        <v/>
      </c>
    </row>
    <row r="3959" spans="4:4" x14ac:dyDescent="0.3">
      <c r="D3959" t="str">
        <f t="shared" si="90"/>
        <v/>
      </c>
    </row>
    <row r="3960" spans="4:4" x14ac:dyDescent="0.3">
      <c r="D3960" t="str">
        <f t="shared" si="90"/>
        <v/>
      </c>
    </row>
    <row r="3961" spans="4:4" x14ac:dyDescent="0.3">
      <c r="D3961" t="str">
        <f t="shared" si="90"/>
        <v/>
      </c>
    </row>
    <row r="3962" spans="4:4" x14ac:dyDescent="0.3">
      <c r="D3962" t="str">
        <f t="shared" si="90"/>
        <v/>
      </c>
    </row>
    <row r="3963" spans="4:4" x14ac:dyDescent="0.3">
      <c r="D3963" t="str">
        <f t="shared" si="90"/>
        <v/>
      </c>
    </row>
    <row r="3964" spans="4:4" x14ac:dyDescent="0.3">
      <c r="D3964" t="str">
        <f t="shared" si="90"/>
        <v/>
      </c>
    </row>
    <row r="3965" spans="4:4" x14ac:dyDescent="0.3">
      <c r="D3965" t="str">
        <f t="shared" si="90"/>
        <v/>
      </c>
    </row>
    <row r="3966" spans="4:4" x14ac:dyDescent="0.3">
      <c r="D3966" t="str">
        <f t="shared" ref="D3966:D4029" si="91">IF(LEFT(A3966,2)="SP",MID(A3966,4,4),IF(LEFT(A3966,1)="X",MID(A3966,3,4),""))</f>
        <v/>
      </c>
    </row>
    <row r="3967" spans="4:4" x14ac:dyDescent="0.3">
      <c r="D3967" t="str">
        <f t="shared" si="91"/>
        <v/>
      </c>
    </row>
    <row r="3968" spans="4:4" x14ac:dyDescent="0.3">
      <c r="D3968" t="str">
        <f t="shared" si="91"/>
        <v/>
      </c>
    </row>
    <row r="3969" spans="4:4" x14ac:dyDescent="0.3">
      <c r="D3969" t="str">
        <f t="shared" si="91"/>
        <v/>
      </c>
    </row>
    <row r="3970" spans="4:4" x14ac:dyDescent="0.3">
      <c r="D3970" t="str">
        <f t="shared" si="91"/>
        <v/>
      </c>
    </row>
    <row r="3971" spans="4:4" x14ac:dyDescent="0.3">
      <c r="D3971" t="str">
        <f t="shared" si="91"/>
        <v/>
      </c>
    </row>
    <row r="3972" spans="4:4" x14ac:dyDescent="0.3">
      <c r="D3972" t="str">
        <f t="shared" si="91"/>
        <v/>
      </c>
    </row>
    <row r="3973" spans="4:4" x14ac:dyDescent="0.3">
      <c r="D3973" t="str">
        <f t="shared" si="91"/>
        <v/>
      </c>
    </row>
    <row r="3974" spans="4:4" x14ac:dyDescent="0.3">
      <c r="D3974" t="str">
        <f t="shared" si="91"/>
        <v/>
      </c>
    </row>
    <row r="3975" spans="4:4" x14ac:dyDescent="0.3">
      <c r="D3975" t="str">
        <f t="shared" si="91"/>
        <v/>
      </c>
    </row>
    <row r="3976" spans="4:4" x14ac:dyDescent="0.3">
      <c r="D3976" t="str">
        <f t="shared" si="91"/>
        <v/>
      </c>
    </row>
    <row r="3977" spans="4:4" x14ac:dyDescent="0.3">
      <c r="D3977" t="str">
        <f t="shared" si="91"/>
        <v/>
      </c>
    </row>
    <row r="3978" spans="4:4" x14ac:dyDescent="0.3">
      <c r="D3978" t="str">
        <f t="shared" si="91"/>
        <v/>
      </c>
    </row>
    <row r="3979" spans="4:4" x14ac:dyDescent="0.3">
      <c r="D3979" t="str">
        <f t="shared" si="91"/>
        <v/>
      </c>
    </row>
    <row r="3980" spans="4:4" x14ac:dyDescent="0.3">
      <c r="D3980" t="str">
        <f t="shared" si="91"/>
        <v/>
      </c>
    </row>
    <row r="3981" spans="4:4" x14ac:dyDescent="0.3">
      <c r="D3981" t="str">
        <f t="shared" si="91"/>
        <v/>
      </c>
    </row>
    <row r="3982" spans="4:4" x14ac:dyDescent="0.3">
      <c r="D3982" t="str">
        <f t="shared" si="91"/>
        <v/>
      </c>
    </row>
    <row r="3983" spans="4:4" x14ac:dyDescent="0.3">
      <c r="D3983" t="str">
        <f t="shared" si="91"/>
        <v/>
      </c>
    </row>
    <row r="3984" spans="4:4" x14ac:dyDescent="0.3">
      <c r="D3984" t="str">
        <f t="shared" si="91"/>
        <v/>
      </c>
    </row>
    <row r="3985" spans="4:4" x14ac:dyDescent="0.3">
      <c r="D3985" t="str">
        <f t="shared" si="91"/>
        <v/>
      </c>
    </row>
    <row r="3986" spans="4:4" x14ac:dyDescent="0.3">
      <c r="D3986" t="str">
        <f t="shared" si="91"/>
        <v/>
      </c>
    </row>
    <row r="3987" spans="4:4" x14ac:dyDescent="0.3">
      <c r="D3987" t="str">
        <f t="shared" si="91"/>
        <v/>
      </c>
    </row>
    <row r="3988" spans="4:4" x14ac:dyDescent="0.3">
      <c r="D3988" t="str">
        <f t="shared" si="91"/>
        <v/>
      </c>
    </row>
    <row r="3989" spans="4:4" x14ac:dyDescent="0.3">
      <c r="D3989" t="str">
        <f t="shared" si="91"/>
        <v/>
      </c>
    </row>
    <row r="3990" spans="4:4" x14ac:dyDescent="0.3">
      <c r="D3990" t="str">
        <f t="shared" si="91"/>
        <v/>
      </c>
    </row>
    <row r="3991" spans="4:4" x14ac:dyDescent="0.3">
      <c r="D3991" t="str">
        <f t="shared" si="91"/>
        <v/>
      </c>
    </row>
    <row r="3992" spans="4:4" x14ac:dyDescent="0.3">
      <c r="D3992" t="str">
        <f t="shared" si="91"/>
        <v/>
      </c>
    </row>
    <row r="3993" spans="4:4" x14ac:dyDescent="0.3">
      <c r="D3993" t="str">
        <f t="shared" si="91"/>
        <v/>
      </c>
    </row>
    <row r="3994" spans="4:4" x14ac:dyDescent="0.3">
      <c r="D3994" t="str">
        <f t="shared" si="91"/>
        <v/>
      </c>
    </row>
    <row r="3995" spans="4:4" x14ac:dyDescent="0.3">
      <c r="D3995" t="str">
        <f t="shared" si="91"/>
        <v/>
      </c>
    </row>
    <row r="3996" spans="4:4" x14ac:dyDescent="0.3">
      <c r="D3996" t="str">
        <f t="shared" si="91"/>
        <v/>
      </c>
    </row>
    <row r="3997" spans="4:4" x14ac:dyDescent="0.3">
      <c r="D3997" t="str">
        <f t="shared" si="91"/>
        <v/>
      </c>
    </row>
    <row r="3998" spans="4:4" x14ac:dyDescent="0.3">
      <c r="D3998" t="str">
        <f t="shared" si="91"/>
        <v/>
      </c>
    </row>
    <row r="3999" spans="4:4" x14ac:dyDescent="0.3">
      <c r="D3999" t="str">
        <f t="shared" si="91"/>
        <v/>
      </c>
    </row>
    <row r="4000" spans="4:4" x14ac:dyDescent="0.3">
      <c r="D4000" t="str">
        <f t="shared" si="91"/>
        <v/>
      </c>
    </row>
    <row r="4001" spans="4:4" x14ac:dyDescent="0.3">
      <c r="D4001" t="str">
        <f t="shared" si="91"/>
        <v/>
      </c>
    </row>
    <row r="4002" spans="4:4" x14ac:dyDescent="0.3">
      <c r="D4002" t="str">
        <f t="shared" si="91"/>
        <v/>
      </c>
    </row>
    <row r="4003" spans="4:4" x14ac:dyDescent="0.3">
      <c r="D4003" t="str">
        <f t="shared" si="91"/>
        <v/>
      </c>
    </row>
    <row r="4004" spans="4:4" x14ac:dyDescent="0.3">
      <c r="D4004" t="str">
        <f t="shared" si="91"/>
        <v/>
      </c>
    </row>
    <row r="4005" spans="4:4" x14ac:dyDescent="0.3">
      <c r="D4005" t="str">
        <f t="shared" si="91"/>
        <v/>
      </c>
    </row>
    <row r="4006" spans="4:4" x14ac:dyDescent="0.3">
      <c r="D4006" t="str">
        <f t="shared" si="91"/>
        <v/>
      </c>
    </row>
    <row r="4007" spans="4:4" x14ac:dyDescent="0.3">
      <c r="D4007" t="str">
        <f t="shared" si="91"/>
        <v/>
      </c>
    </row>
    <row r="4008" spans="4:4" x14ac:dyDescent="0.3">
      <c r="D4008" t="str">
        <f t="shared" si="91"/>
        <v/>
      </c>
    </row>
    <row r="4009" spans="4:4" x14ac:dyDescent="0.3">
      <c r="D4009" t="str">
        <f t="shared" si="91"/>
        <v/>
      </c>
    </row>
    <row r="4010" spans="4:4" x14ac:dyDescent="0.3">
      <c r="D4010" t="str">
        <f t="shared" si="91"/>
        <v/>
      </c>
    </row>
    <row r="4011" spans="4:4" x14ac:dyDescent="0.3">
      <c r="D4011" t="str">
        <f t="shared" si="91"/>
        <v/>
      </c>
    </row>
    <row r="4012" spans="4:4" x14ac:dyDescent="0.3">
      <c r="D4012" t="str">
        <f t="shared" si="91"/>
        <v/>
      </c>
    </row>
    <row r="4013" spans="4:4" x14ac:dyDescent="0.3">
      <c r="D4013" t="str">
        <f t="shared" si="91"/>
        <v/>
      </c>
    </row>
    <row r="4014" spans="4:4" x14ac:dyDescent="0.3">
      <c r="D4014" t="str">
        <f t="shared" si="91"/>
        <v/>
      </c>
    </row>
    <row r="4015" spans="4:4" x14ac:dyDescent="0.3">
      <c r="D4015" t="str">
        <f t="shared" si="91"/>
        <v/>
      </c>
    </row>
    <row r="4016" spans="4:4" x14ac:dyDescent="0.3">
      <c r="D4016" t="str">
        <f t="shared" si="91"/>
        <v/>
      </c>
    </row>
    <row r="4017" spans="4:4" x14ac:dyDescent="0.3">
      <c r="D4017" t="str">
        <f t="shared" si="91"/>
        <v/>
      </c>
    </row>
    <row r="4018" spans="4:4" x14ac:dyDescent="0.3">
      <c r="D4018" t="str">
        <f t="shared" si="91"/>
        <v/>
      </c>
    </row>
    <row r="4019" spans="4:4" x14ac:dyDescent="0.3">
      <c r="D4019" t="str">
        <f t="shared" si="91"/>
        <v/>
      </c>
    </row>
    <row r="4020" spans="4:4" x14ac:dyDescent="0.3">
      <c r="D4020" t="str">
        <f t="shared" si="91"/>
        <v/>
      </c>
    </row>
    <row r="4021" spans="4:4" x14ac:dyDescent="0.3">
      <c r="D4021" t="str">
        <f t="shared" si="91"/>
        <v/>
      </c>
    </row>
    <row r="4022" spans="4:4" x14ac:dyDescent="0.3">
      <c r="D4022" t="str">
        <f t="shared" si="91"/>
        <v/>
      </c>
    </row>
    <row r="4023" spans="4:4" x14ac:dyDescent="0.3">
      <c r="D4023" t="str">
        <f t="shared" si="91"/>
        <v/>
      </c>
    </row>
    <row r="4024" spans="4:4" x14ac:dyDescent="0.3">
      <c r="D4024" t="str">
        <f t="shared" si="91"/>
        <v/>
      </c>
    </row>
    <row r="4025" spans="4:4" x14ac:dyDescent="0.3">
      <c r="D4025" t="str">
        <f t="shared" si="91"/>
        <v/>
      </c>
    </row>
    <row r="4026" spans="4:4" x14ac:dyDescent="0.3">
      <c r="D4026" t="str">
        <f t="shared" si="91"/>
        <v/>
      </c>
    </row>
    <row r="4027" spans="4:4" x14ac:dyDescent="0.3">
      <c r="D4027" t="str">
        <f t="shared" si="91"/>
        <v/>
      </c>
    </row>
    <row r="4028" spans="4:4" x14ac:dyDescent="0.3">
      <c r="D4028" t="str">
        <f t="shared" si="91"/>
        <v/>
      </c>
    </row>
    <row r="4029" spans="4:4" x14ac:dyDescent="0.3">
      <c r="D4029" t="str">
        <f t="shared" si="91"/>
        <v/>
      </c>
    </row>
    <row r="4030" spans="4:4" x14ac:dyDescent="0.3">
      <c r="D4030" t="str">
        <f t="shared" ref="D4030:D4093" si="92">IF(LEFT(A4030,2)="SP",MID(A4030,4,4),IF(LEFT(A4030,1)="X",MID(A4030,3,4),""))</f>
        <v/>
      </c>
    </row>
    <row r="4031" spans="4:4" x14ac:dyDescent="0.3">
      <c r="D4031" t="str">
        <f t="shared" si="92"/>
        <v/>
      </c>
    </row>
    <row r="4032" spans="4:4" x14ac:dyDescent="0.3">
      <c r="D4032" t="str">
        <f t="shared" si="92"/>
        <v/>
      </c>
    </row>
    <row r="4033" spans="4:4" x14ac:dyDescent="0.3">
      <c r="D4033" t="str">
        <f t="shared" si="92"/>
        <v/>
      </c>
    </row>
    <row r="4034" spans="4:4" x14ac:dyDescent="0.3">
      <c r="D4034" t="str">
        <f t="shared" si="92"/>
        <v/>
      </c>
    </row>
    <row r="4035" spans="4:4" x14ac:dyDescent="0.3">
      <c r="D4035" t="str">
        <f t="shared" si="92"/>
        <v/>
      </c>
    </row>
    <row r="4036" spans="4:4" x14ac:dyDescent="0.3">
      <c r="D4036" t="str">
        <f t="shared" si="92"/>
        <v/>
      </c>
    </row>
    <row r="4037" spans="4:4" x14ac:dyDescent="0.3">
      <c r="D4037" t="str">
        <f t="shared" si="92"/>
        <v/>
      </c>
    </row>
    <row r="4038" spans="4:4" x14ac:dyDescent="0.3">
      <c r="D4038" t="str">
        <f t="shared" si="92"/>
        <v/>
      </c>
    </row>
    <row r="4039" spans="4:4" x14ac:dyDescent="0.3">
      <c r="D4039" t="str">
        <f t="shared" si="92"/>
        <v/>
      </c>
    </row>
    <row r="4040" spans="4:4" x14ac:dyDescent="0.3">
      <c r="D4040" t="str">
        <f t="shared" si="92"/>
        <v/>
      </c>
    </row>
    <row r="4041" spans="4:4" x14ac:dyDescent="0.3">
      <c r="D4041" t="str">
        <f t="shared" si="92"/>
        <v/>
      </c>
    </row>
    <row r="4042" spans="4:4" x14ac:dyDescent="0.3">
      <c r="D4042" t="str">
        <f t="shared" si="92"/>
        <v/>
      </c>
    </row>
    <row r="4043" spans="4:4" x14ac:dyDescent="0.3">
      <c r="D4043" t="str">
        <f t="shared" si="92"/>
        <v/>
      </c>
    </row>
    <row r="4044" spans="4:4" x14ac:dyDescent="0.3">
      <c r="D4044" t="str">
        <f t="shared" si="92"/>
        <v/>
      </c>
    </row>
    <row r="4045" spans="4:4" x14ac:dyDescent="0.3">
      <c r="D4045" t="str">
        <f t="shared" si="92"/>
        <v/>
      </c>
    </row>
    <row r="4046" spans="4:4" x14ac:dyDescent="0.3">
      <c r="D4046" t="str">
        <f t="shared" si="92"/>
        <v/>
      </c>
    </row>
    <row r="4047" spans="4:4" x14ac:dyDescent="0.3">
      <c r="D4047" t="str">
        <f t="shared" si="92"/>
        <v/>
      </c>
    </row>
    <row r="4048" spans="4:4" x14ac:dyDescent="0.3">
      <c r="D4048" t="str">
        <f t="shared" si="92"/>
        <v/>
      </c>
    </row>
    <row r="4049" spans="4:4" x14ac:dyDescent="0.3">
      <c r="D4049" t="str">
        <f t="shared" si="92"/>
        <v/>
      </c>
    </row>
    <row r="4050" spans="4:4" x14ac:dyDescent="0.3">
      <c r="D4050" t="str">
        <f t="shared" si="92"/>
        <v/>
      </c>
    </row>
    <row r="4051" spans="4:4" x14ac:dyDescent="0.3">
      <c r="D4051" t="str">
        <f t="shared" si="92"/>
        <v/>
      </c>
    </row>
    <row r="4052" spans="4:4" x14ac:dyDescent="0.3">
      <c r="D4052" t="str">
        <f t="shared" si="92"/>
        <v/>
      </c>
    </row>
    <row r="4053" spans="4:4" x14ac:dyDescent="0.3">
      <c r="D4053" t="str">
        <f t="shared" si="92"/>
        <v/>
      </c>
    </row>
    <row r="4054" spans="4:4" x14ac:dyDescent="0.3">
      <c r="D4054" t="str">
        <f t="shared" si="92"/>
        <v/>
      </c>
    </row>
    <row r="4055" spans="4:4" x14ac:dyDescent="0.3">
      <c r="D4055" t="str">
        <f t="shared" si="92"/>
        <v/>
      </c>
    </row>
    <row r="4056" spans="4:4" x14ac:dyDescent="0.3">
      <c r="D4056" t="str">
        <f t="shared" si="92"/>
        <v/>
      </c>
    </row>
    <row r="4057" spans="4:4" x14ac:dyDescent="0.3">
      <c r="D4057" t="str">
        <f t="shared" si="92"/>
        <v/>
      </c>
    </row>
    <row r="4058" spans="4:4" x14ac:dyDescent="0.3">
      <c r="D4058" t="str">
        <f t="shared" si="92"/>
        <v/>
      </c>
    </row>
    <row r="4059" spans="4:4" x14ac:dyDescent="0.3">
      <c r="D4059" t="str">
        <f t="shared" si="92"/>
        <v/>
      </c>
    </row>
    <row r="4060" spans="4:4" x14ac:dyDescent="0.3">
      <c r="D4060" t="str">
        <f t="shared" si="92"/>
        <v/>
      </c>
    </row>
    <row r="4061" spans="4:4" x14ac:dyDescent="0.3">
      <c r="D4061" t="str">
        <f t="shared" si="92"/>
        <v/>
      </c>
    </row>
    <row r="4062" spans="4:4" x14ac:dyDescent="0.3">
      <c r="D4062" t="str">
        <f t="shared" si="92"/>
        <v/>
      </c>
    </row>
    <row r="4063" spans="4:4" x14ac:dyDescent="0.3">
      <c r="D4063" t="str">
        <f t="shared" si="92"/>
        <v/>
      </c>
    </row>
    <row r="4064" spans="4:4" x14ac:dyDescent="0.3">
      <c r="D4064" t="str">
        <f t="shared" si="92"/>
        <v/>
      </c>
    </row>
    <row r="4065" spans="4:4" x14ac:dyDescent="0.3">
      <c r="D4065" t="str">
        <f t="shared" si="92"/>
        <v/>
      </c>
    </row>
    <row r="4066" spans="4:4" x14ac:dyDescent="0.3">
      <c r="D4066" t="str">
        <f t="shared" si="92"/>
        <v/>
      </c>
    </row>
    <row r="4067" spans="4:4" x14ac:dyDescent="0.3">
      <c r="D4067" t="str">
        <f t="shared" si="92"/>
        <v/>
      </c>
    </row>
    <row r="4068" spans="4:4" x14ac:dyDescent="0.3">
      <c r="D4068" t="str">
        <f t="shared" si="92"/>
        <v/>
      </c>
    </row>
    <row r="4069" spans="4:4" x14ac:dyDescent="0.3">
      <c r="D4069" t="str">
        <f t="shared" si="92"/>
        <v/>
      </c>
    </row>
    <row r="4070" spans="4:4" x14ac:dyDescent="0.3">
      <c r="D4070" t="str">
        <f t="shared" si="92"/>
        <v/>
      </c>
    </row>
    <row r="4071" spans="4:4" x14ac:dyDescent="0.3">
      <c r="D4071" t="str">
        <f t="shared" si="92"/>
        <v/>
      </c>
    </row>
    <row r="4072" spans="4:4" x14ac:dyDescent="0.3">
      <c r="D4072" t="str">
        <f t="shared" si="92"/>
        <v/>
      </c>
    </row>
    <row r="4073" spans="4:4" x14ac:dyDescent="0.3">
      <c r="D4073" t="str">
        <f t="shared" si="92"/>
        <v/>
      </c>
    </row>
    <row r="4074" spans="4:4" x14ac:dyDescent="0.3">
      <c r="D4074" t="str">
        <f t="shared" si="92"/>
        <v/>
      </c>
    </row>
    <row r="4075" spans="4:4" x14ac:dyDescent="0.3">
      <c r="D4075" t="str">
        <f t="shared" si="92"/>
        <v/>
      </c>
    </row>
    <row r="4076" spans="4:4" x14ac:dyDescent="0.3">
      <c r="D4076" t="str">
        <f t="shared" si="92"/>
        <v/>
      </c>
    </row>
    <row r="4077" spans="4:4" x14ac:dyDescent="0.3">
      <c r="D4077" t="str">
        <f t="shared" si="92"/>
        <v/>
      </c>
    </row>
    <row r="4078" spans="4:4" x14ac:dyDescent="0.3">
      <c r="D4078" t="str">
        <f t="shared" si="92"/>
        <v/>
      </c>
    </row>
    <row r="4079" spans="4:4" x14ac:dyDescent="0.3">
      <c r="D4079" t="str">
        <f t="shared" si="92"/>
        <v/>
      </c>
    </row>
    <row r="4080" spans="4:4" x14ac:dyDescent="0.3">
      <c r="D4080" t="str">
        <f t="shared" si="92"/>
        <v/>
      </c>
    </row>
    <row r="4081" spans="4:4" x14ac:dyDescent="0.3">
      <c r="D4081" t="str">
        <f t="shared" si="92"/>
        <v/>
      </c>
    </row>
    <row r="4082" spans="4:4" x14ac:dyDescent="0.3">
      <c r="D4082" t="str">
        <f t="shared" si="92"/>
        <v/>
      </c>
    </row>
    <row r="4083" spans="4:4" x14ac:dyDescent="0.3">
      <c r="D4083" t="str">
        <f t="shared" si="92"/>
        <v/>
      </c>
    </row>
    <row r="4084" spans="4:4" x14ac:dyDescent="0.3">
      <c r="D4084" t="str">
        <f t="shared" si="92"/>
        <v/>
      </c>
    </row>
    <row r="4085" spans="4:4" x14ac:dyDescent="0.3">
      <c r="D4085" t="str">
        <f t="shared" si="92"/>
        <v/>
      </c>
    </row>
    <row r="4086" spans="4:4" x14ac:dyDescent="0.3">
      <c r="D4086" t="str">
        <f t="shared" si="92"/>
        <v/>
      </c>
    </row>
    <row r="4087" spans="4:4" x14ac:dyDescent="0.3">
      <c r="D4087" t="str">
        <f t="shared" si="92"/>
        <v/>
      </c>
    </row>
    <row r="4088" spans="4:4" x14ac:dyDescent="0.3">
      <c r="D4088" t="str">
        <f t="shared" si="92"/>
        <v/>
      </c>
    </row>
    <row r="4089" spans="4:4" x14ac:dyDescent="0.3">
      <c r="D4089" t="str">
        <f t="shared" si="92"/>
        <v/>
      </c>
    </row>
    <row r="4090" spans="4:4" x14ac:dyDescent="0.3">
      <c r="D4090" t="str">
        <f t="shared" si="92"/>
        <v/>
      </c>
    </row>
    <row r="4091" spans="4:4" x14ac:dyDescent="0.3">
      <c r="D4091" t="str">
        <f t="shared" si="92"/>
        <v/>
      </c>
    </row>
    <row r="4092" spans="4:4" x14ac:dyDescent="0.3">
      <c r="D4092" t="str">
        <f t="shared" si="92"/>
        <v/>
      </c>
    </row>
    <row r="4093" spans="4:4" x14ac:dyDescent="0.3">
      <c r="D4093" t="str">
        <f t="shared" si="92"/>
        <v/>
      </c>
    </row>
    <row r="4094" spans="4:4" x14ac:dyDescent="0.3">
      <c r="D4094" t="str">
        <f t="shared" ref="D4094:D4157" si="93">IF(LEFT(A4094,2)="SP",MID(A4094,4,4),IF(LEFT(A4094,1)="X",MID(A4094,3,4),""))</f>
        <v/>
      </c>
    </row>
    <row r="4095" spans="4:4" x14ac:dyDescent="0.3">
      <c r="D4095" t="str">
        <f t="shared" si="93"/>
        <v/>
      </c>
    </row>
    <row r="4096" spans="4:4" x14ac:dyDescent="0.3">
      <c r="D4096" t="str">
        <f t="shared" si="93"/>
        <v/>
      </c>
    </row>
    <row r="4097" spans="4:4" x14ac:dyDescent="0.3">
      <c r="D4097" t="str">
        <f t="shared" si="93"/>
        <v/>
      </c>
    </row>
    <row r="4098" spans="4:4" x14ac:dyDescent="0.3">
      <c r="D4098" t="str">
        <f t="shared" si="93"/>
        <v/>
      </c>
    </row>
    <row r="4099" spans="4:4" x14ac:dyDescent="0.3">
      <c r="D4099" t="str">
        <f t="shared" si="93"/>
        <v/>
      </c>
    </row>
    <row r="4100" spans="4:4" x14ac:dyDescent="0.3">
      <c r="D4100" t="str">
        <f t="shared" si="93"/>
        <v/>
      </c>
    </row>
    <row r="4101" spans="4:4" x14ac:dyDescent="0.3">
      <c r="D4101" t="str">
        <f t="shared" si="93"/>
        <v/>
      </c>
    </row>
    <row r="4102" spans="4:4" x14ac:dyDescent="0.3">
      <c r="D4102" t="str">
        <f t="shared" si="93"/>
        <v/>
      </c>
    </row>
    <row r="4103" spans="4:4" x14ac:dyDescent="0.3">
      <c r="D4103" t="str">
        <f t="shared" si="93"/>
        <v/>
      </c>
    </row>
    <row r="4104" spans="4:4" x14ac:dyDescent="0.3">
      <c r="D4104" t="str">
        <f t="shared" si="93"/>
        <v/>
      </c>
    </row>
    <row r="4105" spans="4:4" x14ac:dyDescent="0.3">
      <c r="D4105" t="str">
        <f t="shared" si="93"/>
        <v/>
      </c>
    </row>
    <row r="4106" spans="4:4" x14ac:dyDescent="0.3">
      <c r="D4106" t="str">
        <f t="shared" si="93"/>
        <v/>
      </c>
    </row>
    <row r="4107" spans="4:4" x14ac:dyDescent="0.3">
      <c r="D4107" t="str">
        <f t="shared" si="93"/>
        <v/>
      </c>
    </row>
    <row r="4108" spans="4:4" x14ac:dyDescent="0.3">
      <c r="D4108" t="str">
        <f t="shared" si="93"/>
        <v/>
      </c>
    </row>
    <row r="4109" spans="4:4" x14ac:dyDescent="0.3">
      <c r="D4109" t="str">
        <f t="shared" si="93"/>
        <v/>
      </c>
    </row>
    <row r="4110" spans="4:4" x14ac:dyDescent="0.3">
      <c r="D4110" t="str">
        <f t="shared" si="93"/>
        <v/>
      </c>
    </row>
    <row r="4111" spans="4:4" x14ac:dyDescent="0.3">
      <c r="D4111" t="str">
        <f t="shared" si="93"/>
        <v/>
      </c>
    </row>
    <row r="4112" spans="4:4" x14ac:dyDescent="0.3">
      <c r="D4112" t="str">
        <f t="shared" si="93"/>
        <v/>
      </c>
    </row>
    <row r="4113" spans="4:4" x14ac:dyDescent="0.3">
      <c r="D4113" t="str">
        <f t="shared" si="93"/>
        <v/>
      </c>
    </row>
    <row r="4114" spans="4:4" x14ac:dyDescent="0.3">
      <c r="D4114" t="str">
        <f t="shared" si="93"/>
        <v/>
      </c>
    </row>
    <row r="4115" spans="4:4" x14ac:dyDescent="0.3">
      <c r="D4115" t="str">
        <f t="shared" si="93"/>
        <v/>
      </c>
    </row>
    <row r="4116" spans="4:4" x14ac:dyDescent="0.3">
      <c r="D4116" t="str">
        <f t="shared" si="93"/>
        <v/>
      </c>
    </row>
    <row r="4117" spans="4:4" x14ac:dyDescent="0.3">
      <c r="D4117" t="str">
        <f t="shared" si="93"/>
        <v/>
      </c>
    </row>
    <row r="4118" spans="4:4" x14ac:dyDescent="0.3">
      <c r="D4118" t="str">
        <f t="shared" si="93"/>
        <v/>
      </c>
    </row>
    <row r="4119" spans="4:4" x14ac:dyDescent="0.3">
      <c r="D4119" t="str">
        <f t="shared" si="93"/>
        <v/>
      </c>
    </row>
    <row r="4120" spans="4:4" x14ac:dyDescent="0.3">
      <c r="D4120" t="str">
        <f t="shared" si="93"/>
        <v/>
      </c>
    </row>
    <row r="4121" spans="4:4" x14ac:dyDescent="0.3">
      <c r="D4121" t="str">
        <f t="shared" si="93"/>
        <v/>
      </c>
    </row>
    <row r="4122" spans="4:4" x14ac:dyDescent="0.3">
      <c r="D4122" t="str">
        <f t="shared" si="93"/>
        <v/>
      </c>
    </row>
    <row r="4123" spans="4:4" x14ac:dyDescent="0.3">
      <c r="D4123" t="str">
        <f t="shared" si="93"/>
        <v/>
      </c>
    </row>
    <row r="4124" spans="4:4" x14ac:dyDescent="0.3">
      <c r="D4124" t="str">
        <f t="shared" si="93"/>
        <v/>
      </c>
    </row>
    <row r="4125" spans="4:4" x14ac:dyDescent="0.3">
      <c r="D4125" t="str">
        <f t="shared" si="93"/>
        <v/>
      </c>
    </row>
    <row r="4126" spans="4:4" x14ac:dyDescent="0.3">
      <c r="D4126" t="str">
        <f t="shared" si="93"/>
        <v/>
      </c>
    </row>
    <row r="4127" spans="4:4" x14ac:dyDescent="0.3">
      <c r="D4127" t="str">
        <f t="shared" si="93"/>
        <v/>
      </c>
    </row>
    <row r="4128" spans="4:4" x14ac:dyDescent="0.3">
      <c r="D4128" t="str">
        <f t="shared" si="93"/>
        <v/>
      </c>
    </row>
    <row r="4129" spans="4:4" x14ac:dyDescent="0.3">
      <c r="D4129" t="str">
        <f t="shared" si="93"/>
        <v/>
      </c>
    </row>
    <row r="4130" spans="4:4" x14ac:dyDescent="0.3">
      <c r="D4130" t="str">
        <f t="shared" si="93"/>
        <v/>
      </c>
    </row>
    <row r="4131" spans="4:4" x14ac:dyDescent="0.3">
      <c r="D4131" t="str">
        <f t="shared" si="93"/>
        <v/>
      </c>
    </row>
    <row r="4132" spans="4:4" x14ac:dyDescent="0.3">
      <c r="D4132" t="str">
        <f t="shared" si="93"/>
        <v/>
      </c>
    </row>
    <row r="4133" spans="4:4" x14ac:dyDescent="0.3">
      <c r="D4133" t="str">
        <f t="shared" si="93"/>
        <v/>
      </c>
    </row>
    <row r="4134" spans="4:4" x14ac:dyDescent="0.3">
      <c r="D4134" t="str">
        <f t="shared" si="93"/>
        <v/>
      </c>
    </row>
    <row r="4135" spans="4:4" x14ac:dyDescent="0.3">
      <c r="D4135" t="str">
        <f t="shared" si="93"/>
        <v/>
      </c>
    </row>
    <row r="4136" spans="4:4" x14ac:dyDescent="0.3">
      <c r="D4136" t="str">
        <f t="shared" si="93"/>
        <v/>
      </c>
    </row>
    <row r="4137" spans="4:4" x14ac:dyDescent="0.3">
      <c r="D4137" t="str">
        <f t="shared" si="93"/>
        <v/>
      </c>
    </row>
    <row r="4138" spans="4:4" x14ac:dyDescent="0.3">
      <c r="D4138" t="str">
        <f t="shared" si="93"/>
        <v/>
      </c>
    </row>
    <row r="4139" spans="4:4" x14ac:dyDescent="0.3">
      <c r="D4139" t="str">
        <f t="shared" si="93"/>
        <v/>
      </c>
    </row>
    <row r="4140" spans="4:4" x14ac:dyDescent="0.3">
      <c r="D4140" t="str">
        <f t="shared" si="93"/>
        <v/>
      </c>
    </row>
    <row r="4141" spans="4:4" x14ac:dyDescent="0.3">
      <c r="D4141" t="str">
        <f t="shared" si="93"/>
        <v/>
      </c>
    </row>
    <row r="4142" spans="4:4" x14ac:dyDescent="0.3">
      <c r="D4142" t="str">
        <f t="shared" si="93"/>
        <v/>
      </c>
    </row>
    <row r="4143" spans="4:4" x14ac:dyDescent="0.3">
      <c r="D4143" t="str">
        <f t="shared" si="93"/>
        <v/>
      </c>
    </row>
    <row r="4144" spans="4:4" x14ac:dyDescent="0.3">
      <c r="D4144" t="str">
        <f t="shared" si="93"/>
        <v/>
      </c>
    </row>
    <row r="4145" spans="4:4" x14ac:dyDescent="0.3">
      <c r="D4145" t="str">
        <f t="shared" si="93"/>
        <v/>
      </c>
    </row>
    <row r="4146" spans="4:4" x14ac:dyDescent="0.3">
      <c r="D4146" t="str">
        <f t="shared" si="93"/>
        <v/>
      </c>
    </row>
    <row r="4147" spans="4:4" x14ac:dyDescent="0.3">
      <c r="D4147" t="str">
        <f t="shared" si="93"/>
        <v/>
      </c>
    </row>
    <row r="4148" spans="4:4" x14ac:dyDescent="0.3">
      <c r="D4148" t="str">
        <f t="shared" si="93"/>
        <v/>
      </c>
    </row>
    <row r="4149" spans="4:4" x14ac:dyDescent="0.3">
      <c r="D4149" t="str">
        <f t="shared" si="93"/>
        <v/>
      </c>
    </row>
    <row r="4150" spans="4:4" x14ac:dyDescent="0.3">
      <c r="D4150" t="str">
        <f t="shared" si="93"/>
        <v/>
      </c>
    </row>
    <row r="4151" spans="4:4" x14ac:dyDescent="0.3">
      <c r="D4151" t="str">
        <f t="shared" si="93"/>
        <v/>
      </c>
    </row>
    <row r="4152" spans="4:4" x14ac:dyDescent="0.3">
      <c r="D4152" t="str">
        <f t="shared" si="93"/>
        <v/>
      </c>
    </row>
    <row r="4153" spans="4:4" x14ac:dyDescent="0.3">
      <c r="D4153" t="str">
        <f t="shared" si="93"/>
        <v/>
      </c>
    </row>
    <row r="4154" spans="4:4" x14ac:dyDescent="0.3">
      <c r="D4154" t="str">
        <f t="shared" si="93"/>
        <v/>
      </c>
    </row>
    <row r="4155" spans="4:4" x14ac:dyDescent="0.3">
      <c r="D4155" t="str">
        <f t="shared" si="93"/>
        <v/>
      </c>
    </row>
    <row r="4156" spans="4:4" x14ac:dyDescent="0.3">
      <c r="D4156" t="str">
        <f t="shared" si="93"/>
        <v/>
      </c>
    </row>
    <row r="4157" spans="4:4" x14ac:dyDescent="0.3">
      <c r="D4157" t="str">
        <f t="shared" si="93"/>
        <v/>
      </c>
    </row>
    <row r="4158" spans="4:4" x14ac:dyDescent="0.3">
      <c r="D4158" t="str">
        <f t="shared" ref="D4158:D4221" si="94">IF(LEFT(A4158,2)="SP",MID(A4158,4,4),IF(LEFT(A4158,1)="X",MID(A4158,3,4),""))</f>
        <v/>
      </c>
    </row>
    <row r="4159" spans="4:4" x14ac:dyDescent="0.3">
      <c r="D4159" t="str">
        <f t="shared" si="94"/>
        <v/>
      </c>
    </row>
    <row r="4160" spans="4:4" x14ac:dyDescent="0.3">
      <c r="D4160" t="str">
        <f t="shared" si="94"/>
        <v/>
      </c>
    </row>
    <row r="4161" spans="4:4" x14ac:dyDescent="0.3">
      <c r="D4161" t="str">
        <f t="shared" si="94"/>
        <v/>
      </c>
    </row>
    <row r="4162" spans="4:4" x14ac:dyDescent="0.3">
      <c r="D4162" t="str">
        <f t="shared" si="94"/>
        <v/>
      </c>
    </row>
    <row r="4163" spans="4:4" x14ac:dyDescent="0.3">
      <c r="D4163" t="str">
        <f t="shared" si="94"/>
        <v/>
      </c>
    </row>
    <row r="4164" spans="4:4" x14ac:dyDescent="0.3">
      <c r="D4164" t="str">
        <f t="shared" si="94"/>
        <v/>
      </c>
    </row>
    <row r="4165" spans="4:4" x14ac:dyDescent="0.3">
      <c r="D4165" t="str">
        <f t="shared" si="94"/>
        <v/>
      </c>
    </row>
    <row r="4166" spans="4:4" x14ac:dyDescent="0.3">
      <c r="D4166" t="str">
        <f t="shared" si="94"/>
        <v/>
      </c>
    </row>
    <row r="4167" spans="4:4" x14ac:dyDescent="0.3">
      <c r="D4167" t="str">
        <f t="shared" si="94"/>
        <v/>
      </c>
    </row>
    <row r="4168" spans="4:4" x14ac:dyDescent="0.3">
      <c r="D4168" t="str">
        <f t="shared" si="94"/>
        <v/>
      </c>
    </row>
    <row r="4169" spans="4:4" x14ac:dyDescent="0.3">
      <c r="D4169" t="str">
        <f t="shared" si="94"/>
        <v/>
      </c>
    </row>
    <row r="4170" spans="4:4" x14ac:dyDescent="0.3">
      <c r="D4170" t="str">
        <f t="shared" si="94"/>
        <v/>
      </c>
    </row>
    <row r="4171" spans="4:4" x14ac:dyDescent="0.3">
      <c r="D4171" t="str">
        <f t="shared" si="94"/>
        <v/>
      </c>
    </row>
    <row r="4172" spans="4:4" x14ac:dyDescent="0.3">
      <c r="D4172" t="str">
        <f t="shared" si="94"/>
        <v/>
      </c>
    </row>
    <row r="4173" spans="4:4" x14ac:dyDescent="0.3">
      <c r="D4173" t="str">
        <f t="shared" si="94"/>
        <v/>
      </c>
    </row>
    <row r="4174" spans="4:4" x14ac:dyDescent="0.3">
      <c r="D4174" t="str">
        <f t="shared" si="94"/>
        <v/>
      </c>
    </row>
    <row r="4175" spans="4:4" x14ac:dyDescent="0.3">
      <c r="D4175" t="str">
        <f t="shared" si="94"/>
        <v/>
      </c>
    </row>
    <row r="4176" spans="4:4" x14ac:dyDescent="0.3">
      <c r="D4176" t="str">
        <f t="shared" si="94"/>
        <v/>
      </c>
    </row>
    <row r="4177" spans="4:4" x14ac:dyDescent="0.3">
      <c r="D4177" t="str">
        <f t="shared" si="94"/>
        <v/>
      </c>
    </row>
    <row r="4178" spans="4:4" x14ac:dyDescent="0.3">
      <c r="D4178" t="str">
        <f t="shared" si="94"/>
        <v/>
      </c>
    </row>
    <row r="4179" spans="4:4" x14ac:dyDescent="0.3">
      <c r="D4179" t="str">
        <f t="shared" si="94"/>
        <v/>
      </c>
    </row>
    <row r="4180" spans="4:4" x14ac:dyDescent="0.3">
      <c r="D4180" t="str">
        <f t="shared" si="94"/>
        <v/>
      </c>
    </row>
    <row r="4181" spans="4:4" x14ac:dyDescent="0.3">
      <c r="D4181" t="str">
        <f t="shared" si="94"/>
        <v/>
      </c>
    </row>
    <row r="4182" spans="4:4" x14ac:dyDescent="0.3">
      <c r="D4182" t="str">
        <f t="shared" si="94"/>
        <v/>
      </c>
    </row>
    <row r="4183" spans="4:4" x14ac:dyDescent="0.3">
      <c r="D4183" t="str">
        <f t="shared" si="94"/>
        <v/>
      </c>
    </row>
    <row r="4184" spans="4:4" x14ac:dyDescent="0.3">
      <c r="D4184" t="str">
        <f t="shared" si="94"/>
        <v/>
      </c>
    </row>
    <row r="4185" spans="4:4" x14ac:dyDescent="0.3">
      <c r="D4185" t="str">
        <f t="shared" si="94"/>
        <v/>
      </c>
    </row>
    <row r="4186" spans="4:4" x14ac:dyDescent="0.3">
      <c r="D4186" t="str">
        <f t="shared" si="94"/>
        <v/>
      </c>
    </row>
    <row r="4187" spans="4:4" x14ac:dyDescent="0.3">
      <c r="D4187" t="str">
        <f t="shared" si="94"/>
        <v/>
      </c>
    </row>
    <row r="4188" spans="4:4" x14ac:dyDescent="0.3">
      <c r="D4188" t="str">
        <f t="shared" si="94"/>
        <v/>
      </c>
    </row>
    <row r="4189" spans="4:4" x14ac:dyDescent="0.3">
      <c r="D4189" t="str">
        <f t="shared" si="94"/>
        <v/>
      </c>
    </row>
    <row r="4190" spans="4:4" x14ac:dyDescent="0.3">
      <c r="D4190" t="str">
        <f t="shared" si="94"/>
        <v/>
      </c>
    </row>
    <row r="4191" spans="4:4" x14ac:dyDescent="0.3">
      <c r="D4191" t="str">
        <f t="shared" si="94"/>
        <v/>
      </c>
    </row>
    <row r="4192" spans="4:4" x14ac:dyDescent="0.3">
      <c r="D4192" t="str">
        <f t="shared" si="94"/>
        <v/>
      </c>
    </row>
    <row r="4193" spans="4:4" x14ac:dyDescent="0.3">
      <c r="D4193" t="str">
        <f t="shared" si="94"/>
        <v/>
      </c>
    </row>
    <row r="4194" spans="4:4" x14ac:dyDescent="0.3">
      <c r="D4194" t="str">
        <f t="shared" si="94"/>
        <v/>
      </c>
    </row>
    <row r="4195" spans="4:4" x14ac:dyDescent="0.3">
      <c r="D4195" t="str">
        <f t="shared" si="94"/>
        <v/>
      </c>
    </row>
    <row r="4196" spans="4:4" x14ac:dyDescent="0.3">
      <c r="D4196" t="str">
        <f t="shared" si="94"/>
        <v/>
      </c>
    </row>
    <row r="4197" spans="4:4" x14ac:dyDescent="0.3">
      <c r="D4197" t="str">
        <f t="shared" si="94"/>
        <v/>
      </c>
    </row>
    <row r="4198" spans="4:4" x14ac:dyDescent="0.3">
      <c r="D4198" t="str">
        <f t="shared" si="94"/>
        <v/>
      </c>
    </row>
    <row r="4199" spans="4:4" x14ac:dyDescent="0.3">
      <c r="D4199" t="str">
        <f t="shared" si="94"/>
        <v/>
      </c>
    </row>
    <row r="4200" spans="4:4" x14ac:dyDescent="0.3">
      <c r="D4200" t="str">
        <f t="shared" si="94"/>
        <v/>
      </c>
    </row>
    <row r="4201" spans="4:4" x14ac:dyDescent="0.3">
      <c r="D4201" t="str">
        <f t="shared" si="94"/>
        <v/>
      </c>
    </row>
    <row r="4202" spans="4:4" x14ac:dyDescent="0.3">
      <c r="D4202" t="str">
        <f t="shared" si="94"/>
        <v/>
      </c>
    </row>
    <row r="4203" spans="4:4" x14ac:dyDescent="0.3">
      <c r="D4203" t="str">
        <f t="shared" si="94"/>
        <v/>
      </c>
    </row>
    <row r="4204" spans="4:4" x14ac:dyDescent="0.3">
      <c r="D4204" t="str">
        <f t="shared" si="94"/>
        <v/>
      </c>
    </row>
    <row r="4205" spans="4:4" x14ac:dyDescent="0.3">
      <c r="D4205" t="str">
        <f t="shared" si="94"/>
        <v/>
      </c>
    </row>
    <row r="4206" spans="4:4" x14ac:dyDescent="0.3">
      <c r="D4206" t="str">
        <f t="shared" si="94"/>
        <v/>
      </c>
    </row>
    <row r="4207" spans="4:4" x14ac:dyDescent="0.3">
      <c r="D4207" t="str">
        <f t="shared" si="94"/>
        <v/>
      </c>
    </row>
    <row r="4208" spans="4:4" x14ac:dyDescent="0.3">
      <c r="D4208" t="str">
        <f t="shared" si="94"/>
        <v/>
      </c>
    </row>
    <row r="4209" spans="4:4" x14ac:dyDescent="0.3">
      <c r="D4209" t="str">
        <f t="shared" si="94"/>
        <v/>
      </c>
    </row>
    <row r="4210" spans="4:4" x14ac:dyDescent="0.3">
      <c r="D4210" t="str">
        <f t="shared" si="94"/>
        <v/>
      </c>
    </row>
    <row r="4211" spans="4:4" x14ac:dyDescent="0.3">
      <c r="D4211" t="str">
        <f t="shared" si="94"/>
        <v/>
      </c>
    </row>
    <row r="4212" spans="4:4" x14ac:dyDescent="0.3">
      <c r="D4212" t="str">
        <f t="shared" si="94"/>
        <v/>
      </c>
    </row>
    <row r="4213" spans="4:4" x14ac:dyDescent="0.3">
      <c r="D4213" t="str">
        <f t="shared" si="94"/>
        <v/>
      </c>
    </row>
    <row r="4214" spans="4:4" x14ac:dyDescent="0.3">
      <c r="D4214" t="str">
        <f t="shared" si="94"/>
        <v/>
      </c>
    </row>
    <row r="4215" spans="4:4" x14ac:dyDescent="0.3">
      <c r="D4215" t="str">
        <f t="shared" si="94"/>
        <v/>
      </c>
    </row>
    <row r="4216" spans="4:4" x14ac:dyDescent="0.3">
      <c r="D4216" t="str">
        <f t="shared" si="94"/>
        <v/>
      </c>
    </row>
    <row r="4217" spans="4:4" x14ac:dyDescent="0.3">
      <c r="D4217" t="str">
        <f t="shared" si="94"/>
        <v/>
      </c>
    </row>
    <row r="4218" spans="4:4" x14ac:dyDescent="0.3">
      <c r="D4218" t="str">
        <f t="shared" si="94"/>
        <v/>
      </c>
    </row>
    <row r="4219" spans="4:4" x14ac:dyDescent="0.3">
      <c r="D4219" t="str">
        <f t="shared" si="94"/>
        <v/>
      </c>
    </row>
    <row r="4220" spans="4:4" x14ac:dyDescent="0.3">
      <c r="D4220" t="str">
        <f t="shared" si="94"/>
        <v/>
      </c>
    </row>
    <row r="4221" spans="4:4" x14ac:dyDescent="0.3">
      <c r="D4221" t="str">
        <f t="shared" si="94"/>
        <v/>
      </c>
    </row>
    <row r="4222" spans="4:4" x14ac:dyDescent="0.3">
      <c r="D4222" t="str">
        <f t="shared" ref="D4222:D4285" si="95">IF(LEFT(A4222,2)="SP",MID(A4222,4,4),IF(LEFT(A4222,1)="X",MID(A4222,3,4),""))</f>
        <v/>
      </c>
    </row>
    <row r="4223" spans="4:4" x14ac:dyDescent="0.3">
      <c r="D4223" t="str">
        <f t="shared" si="95"/>
        <v/>
      </c>
    </row>
    <row r="4224" spans="4:4" x14ac:dyDescent="0.3">
      <c r="D4224" t="str">
        <f t="shared" si="95"/>
        <v/>
      </c>
    </row>
    <row r="4225" spans="4:4" x14ac:dyDescent="0.3">
      <c r="D4225" t="str">
        <f t="shared" si="95"/>
        <v/>
      </c>
    </row>
    <row r="4226" spans="4:4" x14ac:dyDescent="0.3">
      <c r="D4226" t="str">
        <f t="shared" si="95"/>
        <v/>
      </c>
    </row>
    <row r="4227" spans="4:4" x14ac:dyDescent="0.3">
      <c r="D4227" t="str">
        <f t="shared" si="95"/>
        <v/>
      </c>
    </row>
    <row r="4228" spans="4:4" x14ac:dyDescent="0.3">
      <c r="D4228" t="str">
        <f t="shared" si="95"/>
        <v/>
      </c>
    </row>
    <row r="4229" spans="4:4" x14ac:dyDescent="0.3">
      <c r="D4229" t="str">
        <f t="shared" si="95"/>
        <v/>
      </c>
    </row>
    <row r="4230" spans="4:4" x14ac:dyDescent="0.3">
      <c r="D4230" t="str">
        <f t="shared" si="95"/>
        <v/>
      </c>
    </row>
    <row r="4231" spans="4:4" x14ac:dyDescent="0.3">
      <c r="D4231" t="str">
        <f t="shared" si="95"/>
        <v/>
      </c>
    </row>
    <row r="4232" spans="4:4" x14ac:dyDescent="0.3">
      <c r="D4232" t="str">
        <f t="shared" si="95"/>
        <v/>
      </c>
    </row>
    <row r="4233" spans="4:4" x14ac:dyDescent="0.3">
      <c r="D4233" t="str">
        <f t="shared" si="95"/>
        <v/>
      </c>
    </row>
    <row r="4234" spans="4:4" x14ac:dyDescent="0.3">
      <c r="D4234" t="str">
        <f t="shared" si="95"/>
        <v/>
      </c>
    </row>
    <row r="4235" spans="4:4" x14ac:dyDescent="0.3">
      <c r="D4235" t="str">
        <f t="shared" si="95"/>
        <v/>
      </c>
    </row>
    <row r="4236" spans="4:4" x14ac:dyDescent="0.3">
      <c r="D4236" t="str">
        <f t="shared" si="95"/>
        <v/>
      </c>
    </row>
    <row r="4237" spans="4:4" x14ac:dyDescent="0.3">
      <c r="D4237" t="str">
        <f t="shared" si="95"/>
        <v/>
      </c>
    </row>
    <row r="4238" spans="4:4" x14ac:dyDescent="0.3">
      <c r="D4238" t="str">
        <f t="shared" si="95"/>
        <v/>
      </c>
    </row>
    <row r="4239" spans="4:4" x14ac:dyDescent="0.3">
      <c r="D4239" t="str">
        <f t="shared" si="95"/>
        <v/>
      </c>
    </row>
    <row r="4240" spans="4:4" x14ac:dyDescent="0.3">
      <c r="D4240" t="str">
        <f t="shared" si="95"/>
        <v/>
      </c>
    </row>
    <row r="4241" spans="4:4" x14ac:dyDescent="0.3">
      <c r="D4241" t="str">
        <f t="shared" si="95"/>
        <v/>
      </c>
    </row>
    <row r="4242" spans="4:4" x14ac:dyDescent="0.3">
      <c r="D4242" t="str">
        <f t="shared" si="95"/>
        <v/>
      </c>
    </row>
    <row r="4243" spans="4:4" x14ac:dyDescent="0.3">
      <c r="D4243" t="str">
        <f t="shared" si="95"/>
        <v/>
      </c>
    </row>
    <row r="4244" spans="4:4" x14ac:dyDescent="0.3">
      <c r="D4244" t="str">
        <f t="shared" si="95"/>
        <v/>
      </c>
    </row>
    <row r="4245" spans="4:4" x14ac:dyDescent="0.3">
      <c r="D4245" t="str">
        <f t="shared" si="95"/>
        <v/>
      </c>
    </row>
    <row r="4246" spans="4:4" x14ac:dyDescent="0.3">
      <c r="D4246" t="str">
        <f t="shared" si="95"/>
        <v/>
      </c>
    </row>
    <row r="4247" spans="4:4" x14ac:dyDescent="0.3">
      <c r="D4247" t="str">
        <f t="shared" si="95"/>
        <v/>
      </c>
    </row>
    <row r="4248" spans="4:4" x14ac:dyDescent="0.3">
      <c r="D4248" t="str">
        <f t="shared" si="95"/>
        <v/>
      </c>
    </row>
    <row r="4249" spans="4:4" x14ac:dyDescent="0.3">
      <c r="D4249" t="str">
        <f t="shared" si="95"/>
        <v/>
      </c>
    </row>
    <row r="4250" spans="4:4" x14ac:dyDescent="0.3">
      <c r="D4250" t="str">
        <f t="shared" si="95"/>
        <v/>
      </c>
    </row>
    <row r="4251" spans="4:4" x14ac:dyDescent="0.3">
      <c r="D4251" t="str">
        <f t="shared" si="95"/>
        <v/>
      </c>
    </row>
    <row r="4252" spans="4:4" x14ac:dyDescent="0.3">
      <c r="D4252" t="str">
        <f t="shared" si="95"/>
        <v/>
      </c>
    </row>
    <row r="4253" spans="4:4" x14ac:dyDescent="0.3">
      <c r="D4253" t="str">
        <f t="shared" si="95"/>
        <v/>
      </c>
    </row>
    <row r="4254" spans="4:4" x14ac:dyDescent="0.3">
      <c r="D4254" t="str">
        <f t="shared" si="95"/>
        <v/>
      </c>
    </row>
    <row r="4255" spans="4:4" x14ac:dyDescent="0.3">
      <c r="D4255" t="str">
        <f t="shared" si="95"/>
        <v/>
      </c>
    </row>
    <row r="4256" spans="4:4" x14ac:dyDescent="0.3">
      <c r="D4256" t="str">
        <f t="shared" si="95"/>
        <v/>
      </c>
    </row>
    <row r="4257" spans="4:4" x14ac:dyDescent="0.3">
      <c r="D4257" t="str">
        <f t="shared" si="95"/>
        <v/>
      </c>
    </row>
    <row r="4258" spans="4:4" x14ac:dyDescent="0.3">
      <c r="D4258" t="str">
        <f t="shared" si="95"/>
        <v/>
      </c>
    </row>
    <row r="4259" spans="4:4" x14ac:dyDescent="0.3">
      <c r="D4259" t="str">
        <f t="shared" si="95"/>
        <v/>
      </c>
    </row>
    <row r="4260" spans="4:4" x14ac:dyDescent="0.3">
      <c r="D4260" t="str">
        <f t="shared" si="95"/>
        <v/>
      </c>
    </row>
    <row r="4261" spans="4:4" x14ac:dyDescent="0.3">
      <c r="D4261" t="str">
        <f t="shared" si="95"/>
        <v/>
      </c>
    </row>
    <row r="4262" spans="4:4" x14ac:dyDescent="0.3">
      <c r="D4262" t="str">
        <f t="shared" si="95"/>
        <v/>
      </c>
    </row>
    <row r="4263" spans="4:4" x14ac:dyDescent="0.3">
      <c r="D4263" t="str">
        <f t="shared" si="95"/>
        <v/>
      </c>
    </row>
    <row r="4264" spans="4:4" x14ac:dyDescent="0.3">
      <c r="D4264" t="str">
        <f t="shared" si="95"/>
        <v/>
      </c>
    </row>
    <row r="4265" spans="4:4" x14ac:dyDescent="0.3">
      <c r="D4265" t="str">
        <f t="shared" si="95"/>
        <v/>
      </c>
    </row>
    <row r="4266" spans="4:4" x14ac:dyDescent="0.3">
      <c r="D4266" t="str">
        <f t="shared" si="95"/>
        <v/>
      </c>
    </row>
    <row r="4267" spans="4:4" x14ac:dyDescent="0.3">
      <c r="D4267" t="str">
        <f t="shared" si="95"/>
        <v/>
      </c>
    </row>
    <row r="4268" spans="4:4" x14ac:dyDescent="0.3">
      <c r="D4268" t="str">
        <f t="shared" si="95"/>
        <v/>
      </c>
    </row>
    <row r="4269" spans="4:4" x14ac:dyDescent="0.3">
      <c r="D4269" t="str">
        <f t="shared" si="95"/>
        <v/>
      </c>
    </row>
    <row r="4270" spans="4:4" x14ac:dyDescent="0.3">
      <c r="D4270" t="str">
        <f t="shared" si="95"/>
        <v/>
      </c>
    </row>
    <row r="4271" spans="4:4" x14ac:dyDescent="0.3">
      <c r="D4271" t="str">
        <f t="shared" si="95"/>
        <v/>
      </c>
    </row>
    <row r="4272" spans="4:4" x14ac:dyDescent="0.3">
      <c r="D4272" t="str">
        <f t="shared" si="95"/>
        <v/>
      </c>
    </row>
    <row r="4273" spans="4:4" x14ac:dyDescent="0.3">
      <c r="D4273" t="str">
        <f t="shared" si="95"/>
        <v/>
      </c>
    </row>
    <row r="4274" spans="4:4" x14ac:dyDescent="0.3">
      <c r="D4274" t="str">
        <f t="shared" si="95"/>
        <v/>
      </c>
    </row>
    <row r="4275" spans="4:4" x14ac:dyDescent="0.3">
      <c r="D4275" t="str">
        <f t="shared" si="95"/>
        <v/>
      </c>
    </row>
    <row r="4276" spans="4:4" x14ac:dyDescent="0.3">
      <c r="D4276" t="str">
        <f t="shared" si="95"/>
        <v/>
      </c>
    </row>
    <row r="4277" spans="4:4" x14ac:dyDescent="0.3">
      <c r="D4277" t="str">
        <f t="shared" si="95"/>
        <v/>
      </c>
    </row>
    <row r="4278" spans="4:4" x14ac:dyDescent="0.3">
      <c r="D4278" t="str">
        <f t="shared" si="95"/>
        <v/>
      </c>
    </row>
    <row r="4279" spans="4:4" x14ac:dyDescent="0.3">
      <c r="D4279" t="str">
        <f t="shared" si="95"/>
        <v/>
      </c>
    </row>
    <row r="4280" spans="4:4" x14ac:dyDescent="0.3">
      <c r="D4280" t="str">
        <f t="shared" si="95"/>
        <v/>
      </c>
    </row>
    <row r="4281" spans="4:4" x14ac:dyDescent="0.3">
      <c r="D4281" t="str">
        <f t="shared" si="95"/>
        <v/>
      </c>
    </row>
    <row r="4282" spans="4:4" x14ac:dyDescent="0.3">
      <c r="D4282" t="str">
        <f t="shared" si="95"/>
        <v/>
      </c>
    </row>
    <row r="4283" spans="4:4" x14ac:dyDescent="0.3">
      <c r="D4283" t="str">
        <f t="shared" si="95"/>
        <v/>
      </c>
    </row>
    <row r="4284" spans="4:4" x14ac:dyDescent="0.3">
      <c r="D4284" t="str">
        <f t="shared" si="95"/>
        <v/>
      </c>
    </row>
    <row r="4285" spans="4:4" x14ac:dyDescent="0.3">
      <c r="D4285" t="str">
        <f t="shared" si="95"/>
        <v/>
      </c>
    </row>
    <row r="4286" spans="4:4" x14ac:dyDescent="0.3">
      <c r="D4286" t="str">
        <f t="shared" ref="D4286:D4349" si="96">IF(LEFT(A4286,2)="SP",MID(A4286,4,4),IF(LEFT(A4286,1)="X",MID(A4286,3,4),""))</f>
        <v/>
      </c>
    </row>
    <row r="4287" spans="4:4" x14ac:dyDescent="0.3">
      <c r="D4287" t="str">
        <f t="shared" si="96"/>
        <v/>
      </c>
    </row>
    <row r="4288" spans="4:4" x14ac:dyDescent="0.3">
      <c r="D4288" t="str">
        <f t="shared" si="96"/>
        <v/>
      </c>
    </row>
    <row r="4289" spans="4:4" x14ac:dyDescent="0.3">
      <c r="D4289" t="str">
        <f t="shared" si="96"/>
        <v/>
      </c>
    </row>
    <row r="4290" spans="4:4" x14ac:dyDescent="0.3">
      <c r="D4290" t="str">
        <f t="shared" si="96"/>
        <v/>
      </c>
    </row>
    <row r="4291" spans="4:4" x14ac:dyDescent="0.3">
      <c r="D4291" t="str">
        <f t="shared" si="96"/>
        <v/>
      </c>
    </row>
    <row r="4292" spans="4:4" x14ac:dyDescent="0.3">
      <c r="D4292" t="str">
        <f t="shared" si="96"/>
        <v/>
      </c>
    </row>
    <row r="4293" spans="4:4" x14ac:dyDescent="0.3">
      <c r="D4293" t="str">
        <f t="shared" si="96"/>
        <v/>
      </c>
    </row>
    <row r="4294" spans="4:4" x14ac:dyDescent="0.3">
      <c r="D4294" t="str">
        <f t="shared" si="96"/>
        <v/>
      </c>
    </row>
    <row r="4295" spans="4:4" x14ac:dyDescent="0.3">
      <c r="D4295" t="str">
        <f t="shared" si="96"/>
        <v/>
      </c>
    </row>
    <row r="4296" spans="4:4" x14ac:dyDescent="0.3">
      <c r="D4296" t="str">
        <f t="shared" si="96"/>
        <v/>
      </c>
    </row>
    <row r="4297" spans="4:4" x14ac:dyDescent="0.3">
      <c r="D4297" t="str">
        <f t="shared" si="96"/>
        <v/>
      </c>
    </row>
    <row r="4298" spans="4:4" x14ac:dyDescent="0.3">
      <c r="D4298" t="str">
        <f t="shared" si="96"/>
        <v/>
      </c>
    </row>
    <row r="4299" spans="4:4" x14ac:dyDescent="0.3">
      <c r="D4299" t="str">
        <f t="shared" si="96"/>
        <v/>
      </c>
    </row>
    <row r="4300" spans="4:4" x14ac:dyDescent="0.3">
      <c r="D4300" t="str">
        <f t="shared" si="96"/>
        <v/>
      </c>
    </row>
    <row r="4301" spans="4:4" x14ac:dyDescent="0.3">
      <c r="D4301" t="str">
        <f t="shared" si="96"/>
        <v/>
      </c>
    </row>
    <row r="4302" spans="4:4" x14ac:dyDescent="0.3">
      <c r="D4302" t="str">
        <f t="shared" si="96"/>
        <v/>
      </c>
    </row>
    <row r="4303" spans="4:4" x14ac:dyDescent="0.3">
      <c r="D4303" t="str">
        <f t="shared" si="96"/>
        <v/>
      </c>
    </row>
    <row r="4304" spans="4:4" x14ac:dyDescent="0.3">
      <c r="D4304" t="str">
        <f t="shared" si="96"/>
        <v/>
      </c>
    </row>
    <row r="4305" spans="4:4" x14ac:dyDescent="0.3">
      <c r="D4305" t="str">
        <f t="shared" si="96"/>
        <v/>
      </c>
    </row>
    <row r="4306" spans="4:4" x14ac:dyDescent="0.3">
      <c r="D4306" t="str">
        <f t="shared" si="96"/>
        <v/>
      </c>
    </row>
    <row r="4307" spans="4:4" x14ac:dyDescent="0.3">
      <c r="D4307" t="str">
        <f t="shared" si="96"/>
        <v/>
      </c>
    </row>
    <row r="4308" spans="4:4" x14ac:dyDescent="0.3">
      <c r="D4308" t="str">
        <f t="shared" si="96"/>
        <v/>
      </c>
    </row>
    <row r="4309" spans="4:4" x14ac:dyDescent="0.3">
      <c r="D4309" t="str">
        <f t="shared" si="96"/>
        <v/>
      </c>
    </row>
    <row r="4310" spans="4:4" x14ac:dyDescent="0.3">
      <c r="D4310" t="str">
        <f t="shared" si="96"/>
        <v/>
      </c>
    </row>
    <row r="4311" spans="4:4" x14ac:dyDescent="0.3">
      <c r="D4311" t="str">
        <f t="shared" si="96"/>
        <v/>
      </c>
    </row>
    <row r="4312" spans="4:4" x14ac:dyDescent="0.3">
      <c r="D4312" t="str">
        <f t="shared" si="96"/>
        <v/>
      </c>
    </row>
    <row r="4313" spans="4:4" x14ac:dyDescent="0.3">
      <c r="D4313" t="str">
        <f t="shared" si="96"/>
        <v/>
      </c>
    </row>
    <row r="4314" spans="4:4" x14ac:dyDescent="0.3">
      <c r="D4314" t="str">
        <f t="shared" si="96"/>
        <v/>
      </c>
    </row>
    <row r="4315" spans="4:4" x14ac:dyDescent="0.3">
      <c r="D4315" t="str">
        <f t="shared" si="96"/>
        <v/>
      </c>
    </row>
    <row r="4316" spans="4:4" x14ac:dyDescent="0.3">
      <c r="D4316" t="str">
        <f t="shared" si="96"/>
        <v/>
      </c>
    </row>
    <row r="4317" spans="4:4" x14ac:dyDescent="0.3">
      <c r="D4317" t="str">
        <f t="shared" si="96"/>
        <v/>
      </c>
    </row>
    <row r="4318" spans="4:4" x14ac:dyDescent="0.3">
      <c r="D4318" t="str">
        <f t="shared" si="96"/>
        <v/>
      </c>
    </row>
    <row r="4319" spans="4:4" x14ac:dyDescent="0.3">
      <c r="D4319" t="str">
        <f t="shared" si="96"/>
        <v/>
      </c>
    </row>
    <row r="4320" spans="4:4" x14ac:dyDescent="0.3">
      <c r="D4320" t="str">
        <f t="shared" si="96"/>
        <v/>
      </c>
    </row>
    <row r="4321" spans="4:4" x14ac:dyDescent="0.3">
      <c r="D4321" t="str">
        <f t="shared" si="96"/>
        <v/>
      </c>
    </row>
    <row r="4322" spans="4:4" x14ac:dyDescent="0.3">
      <c r="D4322" t="str">
        <f t="shared" si="96"/>
        <v/>
      </c>
    </row>
    <row r="4323" spans="4:4" x14ac:dyDescent="0.3">
      <c r="D4323" t="str">
        <f t="shared" si="96"/>
        <v/>
      </c>
    </row>
    <row r="4324" spans="4:4" x14ac:dyDescent="0.3">
      <c r="D4324" t="str">
        <f t="shared" si="96"/>
        <v/>
      </c>
    </row>
    <row r="4325" spans="4:4" x14ac:dyDescent="0.3">
      <c r="D4325" t="str">
        <f t="shared" si="96"/>
        <v/>
      </c>
    </row>
    <row r="4326" spans="4:4" x14ac:dyDescent="0.3">
      <c r="D4326" t="str">
        <f t="shared" si="96"/>
        <v/>
      </c>
    </row>
    <row r="4327" spans="4:4" x14ac:dyDescent="0.3">
      <c r="D4327" t="str">
        <f t="shared" si="96"/>
        <v/>
      </c>
    </row>
    <row r="4328" spans="4:4" x14ac:dyDescent="0.3">
      <c r="D4328" t="str">
        <f t="shared" si="96"/>
        <v/>
      </c>
    </row>
    <row r="4329" spans="4:4" x14ac:dyDescent="0.3">
      <c r="D4329" t="str">
        <f t="shared" si="96"/>
        <v/>
      </c>
    </row>
    <row r="4330" spans="4:4" x14ac:dyDescent="0.3">
      <c r="D4330" t="str">
        <f t="shared" si="96"/>
        <v/>
      </c>
    </row>
    <row r="4331" spans="4:4" x14ac:dyDescent="0.3">
      <c r="D4331" t="str">
        <f t="shared" si="96"/>
        <v/>
      </c>
    </row>
    <row r="4332" spans="4:4" x14ac:dyDescent="0.3">
      <c r="D4332" t="str">
        <f t="shared" si="96"/>
        <v/>
      </c>
    </row>
    <row r="4333" spans="4:4" x14ac:dyDescent="0.3">
      <c r="D4333" t="str">
        <f t="shared" si="96"/>
        <v/>
      </c>
    </row>
    <row r="4334" spans="4:4" x14ac:dyDescent="0.3">
      <c r="D4334" t="str">
        <f t="shared" si="96"/>
        <v/>
      </c>
    </row>
    <row r="4335" spans="4:4" x14ac:dyDescent="0.3">
      <c r="D4335" t="str">
        <f t="shared" si="96"/>
        <v/>
      </c>
    </row>
    <row r="4336" spans="4:4" x14ac:dyDescent="0.3">
      <c r="D4336" t="str">
        <f t="shared" si="96"/>
        <v/>
      </c>
    </row>
    <row r="4337" spans="4:4" x14ac:dyDescent="0.3">
      <c r="D4337" t="str">
        <f t="shared" si="96"/>
        <v/>
      </c>
    </row>
    <row r="4338" spans="4:4" x14ac:dyDescent="0.3">
      <c r="D4338" t="str">
        <f t="shared" si="96"/>
        <v/>
      </c>
    </row>
    <row r="4339" spans="4:4" x14ac:dyDescent="0.3">
      <c r="D4339" t="str">
        <f t="shared" si="96"/>
        <v/>
      </c>
    </row>
    <row r="4340" spans="4:4" x14ac:dyDescent="0.3">
      <c r="D4340" t="str">
        <f t="shared" si="96"/>
        <v/>
      </c>
    </row>
    <row r="4341" spans="4:4" x14ac:dyDescent="0.3">
      <c r="D4341" t="str">
        <f t="shared" si="96"/>
        <v/>
      </c>
    </row>
    <row r="4342" spans="4:4" x14ac:dyDescent="0.3">
      <c r="D4342" t="str">
        <f t="shared" si="96"/>
        <v/>
      </c>
    </row>
    <row r="4343" spans="4:4" x14ac:dyDescent="0.3">
      <c r="D4343" t="str">
        <f t="shared" si="96"/>
        <v/>
      </c>
    </row>
    <row r="4344" spans="4:4" x14ac:dyDescent="0.3">
      <c r="D4344" t="str">
        <f t="shared" si="96"/>
        <v/>
      </c>
    </row>
    <row r="4345" spans="4:4" x14ac:dyDescent="0.3">
      <c r="D4345" t="str">
        <f t="shared" si="96"/>
        <v/>
      </c>
    </row>
    <row r="4346" spans="4:4" x14ac:dyDescent="0.3">
      <c r="D4346" t="str">
        <f t="shared" si="96"/>
        <v/>
      </c>
    </row>
    <row r="4347" spans="4:4" x14ac:dyDescent="0.3">
      <c r="D4347" t="str">
        <f t="shared" si="96"/>
        <v/>
      </c>
    </row>
    <row r="4348" spans="4:4" x14ac:dyDescent="0.3">
      <c r="D4348" t="str">
        <f t="shared" si="96"/>
        <v/>
      </c>
    </row>
    <row r="4349" spans="4:4" x14ac:dyDescent="0.3">
      <c r="D4349" t="str">
        <f t="shared" si="96"/>
        <v/>
      </c>
    </row>
    <row r="4350" spans="4:4" x14ac:dyDescent="0.3">
      <c r="D4350" t="str">
        <f t="shared" ref="D4350:D4413" si="97">IF(LEFT(A4350,2)="SP",MID(A4350,4,4),IF(LEFT(A4350,1)="X",MID(A4350,3,4),""))</f>
        <v/>
      </c>
    </row>
    <row r="4351" spans="4:4" x14ac:dyDescent="0.3">
      <c r="D4351" t="str">
        <f t="shared" si="97"/>
        <v/>
      </c>
    </row>
    <row r="4352" spans="4:4" x14ac:dyDescent="0.3">
      <c r="D4352" t="str">
        <f t="shared" si="97"/>
        <v/>
      </c>
    </row>
    <row r="4353" spans="4:4" x14ac:dyDescent="0.3">
      <c r="D4353" t="str">
        <f t="shared" si="97"/>
        <v/>
      </c>
    </row>
    <row r="4354" spans="4:4" x14ac:dyDescent="0.3">
      <c r="D4354" t="str">
        <f t="shared" si="97"/>
        <v/>
      </c>
    </row>
    <row r="4355" spans="4:4" x14ac:dyDescent="0.3">
      <c r="D4355" t="str">
        <f t="shared" si="97"/>
        <v/>
      </c>
    </row>
    <row r="4356" spans="4:4" x14ac:dyDescent="0.3">
      <c r="D4356" t="str">
        <f t="shared" si="97"/>
        <v/>
      </c>
    </row>
    <row r="4357" spans="4:4" x14ac:dyDescent="0.3">
      <c r="D4357" t="str">
        <f t="shared" si="97"/>
        <v/>
      </c>
    </row>
    <row r="4358" spans="4:4" x14ac:dyDescent="0.3">
      <c r="D4358" t="str">
        <f t="shared" si="97"/>
        <v/>
      </c>
    </row>
    <row r="4359" spans="4:4" x14ac:dyDescent="0.3">
      <c r="D4359" t="str">
        <f t="shared" si="97"/>
        <v/>
      </c>
    </row>
    <row r="4360" spans="4:4" x14ac:dyDescent="0.3">
      <c r="D4360" t="str">
        <f t="shared" si="97"/>
        <v/>
      </c>
    </row>
    <row r="4361" spans="4:4" x14ac:dyDescent="0.3">
      <c r="D4361" t="str">
        <f t="shared" si="97"/>
        <v/>
      </c>
    </row>
    <row r="4362" spans="4:4" x14ac:dyDescent="0.3">
      <c r="D4362" t="str">
        <f t="shared" si="97"/>
        <v/>
      </c>
    </row>
    <row r="4363" spans="4:4" x14ac:dyDescent="0.3">
      <c r="D4363" t="str">
        <f t="shared" si="97"/>
        <v/>
      </c>
    </row>
    <row r="4364" spans="4:4" x14ac:dyDescent="0.3">
      <c r="D4364" t="str">
        <f t="shared" si="97"/>
        <v/>
      </c>
    </row>
    <row r="4365" spans="4:4" x14ac:dyDescent="0.3">
      <c r="D4365" t="str">
        <f t="shared" si="97"/>
        <v/>
      </c>
    </row>
    <row r="4366" spans="4:4" x14ac:dyDescent="0.3">
      <c r="D4366" t="str">
        <f t="shared" si="97"/>
        <v/>
      </c>
    </row>
    <row r="4367" spans="4:4" x14ac:dyDescent="0.3">
      <c r="D4367" t="str">
        <f t="shared" si="97"/>
        <v/>
      </c>
    </row>
    <row r="4368" spans="4:4" x14ac:dyDescent="0.3">
      <c r="D4368" t="str">
        <f t="shared" si="97"/>
        <v/>
      </c>
    </row>
    <row r="4369" spans="4:4" x14ac:dyDescent="0.3">
      <c r="D4369" t="str">
        <f t="shared" si="97"/>
        <v/>
      </c>
    </row>
    <row r="4370" spans="4:4" x14ac:dyDescent="0.3">
      <c r="D4370" t="str">
        <f t="shared" si="97"/>
        <v/>
      </c>
    </row>
    <row r="4371" spans="4:4" x14ac:dyDescent="0.3">
      <c r="D4371" t="str">
        <f t="shared" si="97"/>
        <v/>
      </c>
    </row>
    <row r="4372" spans="4:4" x14ac:dyDescent="0.3">
      <c r="D4372" t="str">
        <f t="shared" si="97"/>
        <v/>
      </c>
    </row>
    <row r="4373" spans="4:4" x14ac:dyDescent="0.3">
      <c r="D4373" t="str">
        <f t="shared" si="97"/>
        <v/>
      </c>
    </row>
    <row r="4374" spans="4:4" x14ac:dyDescent="0.3">
      <c r="D4374" t="str">
        <f t="shared" si="97"/>
        <v/>
      </c>
    </row>
    <row r="4375" spans="4:4" x14ac:dyDescent="0.3">
      <c r="D4375" t="str">
        <f t="shared" si="97"/>
        <v/>
      </c>
    </row>
    <row r="4376" spans="4:4" x14ac:dyDescent="0.3">
      <c r="D4376" t="str">
        <f t="shared" si="97"/>
        <v/>
      </c>
    </row>
    <row r="4377" spans="4:4" x14ac:dyDescent="0.3">
      <c r="D4377" t="str">
        <f t="shared" si="97"/>
        <v/>
      </c>
    </row>
    <row r="4378" spans="4:4" x14ac:dyDescent="0.3">
      <c r="D4378" t="str">
        <f t="shared" si="97"/>
        <v/>
      </c>
    </row>
    <row r="4379" spans="4:4" x14ac:dyDescent="0.3">
      <c r="D4379" t="str">
        <f t="shared" si="97"/>
        <v/>
      </c>
    </row>
    <row r="4380" spans="4:4" x14ac:dyDescent="0.3">
      <c r="D4380" t="str">
        <f t="shared" si="97"/>
        <v/>
      </c>
    </row>
    <row r="4381" spans="4:4" x14ac:dyDescent="0.3">
      <c r="D4381" t="str">
        <f t="shared" si="97"/>
        <v/>
      </c>
    </row>
    <row r="4382" spans="4:4" x14ac:dyDescent="0.3">
      <c r="D4382" t="str">
        <f t="shared" si="97"/>
        <v/>
      </c>
    </row>
    <row r="4383" spans="4:4" x14ac:dyDescent="0.3">
      <c r="D4383" t="str">
        <f t="shared" si="97"/>
        <v/>
      </c>
    </row>
    <row r="4384" spans="4:4" x14ac:dyDescent="0.3">
      <c r="D4384" t="str">
        <f t="shared" si="97"/>
        <v/>
      </c>
    </row>
    <row r="4385" spans="4:4" x14ac:dyDescent="0.3">
      <c r="D4385" t="str">
        <f t="shared" si="97"/>
        <v/>
      </c>
    </row>
    <row r="4386" spans="4:4" x14ac:dyDescent="0.3">
      <c r="D4386" t="str">
        <f t="shared" si="97"/>
        <v/>
      </c>
    </row>
    <row r="4387" spans="4:4" x14ac:dyDescent="0.3">
      <c r="D4387" t="str">
        <f t="shared" si="97"/>
        <v/>
      </c>
    </row>
    <row r="4388" spans="4:4" x14ac:dyDescent="0.3">
      <c r="D4388" t="str">
        <f t="shared" si="97"/>
        <v/>
      </c>
    </row>
    <row r="4389" spans="4:4" x14ac:dyDescent="0.3">
      <c r="D4389" t="str">
        <f t="shared" si="97"/>
        <v/>
      </c>
    </row>
    <row r="4390" spans="4:4" x14ac:dyDescent="0.3">
      <c r="D4390" t="str">
        <f t="shared" si="97"/>
        <v/>
      </c>
    </row>
    <row r="4391" spans="4:4" x14ac:dyDescent="0.3">
      <c r="D4391" t="str">
        <f t="shared" si="97"/>
        <v/>
      </c>
    </row>
    <row r="4392" spans="4:4" x14ac:dyDescent="0.3">
      <c r="D4392" t="str">
        <f t="shared" si="97"/>
        <v/>
      </c>
    </row>
    <row r="4393" spans="4:4" x14ac:dyDescent="0.3">
      <c r="D4393" t="str">
        <f t="shared" si="97"/>
        <v/>
      </c>
    </row>
    <row r="4394" spans="4:4" x14ac:dyDescent="0.3">
      <c r="D4394" t="str">
        <f t="shared" si="97"/>
        <v/>
      </c>
    </row>
    <row r="4395" spans="4:4" x14ac:dyDescent="0.3">
      <c r="D4395" t="str">
        <f t="shared" si="97"/>
        <v/>
      </c>
    </row>
    <row r="4396" spans="4:4" x14ac:dyDescent="0.3">
      <c r="D4396" t="str">
        <f t="shared" si="97"/>
        <v/>
      </c>
    </row>
    <row r="4397" spans="4:4" x14ac:dyDescent="0.3">
      <c r="D4397" t="str">
        <f t="shared" si="97"/>
        <v/>
      </c>
    </row>
    <row r="4398" spans="4:4" x14ac:dyDescent="0.3">
      <c r="D4398" t="str">
        <f t="shared" si="97"/>
        <v/>
      </c>
    </row>
    <row r="4399" spans="4:4" x14ac:dyDescent="0.3">
      <c r="D4399" t="str">
        <f t="shared" si="97"/>
        <v/>
      </c>
    </row>
    <row r="4400" spans="4:4" x14ac:dyDescent="0.3">
      <c r="D4400" t="str">
        <f t="shared" si="97"/>
        <v/>
      </c>
    </row>
    <row r="4401" spans="4:4" x14ac:dyDescent="0.3">
      <c r="D4401" t="str">
        <f t="shared" si="97"/>
        <v/>
      </c>
    </row>
    <row r="4402" spans="4:4" x14ac:dyDescent="0.3">
      <c r="D4402" t="str">
        <f t="shared" si="97"/>
        <v/>
      </c>
    </row>
    <row r="4403" spans="4:4" x14ac:dyDescent="0.3">
      <c r="D4403" t="str">
        <f t="shared" si="97"/>
        <v/>
      </c>
    </row>
    <row r="4404" spans="4:4" x14ac:dyDescent="0.3">
      <c r="D4404" t="str">
        <f t="shared" si="97"/>
        <v/>
      </c>
    </row>
    <row r="4405" spans="4:4" x14ac:dyDescent="0.3">
      <c r="D4405" t="str">
        <f t="shared" si="97"/>
        <v/>
      </c>
    </row>
    <row r="4406" spans="4:4" x14ac:dyDescent="0.3">
      <c r="D4406" t="str">
        <f t="shared" si="97"/>
        <v/>
      </c>
    </row>
    <row r="4407" spans="4:4" x14ac:dyDescent="0.3">
      <c r="D4407" t="str">
        <f t="shared" si="97"/>
        <v/>
      </c>
    </row>
    <row r="4408" spans="4:4" x14ac:dyDescent="0.3">
      <c r="D4408" t="str">
        <f t="shared" si="97"/>
        <v/>
      </c>
    </row>
    <row r="4409" spans="4:4" x14ac:dyDescent="0.3">
      <c r="D4409" t="str">
        <f t="shared" si="97"/>
        <v/>
      </c>
    </row>
    <row r="4410" spans="4:4" x14ac:dyDescent="0.3">
      <c r="D4410" t="str">
        <f t="shared" si="97"/>
        <v/>
      </c>
    </row>
    <row r="4411" spans="4:4" x14ac:dyDescent="0.3">
      <c r="D4411" t="str">
        <f t="shared" si="97"/>
        <v/>
      </c>
    </row>
    <row r="4412" spans="4:4" x14ac:dyDescent="0.3">
      <c r="D4412" t="str">
        <f t="shared" si="97"/>
        <v/>
      </c>
    </row>
    <row r="4413" spans="4:4" x14ac:dyDescent="0.3">
      <c r="D4413" t="str">
        <f t="shared" si="97"/>
        <v/>
      </c>
    </row>
    <row r="4414" spans="4:4" x14ac:dyDescent="0.3">
      <c r="D4414" t="str">
        <f t="shared" ref="D4414:D4477" si="98">IF(LEFT(A4414,2)="SP",MID(A4414,4,4),IF(LEFT(A4414,1)="X",MID(A4414,3,4),""))</f>
        <v/>
      </c>
    </row>
    <row r="4415" spans="4:4" x14ac:dyDescent="0.3">
      <c r="D4415" t="str">
        <f t="shared" si="98"/>
        <v/>
      </c>
    </row>
    <row r="4416" spans="4:4" x14ac:dyDescent="0.3">
      <c r="D4416" t="str">
        <f t="shared" si="98"/>
        <v/>
      </c>
    </row>
    <row r="4417" spans="4:4" x14ac:dyDescent="0.3">
      <c r="D4417" t="str">
        <f t="shared" si="98"/>
        <v/>
      </c>
    </row>
    <row r="4418" spans="4:4" x14ac:dyDescent="0.3">
      <c r="D4418" t="str">
        <f t="shared" si="98"/>
        <v/>
      </c>
    </row>
    <row r="4419" spans="4:4" x14ac:dyDescent="0.3">
      <c r="D4419" t="str">
        <f t="shared" si="98"/>
        <v/>
      </c>
    </row>
    <row r="4420" spans="4:4" x14ac:dyDescent="0.3">
      <c r="D4420" t="str">
        <f t="shared" si="98"/>
        <v/>
      </c>
    </row>
    <row r="4421" spans="4:4" x14ac:dyDescent="0.3">
      <c r="D4421" t="str">
        <f t="shared" si="98"/>
        <v/>
      </c>
    </row>
    <row r="4422" spans="4:4" x14ac:dyDescent="0.3">
      <c r="D4422" t="str">
        <f t="shared" si="98"/>
        <v/>
      </c>
    </row>
    <row r="4423" spans="4:4" x14ac:dyDescent="0.3">
      <c r="D4423" t="str">
        <f t="shared" si="98"/>
        <v/>
      </c>
    </row>
    <row r="4424" spans="4:4" x14ac:dyDescent="0.3">
      <c r="D4424" t="str">
        <f t="shared" si="98"/>
        <v/>
      </c>
    </row>
    <row r="4425" spans="4:4" x14ac:dyDescent="0.3">
      <c r="D4425" t="str">
        <f t="shared" si="98"/>
        <v/>
      </c>
    </row>
    <row r="4426" spans="4:4" x14ac:dyDescent="0.3">
      <c r="D4426" t="str">
        <f t="shared" si="98"/>
        <v/>
      </c>
    </row>
    <row r="4427" spans="4:4" x14ac:dyDescent="0.3">
      <c r="D4427" t="str">
        <f t="shared" si="98"/>
        <v/>
      </c>
    </row>
    <row r="4428" spans="4:4" x14ac:dyDescent="0.3">
      <c r="D4428" t="str">
        <f t="shared" si="98"/>
        <v/>
      </c>
    </row>
    <row r="4429" spans="4:4" x14ac:dyDescent="0.3">
      <c r="D4429" t="str">
        <f t="shared" si="98"/>
        <v/>
      </c>
    </row>
    <row r="4430" spans="4:4" x14ac:dyDescent="0.3">
      <c r="D4430" t="str">
        <f t="shared" si="98"/>
        <v/>
      </c>
    </row>
    <row r="4431" spans="4:4" x14ac:dyDescent="0.3">
      <c r="D4431" t="str">
        <f t="shared" si="98"/>
        <v/>
      </c>
    </row>
    <row r="4432" spans="4:4" x14ac:dyDescent="0.3">
      <c r="D4432" t="str">
        <f t="shared" si="98"/>
        <v/>
      </c>
    </row>
    <row r="4433" spans="4:4" x14ac:dyDescent="0.3">
      <c r="D4433" t="str">
        <f t="shared" si="98"/>
        <v/>
      </c>
    </row>
    <row r="4434" spans="4:4" x14ac:dyDescent="0.3">
      <c r="D4434" t="str">
        <f t="shared" si="98"/>
        <v/>
      </c>
    </row>
    <row r="4435" spans="4:4" x14ac:dyDescent="0.3">
      <c r="D4435" t="str">
        <f t="shared" si="98"/>
        <v/>
      </c>
    </row>
    <row r="4436" spans="4:4" x14ac:dyDescent="0.3">
      <c r="D4436" t="str">
        <f t="shared" si="98"/>
        <v/>
      </c>
    </row>
    <row r="4437" spans="4:4" x14ac:dyDescent="0.3">
      <c r="D4437" t="str">
        <f t="shared" si="98"/>
        <v/>
      </c>
    </row>
    <row r="4438" spans="4:4" x14ac:dyDescent="0.3">
      <c r="D4438" t="str">
        <f t="shared" si="98"/>
        <v/>
      </c>
    </row>
    <row r="4439" spans="4:4" x14ac:dyDescent="0.3">
      <c r="D4439" t="str">
        <f t="shared" si="98"/>
        <v/>
      </c>
    </row>
    <row r="4440" spans="4:4" x14ac:dyDescent="0.3">
      <c r="D4440" t="str">
        <f t="shared" si="98"/>
        <v/>
      </c>
    </row>
    <row r="4441" spans="4:4" x14ac:dyDescent="0.3">
      <c r="D4441" t="str">
        <f t="shared" si="98"/>
        <v/>
      </c>
    </row>
    <row r="4442" spans="4:4" x14ac:dyDescent="0.3">
      <c r="D4442" t="str">
        <f t="shared" si="98"/>
        <v/>
      </c>
    </row>
    <row r="4443" spans="4:4" x14ac:dyDescent="0.3">
      <c r="D4443" t="str">
        <f t="shared" si="98"/>
        <v/>
      </c>
    </row>
    <row r="4444" spans="4:4" x14ac:dyDescent="0.3">
      <c r="D4444" t="str">
        <f t="shared" si="98"/>
        <v/>
      </c>
    </row>
    <row r="4445" spans="4:4" x14ac:dyDescent="0.3">
      <c r="D4445" t="str">
        <f t="shared" si="98"/>
        <v/>
      </c>
    </row>
    <row r="4446" spans="4:4" x14ac:dyDescent="0.3">
      <c r="D4446" t="str">
        <f t="shared" si="98"/>
        <v/>
      </c>
    </row>
    <row r="4447" spans="4:4" x14ac:dyDescent="0.3">
      <c r="D4447" t="str">
        <f t="shared" si="98"/>
        <v/>
      </c>
    </row>
    <row r="4448" spans="4:4" x14ac:dyDescent="0.3">
      <c r="D4448" t="str">
        <f t="shared" si="98"/>
        <v/>
      </c>
    </row>
    <row r="4449" spans="4:4" x14ac:dyDescent="0.3">
      <c r="D4449" t="str">
        <f t="shared" si="98"/>
        <v/>
      </c>
    </row>
    <row r="4450" spans="4:4" x14ac:dyDescent="0.3">
      <c r="D4450" t="str">
        <f t="shared" si="98"/>
        <v/>
      </c>
    </row>
    <row r="4451" spans="4:4" x14ac:dyDescent="0.3">
      <c r="D4451" t="str">
        <f t="shared" si="98"/>
        <v/>
      </c>
    </row>
    <row r="4452" spans="4:4" x14ac:dyDescent="0.3">
      <c r="D4452" t="str">
        <f t="shared" si="98"/>
        <v/>
      </c>
    </row>
    <row r="4453" spans="4:4" x14ac:dyDescent="0.3">
      <c r="D4453" t="str">
        <f t="shared" si="98"/>
        <v/>
      </c>
    </row>
    <row r="4454" spans="4:4" x14ac:dyDescent="0.3">
      <c r="D4454" t="str">
        <f t="shared" si="98"/>
        <v/>
      </c>
    </row>
    <row r="4455" spans="4:4" x14ac:dyDescent="0.3">
      <c r="D4455" t="str">
        <f t="shared" si="98"/>
        <v/>
      </c>
    </row>
    <row r="4456" spans="4:4" x14ac:dyDescent="0.3">
      <c r="D4456" t="str">
        <f t="shared" si="98"/>
        <v/>
      </c>
    </row>
    <row r="4457" spans="4:4" x14ac:dyDescent="0.3">
      <c r="D4457" t="str">
        <f t="shared" si="98"/>
        <v/>
      </c>
    </row>
    <row r="4458" spans="4:4" x14ac:dyDescent="0.3">
      <c r="D4458" t="str">
        <f t="shared" si="98"/>
        <v/>
      </c>
    </row>
    <row r="4459" spans="4:4" x14ac:dyDescent="0.3">
      <c r="D4459" t="str">
        <f t="shared" si="98"/>
        <v/>
      </c>
    </row>
    <row r="4460" spans="4:4" x14ac:dyDescent="0.3">
      <c r="D4460" t="str">
        <f t="shared" si="98"/>
        <v/>
      </c>
    </row>
    <row r="4461" spans="4:4" x14ac:dyDescent="0.3">
      <c r="D4461" t="str">
        <f t="shared" si="98"/>
        <v/>
      </c>
    </row>
    <row r="4462" spans="4:4" x14ac:dyDescent="0.3">
      <c r="D4462" t="str">
        <f t="shared" si="98"/>
        <v/>
      </c>
    </row>
    <row r="4463" spans="4:4" x14ac:dyDescent="0.3">
      <c r="D4463" t="str">
        <f t="shared" si="98"/>
        <v/>
      </c>
    </row>
    <row r="4464" spans="4:4" x14ac:dyDescent="0.3">
      <c r="D4464" t="str">
        <f t="shared" si="98"/>
        <v/>
      </c>
    </row>
    <row r="4465" spans="4:4" x14ac:dyDescent="0.3">
      <c r="D4465" t="str">
        <f t="shared" si="98"/>
        <v/>
      </c>
    </row>
    <row r="4466" spans="4:4" x14ac:dyDescent="0.3">
      <c r="D4466" t="str">
        <f t="shared" si="98"/>
        <v/>
      </c>
    </row>
    <row r="4467" spans="4:4" x14ac:dyDescent="0.3">
      <c r="D4467" t="str">
        <f t="shared" si="98"/>
        <v/>
      </c>
    </row>
    <row r="4468" spans="4:4" x14ac:dyDescent="0.3">
      <c r="D4468" t="str">
        <f t="shared" si="98"/>
        <v/>
      </c>
    </row>
    <row r="4469" spans="4:4" x14ac:dyDescent="0.3">
      <c r="D4469" t="str">
        <f t="shared" si="98"/>
        <v/>
      </c>
    </row>
    <row r="4470" spans="4:4" x14ac:dyDescent="0.3">
      <c r="D4470" t="str">
        <f t="shared" si="98"/>
        <v/>
      </c>
    </row>
    <row r="4471" spans="4:4" x14ac:dyDescent="0.3">
      <c r="D4471" t="str">
        <f t="shared" si="98"/>
        <v/>
      </c>
    </row>
    <row r="4472" spans="4:4" x14ac:dyDescent="0.3">
      <c r="D4472" t="str">
        <f t="shared" si="98"/>
        <v/>
      </c>
    </row>
    <row r="4473" spans="4:4" x14ac:dyDescent="0.3">
      <c r="D4473" t="str">
        <f t="shared" si="98"/>
        <v/>
      </c>
    </row>
    <row r="4474" spans="4:4" x14ac:dyDescent="0.3">
      <c r="D4474" t="str">
        <f t="shared" si="98"/>
        <v/>
      </c>
    </row>
    <row r="4475" spans="4:4" x14ac:dyDescent="0.3">
      <c r="D4475" t="str">
        <f t="shared" si="98"/>
        <v/>
      </c>
    </row>
    <row r="4476" spans="4:4" x14ac:dyDescent="0.3">
      <c r="D4476" t="str">
        <f t="shared" si="98"/>
        <v/>
      </c>
    </row>
    <row r="4477" spans="4:4" x14ac:dyDescent="0.3">
      <c r="D4477" t="str">
        <f t="shared" si="98"/>
        <v/>
      </c>
    </row>
    <row r="4478" spans="4:4" x14ac:dyDescent="0.3">
      <c r="D4478" t="str">
        <f t="shared" ref="D4478:D4541" si="99">IF(LEFT(A4478,2)="SP",MID(A4478,4,4),IF(LEFT(A4478,1)="X",MID(A4478,3,4),""))</f>
        <v/>
      </c>
    </row>
    <row r="4479" spans="4:4" x14ac:dyDescent="0.3">
      <c r="D4479" t="str">
        <f t="shared" si="99"/>
        <v/>
      </c>
    </row>
    <row r="4480" spans="4:4" x14ac:dyDescent="0.3">
      <c r="D4480" t="str">
        <f t="shared" si="99"/>
        <v/>
      </c>
    </row>
    <row r="4481" spans="4:4" x14ac:dyDescent="0.3">
      <c r="D4481" t="str">
        <f t="shared" si="99"/>
        <v/>
      </c>
    </row>
    <row r="4482" spans="4:4" x14ac:dyDescent="0.3">
      <c r="D4482" t="str">
        <f t="shared" si="99"/>
        <v/>
      </c>
    </row>
    <row r="4483" spans="4:4" x14ac:dyDescent="0.3">
      <c r="D4483" t="str">
        <f t="shared" si="99"/>
        <v/>
      </c>
    </row>
    <row r="4484" spans="4:4" x14ac:dyDescent="0.3">
      <c r="D4484" t="str">
        <f t="shared" si="99"/>
        <v/>
      </c>
    </row>
    <row r="4485" spans="4:4" x14ac:dyDescent="0.3">
      <c r="D4485" t="str">
        <f t="shared" si="99"/>
        <v/>
      </c>
    </row>
    <row r="4486" spans="4:4" x14ac:dyDescent="0.3">
      <c r="D4486" t="str">
        <f t="shared" si="99"/>
        <v/>
      </c>
    </row>
    <row r="4487" spans="4:4" x14ac:dyDescent="0.3">
      <c r="D4487" t="str">
        <f t="shared" si="99"/>
        <v/>
      </c>
    </row>
    <row r="4488" spans="4:4" x14ac:dyDescent="0.3">
      <c r="D4488" t="str">
        <f t="shared" si="99"/>
        <v/>
      </c>
    </row>
    <row r="4489" spans="4:4" x14ac:dyDescent="0.3">
      <c r="D4489" t="str">
        <f t="shared" si="99"/>
        <v/>
      </c>
    </row>
    <row r="4490" spans="4:4" x14ac:dyDescent="0.3">
      <c r="D4490" t="str">
        <f t="shared" si="99"/>
        <v/>
      </c>
    </row>
    <row r="4491" spans="4:4" x14ac:dyDescent="0.3">
      <c r="D4491" t="str">
        <f t="shared" si="99"/>
        <v/>
      </c>
    </row>
    <row r="4492" spans="4:4" x14ac:dyDescent="0.3">
      <c r="D4492" t="str">
        <f t="shared" si="99"/>
        <v/>
      </c>
    </row>
    <row r="4493" spans="4:4" x14ac:dyDescent="0.3">
      <c r="D4493" t="str">
        <f t="shared" si="99"/>
        <v/>
      </c>
    </row>
    <row r="4494" spans="4:4" x14ac:dyDescent="0.3">
      <c r="D4494" t="str">
        <f t="shared" si="99"/>
        <v/>
      </c>
    </row>
    <row r="4495" spans="4:4" x14ac:dyDescent="0.3">
      <c r="D4495" t="str">
        <f t="shared" si="99"/>
        <v/>
      </c>
    </row>
    <row r="4496" spans="4:4" x14ac:dyDescent="0.3">
      <c r="D4496" t="str">
        <f t="shared" si="99"/>
        <v/>
      </c>
    </row>
    <row r="4497" spans="4:4" x14ac:dyDescent="0.3">
      <c r="D4497" t="str">
        <f t="shared" si="99"/>
        <v/>
      </c>
    </row>
    <row r="4498" spans="4:4" x14ac:dyDescent="0.3">
      <c r="D4498" t="str">
        <f t="shared" si="99"/>
        <v/>
      </c>
    </row>
    <row r="4499" spans="4:4" x14ac:dyDescent="0.3">
      <c r="D4499" t="str">
        <f t="shared" si="99"/>
        <v/>
      </c>
    </row>
    <row r="4500" spans="4:4" x14ac:dyDescent="0.3">
      <c r="D4500" t="str">
        <f t="shared" si="99"/>
        <v/>
      </c>
    </row>
    <row r="4501" spans="4:4" x14ac:dyDescent="0.3">
      <c r="D4501" t="str">
        <f t="shared" si="99"/>
        <v/>
      </c>
    </row>
    <row r="4502" spans="4:4" x14ac:dyDescent="0.3">
      <c r="D4502" t="str">
        <f t="shared" si="99"/>
        <v/>
      </c>
    </row>
    <row r="4503" spans="4:4" x14ac:dyDescent="0.3">
      <c r="D4503" t="str">
        <f t="shared" si="99"/>
        <v/>
      </c>
    </row>
    <row r="4504" spans="4:4" x14ac:dyDescent="0.3">
      <c r="D4504" t="str">
        <f t="shared" si="99"/>
        <v/>
      </c>
    </row>
    <row r="4505" spans="4:4" x14ac:dyDescent="0.3">
      <c r="D4505" t="str">
        <f t="shared" si="99"/>
        <v/>
      </c>
    </row>
    <row r="4506" spans="4:4" x14ac:dyDescent="0.3">
      <c r="D4506" t="str">
        <f t="shared" si="99"/>
        <v/>
      </c>
    </row>
    <row r="4507" spans="4:4" x14ac:dyDescent="0.3">
      <c r="D4507" t="str">
        <f t="shared" si="99"/>
        <v/>
      </c>
    </row>
    <row r="4508" spans="4:4" x14ac:dyDescent="0.3">
      <c r="D4508" t="str">
        <f t="shared" si="99"/>
        <v/>
      </c>
    </row>
    <row r="4509" spans="4:4" x14ac:dyDescent="0.3">
      <c r="D4509" t="str">
        <f t="shared" si="99"/>
        <v/>
      </c>
    </row>
    <row r="4510" spans="4:4" x14ac:dyDescent="0.3">
      <c r="D4510" t="str">
        <f t="shared" si="99"/>
        <v/>
      </c>
    </row>
    <row r="4511" spans="4:4" x14ac:dyDescent="0.3">
      <c r="D4511" t="str">
        <f t="shared" si="99"/>
        <v/>
      </c>
    </row>
    <row r="4512" spans="4:4" x14ac:dyDescent="0.3">
      <c r="D4512" t="str">
        <f t="shared" si="99"/>
        <v/>
      </c>
    </row>
    <row r="4513" spans="4:4" x14ac:dyDescent="0.3">
      <c r="D4513" t="str">
        <f t="shared" si="99"/>
        <v/>
      </c>
    </row>
    <row r="4514" spans="4:4" x14ac:dyDescent="0.3">
      <c r="D4514" t="str">
        <f t="shared" si="99"/>
        <v/>
      </c>
    </row>
    <row r="4515" spans="4:4" x14ac:dyDescent="0.3">
      <c r="D4515" t="str">
        <f t="shared" si="99"/>
        <v/>
      </c>
    </row>
    <row r="4516" spans="4:4" x14ac:dyDescent="0.3">
      <c r="D4516" t="str">
        <f t="shared" si="99"/>
        <v/>
      </c>
    </row>
    <row r="4517" spans="4:4" x14ac:dyDescent="0.3">
      <c r="D4517" t="str">
        <f t="shared" si="99"/>
        <v/>
      </c>
    </row>
    <row r="4518" spans="4:4" x14ac:dyDescent="0.3">
      <c r="D4518" t="str">
        <f t="shared" si="99"/>
        <v/>
      </c>
    </row>
    <row r="4519" spans="4:4" x14ac:dyDescent="0.3">
      <c r="D4519" t="str">
        <f t="shared" si="99"/>
        <v/>
      </c>
    </row>
    <row r="4520" spans="4:4" x14ac:dyDescent="0.3">
      <c r="D4520" t="str">
        <f t="shared" si="99"/>
        <v/>
      </c>
    </row>
    <row r="4521" spans="4:4" x14ac:dyDescent="0.3">
      <c r="D4521" t="str">
        <f t="shared" si="99"/>
        <v/>
      </c>
    </row>
    <row r="4522" spans="4:4" x14ac:dyDescent="0.3">
      <c r="D4522" t="str">
        <f t="shared" si="99"/>
        <v/>
      </c>
    </row>
    <row r="4523" spans="4:4" x14ac:dyDescent="0.3">
      <c r="D4523" t="str">
        <f t="shared" si="99"/>
        <v/>
      </c>
    </row>
    <row r="4524" spans="4:4" x14ac:dyDescent="0.3">
      <c r="D4524" t="str">
        <f t="shared" si="99"/>
        <v/>
      </c>
    </row>
    <row r="4525" spans="4:4" x14ac:dyDescent="0.3">
      <c r="D4525" t="str">
        <f t="shared" si="99"/>
        <v/>
      </c>
    </row>
    <row r="4526" spans="4:4" x14ac:dyDescent="0.3">
      <c r="D4526" t="str">
        <f t="shared" si="99"/>
        <v/>
      </c>
    </row>
    <row r="4527" spans="4:4" x14ac:dyDescent="0.3">
      <c r="D4527" t="str">
        <f t="shared" si="99"/>
        <v/>
      </c>
    </row>
    <row r="4528" spans="4:4" x14ac:dyDescent="0.3">
      <c r="D4528" t="str">
        <f t="shared" si="99"/>
        <v/>
      </c>
    </row>
    <row r="4529" spans="4:4" x14ac:dyDescent="0.3">
      <c r="D4529" t="str">
        <f t="shared" si="99"/>
        <v/>
      </c>
    </row>
    <row r="4530" spans="4:4" x14ac:dyDescent="0.3">
      <c r="D4530" t="str">
        <f t="shared" si="99"/>
        <v/>
      </c>
    </row>
    <row r="4531" spans="4:4" x14ac:dyDescent="0.3">
      <c r="D4531" t="str">
        <f t="shared" si="99"/>
        <v/>
      </c>
    </row>
    <row r="4532" spans="4:4" x14ac:dyDescent="0.3">
      <c r="D4532" t="str">
        <f t="shared" si="99"/>
        <v/>
      </c>
    </row>
    <row r="4533" spans="4:4" x14ac:dyDescent="0.3">
      <c r="D4533" t="str">
        <f t="shared" si="99"/>
        <v/>
      </c>
    </row>
    <row r="4534" spans="4:4" x14ac:dyDescent="0.3">
      <c r="D4534" t="str">
        <f t="shared" si="99"/>
        <v/>
      </c>
    </row>
    <row r="4535" spans="4:4" x14ac:dyDescent="0.3">
      <c r="D4535" t="str">
        <f t="shared" si="99"/>
        <v/>
      </c>
    </row>
    <row r="4536" spans="4:4" x14ac:dyDescent="0.3">
      <c r="D4536" t="str">
        <f t="shared" si="99"/>
        <v/>
      </c>
    </row>
    <row r="4537" spans="4:4" x14ac:dyDescent="0.3">
      <c r="D4537" t="str">
        <f t="shared" si="99"/>
        <v/>
      </c>
    </row>
    <row r="4538" spans="4:4" x14ac:dyDescent="0.3">
      <c r="D4538" t="str">
        <f t="shared" si="99"/>
        <v/>
      </c>
    </row>
    <row r="4539" spans="4:4" x14ac:dyDescent="0.3">
      <c r="D4539" t="str">
        <f t="shared" si="99"/>
        <v/>
      </c>
    </row>
    <row r="4540" spans="4:4" x14ac:dyDescent="0.3">
      <c r="D4540" t="str">
        <f t="shared" si="99"/>
        <v/>
      </c>
    </row>
    <row r="4541" spans="4:4" x14ac:dyDescent="0.3">
      <c r="D4541" t="str">
        <f t="shared" si="99"/>
        <v/>
      </c>
    </row>
    <row r="4542" spans="4:4" x14ac:dyDescent="0.3">
      <c r="D4542" t="str">
        <f t="shared" ref="D4542:D4605" si="100">IF(LEFT(A4542,2)="SP",MID(A4542,4,4),IF(LEFT(A4542,1)="X",MID(A4542,3,4),""))</f>
        <v/>
      </c>
    </row>
    <row r="4543" spans="4:4" x14ac:dyDescent="0.3">
      <c r="D4543" t="str">
        <f t="shared" si="100"/>
        <v/>
      </c>
    </row>
    <row r="4544" spans="4:4" x14ac:dyDescent="0.3">
      <c r="D4544" t="str">
        <f t="shared" si="100"/>
        <v/>
      </c>
    </row>
    <row r="4545" spans="4:4" x14ac:dyDescent="0.3">
      <c r="D4545" t="str">
        <f t="shared" si="100"/>
        <v/>
      </c>
    </row>
    <row r="4546" spans="4:4" x14ac:dyDescent="0.3">
      <c r="D4546" t="str">
        <f t="shared" si="100"/>
        <v/>
      </c>
    </row>
    <row r="4547" spans="4:4" x14ac:dyDescent="0.3">
      <c r="D4547" t="str">
        <f t="shared" si="100"/>
        <v/>
      </c>
    </row>
    <row r="4548" spans="4:4" x14ac:dyDescent="0.3">
      <c r="D4548" t="str">
        <f t="shared" si="100"/>
        <v/>
      </c>
    </row>
    <row r="4549" spans="4:4" x14ac:dyDescent="0.3">
      <c r="D4549" t="str">
        <f t="shared" si="100"/>
        <v/>
      </c>
    </row>
    <row r="4550" spans="4:4" x14ac:dyDescent="0.3">
      <c r="D4550" t="str">
        <f t="shared" si="100"/>
        <v/>
      </c>
    </row>
    <row r="4551" spans="4:4" x14ac:dyDescent="0.3">
      <c r="D4551" t="str">
        <f t="shared" si="100"/>
        <v/>
      </c>
    </row>
    <row r="4552" spans="4:4" x14ac:dyDescent="0.3">
      <c r="D4552" t="str">
        <f t="shared" si="100"/>
        <v/>
      </c>
    </row>
    <row r="4553" spans="4:4" x14ac:dyDescent="0.3">
      <c r="D4553" t="str">
        <f t="shared" si="100"/>
        <v/>
      </c>
    </row>
    <row r="4554" spans="4:4" x14ac:dyDescent="0.3">
      <c r="D4554" t="str">
        <f t="shared" si="100"/>
        <v/>
      </c>
    </row>
    <row r="4555" spans="4:4" x14ac:dyDescent="0.3">
      <c r="D4555" t="str">
        <f t="shared" si="100"/>
        <v/>
      </c>
    </row>
    <row r="4556" spans="4:4" x14ac:dyDescent="0.3">
      <c r="D4556" t="str">
        <f t="shared" si="100"/>
        <v/>
      </c>
    </row>
    <row r="4557" spans="4:4" x14ac:dyDescent="0.3">
      <c r="D4557" t="str">
        <f t="shared" si="100"/>
        <v/>
      </c>
    </row>
    <row r="4558" spans="4:4" x14ac:dyDescent="0.3">
      <c r="D4558" t="str">
        <f t="shared" si="100"/>
        <v/>
      </c>
    </row>
    <row r="4559" spans="4:4" x14ac:dyDescent="0.3">
      <c r="D4559" t="str">
        <f t="shared" si="100"/>
        <v/>
      </c>
    </row>
    <row r="4560" spans="4:4" x14ac:dyDescent="0.3">
      <c r="D4560" t="str">
        <f t="shared" si="100"/>
        <v/>
      </c>
    </row>
    <row r="4561" spans="4:4" x14ac:dyDescent="0.3">
      <c r="D4561" t="str">
        <f t="shared" si="100"/>
        <v/>
      </c>
    </row>
    <row r="4562" spans="4:4" x14ac:dyDescent="0.3">
      <c r="D4562" t="str">
        <f t="shared" si="100"/>
        <v/>
      </c>
    </row>
    <row r="4563" spans="4:4" x14ac:dyDescent="0.3">
      <c r="D4563" t="str">
        <f t="shared" si="100"/>
        <v/>
      </c>
    </row>
    <row r="4564" spans="4:4" x14ac:dyDescent="0.3">
      <c r="D4564" t="str">
        <f t="shared" si="100"/>
        <v/>
      </c>
    </row>
    <row r="4565" spans="4:4" x14ac:dyDescent="0.3">
      <c r="D4565" t="str">
        <f t="shared" si="100"/>
        <v/>
      </c>
    </row>
    <row r="4566" spans="4:4" x14ac:dyDescent="0.3">
      <c r="D4566" t="str">
        <f t="shared" si="100"/>
        <v/>
      </c>
    </row>
    <row r="4567" spans="4:4" x14ac:dyDescent="0.3">
      <c r="D4567" t="str">
        <f t="shared" si="100"/>
        <v/>
      </c>
    </row>
    <row r="4568" spans="4:4" x14ac:dyDescent="0.3">
      <c r="D4568" t="str">
        <f t="shared" si="100"/>
        <v/>
      </c>
    </row>
    <row r="4569" spans="4:4" x14ac:dyDescent="0.3">
      <c r="D4569" t="str">
        <f t="shared" si="100"/>
        <v/>
      </c>
    </row>
    <row r="4570" spans="4:4" x14ac:dyDescent="0.3">
      <c r="D4570" t="str">
        <f t="shared" si="100"/>
        <v/>
      </c>
    </row>
    <row r="4571" spans="4:4" x14ac:dyDescent="0.3">
      <c r="D4571" t="str">
        <f t="shared" si="100"/>
        <v/>
      </c>
    </row>
    <row r="4572" spans="4:4" x14ac:dyDescent="0.3">
      <c r="D4572" t="str">
        <f t="shared" si="100"/>
        <v/>
      </c>
    </row>
    <row r="4573" spans="4:4" x14ac:dyDescent="0.3">
      <c r="D4573" t="str">
        <f t="shared" si="100"/>
        <v/>
      </c>
    </row>
    <row r="4574" spans="4:4" x14ac:dyDescent="0.3">
      <c r="D4574" t="str">
        <f t="shared" si="100"/>
        <v/>
      </c>
    </row>
    <row r="4575" spans="4:4" x14ac:dyDescent="0.3">
      <c r="D4575" t="str">
        <f t="shared" si="100"/>
        <v/>
      </c>
    </row>
    <row r="4576" spans="4:4" x14ac:dyDescent="0.3">
      <c r="D4576" t="str">
        <f t="shared" si="100"/>
        <v/>
      </c>
    </row>
    <row r="4577" spans="4:4" x14ac:dyDescent="0.3">
      <c r="D4577" t="str">
        <f t="shared" si="100"/>
        <v/>
      </c>
    </row>
    <row r="4578" spans="4:4" x14ac:dyDescent="0.3">
      <c r="D4578" t="str">
        <f t="shared" si="100"/>
        <v/>
      </c>
    </row>
    <row r="4579" spans="4:4" x14ac:dyDescent="0.3">
      <c r="D4579" t="str">
        <f t="shared" si="100"/>
        <v/>
      </c>
    </row>
    <row r="4580" spans="4:4" x14ac:dyDescent="0.3">
      <c r="D4580" t="str">
        <f t="shared" si="100"/>
        <v/>
      </c>
    </row>
    <row r="4581" spans="4:4" x14ac:dyDescent="0.3">
      <c r="D4581" t="str">
        <f t="shared" si="100"/>
        <v/>
      </c>
    </row>
    <row r="4582" spans="4:4" x14ac:dyDescent="0.3">
      <c r="D4582" t="str">
        <f t="shared" si="100"/>
        <v/>
      </c>
    </row>
    <row r="4583" spans="4:4" x14ac:dyDescent="0.3">
      <c r="D4583" t="str">
        <f t="shared" si="100"/>
        <v/>
      </c>
    </row>
    <row r="4584" spans="4:4" x14ac:dyDescent="0.3">
      <c r="D4584" t="str">
        <f t="shared" si="100"/>
        <v/>
      </c>
    </row>
    <row r="4585" spans="4:4" x14ac:dyDescent="0.3">
      <c r="D4585" t="str">
        <f t="shared" si="100"/>
        <v/>
      </c>
    </row>
    <row r="4586" spans="4:4" x14ac:dyDescent="0.3">
      <c r="D4586" t="str">
        <f t="shared" si="100"/>
        <v/>
      </c>
    </row>
    <row r="4587" spans="4:4" x14ac:dyDescent="0.3">
      <c r="D4587" t="str">
        <f t="shared" si="100"/>
        <v/>
      </c>
    </row>
    <row r="4588" spans="4:4" x14ac:dyDescent="0.3">
      <c r="D4588" t="str">
        <f t="shared" si="100"/>
        <v/>
      </c>
    </row>
    <row r="4589" spans="4:4" x14ac:dyDescent="0.3">
      <c r="D4589" t="str">
        <f t="shared" si="100"/>
        <v/>
      </c>
    </row>
    <row r="4590" spans="4:4" x14ac:dyDescent="0.3">
      <c r="D4590" t="str">
        <f t="shared" si="100"/>
        <v/>
      </c>
    </row>
    <row r="4591" spans="4:4" x14ac:dyDescent="0.3">
      <c r="D4591" t="str">
        <f t="shared" si="100"/>
        <v/>
      </c>
    </row>
    <row r="4592" spans="4:4" x14ac:dyDescent="0.3">
      <c r="D4592" t="str">
        <f t="shared" si="100"/>
        <v/>
      </c>
    </row>
    <row r="4593" spans="4:4" x14ac:dyDescent="0.3">
      <c r="D4593" t="str">
        <f t="shared" si="100"/>
        <v/>
      </c>
    </row>
    <row r="4594" spans="4:4" x14ac:dyDescent="0.3">
      <c r="D4594" t="str">
        <f t="shared" si="100"/>
        <v/>
      </c>
    </row>
    <row r="4595" spans="4:4" x14ac:dyDescent="0.3">
      <c r="D4595" t="str">
        <f t="shared" si="100"/>
        <v/>
      </c>
    </row>
    <row r="4596" spans="4:4" x14ac:dyDescent="0.3">
      <c r="D4596" t="str">
        <f t="shared" si="100"/>
        <v/>
      </c>
    </row>
    <row r="4597" spans="4:4" x14ac:dyDescent="0.3">
      <c r="D4597" t="str">
        <f t="shared" si="100"/>
        <v/>
      </c>
    </row>
    <row r="4598" spans="4:4" x14ac:dyDescent="0.3">
      <c r="D4598" t="str">
        <f t="shared" si="100"/>
        <v/>
      </c>
    </row>
    <row r="4599" spans="4:4" x14ac:dyDescent="0.3">
      <c r="D4599" t="str">
        <f t="shared" si="100"/>
        <v/>
      </c>
    </row>
    <row r="4600" spans="4:4" x14ac:dyDescent="0.3">
      <c r="D4600" t="str">
        <f t="shared" si="100"/>
        <v/>
      </c>
    </row>
    <row r="4601" spans="4:4" x14ac:dyDescent="0.3">
      <c r="D4601" t="str">
        <f t="shared" si="100"/>
        <v/>
      </c>
    </row>
    <row r="4602" spans="4:4" x14ac:dyDescent="0.3">
      <c r="D4602" t="str">
        <f t="shared" si="100"/>
        <v/>
      </c>
    </row>
    <row r="4603" spans="4:4" x14ac:dyDescent="0.3">
      <c r="D4603" t="str">
        <f t="shared" si="100"/>
        <v/>
      </c>
    </row>
    <row r="4604" spans="4:4" x14ac:dyDescent="0.3">
      <c r="D4604" t="str">
        <f t="shared" si="100"/>
        <v/>
      </c>
    </row>
    <row r="4605" spans="4:4" x14ac:dyDescent="0.3">
      <c r="D4605" t="str">
        <f t="shared" si="100"/>
        <v/>
      </c>
    </row>
    <row r="4606" spans="4:4" x14ac:dyDescent="0.3">
      <c r="D4606" t="str">
        <f t="shared" ref="D4606:D4669" si="101">IF(LEFT(A4606,2)="SP",MID(A4606,4,4),IF(LEFT(A4606,1)="X",MID(A4606,3,4),""))</f>
        <v/>
      </c>
    </row>
    <row r="4607" spans="4:4" x14ac:dyDescent="0.3">
      <c r="D4607" t="str">
        <f t="shared" si="101"/>
        <v/>
      </c>
    </row>
    <row r="4608" spans="4:4" x14ac:dyDescent="0.3">
      <c r="D4608" t="str">
        <f t="shared" si="101"/>
        <v/>
      </c>
    </row>
    <row r="4609" spans="4:4" x14ac:dyDescent="0.3">
      <c r="D4609" t="str">
        <f t="shared" si="101"/>
        <v/>
      </c>
    </row>
    <row r="4610" spans="4:4" x14ac:dyDescent="0.3">
      <c r="D4610" t="str">
        <f t="shared" si="101"/>
        <v/>
      </c>
    </row>
    <row r="4611" spans="4:4" x14ac:dyDescent="0.3">
      <c r="D4611" t="str">
        <f t="shared" si="101"/>
        <v/>
      </c>
    </row>
    <row r="4612" spans="4:4" x14ac:dyDescent="0.3">
      <c r="D4612" t="str">
        <f t="shared" si="101"/>
        <v/>
      </c>
    </row>
    <row r="4613" spans="4:4" x14ac:dyDescent="0.3">
      <c r="D4613" t="str">
        <f t="shared" si="101"/>
        <v/>
      </c>
    </row>
    <row r="4614" spans="4:4" x14ac:dyDescent="0.3">
      <c r="D4614" t="str">
        <f t="shared" si="101"/>
        <v/>
      </c>
    </row>
    <row r="4615" spans="4:4" x14ac:dyDescent="0.3">
      <c r="D4615" t="str">
        <f t="shared" si="101"/>
        <v/>
      </c>
    </row>
    <row r="4616" spans="4:4" x14ac:dyDescent="0.3">
      <c r="D4616" t="str">
        <f t="shared" si="101"/>
        <v/>
      </c>
    </row>
    <row r="4617" spans="4:4" x14ac:dyDescent="0.3">
      <c r="D4617" t="str">
        <f t="shared" si="101"/>
        <v/>
      </c>
    </row>
    <row r="4618" spans="4:4" x14ac:dyDescent="0.3">
      <c r="D4618" t="str">
        <f t="shared" si="101"/>
        <v/>
      </c>
    </row>
    <row r="4619" spans="4:4" x14ac:dyDescent="0.3">
      <c r="D4619" t="str">
        <f t="shared" si="101"/>
        <v/>
      </c>
    </row>
    <row r="4620" spans="4:4" x14ac:dyDescent="0.3">
      <c r="D4620" t="str">
        <f t="shared" si="101"/>
        <v/>
      </c>
    </row>
    <row r="4621" spans="4:4" x14ac:dyDescent="0.3">
      <c r="D4621" t="str">
        <f t="shared" si="101"/>
        <v/>
      </c>
    </row>
    <row r="4622" spans="4:4" x14ac:dyDescent="0.3">
      <c r="D4622" t="str">
        <f t="shared" si="101"/>
        <v/>
      </c>
    </row>
    <row r="4623" spans="4:4" x14ac:dyDescent="0.3">
      <c r="D4623" t="str">
        <f t="shared" si="101"/>
        <v/>
      </c>
    </row>
    <row r="4624" spans="4:4" x14ac:dyDescent="0.3">
      <c r="D4624" t="str">
        <f t="shared" si="101"/>
        <v/>
      </c>
    </row>
    <row r="4625" spans="4:4" x14ac:dyDescent="0.3">
      <c r="D4625" t="str">
        <f t="shared" si="101"/>
        <v/>
      </c>
    </row>
    <row r="4626" spans="4:4" x14ac:dyDescent="0.3">
      <c r="D4626" t="str">
        <f t="shared" si="101"/>
        <v/>
      </c>
    </row>
    <row r="4627" spans="4:4" x14ac:dyDescent="0.3">
      <c r="D4627" t="str">
        <f t="shared" si="101"/>
        <v/>
      </c>
    </row>
    <row r="4628" spans="4:4" x14ac:dyDescent="0.3">
      <c r="D4628" t="str">
        <f t="shared" si="101"/>
        <v/>
      </c>
    </row>
    <row r="4629" spans="4:4" x14ac:dyDescent="0.3">
      <c r="D4629" t="str">
        <f t="shared" si="101"/>
        <v/>
      </c>
    </row>
    <row r="4630" spans="4:4" x14ac:dyDescent="0.3">
      <c r="D4630" t="str">
        <f t="shared" si="101"/>
        <v/>
      </c>
    </row>
    <row r="4631" spans="4:4" x14ac:dyDescent="0.3">
      <c r="D4631" t="str">
        <f t="shared" si="101"/>
        <v/>
      </c>
    </row>
    <row r="4632" spans="4:4" x14ac:dyDescent="0.3">
      <c r="D4632" t="str">
        <f t="shared" si="101"/>
        <v/>
      </c>
    </row>
    <row r="4633" spans="4:4" x14ac:dyDescent="0.3">
      <c r="D4633" t="str">
        <f t="shared" si="101"/>
        <v/>
      </c>
    </row>
    <row r="4634" spans="4:4" x14ac:dyDescent="0.3">
      <c r="D4634" t="str">
        <f t="shared" si="101"/>
        <v/>
      </c>
    </row>
    <row r="4635" spans="4:4" x14ac:dyDescent="0.3">
      <c r="D4635" t="str">
        <f t="shared" si="101"/>
        <v/>
      </c>
    </row>
    <row r="4636" spans="4:4" x14ac:dyDescent="0.3">
      <c r="D4636" t="str">
        <f t="shared" si="101"/>
        <v/>
      </c>
    </row>
    <row r="4637" spans="4:4" x14ac:dyDescent="0.3">
      <c r="D4637" t="str">
        <f t="shared" si="101"/>
        <v/>
      </c>
    </row>
    <row r="4638" spans="4:4" x14ac:dyDescent="0.3">
      <c r="D4638" t="str">
        <f t="shared" si="101"/>
        <v/>
      </c>
    </row>
    <row r="4639" spans="4:4" x14ac:dyDescent="0.3">
      <c r="D4639" t="str">
        <f t="shared" si="101"/>
        <v/>
      </c>
    </row>
    <row r="4640" spans="4:4" x14ac:dyDescent="0.3">
      <c r="D4640" t="str">
        <f t="shared" si="101"/>
        <v/>
      </c>
    </row>
    <row r="4641" spans="4:4" x14ac:dyDescent="0.3">
      <c r="D4641" t="str">
        <f t="shared" si="101"/>
        <v/>
      </c>
    </row>
    <row r="4642" spans="4:4" x14ac:dyDescent="0.3">
      <c r="D4642" t="str">
        <f t="shared" si="101"/>
        <v/>
      </c>
    </row>
    <row r="4643" spans="4:4" x14ac:dyDescent="0.3">
      <c r="D4643" t="str">
        <f t="shared" si="101"/>
        <v/>
      </c>
    </row>
    <row r="4644" spans="4:4" x14ac:dyDescent="0.3">
      <c r="D4644" t="str">
        <f t="shared" si="101"/>
        <v/>
      </c>
    </row>
    <row r="4645" spans="4:4" x14ac:dyDescent="0.3">
      <c r="D4645" t="str">
        <f t="shared" si="101"/>
        <v/>
      </c>
    </row>
    <row r="4646" spans="4:4" x14ac:dyDescent="0.3">
      <c r="D4646" t="str">
        <f t="shared" si="101"/>
        <v/>
      </c>
    </row>
    <row r="4647" spans="4:4" x14ac:dyDescent="0.3">
      <c r="D4647" t="str">
        <f t="shared" si="101"/>
        <v/>
      </c>
    </row>
    <row r="4648" spans="4:4" x14ac:dyDescent="0.3">
      <c r="D4648" t="str">
        <f t="shared" si="101"/>
        <v/>
      </c>
    </row>
    <row r="4649" spans="4:4" x14ac:dyDescent="0.3">
      <c r="D4649" t="str">
        <f t="shared" si="101"/>
        <v/>
      </c>
    </row>
    <row r="4650" spans="4:4" x14ac:dyDescent="0.3">
      <c r="D4650" t="str">
        <f t="shared" si="101"/>
        <v/>
      </c>
    </row>
    <row r="4651" spans="4:4" x14ac:dyDescent="0.3">
      <c r="D4651" t="str">
        <f t="shared" si="101"/>
        <v/>
      </c>
    </row>
    <row r="4652" spans="4:4" x14ac:dyDescent="0.3">
      <c r="D4652" t="str">
        <f t="shared" si="101"/>
        <v/>
      </c>
    </row>
    <row r="4653" spans="4:4" x14ac:dyDescent="0.3">
      <c r="D4653" t="str">
        <f t="shared" si="101"/>
        <v/>
      </c>
    </row>
    <row r="4654" spans="4:4" x14ac:dyDescent="0.3">
      <c r="D4654" t="str">
        <f t="shared" si="101"/>
        <v/>
      </c>
    </row>
    <row r="4655" spans="4:4" x14ac:dyDescent="0.3">
      <c r="D4655" t="str">
        <f t="shared" si="101"/>
        <v/>
      </c>
    </row>
    <row r="4656" spans="4:4" x14ac:dyDescent="0.3">
      <c r="D4656" t="str">
        <f t="shared" si="101"/>
        <v/>
      </c>
    </row>
    <row r="4657" spans="4:4" x14ac:dyDescent="0.3">
      <c r="D4657" t="str">
        <f t="shared" si="101"/>
        <v/>
      </c>
    </row>
    <row r="4658" spans="4:4" x14ac:dyDescent="0.3">
      <c r="D4658" t="str">
        <f t="shared" si="101"/>
        <v/>
      </c>
    </row>
    <row r="4659" spans="4:4" x14ac:dyDescent="0.3">
      <c r="D4659" t="str">
        <f t="shared" si="101"/>
        <v/>
      </c>
    </row>
    <row r="4660" spans="4:4" x14ac:dyDescent="0.3">
      <c r="D4660" t="str">
        <f t="shared" si="101"/>
        <v/>
      </c>
    </row>
    <row r="4661" spans="4:4" x14ac:dyDescent="0.3">
      <c r="D4661" t="str">
        <f t="shared" si="101"/>
        <v/>
      </c>
    </row>
    <row r="4662" spans="4:4" x14ac:dyDescent="0.3">
      <c r="D4662" t="str">
        <f t="shared" si="101"/>
        <v/>
      </c>
    </row>
    <row r="4663" spans="4:4" x14ac:dyDescent="0.3">
      <c r="D4663" t="str">
        <f t="shared" si="101"/>
        <v/>
      </c>
    </row>
    <row r="4664" spans="4:4" x14ac:dyDescent="0.3">
      <c r="D4664" t="str">
        <f t="shared" si="101"/>
        <v/>
      </c>
    </row>
    <row r="4665" spans="4:4" x14ac:dyDescent="0.3">
      <c r="D4665" t="str">
        <f t="shared" si="101"/>
        <v/>
      </c>
    </row>
    <row r="4666" spans="4:4" x14ac:dyDescent="0.3">
      <c r="D4666" t="str">
        <f t="shared" si="101"/>
        <v/>
      </c>
    </row>
    <row r="4667" spans="4:4" x14ac:dyDescent="0.3">
      <c r="D4667" t="str">
        <f t="shared" si="101"/>
        <v/>
      </c>
    </row>
    <row r="4668" spans="4:4" x14ac:dyDescent="0.3">
      <c r="D4668" t="str">
        <f t="shared" si="101"/>
        <v/>
      </c>
    </row>
    <row r="4669" spans="4:4" x14ac:dyDescent="0.3">
      <c r="D4669" t="str">
        <f t="shared" si="101"/>
        <v/>
      </c>
    </row>
    <row r="4670" spans="4:4" x14ac:dyDescent="0.3">
      <c r="D4670" t="str">
        <f t="shared" ref="D4670:D4733" si="102">IF(LEFT(A4670,2)="SP",MID(A4670,4,4),IF(LEFT(A4670,1)="X",MID(A4670,3,4),""))</f>
        <v/>
      </c>
    </row>
    <row r="4671" spans="4:4" x14ac:dyDescent="0.3">
      <c r="D4671" t="str">
        <f t="shared" si="102"/>
        <v/>
      </c>
    </row>
    <row r="4672" spans="4:4" x14ac:dyDescent="0.3">
      <c r="D4672" t="str">
        <f t="shared" si="102"/>
        <v/>
      </c>
    </row>
    <row r="4673" spans="4:4" x14ac:dyDescent="0.3">
      <c r="D4673" t="str">
        <f t="shared" si="102"/>
        <v/>
      </c>
    </row>
    <row r="4674" spans="4:4" x14ac:dyDescent="0.3">
      <c r="D4674" t="str">
        <f t="shared" si="102"/>
        <v/>
      </c>
    </row>
    <row r="4675" spans="4:4" x14ac:dyDescent="0.3">
      <c r="D4675" t="str">
        <f t="shared" si="102"/>
        <v/>
      </c>
    </row>
    <row r="4676" spans="4:4" x14ac:dyDescent="0.3">
      <c r="D4676" t="str">
        <f t="shared" si="102"/>
        <v/>
      </c>
    </row>
    <row r="4677" spans="4:4" x14ac:dyDescent="0.3">
      <c r="D4677" t="str">
        <f t="shared" si="102"/>
        <v/>
      </c>
    </row>
    <row r="4678" spans="4:4" x14ac:dyDescent="0.3">
      <c r="D4678" t="str">
        <f t="shared" si="102"/>
        <v/>
      </c>
    </row>
    <row r="4679" spans="4:4" x14ac:dyDescent="0.3">
      <c r="D4679" t="str">
        <f t="shared" si="102"/>
        <v/>
      </c>
    </row>
    <row r="4680" spans="4:4" x14ac:dyDescent="0.3">
      <c r="D4680" t="str">
        <f t="shared" si="102"/>
        <v/>
      </c>
    </row>
    <row r="4681" spans="4:4" x14ac:dyDescent="0.3">
      <c r="D4681" t="str">
        <f t="shared" si="102"/>
        <v/>
      </c>
    </row>
    <row r="4682" spans="4:4" x14ac:dyDescent="0.3">
      <c r="D4682" t="str">
        <f t="shared" si="102"/>
        <v/>
      </c>
    </row>
    <row r="4683" spans="4:4" x14ac:dyDescent="0.3">
      <c r="D4683" t="str">
        <f t="shared" si="102"/>
        <v/>
      </c>
    </row>
    <row r="4684" spans="4:4" x14ac:dyDescent="0.3">
      <c r="D4684" t="str">
        <f t="shared" si="102"/>
        <v/>
      </c>
    </row>
    <row r="4685" spans="4:4" x14ac:dyDescent="0.3">
      <c r="D4685" t="str">
        <f t="shared" si="102"/>
        <v/>
      </c>
    </row>
    <row r="4686" spans="4:4" x14ac:dyDescent="0.3">
      <c r="D4686" t="str">
        <f t="shared" si="102"/>
        <v/>
      </c>
    </row>
    <row r="4687" spans="4:4" x14ac:dyDescent="0.3">
      <c r="D4687" t="str">
        <f t="shared" si="102"/>
        <v/>
      </c>
    </row>
    <row r="4688" spans="4:4" x14ac:dyDescent="0.3">
      <c r="D4688" t="str">
        <f t="shared" si="102"/>
        <v/>
      </c>
    </row>
    <row r="4689" spans="4:4" x14ac:dyDescent="0.3">
      <c r="D4689" t="str">
        <f t="shared" si="102"/>
        <v/>
      </c>
    </row>
    <row r="4690" spans="4:4" x14ac:dyDescent="0.3">
      <c r="D4690" t="str">
        <f t="shared" si="102"/>
        <v/>
      </c>
    </row>
    <row r="4691" spans="4:4" x14ac:dyDescent="0.3">
      <c r="D4691" t="str">
        <f t="shared" si="102"/>
        <v/>
      </c>
    </row>
    <row r="4692" spans="4:4" x14ac:dyDescent="0.3">
      <c r="D4692" t="str">
        <f t="shared" si="102"/>
        <v/>
      </c>
    </row>
    <row r="4693" spans="4:4" x14ac:dyDescent="0.3">
      <c r="D4693" t="str">
        <f t="shared" si="102"/>
        <v/>
      </c>
    </row>
    <row r="4694" spans="4:4" x14ac:dyDescent="0.3">
      <c r="D4694" t="str">
        <f t="shared" si="102"/>
        <v/>
      </c>
    </row>
    <row r="4695" spans="4:4" x14ac:dyDescent="0.3">
      <c r="D4695" t="str">
        <f t="shared" si="102"/>
        <v/>
      </c>
    </row>
    <row r="4696" spans="4:4" x14ac:dyDescent="0.3">
      <c r="D4696" t="str">
        <f t="shared" si="102"/>
        <v/>
      </c>
    </row>
    <row r="4697" spans="4:4" x14ac:dyDescent="0.3">
      <c r="D4697" t="str">
        <f t="shared" si="102"/>
        <v/>
      </c>
    </row>
    <row r="4698" spans="4:4" x14ac:dyDescent="0.3">
      <c r="D4698" t="str">
        <f t="shared" si="102"/>
        <v/>
      </c>
    </row>
    <row r="4699" spans="4:4" x14ac:dyDescent="0.3">
      <c r="D4699" t="str">
        <f t="shared" si="102"/>
        <v/>
      </c>
    </row>
    <row r="4700" spans="4:4" x14ac:dyDescent="0.3">
      <c r="D4700" t="str">
        <f t="shared" si="102"/>
        <v/>
      </c>
    </row>
    <row r="4701" spans="4:4" x14ac:dyDescent="0.3">
      <c r="D4701" t="str">
        <f t="shared" si="102"/>
        <v/>
      </c>
    </row>
    <row r="4702" spans="4:4" x14ac:dyDescent="0.3">
      <c r="D4702" t="str">
        <f t="shared" si="102"/>
        <v/>
      </c>
    </row>
    <row r="4703" spans="4:4" x14ac:dyDescent="0.3">
      <c r="D4703" t="str">
        <f t="shared" si="102"/>
        <v/>
      </c>
    </row>
    <row r="4704" spans="4:4" x14ac:dyDescent="0.3">
      <c r="D4704" t="str">
        <f t="shared" si="102"/>
        <v/>
      </c>
    </row>
    <row r="4705" spans="4:4" x14ac:dyDescent="0.3">
      <c r="D4705" t="str">
        <f t="shared" si="102"/>
        <v/>
      </c>
    </row>
    <row r="4706" spans="4:4" x14ac:dyDescent="0.3">
      <c r="D4706" t="str">
        <f t="shared" si="102"/>
        <v/>
      </c>
    </row>
    <row r="4707" spans="4:4" x14ac:dyDescent="0.3">
      <c r="D4707" t="str">
        <f t="shared" si="102"/>
        <v/>
      </c>
    </row>
    <row r="4708" spans="4:4" x14ac:dyDescent="0.3">
      <c r="D4708" t="str">
        <f t="shared" si="102"/>
        <v/>
      </c>
    </row>
    <row r="4709" spans="4:4" x14ac:dyDescent="0.3">
      <c r="D4709" t="str">
        <f t="shared" si="102"/>
        <v/>
      </c>
    </row>
    <row r="4710" spans="4:4" x14ac:dyDescent="0.3">
      <c r="D4710" t="str">
        <f t="shared" si="102"/>
        <v/>
      </c>
    </row>
    <row r="4711" spans="4:4" x14ac:dyDescent="0.3">
      <c r="D4711" t="str">
        <f t="shared" si="102"/>
        <v/>
      </c>
    </row>
    <row r="4712" spans="4:4" x14ac:dyDescent="0.3">
      <c r="D4712" t="str">
        <f t="shared" si="102"/>
        <v/>
      </c>
    </row>
    <row r="4713" spans="4:4" x14ac:dyDescent="0.3">
      <c r="D4713" t="str">
        <f t="shared" si="102"/>
        <v/>
      </c>
    </row>
    <row r="4714" spans="4:4" x14ac:dyDescent="0.3">
      <c r="D4714" t="str">
        <f t="shared" si="102"/>
        <v/>
      </c>
    </row>
    <row r="4715" spans="4:4" x14ac:dyDescent="0.3">
      <c r="D4715" t="str">
        <f t="shared" si="102"/>
        <v/>
      </c>
    </row>
    <row r="4716" spans="4:4" x14ac:dyDescent="0.3">
      <c r="D4716" t="str">
        <f t="shared" si="102"/>
        <v/>
      </c>
    </row>
    <row r="4717" spans="4:4" x14ac:dyDescent="0.3">
      <c r="D4717" t="str">
        <f t="shared" si="102"/>
        <v/>
      </c>
    </row>
    <row r="4718" spans="4:4" x14ac:dyDescent="0.3">
      <c r="D4718" t="str">
        <f t="shared" si="102"/>
        <v/>
      </c>
    </row>
    <row r="4719" spans="4:4" x14ac:dyDescent="0.3">
      <c r="D4719" t="str">
        <f t="shared" si="102"/>
        <v/>
      </c>
    </row>
    <row r="4720" spans="4:4" x14ac:dyDescent="0.3">
      <c r="D4720" t="str">
        <f t="shared" si="102"/>
        <v/>
      </c>
    </row>
    <row r="4721" spans="4:4" x14ac:dyDescent="0.3">
      <c r="D4721" t="str">
        <f t="shared" si="102"/>
        <v/>
      </c>
    </row>
    <row r="4722" spans="4:4" x14ac:dyDescent="0.3">
      <c r="D4722" t="str">
        <f t="shared" si="102"/>
        <v/>
      </c>
    </row>
    <row r="4723" spans="4:4" x14ac:dyDescent="0.3">
      <c r="D4723" t="str">
        <f t="shared" si="102"/>
        <v/>
      </c>
    </row>
    <row r="4724" spans="4:4" x14ac:dyDescent="0.3">
      <c r="D4724" t="str">
        <f t="shared" si="102"/>
        <v/>
      </c>
    </row>
    <row r="4725" spans="4:4" x14ac:dyDescent="0.3">
      <c r="D4725" t="str">
        <f t="shared" si="102"/>
        <v/>
      </c>
    </row>
    <row r="4726" spans="4:4" x14ac:dyDescent="0.3">
      <c r="D4726" t="str">
        <f t="shared" si="102"/>
        <v/>
      </c>
    </row>
    <row r="4727" spans="4:4" x14ac:dyDescent="0.3">
      <c r="D4727" t="str">
        <f t="shared" si="102"/>
        <v/>
      </c>
    </row>
    <row r="4728" spans="4:4" x14ac:dyDescent="0.3">
      <c r="D4728" t="str">
        <f t="shared" si="102"/>
        <v/>
      </c>
    </row>
    <row r="4729" spans="4:4" x14ac:dyDescent="0.3">
      <c r="D4729" t="str">
        <f t="shared" si="102"/>
        <v/>
      </c>
    </row>
    <row r="4730" spans="4:4" x14ac:dyDescent="0.3">
      <c r="D4730" t="str">
        <f t="shared" si="102"/>
        <v/>
      </c>
    </row>
    <row r="4731" spans="4:4" x14ac:dyDescent="0.3">
      <c r="D4731" t="str">
        <f t="shared" si="102"/>
        <v/>
      </c>
    </row>
    <row r="4732" spans="4:4" x14ac:dyDescent="0.3">
      <c r="D4732" t="str">
        <f t="shared" si="102"/>
        <v/>
      </c>
    </row>
    <row r="4733" spans="4:4" x14ac:dyDescent="0.3">
      <c r="D4733" t="str">
        <f t="shared" si="102"/>
        <v/>
      </c>
    </row>
    <row r="4734" spans="4:4" x14ac:dyDescent="0.3">
      <c r="D4734" t="str">
        <f t="shared" ref="D4734:D4797" si="103">IF(LEFT(A4734,2)="SP",MID(A4734,4,4),IF(LEFT(A4734,1)="X",MID(A4734,3,4),""))</f>
        <v/>
      </c>
    </row>
    <row r="4735" spans="4:4" x14ac:dyDescent="0.3">
      <c r="D4735" t="str">
        <f t="shared" si="103"/>
        <v/>
      </c>
    </row>
    <row r="4736" spans="4:4" x14ac:dyDescent="0.3">
      <c r="D4736" t="str">
        <f t="shared" si="103"/>
        <v/>
      </c>
    </row>
    <row r="4737" spans="4:4" x14ac:dyDescent="0.3">
      <c r="D4737" t="str">
        <f t="shared" si="103"/>
        <v/>
      </c>
    </row>
    <row r="4738" spans="4:4" x14ac:dyDescent="0.3">
      <c r="D4738" t="str">
        <f t="shared" si="103"/>
        <v/>
      </c>
    </row>
    <row r="4739" spans="4:4" x14ac:dyDescent="0.3">
      <c r="D4739" t="str">
        <f t="shared" si="103"/>
        <v/>
      </c>
    </row>
    <row r="4740" spans="4:4" x14ac:dyDescent="0.3">
      <c r="D4740" t="str">
        <f t="shared" si="103"/>
        <v/>
      </c>
    </row>
    <row r="4741" spans="4:4" x14ac:dyDescent="0.3">
      <c r="D4741" t="str">
        <f t="shared" si="103"/>
        <v/>
      </c>
    </row>
    <row r="4742" spans="4:4" x14ac:dyDescent="0.3">
      <c r="D4742" t="str">
        <f t="shared" si="103"/>
        <v/>
      </c>
    </row>
    <row r="4743" spans="4:4" x14ac:dyDescent="0.3">
      <c r="D4743" t="str">
        <f t="shared" si="103"/>
        <v/>
      </c>
    </row>
    <row r="4744" spans="4:4" x14ac:dyDescent="0.3">
      <c r="D4744" t="str">
        <f t="shared" si="103"/>
        <v/>
      </c>
    </row>
    <row r="4745" spans="4:4" x14ac:dyDescent="0.3">
      <c r="D4745" t="str">
        <f t="shared" si="103"/>
        <v/>
      </c>
    </row>
    <row r="4746" spans="4:4" x14ac:dyDescent="0.3">
      <c r="D4746" t="str">
        <f t="shared" si="103"/>
        <v/>
      </c>
    </row>
    <row r="4747" spans="4:4" x14ac:dyDescent="0.3">
      <c r="D4747" t="str">
        <f t="shared" si="103"/>
        <v/>
      </c>
    </row>
    <row r="4748" spans="4:4" x14ac:dyDescent="0.3">
      <c r="D4748" t="str">
        <f t="shared" si="103"/>
        <v/>
      </c>
    </row>
    <row r="4749" spans="4:4" x14ac:dyDescent="0.3">
      <c r="D4749" t="str">
        <f t="shared" si="103"/>
        <v/>
      </c>
    </row>
    <row r="4750" spans="4:4" x14ac:dyDescent="0.3">
      <c r="D4750" t="str">
        <f t="shared" si="103"/>
        <v/>
      </c>
    </row>
    <row r="4751" spans="4:4" x14ac:dyDescent="0.3">
      <c r="D4751" t="str">
        <f t="shared" si="103"/>
        <v/>
      </c>
    </row>
    <row r="4752" spans="4:4" x14ac:dyDescent="0.3">
      <c r="D4752" t="str">
        <f t="shared" si="103"/>
        <v/>
      </c>
    </row>
    <row r="4753" spans="4:4" x14ac:dyDescent="0.3">
      <c r="D4753" t="str">
        <f t="shared" si="103"/>
        <v/>
      </c>
    </row>
    <row r="4754" spans="4:4" x14ac:dyDescent="0.3">
      <c r="D4754" t="str">
        <f t="shared" si="103"/>
        <v/>
      </c>
    </row>
    <row r="4755" spans="4:4" x14ac:dyDescent="0.3">
      <c r="D4755" t="str">
        <f t="shared" si="103"/>
        <v/>
      </c>
    </row>
    <row r="4756" spans="4:4" x14ac:dyDescent="0.3">
      <c r="D4756" t="str">
        <f t="shared" si="103"/>
        <v/>
      </c>
    </row>
    <row r="4757" spans="4:4" x14ac:dyDescent="0.3">
      <c r="D4757" t="str">
        <f t="shared" si="103"/>
        <v/>
      </c>
    </row>
    <row r="4758" spans="4:4" x14ac:dyDescent="0.3">
      <c r="D4758" t="str">
        <f t="shared" si="103"/>
        <v/>
      </c>
    </row>
    <row r="4759" spans="4:4" x14ac:dyDescent="0.3">
      <c r="D4759" t="str">
        <f t="shared" si="103"/>
        <v/>
      </c>
    </row>
    <row r="4760" spans="4:4" x14ac:dyDescent="0.3">
      <c r="D4760" t="str">
        <f t="shared" si="103"/>
        <v/>
      </c>
    </row>
    <row r="4761" spans="4:4" x14ac:dyDescent="0.3">
      <c r="D4761" t="str">
        <f t="shared" si="103"/>
        <v/>
      </c>
    </row>
    <row r="4762" spans="4:4" x14ac:dyDescent="0.3">
      <c r="D4762" t="str">
        <f t="shared" si="103"/>
        <v/>
      </c>
    </row>
    <row r="4763" spans="4:4" x14ac:dyDescent="0.3">
      <c r="D4763" t="str">
        <f t="shared" si="103"/>
        <v/>
      </c>
    </row>
    <row r="4764" spans="4:4" x14ac:dyDescent="0.3">
      <c r="D4764" t="str">
        <f t="shared" si="103"/>
        <v/>
      </c>
    </row>
    <row r="4765" spans="4:4" x14ac:dyDescent="0.3">
      <c r="D4765" t="str">
        <f t="shared" si="103"/>
        <v/>
      </c>
    </row>
    <row r="4766" spans="4:4" x14ac:dyDescent="0.3">
      <c r="D4766" t="str">
        <f t="shared" si="103"/>
        <v/>
      </c>
    </row>
    <row r="4767" spans="4:4" x14ac:dyDescent="0.3">
      <c r="D4767" t="str">
        <f t="shared" si="103"/>
        <v/>
      </c>
    </row>
    <row r="4768" spans="4:4" x14ac:dyDescent="0.3">
      <c r="D4768" t="str">
        <f t="shared" si="103"/>
        <v/>
      </c>
    </row>
    <row r="4769" spans="4:4" x14ac:dyDescent="0.3">
      <c r="D4769" t="str">
        <f t="shared" si="103"/>
        <v/>
      </c>
    </row>
    <row r="4770" spans="4:4" x14ac:dyDescent="0.3">
      <c r="D4770" t="str">
        <f t="shared" si="103"/>
        <v/>
      </c>
    </row>
    <row r="4771" spans="4:4" x14ac:dyDescent="0.3">
      <c r="D4771" t="str">
        <f t="shared" si="103"/>
        <v/>
      </c>
    </row>
    <row r="4772" spans="4:4" x14ac:dyDescent="0.3">
      <c r="D4772" t="str">
        <f t="shared" si="103"/>
        <v/>
      </c>
    </row>
    <row r="4773" spans="4:4" x14ac:dyDescent="0.3">
      <c r="D4773" t="str">
        <f t="shared" si="103"/>
        <v/>
      </c>
    </row>
    <row r="4774" spans="4:4" x14ac:dyDescent="0.3">
      <c r="D4774" t="str">
        <f t="shared" si="103"/>
        <v/>
      </c>
    </row>
    <row r="4775" spans="4:4" x14ac:dyDescent="0.3">
      <c r="D4775" t="str">
        <f t="shared" si="103"/>
        <v/>
      </c>
    </row>
    <row r="4776" spans="4:4" x14ac:dyDescent="0.3">
      <c r="D4776" t="str">
        <f t="shared" si="103"/>
        <v/>
      </c>
    </row>
    <row r="4777" spans="4:4" x14ac:dyDescent="0.3">
      <c r="D4777" t="str">
        <f t="shared" si="103"/>
        <v/>
      </c>
    </row>
    <row r="4778" spans="4:4" x14ac:dyDescent="0.3">
      <c r="D4778" t="str">
        <f t="shared" si="103"/>
        <v/>
      </c>
    </row>
    <row r="4779" spans="4:4" x14ac:dyDescent="0.3">
      <c r="D4779" t="str">
        <f t="shared" si="103"/>
        <v/>
      </c>
    </row>
    <row r="4780" spans="4:4" x14ac:dyDescent="0.3">
      <c r="D4780" t="str">
        <f t="shared" si="103"/>
        <v/>
      </c>
    </row>
    <row r="4781" spans="4:4" x14ac:dyDescent="0.3">
      <c r="D4781" t="str">
        <f t="shared" si="103"/>
        <v/>
      </c>
    </row>
    <row r="4782" spans="4:4" x14ac:dyDescent="0.3">
      <c r="D4782" t="str">
        <f t="shared" si="103"/>
        <v/>
      </c>
    </row>
    <row r="4783" spans="4:4" x14ac:dyDescent="0.3">
      <c r="D4783" t="str">
        <f t="shared" si="103"/>
        <v/>
      </c>
    </row>
    <row r="4784" spans="4:4" x14ac:dyDescent="0.3">
      <c r="D4784" t="str">
        <f t="shared" si="103"/>
        <v/>
      </c>
    </row>
    <row r="4785" spans="4:4" x14ac:dyDescent="0.3">
      <c r="D4785" t="str">
        <f t="shared" si="103"/>
        <v/>
      </c>
    </row>
    <row r="4786" spans="4:4" x14ac:dyDescent="0.3">
      <c r="D4786" t="str">
        <f t="shared" si="103"/>
        <v/>
      </c>
    </row>
    <row r="4787" spans="4:4" x14ac:dyDescent="0.3">
      <c r="D4787" t="str">
        <f t="shared" si="103"/>
        <v/>
      </c>
    </row>
    <row r="4788" spans="4:4" x14ac:dyDescent="0.3">
      <c r="D4788" t="str">
        <f t="shared" si="103"/>
        <v/>
      </c>
    </row>
    <row r="4789" spans="4:4" x14ac:dyDescent="0.3">
      <c r="D4789" t="str">
        <f t="shared" si="103"/>
        <v/>
      </c>
    </row>
    <row r="4790" spans="4:4" x14ac:dyDescent="0.3">
      <c r="D4790" t="str">
        <f t="shared" si="103"/>
        <v/>
      </c>
    </row>
    <row r="4791" spans="4:4" x14ac:dyDescent="0.3">
      <c r="D4791" t="str">
        <f t="shared" si="103"/>
        <v/>
      </c>
    </row>
    <row r="4792" spans="4:4" x14ac:dyDescent="0.3">
      <c r="D4792" t="str">
        <f t="shared" si="103"/>
        <v/>
      </c>
    </row>
    <row r="4793" spans="4:4" x14ac:dyDescent="0.3">
      <c r="D4793" t="str">
        <f t="shared" si="103"/>
        <v/>
      </c>
    </row>
    <row r="4794" spans="4:4" x14ac:dyDescent="0.3">
      <c r="D4794" t="str">
        <f t="shared" si="103"/>
        <v/>
      </c>
    </row>
    <row r="4795" spans="4:4" x14ac:dyDescent="0.3">
      <c r="D4795" t="str">
        <f t="shared" si="103"/>
        <v/>
      </c>
    </row>
    <row r="4796" spans="4:4" x14ac:dyDescent="0.3">
      <c r="D4796" t="str">
        <f t="shared" si="103"/>
        <v/>
      </c>
    </row>
    <row r="4797" spans="4:4" x14ac:dyDescent="0.3">
      <c r="D4797" t="str">
        <f t="shared" si="103"/>
        <v/>
      </c>
    </row>
    <row r="4798" spans="4:4" x14ac:dyDescent="0.3">
      <c r="D4798" t="str">
        <f t="shared" ref="D4798:D4861" si="104">IF(LEFT(A4798,2)="SP",MID(A4798,4,4),IF(LEFT(A4798,1)="X",MID(A4798,3,4),""))</f>
        <v/>
      </c>
    </row>
    <row r="4799" spans="4:4" x14ac:dyDescent="0.3">
      <c r="D4799" t="str">
        <f t="shared" si="104"/>
        <v/>
      </c>
    </row>
    <row r="4800" spans="4:4" x14ac:dyDescent="0.3">
      <c r="D4800" t="str">
        <f t="shared" si="104"/>
        <v/>
      </c>
    </row>
    <row r="4801" spans="4:4" x14ac:dyDescent="0.3">
      <c r="D4801" t="str">
        <f t="shared" si="104"/>
        <v/>
      </c>
    </row>
    <row r="4802" spans="4:4" x14ac:dyDescent="0.3">
      <c r="D4802" t="str">
        <f t="shared" si="104"/>
        <v/>
      </c>
    </row>
    <row r="4803" spans="4:4" x14ac:dyDescent="0.3">
      <c r="D4803" t="str">
        <f t="shared" si="104"/>
        <v/>
      </c>
    </row>
    <row r="4804" spans="4:4" x14ac:dyDescent="0.3">
      <c r="D4804" t="str">
        <f t="shared" si="104"/>
        <v/>
      </c>
    </row>
    <row r="4805" spans="4:4" x14ac:dyDescent="0.3">
      <c r="D4805" t="str">
        <f t="shared" si="104"/>
        <v/>
      </c>
    </row>
    <row r="4806" spans="4:4" x14ac:dyDescent="0.3">
      <c r="D4806" t="str">
        <f t="shared" si="104"/>
        <v/>
      </c>
    </row>
    <row r="4807" spans="4:4" x14ac:dyDescent="0.3">
      <c r="D4807" t="str">
        <f t="shared" si="104"/>
        <v/>
      </c>
    </row>
    <row r="4808" spans="4:4" x14ac:dyDescent="0.3">
      <c r="D4808" t="str">
        <f t="shared" si="104"/>
        <v/>
      </c>
    </row>
    <row r="4809" spans="4:4" x14ac:dyDescent="0.3">
      <c r="D4809" t="str">
        <f t="shared" si="104"/>
        <v/>
      </c>
    </row>
    <row r="4810" spans="4:4" x14ac:dyDescent="0.3">
      <c r="D4810" t="str">
        <f t="shared" si="104"/>
        <v/>
      </c>
    </row>
    <row r="4811" spans="4:4" x14ac:dyDescent="0.3">
      <c r="D4811" t="str">
        <f t="shared" si="104"/>
        <v/>
      </c>
    </row>
    <row r="4812" spans="4:4" x14ac:dyDescent="0.3">
      <c r="D4812" t="str">
        <f t="shared" si="104"/>
        <v/>
      </c>
    </row>
    <row r="4813" spans="4:4" x14ac:dyDescent="0.3">
      <c r="D4813" t="str">
        <f t="shared" si="104"/>
        <v/>
      </c>
    </row>
    <row r="4814" spans="4:4" x14ac:dyDescent="0.3">
      <c r="D4814" t="str">
        <f t="shared" si="104"/>
        <v/>
      </c>
    </row>
    <row r="4815" spans="4:4" x14ac:dyDescent="0.3">
      <c r="D4815" t="str">
        <f t="shared" si="104"/>
        <v/>
      </c>
    </row>
    <row r="4816" spans="4:4" x14ac:dyDescent="0.3">
      <c r="D4816" t="str">
        <f t="shared" si="104"/>
        <v/>
      </c>
    </row>
    <row r="4817" spans="4:4" x14ac:dyDescent="0.3">
      <c r="D4817" t="str">
        <f t="shared" si="104"/>
        <v/>
      </c>
    </row>
    <row r="4818" spans="4:4" x14ac:dyDescent="0.3">
      <c r="D4818" t="str">
        <f t="shared" si="104"/>
        <v/>
      </c>
    </row>
    <row r="4819" spans="4:4" x14ac:dyDescent="0.3">
      <c r="D4819" t="str">
        <f t="shared" si="104"/>
        <v/>
      </c>
    </row>
    <row r="4820" spans="4:4" x14ac:dyDescent="0.3">
      <c r="D4820" t="str">
        <f t="shared" si="104"/>
        <v/>
      </c>
    </row>
    <row r="4821" spans="4:4" x14ac:dyDescent="0.3">
      <c r="D4821" t="str">
        <f t="shared" si="104"/>
        <v/>
      </c>
    </row>
    <row r="4822" spans="4:4" x14ac:dyDescent="0.3">
      <c r="D4822" t="str">
        <f t="shared" si="104"/>
        <v/>
      </c>
    </row>
    <row r="4823" spans="4:4" x14ac:dyDescent="0.3">
      <c r="D4823" t="str">
        <f t="shared" si="104"/>
        <v/>
      </c>
    </row>
    <row r="4824" spans="4:4" x14ac:dyDescent="0.3">
      <c r="D4824" t="str">
        <f t="shared" si="104"/>
        <v/>
      </c>
    </row>
    <row r="4825" spans="4:4" x14ac:dyDescent="0.3">
      <c r="D4825" t="str">
        <f t="shared" si="104"/>
        <v/>
      </c>
    </row>
    <row r="4826" spans="4:4" x14ac:dyDescent="0.3">
      <c r="D4826" t="str">
        <f t="shared" si="104"/>
        <v/>
      </c>
    </row>
    <row r="4827" spans="4:4" x14ac:dyDescent="0.3">
      <c r="D4827" t="str">
        <f t="shared" si="104"/>
        <v/>
      </c>
    </row>
    <row r="4828" spans="4:4" x14ac:dyDescent="0.3">
      <c r="D4828" t="str">
        <f t="shared" si="104"/>
        <v/>
      </c>
    </row>
    <row r="4829" spans="4:4" x14ac:dyDescent="0.3">
      <c r="D4829" t="str">
        <f t="shared" si="104"/>
        <v/>
      </c>
    </row>
    <row r="4830" spans="4:4" x14ac:dyDescent="0.3">
      <c r="D4830" t="str">
        <f t="shared" si="104"/>
        <v/>
      </c>
    </row>
    <row r="4831" spans="4:4" x14ac:dyDescent="0.3">
      <c r="D4831" t="str">
        <f t="shared" si="104"/>
        <v/>
      </c>
    </row>
    <row r="4832" spans="4:4" x14ac:dyDescent="0.3">
      <c r="D4832" t="str">
        <f t="shared" si="104"/>
        <v/>
      </c>
    </row>
    <row r="4833" spans="4:4" x14ac:dyDescent="0.3">
      <c r="D4833" t="str">
        <f t="shared" si="104"/>
        <v/>
      </c>
    </row>
    <row r="4834" spans="4:4" x14ac:dyDescent="0.3">
      <c r="D4834" t="str">
        <f t="shared" si="104"/>
        <v/>
      </c>
    </row>
    <row r="4835" spans="4:4" x14ac:dyDescent="0.3">
      <c r="D4835" t="str">
        <f t="shared" si="104"/>
        <v/>
      </c>
    </row>
    <row r="4836" spans="4:4" x14ac:dyDescent="0.3">
      <c r="D4836" t="str">
        <f t="shared" si="104"/>
        <v/>
      </c>
    </row>
    <row r="4837" spans="4:4" x14ac:dyDescent="0.3">
      <c r="D4837" t="str">
        <f t="shared" si="104"/>
        <v/>
      </c>
    </row>
    <row r="4838" spans="4:4" x14ac:dyDescent="0.3">
      <c r="D4838" t="str">
        <f t="shared" si="104"/>
        <v/>
      </c>
    </row>
    <row r="4839" spans="4:4" x14ac:dyDescent="0.3">
      <c r="D4839" t="str">
        <f t="shared" si="104"/>
        <v/>
      </c>
    </row>
    <row r="4840" spans="4:4" x14ac:dyDescent="0.3">
      <c r="D4840" t="str">
        <f t="shared" si="104"/>
        <v/>
      </c>
    </row>
    <row r="4841" spans="4:4" x14ac:dyDescent="0.3">
      <c r="D4841" t="str">
        <f t="shared" si="104"/>
        <v/>
      </c>
    </row>
    <row r="4842" spans="4:4" x14ac:dyDescent="0.3">
      <c r="D4842" t="str">
        <f t="shared" si="104"/>
        <v/>
      </c>
    </row>
    <row r="4843" spans="4:4" x14ac:dyDescent="0.3">
      <c r="D4843" t="str">
        <f t="shared" si="104"/>
        <v/>
      </c>
    </row>
    <row r="4844" spans="4:4" x14ac:dyDescent="0.3">
      <c r="D4844" t="str">
        <f t="shared" si="104"/>
        <v/>
      </c>
    </row>
    <row r="4845" spans="4:4" x14ac:dyDescent="0.3">
      <c r="D4845" t="str">
        <f t="shared" si="104"/>
        <v/>
      </c>
    </row>
    <row r="4846" spans="4:4" x14ac:dyDescent="0.3">
      <c r="D4846" t="str">
        <f t="shared" si="104"/>
        <v/>
      </c>
    </row>
    <row r="4847" spans="4:4" x14ac:dyDescent="0.3">
      <c r="D4847" t="str">
        <f t="shared" si="104"/>
        <v/>
      </c>
    </row>
    <row r="4848" spans="4:4" x14ac:dyDescent="0.3">
      <c r="D4848" t="str">
        <f t="shared" si="104"/>
        <v/>
      </c>
    </row>
    <row r="4849" spans="4:4" x14ac:dyDescent="0.3">
      <c r="D4849" t="str">
        <f t="shared" si="104"/>
        <v/>
      </c>
    </row>
    <row r="4850" spans="4:4" x14ac:dyDescent="0.3">
      <c r="D4850" t="str">
        <f t="shared" si="104"/>
        <v/>
      </c>
    </row>
    <row r="4851" spans="4:4" x14ac:dyDescent="0.3">
      <c r="D4851" t="str">
        <f t="shared" si="104"/>
        <v/>
      </c>
    </row>
    <row r="4852" spans="4:4" x14ac:dyDescent="0.3">
      <c r="D4852" t="str">
        <f t="shared" si="104"/>
        <v/>
      </c>
    </row>
    <row r="4853" spans="4:4" x14ac:dyDescent="0.3">
      <c r="D4853" t="str">
        <f t="shared" si="104"/>
        <v/>
      </c>
    </row>
    <row r="4854" spans="4:4" x14ac:dyDescent="0.3">
      <c r="D4854" t="str">
        <f t="shared" si="104"/>
        <v/>
      </c>
    </row>
    <row r="4855" spans="4:4" x14ac:dyDescent="0.3">
      <c r="D4855" t="str">
        <f t="shared" si="104"/>
        <v/>
      </c>
    </row>
    <row r="4856" spans="4:4" x14ac:dyDescent="0.3">
      <c r="D4856" t="str">
        <f t="shared" si="104"/>
        <v/>
      </c>
    </row>
    <row r="4857" spans="4:4" x14ac:dyDescent="0.3">
      <c r="D4857" t="str">
        <f t="shared" si="104"/>
        <v/>
      </c>
    </row>
    <row r="4858" spans="4:4" x14ac:dyDescent="0.3">
      <c r="D4858" t="str">
        <f t="shared" si="104"/>
        <v/>
      </c>
    </row>
    <row r="4859" spans="4:4" x14ac:dyDescent="0.3">
      <c r="D4859" t="str">
        <f t="shared" si="104"/>
        <v/>
      </c>
    </row>
    <row r="4860" spans="4:4" x14ac:dyDescent="0.3">
      <c r="D4860" t="str">
        <f t="shared" si="104"/>
        <v/>
      </c>
    </row>
    <row r="4861" spans="4:4" x14ac:dyDescent="0.3">
      <c r="D4861" t="str">
        <f t="shared" si="104"/>
        <v/>
      </c>
    </row>
    <row r="4862" spans="4:4" x14ac:dyDescent="0.3">
      <c r="D4862" t="str">
        <f t="shared" ref="D4862:D4925" si="105">IF(LEFT(A4862,2)="SP",MID(A4862,4,4),IF(LEFT(A4862,1)="X",MID(A4862,3,4),""))</f>
        <v/>
      </c>
    </row>
    <row r="4863" spans="4:4" x14ac:dyDescent="0.3">
      <c r="D4863" t="str">
        <f t="shared" si="105"/>
        <v/>
      </c>
    </row>
    <row r="4864" spans="4:4" x14ac:dyDescent="0.3">
      <c r="D4864" t="str">
        <f t="shared" si="105"/>
        <v/>
      </c>
    </row>
    <row r="4865" spans="4:4" x14ac:dyDescent="0.3">
      <c r="D4865" t="str">
        <f t="shared" si="105"/>
        <v/>
      </c>
    </row>
    <row r="4866" spans="4:4" x14ac:dyDescent="0.3">
      <c r="D4866" t="str">
        <f t="shared" si="105"/>
        <v/>
      </c>
    </row>
    <row r="4867" spans="4:4" x14ac:dyDescent="0.3">
      <c r="D4867" t="str">
        <f t="shared" si="105"/>
        <v/>
      </c>
    </row>
    <row r="4868" spans="4:4" x14ac:dyDescent="0.3">
      <c r="D4868" t="str">
        <f t="shared" si="105"/>
        <v/>
      </c>
    </row>
    <row r="4869" spans="4:4" x14ac:dyDescent="0.3">
      <c r="D4869" t="str">
        <f t="shared" si="105"/>
        <v/>
      </c>
    </row>
    <row r="4870" spans="4:4" x14ac:dyDescent="0.3">
      <c r="D4870" t="str">
        <f t="shared" si="105"/>
        <v/>
      </c>
    </row>
    <row r="4871" spans="4:4" x14ac:dyDescent="0.3">
      <c r="D4871" t="str">
        <f t="shared" si="105"/>
        <v/>
      </c>
    </row>
    <row r="4872" spans="4:4" x14ac:dyDescent="0.3">
      <c r="D4872" t="str">
        <f t="shared" si="105"/>
        <v/>
      </c>
    </row>
    <row r="4873" spans="4:4" x14ac:dyDescent="0.3">
      <c r="D4873" t="str">
        <f t="shared" si="105"/>
        <v/>
      </c>
    </row>
    <row r="4874" spans="4:4" x14ac:dyDescent="0.3">
      <c r="D4874" t="str">
        <f t="shared" si="105"/>
        <v/>
      </c>
    </row>
    <row r="4875" spans="4:4" x14ac:dyDescent="0.3">
      <c r="D4875" t="str">
        <f t="shared" si="105"/>
        <v/>
      </c>
    </row>
    <row r="4876" spans="4:4" x14ac:dyDescent="0.3">
      <c r="D4876" t="str">
        <f t="shared" si="105"/>
        <v/>
      </c>
    </row>
    <row r="4877" spans="4:4" x14ac:dyDescent="0.3">
      <c r="D4877" t="str">
        <f t="shared" si="105"/>
        <v/>
      </c>
    </row>
    <row r="4878" spans="4:4" x14ac:dyDescent="0.3">
      <c r="D4878" t="str">
        <f t="shared" si="105"/>
        <v/>
      </c>
    </row>
    <row r="4879" spans="4:4" x14ac:dyDescent="0.3">
      <c r="D4879" t="str">
        <f t="shared" si="105"/>
        <v/>
      </c>
    </row>
    <row r="4880" spans="4:4" x14ac:dyDescent="0.3">
      <c r="D4880" t="str">
        <f t="shared" si="105"/>
        <v/>
      </c>
    </row>
    <row r="4881" spans="4:4" x14ac:dyDescent="0.3">
      <c r="D4881" t="str">
        <f t="shared" si="105"/>
        <v/>
      </c>
    </row>
    <row r="4882" spans="4:4" x14ac:dyDescent="0.3">
      <c r="D4882" t="str">
        <f t="shared" si="105"/>
        <v/>
      </c>
    </row>
    <row r="4883" spans="4:4" x14ac:dyDescent="0.3">
      <c r="D4883" t="str">
        <f t="shared" si="105"/>
        <v/>
      </c>
    </row>
    <row r="4884" spans="4:4" x14ac:dyDescent="0.3">
      <c r="D4884" t="str">
        <f t="shared" si="105"/>
        <v/>
      </c>
    </row>
    <row r="4885" spans="4:4" x14ac:dyDescent="0.3">
      <c r="D4885" t="str">
        <f t="shared" si="105"/>
        <v/>
      </c>
    </row>
    <row r="4886" spans="4:4" x14ac:dyDescent="0.3">
      <c r="D4886" t="str">
        <f t="shared" si="105"/>
        <v/>
      </c>
    </row>
    <row r="4887" spans="4:4" x14ac:dyDescent="0.3">
      <c r="D4887" t="str">
        <f t="shared" si="105"/>
        <v/>
      </c>
    </row>
    <row r="4888" spans="4:4" x14ac:dyDescent="0.3">
      <c r="D4888" t="str">
        <f t="shared" si="105"/>
        <v/>
      </c>
    </row>
    <row r="4889" spans="4:4" x14ac:dyDescent="0.3">
      <c r="D4889" t="str">
        <f t="shared" si="105"/>
        <v/>
      </c>
    </row>
    <row r="4890" spans="4:4" x14ac:dyDescent="0.3">
      <c r="D4890" t="str">
        <f t="shared" si="105"/>
        <v/>
      </c>
    </row>
    <row r="4891" spans="4:4" x14ac:dyDescent="0.3">
      <c r="D4891" t="str">
        <f t="shared" si="105"/>
        <v/>
      </c>
    </row>
    <row r="4892" spans="4:4" x14ac:dyDescent="0.3">
      <c r="D4892" t="str">
        <f t="shared" si="105"/>
        <v/>
      </c>
    </row>
    <row r="4893" spans="4:4" x14ac:dyDescent="0.3">
      <c r="D4893" t="str">
        <f t="shared" si="105"/>
        <v/>
      </c>
    </row>
    <row r="4894" spans="4:4" x14ac:dyDescent="0.3">
      <c r="D4894" t="str">
        <f t="shared" si="105"/>
        <v/>
      </c>
    </row>
    <row r="4895" spans="4:4" x14ac:dyDescent="0.3">
      <c r="D4895" t="str">
        <f t="shared" si="105"/>
        <v/>
      </c>
    </row>
    <row r="4896" spans="4:4" x14ac:dyDescent="0.3">
      <c r="D4896" t="str">
        <f t="shared" si="105"/>
        <v/>
      </c>
    </row>
    <row r="4897" spans="4:4" x14ac:dyDescent="0.3">
      <c r="D4897" t="str">
        <f t="shared" si="105"/>
        <v/>
      </c>
    </row>
    <row r="4898" spans="4:4" x14ac:dyDescent="0.3">
      <c r="D4898" t="str">
        <f t="shared" si="105"/>
        <v/>
      </c>
    </row>
    <row r="4899" spans="4:4" x14ac:dyDescent="0.3">
      <c r="D4899" t="str">
        <f t="shared" si="105"/>
        <v/>
      </c>
    </row>
    <row r="4900" spans="4:4" x14ac:dyDescent="0.3">
      <c r="D4900" t="str">
        <f t="shared" si="105"/>
        <v/>
      </c>
    </row>
    <row r="4901" spans="4:4" x14ac:dyDescent="0.3">
      <c r="D4901" t="str">
        <f t="shared" si="105"/>
        <v/>
      </c>
    </row>
    <row r="4902" spans="4:4" x14ac:dyDescent="0.3">
      <c r="D4902" t="str">
        <f t="shared" si="105"/>
        <v/>
      </c>
    </row>
    <row r="4903" spans="4:4" x14ac:dyDescent="0.3">
      <c r="D4903" t="str">
        <f t="shared" si="105"/>
        <v/>
      </c>
    </row>
    <row r="4904" spans="4:4" x14ac:dyDescent="0.3">
      <c r="D4904" t="str">
        <f t="shared" si="105"/>
        <v/>
      </c>
    </row>
    <row r="4905" spans="4:4" x14ac:dyDescent="0.3">
      <c r="D4905" t="str">
        <f t="shared" si="105"/>
        <v/>
      </c>
    </row>
    <row r="4906" spans="4:4" x14ac:dyDescent="0.3">
      <c r="D4906" t="str">
        <f t="shared" si="105"/>
        <v/>
      </c>
    </row>
    <row r="4907" spans="4:4" x14ac:dyDescent="0.3">
      <c r="D4907" t="str">
        <f t="shared" si="105"/>
        <v/>
      </c>
    </row>
    <row r="4908" spans="4:4" x14ac:dyDescent="0.3">
      <c r="D4908" t="str">
        <f t="shared" si="105"/>
        <v/>
      </c>
    </row>
    <row r="4909" spans="4:4" x14ac:dyDescent="0.3">
      <c r="D4909" t="str">
        <f t="shared" si="105"/>
        <v/>
      </c>
    </row>
    <row r="4910" spans="4:4" x14ac:dyDescent="0.3">
      <c r="D4910" t="str">
        <f t="shared" si="105"/>
        <v/>
      </c>
    </row>
    <row r="4911" spans="4:4" x14ac:dyDescent="0.3">
      <c r="D4911" t="str">
        <f t="shared" si="105"/>
        <v/>
      </c>
    </row>
    <row r="4912" spans="4:4" x14ac:dyDescent="0.3">
      <c r="D4912" t="str">
        <f t="shared" si="105"/>
        <v/>
      </c>
    </row>
    <row r="4913" spans="4:4" x14ac:dyDescent="0.3">
      <c r="D4913" t="str">
        <f t="shared" si="105"/>
        <v/>
      </c>
    </row>
    <row r="4914" spans="4:4" x14ac:dyDescent="0.3">
      <c r="D4914" t="str">
        <f t="shared" si="105"/>
        <v/>
      </c>
    </row>
    <row r="4915" spans="4:4" x14ac:dyDescent="0.3">
      <c r="D4915" t="str">
        <f t="shared" si="105"/>
        <v/>
      </c>
    </row>
    <row r="4916" spans="4:4" x14ac:dyDescent="0.3">
      <c r="D4916" t="str">
        <f t="shared" si="105"/>
        <v/>
      </c>
    </row>
    <row r="4917" spans="4:4" x14ac:dyDescent="0.3">
      <c r="D4917" t="str">
        <f t="shared" si="105"/>
        <v/>
      </c>
    </row>
    <row r="4918" spans="4:4" x14ac:dyDescent="0.3">
      <c r="D4918" t="str">
        <f t="shared" si="105"/>
        <v/>
      </c>
    </row>
    <row r="4919" spans="4:4" x14ac:dyDescent="0.3">
      <c r="D4919" t="str">
        <f t="shared" si="105"/>
        <v/>
      </c>
    </row>
    <row r="4920" spans="4:4" x14ac:dyDescent="0.3">
      <c r="D4920" t="str">
        <f t="shared" si="105"/>
        <v/>
      </c>
    </row>
    <row r="4921" spans="4:4" x14ac:dyDescent="0.3">
      <c r="D4921" t="str">
        <f t="shared" si="105"/>
        <v/>
      </c>
    </row>
    <row r="4922" spans="4:4" x14ac:dyDescent="0.3">
      <c r="D4922" t="str">
        <f t="shared" si="105"/>
        <v/>
      </c>
    </row>
    <row r="4923" spans="4:4" x14ac:dyDescent="0.3">
      <c r="D4923" t="str">
        <f t="shared" si="105"/>
        <v/>
      </c>
    </row>
    <row r="4924" spans="4:4" x14ac:dyDescent="0.3">
      <c r="D4924" t="str">
        <f t="shared" si="105"/>
        <v/>
      </c>
    </row>
    <row r="4925" spans="4:4" x14ac:dyDescent="0.3">
      <c r="D4925" t="str">
        <f t="shared" si="105"/>
        <v/>
      </c>
    </row>
    <row r="4926" spans="4:4" x14ac:dyDescent="0.3">
      <c r="D4926" t="str">
        <f t="shared" ref="D4926:D4989" si="106">IF(LEFT(A4926,2)="SP",MID(A4926,4,4),IF(LEFT(A4926,1)="X",MID(A4926,3,4),""))</f>
        <v/>
      </c>
    </row>
    <row r="4927" spans="4:4" x14ac:dyDescent="0.3">
      <c r="D4927" t="str">
        <f t="shared" si="106"/>
        <v/>
      </c>
    </row>
    <row r="4928" spans="4:4" x14ac:dyDescent="0.3">
      <c r="D4928" t="str">
        <f t="shared" si="106"/>
        <v/>
      </c>
    </row>
    <row r="4929" spans="4:4" x14ac:dyDescent="0.3">
      <c r="D4929" t="str">
        <f t="shared" si="106"/>
        <v/>
      </c>
    </row>
    <row r="4930" spans="4:4" x14ac:dyDescent="0.3">
      <c r="D4930" t="str">
        <f t="shared" si="106"/>
        <v/>
      </c>
    </row>
    <row r="4931" spans="4:4" x14ac:dyDescent="0.3">
      <c r="D4931" t="str">
        <f t="shared" si="106"/>
        <v/>
      </c>
    </row>
    <row r="4932" spans="4:4" x14ac:dyDescent="0.3">
      <c r="D4932" t="str">
        <f t="shared" si="106"/>
        <v/>
      </c>
    </row>
    <row r="4933" spans="4:4" x14ac:dyDescent="0.3">
      <c r="D4933" t="str">
        <f t="shared" si="106"/>
        <v/>
      </c>
    </row>
    <row r="4934" spans="4:4" x14ac:dyDescent="0.3">
      <c r="D4934" t="str">
        <f t="shared" si="106"/>
        <v/>
      </c>
    </row>
    <row r="4935" spans="4:4" x14ac:dyDescent="0.3">
      <c r="D4935" t="str">
        <f t="shared" si="106"/>
        <v/>
      </c>
    </row>
    <row r="4936" spans="4:4" x14ac:dyDescent="0.3">
      <c r="D4936" t="str">
        <f t="shared" si="106"/>
        <v/>
      </c>
    </row>
    <row r="4937" spans="4:4" x14ac:dyDescent="0.3">
      <c r="D4937" t="str">
        <f t="shared" si="106"/>
        <v/>
      </c>
    </row>
    <row r="4938" spans="4:4" x14ac:dyDescent="0.3">
      <c r="D4938" t="str">
        <f t="shared" si="106"/>
        <v/>
      </c>
    </row>
    <row r="4939" spans="4:4" x14ac:dyDescent="0.3">
      <c r="D4939" t="str">
        <f t="shared" si="106"/>
        <v/>
      </c>
    </row>
    <row r="4940" spans="4:4" x14ac:dyDescent="0.3">
      <c r="D4940" t="str">
        <f t="shared" si="106"/>
        <v/>
      </c>
    </row>
    <row r="4941" spans="4:4" x14ac:dyDescent="0.3">
      <c r="D4941" t="str">
        <f t="shared" si="106"/>
        <v/>
      </c>
    </row>
    <row r="4942" spans="4:4" x14ac:dyDescent="0.3">
      <c r="D4942" t="str">
        <f t="shared" si="106"/>
        <v/>
      </c>
    </row>
    <row r="4943" spans="4:4" x14ac:dyDescent="0.3">
      <c r="D4943" t="str">
        <f t="shared" si="106"/>
        <v/>
      </c>
    </row>
    <row r="4944" spans="4:4" x14ac:dyDescent="0.3">
      <c r="D4944" t="str">
        <f t="shared" si="106"/>
        <v/>
      </c>
    </row>
    <row r="4945" spans="4:4" x14ac:dyDescent="0.3">
      <c r="D4945" t="str">
        <f t="shared" si="106"/>
        <v/>
      </c>
    </row>
    <row r="4946" spans="4:4" x14ac:dyDescent="0.3">
      <c r="D4946" t="str">
        <f t="shared" si="106"/>
        <v/>
      </c>
    </row>
    <row r="4947" spans="4:4" x14ac:dyDescent="0.3">
      <c r="D4947" t="str">
        <f t="shared" si="106"/>
        <v/>
      </c>
    </row>
    <row r="4948" spans="4:4" x14ac:dyDescent="0.3">
      <c r="D4948" t="str">
        <f t="shared" si="106"/>
        <v/>
      </c>
    </row>
    <row r="4949" spans="4:4" x14ac:dyDescent="0.3">
      <c r="D4949" t="str">
        <f t="shared" si="106"/>
        <v/>
      </c>
    </row>
    <row r="4950" spans="4:4" x14ac:dyDescent="0.3">
      <c r="D4950" t="str">
        <f t="shared" si="106"/>
        <v/>
      </c>
    </row>
    <row r="4951" spans="4:4" x14ac:dyDescent="0.3">
      <c r="D4951" t="str">
        <f t="shared" si="106"/>
        <v/>
      </c>
    </row>
    <row r="4952" spans="4:4" x14ac:dyDescent="0.3">
      <c r="D4952" t="str">
        <f t="shared" si="106"/>
        <v/>
      </c>
    </row>
    <row r="4953" spans="4:4" x14ac:dyDescent="0.3">
      <c r="D4953" t="str">
        <f t="shared" si="106"/>
        <v/>
      </c>
    </row>
    <row r="4954" spans="4:4" x14ac:dyDescent="0.3">
      <c r="D4954" t="str">
        <f t="shared" si="106"/>
        <v/>
      </c>
    </row>
    <row r="4955" spans="4:4" x14ac:dyDescent="0.3">
      <c r="D4955" t="str">
        <f t="shared" si="106"/>
        <v/>
      </c>
    </row>
    <row r="4956" spans="4:4" x14ac:dyDescent="0.3">
      <c r="D4956" t="str">
        <f t="shared" si="106"/>
        <v/>
      </c>
    </row>
    <row r="4957" spans="4:4" x14ac:dyDescent="0.3">
      <c r="D4957" t="str">
        <f t="shared" si="106"/>
        <v/>
      </c>
    </row>
    <row r="4958" spans="4:4" x14ac:dyDescent="0.3">
      <c r="D4958" t="str">
        <f t="shared" si="106"/>
        <v/>
      </c>
    </row>
    <row r="4959" spans="4:4" x14ac:dyDescent="0.3">
      <c r="D4959" t="str">
        <f t="shared" si="106"/>
        <v/>
      </c>
    </row>
    <row r="4960" spans="4:4" x14ac:dyDescent="0.3">
      <c r="D4960" t="str">
        <f t="shared" si="106"/>
        <v/>
      </c>
    </row>
    <row r="4961" spans="4:4" x14ac:dyDescent="0.3">
      <c r="D4961" t="str">
        <f t="shared" si="106"/>
        <v/>
      </c>
    </row>
    <row r="4962" spans="4:4" x14ac:dyDescent="0.3">
      <c r="D4962" t="str">
        <f t="shared" si="106"/>
        <v/>
      </c>
    </row>
    <row r="4963" spans="4:4" x14ac:dyDescent="0.3">
      <c r="D4963" t="str">
        <f t="shared" si="106"/>
        <v/>
      </c>
    </row>
    <row r="4964" spans="4:4" x14ac:dyDescent="0.3">
      <c r="D4964" t="str">
        <f t="shared" si="106"/>
        <v/>
      </c>
    </row>
    <row r="4965" spans="4:4" x14ac:dyDescent="0.3">
      <c r="D4965" t="str">
        <f t="shared" si="106"/>
        <v/>
      </c>
    </row>
    <row r="4966" spans="4:4" x14ac:dyDescent="0.3">
      <c r="D4966" t="str">
        <f t="shared" si="106"/>
        <v/>
      </c>
    </row>
    <row r="4967" spans="4:4" x14ac:dyDescent="0.3">
      <c r="D4967" t="str">
        <f t="shared" si="106"/>
        <v/>
      </c>
    </row>
    <row r="4968" spans="4:4" x14ac:dyDescent="0.3">
      <c r="D4968" t="str">
        <f t="shared" si="106"/>
        <v/>
      </c>
    </row>
    <row r="4969" spans="4:4" x14ac:dyDescent="0.3">
      <c r="D4969" t="str">
        <f t="shared" si="106"/>
        <v/>
      </c>
    </row>
    <row r="4970" spans="4:4" x14ac:dyDescent="0.3">
      <c r="D4970" t="str">
        <f t="shared" si="106"/>
        <v/>
      </c>
    </row>
    <row r="4971" spans="4:4" x14ac:dyDescent="0.3">
      <c r="D4971" t="str">
        <f t="shared" si="106"/>
        <v/>
      </c>
    </row>
    <row r="4972" spans="4:4" x14ac:dyDescent="0.3">
      <c r="D4972" t="str">
        <f t="shared" si="106"/>
        <v/>
      </c>
    </row>
    <row r="4973" spans="4:4" x14ac:dyDescent="0.3">
      <c r="D4973" t="str">
        <f t="shared" si="106"/>
        <v/>
      </c>
    </row>
    <row r="4974" spans="4:4" x14ac:dyDescent="0.3">
      <c r="D4974" t="str">
        <f t="shared" si="106"/>
        <v/>
      </c>
    </row>
    <row r="4975" spans="4:4" x14ac:dyDescent="0.3">
      <c r="D4975" t="str">
        <f t="shared" si="106"/>
        <v/>
      </c>
    </row>
    <row r="4976" spans="4:4" x14ac:dyDescent="0.3">
      <c r="D4976" t="str">
        <f t="shared" si="106"/>
        <v/>
      </c>
    </row>
    <row r="4977" spans="4:4" x14ac:dyDescent="0.3">
      <c r="D4977" t="str">
        <f t="shared" si="106"/>
        <v/>
      </c>
    </row>
    <row r="4978" spans="4:4" x14ac:dyDescent="0.3">
      <c r="D4978" t="str">
        <f t="shared" si="106"/>
        <v/>
      </c>
    </row>
    <row r="4979" spans="4:4" x14ac:dyDescent="0.3">
      <c r="D4979" t="str">
        <f t="shared" si="106"/>
        <v/>
      </c>
    </row>
    <row r="4980" spans="4:4" x14ac:dyDescent="0.3">
      <c r="D4980" t="str">
        <f t="shared" si="106"/>
        <v/>
      </c>
    </row>
    <row r="4981" spans="4:4" x14ac:dyDescent="0.3">
      <c r="D4981" t="str">
        <f t="shared" si="106"/>
        <v/>
      </c>
    </row>
    <row r="4982" spans="4:4" x14ac:dyDescent="0.3">
      <c r="D4982" t="str">
        <f t="shared" si="106"/>
        <v/>
      </c>
    </row>
    <row r="4983" spans="4:4" x14ac:dyDescent="0.3">
      <c r="D4983" t="str">
        <f t="shared" si="106"/>
        <v/>
      </c>
    </row>
    <row r="4984" spans="4:4" x14ac:dyDescent="0.3">
      <c r="D4984" t="str">
        <f t="shared" si="106"/>
        <v/>
      </c>
    </row>
    <row r="4985" spans="4:4" x14ac:dyDescent="0.3">
      <c r="D4985" t="str">
        <f t="shared" si="106"/>
        <v/>
      </c>
    </row>
    <row r="4986" spans="4:4" x14ac:dyDescent="0.3">
      <c r="D4986" t="str">
        <f t="shared" si="106"/>
        <v/>
      </c>
    </row>
    <row r="4987" spans="4:4" x14ac:dyDescent="0.3">
      <c r="D4987" t="str">
        <f t="shared" si="106"/>
        <v/>
      </c>
    </row>
    <row r="4988" spans="4:4" x14ac:dyDescent="0.3">
      <c r="D4988" t="str">
        <f t="shared" si="106"/>
        <v/>
      </c>
    </row>
    <row r="4989" spans="4:4" x14ac:dyDescent="0.3">
      <c r="D4989" t="str">
        <f t="shared" si="106"/>
        <v/>
      </c>
    </row>
    <row r="4990" spans="4:4" x14ac:dyDescent="0.3">
      <c r="D4990" t="str">
        <f t="shared" ref="D4990:D5053" si="107">IF(LEFT(A4990,2)="SP",MID(A4990,4,4),IF(LEFT(A4990,1)="X",MID(A4990,3,4),""))</f>
        <v/>
      </c>
    </row>
    <row r="4991" spans="4:4" x14ac:dyDescent="0.3">
      <c r="D4991" t="str">
        <f t="shared" si="107"/>
        <v/>
      </c>
    </row>
    <row r="4992" spans="4:4" x14ac:dyDescent="0.3">
      <c r="D4992" t="str">
        <f t="shared" si="107"/>
        <v/>
      </c>
    </row>
    <row r="4993" spans="4:4" x14ac:dyDescent="0.3">
      <c r="D4993" t="str">
        <f t="shared" si="107"/>
        <v/>
      </c>
    </row>
    <row r="4994" spans="4:4" x14ac:dyDescent="0.3">
      <c r="D4994" t="str">
        <f t="shared" si="107"/>
        <v/>
      </c>
    </row>
    <row r="4995" spans="4:4" x14ac:dyDescent="0.3">
      <c r="D4995" t="str">
        <f t="shared" si="107"/>
        <v/>
      </c>
    </row>
    <row r="4996" spans="4:4" x14ac:dyDescent="0.3">
      <c r="D4996" t="str">
        <f t="shared" si="107"/>
        <v/>
      </c>
    </row>
    <row r="4997" spans="4:4" x14ac:dyDescent="0.3">
      <c r="D4997" t="str">
        <f t="shared" si="107"/>
        <v/>
      </c>
    </row>
    <row r="4998" spans="4:4" x14ac:dyDescent="0.3">
      <c r="D4998" t="str">
        <f t="shared" si="107"/>
        <v/>
      </c>
    </row>
    <row r="4999" spans="4:4" x14ac:dyDescent="0.3">
      <c r="D4999" t="str">
        <f t="shared" si="107"/>
        <v/>
      </c>
    </row>
    <row r="5000" spans="4:4" x14ac:dyDescent="0.3">
      <c r="D5000" t="str">
        <f t="shared" si="107"/>
        <v/>
      </c>
    </row>
    <row r="5001" spans="4:4" x14ac:dyDescent="0.3">
      <c r="D5001" t="str">
        <f t="shared" si="107"/>
        <v/>
      </c>
    </row>
    <row r="5002" spans="4:4" x14ac:dyDescent="0.3">
      <c r="D5002" t="str">
        <f t="shared" si="107"/>
        <v/>
      </c>
    </row>
    <row r="5003" spans="4:4" x14ac:dyDescent="0.3">
      <c r="D5003" t="str">
        <f t="shared" si="107"/>
        <v/>
      </c>
    </row>
    <row r="5004" spans="4:4" x14ac:dyDescent="0.3">
      <c r="D5004" t="str">
        <f t="shared" si="107"/>
        <v/>
      </c>
    </row>
    <row r="5005" spans="4:4" x14ac:dyDescent="0.3">
      <c r="D5005" t="str">
        <f t="shared" si="107"/>
        <v/>
      </c>
    </row>
    <row r="5006" spans="4:4" x14ac:dyDescent="0.3">
      <c r="D5006" t="str">
        <f t="shared" si="107"/>
        <v/>
      </c>
    </row>
    <row r="5007" spans="4:4" x14ac:dyDescent="0.3">
      <c r="D5007" t="str">
        <f t="shared" si="107"/>
        <v/>
      </c>
    </row>
    <row r="5008" spans="4:4" x14ac:dyDescent="0.3">
      <c r="D5008" t="str">
        <f t="shared" si="107"/>
        <v/>
      </c>
    </row>
    <row r="5009" spans="4:4" x14ac:dyDescent="0.3">
      <c r="D5009" t="str">
        <f t="shared" si="107"/>
        <v/>
      </c>
    </row>
    <row r="5010" spans="4:4" x14ac:dyDescent="0.3">
      <c r="D5010" t="str">
        <f t="shared" si="107"/>
        <v/>
      </c>
    </row>
    <row r="5011" spans="4:4" x14ac:dyDescent="0.3">
      <c r="D5011" t="str">
        <f t="shared" si="107"/>
        <v/>
      </c>
    </row>
    <row r="5012" spans="4:4" x14ac:dyDescent="0.3">
      <c r="D5012" t="str">
        <f t="shared" si="107"/>
        <v/>
      </c>
    </row>
    <row r="5013" spans="4:4" x14ac:dyDescent="0.3">
      <c r="D5013" t="str">
        <f t="shared" si="107"/>
        <v/>
      </c>
    </row>
    <row r="5014" spans="4:4" x14ac:dyDescent="0.3">
      <c r="D5014" t="str">
        <f t="shared" si="107"/>
        <v/>
      </c>
    </row>
    <row r="5015" spans="4:4" x14ac:dyDescent="0.3">
      <c r="D5015" t="str">
        <f t="shared" si="107"/>
        <v/>
      </c>
    </row>
    <row r="5016" spans="4:4" x14ac:dyDescent="0.3">
      <c r="D5016" t="str">
        <f t="shared" si="107"/>
        <v/>
      </c>
    </row>
    <row r="5017" spans="4:4" x14ac:dyDescent="0.3">
      <c r="D5017" t="str">
        <f t="shared" si="107"/>
        <v/>
      </c>
    </row>
    <row r="5018" spans="4:4" x14ac:dyDescent="0.3">
      <c r="D5018" t="str">
        <f t="shared" si="107"/>
        <v/>
      </c>
    </row>
    <row r="5019" spans="4:4" x14ac:dyDescent="0.3">
      <c r="D5019" t="str">
        <f t="shared" si="107"/>
        <v/>
      </c>
    </row>
    <row r="5020" spans="4:4" x14ac:dyDescent="0.3">
      <c r="D5020" t="str">
        <f t="shared" si="107"/>
        <v/>
      </c>
    </row>
    <row r="5021" spans="4:4" x14ac:dyDescent="0.3">
      <c r="D5021" t="str">
        <f t="shared" si="107"/>
        <v/>
      </c>
    </row>
    <row r="5022" spans="4:4" x14ac:dyDescent="0.3">
      <c r="D5022" t="str">
        <f t="shared" si="107"/>
        <v/>
      </c>
    </row>
    <row r="5023" spans="4:4" x14ac:dyDescent="0.3">
      <c r="D5023" t="str">
        <f t="shared" si="107"/>
        <v/>
      </c>
    </row>
    <row r="5024" spans="4:4" x14ac:dyDescent="0.3">
      <c r="D5024" t="str">
        <f t="shared" si="107"/>
        <v/>
      </c>
    </row>
    <row r="5025" spans="4:4" x14ac:dyDescent="0.3">
      <c r="D5025" t="str">
        <f t="shared" si="107"/>
        <v/>
      </c>
    </row>
    <row r="5026" spans="4:4" x14ac:dyDescent="0.3">
      <c r="D5026" t="str">
        <f t="shared" si="107"/>
        <v/>
      </c>
    </row>
    <row r="5027" spans="4:4" x14ac:dyDescent="0.3">
      <c r="D5027" t="str">
        <f t="shared" si="107"/>
        <v/>
      </c>
    </row>
    <row r="5028" spans="4:4" x14ac:dyDescent="0.3">
      <c r="D5028" t="str">
        <f t="shared" si="107"/>
        <v/>
      </c>
    </row>
    <row r="5029" spans="4:4" x14ac:dyDescent="0.3">
      <c r="D5029" t="str">
        <f t="shared" si="107"/>
        <v/>
      </c>
    </row>
    <row r="5030" spans="4:4" x14ac:dyDescent="0.3">
      <c r="D5030" t="str">
        <f t="shared" si="107"/>
        <v/>
      </c>
    </row>
    <row r="5031" spans="4:4" x14ac:dyDescent="0.3">
      <c r="D5031" t="str">
        <f t="shared" si="107"/>
        <v/>
      </c>
    </row>
    <row r="5032" spans="4:4" x14ac:dyDescent="0.3">
      <c r="D5032" t="str">
        <f t="shared" si="107"/>
        <v/>
      </c>
    </row>
    <row r="5033" spans="4:4" x14ac:dyDescent="0.3">
      <c r="D5033" t="str">
        <f t="shared" si="107"/>
        <v/>
      </c>
    </row>
    <row r="5034" spans="4:4" x14ac:dyDescent="0.3">
      <c r="D5034" t="str">
        <f t="shared" si="107"/>
        <v/>
      </c>
    </row>
    <row r="5035" spans="4:4" x14ac:dyDescent="0.3">
      <c r="D5035" t="str">
        <f t="shared" si="107"/>
        <v/>
      </c>
    </row>
    <row r="5036" spans="4:4" x14ac:dyDescent="0.3">
      <c r="D5036" t="str">
        <f t="shared" si="107"/>
        <v/>
      </c>
    </row>
    <row r="5037" spans="4:4" x14ac:dyDescent="0.3">
      <c r="D5037" t="str">
        <f t="shared" si="107"/>
        <v/>
      </c>
    </row>
    <row r="5038" spans="4:4" x14ac:dyDescent="0.3">
      <c r="D5038" t="str">
        <f t="shared" si="107"/>
        <v/>
      </c>
    </row>
    <row r="5039" spans="4:4" x14ac:dyDescent="0.3">
      <c r="D5039" t="str">
        <f t="shared" si="107"/>
        <v/>
      </c>
    </row>
    <row r="5040" spans="4:4" x14ac:dyDescent="0.3">
      <c r="D5040" t="str">
        <f t="shared" si="107"/>
        <v/>
      </c>
    </row>
    <row r="5041" spans="4:4" x14ac:dyDescent="0.3">
      <c r="D5041" t="str">
        <f t="shared" si="107"/>
        <v/>
      </c>
    </row>
    <row r="5042" spans="4:4" x14ac:dyDescent="0.3">
      <c r="D5042" t="str">
        <f t="shared" si="107"/>
        <v/>
      </c>
    </row>
    <row r="5043" spans="4:4" x14ac:dyDescent="0.3">
      <c r="D5043" t="str">
        <f t="shared" si="107"/>
        <v/>
      </c>
    </row>
    <row r="5044" spans="4:4" x14ac:dyDescent="0.3">
      <c r="D5044" t="str">
        <f t="shared" si="107"/>
        <v/>
      </c>
    </row>
    <row r="5045" spans="4:4" x14ac:dyDescent="0.3">
      <c r="D5045" t="str">
        <f t="shared" si="107"/>
        <v/>
      </c>
    </row>
    <row r="5046" spans="4:4" x14ac:dyDescent="0.3">
      <c r="D5046" t="str">
        <f t="shared" si="107"/>
        <v/>
      </c>
    </row>
    <row r="5047" spans="4:4" x14ac:dyDescent="0.3">
      <c r="D5047" t="str">
        <f t="shared" si="107"/>
        <v/>
      </c>
    </row>
    <row r="5048" spans="4:4" x14ac:dyDescent="0.3">
      <c r="D5048" t="str">
        <f t="shared" si="107"/>
        <v/>
      </c>
    </row>
    <row r="5049" spans="4:4" x14ac:dyDescent="0.3">
      <c r="D5049" t="str">
        <f t="shared" si="107"/>
        <v/>
      </c>
    </row>
    <row r="5050" spans="4:4" x14ac:dyDescent="0.3">
      <c r="D5050" t="str">
        <f t="shared" si="107"/>
        <v/>
      </c>
    </row>
    <row r="5051" spans="4:4" x14ac:dyDescent="0.3">
      <c r="D5051" t="str">
        <f t="shared" si="107"/>
        <v/>
      </c>
    </row>
    <row r="5052" spans="4:4" x14ac:dyDescent="0.3">
      <c r="D5052" t="str">
        <f t="shared" si="107"/>
        <v/>
      </c>
    </row>
    <row r="5053" spans="4:4" x14ac:dyDescent="0.3">
      <c r="D5053" t="str">
        <f t="shared" si="107"/>
        <v/>
      </c>
    </row>
    <row r="5054" spans="4:4" x14ac:dyDescent="0.3">
      <c r="D5054" t="str">
        <f t="shared" ref="D5054:D5117" si="108">IF(LEFT(A5054,2)="SP",MID(A5054,4,4),IF(LEFT(A5054,1)="X",MID(A5054,3,4),""))</f>
        <v/>
      </c>
    </row>
    <row r="5055" spans="4:4" x14ac:dyDescent="0.3">
      <c r="D5055" t="str">
        <f t="shared" si="108"/>
        <v/>
      </c>
    </row>
    <row r="5056" spans="4:4" x14ac:dyDescent="0.3">
      <c r="D5056" t="str">
        <f t="shared" si="108"/>
        <v/>
      </c>
    </row>
    <row r="5057" spans="4:4" x14ac:dyDescent="0.3">
      <c r="D5057" t="str">
        <f t="shared" si="108"/>
        <v/>
      </c>
    </row>
    <row r="5058" spans="4:4" x14ac:dyDescent="0.3">
      <c r="D5058" t="str">
        <f t="shared" si="108"/>
        <v/>
      </c>
    </row>
    <row r="5059" spans="4:4" x14ac:dyDescent="0.3">
      <c r="D5059" t="str">
        <f t="shared" si="108"/>
        <v/>
      </c>
    </row>
    <row r="5060" spans="4:4" x14ac:dyDescent="0.3">
      <c r="D5060" t="str">
        <f t="shared" si="108"/>
        <v/>
      </c>
    </row>
    <row r="5061" spans="4:4" x14ac:dyDescent="0.3">
      <c r="D5061" t="str">
        <f t="shared" si="108"/>
        <v/>
      </c>
    </row>
    <row r="5062" spans="4:4" x14ac:dyDescent="0.3">
      <c r="D5062" t="str">
        <f t="shared" si="108"/>
        <v/>
      </c>
    </row>
    <row r="5063" spans="4:4" x14ac:dyDescent="0.3">
      <c r="D5063" t="str">
        <f t="shared" si="108"/>
        <v/>
      </c>
    </row>
    <row r="5064" spans="4:4" x14ac:dyDescent="0.3">
      <c r="D5064" t="str">
        <f t="shared" si="108"/>
        <v/>
      </c>
    </row>
    <row r="5065" spans="4:4" x14ac:dyDescent="0.3">
      <c r="D5065" t="str">
        <f t="shared" si="108"/>
        <v/>
      </c>
    </row>
    <row r="5066" spans="4:4" x14ac:dyDescent="0.3">
      <c r="D5066" t="str">
        <f t="shared" si="108"/>
        <v/>
      </c>
    </row>
    <row r="5067" spans="4:4" x14ac:dyDescent="0.3">
      <c r="D5067" t="str">
        <f t="shared" si="108"/>
        <v/>
      </c>
    </row>
    <row r="5068" spans="4:4" x14ac:dyDescent="0.3">
      <c r="D5068" t="str">
        <f t="shared" si="108"/>
        <v/>
      </c>
    </row>
    <row r="5069" spans="4:4" x14ac:dyDescent="0.3">
      <c r="D5069" t="str">
        <f t="shared" si="108"/>
        <v/>
      </c>
    </row>
    <row r="5070" spans="4:4" x14ac:dyDescent="0.3">
      <c r="D5070" t="str">
        <f t="shared" si="108"/>
        <v/>
      </c>
    </row>
    <row r="5071" spans="4:4" x14ac:dyDescent="0.3">
      <c r="D5071" t="str">
        <f t="shared" si="108"/>
        <v/>
      </c>
    </row>
    <row r="5072" spans="4:4" x14ac:dyDescent="0.3">
      <c r="D5072" t="str">
        <f t="shared" si="108"/>
        <v/>
      </c>
    </row>
    <row r="5073" spans="4:4" x14ac:dyDescent="0.3">
      <c r="D5073" t="str">
        <f t="shared" si="108"/>
        <v/>
      </c>
    </row>
    <row r="5074" spans="4:4" x14ac:dyDescent="0.3">
      <c r="D5074" t="str">
        <f t="shared" si="108"/>
        <v/>
      </c>
    </row>
    <row r="5075" spans="4:4" x14ac:dyDescent="0.3">
      <c r="D5075" t="str">
        <f t="shared" si="108"/>
        <v/>
      </c>
    </row>
    <row r="5076" spans="4:4" x14ac:dyDescent="0.3">
      <c r="D5076" t="str">
        <f t="shared" si="108"/>
        <v/>
      </c>
    </row>
    <row r="5077" spans="4:4" x14ac:dyDescent="0.3">
      <c r="D5077" t="str">
        <f t="shared" si="108"/>
        <v/>
      </c>
    </row>
    <row r="5078" spans="4:4" x14ac:dyDescent="0.3">
      <c r="D5078" t="str">
        <f t="shared" si="108"/>
        <v/>
      </c>
    </row>
    <row r="5079" spans="4:4" x14ac:dyDescent="0.3">
      <c r="D5079" t="str">
        <f t="shared" si="108"/>
        <v/>
      </c>
    </row>
    <row r="5080" spans="4:4" x14ac:dyDescent="0.3">
      <c r="D5080" t="str">
        <f t="shared" si="108"/>
        <v/>
      </c>
    </row>
    <row r="5081" spans="4:4" x14ac:dyDescent="0.3">
      <c r="D5081" t="str">
        <f t="shared" si="108"/>
        <v/>
      </c>
    </row>
    <row r="5082" spans="4:4" x14ac:dyDescent="0.3">
      <c r="D5082" t="str">
        <f t="shared" si="108"/>
        <v/>
      </c>
    </row>
    <row r="5083" spans="4:4" x14ac:dyDescent="0.3">
      <c r="D5083" t="str">
        <f t="shared" si="108"/>
        <v/>
      </c>
    </row>
    <row r="5084" spans="4:4" x14ac:dyDescent="0.3">
      <c r="D5084" t="str">
        <f t="shared" si="108"/>
        <v/>
      </c>
    </row>
    <row r="5085" spans="4:4" x14ac:dyDescent="0.3">
      <c r="D5085" t="str">
        <f t="shared" si="108"/>
        <v/>
      </c>
    </row>
    <row r="5086" spans="4:4" x14ac:dyDescent="0.3">
      <c r="D5086" t="str">
        <f t="shared" si="108"/>
        <v/>
      </c>
    </row>
    <row r="5087" spans="4:4" x14ac:dyDescent="0.3">
      <c r="D5087" t="str">
        <f t="shared" si="108"/>
        <v/>
      </c>
    </row>
    <row r="5088" spans="4:4" x14ac:dyDescent="0.3">
      <c r="D5088" t="str">
        <f t="shared" si="108"/>
        <v/>
      </c>
    </row>
    <row r="5089" spans="4:4" x14ac:dyDescent="0.3">
      <c r="D5089" t="str">
        <f t="shared" si="108"/>
        <v/>
      </c>
    </row>
    <row r="5090" spans="4:4" x14ac:dyDescent="0.3">
      <c r="D5090" t="str">
        <f t="shared" si="108"/>
        <v/>
      </c>
    </row>
    <row r="5091" spans="4:4" x14ac:dyDescent="0.3">
      <c r="D5091" t="str">
        <f t="shared" si="108"/>
        <v/>
      </c>
    </row>
    <row r="5092" spans="4:4" x14ac:dyDescent="0.3">
      <c r="D5092" t="str">
        <f t="shared" si="108"/>
        <v/>
      </c>
    </row>
    <row r="5093" spans="4:4" x14ac:dyDescent="0.3">
      <c r="D5093" t="str">
        <f t="shared" si="108"/>
        <v/>
      </c>
    </row>
    <row r="5094" spans="4:4" x14ac:dyDescent="0.3">
      <c r="D5094" t="str">
        <f t="shared" si="108"/>
        <v/>
      </c>
    </row>
    <row r="5095" spans="4:4" x14ac:dyDescent="0.3">
      <c r="D5095" t="str">
        <f t="shared" si="108"/>
        <v/>
      </c>
    </row>
    <row r="5096" spans="4:4" x14ac:dyDescent="0.3">
      <c r="D5096" t="str">
        <f t="shared" si="108"/>
        <v/>
      </c>
    </row>
    <row r="5097" spans="4:4" x14ac:dyDescent="0.3">
      <c r="D5097" t="str">
        <f t="shared" si="108"/>
        <v/>
      </c>
    </row>
    <row r="5098" spans="4:4" x14ac:dyDescent="0.3">
      <c r="D5098" t="str">
        <f t="shared" si="108"/>
        <v/>
      </c>
    </row>
    <row r="5099" spans="4:4" x14ac:dyDescent="0.3">
      <c r="D5099" t="str">
        <f t="shared" si="108"/>
        <v/>
      </c>
    </row>
    <row r="5100" spans="4:4" x14ac:dyDescent="0.3">
      <c r="D5100" t="str">
        <f t="shared" si="108"/>
        <v/>
      </c>
    </row>
    <row r="5101" spans="4:4" x14ac:dyDescent="0.3">
      <c r="D5101" t="str">
        <f t="shared" si="108"/>
        <v/>
      </c>
    </row>
    <row r="5102" spans="4:4" x14ac:dyDescent="0.3">
      <c r="D5102" t="str">
        <f t="shared" si="108"/>
        <v/>
      </c>
    </row>
    <row r="5103" spans="4:4" x14ac:dyDescent="0.3">
      <c r="D5103" t="str">
        <f t="shared" si="108"/>
        <v/>
      </c>
    </row>
    <row r="5104" spans="4:4" x14ac:dyDescent="0.3">
      <c r="D5104" t="str">
        <f t="shared" si="108"/>
        <v/>
      </c>
    </row>
    <row r="5105" spans="4:4" x14ac:dyDescent="0.3">
      <c r="D5105" t="str">
        <f t="shared" si="108"/>
        <v/>
      </c>
    </row>
    <row r="5106" spans="4:4" x14ac:dyDescent="0.3">
      <c r="D5106" t="str">
        <f t="shared" si="108"/>
        <v/>
      </c>
    </row>
    <row r="5107" spans="4:4" x14ac:dyDescent="0.3">
      <c r="D5107" t="str">
        <f t="shared" si="108"/>
        <v/>
      </c>
    </row>
    <row r="5108" spans="4:4" x14ac:dyDescent="0.3">
      <c r="D5108" t="str">
        <f t="shared" si="108"/>
        <v/>
      </c>
    </row>
    <row r="5109" spans="4:4" x14ac:dyDescent="0.3">
      <c r="D5109" t="str">
        <f t="shared" si="108"/>
        <v/>
      </c>
    </row>
    <row r="5110" spans="4:4" x14ac:dyDescent="0.3">
      <c r="D5110" t="str">
        <f t="shared" si="108"/>
        <v/>
      </c>
    </row>
    <row r="5111" spans="4:4" x14ac:dyDescent="0.3">
      <c r="D5111" t="str">
        <f t="shared" si="108"/>
        <v/>
      </c>
    </row>
    <row r="5112" spans="4:4" x14ac:dyDescent="0.3">
      <c r="D5112" t="str">
        <f t="shared" si="108"/>
        <v/>
      </c>
    </row>
    <row r="5113" spans="4:4" x14ac:dyDescent="0.3">
      <c r="D5113" t="str">
        <f t="shared" si="108"/>
        <v/>
      </c>
    </row>
    <row r="5114" spans="4:4" x14ac:dyDescent="0.3">
      <c r="D5114" t="str">
        <f t="shared" si="108"/>
        <v/>
      </c>
    </row>
    <row r="5115" spans="4:4" x14ac:dyDescent="0.3">
      <c r="D5115" t="str">
        <f t="shared" si="108"/>
        <v/>
      </c>
    </row>
    <row r="5116" spans="4:4" x14ac:dyDescent="0.3">
      <c r="D5116" t="str">
        <f t="shared" si="108"/>
        <v/>
      </c>
    </row>
    <row r="5117" spans="4:4" x14ac:dyDescent="0.3">
      <c r="D5117" t="str">
        <f t="shared" si="108"/>
        <v/>
      </c>
    </row>
    <row r="5118" spans="4:4" x14ac:dyDescent="0.3">
      <c r="D5118" t="str">
        <f t="shared" ref="D5118:D5181" si="109">IF(LEFT(A5118,2)="SP",MID(A5118,4,4),IF(LEFT(A5118,1)="X",MID(A5118,3,4),""))</f>
        <v/>
      </c>
    </row>
    <row r="5119" spans="4:4" x14ac:dyDescent="0.3">
      <c r="D5119" t="str">
        <f t="shared" si="109"/>
        <v/>
      </c>
    </row>
    <row r="5120" spans="4:4" x14ac:dyDescent="0.3">
      <c r="D5120" t="str">
        <f t="shared" si="109"/>
        <v/>
      </c>
    </row>
    <row r="5121" spans="4:4" x14ac:dyDescent="0.3">
      <c r="D5121" t="str">
        <f t="shared" si="109"/>
        <v/>
      </c>
    </row>
    <row r="5122" spans="4:4" x14ac:dyDescent="0.3">
      <c r="D5122" t="str">
        <f t="shared" si="109"/>
        <v/>
      </c>
    </row>
    <row r="5123" spans="4:4" x14ac:dyDescent="0.3">
      <c r="D5123" t="str">
        <f t="shared" si="109"/>
        <v/>
      </c>
    </row>
    <row r="5124" spans="4:4" x14ac:dyDescent="0.3">
      <c r="D5124" t="str">
        <f t="shared" si="109"/>
        <v/>
      </c>
    </row>
    <row r="5125" spans="4:4" x14ac:dyDescent="0.3">
      <c r="D5125" t="str">
        <f t="shared" si="109"/>
        <v/>
      </c>
    </row>
    <row r="5126" spans="4:4" x14ac:dyDescent="0.3">
      <c r="D5126" t="str">
        <f t="shared" si="109"/>
        <v/>
      </c>
    </row>
    <row r="5127" spans="4:4" x14ac:dyDescent="0.3">
      <c r="D5127" t="str">
        <f t="shared" si="109"/>
        <v/>
      </c>
    </row>
    <row r="5128" spans="4:4" x14ac:dyDescent="0.3">
      <c r="D5128" t="str">
        <f t="shared" si="109"/>
        <v/>
      </c>
    </row>
    <row r="5129" spans="4:4" x14ac:dyDescent="0.3">
      <c r="D5129" t="str">
        <f t="shared" si="109"/>
        <v/>
      </c>
    </row>
    <row r="5130" spans="4:4" x14ac:dyDescent="0.3">
      <c r="D5130" t="str">
        <f t="shared" si="109"/>
        <v/>
      </c>
    </row>
    <row r="5131" spans="4:4" x14ac:dyDescent="0.3">
      <c r="D5131" t="str">
        <f t="shared" si="109"/>
        <v/>
      </c>
    </row>
    <row r="5132" spans="4:4" x14ac:dyDescent="0.3">
      <c r="D5132" t="str">
        <f t="shared" si="109"/>
        <v/>
      </c>
    </row>
    <row r="5133" spans="4:4" x14ac:dyDescent="0.3">
      <c r="D5133" t="str">
        <f t="shared" si="109"/>
        <v/>
      </c>
    </row>
    <row r="5134" spans="4:4" x14ac:dyDescent="0.3">
      <c r="D5134" t="str">
        <f t="shared" si="109"/>
        <v/>
      </c>
    </row>
    <row r="5135" spans="4:4" x14ac:dyDescent="0.3">
      <c r="D5135" t="str">
        <f t="shared" si="109"/>
        <v/>
      </c>
    </row>
    <row r="5136" spans="4:4" x14ac:dyDescent="0.3">
      <c r="D5136" t="str">
        <f t="shared" si="109"/>
        <v/>
      </c>
    </row>
    <row r="5137" spans="4:4" x14ac:dyDescent="0.3">
      <c r="D5137" t="str">
        <f t="shared" si="109"/>
        <v/>
      </c>
    </row>
    <row r="5138" spans="4:4" x14ac:dyDescent="0.3">
      <c r="D5138" t="str">
        <f t="shared" si="109"/>
        <v/>
      </c>
    </row>
    <row r="5139" spans="4:4" x14ac:dyDescent="0.3">
      <c r="D5139" t="str">
        <f t="shared" si="109"/>
        <v/>
      </c>
    </row>
    <row r="5140" spans="4:4" x14ac:dyDescent="0.3">
      <c r="D5140" t="str">
        <f t="shared" si="109"/>
        <v/>
      </c>
    </row>
    <row r="5141" spans="4:4" x14ac:dyDescent="0.3">
      <c r="D5141" t="str">
        <f t="shared" si="109"/>
        <v/>
      </c>
    </row>
    <row r="5142" spans="4:4" x14ac:dyDescent="0.3">
      <c r="D5142" t="str">
        <f t="shared" si="109"/>
        <v/>
      </c>
    </row>
    <row r="5143" spans="4:4" x14ac:dyDescent="0.3">
      <c r="D5143" t="str">
        <f t="shared" si="109"/>
        <v/>
      </c>
    </row>
    <row r="5144" spans="4:4" x14ac:dyDescent="0.3">
      <c r="D5144" t="str">
        <f t="shared" si="109"/>
        <v/>
      </c>
    </row>
    <row r="5145" spans="4:4" x14ac:dyDescent="0.3">
      <c r="D5145" t="str">
        <f t="shared" si="109"/>
        <v/>
      </c>
    </row>
    <row r="5146" spans="4:4" x14ac:dyDescent="0.3">
      <c r="D5146" t="str">
        <f t="shared" si="109"/>
        <v/>
      </c>
    </row>
    <row r="5147" spans="4:4" x14ac:dyDescent="0.3">
      <c r="D5147" t="str">
        <f t="shared" si="109"/>
        <v/>
      </c>
    </row>
    <row r="5148" spans="4:4" x14ac:dyDescent="0.3">
      <c r="D5148" t="str">
        <f t="shared" si="109"/>
        <v/>
      </c>
    </row>
    <row r="5149" spans="4:4" x14ac:dyDescent="0.3">
      <c r="D5149" t="str">
        <f t="shared" si="109"/>
        <v/>
      </c>
    </row>
    <row r="5150" spans="4:4" x14ac:dyDescent="0.3">
      <c r="D5150" t="str">
        <f t="shared" si="109"/>
        <v/>
      </c>
    </row>
    <row r="5151" spans="4:4" x14ac:dyDescent="0.3">
      <c r="D5151" t="str">
        <f t="shared" si="109"/>
        <v/>
      </c>
    </row>
    <row r="5152" spans="4:4" x14ac:dyDescent="0.3">
      <c r="D5152" t="str">
        <f t="shared" si="109"/>
        <v/>
      </c>
    </row>
    <row r="5153" spans="4:4" x14ac:dyDescent="0.3">
      <c r="D5153" t="str">
        <f t="shared" si="109"/>
        <v/>
      </c>
    </row>
    <row r="5154" spans="4:4" x14ac:dyDescent="0.3">
      <c r="D5154" t="str">
        <f t="shared" si="109"/>
        <v/>
      </c>
    </row>
    <row r="5155" spans="4:4" x14ac:dyDescent="0.3">
      <c r="D5155" t="str">
        <f t="shared" si="109"/>
        <v/>
      </c>
    </row>
    <row r="5156" spans="4:4" x14ac:dyDescent="0.3">
      <c r="D5156" t="str">
        <f t="shared" si="109"/>
        <v/>
      </c>
    </row>
    <row r="5157" spans="4:4" x14ac:dyDescent="0.3">
      <c r="D5157" t="str">
        <f t="shared" si="109"/>
        <v/>
      </c>
    </row>
    <row r="5158" spans="4:4" x14ac:dyDescent="0.3">
      <c r="D5158" t="str">
        <f t="shared" si="109"/>
        <v/>
      </c>
    </row>
    <row r="5159" spans="4:4" x14ac:dyDescent="0.3">
      <c r="D5159" t="str">
        <f t="shared" si="109"/>
        <v/>
      </c>
    </row>
    <row r="5160" spans="4:4" x14ac:dyDescent="0.3">
      <c r="D5160" t="str">
        <f t="shared" si="109"/>
        <v/>
      </c>
    </row>
    <row r="5161" spans="4:4" x14ac:dyDescent="0.3">
      <c r="D5161" t="str">
        <f t="shared" si="109"/>
        <v/>
      </c>
    </row>
    <row r="5162" spans="4:4" x14ac:dyDescent="0.3">
      <c r="D5162" t="str">
        <f t="shared" si="109"/>
        <v/>
      </c>
    </row>
    <row r="5163" spans="4:4" x14ac:dyDescent="0.3">
      <c r="D5163" t="str">
        <f t="shared" si="109"/>
        <v/>
      </c>
    </row>
    <row r="5164" spans="4:4" x14ac:dyDescent="0.3">
      <c r="D5164" t="str">
        <f t="shared" si="109"/>
        <v/>
      </c>
    </row>
    <row r="5165" spans="4:4" x14ac:dyDescent="0.3">
      <c r="D5165" t="str">
        <f t="shared" si="109"/>
        <v/>
      </c>
    </row>
    <row r="5166" spans="4:4" x14ac:dyDescent="0.3">
      <c r="D5166" t="str">
        <f t="shared" si="109"/>
        <v/>
      </c>
    </row>
    <row r="5167" spans="4:4" x14ac:dyDescent="0.3">
      <c r="D5167" t="str">
        <f t="shared" si="109"/>
        <v/>
      </c>
    </row>
    <row r="5168" spans="4:4" x14ac:dyDescent="0.3">
      <c r="D5168" t="str">
        <f t="shared" si="109"/>
        <v/>
      </c>
    </row>
    <row r="5169" spans="4:4" x14ac:dyDescent="0.3">
      <c r="D5169" t="str">
        <f t="shared" si="109"/>
        <v/>
      </c>
    </row>
    <row r="5170" spans="4:4" x14ac:dyDescent="0.3">
      <c r="D5170" t="str">
        <f t="shared" si="109"/>
        <v/>
      </c>
    </row>
    <row r="5171" spans="4:4" x14ac:dyDescent="0.3">
      <c r="D5171" t="str">
        <f t="shared" si="109"/>
        <v/>
      </c>
    </row>
    <row r="5172" spans="4:4" x14ac:dyDescent="0.3">
      <c r="D5172" t="str">
        <f t="shared" si="109"/>
        <v/>
      </c>
    </row>
    <row r="5173" spans="4:4" x14ac:dyDescent="0.3">
      <c r="D5173" t="str">
        <f t="shared" si="109"/>
        <v/>
      </c>
    </row>
    <row r="5174" spans="4:4" x14ac:dyDescent="0.3">
      <c r="D5174" t="str">
        <f t="shared" si="109"/>
        <v/>
      </c>
    </row>
    <row r="5175" spans="4:4" x14ac:dyDescent="0.3">
      <c r="D5175" t="str">
        <f t="shared" si="109"/>
        <v/>
      </c>
    </row>
    <row r="5176" spans="4:4" x14ac:dyDescent="0.3">
      <c r="D5176" t="str">
        <f t="shared" si="109"/>
        <v/>
      </c>
    </row>
    <row r="5177" spans="4:4" x14ac:dyDescent="0.3">
      <c r="D5177" t="str">
        <f t="shared" si="109"/>
        <v/>
      </c>
    </row>
    <row r="5178" spans="4:4" x14ac:dyDescent="0.3">
      <c r="D5178" t="str">
        <f t="shared" si="109"/>
        <v/>
      </c>
    </row>
    <row r="5179" spans="4:4" x14ac:dyDescent="0.3">
      <c r="D5179" t="str">
        <f t="shared" si="109"/>
        <v/>
      </c>
    </row>
    <row r="5180" spans="4:4" x14ac:dyDescent="0.3">
      <c r="D5180" t="str">
        <f t="shared" si="109"/>
        <v/>
      </c>
    </row>
    <row r="5181" spans="4:4" x14ac:dyDescent="0.3">
      <c r="D5181" t="str">
        <f t="shared" si="109"/>
        <v/>
      </c>
    </row>
    <row r="5182" spans="4:4" x14ac:dyDescent="0.3">
      <c r="D5182" t="str">
        <f t="shared" ref="D5182:D5245" si="110">IF(LEFT(A5182,2)="SP",MID(A5182,4,4),IF(LEFT(A5182,1)="X",MID(A5182,3,4),""))</f>
        <v/>
      </c>
    </row>
    <row r="5183" spans="4:4" x14ac:dyDescent="0.3">
      <c r="D5183" t="str">
        <f t="shared" si="110"/>
        <v/>
      </c>
    </row>
    <row r="5184" spans="4:4" x14ac:dyDescent="0.3">
      <c r="D5184" t="str">
        <f t="shared" si="110"/>
        <v/>
      </c>
    </row>
    <row r="5185" spans="4:4" x14ac:dyDescent="0.3">
      <c r="D5185" t="str">
        <f t="shared" si="110"/>
        <v/>
      </c>
    </row>
    <row r="5186" spans="4:4" x14ac:dyDescent="0.3">
      <c r="D5186" t="str">
        <f t="shared" si="110"/>
        <v/>
      </c>
    </row>
    <row r="5187" spans="4:4" x14ac:dyDescent="0.3">
      <c r="D5187" t="str">
        <f t="shared" si="110"/>
        <v/>
      </c>
    </row>
    <row r="5188" spans="4:4" x14ac:dyDescent="0.3">
      <c r="D5188" t="str">
        <f t="shared" si="110"/>
        <v/>
      </c>
    </row>
    <row r="5189" spans="4:4" x14ac:dyDescent="0.3">
      <c r="D5189" t="str">
        <f t="shared" si="110"/>
        <v/>
      </c>
    </row>
    <row r="5190" spans="4:4" x14ac:dyDescent="0.3">
      <c r="D5190" t="str">
        <f t="shared" si="110"/>
        <v/>
      </c>
    </row>
    <row r="5191" spans="4:4" x14ac:dyDescent="0.3">
      <c r="D5191" t="str">
        <f t="shared" si="110"/>
        <v/>
      </c>
    </row>
    <row r="5192" spans="4:4" x14ac:dyDescent="0.3">
      <c r="D5192" t="str">
        <f t="shared" si="110"/>
        <v/>
      </c>
    </row>
    <row r="5193" spans="4:4" x14ac:dyDescent="0.3">
      <c r="D5193" t="str">
        <f t="shared" si="110"/>
        <v/>
      </c>
    </row>
    <row r="5194" spans="4:4" x14ac:dyDescent="0.3">
      <c r="D5194" t="str">
        <f t="shared" si="110"/>
        <v/>
      </c>
    </row>
    <row r="5195" spans="4:4" x14ac:dyDescent="0.3">
      <c r="D5195" t="str">
        <f t="shared" si="110"/>
        <v/>
      </c>
    </row>
    <row r="5196" spans="4:4" x14ac:dyDescent="0.3">
      <c r="D5196" t="str">
        <f t="shared" si="110"/>
        <v/>
      </c>
    </row>
    <row r="5197" spans="4:4" x14ac:dyDescent="0.3">
      <c r="D5197" t="str">
        <f t="shared" si="110"/>
        <v/>
      </c>
    </row>
    <row r="5198" spans="4:4" x14ac:dyDescent="0.3">
      <c r="D5198" t="str">
        <f t="shared" si="110"/>
        <v/>
      </c>
    </row>
    <row r="5199" spans="4:4" x14ac:dyDescent="0.3">
      <c r="D5199" t="str">
        <f t="shared" si="110"/>
        <v/>
      </c>
    </row>
    <row r="5200" spans="4:4" x14ac:dyDescent="0.3">
      <c r="D5200" t="str">
        <f t="shared" si="110"/>
        <v/>
      </c>
    </row>
    <row r="5201" spans="4:4" x14ac:dyDescent="0.3">
      <c r="D5201" t="str">
        <f t="shared" si="110"/>
        <v/>
      </c>
    </row>
    <row r="5202" spans="4:4" x14ac:dyDescent="0.3">
      <c r="D5202" t="str">
        <f t="shared" si="110"/>
        <v/>
      </c>
    </row>
    <row r="5203" spans="4:4" x14ac:dyDescent="0.3">
      <c r="D5203" t="str">
        <f t="shared" si="110"/>
        <v/>
      </c>
    </row>
    <row r="5204" spans="4:4" x14ac:dyDescent="0.3">
      <c r="D5204" t="str">
        <f t="shared" si="110"/>
        <v/>
      </c>
    </row>
    <row r="5205" spans="4:4" x14ac:dyDescent="0.3">
      <c r="D5205" t="str">
        <f t="shared" si="110"/>
        <v/>
      </c>
    </row>
    <row r="5206" spans="4:4" x14ac:dyDescent="0.3">
      <c r="D5206" t="str">
        <f t="shared" si="110"/>
        <v/>
      </c>
    </row>
    <row r="5207" spans="4:4" x14ac:dyDescent="0.3">
      <c r="D5207" t="str">
        <f t="shared" si="110"/>
        <v/>
      </c>
    </row>
    <row r="5208" spans="4:4" x14ac:dyDescent="0.3">
      <c r="D5208" t="str">
        <f t="shared" si="110"/>
        <v/>
      </c>
    </row>
    <row r="5209" spans="4:4" x14ac:dyDescent="0.3">
      <c r="D5209" t="str">
        <f t="shared" si="110"/>
        <v/>
      </c>
    </row>
    <row r="5210" spans="4:4" x14ac:dyDescent="0.3">
      <c r="D5210" t="str">
        <f t="shared" si="110"/>
        <v/>
      </c>
    </row>
    <row r="5211" spans="4:4" x14ac:dyDescent="0.3">
      <c r="D5211" t="str">
        <f t="shared" si="110"/>
        <v/>
      </c>
    </row>
    <row r="5212" spans="4:4" x14ac:dyDescent="0.3">
      <c r="D5212" t="str">
        <f t="shared" si="110"/>
        <v/>
      </c>
    </row>
    <row r="5213" spans="4:4" x14ac:dyDescent="0.3">
      <c r="D5213" t="str">
        <f t="shared" si="110"/>
        <v/>
      </c>
    </row>
    <row r="5214" spans="4:4" x14ac:dyDescent="0.3">
      <c r="D5214" t="str">
        <f t="shared" si="110"/>
        <v/>
      </c>
    </row>
    <row r="5215" spans="4:4" x14ac:dyDescent="0.3">
      <c r="D5215" t="str">
        <f t="shared" si="110"/>
        <v/>
      </c>
    </row>
    <row r="5216" spans="4:4" x14ac:dyDescent="0.3">
      <c r="D5216" t="str">
        <f t="shared" si="110"/>
        <v/>
      </c>
    </row>
    <row r="5217" spans="4:4" x14ac:dyDescent="0.3">
      <c r="D5217" t="str">
        <f t="shared" si="110"/>
        <v/>
      </c>
    </row>
    <row r="5218" spans="4:4" x14ac:dyDescent="0.3">
      <c r="D5218" t="str">
        <f t="shared" si="110"/>
        <v/>
      </c>
    </row>
    <row r="5219" spans="4:4" x14ac:dyDescent="0.3">
      <c r="D5219" t="str">
        <f t="shared" si="110"/>
        <v/>
      </c>
    </row>
    <row r="5220" spans="4:4" x14ac:dyDescent="0.3">
      <c r="D5220" t="str">
        <f t="shared" si="110"/>
        <v/>
      </c>
    </row>
    <row r="5221" spans="4:4" x14ac:dyDescent="0.3">
      <c r="D5221" t="str">
        <f t="shared" si="110"/>
        <v/>
      </c>
    </row>
    <row r="5222" spans="4:4" x14ac:dyDescent="0.3">
      <c r="D5222" t="str">
        <f t="shared" si="110"/>
        <v/>
      </c>
    </row>
    <row r="5223" spans="4:4" x14ac:dyDescent="0.3">
      <c r="D5223" t="str">
        <f t="shared" si="110"/>
        <v/>
      </c>
    </row>
    <row r="5224" spans="4:4" x14ac:dyDescent="0.3">
      <c r="D5224" t="str">
        <f t="shared" si="110"/>
        <v/>
      </c>
    </row>
    <row r="5225" spans="4:4" x14ac:dyDescent="0.3">
      <c r="D5225" t="str">
        <f t="shared" si="110"/>
        <v/>
      </c>
    </row>
    <row r="5226" spans="4:4" x14ac:dyDescent="0.3">
      <c r="D5226" t="str">
        <f t="shared" si="110"/>
        <v/>
      </c>
    </row>
    <row r="5227" spans="4:4" x14ac:dyDescent="0.3">
      <c r="D5227" t="str">
        <f t="shared" si="110"/>
        <v/>
      </c>
    </row>
    <row r="5228" spans="4:4" x14ac:dyDescent="0.3">
      <c r="D5228" t="str">
        <f t="shared" si="110"/>
        <v/>
      </c>
    </row>
    <row r="5229" spans="4:4" x14ac:dyDescent="0.3">
      <c r="D5229" t="str">
        <f t="shared" si="110"/>
        <v/>
      </c>
    </row>
    <row r="5230" spans="4:4" x14ac:dyDescent="0.3">
      <c r="D5230" t="str">
        <f t="shared" si="110"/>
        <v/>
      </c>
    </row>
    <row r="5231" spans="4:4" x14ac:dyDescent="0.3">
      <c r="D5231" t="str">
        <f t="shared" si="110"/>
        <v/>
      </c>
    </row>
    <row r="5232" spans="4:4" x14ac:dyDescent="0.3">
      <c r="D5232" t="str">
        <f t="shared" si="110"/>
        <v/>
      </c>
    </row>
    <row r="5233" spans="4:4" x14ac:dyDescent="0.3">
      <c r="D5233" t="str">
        <f t="shared" si="110"/>
        <v/>
      </c>
    </row>
    <row r="5234" spans="4:4" x14ac:dyDescent="0.3">
      <c r="D5234" t="str">
        <f t="shared" si="110"/>
        <v/>
      </c>
    </row>
    <row r="5235" spans="4:4" x14ac:dyDescent="0.3">
      <c r="D5235" t="str">
        <f t="shared" si="110"/>
        <v/>
      </c>
    </row>
    <row r="5236" spans="4:4" x14ac:dyDescent="0.3">
      <c r="D5236" t="str">
        <f t="shared" si="110"/>
        <v/>
      </c>
    </row>
    <row r="5237" spans="4:4" x14ac:dyDescent="0.3">
      <c r="D5237" t="str">
        <f t="shared" si="110"/>
        <v/>
      </c>
    </row>
    <row r="5238" spans="4:4" x14ac:dyDescent="0.3">
      <c r="D5238" t="str">
        <f t="shared" si="110"/>
        <v/>
      </c>
    </row>
    <row r="5239" spans="4:4" x14ac:dyDescent="0.3">
      <c r="D5239" t="str">
        <f t="shared" si="110"/>
        <v/>
      </c>
    </row>
    <row r="5240" spans="4:4" x14ac:dyDescent="0.3">
      <c r="D5240" t="str">
        <f t="shared" si="110"/>
        <v/>
      </c>
    </row>
    <row r="5241" spans="4:4" x14ac:dyDescent="0.3">
      <c r="D5241" t="str">
        <f t="shared" si="110"/>
        <v/>
      </c>
    </row>
    <row r="5242" spans="4:4" x14ac:dyDescent="0.3">
      <c r="D5242" t="str">
        <f t="shared" si="110"/>
        <v/>
      </c>
    </row>
    <row r="5243" spans="4:4" x14ac:dyDescent="0.3">
      <c r="D5243" t="str">
        <f t="shared" si="110"/>
        <v/>
      </c>
    </row>
    <row r="5244" spans="4:4" x14ac:dyDescent="0.3">
      <c r="D5244" t="str">
        <f t="shared" si="110"/>
        <v/>
      </c>
    </row>
    <row r="5245" spans="4:4" x14ac:dyDescent="0.3">
      <c r="D5245" t="str">
        <f t="shared" si="110"/>
        <v/>
      </c>
    </row>
    <row r="5246" spans="4:4" x14ac:dyDescent="0.3">
      <c r="D5246" t="str">
        <f t="shared" ref="D5246:D5309" si="111">IF(LEFT(A5246,2)="SP",MID(A5246,4,4),IF(LEFT(A5246,1)="X",MID(A5246,3,4),""))</f>
        <v/>
      </c>
    </row>
    <row r="5247" spans="4:4" x14ac:dyDescent="0.3">
      <c r="D5247" t="str">
        <f t="shared" si="111"/>
        <v/>
      </c>
    </row>
    <row r="5248" spans="4:4" x14ac:dyDescent="0.3">
      <c r="D5248" t="str">
        <f t="shared" si="111"/>
        <v/>
      </c>
    </row>
    <row r="5249" spans="4:4" x14ac:dyDescent="0.3">
      <c r="D5249" t="str">
        <f t="shared" si="111"/>
        <v/>
      </c>
    </row>
    <row r="5250" spans="4:4" x14ac:dyDescent="0.3">
      <c r="D5250" t="str">
        <f t="shared" si="111"/>
        <v/>
      </c>
    </row>
    <row r="5251" spans="4:4" x14ac:dyDescent="0.3">
      <c r="D5251" t="str">
        <f t="shared" si="111"/>
        <v/>
      </c>
    </row>
    <row r="5252" spans="4:4" x14ac:dyDescent="0.3">
      <c r="D5252" t="str">
        <f t="shared" si="111"/>
        <v/>
      </c>
    </row>
    <row r="5253" spans="4:4" x14ac:dyDescent="0.3">
      <c r="D5253" t="str">
        <f t="shared" si="111"/>
        <v/>
      </c>
    </row>
    <row r="5254" spans="4:4" x14ac:dyDescent="0.3">
      <c r="D5254" t="str">
        <f t="shared" si="111"/>
        <v/>
      </c>
    </row>
    <row r="5255" spans="4:4" x14ac:dyDescent="0.3">
      <c r="D5255" t="str">
        <f t="shared" si="111"/>
        <v/>
      </c>
    </row>
    <row r="5256" spans="4:4" x14ac:dyDescent="0.3">
      <c r="D5256" t="str">
        <f t="shared" si="111"/>
        <v/>
      </c>
    </row>
    <row r="5257" spans="4:4" x14ac:dyDescent="0.3">
      <c r="D5257" t="str">
        <f t="shared" si="111"/>
        <v/>
      </c>
    </row>
    <row r="5258" spans="4:4" x14ac:dyDescent="0.3">
      <c r="D5258" t="str">
        <f t="shared" si="111"/>
        <v/>
      </c>
    </row>
    <row r="5259" spans="4:4" x14ac:dyDescent="0.3">
      <c r="D5259" t="str">
        <f t="shared" si="111"/>
        <v/>
      </c>
    </row>
    <row r="5260" spans="4:4" x14ac:dyDescent="0.3">
      <c r="D5260" t="str">
        <f t="shared" si="111"/>
        <v/>
      </c>
    </row>
    <row r="5261" spans="4:4" x14ac:dyDescent="0.3">
      <c r="D5261" t="str">
        <f t="shared" si="111"/>
        <v/>
      </c>
    </row>
    <row r="5262" spans="4:4" x14ac:dyDescent="0.3">
      <c r="D5262" t="str">
        <f t="shared" si="111"/>
        <v/>
      </c>
    </row>
    <row r="5263" spans="4:4" x14ac:dyDescent="0.3">
      <c r="D5263" t="str">
        <f t="shared" si="111"/>
        <v/>
      </c>
    </row>
    <row r="5264" spans="4:4" x14ac:dyDescent="0.3">
      <c r="D5264" t="str">
        <f t="shared" si="111"/>
        <v/>
      </c>
    </row>
    <row r="5265" spans="4:4" x14ac:dyDescent="0.3">
      <c r="D5265" t="str">
        <f t="shared" si="111"/>
        <v/>
      </c>
    </row>
    <row r="5266" spans="4:4" x14ac:dyDescent="0.3">
      <c r="D5266" t="str">
        <f t="shared" si="111"/>
        <v/>
      </c>
    </row>
    <row r="5267" spans="4:4" x14ac:dyDescent="0.3">
      <c r="D5267" t="str">
        <f t="shared" si="111"/>
        <v/>
      </c>
    </row>
    <row r="5268" spans="4:4" x14ac:dyDescent="0.3">
      <c r="D5268" t="str">
        <f t="shared" si="111"/>
        <v/>
      </c>
    </row>
    <row r="5269" spans="4:4" x14ac:dyDescent="0.3">
      <c r="D5269" t="str">
        <f t="shared" si="111"/>
        <v/>
      </c>
    </row>
    <row r="5270" spans="4:4" x14ac:dyDescent="0.3">
      <c r="D5270" t="str">
        <f t="shared" si="111"/>
        <v/>
      </c>
    </row>
    <row r="5271" spans="4:4" x14ac:dyDescent="0.3">
      <c r="D5271" t="str">
        <f t="shared" si="111"/>
        <v/>
      </c>
    </row>
    <row r="5272" spans="4:4" x14ac:dyDescent="0.3">
      <c r="D5272" t="str">
        <f t="shared" si="111"/>
        <v/>
      </c>
    </row>
    <row r="5273" spans="4:4" x14ac:dyDescent="0.3">
      <c r="D5273" t="str">
        <f t="shared" si="111"/>
        <v/>
      </c>
    </row>
    <row r="5274" spans="4:4" x14ac:dyDescent="0.3">
      <c r="D5274" t="str">
        <f t="shared" si="111"/>
        <v/>
      </c>
    </row>
    <row r="5275" spans="4:4" x14ac:dyDescent="0.3">
      <c r="D5275" t="str">
        <f t="shared" si="111"/>
        <v/>
      </c>
    </row>
    <row r="5276" spans="4:4" x14ac:dyDescent="0.3">
      <c r="D5276" t="str">
        <f t="shared" si="111"/>
        <v/>
      </c>
    </row>
    <row r="5277" spans="4:4" x14ac:dyDescent="0.3">
      <c r="D5277" t="str">
        <f t="shared" si="111"/>
        <v/>
      </c>
    </row>
    <row r="5278" spans="4:4" x14ac:dyDescent="0.3">
      <c r="D5278" t="str">
        <f t="shared" si="111"/>
        <v/>
      </c>
    </row>
    <row r="5279" spans="4:4" x14ac:dyDescent="0.3">
      <c r="D5279" t="str">
        <f t="shared" si="111"/>
        <v/>
      </c>
    </row>
    <row r="5280" spans="4:4" x14ac:dyDescent="0.3">
      <c r="D5280" t="str">
        <f t="shared" si="111"/>
        <v/>
      </c>
    </row>
    <row r="5281" spans="4:4" x14ac:dyDescent="0.3">
      <c r="D5281" t="str">
        <f t="shared" si="111"/>
        <v/>
      </c>
    </row>
    <row r="5282" spans="4:4" x14ac:dyDescent="0.3">
      <c r="D5282" t="str">
        <f t="shared" si="111"/>
        <v/>
      </c>
    </row>
    <row r="5283" spans="4:4" x14ac:dyDescent="0.3">
      <c r="D5283" t="str">
        <f t="shared" si="111"/>
        <v/>
      </c>
    </row>
    <row r="5284" spans="4:4" x14ac:dyDescent="0.3">
      <c r="D5284" t="str">
        <f t="shared" si="111"/>
        <v/>
      </c>
    </row>
    <row r="5285" spans="4:4" x14ac:dyDescent="0.3">
      <c r="D5285" t="str">
        <f t="shared" si="111"/>
        <v/>
      </c>
    </row>
    <row r="5286" spans="4:4" x14ac:dyDescent="0.3">
      <c r="D5286" t="str">
        <f t="shared" si="111"/>
        <v/>
      </c>
    </row>
    <row r="5287" spans="4:4" x14ac:dyDescent="0.3">
      <c r="D5287" t="str">
        <f t="shared" si="111"/>
        <v/>
      </c>
    </row>
    <row r="5288" spans="4:4" x14ac:dyDescent="0.3">
      <c r="D5288" t="str">
        <f t="shared" si="111"/>
        <v/>
      </c>
    </row>
    <row r="5289" spans="4:4" x14ac:dyDescent="0.3">
      <c r="D5289" t="str">
        <f t="shared" si="111"/>
        <v/>
      </c>
    </row>
    <row r="5290" spans="4:4" x14ac:dyDescent="0.3">
      <c r="D5290" t="str">
        <f t="shared" si="111"/>
        <v/>
      </c>
    </row>
    <row r="5291" spans="4:4" x14ac:dyDescent="0.3">
      <c r="D5291" t="str">
        <f t="shared" si="111"/>
        <v/>
      </c>
    </row>
    <row r="5292" spans="4:4" x14ac:dyDescent="0.3">
      <c r="D5292" t="str">
        <f t="shared" si="111"/>
        <v/>
      </c>
    </row>
    <row r="5293" spans="4:4" x14ac:dyDescent="0.3">
      <c r="D5293" t="str">
        <f t="shared" si="111"/>
        <v/>
      </c>
    </row>
    <row r="5294" spans="4:4" x14ac:dyDescent="0.3">
      <c r="D5294" t="str">
        <f t="shared" si="111"/>
        <v/>
      </c>
    </row>
    <row r="5295" spans="4:4" x14ac:dyDescent="0.3">
      <c r="D5295" t="str">
        <f t="shared" si="111"/>
        <v/>
      </c>
    </row>
    <row r="5296" spans="4:4" x14ac:dyDescent="0.3">
      <c r="D5296" t="str">
        <f t="shared" si="111"/>
        <v/>
      </c>
    </row>
    <row r="5297" spans="4:4" x14ac:dyDescent="0.3">
      <c r="D5297" t="str">
        <f t="shared" si="111"/>
        <v/>
      </c>
    </row>
    <row r="5298" spans="4:4" x14ac:dyDescent="0.3">
      <c r="D5298" t="str">
        <f t="shared" si="111"/>
        <v/>
      </c>
    </row>
    <row r="5299" spans="4:4" x14ac:dyDescent="0.3">
      <c r="D5299" t="str">
        <f t="shared" si="111"/>
        <v/>
      </c>
    </row>
    <row r="5300" spans="4:4" x14ac:dyDescent="0.3">
      <c r="D5300" t="str">
        <f t="shared" si="111"/>
        <v/>
      </c>
    </row>
    <row r="5301" spans="4:4" x14ac:dyDescent="0.3">
      <c r="D5301" t="str">
        <f t="shared" si="111"/>
        <v/>
      </c>
    </row>
    <row r="5302" spans="4:4" x14ac:dyDescent="0.3">
      <c r="D5302" t="str">
        <f t="shared" si="111"/>
        <v/>
      </c>
    </row>
    <row r="5303" spans="4:4" x14ac:dyDescent="0.3">
      <c r="D5303" t="str">
        <f t="shared" si="111"/>
        <v/>
      </c>
    </row>
    <row r="5304" spans="4:4" x14ac:dyDescent="0.3">
      <c r="D5304" t="str">
        <f t="shared" si="111"/>
        <v/>
      </c>
    </row>
    <row r="5305" spans="4:4" x14ac:dyDescent="0.3">
      <c r="D5305" t="str">
        <f t="shared" si="111"/>
        <v/>
      </c>
    </row>
    <row r="5306" spans="4:4" x14ac:dyDescent="0.3">
      <c r="D5306" t="str">
        <f t="shared" si="111"/>
        <v/>
      </c>
    </row>
    <row r="5307" spans="4:4" x14ac:dyDescent="0.3">
      <c r="D5307" t="str">
        <f t="shared" si="111"/>
        <v/>
      </c>
    </row>
    <row r="5308" spans="4:4" x14ac:dyDescent="0.3">
      <c r="D5308" t="str">
        <f t="shared" si="111"/>
        <v/>
      </c>
    </row>
    <row r="5309" spans="4:4" x14ac:dyDescent="0.3">
      <c r="D5309" t="str">
        <f t="shared" si="111"/>
        <v/>
      </c>
    </row>
    <row r="5310" spans="4:4" x14ac:dyDescent="0.3">
      <c r="D5310" t="str">
        <f t="shared" ref="D5310:D5373" si="112">IF(LEFT(A5310,2)="SP",MID(A5310,4,4),IF(LEFT(A5310,1)="X",MID(A5310,3,4),""))</f>
        <v/>
      </c>
    </row>
    <row r="5311" spans="4:4" x14ac:dyDescent="0.3">
      <c r="D5311" t="str">
        <f t="shared" si="112"/>
        <v/>
      </c>
    </row>
    <row r="5312" spans="4:4" x14ac:dyDescent="0.3">
      <c r="D5312" t="str">
        <f t="shared" si="112"/>
        <v/>
      </c>
    </row>
    <row r="5313" spans="4:4" x14ac:dyDescent="0.3">
      <c r="D5313" t="str">
        <f t="shared" si="112"/>
        <v/>
      </c>
    </row>
    <row r="5314" spans="4:4" x14ac:dyDescent="0.3">
      <c r="D5314" t="str">
        <f t="shared" si="112"/>
        <v/>
      </c>
    </row>
    <row r="5315" spans="4:4" x14ac:dyDescent="0.3">
      <c r="D5315" t="str">
        <f t="shared" si="112"/>
        <v/>
      </c>
    </row>
    <row r="5316" spans="4:4" x14ac:dyDescent="0.3">
      <c r="D5316" t="str">
        <f t="shared" si="112"/>
        <v/>
      </c>
    </row>
    <row r="5317" spans="4:4" x14ac:dyDescent="0.3">
      <c r="D5317" t="str">
        <f t="shared" si="112"/>
        <v/>
      </c>
    </row>
    <row r="5318" spans="4:4" x14ac:dyDescent="0.3">
      <c r="D5318" t="str">
        <f t="shared" si="112"/>
        <v/>
      </c>
    </row>
    <row r="5319" spans="4:4" x14ac:dyDescent="0.3">
      <c r="D5319" t="str">
        <f t="shared" si="112"/>
        <v/>
      </c>
    </row>
    <row r="5320" spans="4:4" x14ac:dyDescent="0.3">
      <c r="D5320" t="str">
        <f t="shared" si="112"/>
        <v/>
      </c>
    </row>
    <row r="5321" spans="4:4" x14ac:dyDescent="0.3">
      <c r="D5321" t="str">
        <f t="shared" si="112"/>
        <v/>
      </c>
    </row>
    <row r="5322" spans="4:4" x14ac:dyDescent="0.3">
      <c r="D5322" t="str">
        <f t="shared" si="112"/>
        <v/>
      </c>
    </row>
    <row r="5323" spans="4:4" x14ac:dyDescent="0.3">
      <c r="D5323" t="str">
        <f t="shared" si="112"/>
        <v/>
      </c>
    </row>
    <row r="5324" spans="4:4" x14ac:dyDescent="0.3">
      <c r="D5324" t="str">
        <f t="shared" si="112"/>
        <v/>
      </c>
    </row>
    <row r="5325" spans="4:4" x14ac:dyDescent="0.3">
      <c r="D5325" t="str">
        <f t="shared" si="112"/>
        <v/>
      </c>
    </row>
    <row r="5326" spans="4:4" x14ac:dyDescent="0.3">
      <c r="D5326" t="str">
        <f t="shared" si="112"/>
        <v/>
      </c>
    </row>
    <row r="5327" spans="4:4" x14ac:dyDescent="0.3">
      <c r="D5327" t="str">
        <f t="shared" si="112"/>
        <v/>
      </c>
    </row>
    <row r="5328" spans="4:4" x14ac:dyDescent="0.3">
      <c r="D5328" t="str">
        <f t="shared" si="112"/>
        <v/>
      </c>
    </row>
    <row r="5329" spans="4:4" x14ac:dyDescent="0.3">
      <c r="D5329" t="str">
        <f t="shared" si="112"/>
        <v/>
      </c>
    </row>
    <row r="5330" spans="4:4" x14ac:dyDescent="0.3">
      <c r="D5330" t="str">
        <f t="shared" si="112"/>
        <v/>
      </c>
    </row>
    <row r="5331" spans="4:4" x14ac:dyDescent="0.3">
      <c r="D5331" t="str">
        <f t="shared" si="112"/>
        <v/>
      </c>
    </row>
    <row r="5332" spans="4:4" x14ac:dyDescent="0.3">
      <c r="D5332" t="str">
        <f t="shared" si="112"/>
        <v/>
      </c>
    </row>
    <row r="5333" spans="4:4" x14ac:dyDescent="0.3">
      <c r="D5333" t="str">
        <f t="shared" si="112"/>
        <v/>
      </c>
    </row>
    <row r="5334" spans="4:4" x14ac:dyDescent="0.3">
      <c r="D5334" t="str">
        <f t="shared" si="112"/>
        <v/>
      </c>
    </row>
    <row r="5335" spans="4:4" x14ac:dyDescent="0.3">
      <c r="D5335" t="str">
        <f t="shared" si="112"/>
        <v/>
      </c>
    </row>
    <row r="5336" spans="4:4" x14ac:dyDescent="0.3">
      <c r="D5336" t="str">
        <f t="shared" si="112"/>
        <v/>
      </c>
    </row>
    <row r="5337" spans="4:4" x14ac:dyDescent="0.3">
      <c r="D5337" t="str">
        <f t="shared" si="112"/>
        <v/>
      </c>
    </row>
    <row r="5338" spans="4:4" x14ac:dyDescent="0.3">
      <c r="D5338" t="str">
        <f t="shared" si="112"/>
        <v/>
      </c>
    </row>
    <row r="5339" spans="4:4" x14ac:dyDescent="0.3">
      <c r="D5339" t="str">
        <f t="shared" si="112"/>
        <v/>
      </c>
    </row>
    <row r="5340" spans="4:4" x14ac:dyDescent="0.3">
      <c r="D5340" t="str">
        <f t="shared" si="112"/>
        <v/>
      </c>
    </row>
    <row r="5341" spans="4:4" x14ac:dyDescent="0.3">
      <c r="D5341" t="str">
        <f t="shared" si="112"/>
        <v/>
      </c>
    </row>
    <row r="5342" spans="4:4" x14ac:dyDescent="0.3">
      <c r="D5342" t="str">
        <f t="shared" si="112"/>
        <v/>
      </c>
    </row>
    <row r="5343" spans="4:4" x14ac:dyDescent="0.3">
      <c r="D5343" t="str">
        <f t="shared" si="112"/>
        <v/>
      </c>
    </row>
    <row r="5344" spans="4:4" x14ac:dyDescent="0.3">
      <c r="D5344" t="str">
        <f t="shared" si="112"/>
        <v/>
      </c>
    </row>
    <row r="5345" spans="4:4" x14ac:dyDescent="0.3">
      <c r="D5345" t="str">
        <f t="shared" si="112"/>
        <v/>
      </c>
    </row>
    <row r="5346" spans="4:4" x14ac:dyDescent="0.3">
      <c r="D5346" t="str">
        <f t="shared" si="112"/>
        <v/>
      </c>
    </row>
    <row r="5347" spans="4:4" x14ac:dyDescent="0.3">
      <c r="D5347" t="str">
        <f t="shared" si="112"/>
        <v/>
      </c>
    </row>
    <row r="5348" spans="4:4" x14ac:dyDescent="0.3">
      <c r="D5348" t="str">
        <f t="shared" si="112"/>
        <v/>
      </c>
    </row>
    <row r="5349" spans="4:4" x14ac:dyDescent="0.3">
      <c r="D5349" t="str">
        <f t="shared" si="112"/>
        <v/>
      </c>
    </row>
    <row r="5350" spans="4:4" x14ac:dyDescent="0.3">
      <c r="D5350" t="str">
        <f t="shared" si="112"/>
        <v/>
      </c>
    </row>
    <row r="5351" spans="4:4" x14ac:dyDescent="0.3">
      <c r="D5351" t="str">
        <f t="shared" si="112"/>
        <v/>
      </c>
    </row>
    <row r="5352" spans="4:4" x14ac:dyDescent="0.3">
      <c r="D5352" t="str">
        <f t="shared" si="112"/>
        <v/>
      </c>
    </row>
    <row r="5353" spans="4:4" x14ac:dyDescent="0.3">
      <c r="D5353" t="str">
        <f t="shared" si="112"/>
        <v/>
      </c>
    </row>
    <row r="5354" spans="4:4" x14ac:dyDescent="0.3">
      <c r="D5354" t="str">
        <f t="shared" si="112"/>
        <v/>
      </c>
    </row>
    <row r="5355" spans="4:4" x14ac:dyDescent="0.3">
      <c r="D5355" t="str">
        <f t="shared" si="112"/>
        <v/>
      </c>
    </row>
    <row r="5356" spans="4:4" x14ac:dyDescent="0.3">
      <c r="D5356" t="str">
        <f t="shared" si="112"/>
        <v/>
      </c>
    </row>
    <row r="5357" spans="4:4" x14ac:dyDescent="0.3">
      <c r="D5357" t="str">
        <f t="shared" si="112"/>
        <v/>
      </c>
    </row>
    <row r="5358" spans="4:4" x14ac:dyDescent="0.3">
      <c r="D5358" t="str">
        <f t="shared" si="112"/>
        <v/>
      </c>
    </row>
    <row r="5359" spans="4:4" x14ac:dyDescent="0.3">
      <c r="D5359" t="str">
        <f t="shared" si="112"/>
        <v/>
      </c>
    </row>
    <row r="5360" spans="4:4" x14ac:dyDescent="0.3">
      <c r="D5360" t="str">
        <f t="shared" si="112"/>
        <v/>
      </c>
    </row>
    <row r="5361" spans="4:4" x14ac:dyDescent="0.3">
      <c r="D5361" t="str">
        <f t="shared" si="112"/>
        <v/>
      </c>
    </row>
    <row r="5362" spans="4:4" x14ac:dyDescent="0.3">
      <c r="D5362" t="str">
        <f t="shared" si="112"/>
        <v/>
      </c>
    </row>
    <row r="5363" spans="4:4" x14ac:dyDescent="0.3">
      <c r="D5363" t="str">
        <f t="shared" si="112"/>
        <v/>
      </c>
    </row>
    <row r="5364" spans="4:4" x14ac:dyDescent="0.3">
      <c r="D5364" t="str">
        <f t="shared" si="112"/>
        <v/>
      </c>
    </row>
    <row r="5365" spans="4:4" x14ac:dyDescent="0.3">
      <c r="D5365" t="str">
        <f t="shared" si="112"/>
        <v/>
      </c>
    </row>
    <row r="5366" spans="4:4" x14ac:dyDescent="0.3">
      <c r="D5366" t="str">
        <f t="shared" si="112"/>
        <v/>
      </c>
    </row>
    <row r="5367" spans="4:4" x14ac:dyDescent="0.3">
      <c r="D5367" t="str">
        <f t="shared" si="112"/>
        <v/>
      </c>
    </row>
    <row r="5368" spans="4:4" x14ac:dyDescent="0.3">
      <c r="D5368" t="str">
        <f t="shared" si="112"/>
        <v/>
      </c>
    </row>
    <row r="5369" spans="4:4" x14ac:dyDescent="0.3">
      <c r="D5369" t="str">
        <f t="shared" si="112"/>
        <v/>
      </c>
    </row>
    <row r="5370" spans="4:4" x14ac:dyDescent="0.3">
      <c r="D5370" t="str">
        <f t="shared" si="112"/>
        <v/>
      </c>
    </row>
    <row r="5371" spans="4:4" x14ac:dyDescent="0.3">
      <c r="D5371" t="str">
        <f t="shared" si="112"/>
        <v/>
      </c>
    </row>
    <row r="5372" spans="4:4" x14ac:dyDescent="0.3">
      <c r="D5372" t="str">
        <f t="shared" si="112"/>
        <v/>
      </c>
    </row>
    <row r="5373" spans="4:4" x14ac:dyDescent="0.3">
      <c r="D5373" t="str">
        <f t="shared" si="112"/>
        <v/>
      </c>
    </row>
    <row r="5374" spans="4:4" x14ac:dyDescent="0.3">
      <c r="D5374" t="str">
        <f t="shared" ref="D5374:D5437" si="113">IF(LEFT(A5374,2)="SP",MID(A5374,4,4),IF(LEFT(A5374,1)="X",MID(A5374,3,4),""))</f>
        <v/>
      </c>
    </row>
    <row r="5375" spans="4:4" x14ac:dyDescent="0.3">
      <c r="D5375" t="str">
        <f t="shared" si="113"/>
        <v/>
      </c>
    </row>
    <row r="5376" spans="4:4" x14ac:dyDescent="0.3">
      <c r="D5376" t="str">
        <f t="shared" si="113"/>
        <v/>
      </c>
    </row>
    <row r="5377" spans="4:4" x14ac:dyDescent="0.3">
      <c r="D5377" t="str">
        <f t="shared" si="113"/>
        <v/>
      </c>
    </row>
    <row r="5378" spans="4:4" x14ac:dyDescent="0.3">
      <c r="D5378" t="str">
        <f t="shared" si="113"/>
        <v/>
      </c>
    </row>
    <row r="5379" spans="4:4" x14ac:dyDescent="0.3">
      <c r="D5379" t="str">
        <f t="shared" si="113"/>
        <v/>
      </c>
    </row>
    <row r="5380" spans="4:4" x14ac:dyDescent="0.3">
      <c r="D5380" t="str">
        <f t="shared" si="113"/>
        <v/>
      </c>
    </row>
    <row r="5381" spans="4:4" x14ac:dyDescent="0.3">
      <c r="D5381" t="str">
        <f t="shared" si="113"/>
        <v/>
      </c>
    </row>
    <row r="5382" spans="4:4" x14ac:dyDescent="0.3">
      <c r="D5382" t="str">
        <f t="shared" si="113"/>
        <v/>
      </c>
    </row>
    <row r="5383" spans="4:4" x14ac:dyDescent="0.3">
      <c r="D5383" t="str">
        <f t="shared" si="113"/>
        <v/>
      </c>
    </row>
    <row r="5384" spans="4:4" x14ac:dyDescent="0.3">
      <c r="D5384" t="str">
        <f t="shared" si="113"/>
        <v/>
      </c>
    </row>
    <row r="5385" spans="4:4" x14ac:dyDescent="0.3">
      <c r="D5385" t="str">
        <f t="shared" si="113"/>
        <v/>
      </c>
    </row>
    <row r="5386" spans="4:4" x14ac:dyDescent="0.3">
      <c r="D5386" t="str">
        <f t="shared" si="113"/>
        <v/>
      </c>
    </row>
    <row r="5387" spans="4:4" x14ac:dyDescent="0.3">
      <c r="D5387" t="str">
        <f t="shared" si="113"/>
        <v/>
      </c>
    </row>
    <row r="5388" spans="4:4" x14ac:dyDescent="0.3">
      <c r="D5388" t="str">
        <f t="shared" si="113"/>
        <v/>
      </c>
    </row>
    <row r="5389" spans="4:4" x14ac:dyDescent="0.3">
      <c r="D5389" t="str">
        <f t="shared" si="113"/>
        <v/>
      </c>
    </row>
    <row r="5390" spans="4:4" x14ac:dyDescent="0.3">
      <c r="D5390" t="str">
        <f t="shared" si="113"/>
        <v/>
      </c>
    </row>
    <row r="5391" spans="4:4" x14ac:dyDescent="0.3">
      <c r="D5391" t="str">
        <f t="shared" si="113"/>
        <v/>
      </c>
    </row>
    <row r="5392" spans="4:4" x14ac:dyDescent="0.3">
      <c r="D5392" t="str">
        <f t="shared" si="113"/>
        <v/>
      </c>
    </row>
    <row r="5393" spans="4:4" x14ac:dyDescent="0.3">
      <c r="D5393" t="str">
        <f t="shared" si="113"/>
        <v/>
      </c>
    </row>
    <row r="5394" spans="4:4" x14ac:dyDescent="0.3">
      <c r="D5394" t="str">
        <f t="shared" si="113"/>
        <v/>
      </c>
    </row>
    <row r="5395" spans="4:4" x14ac:dyDescent="0.3">
      <c r="D5395" t="str">
        <f t="shared" si="113"/>
        <v/>
      </c>
    </row>
    <row r="5396" spans="4:4" x14ac:dyDescent="0.3">
      <c r="D5396" t="str">
        <f t="shared" si="113"/>
        <v/>
      </c>
    </row>
    <row r="5397" spans="4:4" x14ac:dyDescent="0.3">
      <c r="D5397" t="str">
        <f t="shared" si="113"/>
        <v/>
      </c>
    </row>
    <row r="5398" spans="4:4" x14ac:dyDescent="0.3">
      <c r="D5398" t="str">
        <f t="shared" si="113"/>
        <v/>
      </c>
    </row>
    <row r="5399" spans="4:4" x14ac:dyDescent="0.3">
      <c r="D5399" t="str">
        <f t="shared" si="113"/>
        <v/>
      </c>
    </row>
    <row r="5400" spans="4:4" x14ac:dyDescent="0.3">
      <c r="D5400" t="str">
        <f t="shared" si="113"/>
        <v/>
      </c>
    </row>
    <row r="5401" spans="4:4" x14ac:dyDescent="0.3">
      <c r="D5401" t="str">
        <f t="shared" si="113"/>
        <v/>
      </c>
    </row>
    <row r="5402" spans="4:4" x14ac:dyDescent="0.3">
      <c r="D5402" t="str">
        <f t="shared" si="113"/>
        <v/>
      </c>
    </row>
    <row r="5403" spans="4:4" x14ac:dyDescent="0.3">
      <c r="D5403" t="str">
        <f t="shared" si="113"/>
        <v/>
      </c>
    </row>
    <row r="5404" spans="4:4" x14ac:dyDescent="0.3">
      <c r="D5404" t="str">
        <f t="shared" si="113"/>
        <v/>
      </c>
    </row>
    <row r="5405" spans="4:4" x14ac:dyDescent="0.3">
      <c r="D5405" t="str">
        <f t="shared" si="113"/>
        <v/>
      </c>
    </row>
    <row r="5406" spans="4:4" x14ac:dyDescent="0.3">
      <c r="D5406" t="str">
        <f t="shared" si="113"/>
        <v/>
      </c>
    </row>
    <row r="5407" spans="4:4" x14ac:dyDescent="0.3">
      <c r="D5407" t="str">
        <f t="shared" si="113"/>
        <v/>
      </c>
    </row>
    <row r="5408" spans="4:4" x14ac:dyDescent="0.3">
      <c r="D5408" t="str">
        <f t="shared" si="113"/>
        <v/>
      </c>
    </row>
    <row r="5409" spans="4:4" x14ac:dyDescent="0.3">
      <c r="D5409" t="str">
        <f t="shared" si="113"/>
        <v/>
      </c>
    </row>
    <row r="5410" spans="4:4" x14ac:dyDescent="0.3">
      <c r="D5410" t="str">
        <f t="shared" si="113"/>
        <v/>
      </c>
    </row>
    <row r="5411" spans="4:4" x14ac:dyDescent="0.3">
      <c r="D5411" t="str">
        <f t="shared" si="113"/>
        <v/>
      </c>
    </row>
    <row r="5412" spans="4:4" x14ac:dyDescent="0.3">
      <c r="D5412" t="str">
        <f t="shared" si="113"/>
        <v/>
      </c>
    </row>
    <row r="5413" spans="4:4" x14ac:dyDescent="0.3">
      <c r="D5413" t="str">
        <f t="shared" si="113"/>
        <v/>
      </c>
    </row>
    <row r="5414" spans="4:4" x14ac:dyDescent="0.3">
      <c r="D5414" t="str">
        <f t="shared" si="113"/>
        <v/>
      </c>
    </row>
    <row r="5415" spans="4:4" x14ac:dyDescent="0.3">
      <c r="D5415" t="str">
        <f t="shared" si="113"/>
        <v/>
      </c>
    </row>
    <row r="5416" spans="4:4" x14ac:dyDescent="0.3">
      <c r="D5416" t="str">
        <f t="shared" si="113"/>
        <v/>
      </c>
    </row>
    <row r="5417" spans="4:4" x14ac:dyDescent="0.3">
      <c r="D5417" t="str">
        <f t="shared" si="113"/>
        <v/>
      </c>
    </row>
    <row r="5418" spans="4:4" x14ac:dyDescent="0.3">
      <c r="D5418" t="str">
        <f t="shared" si="113"/>
        <v/>
      </c>
    </row>
    <row r="5419" spans="4:4" x14ac:dyDescent="0.3">
      <c r="D5419" t="str">
        <f t="shared" si="113"/>
        <v/>
      </c>
    </row>
    <row r="5420" spans="4:4" x14ac:dyDescent="0.3">
      <c r="D5420" t="str">
        <f t="shared" si="113"/>
        <v/>
      </c>
    </row>
    <row r="5421" spans="4:4" x14ac:dyDescent="0.3">
      <c r="D5421" t="str">
        <f t="shared" si="113"/>
        <v/>
      </c>
    </row>
    <row r="5422" spans="4:4" x14ac:dyDescent="0.3">
      <c r="D5422" t="str">
        <f t="shared" si="113"/>
        <v/>
      </c>
    </row>
    <row r="5423" spans="4:4" x14ac:dyDescent="0.3">
      <c r="D5423" t="str">
        <f t="shared" si="113"/>
        <v/>
      </c>
    </row>
    <row r="5424" spans="4:4" x14ac:dyDescent="0.3">
      <c r="D5424" t="str">
        <f t="shared" si="113"/>
        <v/>
      </c>
    </row>
    <row r="5425" spans="4:4" x14ac:dyDescent="0.3">
      <c r="D5425" t="str">
        <f t="shared" si="113"/>
        <v/>
      </c>
    </row>
    <row r="5426" spans="4:4" x14ac:dyDescent="0.3">
      <c r="D5426" t="str">
        <f t="shared" si="113"/>
        <v/>
      </c>
    </row>
    <row r="5427" spans="4:4" x14ac:dyDescent="0.3">
      <c r="D5427" t="str">
        <f t="shared" si="113"/>
        <v/>
      </c>
    </row>
    <row r="5428" spans="4:4" x14ac:dyDescent="0.3">
      <c r="D5428" t="str">
        <f t="shared" si="113"/>
        <v/>
      </c>
    </row>
    <row r="5429" spans="4:4" x14ac:dyDescent="0.3">
      <c r="D5429" t="str">
        <f t="shared" si="113"/>
        <v/>
      </c>
    </row>
    <row r="5430" spans="4:4" x14ac:dyDescent="0.3">
      <c r="D5430" t="str">
        <f t="shared" si="113"/>
        <v/>
      </c>
    </row>
    <row r="5431" spans="4:4" x14ac:dyDescent="0.3">
      <c r="D5431" t="str">
        <f t="shared" si="113"/>
        <v/>
      </c>
    </row>
    <row r="5432" spans="4:4" x14ac:dyDescent="0.3">
      <c r="D5432" t="str">
        <f t="shared" si="113"/>
        <v/>
      </c>
    </row>
    <row r="5433" spans="4:4" x14ac:dyDescent="0.3">
      <c r="D5433" t="str">
        <f t="shared" si="113"/>
        <v/>
      </c>
    </row>
    <row r="5434" spans="4:4" x14ac:dyDescent="0.3">
      <c r="D5434" t="str">
        <f t="shared" si="113"/>
        <v/>
      </c>
    </row>
    <row r="5435" spans="4:4" x14ac:dyDescent="0.3">
      <c r="D5435" t="str">
        <f t="shared" si="113"/>
        <v/>
      </c>
    </row>
    <row r="5436" spans="4:4" x14ac:dyDescent="0.3">
      <c r="D5436" t="str">
        <f t="shared" si="113"/>
        <v/>
      </c>
    </row>
    <row r="5437" spans="4:4" x14ac:dyDescent="0.3">
      <c r="D5437" t="str">
        <f t="shared" si="113"/>
        <v/>
      </c>
    </row>
    <row r="5438" spans="4:4" x14ac:dyDescent="0.3">
      <c r="D5438" t="str">
        <f t="shared" ref="D5438:D5501" si="114">IF(LEFT(A5438,2)="SP",MID(A5438,4,4),IF(LEFT(A5438,1)="X",MID(A5438,3,4),""))</f>
        <v/>
      </c>
    </row>
    <row r="5439" spans="4:4" x14ac:dyDescent="0.3">
      <c r="D5439" t="str">
        <f t="shared" si="114"/>
        <v/>
      </c>
    </row>
    <row r="5440" spans="4:4" x14ac:dyDescent="0.3">
      <c r="D5440" t="str">
        <f t="shared" si="114"/>
        <v/>
      </c>
    </row>
    <row r="5441" spans="4:4" x14ac:dyDescent="0.3">
      <c r="D5441" t="str">
        <f t="shared" si="114"/>
        <v/>
      </c>
    </row>
    <row r="5442" spans="4:4" x14ac:dyDescent="0.3">
      <c r="D5442" t="str">
        <f t="shared" si="114"/>
        <v/>
      </c>
    </row>
    <row r="5443" spans="4:4" x14ac:dyDescent="0.3">
      <c r="D5443" t="str">
        <f t="shared" si="114"/>
        <v/>
      </c>
    </row>
    <row r="5444" spans="4:4" x14ac:dyDescent="0.3">
      <c r="D5444" t="str">
        <f t="shared" si="114"/>
        <v/>
      </c>
    </row>
    <row r="5445" spans="4:4" x14ac:dyDescent="0.3">
      <c r="D5445" t="str">
        <f t="shared" si="114"/>
        <v/>
      </c>
    </row>
    <row r="5446" spans="4:4" x14ac:dyDescent="0.3">
      <c r="D5446" t="str">
        <f t="shared" si="114"/>
        <v/>
      </c>
    </row>
    <row r="5447" spans="4:4" x14ac:dyDescent="0.3">
      <c r="D5447" t="str">
        <f t="shared" si="114"/>
        <v/>
      </c>
    </row>
    <row r="5448" spans="4:4" x14ac:dyDescent="0.3">
      <c r="D5448" t="str">
        <f t="shared" si="114"/>
        <v/>
      </c>
    </row>
    <row r="5449" spans="4:4" x14ac:dyDescent="0.3">
      <c r="D5449" t="str">
        <f t="shared" si="114"/>
        <v/>
      </c>
    </row>
    <row r="5450" spans="4:4" x14ac:dyDescent="0.3">
      <c r="D5450" t="str">
        <f t="shared" si="114"/>
        <v/>
      </c>
    </row>
    <row r="5451" spans="4:4" x14ac:dyDescent="0.3">
      <c r="D5451" t="str">
        <f t="shared" si="114"/>
        <v/>
      </c>
    </row>
    <row r="5452" spans="4:4" x14ac:dyDescent="0.3">
      <c r="D5452" t="str">
        <f t="shared" si="114"/>
        <v/>
      </c>
    </row>
    <row r="5453" spans="4:4" x14ac:dyDescent="0.3">
      <c r="D5453" t="str">
        <f t="shared" si="114"/>
        <v/>
      </c>
    </row>
    <row r="5454" spans="4:4" x14ac:dyDescent="0.3">
      <c r="D5454" t="str">
        <f t="shared" si="114"/>
        <v/>
      </c>
    </row>
    <row r="5455" spans="4:4" x14ac:dyDescent="0.3">
      <c r="D5455" t="str">
        <f t="shared" si="114"/>
        <v/>
      </c>
    </row>
    <row r="5456" spans="4:4" x14ac:dyDescent="0.3">
      <c r="D5456" t="str">
        <f t="shared" si="114"/>
        <v/>
      </c>
    </row>
    <row r="5457" spans="4:4" x14ac:dyDescent="0.3">
      <c r="D5457" t="str">
        <f t="shared" si="114"/>
        <v/>
      </c>
    </row>
    <row r="5458" spans="4:4" x14ac:dyDescent="0.3">
      <c r="D5458" t="str">
        <f t="shared" si="114"/>
        <v/>
      </c>
    </row>
    <row r="5459" spans="4:4" x14ac:dyDescent="0.3">
      <c r="D5459" t="str">
        <f t="shared" si="114"/>
        <v/>
      </c>
    </row>
    <row r="5460" spans="4:4" x14ac:dyDescent="0.3">
      <c r="D5460" t="str">
        <f t="shared" si="114"/>
        <v/>
      </c>
    </row>
    <row r="5461" spans="4:4" x14ac:dyDescent="0.3">
      <c r="D5461" t="str">
        <f t="shared" si="114"/>
        <v/>
      </c>
    </row>
    <row r="5462" spans="4:4" x14ac:dyDescent="0.3">
      <c r="D5462" t="str">
        <f t="shared" si="114"/>
        <v/>
      </c>
    </row>
    <row r="5463" spans="4:4" x14ac:dyDescent="0.3">
      <c r="D5463" t="str">
        <f t="shared" si="114"/>
        <v/>
      </c>
    </row>
    <row r="5464" spans="4:4" x14ac:dyDescent="0.3">
      <c r="D5464" t="str">
        <f t="shared" si="114"/>
        <v/>
      </c>
    </row>
    <row r="5465" spans="4:4" x14ac:dyDescent="0.3">
      <c r="D5465" t="str">
        <f t="shared" si="114"/>
        <v/>
      </c>
    </row>
    <row r="5466" spans="4:4" x14ac:dyDescent="0.3">
      <c r="D5466" t="str">
        <f t="shared" si="114"/>
        <v/>
      </c>
    </row>
    <row r="5467" spans="4:4" x14ac:dyDescent="0.3">
      <c r="D5467" t="str">
        <f t="shared" si="114"/>
        <v/>
      </c>
    </row>
    <row r="5468" spans="4:4" x14ac:dyDescent="0.3">
      <c r="D5468" t="str">
        <f t="shared" si="114"/>
        <v/>
      </c>
    </row>
    <row r="5469" spans="4:4" x14ac:dyDescent="0.3">
      <c r="D5469" t="str">
        <f t="shared" si="114"/>
        <v/>
      </c>
    </row>
    <row r="5470" spans="4:4" x14ac:dyDescent="0.3">
      <c r="D5470" t="str">
        <f t="shared" si="114"/>
        <v/>
      </c>
    </row>
    <row r="5471" spans="4:4" x14ac:dyDescent="0.3">
      <c r="D5471" t="str">
        <f t="shared" si="114"/>
        <v/>
      </c>
    </row>
    <row r="5472" spans="4:4" x14ac:dyDescent="0.3">
      <c r="D5472" t="str">
        <f t="shared" si="114"/>
        <v/>
      </c>
    </row>
    <row r="5473" spans="4:4" x14ac:dyDescent="0.3">
      <c r="D5473" t="str">
        <f t="shared" si="114"/>
        <v/>
      </c>
    </row>
    <row r="5474" spans="4:4" x14ac:dyDescent="0.3">
      <c r="D5474" t="str">
        <f t="shared" si="114"/>
        <v/>
      </c>
    </row>
    <row r="5475" spans="4:4" x14ac:dyDescent="0.3">
      <c r="D5475" t="str">
        <f t="shared" si="114"/>
        <v/>
      </c>
    </row>
    <row r="5476" spans="4:4" x14ac:dyDescent="0.3">
      <c r="D5476" t="str">
        <f t="shared" si="114"/>
        <v/>
      </c>
    </row>
    <row r="5477" spans="4:4" x14ac:dyDescent="0.3">
      <c r="D5477" t="str">
        <f t="shared" si="114"/>
        <v/>
      </c>
    </row>
    <row r="5478" spans="4:4" x14ac:dyDescent="0.3">
      <c r="D5478" t="str">
        <f t="shared" si="114"/>
        <v/>
      </c>
    </row>
    <row r="5479" spans="4:4" x14ac:dyDescent="0.3">
      <c r="D5479" t="str">
        <f t="shared" si="114"/>
        <v/>
      </c>
    </row>
    <row r="5480" spans="4:4" x14ac:dyDescent="0.3">
      <c r="D5480" t="str">
        <f t="shared" si="114"/>
        <v/>
      </c>
    </row>
    <row r="5481" spans="4:4" x14ac:dyDescent="0.3">
      <c r="D5481" t="str">
        <f t="shared" si="114"/>
        <v/>
      </c>
    </row>
    <row r="5482" spans="4:4" x14ac:dyDescent="0.3">
      <c r="D5482" t="str">
        <f t="shared" si="114"/>
        <v/>
      </c>
    </row>
    <row r="5483" spans="4:4" x14ac:dyDescent="0.3">
      <c r="D5483" t="str">
        <f t="shared" si="114"/>
        <v/>
      </c>
    </row>
    <row r="5484" spans="4:4" x14ac:dyDescent="0.3">
      <c r="D5484" t="str">
        <f t="shared" si="114"/>
        <v/>
      </c>
    </row>
    <row r="5485" spans="4:4" x14ac:dyDescent="0.3">
      <c r="D5485" t="str">
        <f t="shared" si="114"/>
        <v/>
      </c>
    </row>
    <row r="5486" spans="4:4" x14ac:dyDescent="0.3">
      <c r="D5486" t="str">
        <f t="shared" si="114"/>
        <v/>
      </c>
    </row>
    <row r="5487" spans="4:4" x14ac:dyDescent="0.3">
      <c r="D5487" t="str">
        <f t="shared" si="114"/>
        <v/>
      </c>
    </row>
    <row r="5488" spans="4:4" x14ac:dyDescent="0.3">
      <c r="D5488" t="str">
        <f t="shared" si="114"/>
        <v/>
      </c>
    </row>
    <row r="5489" spans="4:4" x14ac:dyDescent="0.3">
      <c r="D5489" t="str">
        <f t="shared" si="114"/>
        <v/>
      </c>
    </row>
    <row r="5490" spans="4:4" x14ac:dyDescent="0.3">
      <c r="D5490" t="str">
        <f t="shared" si="114"/>
        <v/>
      </c>
    </row>
    <row r="5491" spans="4:4" x14ac:dyDescent="0.3">
      <c r="D5491" t="str">
        <f t="shared" si="114"/>
        <v/>
      </c>
    </row>
    <row r="5492" spans="4:4" x14ac:dyDescent="0.3">
      <c r="D5492" t="str">
        <f t="shared" si="114"/>
        <v/>
      </c>
    </row>
    <row r="5493" spans="4:4" x14ac:dyDescent="0.3">
      <c r="D5493" t="str">
        <f t="shared" si="114"/>
        <v/>
      </c>
    </row>
    <row r="5494" spans="4:4" x14ac:dyDescent="0.3">
      <c r="D5494" t="str">
        <f t="shared" si="114"/>
        <v/>
      </c>
    </row>
    <row r="5495" spans="4:4" x14ac:dyDescent="0.3">
      <c r="D5495" t="str">
        <f t="shared" si="114"/>
        <v/>
      </c>
    </row>
    <row r="5496" spans="4:4" x14ac:dyDescent="0.3">
      <c r="D5496" t="str">
        <f t="shared" si="114"/>
        <v/>
      </c>
    </row>
    <row r="5497" spans="4:4" x14ac:dyDescent="0.3">
      <c r="D5497" t="str">
        <f t="shared" si="114"/>
        <v/>
      </c>
    </row>
    <row r="5498" spans="4:4" x14ac:dyDescent="0.3">
      <c r="D5498" t="str">
        <f t="shared" si="114"/>
        <v/>
      </c>
    </row>
    <row r="5499" spans="4:4" x14ac:dyDescent="0.3">
      <c r="D5499" t="str">
        <f t="shared" si="114"/>
        <v/>
      </c>
    </row>
    <row r="5500" spans="4:4" x14ac:dyDescent="0.3">
      <c r="D5500" t="str">
        <f t="shared" si="114"/>
        <v/>
      </c>
    </row>
    <row r="5501" spans="4:4" x14ac:dyDescent="0.3">
      <c r="D5501" t="str">
        <f t="shared" si="114"/>
        <v/>
      </c>
    </row>
    <row r="5502" spans="4:4" x14ac:dyDescent="0.3">
      <c r="D5502" t="str">
        <f t="shared" ref="D5502:D5565" si="115">IF(LEFT(A5502,2)="SP",MID(A5502,4,4),IF(LEFT(A5502,1)="X",MID(A5502,3,4),""))</f>
        <v/>
      </c>
    </row>
    <row r="5503" spans="4:4" x14ac:dyDescent="0.3">
      <c r="D5503" t="str">
        <f t="shared" si="115"/>
        <v/>
      </c>
    </row>
    <row r="5504" spans="4:4" x14ac:dyDescent="0.3">
      <c r="D5504" t="str">
        <f t="shared" si="115"/>
        <v/>
      </c>
    </row>
    <row r="5505" spans="4:4" x14ac:dyDescent="0.3">
      <c r="D5505" t="str">
        <f t="shared" si="115"/>
        <v/>
      </c>
    </row>
    <row r="5506" spans="4:4" x14ac:dyDescent="0.3">
      <c r="D5506" t="str">
        <f t="shared" si="115"/>
        <v/>
      </c>
    </row>
    <row r="5507" spans="4:4" x14ac:dyDescent="0.3">
      <c r="D5507" t="str">
        <f t="shared" si="115"/>
        <v/>
      </c>
    </row>
    <row r="5508" spans="4:4" x14ac:dyDescent="0.3">
      <c r="D5508" t="str">
        <f t="shared" si="115"/>
        <v/>
      </c>
    </row>
    <row r="5509" spans="4:4" x14ac:dyDescent="0.3">
      <c r="D5509" t="str">
        <f t="shared" si="115"/>
        <v/>
      </c>
    </row>
    <row r="5510" spans="4:4" x14ac:dyDescent="0.3">
      <c r="D5510" t="str">
        <f t="shared" si="115"/>
        <v/>
      </c>
    </row>
    <row r="5511" spans="4:4" x14ac:dyDescent="0.3">
      <c r="D5511" t="str">
        <f t="shared" si="115"/>
        <v/>
      </c>
    </row>
    <row r="5512" spans="4:4" x14ac:dyDescent="0.3">
      <c r="D5512" t="str">
        <f t="shared" si="115"/>
        <v/>
      </c>
    </row>
    <row r="5513" spans="4:4" x14ac:dyDescent="0.3">
      <c r="D5513" t="str">
        <f t="shared" si="115"/>
        <v/>
      </c>
    </row>
    <row r="5514" spans="4:4" x14ac:dyDescent="0.3">
      <c r="D5514" t="str">
        <f t="shared" si="115"/>
        <v/>
      </c>
    </row>
    <row r="5515" spans="4:4" x14ac:dyDescent="0.3">
      <c r="D5515" t="str">
        <f t="shared" si="115"/>
        <v/>
      </c>
    </row>
    <row r="5516" spans="4:4" x14ac:dyDescent="0.3">
      <c r="D5516" t="str">
        <f t="shared" si="115"/>
        <v/>
      </c>
    </row>
    <row r="5517" spans="4:4" x14ac:dyDescent="0.3">
      <c r="D5517" t="str">
        <f t="shared" si="115"/>
        <v/>
      </c>
    </row>
    <row r="5518" spans="4:4" x14ac:dyDescent="0.3">
      <c r="D5518" t="str">
        <f t="shared" si="115"/>
        <v/>
      </c>
    </row>
    <row r="5519" spans="4:4" x14ac:dyDescent="0.3">
      <c r="D5519" t="str">
        <f t="shared" si="115"/>
        <v/>
      </c>
    </row>
    <row r="5520" spans="4:4" x14ac:dyDescent="0.3">
      <c r="D5520" t="str">
        <f t="shared" si="115"/>
        <v/>
      </c>
    </row>
    <row r="5521" spans="4:4" x14ac:dyDescent="0.3">
      <c r="D5521" t="str">
        <f t="shared" si="115"/>
        <v/>
      </c>
    </row>
    <row r="5522" spans="4:4" x14ac:dyDescent="0.3">
      <c r="D5522" t="str">
        <f t="shared" si="115"/>
        <v/>
      </c>
    </row>
    <row r="5523" spans="4:4" x14ac:dyDescent="0.3">
      <c r="D5523" t="str">
        <f t="shared" si="115"/>
        <v/>
      </c>
    </row>
    <row r="5524" spans="4:4" x14ac:dyDescent="0.3">
      <c r="D5524" t="str">
        <f t="shared" si="115"/>
        <v/>
      </c>
    </row>
    <row r="5525" spans="4:4" x14ac:dyDescent="0.3">
      <c r="D5525" t="str">
        <f t="shared" si="115"/>
        <v/>
      </c>
    </row>
    <row r="5526" spans="4:4" x14ac:dyDescent="0.3">
      <c r="D5526" t="str">
        <f t="shared" si="115"/>
        <v/>
      </c>
    </row>
    <row r="5527" spans="4:4" x14ac:dyDescent="0.3">
      <c r="D5527" t="str">
        <f t="shared" si="115"/>
        <v/>
      </c>
    </row>
    <row r="5528" spans="4:4" x14ac:dyDescent="0.3">
      <c r="D5528" t="str">
        <f t="shared" si="115"/>
        <v/>
      </c>
    </row>
    <row r="5529" spans="4:4" x14ac:dyDescent="0.3">
      <c r="D5529" t="str">
        <f t="shared" si="115"/>
        <v/>
      </c>
    </row>
    <row r="5530" spans="4:4" x14ac:dyDescent="0.3">
      <c r="D5530" t="str">
        <f t="shared" si="115"/>
        <v/>
      </c>
    </row>
    <row r="5531" spans="4:4" x14ac:dyDescent="0.3">
      <c r="D5531" t="str">
        <f t="shared" si="115"/>
        <v/>
      </c>
    </row>
    <row r="5532" spans="4:4" x14ac:dyDescent="0.3">
      <c r="D5532" t="str">
        <f t="shared" si="115"/>
        <v/>
      </c>
    </row>
    <row r="5533" spans="4:4" x14ac:dyDescent="0.3">
      <c r="D5533" t="str">
        <f t="shared" si="115"/>
        <v/>
      </c>
    </row>
    <row r="5534" spans="4:4" x14ac:dyDescent="0.3">
      <c r="D5534" t="str">
        <f t="shared" si="115"/>
        <v/>
      </c>
    </row>
    <row r="5535" spans="4:4" x14ac:dyDescent="0.3">
      <c r="D5535" t="str">
        <f t="shared" si="115"/>
        <v/>
      </c>
    </row>
    <row r="5536" spans="4:4" x14ac:dyDescent="0.3">
      <c r="D5536" t="str">
        <f t="shared" si="115"/>
        <v/>
      </c>
    </row>
    <row r="5537" spans="4:4" x14ac:dyDescent="0.3">
      <c r="D5537" t="str">
        <f t="shared" si="115"/>
        <v/>
      </c>
    </row>
    <row r="5538" spans="4:4" x14ac:dyDescent="0.3">
      <c r="D5538" t="str">
        <f t="shared" si="115"/>
        <v/>
      </c>
    </row>
    <row r="5539" spans="4:4" x14ac:dyDescent="0.3">
      <c r="D5539" t="str">
        <f t="shared" si="115"/>
        <v/>
      </c>
    </row>
    <row r="5540" spans="4:4" x14ac:dyDescent="0.3">
      <c r="D5540" t="str">
        <f t="shared" si="115"/>
        <v/>
      </c>
    </row>
    <row r="5541" spans="4:4" x14ac:dyDescent="0.3">
      <c r="D5541" t="str">
        <f t="shared" si="115"/>
        <v/>
      </c>
    </row>
    <row r="5542" spans="4:4" x14ac:dyDescent="0.3">
      <c r="D5542" t="str">
        <f t="shared" si="115"/>
        <v/>
      </c>
    </row>
    <row r="5543" spans="4:4" x14ac:dyDescent="0.3">
      <c r="D5543" t="str">
        <f t="shared" si="115"/>
        <v/>
      </c>
    </row>
    <row r="5544" spans="4:4" x14ac:dyDescent="0.3">
      <c r="D5544" t="str">
        <f t="shared" si="115"/>
        <v/>
      </c>
    </row>
    <row r="5545" spans="4:4" x14ac:dyDescent="0.3">
      <c r="D5545" t="str">
        <f t="shared" si="115"/>
        <v/>
      </c>
    </row>
    <row r="5546" spans="4:4" x14ac:dyDescent="0.3">
      <c r="D5546" t="str">
        <f t="shared" si="115"/>
        <v/>
      </c>
    </row>
    <row r="5547" spans="4:4" x14ac:dyDescent="0.3">
      <c r="D5547" t="str">
        <f t="shared" si="115"/>
        <v/>
      </c>
    </row>
    <row r="5548" spans="4:4" x14ac:dyDescent="0.3">
      <c r="D5548" t="str">
        <f t="shared" si="115"/>
        <v/>
      </c>
    </row>
    <row r="5549" spans="4:4" x14ac:dyDescent="0.3">
      <c r="D5549" t="str">
        <f t="shared" si="115"/>
        <v/>
      </c>
    </row>
    <row r="5550" spans="4:4" x14ac:dyDescent="0.3">
      <c r="D5550" t="str">
        <f t="shared" si="115"/>
        <v/>
      </c>
    </row>
    <row r="5551" spans="4:4" x14ac:dyDescent="0.3">
      <c r="D5551" t="str">
        <f t="shared" si="115"/>
        <v/>
      </c>
    </row>
    <row r="5552" spans="4:4" x14ac:dyDescent="0.3">
      <c r="D5552" t="str">
        <f t="shared" si="115"/>
        <v/>
      </c>
    </row>
    <row r="5553" spans="4:4" x14ac:dyDescent="0.3">
      <c r="D5553" t="str">
        <f t="shared" si="115"/>
        <v/>
      </c>
    </row>
    <row r="5554" spans="4:4" x14ac:dyDescent="0.3">
      <c r="D5554" t="str">
        <f t="shared" si="115"/>
        <v/>
      </c>
    </row>
    <row r="5555" spans="4:4" x14ac:dyDescent="0.3">
      <c r="D5555" t="str">
        <f t="shared" si="115"/>
        <v/>
      </c>
    </row>
    <row r="5556" spans="4:4" x14ac:dyDescent="0.3">
      <c r="D5556" t="str">
        <f t="shared" si="115"/>
        <v/>
      </c>
    </row>
    <row r="5557" spans="4:4" x14ac:dyDescent="0.3">
      <c r="D5557" t="str">
        <f t="shared" si="115"/>
        <v/>
      </c>
    </row>
    <row r="5558" spans="4:4" x14ac:dyDescent="0.3">
      <c r="D5558" t="str">
        <f t="shared" si="115"/>
        <v/>
      </c>
    </row>
    <row r="5559" spans="4:4" x14ac:dyDescent="0.3">
      <c r="D5559" t="str">
        <f t="shared" si="115"/>
        <v/>
      </c>
    </row>
    <row r="5560" spans="4:4" x14ac:dyDescent="0.3">
      <c r="D5560" t="str">
        <f t="shared" si="115"/>
        <v/>
      </c>
    </row>
    <row r="5561" spans="4:4" x14ac:dyDescent="0.3">
      <c r="D5561" t="str">
        <f t="shared" si="115"/>
        <v/>
      </c>
    </row>
    <row r="5562" spans="4:4" x14ac:dyDescent="0.3">
      <c r="D5562" t="str">
        <f t="shared" si="115"/>
        <v/>
      </c>
    </row>
    <row r="5563" spans="4:4" x14ac:dyDescent="0.3">
      <c r="D5563" t="str">
        <f t="shared" si="115"/>
        <v/>
      </c>
    </row>
    <row r="5564" spans="4:4" x14ac:dyDescent="0.3">
      <c r="D5564" t="str">
        <f t="shared" si="115"/>
        <v/>
      </c>
    </row>
    <row r="5565" spans="4:4" x14ac:dyDescent="0.3">
      <c r="D5565" t="str">
        <f t="shared" si="115"/>
        <v/>
      </c>
    </row>
    <row r="5566" spans="4:4" x14ac:dyDescent="0.3">
      <c r="D5566" t="str">
        <f t="shared" ref="D5566:D5629" si="116">IF(LEFT(A5566,2)="SP",MID(A5566,4,4),IF(LEFT(A5566,1)="X",MID(A5566,3,4),""))</f>
        <v/>
      </c>
    </row>
    <row r="5567" spans="4:4" x14ac:dyDescent="0.3">
      <c r="D5567" t="str">
        <f t="shared" si="116"/>
        <v/>
      </c>
    </row>
    <row r="5568" spans="4:4" x14ac:dyDescent="0.3">
      <c r="D5568" t="str">
        <f t="shared" si="116"/>
        <v/>
      </c>
    </row>
    <row r="5569" spans="4:4" x14ac:dyDescent="0.3">
      <c r="D5569" t="str">
        <f t="shared" si="116"/>
        <v/>
      </c>
    </row>
    <row r="5570" spans="4:4" x14ac:dyDescent="0.3">
      <c r="D5570" t="str">
        <f t="shared" si="116"/>
        <v/>
      </c>
    </row>
    <row r="5571" spans="4:4" x14ac:dyDescent="0.3">
      <c r="D5571" t="str">
        <f t="shared" si="116"/>
        <v/>
      </c>
    </row>
    <row r="5572" spans="4:4" x14ac:dyDescent="0.3">
      <c r="D5572" t="str">
        <f t="shared" si="116"/>
        <v/>
      </c>
    </row>
    <row r="5573" spans="4:4" x14ac:dyDescent="0.3">
      <c r="D5573" t="str">
        <f t="shared" si="116"/>
        <v/>
      </c>
    </row>
    <row r="5574" spans="4:4" x14ac:dyDescent="0.3">
      <c r="D5574" t="str">
        <f t="shared" si="116"/>
        <v/>
      </c>
    </row>
    <row r="5575" spans="4:4" x14ac:dyDescent="0.3">
      <c r="D5575" t="str">
        <f t="shared" si="116"/>
        <v/>
      </c>
    </row>
    <row r="5576" spans="4:4" x14ac:dyDescent="0.3">
      <c r="D5576" t="str">
        <f t="shared" si="116"/>
        <v/>
      </c>
    </row>
    <row r="5577" spans="4:4" x14ac:dyDescent="0.3">
      <c r="D5577" t="str">
        <f t="shared" si="116"/>
        <v/>
      </c>
    </row>
    <row r="5578" spans="4:4" x14ac:dyDescent="0.3">
      <c r="D5578" t="str">
        <f t="shared" si="116"/>
        <v/>
      </c>
    </row>
    <row r="5579" spans="4:4" x14ac:dyDescent="0.3">
      <c r="D5579" t="str">
        <f t="shared" si="116"/>
        <v/>
      </c>
    </row>
    <row r="5580" spans="4:4" x14ac:dyDescent="0.3">
      <c r="D5580" t="str">
        <f t="shared" si="116"/>
        <v/>
      </c>
    </row>
    <row r="5581" spans="4:4" x14ac:dyDescent="0.3">
      <c r="D5581" t="str">
        <f t="shared" si="116"/>
        <v/>
      </c>
    </row>
    <row r="5582" spans="4:4" x14ac:dyDescent="0.3">
      <c r="D5582" t="str">
        <f t="shared" si="116"/>
        <v/>
      </c>
    </row>
    <row r="5583" spans="4:4" x14ac:dyDescent="0.3">
      <c r="D5583" t="str">
        <f t="shared" si="116"/>
        <v/>
      </c>
    </row>
    <row r="5584" spans="4:4" x14ac:dyDescent="0.3">
      <c r="D5584" t="str">
        <f t="shared" si="116"/>
        <v/>
      </c>
    </row>
    <row r="5585" spans="4:4" x14ac:dyDescent="0.3">
      <c r="D5585" t="str">
        <f t="shared" si="116"/>
        <v/>
      </c>
    </row>
    <row r="5586" spans="4:4" x14ac:dyDescent="0.3">
      <c r="D5586" t="str">
        <f t="shared" si="116"/>
        <v/>
      </c>
    </row>
    <row r="5587" spans="4:4" x14ac:dyDescent="0.3">
      <c r="D5587" t="str">
        <f t="shared" si="116"/>
        <v/>
      </c>
    </row>
    <row r="5588" spans="4:4" x14ac:dyDescent="0.3">
      <c r="D5588" t="str">
        <f t="shared" si="116"/>
        <v/>
      </c>
    </row>
    <row r="5589" spans="4:4" x14ac:dyDescent="0.3">
      <c r="D5589" t="str">
        <f t="shared" si="116"/>
        <v/>
      </c>
    </row>
    <row r="5590" spans="4:4" x14ac:dyDescent="0.3">
      <c r="D5590" t="str">
        <f t="shared" si="116"/>
        <v/>
      </c>
    </row>
    <row r="5591" spans="4:4" x14ac:dyDescent="0.3">
      <c r="D5591" t="str">
        <f t="shared" si="116"/>
        <v/>
      </c>
    </row>
    <row r="5592" spans="4:4" x14ac:dyDescent="0.3">
      <c r="D5592" t="str">
        <f t="shared" si="116"/>
        <v/>
      </c>
    </row>
    <row r="5593" spans="4:4" x14ac:dyDescent="0.3">
      <c r="D5593" t="str">
        <f t="shared" si="116"/>
        <v/>
      </c>
    </row>
    <row r="5594" spans="4:4" x14ac:dyDescent="0.3">
      <c r="D5594" t="str">
        <f t="shared" si="116"/>
        <v/>
      </c>
    </row>
    <row r="5595" spans="4:4" x14ac:dyDescent="0.3">
      <c r="D5595" t="str">
        <f t="shared" si="116"/>
        <v/>
      </c>
    </row>
    <row r="5596" spans="4:4" x14ac:dyDescent="0.3">
      <c r="D5596" t="str">
        <f t="shared" si="116"/>
        <v/>
      </c>
    </row>
    <row r="5597" spans="4:4" x14ac:dyDescent="0.3">
      <c r="D5597" t="str">
        <f t="shared" si="116"/>
        <v/>
      </c>
    </row>
    <row r="5598" spans="4:4" x14ac:dyDescent="0.3">
      <c r="D5598" t="str">
        <f t="shared" si="116"/>
        <v/>
      </c>
    </row>
    <row r="5599" spans="4:4" x14ac:dyDescent="0.3">
      <c r="D5599" t="str">
        <f t="shared" si="116"/>
        <v/>
      </c>
    </row>
    <row r="5600" spans="4:4" x14ac:dyDescent="0.3">
      <c r="D5600" t="str">
        <f t="shared" si="116"/>
        <v/>
      </c>
    </row>
    <row r="5601" spans="4:4" x14ac:dyDescent="0.3">
      <c r="D5601" t="str">
        <f t="shared" si="116"/>
        <v/>
      </c>
    </row>
    <row r="5602" spans="4:4" x14ac:dyDescent="0.3">
      <c r="D5602" t="str">
        <f t="shared" si="116"/>
        <v/>
      </c>
    </row>
    <row r="5603" spans="4:4" x14ac:dyDescent="0.3">
      <c r="D5603" t="str">
        <f t="shared" si="116"/>
        <v/>
      </c>
    </row>
    <row r="5604" spans="4:4" x14ac:dyDescent="0.3">
      <c r="D5604" t="str">
        <f t="shared" si="116"/>
        <v/>
      </c>
    </row>
    <row r="5605" spans="4:4" x14ac:dyDescent="0.3">
      <c r="D5605" t="str">
        <f t="shared" si="116"/>
        <v/>
      </c>
    </row>
    <row r="5606" spans="4:4" x14ac:dyDescent="0.3">
      <c r="D5606" t="str">
        <f t="shared" si="116"/>
        <v/>
      </c>
    </row>
    <row r="5607" spans="4:4" x14ac:dyDescent="0.3">
      <c r="D5607" t="str">
        <f t="shared" si="116"/>
        <v/>
      </c>
    </row>
    <row r="5608" spans="4:4" x14ac:dyDescent="0.3">
      <c r="D5608" t="str">
        <f t="shared" si="116"/>
        <v/>
      </c>
    </row>
    <row r="5609" spans="4:4" x14ac:dyDescent="0.3">
      <c r="D5609" t="str">
        <f t="shared" si="116"/>
        <v/>
      </c>
    </row>
    <row r="5610" spans="4:4" x14ac:dyDescent="0.3">
      <c r="D5610" t="str">
        <f t="shared" si="116"/>
        <v/>
      </c>
    </row>
    <row r="5611" spans="4:4" x14ac:dyDescent="0.3">
      <c r="D5611" t="str">
        <f t="shared" si="116"/>
        <v/>
      </c>
    </row>
    <row r="5612" spans="4:4" x14ac:dyDescent="0.3">
      <c r="D5612" t="str">
        <f t="shared" si="116"/>
        <v/>
      </c>
    </row>
    <row r="5613" spans="4:4" x14ac:dyDescent="0.3">
      <c r="D5613" t="str">
        <f t="shared" si="116"/>
        <v/>
      </c>
    </row>
    <row r="5614" spans="4:4" x14ac:dyDescent="0.3">
      <c r="D5614" t="str">
        <f t="shared" si="116"/>
        <v/>
      </c>
    </row>
    <row r="5615" spans="4:4" x14ac:dyDescent="0.3">
      <c r="D5615" t="str">
        <f t="shared" si="116"/>
        <v/>
      </c>
    </row>
    <row r="5616" spans="4:4" x14ac:dyDescent="0.3">
      <c r="D5616" t="str">
        <f t="shared" si="116"/>
        <v/>
      </c>
    </row>
    <row r="5617" spans="4:4" x14ac:dyDescent="0.3">
      <c r="D5617" t="str">
        <f t="shared" si="116"/>
        <v/>
      </c>
    </row>
    <row r="5618" spans="4:4" x14ac:dyDescent="0.3">
      <c r="D5618" t="str">
        <f t="shared" si="116"/>
        <v/>
      </c>
    </row>
    <row r="5619" spans="4:4" x14ac:dyDescent="0.3">
      <c r="D5619" t="str">
        <f t="shared" si="116"/>
        <v/>
      </c>
    </row>
    <row r="5620" spans="4:4" x14ac:dyDescent="0.3">
      <c r="D5620" t="str">
        <f t="shared" si="116"/>
        <v/>
      </c>
    </row>
    <row r="5621" spans="4:4" x14ac:dyDescent="0.3">
      <c r="D5621" t="str">
        <f t="shared" si="116"/>
        <v/>
      </c>
    </row>
    <row r="5622" spans="4:4" x14ac:dyDescent="0.3">
      <c r="D5622" t="str">
        <f t="shared" si="116"/>
        <v/>
      </c>
    </row>
    <row r="5623" spans="4:4" x14ac:dyDescent="0.3">
      <c r="D5623" t="str">
        <f t="shared" si="116"/>
        <v/>
      </c>
    </row>
    <row r="5624" spans="4:4" x14ac:dyDescent="0.3">
      <c r="D5624" t="str">
        <f t="shared" si="116"/>
        <v/>
      </c>
    </row>
    <row r="5625" spans="4:4" x14ac:dyDescent="0.3">
      <c r="D5625" t="str">
        <f t="shared" si="116"/>
        <v/>
      </c>
    </row>
    <row r="5626" spans="4:4" x14ac:dyDescent="0.3">
      <c r="D5626" t="str">
        <f t="shared" si="116"/>
        <v/>
      </c>
    </row>
    <row r="5627" spans="4:4" x14ac:dyDescent="0.3">
      <c r="D5627" t="str">
        <f t="shared" si="116"/>
        <v/>
      </c>
    </row>
    <row r="5628" spans="4:4" x14ac:dyDescent="0.3">
      <c r="D5628" t="str">
        <f t="shared" si="116"/>
        <v/>
      </c>
    </row>
    <row r="5629" spans="4:4" x14ac:dyDescent="0.3">
      <c r="D5629" t="str">
        <f t="shared" si="116"/>
        <v/>
      </c>
    </row>
    <row r="5630" spans="4:4" x14ac:dyDescent="0.3">
      <c r="D5630" t="str">
        <f t="shared" ref="D5630:D5693" si="117">IF(LEFT(A5630,2)="SP",MID(A5630,4,4),IF(LEFT(A5630,1)="X",MID(A5630,3,4),""))</f>
        <v/>
      </c>
    </row>
    <row r="5631" spans="4:4" x14ac:dyDescent="0.3">
      <c r="D5631" t="str">
        <f t="shared" si="117"/>
        <v/>
      </c>
    </row>
    <row r="5632" spans="4:4" x14ac:dyDescent="0.3">
      <c r="D5632" t="str">
        <f t="shared" si="117"/>
        <v/>
      </c>
    </row>
    <row r="5633" spans="4:4" x14ac:dyDescent="0.3">
      <c r="D5633" t="str">
        <f t="shared" si="117"/>
        <v/>
      </c>
    </row>
    <row r="5634" spans="4:4" x14ac:dyDescent="0.3">
      <c r="D5634" t="str">
        <f t="shared" si="117"/>
        <v/>
      </c>
    </row>
    <row r="5635" spans="4:4" x14ac:dyDescent="0.3">
      <c r="D5635" t="str">
        <f t="shared" si="117"/>
        <v/>
      </c>
    </row>
    <row r="5636" spans="4:4" x14ac:dyDescent="0.3">
      <c r="D5636" t="str">
        <f t="shared" si="117"/>
        <v/>
      </c>
    </row>
    <row r="5637" spans="4:4" x14ac:dyDescent="0.3">
      <c r="D5637" t="str">
        <f t="shared" si="117"/>
        <v/>
      </c>
    </row>
    <row r="5638" spans="4:4" x14ac:dyDescent="0.3">
      <c r="D5638" t="str">
        <f t="shared" si="117"/>
        <v/>
      </c>
    </row>
    <row r="5639" spans="4:4" x14ac:dyDescent="0.3">
      <c r="D5639" t="str">
        <f t="shared" si="117"/>
        <v/>
      </c>
    </row>
    <row r="5640" spans="4:4" x14ac:dyDescent="0.3">
      <c r="D5640" t="str">
        <f t="shared" si="117"/>
        <v/>
      </c>
    </row>
    <row r="5641" spans="4:4" x14ac:dyDescent="0.3">
      <c r="D5641" t="str">
        <f t="shared" si="117"/>
        <v/>
      </c>
    </row>
    <row r="5642" spans="4:4" x14ac:dyDescent="0.3">
      <c r="D5642" t="str">
        <f t="shared" si="117"/>
        <v/>
      </c>
    </row>
    <row r="5643" spans="4:4" x14ac:dyDescent="0.3">
      <c r="D5643" t="str">
        <f t="shared" si="117"/>
        <v/>
      </c>
    </row>
    <row r="5644" spans="4:4" x14ac:dyDescent="0.3">
      <c r="D5644" t="str">
        <f t="shared" si="117"/>
        <v/>
      </c>
    </row>
    <row r="5645" spans="4:4" x14ac:dyDescent="0.3">
      <c r="D5645" t="str">
        <f t="shared" si="117"/>
        <v/>
      </c>
    </row>
    <row r="5646" spans="4:4" x14ac:dyDescent="0.3">
      <c r="D5646" t="str">
        <f t="shared" si="117"/>
        <v/>
      </c>
    </row>
    <row r="5647" spans="4:4" x14ac:dyDescent="0.3">
      <c r="D5647" t="str">
        <f t="shared" si="117"/>
        <v/>
      </c>
    </row>
    <row r="5648" spans="4:4" x14ac:dyDescent="0.3">
      <c r="D5648" t="str">
        <f t="shared" si="117"/>
        <v/>
      </c>
    </row>
    <row r="5649" spans="4:4" x14ac:dyDescent="0.3">
      <c r="D5649" t="str">
        <f t="shared" si="117"/>
        <v/>
      </c>
    </row>
    <row r="5650" spans="4:4" x14ac:dyDescent="0.3">
      <c r="D5650" t="str">
        <f t="shared" si="117"/>
        <v/>
      </c>
    </row>
    <row r="5651" spans="4:4" x14ac:dyDescent="0.3">
      <c r="D5651" t="str">
        <f t="shared" si="117"/>
        <v/>
      </c>
    </row>
    <row r="5652" spans="4:4" x14ac:dyDescent="0.3">
      <c r="D5652" t="str">
        <f t="shared" si="117"/>
        <v/>
      </c>
    </row>
    <row r="5653" spans="4:4" x14ac:dyDescent="0.3">
      <c r="D5653" t="str">
        <f t="shared" si="117"/>
        <v/>
      </c>
    </row>
    <row r="5654" spans="4:4" x14ac:dyDescent="0.3">
      <c r="D5654" t="str">
        <f t="shared" si="117"/>
        <v/>
      </c>
    </row>
    <row r="5655" spans="4:4" x14ac:dyDescent="0.3">
      <c r="D5655" t="str">
        <f t="shared" si="117"/>
        <v/>
      </c>
    </row>
    <row r="5656" spans="4:4" x14ac:dyDescent="0.3">
      <c r="D5656" t="str">
        <f t="shared" si="117"/>
        <v/>
      </c>
    </row>
    <row r="5657" spans="4:4" x14ac:dyDescent="0.3">
      <c r="D5657" t="str">
        <f t="shared" si="117"/>
        <v/>
      </c>
    </row>
    <row r="5658" spans="4:4" x14ac:dyDescent="0.3">
      <c r="D5658" t="str">
        <f t="shared" si="117"/>
        <v/>
      </c>
    </row>
    <row r="5659" spans="4:4" x14ac:dyDescent="0.3">
      <c r="D5659" t="str">
        <f t="shared" si="117"/>
        <v/>
      </c>
    </row>
    <row r="5660" spans="4:4" x14ac:dyDescent="0.3">
      <c r="D5660" t="str">
        <f t="shared" si="117"/>
        <v/>
      </c>
    </row>
    <row r="5661" spans="4:4" x14ac:dyDescent="0.3">
      <c r="D5661" t="str">
        <f t="shared" si="117"/>
        <v/>
      </c>
    </row>
    <row r="5662" spans="4:4" x14ac:dyDescent="0.3">
      <c r="D5662" t="str">
        <f t="shared" si="117"/>
        <v/>
      </c>
    </row>
    <row r="5663" spans="4:4" x14ac:dyDescent="0.3">
      <c r="D5663" t="str">
        <f t="shared" si="117"/>
        <v/>
      </c>
    </row>
    <row r="5664" spans="4:4" x14ac:dyDescent="0.3">
      <c r="D5664" t="str">
        <f t="shared" si="117"/>
        <v/>
      </c>
    </row>
    <row r="5665" spans="4:4" x14ac:dyDescent="0.3">
      <c r="D5665" t="str">
        <f t="shared" si="117"/>
        <v/>
      </c>
    </row>
    <row r="5666" spans="4:4" x14ac:dyDescent="0.3">
      <c r="D5666" t="str">
        <f t="shared" si="117"/>
        <v/>
      </c>
    </row>
    <row r="5667" spans="4:4" x14ac:dyDescent="0.3">
      <c r="D5667" t="str">
        <f t="shared" si="117"/>
        <v/>
      </c>
    </row>
    <row r="5668" spans="4:4" x14ac:dyDescent="0.3">
      <c r="D5668" t="str">
        <f t="shared" si="117"/>
        <v/>
      </c>
    </row>
    <row r="5669" spans="4:4" x14ac:dyDescent="0.3">
      <c r="D5669" t="str">
        <f t="shared" si="117"/>
        <v/>
      </c>
    </row>
    <row r="5670" spans="4:4" x14ac:dyDescent="0.3">
      <c r="D5670" t="str">
        <f t="shared" si="117"/>
        <v/>
      </c>
    </row>
    <row r="5671" spans="4:4" x14ac:dyDescent="0.3">
      <c r="D5671" t="str">
        <f t="shared" si="117"/>
        <v/>
      </c>
    </row>
    <row r="5672" spans="4:4" x14ac:dyDescent="0.3">
      <c r="D5672" t="str">
        <f t="shared" si="117"/>
        <v/>
      </c>
    </row>
    <row r="5673" spans="4:4" x14ac:dyDescent="0.3">
      <c r="D5673" t="str">
        <f t="shared" si="117"/>
        <v/>
      </c>
    </row>
    <row r="5674" spans="4:4" x14ac:dyDescent="0.3">
      <c r="D5674" t="str">
        <f t="shared" si="117"/>
        <v/>
      </c>
    </row>
    <row r="5675" spans="4:4" x14ac:dyDescent="0.3">
      <c r="D5675" t="str">
        <f t="shared" si="117"/>
        <v/>
      </c>
    </row>
    <row r="5676" spans="4:4" x14ac:dyDescent="0.3">
      <c r="D5676" t="str">
        <f t="shared" si="117"/>
        <v/>
      </c>
    </row>
    <row r="5677" spans="4:4" x14ac:dyDescent="0.3">
      <c r="D5677" t="str">
        <f t="shared" si="117"/>
        <v/>
      </c>
    </row>
    <row r="5678" spans="4:4" x14ac:dyDescent="0.3">
      <c r="D5678" t="str">
        <f t="shared" si="117"/>
        <v/>
      </c>
    </row>
    <row r="5679" spans="4:4" x14ac:dyDescent="0.3">
      <c r="D5679" t="str">
        <f t="shared" si="117"/>
        <v/>
      </c>
    </row>
    <row r="5680" spans="4:4" x14ac:dyDescent="0.3">
      <c r="D5680" t="str">
        <f t="shared" si="117"/>
        <v/>
      </c>
    </row>
    <row r="5681" spans="4:4" x14ac:dyDescent="0.3">
      <c r="D5681" t="str">
        <f t="shared" si="117"/>
        <v/>
      </c>
    </row>
    <row r="5682" spans="4:4" x14ac:dyDescent="0.3">
      <c r="D5682" t="str">
        <f t="shared" si="117"/>
        <v/>
      </c>
    </row>
    <row r="5683" spans="4:4" x14ac:dyDescent="0.3">
      <c r="D5683" t="str">
        <f t="shared" si="117"/>
        <v/>
      </c>
    </row>
    <row r="5684" spans="4:4" x14ac:dyDescent="0.3">
      <c r="D5684" t="str">
        <f t="shared" si="117"/>
        <v/>
      </c>
    </row>
    <row r="5685" spans="4:4" x14ac:dyDescent="0.3">
      <c r="D5685" t="str">
        <f t="shared" si="117"/>
        <v/>
      </c>
    </row>
    <row r="5686" spans="4:4" x14ac:dyDescent="0.3">
      <c r="D5686" t="str">
        <f t="shared" si="117"/>
        <v/>
      </c>
    </row>
    <row r="5687" spans="4:4" x14ac:dyDescent="0.3">
      <c r="D5687" t="str">
        <f t="shared" si="117"/>
        <v/>
      </c>
    </row>
    <row r="5688" spans="4:4" x14ac:dyDescent="0.3">
      <c r="D5688" t="str">
        <f t="shared" si="117"/>
        <v/>
      </c>
    </row>
    <row r="5689" spans="4:4" x14ac:dyDescent="0.3">
      <c r="D5689" t="str">
        <f t="shared" si="117"/>
        <v/>
      </c>
    </row>
    <row r="5690" spans="4:4" x14ac:dyDescent="0.3">
      <c r="D5690" t="str">
        <f t="shared" si="117"/>
        <v/>
      </c>
    </row>
    <row r="5691" spans="4:4" x14ac:dyDescent="0.3">
      <c r="D5691" t="str">
        <f t="shared" si="117"/>
        <v/>
      </c>
    </row>
    <row r="5692" spans="4:4" x14ac:dyDescent="0.3">
      <c r="D5692" t="str">
        <f t="shared" si="117"/>
        <v/>
      </c>
    </row>
    <row r="5693" spans="4:4" x14ac:dyDescent="0.3">
      <c r="D5693" t="str">
        <f t="shared" si="117"/>
        <v/>
      </c>
    </row>
    <row r="5694" spans="4:4" x14ac:dyDescent="0.3">
      <c r="D5694" t="str">
        <f t="shared" ref="D5694:D5757" si="118">IF(LEFT(A5694,2)="SP",MID(A5694,4,4),IF(LEFT(A5694,1)="X",MID(A5694,3,4),""))</f>
        <v/>
      </c>
    </row>
    <row r="5695" spans="4:4" x14ac:dyDescent="0.3">
      <c r="D5695" t="str">
        <f t="shared" si="118"/>
        <v/>
      </c>
    </row>
    <row r="5696" spans="4:4" x14ac:dyDescent="0.3">
      <c r="D5696" t="str">
        <f t="shared" si="118"/>
        <v/>
      </c>
    </row>
    <row r="5697" spans="4:4" x14ac:dyDescent="0.3">
      <c r="D5697" t="str">
        <f t="shared" si="118"/>
        <v/>
      </c>
    </row>
    <row r="5698" spans="4:4" x14ac:dyDescent="0.3">
      <c r="D5698" t="str">
        <f t="shared" si="118"/>
        <v/>
      </c>
    </row>
    <row r="5699" spans="4:4" x14ac:dyDescent="0.3">
      <c r="D5699" t="str">
        <f t="shared" si="118"/>
        <v/>
      </c>
    </row>
    <row r="5700" spans="4:4" x14ac:dyDescent="0.3">
      <c r="D5700" t="str">
        <f t="shared" si="118"/>
        <v/>
      </c>
    </row>
    <row r="5701" spans="4:4" x14ac:dyDescent="0.3">
      <c r="D5701" t="str">
        <f t="shared" si="118"/>
        <v/>
      </c>
    </row>
    <row r="5702" spans="4:4" x14ac:dyDescent="0.3">
      <c r="D5702" t="str">
        <f t="shared" si="118"/>
        <v/>
      </c>
    </row>
    <row r="5703" spans="4:4" x14ac:dyDescent="0.3">
      <c r="D5703" t="str">
        <f t="shared" si="118"/>
        <v/>
      </c>
    </row>
    <row r="5704" spans="4:4" x14ac:dyDescent="0.3">
      <c r="D5704" t="str">
        <f t="shared" si="118"/>
        <v/>
      </c>
    </row>
    <row r="5705" spans="4:4" x14ac:dyDescent="0.3">
      <c r="D5705" t="str">
        <f t="shared" si="118"/>
        <v/>
      </c>
    </row>
    <row r="5706" spans="4:4" x14ac:dyDescent="0.3">
      <c r="D5706" t="str">
        <f t="shared" si="118"/>
        <v/>
      </c>
    </row>
    <row r="5707" spans="4:4" x14ac:dyDescent="0.3">
      <c r="D5707" t="str">
        <f t="shared" si="118"/>
        <v/>
      </c>
    </row>
    <row r="5708" spans="4:4" x14ac:dyDescent="0.3">
      <c r="D5708" t="str">
        <f t="shared" si="118"/>
        <v/>
      </c>
    </row>
    <row r="5709" spans="4:4" x14ac:dyDescent="0.3">
      <c r="D5709" t="str">
        <f t="shared" si="118"/>
        <v/>
      </c>
    </row>
    <row r="5710" spans="4:4" x14ac:dyDescent="0.3">
      <c r="D5710" t="str">
        <f t="shared" si="118"/>
        <v/>
      </c>
    </row>
    <row r="5711" spans="4:4" x14ac:dyDescent="0.3">
      <c r="D5711" t="str">
        <f t="shared" si="118"/>
        <v/>
      </c>
    </row>
    <row r="5712" spans="4:4" x14ac:dyDescent="0.3">
      <c r="D5712" t="str">
        <f t="shared" si="118"/>
        <v/>
      </c>
    </row>
    <row r="5713" spans="4:4" x14ac:dyDescent="0.3">
      <c r="D5713" t="str">
        <f t="shared" si="118"/>
        <v/>
      </c>
    </row>
    <row r="5714" spans="4:4" x14ac:dyDescent="0.3">
      <c r="D5714" t="str">
        <f t="shared" si="118"/>
        <v/>
      </c>
    </row>
    <row r="5715" spans="4:4" x14ac:dyDescent="0.3">
      <c r="D5715" t="str">
        <f t="shared" si="118"/>
        <v/>
      </c>
    </row>
    <row r="5716" spans="4:4" x14ac:dyDescent="0.3">
      <c r="D5716" t="str">
        <f t="shared" si="118"/>
        <v/>
      </c>
    </row>
    <row r="5717" spans="4:4" x14ac:dyDescent="0.3">
      <c r="D5717" t="str">
        <f t="shared" si="118"/>
        <v/>
      </c>
    </row>
    <row r="5718" spans="4:4" x14ac:dyDescent="0.3">
      <c r="D5718" t="str">
        <f t="shared" si="118"/>
        <v/>
      </c>
    </row>
    <row r="5719" spans="4:4" x14ac:dyDescent="0.3">
      <c r="D5719" t="str">
        <f t="shared" si="118"/>
        <v/>
      </c>
    </row>
    <row r="5720" spans="4:4" x14ac:dyDescent="0.3">
      <c r="D5720" t="str">
        <f t="shared" si="118"/>
        <v/>
      </c>
    </row>
    <row r="5721" spans="4:4" x14ac:dyDescent="0.3">
      <c r="D5721" t="str">
        <f t="shared" si="118"/>
        <v/>
      </c>
    </row>
    <row r="5722" spans="4:4" x14ac:dyDescent="0.3">
      <c r="D5722" t="str">
        <f t="shared" si="118"/>
        <v/>
      </c>
    </row>
    <row r="5723" spans="4:4" x14ac:dyDescent="0.3">
      <c r="D5723" t="str">
        <f t="shared" si="118"/>
        <v/>
      </c>
    </row>
    <row r="5724" spans="4:4" x14ac:dyDescent="0.3">
      <c r="D5724" t="str">
        <f t="shared" si="118"/>
        <v/>
      </c>
    </row>
    <row r="5725" spans="4:4" x14ac:dyDescent="0.3">
      <c r="D5725" t="str">
        <f t="shared" si="118"/>
        <v/>
      </c>
    </row>
    <row r="5726" spans="4:4" x14ac:dyDescent="0.3">
      <c r="D5726" t="str">
        <f t="shared" si="118"/>
        <v/>
      </c>
    </row>
    <row r="5727" spans="4:4" x14ac:dyDescent="0.3">
      <c r="D5727" t="str">
        <f t="shared" si="118"/>
        <v/>
      </c>
    </row>
    <row r="5728" spans="4:4" x14ac:dyDescent="0.3">
      <c r="D5728" t="str">
        <f t="shared" si="118"/>
        <v/>
      </c>
    </row>
    <row r="5729" spans="4:4" x14ac:dyDescent="0.3">
      <c r="D5729" t="str">
        <f t="shared" si="118"/>
        <v/>
      </c>
    </row>
    <row r="5730" spans="4:4" x14ac:dyDescent="0.3">
      <c r="D5730" t="str">
        <f t="shared" si="118"/>
        <v/>
      </c>
    </row>
    <row r="5731" spans="4:4" x14ac:dyDescent="0.3">
      <c r="D5731" t="str">
        <f t="shared" si="118"/>
        <v/>
      </c>
    </row>
    <row r="5732" spans="4:4" x14ac:dyDescent="0.3">
      <c r="D5732" t="str">
        <f t="shared" si="118"/>
        <v/>
      </c>
    </row>
    <row r="5733" spans="4:4" x14ac:dyDescent="0.3">
      <c r="D5733" t="str">
        <f t="shared" si="118"/>
        <v/>
      </c>
    </row>
    <row r="5734" spans="4:4" x14ac:dyDescent="0.3">
      <c r="D5734" t="str">
        <f t="shared" si="118"/>
        <v/>
      </c>
    </row>
    <row r="5735" spans="4:4" x14ac:dyDescent="0.3">
      <c r="D5735" t="str">
        <f t="shared" si="118"/>
        <v/>
      </c>
    </row>
    <row r="5736" spans="4:4" x14ac:dyDescent="0.3">
      <c r="D5736" t="str">
        <f t="shared" si="118"/>
        <v/>
      </c>
    </row>
    <row r="5737" spans="4:4" x14ac:dyDescent="0.3">
      <c r="D5737" t="str">
        <f t="shared" si="118"/>
        <v/>
      </c>
    </row>
    <row r="5738" spans="4:4" x14ac:dyDescent="0.3">
      <c r="D5738" t="str">
        <f t="shared" si="118"/>
        <v/>
      </c>
    </row>
    <row r="5739" spans="4:4" x14ac:dyDescent="0.3">
      <c r="D5739" t="str">
        <f t="shared" si="118"/>
        <v/>
      </c>
    </row>
    <row r="5740" spans="4:4" x14ac:dyDescent="0.3">
      <c r="D5740" t="str">
        <f t="shared" si="118"/>
        <v/>
      </c>
    </row>
    <row r="5741" spans="4:4" x14ac:dyDescent="0.3">
      <c r="D5741" t="str">
        <f t="shared" si="118"/>
        <v/>
      </c>
    </row>
    <row r="5742" spans="4:4" x14ac:dyDescent="0.3">
      <c r="D5742" t="str">
        <f t="shared" si="118"/>
        <v/>
      </c>
    </row>
    <row r="5743" spans="4:4" x14ac:dyDescent="0.3">
      <c r="D5743" t="str">
        <f t="shared" si="118"/>
        <v/>
      </c>
    </row>
    <row r="5744" spans="4:4" x14ac:dyDescent="0.3">
      <c r="D5744" t="str">
        <f t="shared" si="118"/>
        <v/>
      </c>
    </row>
    <row r="5745" spans="4:4" x14ac:dyDescent="0.3">
      <c r="D5745" t="str">
        <f t="shared" si="118"/>
        <v/>
      </c>
    </row>
    <row r="5746" spans="4:4" x14ac:dyDescent="0.3">
      <c r="D5746" t="str">
        <f t="shared" si="118"/>
        <v/>
      </c>
    </row>
    <row r="5747" spans="4:4" x14ac:dyDescent="0.3">
      <c r="D5747" t="str">
        <f t="shared" si="118"/>
        <v/>
      </c>
    </row>
    <row r="5748" spans="4:4" x14ac:dyDescent="0.3">
      <c r="D5748" t="str">
        <f t="shared" si="118"/>
        <v/>
      </c>
    </row>
    <row r="5749" spans="4:4" x14ac:dyDescent="0.3">
      <c r="D5749" t="str">
        <f t="shared" si="118"/>
        <v/>
      </c>
    </row>
    <row r="5750" spans="4:4" x14ac:dyDescent="0.3">
      <c r="D5750" t="str">
        <f t="shared" si="118"/>
        <v/>
      </c>
    </row>
    <row r="5751" spans="4:4" x14ac:dyDescent="0.3">
      <c r="D5751" t="str">
        <f t="shared" si="118"/>
        <v/>
      </c>
    </row>
    <row r="5752" spans="4:4" x14ac:dyDescent="0.3">
      <c r="D5752" t="str">
        <f t="shared" si="118"/>
        <v/>
      </c>
    </row>
    <row r="5753" spans="4:4" x14ac:dyDescent="0.3">
      <c r="D5753" t="str">
        <f t="shared" si="118"/>
        <v/>
      </c>
    </row>
    <row r="5754" spans="4:4" x14ac:dyDescent="0.3">
      <c r="D5754" t="str">
        <f t="shared" si="118"/>
        <v/>
      </c>
    </row>
    <row r="5755" spans="4:4" x14ac:dyDescent="0.3">
      <c r="D5755" t="str">
        <f t="shared" si="118"/>
        <v/>
      </c>
    </row>
    <row r="5756" spans="4:4" x14ac:dyDescent="0.3">
      <c r="D5756" t="str">
        <f t="shared" si="118"/>
        <v/>
      </c>
    </row>
    <row r="5757" spans="4:4" x14ac:dyDescent="0.3">
      <c r="D5757" t="str">
        <f t="shared" si="118"/>
        <v/>
      </c>
    </row>
    <row r="5758" spans="4:4" x14ac:dyDescent="0.3">
      <c r="D5758" t="str">
        <f t="shared" ref="D5758:D5821" si="119">IF(LEFT(A5758,2)="SP",MID(A5758,4,4),IF(LEFT(A5758,1)="X",MID(A5758,3,4),""))</f>
        <v/>
      </c>
    </row>
    <row r="5759" spans="4:4" x14ac:dyDescent="0.3">
      <c r="D5759" t="str">
        <f t="shared" si="119"/>
        <v/>
      </c>
    </row>
    <row r="5760" spans="4:4" x14ac:dyDescent="0.3">
      <c r="D5760" t="str">
        <f t="shared" si="119"/>
        <v/>
      </c>
    </row>
    <row r="5761" spans="4:4" x14ac:dyDescent="0.3">
      <c r="D5761" t="str">
        <f t="shared" si="119"/>
        <v/>
      </c>
    </row>
    <row r="5762" spans="4:4" x14ac:dyDescent="0.3">
      <c r="D5762" t="str">
        <f t="shared" si="119"/>
        <v/>
      </c>
    </row>
    <row r="5763" spans="4:4" x14ac:dyDescent="0.3">
      <c r="D5763" t="str">
        <f t="shared" si="119"/>
        <v/>
      </c>
    </row>
    <row r="5764" spans="4:4" x14ac:dyDescent="0.3">
      <c r="D5764" t="str">
        <f t="shared" si="119"/>
        <v/>
      </c>
    </row>
    <row r="5765" spans="4:4" x14ac:dyDescent="0.3">
      <c r="D5765" t="str">
        <f t="shared" si="119"/>
        <v/>
      </c>
    </row>
    <row r="5766" spans="4:4" x14ac:dyDescent="0.3">
      <c r="D5766" t="str">
        <f t="shared" si="119"/>
        <v/>
      </c>
    </row>
    <row r="5767" spans="4:4" x14ac:dyDescent="0.3">
      <c r="D5767" t="str">
        <f t="shared" si="119"/>
        <v/>
      </c>
    </row>
    <row r="5768" spans="4:4" x14ac:dyDescent="0.3">
      <c r="D5768" t="str">
        <f t="shared" si="119"/>
        <v/>
      </c>
    </row>
    <row r="5769" spans="4:4" x14ac:dyDescent="0.3">
      <c r="D5769" t="str">
        <f t="shared" si="119"/>
        <v/>
      </c>
    </row>
    <row r="5770" spans="4:4" x14ac:dyDescent="0.3">
      <c r="D5770" t="str">
        <f t="shared" si="119"/>
        <v/>
      </c>
    </row>
    <row r="5771" spans="4:4" x14ac:dyDescent="0.3">
      <c r="D5771" t="str">
        <f t="shared" si="119"/>
        <v/>
      </c>
    </row>
    <row r="5772" spans="4:4" x14ac:dyDescent="0.3">
      <c r="D5772" t="str">
        <f t="shared" si="119"/>
        <v/>
      </c>
    </row>
    <row r="5773" spans="4:4" x14ac:dyDescent="0.3">
      <c r="D5773" t="str">
        <f t="shared" si="119"/>
        <v/>
      </c>
    </row>
    <row r="5774" spans="4:4" x14ac:dyDescent="0.3">
      <c r="D5774" t="str">
        <f t="shared" si="119"/>
        <v/>
      </c>
    </row>
    <row r="5775" spans="4:4" x14ac:dyDescent="0.3">
      <c r="D5775" t="str">
        <f t="shared" si="119"/>
        <v/>
      </c>
    </row>
    <row r="5776" spans="4:4" x14ac:dyDescent="0.3">
      <c r="D5776" t="str">
        <f t="shared" si="119"/>
        <v/>
      </c>
    </row>
    <row r="5777" spans="4:4" x14ac:dyDescent="0.3">
      <c r="D5777" t="str">
        <f t="shared" si="119"/>
        <v/>
      </c>
    </row>
    <row r="5778" spans="4:4" x14ac:dyDescent="0.3">
      <c r="D5778" t="str">
        <f t="shared" si="119"/>
        <v/>
      </c>
    </row>
    <row r="5779" spans="4:4" x14ac:dyDescent="0.3">
      <c r="D5779" t="str">
        <f t="shared" si="119"/>
        <v/>
      </c>
    </row>
    <row r="5780" spans="4:4" x14ac:dyDescent="0.3">
      <c r="D5780" t="str">
        <f t="shared" si="119"/>
        <v/>
      </c>
    </row>
    <row r="5781" spans="4:4" x14ac:dyDescent="0.3">
      <c r="D5781" t="str">
        <f t="shared" si="119"/>
        <v/>
      </c>
    </row>
    <row r="5782" spans="4:4" x14ac:dyDescent="0.3">
      <c r="D5782" t="str">
        <f t="shared" si="119"/>
        <v/>
      </c>
    </row>
    <row r="5783" spans="4:4" x14ac:dyDescent="0.3">
      <c r="D5783" t="str">
        <f t="shared" si="119"/>
        <v/>
      </c>
    </row>
    <row r="5784" spans="4:4" x14ac:dyDescent="0.3">
      <c r="D5784" t="str">
        <f t="shared" si="119"/>
        <v/>
      </c>
    </row>
    <row r="5785" spans="4:4" x14ac:dyDescent="0.3">
      <c r="D5785" t="str">
        <f t="shared" si="119"/>
        <v/>
      </c>
    </row>
    <row r="5786" spans="4:4" x14ac:dyDescent="0.3">
      <c r="D5786" t="str">
        <f t="shared" si="119"/>
        <v/>
      </c>
    </row>
    <row r="5787" spans="4:4" x14ac:dyDescent="0.3">
      <c r="D5787" t="str">
        <f t="shared" si="119"/>
        <v/>
      </c>
    </row>
    <row r="5788" spans="4:4" x14ac:dyDescent="0.3">
      <c r="D5788" t="str">
        <f t="shared" si="119"/>
        <v/>
      </c>
    </row>
    <row r="5789" spans="4:4" x14ac:dyDescent="0.3">
      <c r="D5789" t="str">
        <f t="shared" si="119"/>
        <v/>
      </c>
    </row>
    <row r="5790" spans="4:4" x14ac:dyDescent="0.3">
      <c r="D5790" t="str">
        <f t="shared" si="119"/>
        <v/>
      </c>
    </row>
    <row r="5791" spans="4:4" x14ac:dyDescent="0.3">
      <c r="D5791" t="str">
        <f t="shared" si="119"/>
        <v/>
      </c>
    </row>
    <row r="5792" spans="4:4" x14ac:dyDescent="0.3">
      <c r="D5792" t="str">
        <f t="shared" si="119"/>
        <v/>
      </c>
    </row>
    <row r="5793" spans="4:4" x14ac:dyDescent="0.3">
      <c r="D5793" t="str">
        <f t="shared" si="119"/>
        <v/>
      </c>
    </row>
    <row r="5794" spans="4:4" x14ac:dyDescent="0.3">
      <c r="D5794" t="str">
        <f t="shared" si="119"/>
        <v/>
      </c>
    </row>
    <row r="5795" spans="4:4" x14ac:dyDescent="0.3">
      <c r="D5795" t="str">
        <f t="shared" si="119"/>
        <v/>
      </c>
    </row>
    <row r="5796" spans="4:4" x14ac:dyDescent="0.3">
      <c r="D5796" t="str">
        <f t="shared" si="119"/>
        <v/>
      </c>
    </row>
    <row r="5797" spans="4:4" x14ac:dyDescent="0.3">
      <c r="D5797" t="str">
        <f t="shared" si="119"/>
        <v/>
      </c>
    </row>
    <row r="5798" spans="4:4" x14ac:dyDescent="0.3">
      <c r="D5798" t="str">
        <f t="shared" si="119"/>
        <v/>
      </c>
    </row>
    <row r="5799" spans="4:4" x14ac:dyDescent="0.3">
      <c r="D5799" t="str">
        <f t="shared" si="119"/>
        <v/>
      </c>
    </row>
    <row r="5800" spans="4:4" x14ac:dyDescent="0.3">
      <c r="D5800" t="str">
        <f t="shared" si="119"/>
        <v/>
      </c>
    </row>
    <row r="5801" spans="4:4" x14ac:dyDescent="0.3">
      <c r="D5801" t="str">
        <f t="shared" si="119"/>
        <v/>
      </c>
    </row>
    <row r="5802" spans="4:4" x14ac:dyDescent="0.3">
      <c r="D5802" t="str">
        <f t="shared" si="119"/>
        <v/>
      </c>
    </row>
    <row r="5803" spans="4:4" x14ac:dyDescent="0.3">
      <c r="D5803" t="str">
        <f t="shared" si="119"/>
        <v/>
      </c>
    </row>
    <row r="5804" spans="4:4" x14ac:dyDescent="0.3">
      <c r="D5804" t="str">
        <f t="shared" si="119"/>
        <v/>
      </c>
    </row>
    <row r="5805" spans="4:4" x14ac:dyDescent="0.3">
      <c r="D5805" t="str">
        <f t="shared" si="119"/>
        <v/>
      </c>
    </row>
    <row r="5806" spans="4:4" x14ac:dyDescent="0.3">
      <c r="D5806" t="str">
        <f t="shared" si="119"/>
        <v/>
      </c>
    </row>
    <row r="5807" spans="4:4" x14ac:dyDescent="0.3">
      <c r="D5807" t="str">
        <f t="shared" si="119"/>
        <v/>
      </c>
    </row>
    <row r="5808" spans="4:4" x14ac:dyDescent="0.3">
      <c r="D5808" t="str">
        <f t="shared" si="119"/>
        <v/>
      </c>
    </row>
    <row r="5809" spans="4:4" x14ac:dyDescent="0.3">
      <c r="D5809" t="str">
        <f t="shared" si="119"/>
        <v/>
      </c>
    </row>
    <row r="5810" spans="4:4" x14ac:dyDescent="0.3">
      <c r="D5810" t="str">
        <f t="shared" si="119"/>
        <v/>
      </c>
    </row>
    <row r="5811" spans="4:4" x14ac:dyDescent="0.3">
      <c r="D5811" t="str">
        <f t="shared" si="119"/>
        <v/>
      </c>
    </row>
    <row r="5812" spans="4:4" x14ac:dyDescent="0.3">
      <c r="D5812" t="str">
        <f t="shared" si="119"/>
        <v/>
      </c>
    </row>
    <row r="5813" spans="4:4" x14ac:dyDescent="0.3">
      <c r="D5813" t="str">
        <f t="shared" si="119"/>
        <v/>
      </c>
    </row>
    <row r="5814" spans="4:4" x14ac:dyDescent="0.3">
      <c r="D5814" t="str">
        <f t="shared" si="119"/>
        <v/>
      </c>
    </row>
    <row r="5815" spans="4:4" x14ac:dyDescent="0.3">
      <c r="D5815" t="str">
        <f t="shared" si="119"/>
        <v/>
      </c>
    </row>
    <row r="5816" spans="4:4" x14ac:dyDescent="0.3">
      <c r="D5816" t="str">
        <f t="shared" si="119"/>
        <v/>
      </c>
    </row>
    <row r="5817" spans="4:4" x14ac:dyDescent="0.3">
      <c r="D5817" t="str">
        <f t="shared" si="119"/>
        <v/>
      </c>
    </row>
    <row r="5818" spans="4:4" x14ac:dyDescent="0.3">
      <c r="D5818" t="str">
        <f t="shared" si="119"/>
        <v/>
      </c>
    </row>
    <row r="5819" spans="4:4" x14ac:dyDescent="0.3">
      <c r="D5819" t="str">
        <f t="shared" si="119"/>
        <v/>
      </c>
    </row>
    <row r="5820" spans="4:4" x14ac:dyDescent="0.3">
      <c r="D5820" t="str">
        <f t="shared" si="119"/>
        <v/>
      </c>
    </row>
    <row r="5821" spans="4:4" x14ac:dyDescent="0.3">
      <c r="D5821" t="str">
        <f t="shared" si="119"/>
        <v/>
      </c>
    </row>
    <row r="5822" spans="4:4" x14ac:dyDescent="0.3">
      <c r="D5822" t="str">
        <f t="shared" ref="D5822:D5885" si="120">IF(LEFT(A5822,2)="SP",MID(A5822,4,4),IF(LEFT(A5822,1)="X",MID(A5822,3,4),""))</f>
        <v/>
      </c>
    </row>
    <row r="5823" spans="4:4" x14ac:dyDescent="0.3">
      <c r="D5823" t="str">
        <f t="shared" si="120"/>
        <v/>
      </c>
    </row>
    <row r="5824" spans="4:4" x14ac:dyDescent="0.3">
      <c r="D5824" t="str">
        <f t="shared" si="120"/>
        <v/>
      </c>
    </row>
    <row r="5825" spans="4:4" x14ac:dyDescent="0.3">
      <c r="D5825" t="str">
        <f t="shared" si="120"/>
        <v/>
      </c>
    </row>
    <row r="5826" spans="4:4" x14ac:dyDescent="0.3">
      <c r="D5826" t="str">
        <f t="shared" si="120"/>
        <v/>
      </c>
    </row>
    <row r="5827" spans="4:4" x14ac:dyDescent="0.3">
      <c r="D5827" t="str">
        <f t="shared" si="120"/>
        <v/>
      </c>
    </row>
    <row r="5828" spans="4:4" x14ac:dyDescent="0.3">
      <c r="D5828" t="str">
        <f t="shared" si="120"/>
        <v/>
      </c>
    </row>
    <row r="5829" spans="4:4" x14ac:dyDescent="0.3">
      <c r="D5829" t="str">
        <f t="shared" si="120"/>
        <v/>
      </c>
    </row>
    <row r="5830" spans="4:4" x14ac:dyDescent="0.3">
      <c r="D5830" t="str">
        <f t="shared" si="120"/>
        <v/>
      </c>
    </row>
    <row r="5831" spans="4:4" x14ac:dyDescent="0.3">
      <c r="D5831" t="str">
        <f t="shared" si="120"/>
        <v/>
      </c>
    </row>
    <row r="5832" spans="4:4" x14ac:dyDescent="0.3">
      <c r="D5832" t="str">
        <f t="shared" si="120"/>
        <v/>
      </c>
    </row>
    <row r="5833" spans="4:4" x14ac:dyDescent="0.3">
      <c r="D5833" t="str">
        <f t="shared" si="120"/>
        <v/>
      </c>
    </row>
    <row r="5834" spans="4:4" x14ac:dyDescent="0.3">
      <c r="D5834" t="str">
        <f t="shared" si="120"/>
        <v/>
      </c>
    </row>
    <row r="5835" spans="4:4" x14ac:dyDescent="0.3">
      <c r="D5835" t="str">
        <f t="shared" si="120"/>
        <v/>
      </c>
    </row>
    <row r="5836" spans="4:4" x14ac:dyDescent="0.3">
      <c r="D5836" t="str">
        <f t="shared" si="120"/>
        <v/>
      </c>
    </row>
    <row r="5837" spans="4:4" x14ac:dyDescent="0.3">
      <c r="D5837" t="str">
        <f t="shared" si="120"/>
        <v/>
      </c>
    </row>
    <row r="5838" spans="4:4" x14ac:dyDescent="0.3">
      <c r="D5838" t="str">
        <f t="shared" si="120"/>
        <v/>
      </c>
    </row>
    <row r="5839" spans="4:4" x14ac:dyDescent="0.3">
      <c r="D5839" t="str">
        <f t="shared" si="120"/>
        <v/>
      </c>
    </row>
    <row r="5840" spans="4:4" x14ac:dyDescent="0.3">
      <c r="D5840" t="str">
        <f t="shared" si="120"/>
        <v/>
      </c>
    </row>
    <row r="5841" spans="4:4" x14ac:dyDescent="0.3">
      <c r="D5841" t="str">
        <f t="shared" si="120"/>
        <v/>
      </c>
    </row>
    <row r="5842" spans="4:4" x14ac:dyDescent="0.3">
      <c r="D5842" t="str">
        <f t="shared" si="120"/>
        <v/>
      </c>
    </row>
    <row r="5843" spans="4:4" x14ac:dyDescent="0.3">
      <c r="D5843" t="str">
        <f t="shared" si="120"/>
        <v/>
      </c>
    </row>
    <row r="5844" spans="4:4" x14ac:dyDescent="0.3">
      <c r="D5844" t="str">
        <f t="shared" si="120"/>
        <v/>
      </c>
    </row>
    <row r="5845" spans="4:4" x14ac:dyDescent="0.3">
      <c r="D5845" t="str">
        <f t="shared" si="120"/>
        <v/>
      </c>
    </row>
    <row r="5846" spans="4:4" x14ac:dyDescent="0.3">
      <c r="D5846" t="str">
        <f t="shared" si="120"/>
        <v/>
      </c>
    </row>
    <row r="5847" spans="4:4" x14ac:dyDescent="0.3">
      <c r="D5847" t="str">
        <f t="shared" si="120"/>
        <v/>
      </c>
    </row>
    <row r="5848" spans="4:4" x14ac:dyDescent="0.3">
      <c r="D5848" t="str">
        <f t="shared" si="120"/>
        <v/>
      </c>
    </row>
    <row r="5849" spans="4:4" x14ac:dyDescent="0.3">
      <c r="D5849" t="str">
        <f t="shared" si="120"/>
        <v/>
      </c>
    </row>
    <row r="5850" spans="4:4" x14ac:dyDescent="0.3">
      <c r="D5850" t="str">
        <f t="shared" si="120"/>
        <v/>
      </c>
    </row>
    <row r="5851" spans="4:4" x14ac:dyDescent="0.3">
      <c r="D5851" t="str">
        <f t="shared" si="120"/>
        <v/>
      </c>
    </row>
    <row r="5852" spans="4:4" x14ac:dyDescent="0.3">
      <c r="D5852" t="str">
        <f t="shared" si="120"/>
        <v/>
      </c>
    </row>
    <row r="5853" spans="4:4" x14ac:dyDescent="0.3">
      <c r="D5853" t="str">
        <f t="shared" si="120"/>
        <v/>
      </c>
    </row>
    <row r="5854" spans="4:4" x14ac:dyDescent="0.3">
      <c r="D5854" t="str">
        <f t="shared" si="120"/>
        <v/>
      </c>
    </row>
    <row r="5855" spans="4:4" x14ac:dyDescent="0.3">
      <c r="D5855" t="str">
        <f t="shared" si="120"/>
        <v/>
      </c>
    </row>
    <row r="5856" spans="4:4" x14ac:dyDescent="0.3">
      <c r="D5856" t="str">
        <f t="shared" si="120"/>
        <v/>
      </c>
    </row>
    <row r="5857" spans="4:4" x14ac:dyDescent="0.3">
      <c r="D5857" t="str">
        <f t="shared" si="120"/>
        <v/>
      </c>
    </row>
    <row r="5858" spans="4:4" x14ac:dyDescent="0.3">
      <c r="D5858" t="str">
        <f t="shared" si="120"/>
        <v/>
      </c>
    </row>
    <row r="5859" spans="4:4" x14ac:dyDescent="0.3">
      <c r="D5859" t="str">
        <f t="shared" si="120"/>
        <v/>
      </c>
    </row>
    <row r="5860" spans="4:4" x14ac:dyDescent="0.3">
      <c r="D5860" t="str">
        <f t="shared" si="120"/>
        <v/>
      </c>
    </row>
    <row r="5861" spans="4:4" x14ac:dyDescent="0.3">
      <c r="D5861" t="str">
        <f t="shared" si="120"/>
        <v/>
      </c>
    </row>
    <row r="5862" spans="4:4" x14ac:dyDescent="0.3">
      <c r="D5862" t="str">
        <f t="shared" si="120"/>
        <v/>
      </c>
    </row>
    <row r="5863" spans="4:4" x14ac:dyDescent="0.3">
      <c r="D5863" t="str">
        <f t="shared" si="120"/>
        <v/>
      </c>
    </row>
    <row r="5864" spans="4:4" x14ac:dyDescent="0.3">
      <c r="D5864" t="str">
        <f t="shared" si="120"/>
        <v/>
      </c>
    </row>
    <row r="5865" spans="4:4" x14ac:dyDescent="0.3">
      <c r="D5865" t="str">
        <f t="shared" si="120"/>
        <v/>
      </c>
    </row>
    <row r="5866" spans="4:4" x14ac:dyDescent="0.3">
      <c r="D5866" t="str">
        <f t="shared" si="120"/>
        <v/>
      </c>
    </row>
    <row r="5867" spans="4:4" x14ac:dyDescent="0.3">
      <c r="D5867" t="str">
        <f t="shared" si="120"/>
        <v/>
      </c>
    </row>
    <row r="5868" spans="4:4" x14ac:dyDescent="0.3">
      <c r="D5868" t="str">
        <f t="shared" si="120"/>
        <v/>
      </c>
    </row>
    <row r="5869" spans="4:4" x14ac:dyDescent="0.3">
      <c r="D5869" t="str">
        <f t="shared" si="120"/>
        <v/>
      </c>
    </row>
    <row r="5870" spans="4:4" x14ac:dyDescent="0.3">
      <c r="D5870" t="str">
        <f t="shared" si="120"/>
        <v/>
      </c>
    </row>
    <row r="5871" spans="4:4" x14ac:dyDescent="0.3">
      <c r="D5871" t="str">
        <f t="shared" si="120"/>
        <v/>
      </c>
    </row>
    <row r="5872" spans="4:4" x14ac:dyDescent="0.3">
      <c r="D5872" t="str">
        <f t="shared" si="120"/>
        <v/>
      </c>
    </row>
    <row r="5873" spans="4:4" x14ac:dyDescent="0.3">
      <c r="D5873" t="str">
        <f t="shared" si="120"/>
        <v/>
      </c>
    </row>
    <row r="5874" spans="4:4" x14ac:dyDescent="0.3">
      <c r="D5874" t="str">
        <f t="shared" si="120"/>
        <v/>
      </c>
    </row>
    <row r="5875" spans="4:4" x14ac:dyDescent="0.3">
      <c r="D5875" t="str">
        <f t="shared" si="120"/>
        <v/>
      </c>
    </row>
    <row r="5876" spans="4:4" x14ac:dyDescent="0.3">
      <c r="D5876" t="str">
        <f t="shared" si="120"/>
        <v/>
      </c>
    </row>
    <row r="5877" spans="4:4" x14ac:dyDescent="0.3">
      <c r="D5877" t="str">
        <f t="shared" si="120"/>
        <v/>
      </c>
    </row>
    <row r="5878" spans="4:4" x14ac:dyDescent="0.3">
      <c r="D5878" t="str">
        <f t="shared" si="120"/>
        <v/>
      </c>
    </row>
    <row r="5879" spans="4:4" x14ac:dyDescent="0.3">
      <c r="D5879" t="str">
        <f t="shared" si="120"/>
        <v/>
      </c>
    </row>
    <row r="5880" spans="4:4" x14ac:dyDescent="0.3">
      <c r="D5880" t="str">
        <f t="shared" si="120"/>
        <v/>
      </c>
    </row>
    <row r="5881" spans="4:4" x14ac:dyDescent="0.3">
      <c r="D5881" t="str">
        <f t="shared" si="120"/>
        <v/>
      </c>
    </row>
    <row r="5882" spans="4:4" x14ac:dyDescent="0.3">
      <c r="D5882" t="str">
        <f t="shared" si="120"/>
        <v/>
      </c>
    </row>
    <row r="5883" spans="4:4" x14ac:dyDescent="0.3">
      <c r="D5883" t="str">
        <f t="shared" si="120"/>
        <v/>
      </c>
    </row>
    <row r="5884" spans="4:4" x14ac:dyDescent="0.3">
      <c r="D5884" t="str">
        <f t="shared" si="120"/>
        <v/>
      </c>
    </row>
    <row r="5885" spans="4:4" x14ac:dyDescent="0.3">
      <c r="D5885" t="str">
        <f t="shared" si="120"/>
        <v/>
      </c>
    </row>
    <row r="5886" spans="4:4" x14ac:dyDescent="0.3">
      <c r="D5886" t="str">
        <f t="shared" ref="D5886:D5949" si="121">IF(LEFT(A5886,2)="SP",MID(A5886,4,4),IF(LEFT(A5886,1)="X",MID(A5886,3,4),""))</f>
        <v/>
      </c>
    </row>
    <row r="5887" spans="4:4" x14ac:dyDescent="0.3">
      <c r="D5887" t="str">
        <f t="shared" si="121"/>
        <v/>
      </c>
    </row>
    <row r="5888" spans="4:4" x14ac:dyDescent="0.3">
      <c r="D5888" t="str">
        <f t="shared" si="121"/>
        <v/>
      </c>
    </row>
    <row r="5889" spans="4:4" x14ac:dyDescent="0.3">
      <c r="D5889" t="str">
        <f t="shared" si="121"/>
        <v/>
      </c>
    </row>
    <row r="5890" spans="4:4" x14ac:dyDescent="0.3">
      <c r="D5890" t="str">
        <f t="shared" si="121"/>
        <v/>
      </c>
    </row>
    <row r="5891" spans="4:4" x14ac:dyDescent="0.3">
      <c r="D5891" t="str">
        <f t="shared" si="121"/>
        <v/>
      </c>
    </row>
    <row r="5892" spans="4:4" x14ac:dyDescent="0.3">
      <c r="D5892" t="str">
        <f t="shared" si="121"/>
        <v/>
      </c>
    </row>
    <row r="5893" spans="4:4" x14ac:dyDescent="0.3">
      <c r="D5893" t="str">
        <f t="shared" si="121"/>
        <v/>
      </c>
    </row>
    <row r="5894" spans="4:4" x14ac:dyDescent="0.3">
      <c r="D5894" t="str">
        <f t="shared" si="121"/>
        <v/>
      </c>
    </row>
    <row r="5895" spans="4:4" x14ac:dyDescent="0.3">
      <c r="D5895" t="str">
        <f t="shared" si="121"/>
        <v/>
      </c>
    </row>
    <row r="5896" spans="4:4" x14ac:dyDescent="0.3">
      <c r="D5896" t="str">
        <f t="shared" si="121"/>
        <v/>
      </c>
    </row>
    <row r="5897" spans="4:4" x14ac:dyDescent="0.3">
      <c r="D5897" t="str">
        <f t="shared" si="121"/>
        <v/>
      </c>
    </row>
    <row r="5898" spans="4:4" x14ac:dyDescent="0.3">
      <c r="D5898" t="str">
        <f t="shared" si="121"/>
        <v/>
      </c>
    </row>
    <row r="5899" spans="4:4" x14ac:dyDescent="0.3">
      <c r="D5899" t="str">
        <f t="shared" si="121"/>
        <v/>
      </c>
    </row>
    <row r="5900" spans="4:4" x14ac:dyDescent="0.3">
      <c r="D5900" t="str">
        <f t="shared" si="121"/>
        <v/>
      </c>
    </row>
    <row r="5901" spans="4:4" x14ac:dyDescent="0.3">
      <c r="D5901" t="str">
        <f t="shared" si="121"/>
        <v/>
      </c>
    </row>
    <row r="5902" spans="4:4" x14ac:dyDescent="0.3">
      <c r="D5902" t="str">
        <f t="shared" si="121"/>
        <v/>
      </c>
    </row>
    <row r="5903" spans="4:4" x14ac:dyDescent="0.3">
      <c r="D5903" t="str">
        <f t="shared" si="121"/>
        <v/>
      </c>
    </row>
    <row r="5904" spans="4:4" x14ac:dyDescent="0.3">
      <c r="D5904" t="str">
        <f t="shared" si="121"/>
        <v/>
      </c>
    </row>
    <row r="5905" spans="4:4" x14ac:dyDescent="0.3">
      <c r="D5905" t="str">
        <f t="shared" si="121"/>
        <v/>
      </c>
    </row>
    <row r="5906" spans="4:4" x14ac:dyDescent="0.3">
      <c r="D5906" t="str">
        <f t="shared" si="121"/>
        <v/>
      </c>
    </row>
    <row r="5907" spans="4:4" x14ac:dyDescent="0.3">
      <c r="D5907" t="str">
        <f t="shared" si="121"/>
        <v/>
      </c>
    </row>
    <row r="5908" spans="4:4" x14ac:dyDescent="0.3">
      <c r="D5908" t="str">
        <f t="shared" si="121"/>
        <v/>
      </c>
    </row>
    <row r="5909" spans="4:4" x14ac:dyDescent="0.3">
      <c r="D5909" t="str">
        <f t="shared" si="121"/>
        <v/>
      </c>
    </row>
    <row r="5910" spans="4:4" x14ac:dyDescent="0.3">
      <c r="D5910" t="str">
        <f t="shared" si="121"/>
        <v/>
      </c>
    </row>
    <row r="5911" spans="4:4" x14ac:dyDescent="0.3">
      <c r="D5911" t="str">
        <f t="shared" si="121"/>
        <v/>
      </c>
    </row>
    <row r="5912" spans="4:4" x14ac:dyDescent="0.3">
      <c r="D5912" t="str">
        <f t="shared" si="121"/>
        <v/>
      </c>
    </row>
    <row r="5913" spans="4:4" x14ac:dyDescent="0.3">
      <c r="D5913" t="str">
        <f t="shared" si="121"/>
        <v/>
      </c>
    </row>
    <row r="5914" spans="4:4" x14ac:dyDescent="0.3">
      <c r="D5914" t="str">
        <f t="shared" si="121"/>
        <v/>
      </c>
    </row>
    <row r="5915" spans="4:4" x14ac:dyDescent="0.3">
      <c r="D5915" t="str">
        <f t="shared" si="121"/>
        <v/>
      </c>
    </row>
    <row r="5916" spans="4:4" x14ac:dyDescent="0.3">
      <c r="D5916" t="str">
        <f t="shared" si="121"/>
        <v/>
      </c>
    </row>
    <row r="5917" spans="4:4" x14ac:dyDescent="0.3">
      <c r="D5917" t="str">
        <f t="shared" si="121"/>
        <v/>
      </c>
    </row>
    <row r="5918" spans="4:4" x14ac:dyDescent="0.3">
      <c r="D5918" t="str">
        <f t="shared" si="121"/>
        <v/>
      </c>
    </row>
    <row r="5919" spans="4:4" x14ac:dyDescent="0.3">
      <c r="D5919" t="str">
        <f t="shared" si="121"/>
        <v/>
      </c>
    </row>
    <row r="5920" spans="4:4" x14ac:dyDescent="0.3">
      <c r="D5920" t="str">
        <f t="shared" si="121"/>
        <v/>
      </c>
    </row>
    <row r="5921" spans="4:4" x14ac:dyDescent="0.3">
      <c r="D5921" t="str">
        <f t="shared" si="121"/>
        <v/>
      </c>
    </row>
    <row r="5922" spans="4:4" x14ac:dyDescent="0.3">
      <c r="D5922" t="str">
        <f t="shared" si="121"/>
        <v/>
      </c>
    </row>
    <row r="5923" spans="4:4" x14ac:dyDescent="0.3">
      <c r="D5923" t="str">
        <f t="shared" si="121"/>
        <v/>
      </c>
    </row>
    <row r="5924" spans="4:4" x14ac:dyDescent="0.3">
      <c r="D5924" t="str">
        <f t="shared" si="121"/>
        <v/>
      </c>
    </row>
    <row r="5925" spans="4:4" x14ac:dyDescent="0.3">
      <c r="D5925" t="str">
        <f t="shared" si="121"/>
        <v/>
      </c>
    </row>
    <row r="5926" spans="4:4" x14ac:dyDescent="0.3">
      <c r="D5926" t="str">
        <f t="shared" si="121"/>
        <v/>
      </c>
    </row>
    <row r="5927" spans="4:4" x14ac:dyDescent="0.3">
      <c r="D5927" t="str">
        <f t="shared" si="121"/>
        <v/>
      </c>
    </row>
    <row r="5928" spans="4:4" x14ac:dyDescent="0.3">
      <c r="D5928" t="str">
        <f t="shared" si="121"/>
        <v/>
      </c>
    </row>
    <row r="5929" spans="4:4" x14ac:dyDescent="0.3">
      <c r="D5929" t="str">
        <f t="shared" si="121"/>
        <v/>
      </c>
    </row>
    <row r="5930" spans="4:4" x14ac:dyDescent="0.3">
      <c r="D5930" t="str">
        <f t="shared" si="121"/>
        <v/>
      </c>
    </row>
    <row r="5931" spans="4:4" x14ac:dyDescent="0.3">
      <c r="D5931" t="str">
        <f t="shared" si="121"/>
        <v/>
      </c>
    </row>
    <row r="5932" spans="4:4" x14ac:dyDescent="0.3">
      <c r="D5932" t="str">
        <f t="shared" si="121"/>
        <v/>
      </c>
    </row>
    <row r="5933" spans="4:4" x14ac:dyDescent="0.3">
      <c r="D5933" t="str">
        <f t="shared" si="121"/>
        <v/>
      </c>
    </row>
    <row r="5934" spans="4:4" x14ac:dyDescent="0.3">
      <c r="D5934" t="str">
        <f t="shared" si="121"/>
        <v/>
      </c>
    </row>
    <row r="5935" spans="4:4" x14ac:dyDescent="0.3">
      <c r="D5935" t="str">
        <f t="shared" si="121"/>
        <v/>
      </c>
    </row>
    <row r="5936" spans="4:4" x14ac:dyDescent="0.3">
      <c r="D5936" t="str">
        <f t="shared" si="121"/>
        <v/>
      </c>
    </row>
    <row r="5937" spans="4:4" x14ac:dyDescent="0.3">
      <c r="D5937" t="str">
        <f t="shared" si="121"/>
        <v/>
      </c>
    </row>
    <row r="5938" spans="4:4" x14ac:dyDescent="0.3">
      <c r="D5938" t="str">
        <f t="shared" si="121"/>
        <v/>
      </c>
    </row>
    <row r="5939" spans="4:4" x14ac:dyDescent="0.3">
      <c r="D5939" t="str">
        <f t="shared" si="121"/>
        <v/>
      </c>
    </row>
    <row r="5940" spans="4:4" x14ac:dyDescent="0.3">
      <c r="D5940" t="str">
        <f t="shared" si="121"/>
        <v/>
      </c>
    </row>
    <row r="5941" spans="4:4" x14ac:dyDescent="0.3">
      <c r="D5941" t="str">
        <f t="shared" si="121"/>
        <v/>
      </c>
    </row>
    <row r="5942" spans="4:4" x14ac:dyDescent="0.3">
      <c r="D5942" t="str">
        <f t="shared" si="121"/>
        <v/>
      </c>
    </row>
    <row r="5943" spans="4:4" x14ac:dyDescent="0.3">
      <c r="D5943" t="str">
        <f t="shared" si="121"/>
        <v/>
      </c>
    </row>
    <row r="5944" spans="4:4" x14ac:dyDescent="0.3">
      <c r="D5944" t="str">
        <f t="shared" si="121"/>
        <v/>
      </c>
    </row>
    <row r="5945" spans="4:4" x14ac:dyDescent="0.3">
      <c r="D5945" t="str">
        <f t="shared" si="121"/>
        <v/>
      </c>
    </row>
    <row r="5946" spans="4:4" x14ac:dyDescent="0.3">
      <c r="D5946" t="str">
        <f t="shared" si="121"/>
        <v/>
      </c>
    </row>
    <row r="5947" spans="4:4" x14ac:dyDescent="0.3">
      <c r="D5947" t="str">
        <f t="shared" si="121"/>
        <v/>
      </c>
    </row>
    <row r="5948" spans="4:4" x14ac:dyDescent="0.3">
      <c r="D5948" t="str">
        <f t="shared" si="121"/>
        <v/>
      </c>
    </row>
    <row r="5949" spans="4:4" x14ac:dyDescent="0.3">
      <c r="D5949" t="str">
        <f t="shared" si="121"/>
        <v/>
      </c>
    </row>
    <row r="5950" spans="4:4" x14ac:dyDescent="0.3">
      <c r="D5950" t="str">
        <f t="shared" ref="D5950:D6013" si="122">IF(LEFT(A5950,2)="SP",MID(A5950,4,4),IF(LEFT(A5950,1)="X",MID(A5950,3,4),""))</f>
        <v/>
      </c>
    </row>
    <row r="5951" spans="4:4" x14ac:dyDescent="0.3">
      <c r="D5951" t="str">
        <f t="shared" si="122"/>
        <v/>
      </c>
    </row>
    <row r="5952" spans="4:4" x14ac:dyDescent="0.3">
      <c r="D5952" t="str">
        <f t="shared" si="122"/>
        <v/>
      </c>
    </row>
    <row r="5953" spans="4:4" x14ac:dyDescent="0.3">
      <c r="D5953" t="str">
        <f t="shared" si="122"/>
        <v/>
      </c>
    </row>
    <row r="5954" spans="4:4" x14ac:dyDescent="0.3">
      <c r="D5954" t="str">
        <f t="shared" si="122"/>
        <v/>
      </c>
    </row>
    <row r="5955" spans="4:4" x14ac:dyDescent="0.3">
      <c r="D5955" t="str">
        <f t="shared" si="122"/>
        <v/>
      </c>
    </row>
    <row r="5956" spans="4:4" x14ac:dyDescent="0.3">
      <c r="D5956" t="str">
        <f t="shared" si="122"/>
        <v/>
      </c>
    </row>
    <row r="5957" spans="4:4" x14ac:dyDescent="0.3">
      <c r="D5957" t="str">
        <f t="shared" si="122"/>
        <v/>
      </c>
    </row>
    <row r="5958" spans="4:4" x14ac:dyDescent="0.3">
      <c r="D5958" t="str">
        <f t="shared" si="122"/>
        <v/>
      </c>
    </row>
    <row r="5959" spans="4:4" x14ac:dyDescent="0.3">
      <c r="D5959" t="str">
        <f t="shared" si="122"/>
        <v/>
      </c>
    </row>
    <row r="5960" spans="4:4" x14ac:dyDescent="0.3">
      <c r="D5960" t="str">
        <f t="shared" si="122"/>
        <v/>
      </c>
    </row>
    <row r="5961" spans="4:4" x14ac:dyDescent="0.3">
      <c r="D5961" t="str">
        <f t="shared" si="122"/>
        <v/>
      </c>
    </row>
    <row r="5962" spans="4:4" x14ac:dyDescent="0.3">
      <c r="D5962" t="str">
        <f t="shared" si="122"/>
        <v/>
      </c>
    </row>
    <row r="5963" spans="4:4" x14ac:dyDescent="0.3">
      <c r="D5963" t="str">
        <f t="shared" si="122"/>
        <v/>
      </c>
    </row>
    <row r="5964" spans="4:4" x14ac:dyDescent="0.3">
      <c r="D5964" t="str">
        <f t="shared" si="122"/>
        <v/>
      </c>
    </row>
    <row r="5965" spans="4:4" x14ac:dyDescent="0.3">
      <c r="D5965" t="str">
        <f t="shared" si="122"/>
        <v/>
      </c>
    </row>
    <row r="5966" spans="4:4" x14ac:dyDescent="0.3">
      <c r="D5966" t="str">
        <f t="shared" si="122"/>
        <v/>
      </c>
    </row>
    <row r="5967" spans="4:4" x14ac:dyDescent="0.3">
      <c r="D5967" t="str">
        <f t="shared" si="122"/>
        <v/>
      </c>
    </row>
    <row r="5968" spans="4:4" x14ac:dyDescent="0.3">
      <c r="D5968" t="str">
        <f t="shared" si="122"/>
        <v/>
      </c>
    </row>
    <row r="5969" spans="4:4" x14ac:dyDescent="0.3">
      <c r="D5969" t="str">
        <f t="shared" si="122"/>
        <v/>
      </c>
    </row>
    <row r="5970" spans="4:4" x14ac:dyDescent="0.3">
      <c r="D5970" t="str">
        <f t="shared" si="122"/>
        <v/>
      </c>
    </row>
    <row r="5971" spans="4:4" x14ac:dyDescent="0.3">
      <c r="D5971" t="str">
        <f t="shared" si="122"/>
        <v/>
      </c>
    </row>
    <row r="5972" spans="4:4" x14ac:dyDescent="0.3">
      <c r="D5972" t="str">
        <f t="shared" si="122"/>
        <v/>
      </c>
    </row>
    <row r="5973" spans="4:4" x14ac:dyDescent="0.3">
      <c r="D5973" t="str">
        <f t="shared" si="122"/>
        <v/>
      </c>
    </row>
    <row r="5974" spans="4:4" x14ac:dyDescent="0.3">
      <c r="D5974" t="str">
        <f t="shared" si="122"/>
        <v/>
      </c>
    </row>
    <row r="5975" spans="4:4" x14ac:dyDescent="0.3">
      <c r="D5975" t="str">
        <f t="shared" si="122"/>
        <v/>
      </c>
    </row>
    <row r="5976" spans="4:4" x14ac:dyDescent="0.3">
      <c r="D5976" t="str">
        <f t="shared" si="122"/>
        <v/>
      </c>
    </row>
    <row r="5977" spans="4:4" x14ac:dyDescent="0.3">
      <c r="D5977" t="str">
        <f t="shared" si="122"/>
        <v/>
      </c>
    </row>
    <row r="5978" spans="4:4" x14ac:dyDescent="0.3">
      <c r="D5978" t="str">
        <f t="shared" si="122"/>
        <v/>
      </c>
    </row>
    <row r="5979" spans="4:4" x14ac:dyDescent="0.3">
      <c r="D5979" t="str">
        <f t="shared" si="122"/>
        <v/>
      </c>
    </row>
    <row r="5980" spans="4:4" x14ac:dyDescent="0.3">
      <c r="D5980" t="str">
        <f t="shared" si="122"/>
        <v/>
      </c>
    </row>
    <row r="5981" spans="4:4" x14ac:dyDescent="0.3">
      <c r="D5981" t="str">
        <f t="shared" si="122"/>
        <v/>
      </c>
    </row>
    <row r="5982" spans="4:4" x14ac:dyDescent="0.3">
      <c r="D5982" t="str">
        <f t="shared" si="122"/>
        <v/>
      </c>
    </row>
    <row r="5983" spans="4:4" x14ac:dyDescent="0.3">
      <c r="D5983" t="str">
        <f t="shared" si="122"/>
        <v/>
      </c>
    </row>
    <row r="5984" spans="4:4" x14ac:dyDescent="0.3">
      <c r="D5984" t="str">
        <f t="shared" si="122"/>
        <v/>
      </c>
    </row>
    <row r="5985" spans="4:4" x14ac:dyDescent="0.3">
      <c r="D5985" t="str">
        <f t="shared" si="122"/>
        <v/>
      </c>
    </row>
    <row r="5986" spans="4:4" x14ac:dyDescent="0.3">
      <c r="D5986" t="str">
        <f t="shared" si="122"/>
        <v/>
      </c>
    </row>
    <row r="5987" spans="4:4" x14ac:dyDescent="0.3">
      <c r="D5987" t="str">
        <f t="shared" si="122"/>
        <v/>
      </c>
    </row>
    <row r="5988" spans="4:4" x14ac:dyDescent="0.3">
      <c r="D5988" t="str">
        <f t="shared" si="122"/>
        <v/>
      </c>
    </row>
    <row r="5989" spans="4:4" x14ac:dyDescent="0.3">
      <c r="D5989" t="str">
        <f t="shared" si="122"/>
        <v/>
      </c>
    </row>
    <row r="5990" spans="4:4" x14ac:dyDescent="0.3">
      <c r="D5990" t="str">
        <f t="shared" si="122"/>
        <v/>
      </c>
    </row>
    <row r="5991" spans="4:4" x14ac:dyDescent="0.3">
      <c r="D5991" t="str">
        <f t="shared" si="122"/>
        <v/>
      </c>
    </row>
    <row r="5992" spans="4:4" x14ac:dyDescent="0.3">
      <c r="D5992" t="str">
        <f t="shared" si="122"/>
        <v/>
      </c>
    </row>
    <row r="5993" spans="4:4" x14ac:dyDescent="0.3">
      <c r="D5993" t="str">
        <f t="shared" si="122"/>
        <v/>
      </c>
    </row>
    <row r="5994" spans="4:4" x14ac:dyDescent="0.3">
      <c r="D5994" t="str">
        <f t="shared" si="122"/>
        <v/>
      </c>
    </row>
    <row r="5995" spans="4:4" x14ac:dyDescent="0.3">
      <c r="D5995" t="str">
        <f t="shared" si="122"/>
        <v/>
      </c>
    </row>
    <row r="5996" spans="4:4" x14ac:dyDescent="0.3">
      <c r="D5996" t="str">
        <f t="shared" si="122"/>
        <v/>
      </c>
    </row>
    <row r="5997" spans="4:4" x14ac:dyDescent="0.3">
      <c r="D5997" t="str">
        <f t="shared" si="122"/>
        <v/>
      </c>
    </row>
    <row r="5998" spans="4:4" x14ac:dyDescent="0.3">
      <c r="D5998" t="str">
        <f t="shared" si="122"/>
        <v/>
      </c>
    </row>
    <row r="5999" spans="4:4" x14ac:dyDescent="0.3">
      <c r="D5999" t="str">
        <f t="shared" si="122"/>
        <v/>
      </c>
    </row>
    <row r="6000" spans="4:4" x14ac:dyDescent="0.3">
      <c r="D6000" t="str">
        <f t="shared" si="122"/>
        <v/>
      </c>
    </row>
    <row r="6001" spans="4:4" x14ac:dyDescent="0.3">
      <c r="D6001" t="str">
        <f t="shared" si="122"/>
        <v/>
      </c>
    </row>
    <row r="6002" spans="4:4" x14ac:dyDescent="0.3">
      <c r="D6002" t="str">
        <f t="shared" si="122"/>
        <v/>
      </c>
    </row>
    <row r="6003" spans="4:4" x14ac:dyDescent="0.3">
      <c r="D6003" t="str">
        <f t="shared" si="122"/>
        <v/>
      </c>
    </row>
    <row r="6004" spans="4:4" x14ac:dyDescent="0.3">
      <c r="D6004" t="str">
        <f t="shared" si="122"/>
        <v/>
      </c>
    </row>
    <row r="6005" spans="4:4" x14ac:dyDescent="0.3">
      <c r="D6005" t="str">
        <f t="shared" si="122"/>
        <v/>
      </c>
    </row>
    <row r="6006" spans="4:4" x14ac:dyDescent="0.3">
      <c r="D6006" t="str">
        <f t="shared" si="122"/>
        <v/>
      </c>
    </row>
    <row r="6007" spans="4:4" x14ac:dyDescent="0.3">
      <c r="D6007" t="str">
        <f t="shared" si="122"/>
        <v/>
      </c>
    </row>
    <row r="6008" spans="4:4" x14ac:dyDescent="0.3">
      <c r="D6008" t="str">
        <f t="shared" si="122"/>
        <v/>
      </c>
    </row>
    <row r="6009" spans="4:4" x14ac:dyDescent="0.3">
      <c r="D6009" t="str">
        <f t="shared" si="122"/>
        <v/>
      </c>
    </row>
    <row r="6010" spans="4:4" x14ac:dyDescent="0.3">
      <c r="D6010" t="str">
        <f t="shared" si="122"/>
        <v/>
      </c>
    </row>
    <row r="6011" spans="4:4" x14ac:dyDescent="0.3">
      <c r="D6011" t="str">
        <f t="shared" si="122"/>
        <v/>
      </c>
    </row>
    <row r="6012" spans="4:4" x14ac:dyDescent="0.3">
      <c r="D6012" t="str">
        <f t="shared" si="122"/>
        <v/>
      </c>
    </row>
    <row r="6013" spans="4:4" x14ac:dyDescent="0.3">
      <c r="D6013" t="str">
        <f t="shared" si="122"/>
        <v/>
      </c>
    </row>
    <row r="6014" spans="4:4" x14ac:dyDescent="0.3">
      <c r="D6014" t="str">
        <f t="shared" ref="D6014:D6077" si="123">IF(LEFT(A6014,2)="SP",MID(A6014,4,4),IF(LEFT(A6014,1)="X",MID(A6014,3,4),""))</f>
        <v/>
      </c>
    </row>
    <row r="6015" spans="4:4" x14ac:dyDescent="0.3">
      <c r="D6015" t="str">
        <f t="shared" si="123"/>
        <v/>
      </c>
    </row>
    <row r="6016" spans="4:4" x14ac:dyDescent="0.3">
      <c r="D6016" t="str">
        <f t="shared" si="123"/>
        <v/>
      </c>
    </row>
    <row r="6017" spans="4:4" x14ac:dyDescent="0.3">
      <c r="D6017" t="str">
        <f t="shared" si="123"/>
        <v/>
      </c>
    </row>
    <row r="6018" spans="4:4" x14ac:dyDescent="0.3">
      <c r="D6018" t="str">
        <f t="shared" si="123"/>
        <v/>
      </c>
    </row>
    <row r="6019" spans="4:4" x14ac:dyDescent="0.3">
      <c r="D6019" t="str">
        <f t="shared" si="123"/>
        <v/>
      </c>
    </row>
    <row r="6020" spans="4:4" x14ac:dyDescent="0.3">
      <c r="D6020" t="str">
        <f t="shared" si="123"/>
        <v/>
      </c>
    </row>
    <row r="6021" spans="4:4" x14ac:dyDescent="0.3">
      <c r="D6021" t="str">
        <f t="shared" si="123"/>
        <v/>
      </c>
    </row>
    <row r="6022" spans="4:4" x14ac:dyDescent="0.3">
      <c r="D6022" t="str">
        <f t="shared" si="123"/>
        <v/>
      </c>
    </row>
    <row r="6023" spans="4:4" x14ac:dyDescent="0.3">
      <c r="D6023" t="str">
        <f t="shared" si="123"/>
        <v/>
      </c>
    </row>
    <row r="6024" spans="4:4" x14ac:dyDescent="0.3">
      <c r="D6024" t="str">
        <f t="shared" si="123"/>
        <v/>
      </c>
    </row>
    <row r="6025" spans="4:4" x14ac:dyDescent="0.3">
      <c r="D6025" t="str">
        <f t="shared" si="123"/>
        <v/>
      </c>
    </row>
    <row r="6026" spans="4:4" x14ac:dyDescent="0.3">
      <c r="D6026" t="str">
        <f t="shared" si="123"/>
        <v/>
      </c>
    </row>
    <row r="6027" spans="4:4" x14ac:dyDescent="0.3">
      <c r="D6027" t="str">
        <f t="shared" si="123"/>
        <v/>
      </c>
    </row>
    <row r="6028" spans="4:4" x14ac:dyDescent="0.3">
      <c r="D6028" t="str">
        <f t="shared" si="123"/>
        <v/>
      </c>
    </row>
    <row r="6029" spans="4:4" x14ac:dyDescent="0.3">
      <c r="D6029" t="str">
        <f t="shared" si="123"/>
        <v/>
      </c>
    </row>
    <row r="6030" spans="4:4" x14ac:dyDescent="0.3">
      <c r="D6030" t="str">
        <f t="shared" si="123"/>
        <v/>
      </c>
    </row>
    <row r="6031" spans="4:4" x14ac:dyDescent="0.3">
      <c r="D6031" t="str">
        <f t="shared" si="123"/>
        <v/>
      </c>
    </row>
    <row r="6032" spans="4:4" x14ac:dyDescent="0.3">
      <c r="D6032" t="str">
        <f t="shared" si="123"/>
        <v/>
      </c>
    </row>
    <row r="6033" spans="4:4" x14ac:dyDescent="0.3">
      <c r="D6033" t="str">
        <f t="shared" si="123"/>
        <v/>
      </c>
    </row>
    <row r="6034" spans="4:4" x14ac:dyDescent="0.3">
      <c r="D6034" t="str">
        <f t="shared" si="123"/>
        <v/>
      </c>
    </row>
    <row r="6035" spans="4:4" x14ac:dyDescent="0.3">
      <c r="D6035" t="str">
        <f t="shared" si="123"/>
        <v/>
      </c>
    </row>
    <row r="6036" spans="4:4" x14ac:dyDescent="0.3">
      <c r="D6036" t="str">
        <f t="shared" si="123"/>
        <v/>
      </c>
    </row>
    <row r="6037" spans="4:4" x14ac:dyDescent="0.3">
      <c r="D6037" t="str">
        <f t="shared" si="123"/>
        <v/>
      </c>
    </row>
    <row r="6038" spans="4:4" x14ac:dyDescent="0.3">
      <c r="D6038" t="str">
        <f t="shared" si="123"/>
        <v/>
      </c>
    </row>
    <row r="6039" spans="4:4" x14ac:dyDescent="0.3">
      <c r="D6039" t="str">
        <f t="shared" si="123"/>
        <v/>
      </c>
    </row>
    <row r="6040" spans="4:4" x14ac:dyDescent="0.3">
      <c r="D6040" t="str">
        <f t="shared" si="123"/>
        <v/>
      </c>
    </row>
    <row r="6041" spans="4:4" x14ac:dyDescent="0.3">
      <c r="D6041" t="str">
        <f t="shared" si="123"/>
        <v/>
      </c>
    </row>
    <row r="6042" spans="4:4" x14ac:dyDescent="0.3">
      <c r="D6042" t="str">
        <f t="shared" si="123"/>
        <v/>
      </c>
    </row>
    <row r="6043" spans="4:4" x14ac:dyDescent="0.3">
      <c r="D6043" t="str">
        <f t="shared" si="123"/>
        <v/>
      </c>
    </row>
    <row r="6044" spans="4:4" x14ac:dyDescent="0.3">
      <c r="D6044" t="str">
        <f t="shared" si="123"/>
        <v/>
      </c>
    </row>
    <row r="6045" spans="4:4" x14ac:dyDescent="0.3">
      <c r="D6045" t="str">
        <f t="shared" si="123"/>
        <v/>
      </c>
    </row>
    <row r="6046" spans="4:4" x14ac:dyDescent="0.3">
      <c r="D6046" t="str">
        <f t="shared" si="123"/>
        <v/>
      </c>
    </row>
    <row r="6047" spans="4:4" x14ac:dyDescent="0.3">
      <c r="D6047" t="str">
        <f t="shared" si="123"/>
        <v/>
      </c>
    </row>
    <row r="6048" spans="4:4" x14ac:dyDescent="0.3">
      <c r="D6048" t="str">
        <f t="shared" si="123"/>
        <v/>
      </c>
    </row>
    <row r="6049" spans="4:4" x14ac:dyDescent="0.3">
      <c r="D6049" t="str">
        <f t="shared" si="123"/>
        <v/>
      </c>
    </row>
    <row r="6050" spans="4:4" x14ac:dyDescent="0.3">
      <c r="D6050" t="str">
        <f t="shared" si="123"/>
        <v/>
      </c>
    </row>
    <row r="6051" spans="4:4" x14ac:dyDescent="0.3">
      <c r="D6051" t="str">
        <f t="shared" si="123"/>
        <v/>
      </c>
    </row>
    <row r="6052" spans="4:4" x14ac:dyDescent="0.3">
      <c r="D6052" t="str">
        <f t="shared" si="123"/>
        <v/>
      </c>
    </row>
    <row r="6053" spans="4:4" x14ac:dyDescent="0.3">
      <c r="D6053" t="str">
        <f t="shared" si="123"/>
        <v/>
      </c>
    </row>
    <row r="6054" spans="4:4" x14ac:dyDescent="0.3">
      <c r="D6054" t="str">
        <f t="shared" si="123"/>
        <v/>
      </c>
    </row>
    <row r="6055" spans="4:4" x14ac:dyDescent="0.3">
      <c r="D6055" t="str">
        <f t="shared" si="123"/>
        <v/>
      </c>
    </row>
    <row r="6056" spans="4:4" x14ac:dyDescent="0.3">
      <c r="D6056" t="str">
        <f t="shared" si="123"/>
        <v/>
      </c>
    </row>
    <row r="6057" spans="4:4" x14ac:dyDescent="0.3">
      <c r="D6057" t="str">
        <f t="shared" si="123"/>
        <v/>
      </c>
    </row>
    <row r="6058" spans="4:4" x14ac:dyDescent="0.3">
      <c r="D6058" t="str">
        <f t="shared" si="123"/>
        <v/>
      </c>
    </row>
    <row r="6059" spans="4:4" x14ac:dyDescent="0.3">
      <c r="D6059" t="str">
        <f t="shared" si="123"/>
        <v/>
      </c>
    </row>
    <row r="6060" spans="4:4" x14ac:dyDescent="0.3">
      <c r="D6060" t="str">
        <f t="shared" si="123"/>
        <v/>
      </c>
    </row>
    <row r="6061" spans="4:4" x14ac:dyDescent="0.3">
      <c r="D6061" t="str">
        <f t="shared" si="123"/>
        <v/>
      </c>
    </row>
    <row r="6062" spans="4:4" x14ac:dyDescent="0.3">
      <c r="D6062" t="str">
        <f t="shared" si="123"/>
        <v/>
      </c>
    </row>
    <row r="6063" spans="4:4" x14ac:dyDescent="0.3">
      <c r="D6063" t="str">
        <f t="shared" si="123"/>
        <v/>
      </c>
    </row>
    <row r="6064" spans="4:4" x14ac:dyDescent="0.3">
      <c r="D6064" t="str">
        <f t="shared" si="123"/>
        <v/>
      </c>
    </row>
    <row r="6065" spans="4:4" x14ac:dyDescent="0.3">
      <c r="D6065" t="str">
        <f t="shared" si="123"/>
        <v/>
      </c>
    </row>
    <row r="6066" spans="4:4" x14ac:dyDescent="0.3">
      <c r="D6066" t="str">
        <f t="shared" si="123"/>
        <v/>
      </c>
    </row>
    <row r="6067" spans="4:4" x14ac:dyDescent="0.3">
      <c r="D6067" t="str">
        <f t="shared" si="123"/>
        <v/>
      </c>
    </row>
    <row r="6068" spans="4:4" x14ac:dyDescent="0.3">
      <c r="D6068" t="str">
        <f t="shared" si="123"/>
        <v/>
      </c>
    </row>
    <row r="6069" spans="4:4" x14ac:dyDescent="0.3">
      <c r="D6069" t="str">
        <f t="shared" si="123"/>
        <v/>
      </c>
    </row>
    <row r="6070" spans="4:4" x14ac:dyDescent="0.3">
      <c r="D6070" t="str">
        <f t="shared" si="123"/>
        <v/>
      </c>
    </row>
    <row r="6071" spans="4:4" x14ac:dyDescent="0.3">
      <c r="D6071" t="str">
        <f t="shared" si="123"/>
        <v/>
      </c>
    </row>
    <row r="6072" spans="4:4" x14ac:dyDescent="0.3">
      <c r="D6072" t="str">
        <f t="shared" si="123"/>
        <v/>
      </c>
    </row>
    <row r="6073" spans="4:4" x14ac:dyDescent="0.3">
      <c r="D6073" t="str">
        <f t="shared" si="123"/>
        <v/>
      </c>
    </row>
    <row r="6074" spans="4:4" x14ac:dyDescent="0.3">
      <c r="D6074" t="str">
        <f t="shared" si="123"/>
        <v/>
      </c>
    </row>
    <row r="6075" spans="4:4" x14ac:dyDescent="0.3">
      <c r="D6075" t="str">
        <f t="shared" si="123"/>
        <v/>
      </c>
    </row>
    <row r="6076" spans="4:4" x14ac:dyDescent="0.3">
      <c r="D6076" t="str">
        <f t="shared" si="123"/>
        <v/>
      </c>
    </row>
    <row r="6077" spans="4:4" x14ac:dyDescent="0.3">
      <c r="D6077" t="str">
        <f t="shared" si="123"/>
        <v/>
      </c>
    </row>
    <row r="6078" spans="4:4" x14ac:dyDescent="0.3">
      <c r="D6078" t="str">
        <f t="shared" ref="D6078:D6141" si="124">IF(LEFT(A6078,2)="SP",MID(A6078,4,4),IF(LEFT(A6078,1)="X",MID(A6078,3,4),""))</f>
        <v/>
      </c>
    </row>
    <row r="6079" spans="4:4" x14ac:dyDescent="0.3">
      <c r="D6079" t="str">
        <f t="shared" si="124"/>
        <v/>
      </c>
    </row>
    <row r="6080" spans="4:4" x14ac:dyDescent="0.3">
      <c r="D6080" t="str">
        <f t="shared" si="124"/>
        <v/>
      </c>
    </row>
    <row r="6081" spans="4:4" x14ac:dyDescent="0.3">
      <c r="D6081" t="str">
        <f t="shared" si="124"/>
        <v/>
      </c>
    </row>
    <row r="6082" spans="4:4" x14ac:dyDescent="0.3">
      <c r="D6082" t="str">
        <f t="shared" si="124"/>
        <v/>
      </c>
    </row>
    <row r="6083" spans="4:4" x14ac:dyDescent="0.3">
      <c r="D6083" t="str">
        <f t="shared" si="124"/>
        <v/>
      </c>
    </row>
    <row r="6084" spans="4:4" x14ac:dyDescent="0.3">
      <c r="D6084" t="str">
        <f t="shared" si="124"/>
        <v/>
      </c>
    </row>
    <row r="6085" spans="4:4" x14ac:dyDescent="0.3">
      <c r="D6085" t="str">
        <f t="shared" si="124"/>
        <v/>
      </c>
    </row>
    <row r="6086" spans="4:4" x14ac:dyDescent="0.3">
      <c r="D6086" t="str">
        <f t="shared" si="124"/>
        <v/>
      </c>
    </row>
    <row r="6087" spans="4:4" x14ac:dyDescent="0.3">
      <c r="D6087" t="str">
        <f t="shared" si="124"/>
        <v/>
      </c>
    </row>
    <row r="6088" spans="4:4" x14ac:dyDescent="0.3">
      <c r="D6088" t="str">
        <f t="shared" si="124"/>
        <v/>
      </c>
    </row>
    <row r="6089" spans="4:4" x14ac:dyDescent="0.3">
      <c r="D6089" t="str">
        <f t="shared" si="124"/>
        <v/>
      </c>
    </row>
    <row r="6090" spans="4:4" x14ac:dyDescent="0.3">
      <c r="D6090" t="str">
        <f t="shared" si="124"/>
        <v/>
      </c>
    </row>
    <row r="6091" spans="4:4" x14ac:dyDescent="0.3">
      <c r="D6091" t="str">
        <f t="shared" si="124"/>
        <v/>
      </c>
    </row>
    <row r="6092" spans="4:4" x14ac:dyDescent="0.3">
      <c r="D6092" t="str">
        <f t="shared" si="124"/>
        <v/>
      </c>
    </row>
    <row r="6093" spans="4:4" x14ac:dyDescent="0.3">
      <c r="D6093" t="str">
        <f t="shared" si="124"/>
        <v/>
      </c>
    </row>
    <row r="6094" spans="4:4" x14ac:dyDescent="0.3">
      <c r="D6094" t="str">
        <f t="shared" si="124"/>
        <v/>
      </c>
    </row>
    <row r="6095" spans="4:4" x14ac:dyDescent="0.3">
      <c r="D6095" t="str">
        <f t="shared" si="124"/>
        <v/>
      </c>
    </row>
    <row r="6096" spans="4:4" x14ac:dyDescent="0.3">
      <c r="D6096" t="str">
        <f t="shared" si="124"/>
        <v/>
      </c>
    </row>
    <row r="6097" spans="4:4" x14ac:dyDescent="0.3">
      <c r="D6097" t="str">
        <f t="shared" si="124"/>
        <v/>
      </c>
    </row>
    <row r="6098" spans="4:4" x14ac:dyDescent="0.3">
      <c r="D6098" t="str">
        <f t="shared" si="124"/>
        <v/>
      </c>
    </row>
    <row r="6099" spans="4:4" x14ac:dyDescent="0.3">
      <c r="D6099" t="str">
        <f t="shared" si="124"/>
        <v/>
      </c>
    </row>
    <row r="6100" spans="4:4" x14ac:dyDescent="0.3">
      <c r="D6100" t="str">
        <f t="shared" si="124"/>
        <v/>
      </c>
    </row>
    <row r="6101" spans="4:4" x14ac:dyDescent="0.3">
      <c r="D6101" t="str">
        <f t="shared" si="124"/>
        <v/>
      </c>
    </row>
    <row r="6102" spans="4:4" x14ac:dyDescent="0.3">
      <c r="D6102" t="str">
        <f t="shared" si="124"/>
        <v/>
      </c>
    </row>
    <row r="6103" spans="4:4" x14ac:dyDescent="0.3">
      <c r="D6103" t="str">
        <f t="shared" si="124"/>
        <v/>
      </c>
    </row>
    <row r="6104" spans="4:4" x14ac:dyDescent="0.3">
      <c r="D6104" t="str">
        <f t="shared" si="124"/>
        <v/>
      </c>
    </row>
    <row r="6105" spans="4:4" x14ac:dyDescent="0.3">
      <c r="D6105" t="str">
        <f t="shared" si="124"/>
        <v/>
      </c>
    </row>
    <row r="6106" spans="4:4" x14ac:dyDescent="0.3">
      <c r="D6106" t="str">
        <f t="shared" si="124"/>
        <v/>
      </c>
    </row>
    <row r="6107" spans="4:4" x14ac:dyDescent="0.3">
      <c r="D6107" t="str">
        <f t="shared" si="124"/>
        <v/>
      </c>
    </row>
    <row r="6108" spans="4:4" x14ac:dyDescent="0.3">
      <c r="D6108" t="str">
        <f t="shared" si="124"/>
        <v/>
      </c>
    </row>
    <row r="6109" spans="4:4" x14ac:dyDescent="0.3">
      <c r="D6109" t="str">
        <f t="shared" si="124"/>
        <v/>
      </c>
    </row>
    <row r="6110" spans="4:4" x14ac:dyDescent="0.3">
      <c r="D6110" t="str">
        <f t="shared" si="124"/>
        <v/>
      </c>
    </row>
    <row r="6111" spans="4:4" x14ac:dyDescent="0.3">
      <c r="D6111" t="str">
        <f t="shared" si="124"/>
        <v/>
      </c>
    </row>
    <row r="6112" spans="4:4" x14ac:dyDescent="0.3">
      <c r="D6112" t="str">
        <f t="shared" si="124"/>
        <v/>
      </c>
    </row>
    <row r="6113" spans="4:4" x14ac:dyDescent="0.3">
      <c r="D6113" t="str">
        <f t="shared" si="124"/>
        <v/>
      </c>
    </row>
    <row r="6114" spans="4:4" x14ac:dyDescent="0.3">
      <c r="D6114" t="str">
        <f t="shared" si="124"/>
        <v/>
      </c>
    </row>
    <row r="6115" spans="4:4" x14ac:dyDescent="0.3">
      <c r="D6115" t="str">
        <f t="shared" si="124"/>
        <v/>
      </c>
    </row>
    <row r="6116" spans="4:4" x14ac:dyDescent="0.3">
      <c r="D6116" t="str">
        <f t="shared" si="124"/>
        <v/>
      </c>
    </row>
    <row r="6117" spans="4:4" x14ac:dyDescent="0.3">
      <c r="D6117" t="str">
        <f t="shared" si="124"/>
        <v/>
      </c>
    </row>
    <row r="6118" spans="4:4" x14ac:dyDescent="0.3">
      <c r="D6118" t="str">
        <f t="shared" si="124"/>
        <v/>
      </c>
    </row>
    <row r="6119" spans="4:4" x14ac:dyDescent="0.3">
      <c r="D6119" t="str">
        <f t="shared" si="124"/>
        <v/>
      </c>
    </row>
    <row r="6120" spans="4:4" x14ac:dyDescent="0.3">
      <c r="D6120" t="str">
        <f t="shared" si="124"/>
        <v/>
      </c>
    </row>
    <row r="6121" spans="4:4" x14ac:dyDescent="0.3">
      <c r="D6121" t="str">
        <f t="shared" si="124"/>
        <v/>
      </c>
    </row>
    <row r="6122" spans="4:4" x14ac:dyDescent="0.3">
      <c r="D6122" t="str">
        <f t="shared" si="124"/>
        <v/>
      </c>
    </row>
    <row r="6123" spans="4:4" x14ac:dyDescent="0.3">
      <c r="D6123" t="str">
        <f t="shared" si="124"/>
        <v/>
      </c>
    </row>
    <row r="6124" spans="4:4" x14ac:dyDescent="0.3">
      <c r="D6124" t="str">
        <f t="shared" si="124"/>
        <v/>
      </c>
    </row>
    <row r="6125" spans="4:4" x14ac:dyDescent="0.3">
      <c r="D6125" t="str">
        <f t="shared" si="124"/>
        <v/>
      </c>
    </row>
    <row r="6126" spans="4:4" x14ac:dyDescent="0.3">
      <c r="D6126" t="str">
        <f t="shared" si="124"/>
        <v/>
      </c>
    </row>
    <row r="6127" spans="4:4" x14ac:dyDescent="0.3">
      <c r="D6127" t="str">
        <f t="shared" si="124"/>
        <v/>
      </c>
    </row>
    <row r="6128" spans="4:4" x14ac:dyDescent="0.3">
      <c r="D6128" t="str">
        <f t="shared" si="124"/>
        <v/>
      </c>
    </row>
    <row r="6129" spans="4:4" x14ac:dyDescent="0.3">
      <c r="D6129" t="str">
        <f t="shared" si="124"/>
        <v/>
      </c>
    </row>
    <row r="6130" spans="4:4" x14ac:dyDescent="0.3">
      <c r="D6130" t="str">
        <f t="shared" si="124"/>
        <v/>
      </c>
    </row>
    <row r="6131" spans="4:4" x14ac:dyDescent="0.3">
      <c r="D6131" t="str">
        <f t="shared" si="124"/>
        <v/>
      </c>
    </row>
    <row r="6132" spans="4:4" x14ac:dyDescent="0.3">
      <c r="D6132" t="str">
        <f t="shared" si="124"/>
        <v/>
      </c>
    </row>
    <row r="6133" spans="4:4" x14ac:dyDescent="0.3">
      <c r="D6133" t="str">
        <f t="shared" si="124"/>
        <v/>
      </c>
    </row>
    <row r="6134" spans="4:4" x14ac:dyDescent="0.3">
      <c r="D6134" t="str">
        <f t="shared" si="124"/>
        <v/>
      </c>
    </row>
    <row r="6135" spans="4:4" x14ac:dyDescent="0.3">
      <c r="D6135" t="str">
        <f t="shared" si="124"/>
        <v/>
      </c>
    </row>
    <row r="6136" spans="4:4" x14ac:dyDescent="0.3">
      <c r="D6136" t="str">
        <f t="shared" si="124"/>
        <v/>
      </c>
    </row>
    <row r="6137" spans="4:4" x14ac:dyDescent="0.3">
      <c r="D6137" t="str">
        <f t="shared" si="124"/>
        <v/>
      </c>
    </row>
    <row r="6138" spans="4:4" x14ac:dyDescent="0.3">
      <c r="D6138" t="str">
        <f t="shared" si="124"/>
        <v/>
      </c>
    </row>
    <row r="6139" spans="4:4" x14ac:dyDescent="0.3">
      <c r="D6139" t="str">
        <f t="shared" si="124"/>
        <v/>
      </c>
    </row>
    <row r="6140" spans="4:4" x14ac:dyDescent="0.3">
      <c r="D6140" t="str">
        <f t="shared" si="124"/>
        <v/>
      </c>
    </row>
    <row r="6141" spans="4:4" x14ac:dyDescent="0.3">
      <c r="D6141" t="str">
        <f t="shared" si="124"/>
        <v/>
      </c>
    </row>
    <row r="6142" spans="4:4" x14ac:dyDescent="0.3">
      <c r="D6142" t="str">
        <f t="shared" ref="D6142:D6205" si="125">IF(LEFT(A6142,2)="SP",MID(A6142,4,4),IF(LEFT(A6142,1)="X",MID(A6142,3,4),""))</f>
        <v/>
      </c>
    </row>
    <row r="6143" spans="4:4" x14ac:dyDescent="0.3">
      <c r="D6143" t="str">
        <f t="shared" si="125"/>
        <v/>
      </c>
    </row>
    <row r="6144" spans="4:4" x14ac:dyDescent="0.3">
      <c r="D6144" t="str">
        <f t="shared" si="125"/>
        <v/>
      </c>
    </row>
    <row r="6145" spans="4:4" x14ac:dyDescent="0.3">
      <c r="D6145" t="str">
        <f t="shared" si="125"/>
        <v/>
      </c>
    </row>
    <row r="6146" spans="4:4" x14ac:dyDescent="0.3">
      <c r="D6146" t="str">
        <f t="shared" si="125"/>
        <v/>
      </c>
    </row>
    <row r="6147" spans="4:4" x14ac:dyDescent="0.3">
      <c r="D6147" t="str">
        <f t="shared" si="125"/>
        <v/>
      </c>
    </row>
    <row r="6148" spans="4:4" x14ac:dyDescent="0.3">
      <c r="D6148" t="str">
        <f t="shared" si="125"/>
        <v/>
      </c>
    </row>
    <row r="6149" spans="4:4" x14ac:dyDescent="0.3">
      <c r="D6149" t="str">
        <f t="shared" si="125"/>
        <v/>
      </c>
    </row>
    <row r="6150" spans="4:4" x14ac:dyDescent="0.3">
      <c r="D6150" t="str">
        <f t="shared" si="125"/>
        <v/>
      </c>
    </row>
    <row r="6151" spans="4:4" x14ac:dyDescent="0.3">
      <c r="D6151" t="str">
        <f t="shared" si="125"/>
        <v/>
      </c>
    </row>
    <row r="6152" spans="4:4" x14ac:dyDescent="0.3">
      <c r="D6152" t="str">
        <f t="shared" si="125"/>
        <v/>
      </c>
    </row>
    <row r="6153" spans="4:4" x14ac:dyDescent="0.3">
      <c r="D6153" t="str">
        <f t="shared" si="125"/>
        <v/>
      </c>
    </row>
    <row r="6154" spans="4:4" x14ac:dyDescent="0.3">
      <c r="D6154" t="str">
        <f t="shared" si="125"/>
        <v/>
      </c>
    </row>
    <row r="6155" spans="4:4" x14ac:dyDescent="0.3">
      <c r="D6155" t="str">
        <f t="shared" si="125"/>
        <v/>
      </c>
    </row>
    <row r="6156" spans="4:4" x14ac:dyDescent="0.3">
      <c r="D6156" t="str">
        <f t="shared" si="125"/>
        <v/>
      </c>
    </row>
    <row r="6157" spans="4:4" x14ac:dyDescent="0.3">
      <c r="D6157" t="str">
        <f t="shared" si="125"/>
        <v/>
      </c>
    </row>
    <row r="6158" spans="4:4" x14ac:dyDescent="0.3">
      <c r="D6158" t="str">
        <f t="shared" si="125"/>
        <v/>
      </c>
    </row>
    <row r="6159" spans="4:4" x14ac:dyDescent="0.3">
      <c r="D6159" t="str">
        <f t="shared" si="125"/>
        <v/>
      </c>
    </row>
    <row r="6160" spans="4:4" x14ac:dyDescent="0.3">
      <c r="D6160" t="str">
        <f t="shared" si="125"/>
        <v/>
      </c>
    </row>
    <row r="6161" spans="4:4" x14ac:dyDescent="0.3">
      <c r="D6161" t="str">
        <f t="shared" si="125"/>
        <v/>
      </c>
    </row>
    <row r="6162" spans="4:4" x14ac:dyDescent="0.3">
      <c r="D6162" t="str">
        <f t="shared" si="125"/>
        <v/>
      </c>
    </row>
    <row r="6163" spans="4:4" x14ac:dyDescent="0.3">
      <c r="D6163" t="str">
        <f t="shared" si="125"/>
        <v/>
      </c>
    </row>
    <row r="6164" spans="4:4" x14ac:dyDescent="0.3">
      <c r="D6164" t="str">
        <f t="shared" si="125"/>
        <v/>
      </c>
    </row>
    <row r="6165" spans="4:4" x14ac:dyDescent="0.3">
      <c r="D6165" t="str">
        <f t="shared" si="125"/>
        <v/>
      </c>
    </row>
    <row r="6166" spans="4:4" x14ac:dyDescent="0.3">
      <c r="D6166" t="str">
        <f t="shared" si="125"/>
        <v/>
      </c>
    </row>
    <row r="6167" spans="4:4" x14ac:dyDescent="0.3">
      <c r="D6167" t="str">
        <f t="shared" si="125"/>
        <v/>
      </c>
    </row>
    <row r="6168" spans="4:4" x14ac:dyDescent="0.3">
      <c r="D6168" t="str">
        <f t="shared" si="125"/>
        <v/>
      </c>
    </row>
    <row r="6169" spans="4:4" x14ac:dyDescent="0.3">
      <c r="D6169" t="str">
        <f t="shared" si="125"/>
        <v/>
      </c>
    </row>
    <row r="6170" spans="4:4" x14ac:dyDescent="0.3">
      <c r="D6170" t="str">
        <f t="shared" si="125"/>
        <v/>
      </c>
    </row>
    <row r="6171" spans="4:4" x14ac:dyDescent="0.3">
      <c r="D6171" t="str">
        <f t="shared" si="125"/>
        <v/>
      </c>
    </row>
    <row r="6172" spans="4:4" x14ac:dyDescent="0.3">
      <c r="D6172" t="str">
        <f t="shared" si="125"/>
        <v/>
      </c>
    </row>
    <row r="6173" spans="4:4" x14ac:dyDescent="0.3">
      <c r="D6173" t="str">
        <f t="shared" si="125"/>
        <v/>
      </c>
    </row>
    <row r="6174" spans="4:4" x14ac:dyDescent="0.3">
      <c r="D6174" t="str">
        <f t="shared" si="125"/>
        <v/>
      </c>
    </row>
    <row r="6175" spans="4:4" x14ac:dyDescent="0.3">
      <c r="D6175" t="str">
        <f t="shared" si="125"/>
        <v/>
      </c>
    </row>
    <row r="6176" spans="4:4" x14ac:dyDescent="0.3">
      <c r="D6176" t="str">
        <f t="shared" si="125"/>
        <v/>
      </c>
    </row>
    <row r="6177" spans="4:4" x14ac:dyDescent="0.3">
      <c r="D6177" t="str">
        <f t="shared" si="125"/>
        <v/>
      </c>
    </row>
    <row r="6178" spans="4:4" x14ac:dyDescent="0.3">
      <c r="D6178" t="str">
        <f t="shared" si="125"/>
        <v/>
      </c>
    </row>
    <row r="6179" spans="4:4" x14ac:dyDescent="0.3">
      <c r="D6179" t="str">
        <f t="shared" si="125"/>
        <v/>
      </c>
    </row>
    <row r="6180" spans="4:4" x14ac:dyDescent="0.3">
      <c r="D6180" t="str">
        <f t="shared" si="125"/>
        <v/>
      </c>
    </row>
    <row r="6181" spans="4:4" x14ac:dyDescent="0.3">
      <c r="D6181" t="str">
        <f t="shared" si="125"/>
        <v/>
      </c>
    </row>
    <row r="6182" spans="4:4" x14ac:dyDescent="0.3">
      <c r="D6182" t="str">
        <f t="shared" si="125"/>
        <v/>
      </c>
    </row>
    <row r="6183" spans="4:4" x14ac:dyDescent="0.3">
      <c r="D6183" t="str">
        <f t="shared" si="125"/>
        <v/>
      </c>
    </row>
    <row r="6184" spans="4:4" x14ac:dyDescent="0.3">
      <c r="D6184" t="str">
        <f t="shared" si="125"/>
        <v/>
      </c>
    </row>
    <row r="6185" spans="4:4" x14ac:dyDescent="0.3">
      <c r="D6185" t="str">
        <f t="shared" si="125"/>
        <v/>
      </c>
    </row>
    <row r="6186" spans="4:4" x14ac:dyDescent="0.3">
      <c r="D6186" t="str">
        <f t="shared" si="125"/>
        <v/>
      </c>
    </row>
    <row r="6187" spans="4:4" x14ac:dyDescent="0.3">
      <c r="D6187" t="str">
        <f t="shared" si="125"/>
        <v/>
      </c>
    </row>
    <row r="6188" spans="4:4" x14ac:dyDescent="0.3">
      <c r="D6188" t="str">
        <f t="shared" si="125"/>
        <v/>
      </c>
    </row>
    <row r="6189" spans="4:4" x14ac:dyDescent="0.3">
      <c r="D6189" t="str">
        <f t="shared" si="125"/>
        <v/>
      </c>
    </row>
    <row r="6190" spans="4:4" x14ac:dyDescent="0.3">
      <c r="D6190" t="str">
        <f t="shared" si="125"/>
        <v/>
      </c>
    </row>
    <row r="6191" spans="4:4" x14ac:dyDescent="0.3">
      <c r="D6191" t="str">
        <f t="shared" si="125"/>
        <v/>
      </c>
    </row>
    <row r="6192" spans="4:4" x14ac:dyDescent="0.3">
      <c r="D6192" t="str">
        <f t="shared" si="125"/>
        <v/>
      </c>
    </row>
    <row r="6193" spans="4:4" x14ac:dyDescent="0.3">
      <c r="D6193" t="str">
        <f t="shared" si="125"/>
        <v/>
      </c>
    </row>
    <row r="6194" spans="4:4" x14ac:dyDescent="0.3">
      <c r="D6194" t="str">
        <f t="shared" si="125"/>
        <v/>
      </c>
    </row>
    <row r="6195" spans="4:4" x14ac:dyDescent="0.3">
      <c r="D6195" t="str">
        <f t="shared" si="125"/>
        <v/>
      </c>
    </row>
    <row r="6196" spans="4:4" x14ac:dyDescent="0.3">
      <c r="D6196" t="str">
        <f t="shared" si="125"/>
        <v/>
      </c>
    </row>
    <row r="6197" spans="4:4" x14ac:dyDescent="0.3">
      <c r="D6197" t="str">
        <f t="shared" si="125"/>
        <v/>
      </c>
    </row>
    <row r="6198" spans="4:4" x14ac:dyDescent="0.3">
      <c r="D6198" t="str">
        <f t="shared" si="125"/>
        <v/>
      </c>
    </row>
    <row r="6199" spans="4:4" x14ac:dyDescent="0.3">
      <c r="D6199" t="str">
        <f t="shared" si="125"/>
        <v/>
      </c>
    </row>
    <row r="6200" spans="4:4" x14ac:dyDescent="0.3">
      <c r="D6200" t="str">
        <f t="shared" si="125"/>
        <v/>
      </c>
    </row>
    <row r="6201" spans="4:4" x14ac:dyDescent="0.3">
      <c r="D6201" t="str">
        <f t="shared" si="125"/>
        <v/>
      </c>
    </row>
    <row r="6202" spans="4:4" x14ac:dyDescent="0.3">
      <c r="D6202" t="str">
        <f t="shared" si="125"/>
        <v/>
      </c>
    </row>
    <row r="6203" spans="4:4" x14ac:dyDescent="0.3">
      <c r="D6203" t="str">
        <f t="shared" si="125"/>
        <v/>
      </c>
    </row>
    <row r="6204" spans="4:4" x14ac:dyDescent="0.3">
      <c r="D6204" t="str">
        <f t="shared" si="125"/>
        <v/>
      </c>
    </row>
    <row r="6205" spans="4:4" x14ac:dyDescent="0.3">
      <c r="D6205" t="str">
        <f t="shared" si="125"/>
        <v/>
      </c>
    </row>
    <row r="6206" spans="4:4" x14ac:dyDescent="0.3">
      <c r="D6206" t="str">
        <f t="shared" ref="D6206:D6269" si="126">IF(LEFT(A6206,2)="SP",MID(A6206,4,4),IF(LEFT(A6206,1)="X",MID(A6206,3,4),""))</f>
        <v/>
      </c>
    </row>
    <row r="6207" spans="4:4" x14ac:dyDescent="0.3">
      <c r="D6207" t="str">
        <f t="shared" si="126"/>
        <v/>
      </c>
    </row>
    <row r="6208" spans="4:4" x14ac:dyDescent="0.3">
      <c r="D6208" t="str">
        <f t="shared" si="126"/>
        <v/>
      </c>
    </row>
    <row r="6209" spans="4:4" x14ac:dyDescent="0.3">
      <c r="D6209" t="str">
        <f t="shared" si="126"/>
        <v/>
      </c>
    </row>
    <row r="6210" spans="4:4" x14ac:dyDescent="0.3">
      <c r="D6210" t="str">
        <f t="shared" si="126"/>
        <v/>
      </c>
    </row>
    <row r="6211" spans="4:4" x14ac:dyDescent="0.3">
      <c r="D6211" t="str">
        <f t="shared" si="126"/>
        <v/>
      </c>
    </row>
    <row r="6212" spans="4:4" x14ac:dyDescent="0.3">
      <c r="D6212" t="str">
        <f t="shared" si="126"/>
        <v/>
      </c>
    </row>
    <row r="6213" spans="4:4" x14ac:dyDescent="0.3">
      <c r="D6213" t="str">
        <f t="shared" si="126"/>
        <v/>
      </c>
    </row>
    <row r="6214" spans="4:4" x14ac:dyDescent="0.3">
      <c r="D6214" t="str">
        <f t="shared" si="126"/>
        <v/>
      </c>
    </row>
    <row r="6215" spans="4:4" x14ac:dyDescent="0.3">
      <c r="D6215" t="str">
        <f t="shared" si="126"/>
        <v/>
      </c>
    </row>
    <row r="6216" spans="4:4" x14ac:dyDescent="0.3">
      <c r="D6216" t="str">
        <f t="shared" si="126"/>
        <v/>
      </c>
    </row>
    <row r="6217" spans="4:4" x14ac:dyDescent="0.3">
      <c r="D6217" t="str">
        <f t="shared" si="126"/>
        <v/>
      </c>
    </row>
    <row r="6218" spans="4:4" x14ac:dyDescent="0.3">
      <c r="D6218" t="str">
        <f t="shared" si="126"/>
        <v/>
      </c>
    </row>
    <row r="6219" spans="4:4" x14ac:dyDescent="0.3">
      <c r="D6219" t="str">
        <f t="shared" si="126"/>
        <v/>
      </c>
    </row>
    <row r="6220" spans="4:4" x14ac:dyDescent="0.3">
      <c r="D6220" t="str">
        <f t="shared" si="126"/>
        <v/>
      </c>
    </row>
    <row r="6221" spans="4:4" x14ac:dyDescent="0.3">
      <c r="D6221" t="str">
        <f t="shared" si="126"/>
        <v/>
      </c>
    </row>
    <row r="6222" spans="4:4" x14ac:dyDescent="0.3">
      <c r="D6222" t="str">
        <f t="shared" si="126"/>
        <v/>
      </c>
    </row>
    <row r="6223" spans="4:4" x14ac:dyDescent="0.3">
      <c r="D6223" t="str">
        <f t="shared" si="126"/>
        <v/>
      </c>
    </row>
    <row r="6224" spans="4:4" x14ac:dyDescent="0.3">
      <c r="D6224" t="str">
        <f t="shared" si="126"/>
        <v/>
      </c>
    </row>
    <row r="6225" spans="4:4" x14ac:dyDescent="0.3">
      <c r="D6225" t="str">
        <f t="shared" si="126"/>
        <v/>
      </c>
    </row>
    <row r="6226" spans="4:4" x14ac:dyDescent="0.3">
      <c r="D6226" t="str">
        <f t="shared" si="126"/>
        <v/>
      </c>
    </row>
    <row r="6227" spans="4:4" x14ac:dyDescent="0.3">
      <c r="D6227" t="str">
        <f t="shared" si="126"/>
        <v/>
      </c>
    </row>
    <row r="6228" spans="4:4" x14ac:dyDescent="0.3">
      <c r="D6228" t="str">
        <f t="shared" si="126"/>
        <v/>
      </c>
    </row>
    <row r="6229" spans="4:4" x14ac:dyDescent="0.3">
      <c r="D6229" t="str">
        <f t="shared" si="126"/>
        <v/>
      </c>
    </row>
    <row r="6230" spans="4:4" x14ac:dyDescent="0.3">
      <c r="D6230" t="str">
        <f t="shared" si="126"/>
        <v/>
      </c>
    </row>
    <row r="6231" spans="4:4" x14ac:dyDescent="0.3">
      <c r="D6231" t="str">
        <f t="shared" si="126"/>
        <v/>
      </c>
    </row>
    <row r="6232" spans="4:4" x14ac:dyDescent="0.3">
      <c r="D6232" t="str">
        <f t="shared" si="126"/>
        <v/>
      </c>
    </row>
    <row r="6233" spans="4:4" x14ac:dyDescent="0.3">
      <c r="D6233" t="str">
        <f t="shared" si="126"/>
        <v/>
      </c>
    </row>
    <row r="6234" spans="4:4" x14ac:dyDescent="0.3">
      <c r="D6234" t="str">
        <f t="shared" si="126"/>
        <v/>
      </c>
    </row>
    <row r="6235" spans="4:4" x14ac:dyDescent="0.3">
      <c r="D6235" t="str">
        <f t="shared" si="126"/>
        <v/>
      </c>
    </row>
    <row r="6236" spans="4:4" x14ac:dyDescent="0.3">
      <c r="D6236" t="str">
        <f t="shared" si="126"/>
        <v/>
      </c>
    </row>
    <row r="6237" spans="4:4" x14ac:dyDescent="0.3">
      <c r="D6237" t="str">
        <f t="shared" si="126"/>
        <v/>
      </c>
    </row>
    <row r="6238" spans="4:4" x14ac:dyDescent="0.3">
      <c r="D6238" t="str">
        <f t="shared" si="126"/>
        <v/>
      </c>
    </row>
    <row r="6239" spans="4:4" x14ac:dyDescent="0.3">
      <c r="D6239" t="str">
        <f t="shared" si="126"/>
        <v/>
      </c>
    </row>
    <row r="6240" spans="4:4" x14ac:dyDescent="0.3">
      <c r="D6240" t="str">
        <f t="shared" si="126"/>
        <v/>
      </c>
    </row>
    <row r="6241" spans="4:4" x14ac:dyDescent="0.3">
      <c r="D6241" t="str">
        <f t="shared" si="126"/>
        <v/>
      </c>
    </row>
    <row r="6242" spans="4:4" x14ac:dyDescent="0.3">
      <c r="D6242" t="str">
        <f t="shared" si="126"/>
        <v/>
      </c>
    </row>
    <row r="6243" spans="4:4" x14ac:dyDescent="0.3">
      <c r="D6243" t="str">
        <f t="shared" si="126"/>
        <v/>
      </c>
    </row>
    <row r="6244" spans="4:4" x14ac:dyDescent="0.3">
      <c r="D6244" t="str">
        <f t="shared" si="126"/>
        <v/>
      </c>
    </row>
    <row r="6245" spans="4:4" x14ac:dyDescent="0.3">
      <c r="D6245" t="str">
        <f t="shared" si="126"/>
        <v/>
      </c>
    </row>
    <row r="6246" spans="4:4" x14ac:dyDescent="0.3">
      <c r="D6246" t="str">
        <f t="shared" si="126"/>
        <v/>
      </c>
    </row>
    <row r="6247" spans="4:4" x14ac:dyDescent="0.3">
      <c r="D6247" t="str">
        <f t="shared" si="126"/>
        <v/>
      </c>
    </row>
    <row r="6248" spans="4:4" x14ac:dyDescent="0.3">
      <c r="D6248" t="str">
        <f t="shared" si="126"/>
        <v/>
      </c>
    </row>
    <row r="6249" spans="4:4" x14ac:dyDescent="0.3">
      <c r="D6249" t="str">
        <f t="shared" si="126"/>
        <v/>
      </c>
    </row>
    <row r="6250" spans="4:4" x14ac:dyDescent="0.3">
      <c r="D6250" t="str">
        <f t="shared" si="126"/>
        <v/>
      </c>
    </row>
    <row r="6251" spans="4:4" x14ac:dyDescent="0.3">
      <c r="D6251" t="str">
        <f t="shared" si="126"/>
        <v/>
      </c>
    </row>
    <row r="6252" spans="4:4" x14ac:dyDescent="0.3">
      <c r="D6252" t="str">
        <f t="shared" si="126"/>
        <v/>
      </c>
    </row>
    <row r="6253" spans="4:4" x14ac:dyDescent="0.3">
      <c r="D6253" t="str">
        <f t="shared" si="126"/>
        <v/>
      </c>
    </row>
    <row r="6254" spans="4:4" x14ac:dyDescent="0.3">
      <c r="D6254" t="str">
        <f t="shared" si="126"/>
        <v/>
      </c>
    </row>
    <row r="6255" spans="4:4" x14ac:dyDescent="0.3">
      <c r="D6255" t="str">
        <f t="shared" si="126"/>
        <v/>
      </c>
    </row>
    <row r="6256" spans="4:4" x14ac:dyDescent="0.3">
      <c r="D6256" t="str">
        <f t="shared" si="126"/>
        <v/>
      </c>
    </row>
    <row r="6257" spans="4:4" x14ac:dyDescent="0.3">
      <c r="D6257" t="str">
        <f t="shared" si="126"/>
        <v/>
      </c>
    </row>
    <row r="6258" spans="4:4" x14ac:dyDescent="0.3">
      <c r="D6258" t="str">
        <f t="shared" si="126"/>
        <v/>
      </c>
    </row>
    <row r="6259" spans="4:4" x14ac:dyDescent="0.3">
      <c r="D6259" t="str">
        <f t="shared" si="126"/>
        <v/>
      </c>
    </row>
    <row r="6260" spans="4:4" x14ac:dyDescent="0.3">
      <c r="D6260" t="str">
        <f t="shared" si="126"/>
        <v/>
      </c>
    </row>
    <row r="6261" spans="4:4" x14ac:dyDescent="0.3">
      <c r="D6261" t="str">
        <f t="shared" si="126"/>
        <v/>
      </c>
    </row>
    <row r="6262" spans="4:4" x14ac:dyDescent="0.3">
      <c r="D6262" t="str">
        <f t="shared" si="126"/>
        <v/>
      </c>
    </row>
    <row r="6263" spans="4:4" x14ac:dyDescent="0.3">
      <c r="D6263" t="str">
        <f t="shared" si="126"/>
        <v/>
      </c>
    </row>
    <row r="6264" spans="4:4" x14ac:dyDescent="0.3">
      <c r="D6264" t="str">
        <f t="shared" si="126"/>
        <v/>
      </c>
    </row>
    <row r="6265" spans="4:4" x14ac:dyDescent="0.3">
      <c r="D6265" t="str">
        <f t="shared" si="126"/>
        <v/>
      </c>
    </row>
    <row r="6266" spans="4:4" x14ac:dyDescent="0.3">
      <c r="D6266" t="str">
        <f t="shared" si="126"/>
        <v/>
      </c>
    </row>
    <row r="6267" spans="4:4" x14ac:dyDescent="0.3">
      <c r="D6267" t="str">
        <f t="shared" si="126"/>
        <v/>
      </c>
    </row>
    <row r="6268" spans="4:4" x14ac:dyDescent="0.3">
      <c r="D6268" t="str">
        <f t="shared" si="126"/>
        <v/>
      </c>
    </row>
    <row r="6269" spans="4:4" x14ac:dyDescent="0.3">
      <c r="D6269" t="str">
        <f t="shared" si="126"/>
        <v/>
      </c>
    </row>
    <row r="6270" spans="4:4" x14ac:dyDescent="0.3">
      <c r="D6270" t="str">
        <f t="shared" ref="D6270:D6333" si="127">IF(LEFT(A6270,2)="SP",MID(A6270,4,4),IF(LEFT(A6270,1)="X",MID(A6270,3,4),""))</f>
        <v/>
      </c>
    </row>
    <row r="6271" spans="4:4" x14ac:dyDescent="0.3">
      <c r="D6271" t="str">
        <f t="shared" si="127"/>
        <v/>
      </c>
    </row>
    <row r="6272" spans="4:4" x14ac:dyDescent="0.3">
      <c r="D6272" t="str">
        <f t="shared" si="127"/>
        <v/>
      </c>
    </row>
    <row r="6273" spans="4:4" x14ac:dyDescent="0.3">
      <c r="D6273" t="str">
        <f t="shared" si="127"/>
        <v/>
      </c>
    </row>
    <row r="6274" spans="4:4" x14ac:dyDescent="0.3">
      <c r="D6274" t="str">
        <f t="shared" si="127"/>
        <v/>
      </c>
    </row>
    <row r="6275" spans="4:4" x14ac:dyDescent="0.3">
      <c r="D6275" t="str">
        <f t="shared" si="127"/>
        <v/>
      </c>
    </row>
    <row r="6276" spans="4:4" x14ac:dyDescent="0.3">
      <c r="D6276" t="str">
        <f t="shared" si="127"/>
        <v/>
      </c>
    </row>
    <row r="6277" spans="4:4" x14ac:dyDescent="0.3">
      <c r="D6277" t="str">
        <f t="shared" si="127"/>
        <v/>
      </c>
    </row>
    <row r="6278" spans="4:4" x14ac:dyDescent="0.3">
      <c r="D6278" t="str">
        <f t="shared" si="127"/>
        <v/>
      </c>
    </row>
    <row r="6279" spans="4:4" x14ac:dyDescent="0.3">
      <c r="D6279" t="str">
        <f t="shared" si="127"/>
        <v/>
      </c>
    </row>
    <row r="6280" spans="4:4" x14ac:dyDescent="0.3">
      <c r="D6280" t="str">
        <f t="shared" si="127"/>
        <v/>
      </c>
    </row>
    <row r="6281" spans="4:4" x14ac:dyDescent="0.3">
      <c r="D6281" t="str">
        <f t="shared" si="127"/>
        <v/>
      </c>
    </row>
    <row r="6282" spans="4:4" x14ac:dyDescent="0.3">
      <c r="D6282" t="str">
        <f t="shared" si="127"/>
        <v/>
      </c>
    </row>
    <row r="6283" spans="4:4" x14ac:dyDescent="0.3">
      <c r="D6283" t="str">
        <f t="shared" si="127"/>
        <v/>
      </c>
    </row>
    <row r="6284" spans="4:4" x14ac:dyDescent="0.3">
      <c r="D6284" t="str">
        <f t="shared" si="127"/>
        <v/>
      </c>
    </row>
    <row r="6285" spans="4:4" x14ac:dyDescent="0.3">
      <c r="D6285" t="str">
        <f t="shared" si="127"/>
        <v/>
      </c>
    </row>
    <row r="6286" spans="4:4" x14ac:dyDescent="0.3">
      <c r="D6286" t="str">
        <f t="shared" si="127"/>
        <v/>
      </c>
    </row>
    <row r="6287" spans="4:4" x14ac:dyDescent="0.3">
      <c r="D6287" t="str">
        <f t="shared" si="127"/>
        <v/>
      </c>
    </row>
    <row r="6288" spans="4:4" x14ac:dyDescent="0.3">
      <c r="D6288" t="str">
        <f t="shared" si="127"/>
        <v/>
      </c>
    </row>
    <row r="6289" spans="4:4" x14ac:dyDescent="0.3">
      <c r="D6289" t="str">
        <f t="shared" si="127"/>
        <v/>
      </c>
    </row>
    <row r="6290" spans="4:4" x14ac:dyDescent="0.3">
      <c r="D6290" t="str">
        <f t="shared" si="127"/>
        <v/>
      </c>
    </row>
    <row r="6291" spans="4:4" x14ac:dyDescent="0.3">
      <c r="D6291" t="str">
        <f t="shared" si="127"/>
        <v/>
      </c>
    </row>
    <row r="6292" spans="4:4" x14ac:dyDescent="0.3">
      <c r="D6292" t="str">
        <f t="shared" si="127"/>
        <v/>
      </c>
    </row>
    <row r="6293" spans="4:4" x14ac:dyDescent="0.3">
      <c r="D6293" t="str">
        <f t="shared" si="127"/>
        <v/>
      </c>
    </row>
    <row r="6294" spans="4:4" x14ac:dyDescent="0.3">
      <c r="D6294" t="str">
        <f t="shared" si="127"/>
        <v/>
      </c>
    </row>
    <row r="6295" spans="4:4" x14ac:dyDescent="0.3">
      <c r="D6295" t="str">
        <f t="shared" si="127"/>
        <v/>
      </c>
    </row>
    <row r="6296" spans="4:4" x14ac:dyDescent="0.3">
      <c r="D6296" t="str">
        <f t="shared" si="127"/>
        <v/>
      </c>
    </row>
    <row r="6297" spans="4:4" x14ac:dyDescent="0.3">
      <c r="D6297" t="str">
        <f t="shared" si="127"/>
        <v/>
      </c>
    </row>
    <row r="6298" spans="4:4" x14ac:dyDescent="0.3">
      <c r="D6298" t="str">
        <f t="shared" si="127"/>
        <v/>
      </c>
    </row>
    <row r="6299" spans="4:4" x14ac:dyDescent="0.3">
      <c r="D6299" t="str">
        <f t="shared" si="127"/>
        <v/>
      </c>
    </row>
    <row r="6300" spans="4:4" x14ac:dyDescent="0.3">
      <c r="D6300" t="str">
        <f t="shared" si="127"/>
        <v/>
      </c>
    </row>
    <row r="6301" spans="4:4" x14ac:dyDescent="0.3">
      <c r="D6301" t="str">
        <f t="shared" si="127"/>
        <v/>
      </c>
    </row>
    <row r="6302" spans="4:4" x14ac:dyDescent="0.3">
      <c r="D6302" t="str">
        <f t="shared" si="127"/>
        <v/>
      </c>
    </row>
    <row r="6303" spans="4:4" x14ac:dyDescent="0.3">
      <c r="D6303" t="str">
        <f t="shared" si="127"/>
        <v/>
      </c>
    </row>
    <row r="6304" spans="4:4" x14ac:dyDescent="0.3">
      <c r="D6304" t="str">
        <f t="shared" si="127"/>
        <v/>
      </c>
    </row>
    <row r="6305" spans="4:4" x14ac:dyDescent="0.3">
      <c r="D6305" t="str">
        <f t="shared" si="127"/>
        <v/>
      </c>
    </row>
    <row r="6306" spans="4:4" x14ac:dyDescent="0.3">
      <c r="D6306" t="str">
        <f t="shared" si="127"/>
        <v/>
      </c>
    </row>
    <row r="6307" spans="4:4" x14ac:dyDescent="0.3">
      <c r="D6307" t="str">
        <f t="shared" si="127"/>
        <v/>
      </c>
    </row>
    <row r="6308" spans="4:4" x14ac:dyDescent="0.3">
      <c r="D6308" t="str">
        <f t="shared" si="127"/>
        <v/>
      </c>
    </row>
    <row r="6309" spans="4:4" x14ac:dyDescent="0.3">
      <c r="D6309" t="str">
        <f t="shared" si="127"/>
        <v/>
      </c>
    </row>
    <row r="6310" spans="4:4" x14ac:dyDescent="0.3">
      <c r="D6310" t="str">
        <f t="shared" si="127"/>
        <v/>
      </c>
    </row>
    <row r="6311" spans="4:4" x14ac:dyDescent="0.3">
      <c r="D6311" t="str">
        <f t="shared" si="127"/>
        <v/>
      </c>
    </row>
    <row r="6312" spans="4:4" x14ac:dyDescent="0.3">
      <c r="D6312" t="str">
        <f t="shared" si="127"/>
        <v/>
      </c>
    </row>
    <row r="6313" spans="4:4" x14ac:dyDescent="0.3">
      <c r="D6313" t="str">
        <f t="shared" si="127"/>
        <v/>
      </c>
    </row>
    <row r="6314" spans="4:4" x14ac:dyDescent="0.3">
      <c r="D6314" t="str">
        <f t="shared" si="127"/>
        <v/>
      </c>
    </row>
    <row r="6315" spans="4:4" x14ac:dyDescent="0.3">
      <c r="D6315" t="str">
        <f t="shared" si="127"/>
        <v/>
      </c>
    </row>
    <row r="6316" spans="4:4" x14ac:dyDescent="0.3">
      <c r="D6316" t="str">
        <f t="shared" si="127"/>
        <v/>
      </c>
    </row>
    <row r="6317" spans="4:4" x14ac:dyDescent="0.3">
      <c r="D6317" t="str">
        <f t="shared" si="127"/>
        <v/>
      </c>
    </row>
    <row r="6318" spans="4:4" x14ac:dyDescent="0.3">
      <c r="D6318" t="str">
        <f t="shared" si="127"/>
        <v/>
      </c>
    </row>
    <row r="6319" spans="4:4" x14ac:dyDescent="0.3">
      <c r="D6319" t="str">
        <f t="shared" si="127"/>
        <v/>
      </c>
    </row>
    <row r="6320" spans="4:4" x14ac:dyDescent="0.3">
      <c r="D6320" t="str">
        <f t="shared" si="127"/>
        <v/>
      </c>
    </row>
    <row r="6321" spans="4:4" x14ac:dyDescent="0.3">
      <c r="D6321" t="str">
        <f t="shared" si="127"/>
        <v/>
      </c>
    </row>
    <row r="6322" spans="4:4" x14ac:dyDescent="0.3">
      <c r="D6322" t="str">
        <f t="shared" si="127"/>
        <v/>
      </c>
    </row>
    <row r="6323" spans="4:4" x14ac:dyDescent="0.3">
      <c r="D6323" t="str">
        <f t="shared" si="127"/>
        <v/>
      </c>
    </row>
    <row r="6324" spans="4:4" x14ac:dyDescent="0.3">
      <c r="D6324" t="str">
        <f t="shared" si="127"/>
        <v/>
      </c>
    </row>
    <row r="6325" spans="4:4" x14ac:dyDescent="0.3">
      <c r="D6325" t="str">
        <f t="shared" si="127"/>
        <v/>
      </c>
    </row>
    <row r="6326" spans="4:4" x14ac:dyDescent="0.3">
      <c r="D6326" t="str">
        <f t="shared" si="127"/>
        <v/>
      </c>
    </row>
    <row r="6327" spans="4:4" x14ac:dyDescent="0.3">
      <c r="D6327" t="str">
        <f t="shared" si="127"/>
        <v/>
      </c>
    </row>
    <row r="6328" spans="4:4" x14ac:dyDescent="0.3">
      <c r="D6328" t="str">
        <f t="shared" si="127"/>
        <v/>
      </c>
    </row>
    <row r="6329" spans="4:4" x14ac:dyDescent="0.3">
      <c r="D6329" t="str">
        <f t="shared" si="127"/>
        <v/>
      </c>
    </row>
    <row r="6330" spans="4:4" x14ac:dyDescent="0.3">
      <c r="D6330" t="str">
        <f t="shared" si="127"/>
        <v/>
      </c>
    </row>
    <row r="6331" spans="4:4" x14ac:dyDescent="0.3">
      <c r="D6331" t="str">
        <f t="shared" si="127"/>
        <v/>
      </c>
    </row>
    <row r="6332" spans="4:4" x14ac:dyDescent="0.3">
      <c r="D6332" t="str">
        <f t="shared" si="127"/>
        <v/>
      </c>
    </row>
    <row r="6333" spans="4:4" x14ac:dyDescent="0.3">
      <c r="D6333" t="str">
        <f t="shared" si="127"/>
        <v/>
      </c>
    </row>
    <row r="6334" spans="4:4" x14ac:dyDescent="0.3">
      <c r="D6334" t="str">
        <f t="shared" ref="D6334:D6397" si="128">IF(LEFT(A6334,2)="SP",MID(A6334,4,4),IF(LEFT(A6334,1)="X",MID(A6334,3,4),""))</f>
        <v/>
      </c>
    </row>
    <row r="6335" spans="4:4" x14ac:dyDescent="0.3">
      <c r="D6335" t="str">
        <f t="shared" si="128"/>
        <v/>
      </c>
    </row>
    <row r="6336" spans="4:4" x14ac:dyDescent="0.3">
      <c r="D6336" t="str">
        <f t="shared" si="128"/>
        <v/>
      </c>
    </row>
    <row r="6337" spans="4:4" x14ac:dyDescent="0.3">
      <c r="D6337" t="str">
        <f t="shared" si="128"/>
        <v/>
      </c>
    </row>
    <row r="6338" spans="4:4" x14ac:dyDescent="0.3">
      <c r="D6338" t="str">
        <f t="shared" si="128"/>
        <v/>
      </c>
    </row>
    <row r="6339" spans="4:4" x14ac:dyDescent="0.3">
      <c r="D6339" t="str">
        <f t="shared" si="128"/>
        <v/>
      </c>
    </row>
    <row r="6340" spans="4:4" x14ac:dyDescent="0.3">
      <c r="D6340" t="str">
        <f t="shared" si="128"/>
        <v/>
      </c>
    </row>
    <row r="6341" spans="4:4" x14ac:dyDescent="0.3">
      <c r="D6341" t="str">
        <f t="shared" si="128"/>
        <v/>
      </c>
    </row>
    <row r="6342" spans="4:4" x14ac:dyDescent="0.3">
      <c r="D6342" t="str">
        <f t="shared" si="128"/>
        <v/>
      </c>
    </row>
    <row r="6343" spans="4:4" x14ac:dyDescent="0.3">
      <c r="D6343" t="str">
        <f t="shared" si="128"/>
        <v/>
      </c>
    </row>
    <row r="6344" spans="4:4" x14ac:dyDescent="0.3">
      <c r="D6344" t="str">
        <f t="shared" si="128"/>
        <v/>
      </c>
    </row>
    <row r="6345" spans="4:4" x14ac:dyDescent="0.3">
      <c r="D6345" t="str">
        <f t="shared" si="128"/>
        <v/>
      </c>
    </row>
    <row r="6346" spans="4:4" x14ac:dyDescent="0.3">
      <c r="D6346" t="str">
        <f t="shared" si="128"/>
        <v/>
      </c>
    </row>
    <row r="6347" spans="4:4" x14ac:dyDescent="0.3">
      <c r="D6347" t="str">
        <f t="shared" si="128"/>
        <v/>
      </c>
    </row>
    <row r="6348" spans="4:4" x14ac:dyDescent="0.3">
      <c r="D6348" t="str">
        <f t="shared" si="128"/>
        <v/>
      </c>
    </row>
    <row r="6349" spans="4:4" x14ac:dyDescent="0.3">
      <c r="D6349" t="str">
        <f t="shared" si="128"/>
        <v/>
      </c>
    </row>
    <row r="6350" spans="4:4" x14ac:dyDescent="0.3">
      <c r="D6350" t="str">
        <f t="shared" si="128"/>
        <v/>
      </c>
    </row>
    <row r="6351" spans="4:4" x14ac:dyDescent="0.3">
      <c r="D6351" t="str">
        <f t="shared" si="128"/>
        <v/>
      </c>
    </row>
    <row r="6352" spans="4:4" x14ac:dyDescent="0.3">
      <c r="D6352" t="str">
        <f t="shared" si="128"/>
        <v/>
      </c>
    </row>
    <row r="6353" spans="4:4" x14ac:dyDescent="0.3">
      <c r="D6353" t="str">
        <f t="shared" si="128"/>
        <v/>
      </c>
    </row>
    <row r="6354" spans="4:4" x14ac:dyDescent="0.3">
      <c r="D6354" t="str">
        <f t="shared" si="128"/>
        <v/>
      </c>
    </row>
    <row r="6355" spans="4:4" x14ac:dyDescent="0.3">
      <c r="D6355" t="str">
        <f t="shared" si="128"/>
        <v/>
      </c>
    </row>
    <row r="6356" spans="4:4" x14ac:dyDescent="0.3">
      <c r="D6356" t="str">
        <f t="shared" si="128"/>
        <v/>
      </c>
    </row>
    <row r="6357" spans="4:4" x14ac:dyDescent="0.3">
      <c r="D6357" t="str">
        <f t="shared" si="128"/>
        <v/>
      </c>
    </row>
    <row r="6358" spans="4:4" x14ac:dyDescent="0.3">
      <c r="D6358" t="str">
        <f t="shared" si="128"/>
        <v/>
      </c>
    </row>
    <row r="6359" spans="4:4" x14ac:dyDescent="0.3">
      <c r="D6359" t="str">
        <f t="shared" si="128"/>
        <v/>
      </c>
    </row>
    <row r="6360" spans="4:4" x14ac:dyDescent="0.3">
      <c r="D6360" t="str">
        <f t="shared" si="128"/>
        <v/>
      </c>
    </row>
    <row r="6361" spans="4:4" x14ac:dyDescent="0.3">
      <c r="D6361" t="str">
        <f t="shared" si="128"/>
        <v/>
      </c>
    </row>
    <row r="6362" spans="4:4" x14ac:dyDescent="0.3">
      <c r="D6362" t="str">
        <f t="shared" si="128"/>
        <v/>
      </c>
    </row>
    <row r="6363" spans="4:4" x14ac:dyDescent="0.3">
      <c r="D6363" t="str">
        <f t="shared" si="128"/>
        <v/>
      </c>
    </row>
    <row r="6364" spans="4:4" x14ac:dyDescent="0.3">
      <c r="D6364" t="str">
        <f t="shared" si="128"/>
        <v/>
      </c>
    </row>
    <row r="6365" spans="4:4" x14ac:dyDescent="0.3">
      <c r="D6365" t="str">
        <f t="shared" si="128"/>
        <v/>
      </c>
    </row>
    <row r="6366" spans="4:4" x14ac:dyDescent="0.3">
      <c r="D6366" t="str">
        <f t="shared" si="128"/>
        <v/>
      </c>
    </row>
    <row r="6367" spans="4:4" x14ac:dyDescent="0.3">
      <c r="D6367" t="str">
        <f t="shared" si="128"/>
        <v/>
      </c>
    </row>
    <row r="6368" spans="4:4" x14ac:dyDescent="0.3">
      <c r="D6368" t="str">
        <f t="shared" si="128"/>
        <v/>
      </c>
    </row>
    <row r="6369" spans="4:4" x14ac:dyDescent="0.3">
      <c r="D6369" t="str">
        <f t="shared" si="128"/>
        <v/>
      </c>
    </row>
    <row r="6370" spans="4:4" x14ac:dyDescent="0.3">
      <c r="D6370" t="str">
        <f t="shared" si="128"/>
        <v/>
      </c>
    </row>
    <row r="6371" spans="4:4" x14ac:dyDescent="0.3">
      <c r="D6371" t="str">
        <f t="shared" si="128"/>
        <v/>
      </c>
    </row>
    <row r="6372" spans="4:4" x14ac:dyDescent="0.3">
      <c r="D6372" t="str">
        <f t="shared" si="128"/>
        <v/>
      </c>
    </row>
    <row r="6373" spans="4:4" x14ac:dyDescent="0.3">
      <c r="D6373" t="str">
        <f t="shared" si="128"/>
        <v/>
      </c>
    </row>
    <row r="6374" spans="4:4" x14ac:dyDescent="0.3">
      <c r="D6374" t="str">
        <f t="shared" si="128"/>
        <v/>
      </c>
    </row>
    <row r="6375" spans="4:4" x14ac:dyDescent="0.3">
      <c r="D6375" t="str">
        <f t="shared" si="128"/>
        <v/>
      </c>
    </row>
    <row r="6376" spans="4:4" x14ac:dyDescent="0.3">
      <c r="D6376" t="str">
        <f t="shared" si="128"/>
        <v/>
      </c>
    </row>
    <row r="6377" spans="4:4" x14ac:dyDescent="0.3">
      <c r="D6377" t="str">
        <f t="shared" si="128"/>
        <v/>
      </c>
    </row>
    <row r="6378" spans="4:4" x14ac:dyDescent="0.3">
      <c r="D6378" t="str">
        <f t="shared" si="128"/>
        <v/>
      </c>
    </row>
    <row r="6379" spans="4:4" x14ac:dyDescent="0.3">
      <c r="D6379" t="str">
        <f t="shared" si="128"/>
        <v/>
      </c>
    </row>
    <row r="6380" spans="4:4" x14ac:dyDescent="0.3">
      <c r="D6380" t="str">
        <f t="shared" si="128"/>
        <v/>
      </c>
    </row>
    <row r="6381" spans="4:4" x14ac:dyDescent="0.3">
      <c r="D6381" t="str">
        <f t="shared" si="128"/>
        <v/>
      </c>
    </row>
    <row r="6382" spans="4:4" x14ac:dyDescent="0.3">
      <c r="D6382" t="str">
        <f t="shared" si="128"/>
        <v/>
      </c>
    </row>
    <row r="6383" spans="4:4" x14ac:dyDescent="0.3">
      <c r="D6383" t="str">
        <f t="shared" si="128"/>
        <v/>
      </c>
    </row>
    <row r="6384" spans="4:4" x14ac:dyDescent="0.3">
      <c r="D6384" t="str">
        <f t="shared" si="128"/>
        <v/>
      </c>
    </row>
    <row r="6385" spans="4:4" x14ac:dyDescent="0.3">
      <c r="D6385" t="str">
        <f t="shared" si="128"/>
        <v/>
      </c>
    </row>
    <row r="6386" spans="4:4" x14ac:dyDescent="0.3">
      <c r="D6386" t="str">
        <f t="shared" si="128"/>
        <v/>
      </c>
    </row>
    <row r="6387" spans="4:4" x14ac:dyDescent="0.3">
      <c r="D6387" t="str">
        <f t="shared" si="128"/>
        <v/>
      </c>
    </row>
    <row r="6388" spans="4:4" x14ac:dyDescent="0.3">
      <c r="D6388" t="str">
        <f t="shared" si="128"/>
        <v/>
      </c>
    </row>
    <row r="6389" spans="4:4" x14ac:dyDescent="0.3">
      <c r="D6389" t="str">
        <f t="shared" si="128"/>
        <v/>
      </c>
    </row>
    <row r="6390" spans="4:4" x14ac:dyDescent="0.3">
      <c r="D6390" t="str">
        <f t="shared" si="128"/>
        <v/>
      </c>
    </row>
    <row r="6391" spans="4:4" x14ac:dyDescent="0.3">
      <c r="D6391" t="str">
        <f t="shared" si="128"/>
        <v/>
      </c>
    </row>
    <row r="6392" spans="4:4" x14ac:dyDescent="0.3">
      <c r="D6392" t="str">
        <f t="shared" si="128"/>
        <v/>
      </c>
    </row>
    <row r="6393" spans="4:4" x14ac:dyDescent="0.3">
      <c r="D6393" t="str">
        <f t="shared" si="128"/>
        <v/>
      </c>
    </row>
    <row r="6394" spans="4:4" x14ac:dyDescent="0.3">
      <c r="D6394" t="str">
        <f t="shared" si="128"/>
        <v/>
      </c>
    </row>
    <row r="6395" spans="4:4" x14ac:dyDescent="0.3">
      <c r="D6395" t="str">
        <f t="shared" si="128"/>
        <v/>
      </c>
    </row>
    <row r="6396" spans="4:4" x14ac:dyDescent="0.3">
      <c r="D6396" t="str">
        <f t="shared" si="128"/>
        <v/>
      </c>
    </row>
    <row r="6397" spans="4:4" x14ac:dyDescent="0.3">
      <c r="D6397" t="str">
        <f t="shared" si="128"/>
        <v/>
      </c>
    </row>
    <row r="6398" spans="4:4" x14ac:dyDescent="0.3">
      <c r="D6398" t="str">
        <f t="shared" ref="D6398:D6434" si="129">IF(LEFT(A6398,2)="SP",MID(A6398,4,4),IF(LEFT(A6398,1)="X",MID(A6398,3,4),""))</f>
        <v/>
      </c>
    </row>
    <row r="6399" spans="4:4" x14ac:dyDescent="0.3">
      <c r="D6399" t="str">
        <f t="shared" si="129"/>
        <v/>
      </c>
    </row>
    <row r="6400" spans="4:4" x14ac:dyDescent="0.3">
      <c r="D6400" t="str">
        <f t="shared" si="129"/>
        <v/>
      </c>
    </row>
    <row r="6401" spans="4:4" x14ac:dyDescent="0.3">
      <c r="D6401" t="str">
        <f t="shared" si="129"/>
        <v/>
      </c>
    </row>
    <row r="6402" spans="4:4" x14ac:dyDescent="0.3">
      <c r="D6402" t="str">
        <f t="shared" si="129"/>
        <v/>
      </c>
    </row>
    <row r="6403" spans="4:4" x14ac:dyDescent="0.3">
      <c r="D6403" t="str">
        <f t="shared" si="129"/>
        <v/>
      </c>
    </row>
    <row r="6404" spans="4:4" x14ac:dyDescent="0.3">
      <c r="D6404" t="str">
        <f t="shared" si="129"/>
        <v/>
      </c>
    </row>
    <row r="6405" spans="4:4" x14ac:dyDescent="0.3">
      <c r="D6405" t="str">
        <f t="shared" si="129"/>
        <v/>
      </c>
    </row>
    <row r="6406" spans="4:4" x14ac:dyDescent="0.3">
      <c r="D6406" t="str">
        <f t="shared" si="129"/>
        <v/>
      </c>
    </row>
    <row r="6407" spans="4:4" x14ac:dyDescent="0.3">
      <c r="D6407" t="str">
        <f t="shared" si="129"/>
        <v/>
      </c>
    </row>
    <row r="6408" spans="4:4" x14ac:dyDescent="0.3">
      <c r="D6408" t="str">
        <f t="shared" si="129"/>
        <v/>
      </c>
    </row>
    <row r="6409" spans="4:4" x14ac:dyDescent="0.3">
      <c r="D6409" t="str">
        <f t="shared" si="129"/>
        <v/>
      </c>
    </row>
    <row r="6410" spans="4:4" x14ac:dyDescent="0.3">
      <c r="D6410" t="str">
        <f t="shared" si="129"/>
        <v/>
      </c>
    </row>
    <row r="6411" spans="4:4" x14ac:dyDescent="0.3">
      <c r="D6411" t="str">
        <f t="shared" si="129"/>
        <v/>
      </c>
    </row>
    <row r="6412" spans="4:4" x14ac:dyDescent="0.3">
      <c r="D6412" t="str">
        <f t="shared" si="129"/>
        <v/>
      </c>
    </row>
    <row r="6413" spans="4:4" x14ac:dyDescent="0.3">
      <c r="D6413" t="str">
        <f t="shared" si="129"/>
        <v/>
      </c>
    </row>
    <row r="6414" spans="4:4" x14ac:dyDescent="0.3">
      <c r="D6414" t="str">
        <f t="shared" si="129"/>
        <v/>
      </c>
    </row>
    <row r="6415" spans="4:4" x14ac:dyDescent="0.3">
      <c r="D6415" t="str">
        <f t="shared" si="129"/>
        <v/>
      </c>
    </row>
    <row r="6416" spans="4:4" x14ac:dyDescent="0.3">
      <c r="D6416" t="str">
        <f t="shared" si="129"/>
        <v/>
      </c>
    </row>
    <row r="6417" spans="4:4" x14ac:dyDescent="0.3">
      <c r="D6417" t="str">
        <f t="shared" si="129"/>
        <v/>
      </c>
    </row>
    <row r="6418" spans="4:4" x14ac:dyDescent="0.3">
      <c r="D6418" t="str">
        <f t="shared" si="129"/>
        <v/>
      </c>
    </row>
    <row r="6419" spans="4:4" x14ac:dyDescent="0.3">
      <c r="D6419" t="str">
        <f t="shared" si="129"/>
        <v/>
      </c>
    </row>
    <row r="6420" spans="4:4" x14ac:dyDescent="0.3">
      <c r="D6420" t="str">
        <f t="shared" si="129"/>
        <v/>
      </c>
    </row>
    <row r="6421" spans="4:4" x14ac:dyDescent="0.3">
      <c r="D6421" t="str">
        <f t="shared" si="129"/>
        <v/>
      </c>
    </row>
    <row r="6422" spans="4:4" x14ac:dyDescent="0.3">
      <c r="D6422" t="str">
        <f t="shared" si="129"/>
        <v/>
      </c>
    </row>
    <row r="6423" spans="4:4" x14ac:dyDescent="0.3">
      <c r="D6423" t="str">
        <f t="shared" si="129"/>
        <v/>
      </c>
    </row>
    <row r="6424" spans="4:4" x14ac:dyDescent="0.3">
      <c r="D6424" t="str">
        <f t="shared" si="129"/>
        <v/>
      </c>
    </row>
    <row r="6425" spans="4:4" x14ac:dyDescent="0.3">
      <c r="D6425" t="str">
        <f t="shared" si="129"/>
        <v/>
      </c>
    </row>
    <row r="6426" spans="4:4" x14ac:dyDescent="0.3">
      <c r="D6426" t="str">
        <f t="shared" si="129"/>
        <v/>
      </c>
    </row>
    <row r="6427" spans="4:4" x14ac:dyDescent="0.3">
      <c r="D6427" t="str">
        <f t="shared" si="129"/>
        <v/>
      </c>
    </row>
    <row r="6428" spans="4:4" x14ac:dyDescent="0.3">
      <c r="D6428" t="str">
        <f t="shared" si="129"/>
        <v/>
      </c>
    </row>
    <row r="6429" spans="4:4" x14ac:dyDescent="0.3">
      <c r="D6429" t="str">
        <f t="shared" si="129"/>
        <v/>
      </c>
    </row>
    <row r="6430" spans="4:4" x14ac:dyDescent="0.3">
      <c r="D6430" t="str">
        <f t="shared" si="129"/>
        <v/>
      </c>
    </row>
    <row r="6431" spans="4:4" x14ac:dyDescent="0.3">
      <c r="D6431" t="str">
        <f t="shared" si="129"/>
        <v/>
      </c>
    </row>
    <row r="6432" spans="4:4" x14ac:dyDescent="0.3">
      <c r="D6432" t="str">
        <f t="shared" si="129"/>
        <v/>
      </c>
    </row>
    <row r="6433" spans="4:4" x14ac:dyDescent="0.3">
      <c r="D6433" t="str">
        <f t="shared" si="129"/>
        <v/>
      </c>
    </row>
    <row r="6434" spans="4:4" x14ac:dyDescent="0.3">
      <c r="D6434" t="str">
        <f t="shared" si="129"/>
        <v/>
      </c>
    </row>
  </sheetData>
  <autoFilter ref="A1:F764" xr:uid="{00000000-0009-0000-0000-00000B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F6434"/>
  <sheetViews>
    <sheetView workbookViewId="0">
      <selection activeCell="I15" sqref="I15"/>
    </sheetView>
  </sheetViews>
  <sheetFormatPr defaultRowHeight="14.4" x14ac:dyDescent="0.3"/>
  <cols>
    <col min="1" max="1" width="10.5546875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1756836.996</v>
      </c>
      <c r="D2" t="str">
        <f t="shared" ref="D2" si="0">IF(LEFT(A2,2)="SP",MID(A2,4,4),IF(LEFT(A2,1)="X",MID(A2,3,4),""))</f>
        <v/>
      </c>
      <c r="E2" t="str">
        <f t="shared" ref="E2" si="1">IF(OR(LEFT(A2,2)="SP",AND(LEFT(A2,1)="X",LEN(A2)&gt;9)),RIGHT(A2,1),"")</f>
        <v/>
      </c>
      <c r="F2" t="str">
        <f t="shared" ref="F2" si="2">IF(LEFT(A2,1)="X",MID(A2,8,2),"")</f>
        <v/>
      </c>
    </row>
    <row r="3" spans="1:6" x14ac:dyDescent="0.3">
      <c r="A3" t="s">
        <v>176</v>
      </c>
      <c r="B3">
        <v>2</v>
      </c>
      <c r="D3" t="str">
        <f t="shared" ref="D3:D66" si="3">IF(LEFT(A3,2)="SP",MID(A3,4,4),IF(LEFT(A3,1)="X",MID(A3,3,4),""))</f>
        <v/>
      </c>
      <c r="E3" t="str">
        <f t="shared" ref="E3:E66" si="4">IF(OR(LEFT(A3,2)="SP",AND(LEFT(A3,1)="X",LEN(A3)&gt;9)),RIGHT(A3,1),"")</f>
        <v/>
      </c>
      <c r="F3" t="str">
        <f t="shared" ref="F3:F66" si="5">IF(LEFT(A3,1)="X",MID(A3,8,2),"")</f>
        <v/>
      </c>
    </row>
    <row r="4" spans="1:6" x14ac:dyDescent="0.3">
      <c r="A4" t="s">
        <v>944</v>
      </c>
      <c r="B4">
        <v>64.999999799999898</v>
      </c>
      <c r="D4" t="str">
        <f t="shared" si="3"/>
        <v/>
      </c>
      <c r="E4" t="str">
        <f t="shared" si="4"/>
        <v/>
      </c>
      <c r="F4" t="str">
        <f t="shared" si="5"/>
        <v/>
      </c>
    </row>
    <row r="5" spans="1:6" x14ac:dyDescent="0.3">
      <c r="A5" t="s">
        <v>2552</v>
      </c>
      <c r="B5">
        <v>1709.999996</v>
      </c>
      <c r="D5" t="str">
        <f t="shared" si="3"/>
        <v/>
      </c>
      <c r="E5" t="str">
        <f t="shared" si="4"/>
        <v/>
      </c>
      <c r="F5" t="str">
        <f t="shared" si="5"/>
        <v/>
      </c>
    </row>
    <row r="6" spans="1:6" x14ac:dyDescent="0.3">
      <c r="A6" t="s">
        <v>2550</v>
      </c>
      <c r="B6">
        <v>46837</v>
      </c>
      <c r="D6" t="str">
        <f t="shared" si="3"/>
        <v/>
      </c>
      <c r="E6" t="str">
        <f t="shared" si="4"/>
        <v/>
      </c>
      <c r="F6" t="str">
        <f t="shared" si="5"/>
        <v/>
      </c>
    </row>
    <row r="7" spans="1:6" x14ac:dyDescent="0.3">
      <c r="A7" t="s">
        <v>945</v>
      </c>
      <c r="B7">
        <v>6</v>
      </c>
      <c r="D7" t="str">
        <f t="shared" si="3"/>
        <v/>
      </c>
      <c r="E7" t="str">
        <f t="shared" si="4"/>
        <v/>
      </c>
      <c r="F7" t="str">
        <f t="shared" si="5"/>
        <v/>
      </c>
    </row>
    <row r="8" spans="1:6" x14ac:dyDescent="0.3">
      <c r="A8" t="s">
        <v>950</v>
      </c>
      <c r="B8">
        <v>4</v>
      </c>
      <c r="D8" t="str">
        <f t="shared" si="3"/>
        <v/>
      </c>
      <c r="E8" t="str">
        <f t="shared" si="4"/>
        <v/>
      </c>
      <c r="F8" t="str">
        <f t="shared" si="5"/>
        <v/>
      </c>
    </row>
    <row r="9" spans="1:6" x14ac:dyDescent="0.3">
      <c r="A9" t="s">
        <v>975</v>
      </c>
      <c r="B9">
        <v>1</v>
      </c>
      <c r="D9" t="str">
        <f t="shared" si="3"/>
        <v>0007</v>
      </c>
      <c r="E9" t="str">
        <f t="shared" si="4"/>
        <v>0</v>
      </c>
      <c r="F9" t="str">
        <f t="shared" si="5"/>
        <v/>
      </c>
    </row>
    <row r="10" spans="1:6" x14ac:dyDescent="0.3">
      <c r="A10" t="s">
        <v>977</v>
      </c>
      <c r="B10">
        <v>1</v>
      </c>
      <c r="D10" t="str">
        <f t="shared" si="3"/>
        <v>0008</v>
      </c>
      <c r="E10" t="str">
        <f t="shared" si="4"/>
        <v>0</v>
      </c>
      <c r="F10" t="str">
        <f t="shared" si="5"/>
        <v/>
      </c>
    </row>
    <row r="11" spans="1:6" x14ac:dyDescent="0.3">
      <c r="A11" t="s">
        <v>979</v>
      </c>
      <c r="B11">
        <v>1</v>
      </c>
      <c r="D11" t="str">
        <f t="shared" si="3"/>
        <v>0009</v>
      </c>
      <c r="E11" t="str">
        <f t="shared" si="4"/>
        <v>0</v>
      </c>
      <c r="F11" t="str">
        <f t="shared" si="5"/>
        <v/>
      </c>
    </row>
    <row r="12" spans="1:6" x14ac:dyDescent="0.3">
      <c r="A12" t="s">
        <v>980</v>
      </c>
      <c r="B12">
        <v>1</v>
      </c>
      <c r="D12" t="str">
        <f t="shared" si="3"/>
        <v>0010</v>
      </c>
      <c r="E12" t="str">
        <f t="shared" si="4"/>
        <v>0</v>
      </c>
      <c r="F12" t="str">
        <f t="shared" si="5"/>
        <v/>
      </c>
    </row>
    <row r="13" spans="1:6" x14ac:dyDescent="0.3">
      <c r="A13" t="s">
        <v>982</v>
      </c>
      <c r="B13">
        <v>1</v>
      </c>
      <c r="D13" t="str">
        <f t="shared" si="3"/>
        <v>0015</v>
      </c>
      <c r="E13" t="str">
        <f t="shared" si="4"/>
        <v>0</v>
      </c>
      <c r="F13" t="str">
        <f t="shared" si="5"/>
        <v/>
      </c>
    </row>
    <row r="14" spans="1:6" x14ac:dyDescent="0.3">
      <c r="A14" t="s">
        <v>984</v>
      </c>
      <c r="B14">
        <v>1</v>
      </c>
      <c r="D14" t="str">
        <f t="shared" si="3"/>
        <v>0019</v>
      </c>
      <c r="E14" t="str">
        <f t="shared" si="4"/>
        <v>0</v>
      </c>
      <c r="F14" t="str">
        <f t="shared" si="5"/>
        <v/>
      </c>
    </row>
    <row r="15" spans="1:6" x14ac:dyDescent="0.3">
      <c r="A15" t="s">
        <v>986</v>
      </c>
      <c r="B15">
        <v>1</v>
      </c>
      <c r="D15" t="str">
        <f t="shared" si="3"/>
        <v>0020</v>
      </c>
      <c r="E15" t="str">
        <f t="shared" si="4"/>
        <v>0</v>
      </c>
      <c r="F15" t="str">
        <f t="shared" si="5"/>
        <v/>
      </c>
    </row>
    <row r="16" spans="1:6" x14ac:dyDescent="0.3">
      <c r="A16" t="s">
        <v>987</v>
      </c>
      <c r="B16">
        <v>1</v>
      </c>
      <c r="D16" t="str">
        <f t="shared" si="3"/>
        <v>0021</v>
      </c>
      <c r="E16" t="str">
        <f t="shared" si="4"/>
        <v>0</v>
      </c>
      <c r="F16" t="str">
        <f t="shared" si="5"/>
        <v/>
      </c>
    </row>
    <row r="17" spans="1:6" x14ac:dyDescent="0.3">
      <c r="A17" t="s">
        <v>989</v>
      </c>
      <c r="B17">
        <v>1</v>
      </c>
      <c r="D17" t="str">
        <f t="shared" si="3"/>
        <v>0022</v>
      </c>
      <c r="E17" t="str">
        <f t="shared" si="4"/>
        <v>0</v>
      </c>
      <c r="F17" t="str">
        <f t="shared" si="5"/>
        <v/>
      </c>
    </row>
    <row r="18" spans="1:6" x14ac:dyDescent="0.3">
      <c r="A18" t="s">
        <v>991</v>
      </c>
      <c r="B18">
        <v>1</v>
      </c>
      <c r="D18" t="str">
        <f t="shared" si="3"/>
        <v>0023</v>
      </c>
      <c r="E18" t="str">
        <f t="shared" si="4"/>
        <v>0</v>
      </c>
      <c r="F18" t="str">
        <f t="shared" si="5"/>
        <v/>
      </c>
    </row>
    <row r="19" spans="1:6" x14ac:dyDescent="0.3">
      <c r="A19" t="s">
        <v>993</v>
      </c>
      <c r="B19">
        <v>1</v>
      </c>
      <c r="D19" t="str">
        <f t="shared" si="3"/>
        <v>0024</v>
      </c>
      <c r="E19" t="str">
        <f t="shared" si="4"/>
        <v>0</v>
      </c>
      <c r="F19" t="str">
        <f t="shared" si="5"/>
        <v/>
      </c>
    </row>
    <row r="20" spans="1:6" x14ac:dyDescent="0.3">
      <c r="A20" t="s">
        <v>995</v>
      </c>
      <c r="B20">
        <v>1</v>
      </c>
      <c r="D20" t="str">
        <f t="shared" si="3"/>
        <v>0030</v>
      </c>
      <c r="E20" t="str">
        <f t="shared" si="4"/>
        <v>0</v>
      </c>
      <c r="F20" t="str">
        <f t="shared" si="5"/>
        <v/>
      </c>
    </row>
    <row r="21" spans="1:6" x14ac:dyDescent="0.3">
      <c r="A21" t="s">
        <v>997</v>
      </c>
      <c r="B21">
        <v>1</v>
      </c>
      <c r="D21" t="str">
        <f t="shared" si="3"/>
        <v>0031</v>
      </c>
      <c r="E21" t="str">
        <f t="shared" si="4"/>
        <v>0</v>
      </c>
      <c r="F21" t="str">
        <f t="shared" si="5"/>
        <v/>
      </c>
    </row>
    <row r="22" spans="1:6" x14ac:dyDescent="0.3">
      <c r="A22" t="s">
        <v>999</v>
      </c>
      <c r="B22">
        <v>1</v>
      </c>
      <c r="D22" t="str">
        <f t="shared" si="3"/>
        <v>0032</v>
      </c>
      <c r="E22" t="str">
        <f t="shared" si="4"/>
        <v>0</v>
      </c>
      <c r="F22" t="str">
        <f t="shared" si="5"/>
        <v/>
      </c>
    </row>
    <row r="23" spans="1:6" x14ac:dyDescent="0.3">
      <c r="A23" t="s">
        <v>1000</v>
      </c>
      <c r="B23">
        <v>1</v>
      </c>
      <c r="D23" t="str">
        <f t="shared" si="3"/>
        <v>0033</v>
      </c>
      <c r="E23" t="str">
        <f t="shared" si="4"/>
        <v>0</v>
      </c>
      <c r="F23" t="str">
        <f t="shared" si="5"/>
        <v/>
      </c>
    </row>
    <row r="24" spans="1:6" x14ac:dyDescent="0.3">
      <c r="A24" t="s">
        <v>1001</v>
      </c>
      <c r="B24">
        <v>1</v>
      </c>
      <c r="D24" t="str">
        <f t="shared" si="3"/>
        <v>0034</v>
      </c>
      <c r="E24" t="str">
        <f t="shared" si="4"/>
        <v>0</v>
      </c>
      <c r="F24" t="str">
        <f t="shared" si="5"/>
        <v/>
      </c>
    </row>
    <row r="25" spans="1:6" x14ac:dyDescent="0.3">
      <c r="A25" t="s">
        <v>1002</v>
      </c>
      <c r="B25">
        <v>1</v>
      </c>
      <c r="D25" t="str">
        <f t="shared" si="3"/>
        <v>0046</v>
      </c>
      <c r="E25" t="str">
        <f t="shared" si="4"/>
        <v>0</v>
      </c>
      <c r="F25" t="str">
        <f t="shared" si="5"/>
        <v/>
      </c>
    </row>
    <row r="26" spans="1:6" x14ac:dyDescent="0.3">
      <c r="A26" t="s">
        <v>1004</v>
      </c>
      <c r="B26">
        <v>1</v>
      </c>
      <c r="D26" t="str">
        <f t="shared" si="3"/>
        <v>0047</v>
      </c>
      <c r="E26" t="str">
        <f t="shared" si="4"/>
        <v>0</v>
      </c>
      <c r="F26" t="str">
        <f t="shared" si="5"/>
        <v/>
      </c>
    </row>
    <row r="27" spans="1:6" x14ac:dyDescent="0.3">
      <c r="A27" t="s">
        <v>1006</v>
      </c>
      <c r="B27">
        <v>1</v>
      </c>
      <c r="D27" t="str">
        <f t="shared" si="3"/>
        <v>0048</v>
      </c>
      <c r="E27" t="str">
        <f t="shared" si="4"/>
        <v>0</v>
      </c>
      <c r="F27" t="str">
        <f t="shared" si="5"/>
        <v/>
      </c>
    </row>
    <row r="28" spans="1:6" x14ac:dyDescent="0.3">
      <c r="A28" t="s">
        <v>1008</v>
      </c>
      <c r="B28">
        <v>1</v>
      </c>
      <c r="D28" t="str">
        <f t="shared" si="3"/>
        <v>0049</v>
      </c>
      <c r="E28" t="str">
        <f t="shared" si="4"/>
        <v>0</v>
      </c>
      <c r="F28" t="str">
        <f t="shared" si="5"/>
        <v/>
      </c>
    </row>
    <row r="29" spans="1:6" x14ac:dyDescent="0.3">
      <c r="A29" t="s">
        <v>1009</v>
      </c>
      <c r="B29">
        <v>1</v>
      </c>
      <c r="D29" t="str">
        <f t="shared" si="3"/>
        <v>0050</v>
      </c>
      <c r="E29" t="str">
        <f t="shared" si="4"/>
        <v>0</v>
      </c>
      <c r="F29" t="str">
        <f t="shared" si="5"/>
        <v/>
      </c>
    </row>
    <row r="30" spans="1:6" x14ac:dyDescent="0.3">
      <c r="A30" t="s">
        <v>1010</v>
      </c>
      <c r="B30">
        <v>1</v>
      </c>
      <c r="D30" t="str">
        <f t="shared" si="3"/>
        <v>0059</v>
      </c>
      <c r="E30" t="str">
        <f t="shared" si="4"/>
        <v>0</v>
      </c>
      <c r="F30" t="str">
        <f t="shared" si="5"/>
        <v/>
      </c>
    </row>
    <row r="31" spans="1:6" x14ac:dyDescent="0.3">
      <c r="A31" t="s">
        <v>1011</v>
      </c>
      <c r="B31">
        <v>1</v>
      </c>
      <c r="D31" t="str">
        <f t="shared" si="3"/>
        <v>0060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1012</v>
      </c>
      <c r="B32">
        <v>1</v>
      </c>
      <c r="D32" t="str">
        <f t="shared" si="3"/>
        <v>0063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1013</v>
      </c>
      <c r="B33">
        <v>1</v>
      </c>
      <c r="D33" t="str">
        <f t="shared" si="3"/>
        <v>0064</v>
      </c>
      <c r="E33" t="str">
        <f t="shared" si="4"/>
        <v>0</v>
      </c>
      <c r="F33" t="str">
        <f t="shared" si="5"/>
        <v/>
      </c>
    </row>
    <row r="34" spans="1:6" x14ac:dyDescent="0.3">
      <c r="A34" t="s">
        <v>1014</v>
      </c>
      <c r="B34">
        <v>1</v>
      </c>
      <c r="D34" t="str">
        <f t="shared" si="3"/>
        <v>0074</v>
      </c>
      <c r="E34" t="str">
        <f t="shared" si="4"/>
        <v>0</v>
      </c>
      <c r="F34" t="str">
        <f t="shared" si="5"/>
        <v/>
      </c>
    </row>
    <row r="35" spans="1:6" x14ac:dyDescent="0.3">
      <c r="A35" t="s">
        <v>1016</v>
      </c>
      <c r="B35">
        <v>1</v>
      </c>
      <c r="D35" t="str">
        <f t="shared" si="3"/>
        <v>0075</v>
      </c>
      <c r="E35" t="str">
        <f t="shared" si="4"/>
        <v>0</v>
      </c>
      <c r="F35" t="str">
        <f t="shared" si="5"/>
        <v/>
      </c>
    </row>
    <row r="36" spans="1:6" x14ac:dyDescent="0.3">
      <c r="A36" t="s">
        <v>1018</v>
      </c>
      <c r="B36">
        <v>1</v>
      </c>
      <c r="D36" t="str">
        <f t="shared" si="3"/>
        <v>0076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1020</v>
      </c>
      <c r="B37">
        <v>1</v>
      </c>
      <c r="D37" t="str">
        <f t="shared" si="3"/>
        <v>0077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1021</v>
      </c>
      <c r="B38">
        <v>1</v>
      </c>
      <c r="D38" t="str">
        <f t="shared" si="3"/>
        <v>0078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1022</v>
      </c>
      <c r="B39">
        <v>1</v>
      </c>
      <c r="D39" t="str">
        <f t="shared" si="3"/>
        <v>0079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1023</v>
      </c>
      <c r="B40">
        <v>1</v>
      </c>
      <c r="D40" t="str">
        <f t="shared" si="3"/>
        <v>0080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1025</v>
      </c>
      <c r="B41">
        <v>1</v>
      </c>
      <c r="D41" t="str">
        <f t="shared" si="3"/>
        <v>0081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1027</v>
      </c>
      <c r="B42">
        <v>1</v>
      </c>
      <c r="D42" t="str">
        <f t="shared" si="3"/>
        <v>0082</v>
      </c>
      <c r="E42" t="str">
        <f t="shared" si="4"/>
        <v>0</v>
      </c>
      <c r="F42" t="str">
        <f t="shared" si="5"/>
        <v/>
      </c>
    </row>
    <row r="43" spans="1:6" x14ac:dyDescent="0.3">
      <c r="A43" t="s">
        <v>1029</v>
      </c>
      <c r="B43">
        <v>1</v>
      </c>
      <c r="D43" t="str">
        <f t="shared" si="3"/>
        <v>0083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1031</v>
      </c>
      <c r="B44">
        <v>1</v>
      </c>
      <c r="D44" t="str">
        <f t="shared" si="3"/>
        <v>0087</v>
      </c>
      <c r="E44" t="str">
        <f t="shared" si="4"/>
        <v>0</v>
      </c>
      <c r="F44" t="str">
        <f t="shared" si="5"/>
        <v/>
      </c>
    </row>
    <row r="45" spans="1:6" x14ac:dyDescent="0.3">
      <c r="A45" t="s">
        <v>1033</v>
      </c>
      <c r="B45">
        <v>1</v>
      </c>
      <c r="D45" t="str">
        <f t="shared" si="3"/>
        <v>0088</v>
      </c>
      <c r="E45" t="str">
        <f t="shared" si="4"/>
        <v>0</v>
      </c>
      <c r="F45" t="str">
        <f t="shared" si="5"/>
        <v/>
      </c>
    </row>
    <row r="46" spans="1:6" x14ac:dyDescent="0.3">
      <c r="A46" t="s">
        <v>1034</v>
      </c>
      <c r="B46">
        <v>1</v>
      </c>
      <c r="D46" t="str">
        <f t="shared" si="3"/>
        <v>0089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1036</v>
      </c>
      <c r="B47">
        <v>1</v>
      </c>
      <c r="D47" t="str">
        <f t="shared" si="3"/>
        <v>0090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1037</v>
      </c>
      <c r="B48">
        <v>1</v>
      </c>
      <c r="D48" t="str">
        <f t="shared" si="3"/>
        <v>0091</v>
      </c>
      <c r="E48" t="str">
        <f t="shared" si="4"/>
        <v>0</v>
      </c>
      <c r="F48" t="str">
        <f t="shared" si="5"/>
        <v/>
      </c>
    </row>
    <row r="49" spans="1:6" x14ac:dyDescent="0.3">
      <c r="A49" t="s">
        <v>1039</v>
      </c>
      <c r="B49">
        <v>1</v>
      </c>
      <c r="D49" t="str">
        <f t="shared" si="3"/>
        <v>0100</v>
      </c>
      <c r="E49" t="str">
        <f t="shared" si="4"/>
        <v>0</v>
      </c>
      <c r="F49" t="str">
        <f t="shared" si="5"/>
        <v/>
      </c>
    </row>
    <row r="50" spans="1:6" x14ac:dyDescent="0.3">
      <c r="A50" t="s">
        <v>1040</v>
      </c>
      <c r="B50">
        <v>1</v>
      </c>
      <c r="D50" t="str">
        <f t="shared" si="3"/>
        <v>0103</v>
      </c>
      <c r="E50" t="str">
        <f t="shared" si="4"/>
        <v>0</v>
      </c>
      <c r="F50" t="str">
        <f t="shared" si="5"/>
        <v/>
      </c>
    </row>
    <row r="51" spans="1:6" x14ac:dyDescent="0.3">
      <c r="A51" t="s">
        <v>1042</v>
      </c>
      <c r="B51">
        <v>1</v>
      </c>
      <c r="D51" t="str">
        <f t="shared" si="3"/>
        <v>0104</v>
      </c>
      <c r="E51" t="str">
        <f t="shared" si="4"/>
        <v>0</v>
      </c>
      <c r="F51" t="str">
        <f t="shared" si="5"/>
        <v/>
      </c>
    </row>
    <row r="52" spans="1:6" x14ac:dyDescent="0.3">
      <c r="A52" t="s">
        <v>1043</v>
      </c>
      <c r="B52">
        <v>1</v>
      </c>
      <c r="D52" t="str">
        <f t="shared" si="3"/>
        <v>0105</v>
      </c>
      <c r="E52" t="str">
        <f t="shared" si="4"/>
        <v>0</v>
      </c>
      <c r="F52" t="str">
        <f t="shared" si="5"/>
        <v/>
      </c>
    </row>
    <row r="53" spans="1:6" x14ac:dyDescent="0.3">
      <c r="A53" t="s">
        <v>1044</v>
      </c>
      <c r="B53">
        <v>1</v>
      </c>
      <c r="D53" t="str">
        <f t="shared" si="3"/>
        <v>0106</v>
      </c>
      <c r="E53" t="str">
        <f t="shared" si="4"/>
        <v>0</v>
      </c>
      <c r="F53" t="str">
        <f t="shared" si="5"/>
        <v/>
      </c>
    </row>
    <row r="54" spans="1:6" x14ac:dyDescent="0.3">
      <c r="A54" t="s">
        <v>1045</v>
      </c>
      <c r="B54">
        <v>1</v>
      </c>
      <c r="D54" t="str">
        <f t="shared" si="3"/>
        <v>0107</v>
      </c>
      <c r="E54" t="str">
        <f t="shared" si="4"/>
        <v>0</v>
      </c>
      <c r="F54" t="str">
        <f t="shared" si="5"/>
        <v/>
      </c>
    </row>
    <row r="55" spans="1:6" x14ac:dyDescent="0.3">
      <c r="A55" t="s">
        <v>1047</v>
      </c>
      <c r="B55">
        <v>1</v>
      </c>
      <c r="D55" t="str">
        <f t="shared" si="3"/>
        <v>0108</v>
      </c>
      <c r="E55" t="str">
        <f t="shared" si="4"/>
        <v>0</v>
      </c>
      <c r="F55" t="str">
        <f t="shared" si="5"/>
        <v/>
      </c>
    </row>
    <row r="56" spans="1:6" x14ac:dyDescent="0.3">
      <c r="A56" t="s">
        <v>1049</v>
      </c>
      <c r="B56">
        <v>1</v>
      </c>
      <c r="D56" t="str">
        <f t="shared" si="3"/>
        <v>0109</v>
      </c>
      <c r="E56" t="str">
        <f t="shared" si="4"/>
        <v>0</v>
      </c>
      <c r="F56" t="str">
        <f t="shared" si="5"/>
        <v/>
      </c>
    </row>
    <row r="57" spans="1:6" x14ac:dyDescent="0.3">
      <c r="A57" t="s">
        <v>1051</v>
      </c>
      <c r="B57">
        <v>1</v>
      </c>
      <c r="D57" t="str">
        <f t="shared" si="3"/>
        <v>0110</v>
      </c>
      <c r="E57" t="str">
        <f t="shared" si="4"/>
        <v>0</v>
      </c>
      <c r="F57" t="str">
        <f t="shared" si="5"/>
        <v/>
      </c>
    </row>
    <row r="58" spans="1:6" x14ac:dyDescent="0.3">
      <c r="A58" t="s">
        <v>1053</v>
      </c>
      <c r="B58">
        <v>1</v>
      </c>
      <c r="D58" t="str">
        <f t="shared" si="3"/>
        <v>0111</v>
      </c>
      <c r="E58" t="str">
        <f t="shared" si="4"/>
        <v>0</v>
      </c>
      <c r="F58" t="str">
        <f t="shared" si="5"/>
        <v/>
      </c>
    </row>
    <row r="59" spans="1:6" x14ac:dyDescent="0.3">
      <c r="A59" t="s">
        <v>1054</v>
      </c>
      <c r="B59">
        <v>1</v>
      </c>
      <c r="D59" t="str">
        <f t="shared" si="3"/>
        <v>0112</v>
      </c>
      <c r="E59" t="str">
        <f t="shared" si="4"/>
        <v>0</v>
      </c>
      <c r="F59" t="str">
        <f t="shared" si="5"/>
        <v/>
      </c>
    </row>
    <row r="60" spans="1:6" x14ac:dyDescent="0.3">
      <c r="A60" t="s">
        <v>1055</v>
      </c>
      <c r="B60">
        <v>1</v>
      </c>
      <c r="D60" t="str">
        <f t="shared" si="3"/>
        <v>0113</v>
      </c>
      <c r="E60" t="str">
        <f t="shared" si="4"/>
        <v>0</v>
      </c>
      <c r="F60" t="str">
        <f t="shared" si="5"/>
        <v/>
      </c>
    </row>
    <row r="61" spans="1:6" x14ac:dyDescent="0.3">
      <c r="A61" t="s">
        <v>1057</v>
      </c>
      <c r="B61">
        <v>1</v>
      </c>
      <c r="D61" t="str">
        <f t="shared" si="3"/>
        <v>0114</v>
      </c>
      <c r="E61" t="str">
        <f t="shared" si="4"/>
        <v>0</v>
      </c>
      <c r="F61" t="str">
        <f t="shared" si="5"/>
        <v/>
      </c>
    </row>
    <row r="62" spans="1:6" x14ac:dyDescent="0.3">
      <c r="A62" t="s">
        <v>1058</v>
      </c>
      <c r="B62">
        <v>1</v>
      </c>
      <c r="D62" t="str">
        <f t="shared" si="3"/>
        <v>0121</v>
      </c>
      <c r="E62" t="str">
        <f t="shared" si="4"/>
        <v>0</v>
      </c>
      <c r="F62" t="str">
        <f t="shared" si="5"/>
        <v/>
      </c>
    </row>
    <row r="63" spans="1:6" x14ac:dyDescent="0.3">
      <c r="A63" t="s">
        <v>1059</v>
      </c>
      <c r="B63">
        <v>1</v>
      </c>
      <c r="D63" t="str">
        <f t="shared" si="3"/>
        <v>0130</v>
      </c>
      <c r="E63" t="str">
        <f t="shared" si="4"/>
        <v>0</v>
      </c>
      <c r="F63" t="str">
        <f t="shared" si="5"/>
        <v/>
      </c>
    </row>
    <row r="64" spans="1:6" x14ac:dyDescent="0.3">
      <c r="A64" t="s">
        <v>1060</v>
      </c>
      <c r="B64">
        <v>1</v>
      </c>
      <c r="D64" t="str">
        <f t="shared" si="3"/>
        <v>0132</v>
      </c>
      <c r="E64" t="str">
        <f t="shared" si="4"/>
        <v>0</v>
      </c>
      <c r="F64" t="str">
        <f t="shared" si="5"/>
        <v/>
      </c>
    </row>
    <row r="65" spans="1:6" x14ac:dyDescent="0.3">
      <c r="A65" t="s">
        <v>1061</v>
      </c>
      <c r="B65">
        <v>1</v>
      </c>
      <c r="D65" t="str">
        <f t="shared" si="3"/>
        <v>0133</v>
      </c>
      <c r="E65" t="str">
        <f t="shared" si="4"/>
        <v>0</v>
      </c>
      <c r="F65" t="str">
        <f t="shared" si="5"/>
        <v/>
      </c>
    </row>
    <row r="66" spans="1:6" x14ac:dyDescent="0.3">
      <c r="A66" t="s">
        <v>1062</v>
      </c>
      <c r="B66">
        <v>1</v>
      </c>
      <c r="D66" t="str">
        <f t="shared" si="3"/>
        <v>0134</v>
      </c>
      <c r="E66" t="str">
        <f t="shared" si="4"/>
        <v>0</v>
      </c>
      <c r="F66" t="str">
        <f t="shared" si="5"/>
        <v/>
      </c>
    </row>
    <row r="67" spans="1:6" x14ac:dyDescent="0.3">
      <c r="A67" t="s">
        <v>1064</v>
      </c>
      <c r="B67">
        <v>1</v>
      </c>
      <c r="D67" t="str">
        <f t="shared" ref="D67:D130" si="6">IF(LEFT(A67,2)="SP",MID(A67,4,4),IF(LEFT(A67,1)="X",MID(A67,3,4),""))</f>
        <v>0135</v>
      </c>
      <c r="E67" t="str">
        <f t="shared" ref="E67:E130" si="7">IF(OR(LEFT(A67,2)="SP",AND(LEFT(A67,1)="X",LEN(A67)&gt;9)),RIGHT(A67,1),"")</f>
        <v>0</v>
      </c>
      <c r="F67" t="str">
        <f t="shared" ref="F67:F130" si="8">IF(LEFT(A67,1)="X",MID(A67,8,2),"")</f>
        <v/>
      </c>
    </row>
    <row r="68" spans="1:6" x14ac:dyDescent="0.3">
      <c r="A68" t="s">
        <v>1066</v>
      </c>
      <c r="B68">
        <v>1</v>
      </c>
      <c r="D68" t="str">
        <f t="shared" si="6"/>
        <v>0265</v>
      </c>
      <c r="E68" t="str">
        <f t="shared" si="7"/>
        <v>0</v>
      </c>
      <c r="F68" t="str">
        <f t="shared" si="8"/>
        <v/>
      </c>
    </row>
    <row r="69" spans="1:6" x14ac:dyDescent="0.3">
      <c r="A69" t="s">
        <v>1068</v>
      </c>
      <c r="B69">
        <v>1</v>
      </c>
      <c r="D69" t="str">
        <f t="shared" si="6"/>
        <v>0268</v>
      </c>
      <c r="E69" t="str">
        <f t="shared" si="7"/>
        <v>0</v>
      </c>
      <c r="F69" t="str">
        <f t="shared" si="8"/>
        <v/>
      </c>
    </row>
    <row r="70" spans="1:6" x14ac:dyDescent="0.3">
      <c r="A70" t="s">
        <v>1070</v>
      </c>
      <c r="B70">
        <v>1</v>
      </c>
      <c r="D70" t="str">
        <f t="shared" si="6"/>
        <v>0269</v>
      </c>
      <c r="E70" t="str">
        <f t="shared" si="7"/>
        <v>0</v>
      </c>
      <c r="F70" t="str">
        <f t="shared" si="8"/>
        <v/>
      </c>
    </row>
    <row r="71" spans="1:6" x14ac:dyDescent="0.3">
      <c r="A71" t="s">
        <v>1072</v>
      </c>
      <c r="B71">
        <v>1</v>
      </c>
      <c r="D71" t="str">
        <f t="shared" si="6"/>
        <v>0270</v>
      </c>
      <c r="E71" t="str">
        <f t="shared" si="7"/>
        <v>0</v>
      </c>
      <c r="F71" t="str">
        <f t="shared" si="8"/>
        <v/>
      </c>
    </row>
    <row r="72" spans="1:6" x14ac:dyDescent="0.3">
      <c r="A72" t="s">
        <v>1074</v>
      </c>
      <c r="B72">
        <v>1</v>
      </c>
      <c r="D72" t="str">
        <f t="shared" si="6"/>
        <v>0271</v>
      </c>
      <c r="E72" t="str">
        <f t="shared" si="7"/>
        <v>0</v>
      </c>
      <c r="F72" t="str">
        <f t="shared" si="8"/>
        <v/>
      </c>
    </row>
    <row r="73" spans="1:6" x14ac:dyDescent="0.3">
      <c r="A73" t="s">
        <v>1076</v>
      </c>
      <c r="B73">
        <v>1</v>
      </c>
      <c r="D73" t="str">
        <f t="shared" si="6"/>
        <v>0272</v>
      </c>
      <c r="E73" t="str">
        <f t="shared" si="7"/>
        <v>0</v>
      </c>
      <c r="F73" t="str">
        <f t="shared" si="8"/>
        <v/>
      </c>
    </row>
    <row r="74" spans="1:6" x14ac:dyDescent="0.3">
      <c r="A74" t="s">
        <v>1078</v>
      </c>
      <c r="B74">
        <v>1</v>
      </c>
      <c r="D74" t="str">
        <f t="shared" si="6"/>
        <v>0275</v>
      </c>
      <c r="E74" t="str">
        <f t="shared" si="7"/>
        <v>0</v>
      </c>
      <c r="F74" t="str">
        <f t="shared" si="8"/>
        <v/>
      </c>
    </row>
    <row r="75" spans="1:6" x14ac:dyDescent="0.3">
      <c r="A75" t="s">
        <v>1079</v>
      </c>
      <c r="B75">
        <v>1</v>
      </c>
      <c r="D75" t="str">
        <f t="shared" si="6"/>
        <v>0313</v>
      </c>
      <c r="E75" t="str">
        <f t="shared" si="7"/>
        <v>0</v>
      </c>
      <c r="F75" t="str">
        <f t="shared" si="8"/>
        <v/>
      </c>
    </row>
    <row r="76" spans="1:6" x14ac:dyDescent="0.3">
      <c r="A76" t="s">
        <v>1081</v>
      </c>
      <c r="B76">
        <v>1</v>
      </c>
      <c r="D76" t="str">
        <f t="shared" si="6"/>
        <v>0314</v>
      </c>
      <c r="E76" t="str">
        <f t="shared" si="7"/>
        <v>0</v>
      </c>
      <c r="F76" t="str">
        <f t="shared" si="8"/>
        <v/>
      </c>
    </row>
    <row r="77" spans="1:6" x14ac:dyDescent="0.3">
      <c r="A77" t="s">
        <v>1083</v>
      </c>
      <c r="B77">
        <v>1</v>
      </c>
      <c r="D77" t="str">
        <f t="shared" si="6"/>
        <v>0315</v>
      </c>
      <c r="E77" t="str">
        <f t="shared" si="7"/>
        <v>0</v>
      </c>
      <c r="F77" t="str">
        <f t="shared" si="8"/>
        <v/>
      </c>
    </row>
    <row r="78" spans="1:6" x14ac:dyDescent="0.3">
      <c r="A78" t="s">
        <v>1085</v>
      </c>
      <c r="B78">
        <v>1</v>
      </c>
      <c r="D78" t="str">
        <f t="shared" si="6"/>
        <v>0316</v>
      </c>
      <c r="E78" t="str">
        <f t="shared" si="7"/>
        <v>0</v>
      </c>
      <c r="F78" t="str">
        <f t="shared" si="8"/>
        <v/>
      </c>
    </row>
    <row r="79" spans="1:6" x14ac:dyDescent="0.3">
      <c r="A79" t="s">
        <v>1087</v>
      </c>
      <c r="B79">
        <v>1</v>
      </c>
      <c r="D79" t="str">
        <f t="shared" si="6"/>
        <v>0319</v>
      </c>
      <c r="E79" t="str">
        <f t="shared" si="7"/>
        <v>0</v>
      </c>
      <c r="F79" t="str">
        <f t="shared" si="8"/>
        <v/>
      </c>
    </row>
    <row r="80" spans="1:6" x14ac:dyDescent="0.3">
      <c r="A80" t="s">
        <v>1088</v>
      </c>
      <c r="B80">
        <v>1</v>
      </c>
      <c r="D80" t="str">
        <f t="shared" si="6"/>
        <v>0323</v>
      </c>
      <c r="E80" t="str">
        <f t="shared" si="7"/>
        <v>0</v>
      </c>
      <c r="F80" t="str">
        <f t="shared" si="8"/>
        <v/>
      </c>
    </row>
    <row r="81" spans="1:6" x14ac:dyDescent="0.3">
      <c r="A81" t="s">
        <v>1090</v>
      </c>
      <c r="B81">
        <v>1</v>
      </c>
      <c r="D81" t="str">
        <f t="shared" si="6"/>
        <v>0328</v>
      </c>
      <c r="E81" t="str">
        <f t="shared" si="7"/>
        <v>0</v>
      </c>
      <c r="F81" t="str">
        <f t="shared" si="8"/>
        <v/>
      </c>
    </row>
    <row r="82" spans="1:6" x14ac:dyDescent="0.3">
      <c r="A82" t="s">
        <v>1092</v>
      </c>
      <c r="B82">
        <v>1</v>
      </c>
      <c r="D82" t="str">
        <f t="shared" si="6"/>
        <v>0335</v>
      </c>
      <c r="E82" t="str">
        <f t="shared" si="7"/>
        <v>0</v>
      </c>
      <c r="F82" t="str">
        <f t="shared" si="8"/>
        <v/>
      </c>
    </row>
    <row r="83" spans="1:6" x14ac:dyDescent="0.3">
      <c r="A83" t="s">
        <v>1093</v>
      </c>
      <c r="B83">
        <v>1</v>
      </c>
      <c r="D83" t="str">
        <f t="shared" si="6"/>
        <v>0336</v>
      </c>
      <c r="E83" t="str">
        <f t="shared" si="7"/>
        <v>0</v>
      </c>
      <c r="F83" t="str">
        <f t="shared" si="8"/>
        <v/>
      </c>
    </row>
    <row r="84" spans="1:6" x14ac:dyDescent="0.3">
      <c r="A84" t="s">
        <v>1095</v>
      </c>
      <c r="B84">
        <v>1</v>
      </c>
      <c r="D84" t="str">
        <f t="shared" si="6"/>
        <v>0341</v>
      </c>
      <c r="E84" t="str">
        <f t="shared" si="7"/>
        <v>0</v>
      </c>
      <c r="F84" t="str">
        <f t="shared" si="8"/>
        <v/>
      </c>
    </row>
    <row r="85" spans="1:6" x14ac:dyDescent="0.3">
      <c r="A85" t="s">
        <v>1097</v>
      </c>
      <c r="B85">
        <v>1</v>
      </c>
      <c r="D85" t="str">
        <f t="shared" si="6"/>
        <v>0347</v>
      </c>
      <c r="E85" t="str">
        <f t="shared" si="7"/>
        <v>0</v>
      </c>
      <c r="F85" t="str">
        <f t="shared" si="8"/>
        <v/>
      </c>
    </row>
    <row r="86" spans="1:6" x14ac:dyDescent="0.3">
      <c r="A86" t="s">
        <v>1099</v>
      </c>
      <c r="B86">
        <v>1</v>
      </c>
      <c r="D86" t="str">
        <f t="shared" si="6"/>
        <v>0348</v>
      </c>
      <c r="E86" t="str">
        <f t="shared" si="7"/>
        <v>0</v>
      </c>
      <c r="F86" t="str">
        <f t="shared" si="8"/>
        <v/>
      </c>
    </row>
    <row r="87" spans="1:6" x14ac:dyDescent="0.3">
      <c r="A87" t="s">
        <v>1100</v>
      </c>
      <c r="B87">
        <v>1</v>
      </c>
      <c r="D87" t="str">
        <f t="shared" si="6"/>
        <v>0349</v>
      </c>
      <c r="E87" t="str">
        <f t="shared" si="7"/>
        <v>0</v>
      </c>
      <c r="F87" t="str">
        <f t="shared" si="8"/>
        <v/>
      </c>
    </row>
    <row r="88" spans="1:6" x14ac:dyDescent="0.3">
      <c r="A88" t="s">
        <v>1102</v>
      </c>
      <c r="B88">
        <v>1</v>
      </c>
      <c r="D88" t="str">
        <f t="shared" si="6"/>
        <v>0350</v>
      </c>
      <c r="E88" t="str">
        <f t="shared" si="7"/>
        <v>0</v>
      </c>
      <c r="F88" t="str">
        <f t="shared" si="8"/>
        <v/>
      </c>
    </row>
    <row r="89" spans="1:6" x14ac:dyDescent="0.3">
      <c r="A89" t="s">
        <v>1104</v>
      </c>
      <c r="B89">
        <v>1</v>
      </c>
      <c r="D89" t="str">
        <f t="shared" si="6"/>
        <v>0351</v>
      </c>
      <c r="E89" t="str">
        <f t="shared" si="7"/>
        <v>0</v>
      </c>
      <c r="F89" t="str">
        <f t="shared" si="8"/>
        <v/>
      </c>
    </row>
    <row r="90" spans="1:6" x14ac:dyDescent="0.3">
      <c r="A90" t="s">
        <v>1105</v>
      </c>
      <c r="B90">
        <v>1</v>
      </c>
      <c r="D90" t="str">
        <f t="shared" si="6"/>
        <v>0353</v>
      </c>
      <c r="E90" t="str">
        <f t="shared" si="7"/>
        <v>0</v>
      </c>
      <c r="F90" t="str">
        <f t="shared" si="8"/>
        <v/>
      </c>
    </row>
    <row r="91" spans="1:6" x14ac:dyDescent="0.3">
      <c r="A91" t="s">
        <v>1107</v>
      </c>
      <c r="B91">
        <v>1</v>
      </c>
      <c r="D91" t="str">
        <f t="shared" si="6"/>
        <v>0359</v>
      </c>
      <c r="E91" t="str">
        <f t="shared" si="7"/>
        <v>0</v>
      </c>
      <c r="F91" t="str">
        <f t="shared" si="8"/>
        <v/>
      </c>
    </row>
    <row r="92" spans="1:6" x14ac:dyDescent="0.3">
      <c r="A92" t="s">
        <v>1109</v>
      </c>
      <c r="B92">
        <v>1</v>
      </c>
      <c r="D92" t="str">
        <f t="shared" si="6"/>
        <v>0364</v>
      </c>
      <c r="E92" t="str">
        <f t="shared" si="7"/>
        <v>0</v>
      </c>
      <c r="F92" t="str">
        <f t="shared" si="8"/>
        <v/>
      </c>
    </row>
    <row r="93" spans="1:6" x14ac:dyDescent="0.3">
      <c r="A93" t="s">
        <v>1110</v>
      </c>
      <c r="B93">
        <v>1</v>
      </c>
      <c r="D93" t="str">
        <f t="shared" si="6"/>
        <v>0366</v>
      </c>
      <c r="E93" t="str">
        <f t="shared" si="7"/>
        <v>0</v>
      </c>
      <c r="F93" t="str">
        <f t="shared" si="8"/>
        <v/>
      </c>
    </row>
    <row r="94" spans="1:6" x14ac:dyDescent="0.3">
      <c r="A94" t="s">
        <v>1112</v>
      </c>
      <c r="B94">
        <v>1</v>
      </c>
      <c r="D94" t="str">
        <f t="shared" si="6"/>
        <v>0367</v>
      </c>
      <c r="E94" t="str">
        <f t="shared" si="7"/>
        <v>0</v>
      </c>
      <c r="F94" t="str">
        <f t="shared" si="8"/>
        <v/>
      </c>
    </row>
    <row r="95" spans="1:6" x14ac:dyDescent="0.3">
      <c r="A95" t="s">
        <v>1114</v>
      </c>
      <c r="B95">
        <v>1</v>
      </c>
      <c r="D95" t="str">
        <f t="shared" si="6"/>
        <v>0369</v>
      </c>
      <c r="E95" t="str">
        <f t="shared" si="7"/>
        <v>0</v>
      </c>
      <c r="F95" t="str">
        <f t="shared" si="8"/>
        <v/>
      </c>
    </row>
    <row r="96" spans="1:6" x14ac:dyDescent="0.3">
      <c r="A96" t="s">
        <v>1116</v>
      </c>
      <c r="B96">
        <v>1</v>
      </c>
      <c r="D96" t="str">
        <f t="shared" si="6"/>
        <v>0375</v>
      </c>
      <c r="E96" t="str">
        <f t="shared" si="7"/>
        <v>0</v>
      </c>
      <c r="F96" t="str">
        <f t="shared" si="8"/>
        <v/>
      </c>
    </row>
    <row r="97" spans="1:6" x14ac:dyDescent="0.3">
      <c r="A97" t="s">
        <v>1117</v>
      </c>
      <c r="B97">
        <v>1</v>
      </c>
      <c r="D97" t="str">
        <f t="shared" si="6"/>
        <v>0377</v>
      </c>
      <c r="E97" t="str">
        <f t="shared" si="7"/>
        <v>0</v>
      </c>
      <c r="F97" t="str">
        <f t="shared" si="8"/>
        <v/>
      </c>
    </row>
    <row r="98" spans="1:6" x14ac:dyDescent="0.3">
      <c r="A98" t="s">
        <v>1119</v>
      </c>
      <c r="B98">
        <v>1</v>
      </c>
      <c r="D98" t="str">
        <f t="shared" si="6"/>
        <v>0378</v>
      </c>
      <c r="E98" t="str">
        <f t="shared" si="7"/>
        <v>0</v>
      </c>
      <c r="F98" t="str">
        <f t="shared" si="8"/>
        <v/>
      </c>
    </row>
    <row r="99" spans="1:6" x14ac:dyDescent="0.3">
      <c r="A99" t="s">
        <v>1120</v>
      </c>
      <c r="B99">
        <v>1</v>
      </c>
      <c r="D99" t="str">
        <f t="shared" si="6"/>
        <v>0380</v>
      </c>
      <c r="E99" t="str">
        <f t="shared" si="7"/>
        <v>0</v>
      </c>
      <c r="F99" t="str">
        <f t="shared" si="8"/>
        <v/>
      </c>
    </row>
    <row r="100" spans="1:6" x14ac:dyDescent="0.3">
      <c r="A100" t="s">
        <v>1122</v>
      </c>
      <c r="B100">
        <v>1</v>
      </c>
      <c r="D100" t="str">
        <f t="shared" si="6"/>
        <v>0385</v>
      </c>
      <c r="E100" t="str">
        <f t="shared" si="7"/>
        <v>0</v>
      </c>
      <c r="F100" t="str">
        <f t="shared" si="8"/>
        <v/>
      </c>
    </row>
    <row r="101" spans="1:6" x14ac:dyDescent="0.3">
      <c r="A101" t="s">
        <v>1124</v>
      </c>
      <c r="B101">
        <v>1</v>
      </c>
      <c r="D101" t="str">
        <f t="shared" si="6"/>
        <v>0387</v>
      </c>
      <c r="E101" t="str">
        <f t="shared" si="7"/>
        <v>0</v>
      </c>
      <c r="F101" t="str">
        <f t="shared" si="8"/>
        <v/>
      </c>
    </row>
    <row r="102" spans="1:6" x14ac:dyDescent="0.3">
      <c r="A102" t="s">
        <v>1126</v>
      </c>
      <c r="B102">
        <v>1</v>
      </c>
      <c r="D102" t="str">
        <f t="shared" si="6"/>
        <v>0391</v>
      </c>
      <c r="E102" t="str">
        <f t="shared" si="7"/>
        <v>0</v>
      </c>
      <c r="F102" t="str">
        <f t="shared" si="8"/>
        <v/>
      </c>
    </row>
    <row r="103" spans="1:6" x14ac:dyDescent="0.3">
      <c r="A103" t="s">
        <v>1128</v>
      </c>
      <c r="B103">
        <v>1</v>
      </c>
      <c r="D103" t="str">
        <f t="shared" si="6"/>
        <v>0392</v>
      </c>
      <c r="E103" t="str">
        <f t="shared" si="7"/>
        <v>0</v>
      </c>
      <c r="F103" t="str">
        <f t="shared" si="8"/>
        <v/>
      </c>
    </row>
    <row r="104" spans="1:6" x14ac:dyDescent="0.3">
      <c r="A104" t="s">
        <v>1130</v>
      </c>
      <c r="B104">
        <v>1</v>
      </c>
      <c r="D104" t="str">
        <f t="shared" si="6"/>
        <v>0393</v>
      </c>
      <c r="E104" t="str">
        <f t="shared" si="7"/>
        <v>0</v>
      </c>
      <c r="F104" t="str">
        <f t="shared" si="8"/>
        <v/>
      </c>
    </row>
    <row r="105" spans="1:6" x14ac:dyDescent="0.3">
      <c r="A105" t="s">
        <v>1132</v>
      </c>
      <c r="B105">
        <v>1</v>
      </c>
      <c r="D105" t="str">
        <f t="shared" si="6"/>
        <v>0397</v>
      </c>
      <c r="E105" t="str">
        <f t="shared" si="7"/>
        <v>0</v>
      </c>
      <c r="F105" t="str">
        <f t="shared" si="8"/>
        <v/>
      </c>
    </row>
    <row r="106" spans="1:6" x14ac:dyDescent="0.3">
      <c r="A106" t="s">
        <v>1134</v>
      </c>
      <c r="B106">
        <v>1</v>
      </c>
      <c r="D106" t="str">
        <f t="shared" si="6"/>
        <v>0398</v>
      </c>
      <c r="E106" t="str">
        <f t="shared" si="7"/>
        <v>0</v>
      </c>
      <c r="F106" t="str">
        <f t="shared" si="8"/>
        <v/>
      </c>
    </row>
    <row r="107" spans="1:6" x14ac:dyDescent="0.3">
      <c r="A107" t="s">
        <v>1136</v>
      </c>
      <c r="B107">
        <v>1</v>
      </c>
      <c r="D107" t="str">
        <f t="shared" si="6"/>
        <v>0399</v>
      </c>
      <c r="E107" t="str">
        <f t="shared" si="7"/>
        <v>0</v>
      </c>
      <c r="F107" t="str">
        <f t="shared" si="8"/>
        <v/>
      </c>
    </row>
    <row r="108" spans="1:6" x14ac:dyDescent="0.3">
      <c r="A108" t="s">
        <v>1138</v>
      </c>
      <c r="B108">
        <v>1</v>
      </c>
      <c r="D108" t="str">
        <f t="shared" si="6"/>
        <v>0400</v>
      </c>
      <c r="E108" t="str">
        <f t="shared" si="7"/>
        <v>0</v>
      </c>
      <c r="F108" t="str">
        <f t="shared" si="8"/>
        <v/>
      </c>
    </row>
    <row r="109" spans="1:6" x14ac:dyDescent="0.3">
      <c r="A109" t="s">
        <v>1139</v>
      </c>
      <c r="B109">
        <v>1</v>
      </c>
      <c r="D109" t="str">
        <f t="shared" si="6"/>
        <v>0404</v>
      </c>
      <c r="E109" t="str">
        <f t="shared" si="7"/>
        <v>0</v>
      </c>
      <c r="F109" t="str">
        <f t="shared" si="8"/>
        <v/>
      </c>
    </row>
    <row r="110" spans="1:6" x14ac:dyDescent="0.3">
      <c r="A110" t="s">
        <v>1140</v>
      </c>
      <c r="B110">
        <v>1</v>
      </c>
      <c r="D110" t="str">
        <f t="shared" si="6"/>
        <v>0405</v>
      </c>
      <c r="E110" t="str">
        <f t="shared" si="7"/>
        <v>0</v>
      </c>
      <c r="F110" t="str">
        <f t="shared" si="8"/>
        <v/>
      </c>
    </row>
    <row r="111" spans="1:6" x14ac:dyDescent="0.3">
      <c r="A111" t="s">
        <v>1141</v>
      </c>
      <c r="B111">
        <v>1</v>
      </c>
      <c r="D111" t="str">
        <f t="shared" si="6"/>
        <v>0412</v>
      </c>
      <c r="E111" t="str">
        <f t="shared" si="7"/>
        <v>0</v>
      </c>
      <c r="F111" t="str">
        <f t="shared" si="8"/>
        <v/>
      </c>
    </row>
    <row r="112" spans="1:6" x14ac:dyDescent="0.3">
      <c r="A112" t="s">
        <v>1142</v>
      </c>
      <c r="B112">
        <v>1</v>
      </c>
      <c r="D112" t="str">
        <f t="shared" si="6"/>
        <v>0420</v>
      </c>
      <c r="E112" t="str">
        <f t="shared" si="7"/>
        <v>0</v>
      </c>
      <c r="F112" t="str">
        <f t="shared" si="8"/>
        <v/>
      </c>
    </row>
    <row r="113" spans="1:6" x14ac:dyDescent="0.3">
      <c r="A113" t="s">
        <v>1144</v>
      </c>
      <c r="B113">
        <v>1</v>
      </c>
      <c r="D113" t="str">
        <f t="shared" si="6"/>
        <v>0421</v>
      </c>
      <c r="E113" t="str">
        <f t="shared" si="7"/>
        <v>0</v>
      </c>
      <c r="F113" t="str">
        <f t="shared" si="8"/>
        <v/>
      </c>
    </row>
    <row r="114" spans="1:6" x14ac:dyDescent="0.3">
      <c r="A114" t="s">
        <v>1146</v>
      </c>
      <c r="B114">
        <v>1</v>
      </c>
      <c r="D114" t="str">
        <f t="shared" si="6"/>
        <v>0425</v>
      </c>
      <c r="E114" t="str">
        <f t="shared" si="7"/>
        <v>0</v>
      </c>
      <c r="F114" t="str">
        <f t="shared" si="8"/>
        <v/>
      </c>
    </row>
    <row r="115" spans="1:6" x14ac:dyDescent="0.3">
      <c r="A115" t="s">
        <v>1148</v>
      </c>
      <c r="B115">
        <v>1</v>
      </c>
      <c r="D115" t="str">
        <f t="shared" si="6"/>
        <v>0434</v>
      </c>
      <c r="E115" t="str">
        <f t="shared" si="7"/>
        <v>0</v>
      </c>
      <c r="F115" t="str">
        <f t="shared" si="8"/>
        <v/>
      </c>
    </row>
    <row r="116" spans="1:6" x14ac:dyDescent="0.3">
      <c r="A116" t="s">
        <v>1150</v>
      </c>
      <c r="B116">
        <v>1</v>
      </c>
      <c r="D116" t="str">
        <f t="shared" si="6"/>
        <v>0435</v>
      </c>
      <c r="E116" t="str">
        <f t="shared" si="7"/>
        <v>0</v>
      </c>
      <c r="F116" t="str">
        <f t="shared" si="8"/>
        <v/>
      </c>
    </row>
    <row r="117" spans="1:6" x14ac:dyDescent="0.3">
      <c r="A117" t="s">
        <v>1152</v>
      </c>
      <c r="B117">
        <v>1</v>
      </c>
      <c r="D117" t="str">
        <f t="shared" si="6"/>
        <v>0436</v>
      </c>
      <c r="E117" t="str">
        <f t="shared" si="7"/>
        <v>0</v>
      </c>
      <c r="F117" t="str">
        <f t="shared" si="8"/>
        <v/>
      </c>
    </row>
    <row r="118" spans="1:6" x14ac:dyDescent="0.3">
      <c r="A118" t="s">
        <v>1153</v>
      </c>
      <c r="B118">
        <v>1</v>
      </c>
      <c r="D118" t="str">
        <f t="shared" si="6"/>
        <v>0437</v>
      </c>
      <c r="E118" t="str">
        <f t="shared" si="7"/>
        <v>0</v>
      </c>
      <c r="F118" t="str">
        <f t="shared" si="8"/>
        <v/>
      </c>
    </row>
    <row r="119" spans="1:6" x14ac:dyDescent="0.3">
      <c r="A119" t="s">
        <v>1155</v>
      </c>
      <c r="B119">
        <v>1</v>
      </c>
      <c r="D119" t="str">
        <f t="shared" si="6"/>
        <v>0438</v>
      </c>
      <c r="E119" t="str">
        <f t="shared" si="7"/>
        <v>0</v>
      </c>
      <c r="F119" t="str">
        <f t="shared" si="8"/>
        <v/>
      </c>
    </row>
    <row r="120" spans="1:6" x14ac:dyDescent="0.3">
      <c r="A120" t="s">
        <v>1157</v>
      </c>
      <c r="B120">
        <v>1</v>
      </c>
      <c r="D120" t="str">
        <f t="shared" si="6"/>
        <v>0439</v>
      </c>
      <c r="E120" t="str">
        <f t="shared" si="7"/>
        <v>0</v>
      </c>
      <c r="F120" t="str">
        <f t="shared" si="8"/>
        <v/>
      </c>
    </row>
    <row r="121" spans="1:6" x14ac:dyDescent="0.3">
      <c r="A121" t="s">
        <v>1159</v>
      </c>
      <c r="B121">
        <v>1</v>
      </c>
      <c r="D121" t="str">
        <f t="shared" si="6"/>
        <v>0458</v>
      </c>
      <c r="E121" t="str">
        <f t="shared" si="7"/>
        <v>0</v>
      </c>
      <c r="F121" t="str">
        <f t="shared" si="8"/>
        <v/>
      </c>
    </row>
    <row r="122" spans="1:6" x14ac:dyDescent="0.3">
      <c r="A122" t="s">
        <v>1161</v>
      </c>
      <c r="B122">
        <v>1</v>
      </c>
      <c r="D122" t="str">
        <f t="shared" si="6"/>
        <v>0459</v>
      </c>
      <c r="E122" t="str">
        <f t="shared" si="7"/>
        <v>0</v>
      </c>
      <c r="F122" t="str">
        <f t="shared" si="8"/>
        <v/>
      </c>
    </row>
    <row r="123" spans="1:6" x14ac:dyDescent="0.3">
      <c r="A123" t="s">
        <v>1162</v>
      </c>
      <c r="B123">
        <v>1</v>
      </c>
      <c r="D123" t="str">
        <f t="shared" si="6"/>
        <v>0461</v>
      </c>
      <c r="E123" t="str">
        <f t="shared" si="7"/>
        <v>0</v>
      </c>
      <c r="F123" t="str">
        <f t="shared" si="8"/>
        <v/>
      </c>
    </row>
    <row r="124" spans="1:6" x14ac:dyDescent="0.3">
      <c r="A124" t="s">
        <v>1164</v>
      </c>
      <c r="B124">
        <v>1</v>
      </c>
      <c r="D124" t="str">
        <f t="shared" si="6"/>
        <v>0485</v>
      </c>
      <c r="E124" t="str">
        <f t="shared" si="7"/>
        <v>0</v>
      </c>
      <c r="F124" t="str">
        <f t="shared" si="8"/>
        <v/>
      </c>
    </row>
    <row r="125" spans="1:6" x14ac:dyDescent="0.3">
      <c r="A125" t="s">
        <v>1166</v>
      </c>
      <c r="B125">
        <v>1</v>
      </c>
      <c r="D125" t="str">
        <f t="shared" si="6"/>
        <v>0486</v>
      </c>
      <c r="E125" t="str">
        <f t="shared" si="7"/>
        <v>0</v>
      </c>
      <c r="F125" t="str">
        <f t="shared" si="8"/>
        <v/>
      </c>
    </row>
    <row r="126" spans="1:6" x14ac:dyDescent="0.3">
      <c r="A126" t="s">
        <v>1168</v>
      </c>
      <c r="B126">
        <v>1</v>
      </c>
      <c r="D126" t="str">
        <f t="shared" si="6"/>
        <v>0487</v>
      </c>
      <c r="E126" t="str">
        <f t="shared" si="7"/>
        <v>0</v>
      </c>
      <c r="F126" t="str">
        <f t="shared" si="8"/>
        <v/>
      </c>
    </row>
    <row r="127" spans="1:6" x14ac:dyDescent="0.3">
      <c r="A127" t="s">
        <v>1170</v>
      </c>
      <c r="B127">
        <v>1</v>
      </c>
      <c r="D127" t="str">
        <f t="shared" si="6"/>
        <v>0488</v>
      </c>
      <c r="E127" t="str">
        <f t="shared" si="7"/>
        <v>0</v>
      </c>
      <c r="F127" t="str">
        <f t="shared" si="8"/>
        <v/>
      </c>
    </row>
    <row r="128" spans="1:6" x14ac:dyDescent="0.3">
      <c r="A128" t="s">
        <v>1172</v>
      </c>
      <c r="B128">
        <v>1</v>
      </c>
      <c r="D128" t="str">
        <f t="shared" si="6"/>
        <v>0489</v>
      </c>
      <c r="E128" t="str">
        <f t="shared" si="7"/>
        <v>0</v>
      </c>
      <c r="F128" t="str">
        <f t="shared" si="8"/>
        <v/>
      </c>
    </row>
    <row r="129" spans="1:6" x14ac:dyDescent="0.3">
      <c r="A129" t="s">
        <v>1174</v>
      </c>
      <c r="B129">
        <v>1</v>
      </c>
      <c r="D129" t="str">
        <f t="shared" si="6"/>
        <v>0498</v>
      </c>
      <c r="E129" t="str">
        <f t="shared" si="7"/>
        <v>0</v>
      </c>
      <c r="F129" t="str">
        <f t="shared" si="8"/>
        <v/>
      </c>
    </row>
    <row r="130" spans="1:6" x14ac:dyDescent="0.3">
      <c r="A130" t="s">
        <v>1176</v>
      </c>
      <c r="B130">
        <v>1</v>
      </c>
      <c r="D130" t="str">
        <f t="shared" si="6"/>
        <v>0499</v>
      </c>
      <c r="E130" t="str">
        <f t="shared" si="7"/>
        <v>0</v>
      </c>
      <c r="F130" t="str">
        <f t="shared" si="8"/>
        <v/>
      </c>
    </row>
    <row r="131" spans="1:6" x14ac:dyDescent="0.3">
      <c r="A131" t="s">
        <v>1179</v>
      </c>
      <c r="B131">
        <v>1</v>
      </c>
      <c r="D131" t="str">
        <f t="shared" ref="D131:D194" si="9">IF(LEFT(A131,2)="SP",MID(A131,4,4),IF(LEFT(A131,1)="X",MID(A131,3,4),""))</f>
        <v>0001</v>
      </c>
      <c r="E131" t="str">
        <f t="shared" ref="E131:E194" si="10">IF(OR(LEFT(A131,2)="SP",AND(LEFT(A131,1)="X",LEN(A131)&gt;9)),RIGHT(A131,1),"")</f>
        <v/>
      </c>
      <c r="F131" t="str">
        <f t="shared" ref="F131:F194" si="11">IF(LEFT(A131,1)="X",MID(A131,8,2),"")</f>
        <v>CR</v>
      </c>
    </row>
    <row r="132" spans="1:6" x14ac:dyDescent="0.3">
      <c r="A132" t="s">
        <v>1181</v>
      </c>
      <c r="B132">
        <v>1</v>
      </c>
      <c r="D132" t="str">
        <f t="shared" si="9"/>
        <v>0002</v>
      </c>
      <c r="E132" t="str">
        <f t="shared" si="10"/>
        <v/>
      </c>
      <c r="F132" t="str">
        <f t="shared" si="11"/>
        <v>CR</v>
      </c>
    </row>
    <row r="133" spans="1:6" x14ac:dyDescent="0.3">
      <c r="A133" t="s">
        <v>1183</v>
      </c>
      <c r="B133">
        <v>1</v>
      </c>
      <c r="D133" t="str">
        <f t="shared" si="9"/>
        <v>0003</v>
      </c>
      <c r="E133" t="str">
        <f t="shared" si="10"/>
        <v/>
      </c>
      <c r="F133" t="str">
        <f t="shared" si="11"/>
        <v>CR</v>
      </c>
    </row>
    <row r="134" spans="1:6" x14ac:dyDescent="0.3">
      <c r="A134" t="s">
        <v>1186</v>
      </c>
      <c r="B134">
        <v>1</v>
      </c>
      <c r="D134" t="str">
        <f t="shared" si="9"/>
        <v>0004</v>
      </c>
      <c r="E134" t="str">
        <f t="shared" si="10"/>
        <v/>
      </c>
      <c r="F134" t="str">
        <f t="shared" si="11"/>
        <v>CR</v>
      </c>
    </row>
    <row r="135" spans="1:6" x14ac:dyDescent="0.3">
      <c r="A135" t="s">
        <v>1189</v>
      </c>
      <c r="B135">
        <v>1</v>
      </c>
      <c r="D135" t="str">
        <f t="shared" si="9"/>
        <v>0005</v>
      </c>
      <c r="E135" t="str">
        <f t="shared" si="10"/>
        <v/>
      </c>
      <c r="F135" t="str">
        <f t="shared" si="11"/>
        <v>CR</v>
      </c>
    </row>
    <row r="136" spans="1:6" x14ac:dyDescent="0.3">
      <c r="A136" t="s">
        <v>1192</v>
      </c>
      <c r="B136">
        <v>1</v>
      </c>
      <c r="D136" t="str">
        <f t="shared" si="9"/>
        <v>0006</v>
      </c>
      <c r="E136" t="str">
        <f t="shared" si="10"/>
        <v/>
      </c>
      <c r="F136" t="str">
        <f t="shared" si="11"/>
        <v>CR</v>
      </c>
    </row>
    <row r="137" spans="1:6" x14ac:dyDescent="0.3">
      <c r="A137" t="s">
        <v>1196</v>
      </c>
      <c r="B137">
        <v>1</v>
      </c>
      <c r="D137" t="str">
        <f t="shared" si="9"/>
        <v>0007</v>
      </c>
      <c r="E137" t="str">
        <f t="shared" si="10"/>
        <v/>
      </c>
      <c r="F137" t="str">
        <f t="shared" si="11"/>
        <v>CR</v>
      </c>
    </row>
    <row r="138" spans="1:6" x14ac:dyDescent="0.3">
      <c r="A138" t="s">
        <v>1200</v>
      </c>
      <c r="B138">
        <v>1</v>
      </c>
      <c r="D138" t="str">
        <f t="shared" si="9"/>
        <v>0008</v>
      </c>
      <c r="E138" t="str">
        <f t="shared" si="10"/>
        <v/>
      </c>
      <c r="F138" t="str">
        <f t="shared" si="11"/>
        <v>CR</v>
      </c>
    </row>
    <row r="139" spans="1:6" x14ac:dyDescent="0.3">
      <c r="A139" t="s">
        <v>1205</v>
      </c>
      <c r="B139">
        <v>1</v>
      </c>
      <c r="D139" t="str">
        <f t="shared" si="9"/>
        <v>0009</v>
      </c>
      <c r="E139" t="str">
        <f t="shared" si="10"/>
        <v/>
      </c>
      <c r="F139" t="str">
        <f t="shared" si="11"/>
        <v>CR</v>
      </c>
    </row>
    <row r="140" spans="1:6" x14ac:dyDescent="0.3">
      <c r="A140" t="s">
        <v>1209</v>
      </c>
      <c r="B140">
        <v>1</v>
      </c>
      <c r="D140" t="str">
        <f t="shared" si="9"/>
        <v>0010</v>
      </c>
      <c r="E140" t="str">
        <f t="shared" si="10"/>
        <v/>
      </c>
      <c r="F140" t="str">
        <f t="shared" si="11"/>
        <v>CR</v>
      </c>
    </row>
    <row r="141" spans="1:6" x14ac:dyDescent="0.3">
      <c r="A141" t="s">
        <v>1212</v>
      </c>
      <c r="B141">
        <v>1</v>
      </c>
      <c r="D141" t="str">
        <f t="shared" si="9"/>
        <v>0011</v>
      </c>
      <c r="E141" t="str">
        <f t="shared" si="10"/>
        <v/>
      </c>
      <c r="F141" t="str">
        <f t="shared" si="11"/>
        <v>CR</v>
      </c>
    </row>
    <row r="142" spans="1:6" x14ac:dyDescent="0.3">
      <c r="A142" t="s">
        <v>1216</v>
      </c>
      <c r="B142">
        <v>1</v>
      </c>
      <c r="D142" t="str">
        <f t="shared" si="9"/>
        <v>0012</v>
      </c>
      <c r="E142" t="str">
        <f t="shared" si="10"/>
        <v/>
      </c>
      <c r="F142" t="str">
        <f t="shared" si="11"/>
        <v>CR</v>
      </c>
    </row>
    <row r="143" spans="1:6" x14ac:dyDescent="0.3">
      <c r="A143" t="s">
        <v>1219</v>
      </c>
      <c r="B143">
        <v>1</v>
      </c>
      <c r="D143" t="str">
        <f t="shared" si="9"/>
        <v>0013</v>
      </c>
      <c r="E143" t="str">
        <f t="shared" si="10"/>
        <v/>
      </c>
      <c r="F143" t="str">
        <f t="shared" si="11"/>
        <v>CR</v>
      </c>
    </row>
    <row r="144" spans="1:6" x14ac:dyDescent="0.3">
      <c r="A144" t="s">
        <v>1221</v>
      </c>
      <c r="B144">
        <v>1</v>
      </c>
      <c r="D144" t="str">
        <f t="shared" si="9"/>
        <v>0014</v>
      </c>
      <c r="E144" t="str">
        <f t="shared" si="10"/>
        <v/>
      </c>
      <c r="F144" t="str">
        <f t="shared" si="11"/>
        <v>CR</v>
      </c>
    </row>
    <row r="145" spans="1:6" x14ac:dyDescent="0.3">
      <c r="A145" t="s">
        <v>1223</v>
      </c>
      <c r="B145">
        <v>1</v>
      </c>
      <c r="D145" t="str">
        <f t="shared" si="9"/>
        <v>0015</v>
      </c>
      <c r="E145" t="str">
        <f t="shared" si="10"/>
        <v/>
      </c>
      <c r="F145" t="str">
        <f t="shared" si="11"/>
        <v>CR</v>
      </c>
    </row>
    <row r="146" spans="1:6" x14ac:dyDescent="0.3">
      <c r="A146" t="s">
        <v>1226</v>
      </c>
      <c r="B146">
        <v>1</v>
      </c>
      <c r="D146" t="str">
        <f t="shared" si="9"/>
        <v>0016</v>
      </c>
      <c r="E146" t="str">
        <f t="shared" si="10"/>
        <v/>
      </c>
      <c r="F146" t="str">
        <f t="shared" si="11"/>
        <v>CR</v>
      </c>
    </row>
    <row r="147" spans="1:6" x14ac:dyDescent="0.3">
      <c r="A147" t="s">
        <v>1230</v>
      </c>
      <c r="B147">
        <v>1</v>
      </c>
      <c r="D147" t="str">
        <f t="shared" si="9"/>
        <v>0017</v>
      </c>
      <c r="E147" t="str">
        <f t="shared" si="10"/>
        <v/>
      </c>
      <c r="F147" t="str">
        <f t="shared" si="11"/>
        <v>CR</v>
      </c>
    </row>
    <row r="148" spans="1:6" x14ac:dyDescent="0.3">
      <c r="A148" t="s">
        <v>1233</v>
      </c>
      <c r="B148">
        <v>1</v>
      </c>
      <c r="D148" t="str">
        <f t="shared" si="9"/>
        <v>0018</v>
      </c>
      <c r="E148" t="str">
        <f t="shared" si="10"/>
        <v/>
      </c>
      <c r="F148" t="str">
        <f t="shared" si="11"/>
        <v>CR</v>
      </c>
    </row>
    <row r="149" spans="1:6" x14ac:dyDescent="0.3">
      <c r="A149" t="s">
        <v>1236</v>
      </c>
      <c r="B149">
        <v>1</v>
      </c>
      <c r="D149" t="str">
        <f t="shared" si="9"/>
        <v>0019</v>
      </c>
      <c r="E149" t="str">
        <f t="shared" si="10"/>
        <v/>
      </c>
      <c r="F149" t="str">
        <f t="shared" si="11"/>
        <v>CR</v>
      </c>
    </row>
    <row r="150" spans="1:6" x14ac:dyDescent="0.3">
      <c r="A150" t="s">
        <v>1241</v>
      </c>
      <c r="B150">
        <v>1</v>
      </c>
      <c r="D150" t="str">
        <f t="shared" si="9"/>
        <v>0020</v>
      </c>
      <c r="E150" t="str">
        <f t="shared" si="10"/>
        <v/>
      </c>
      <c r="F150" t="str">
        <f t="shared" si="11"/>
        <v>CR</v>
      </c>
    </row>
    <row r="151" spans="1:6" x14ac:dyDescent="0.3">
      <c r="A151" t="s">
        <v>1244</v>
      </c>
      <c r="B151">
        <v>1</v>
      </c>
      <c r="D151" t="str">
        <f t="shared" si="9"/>
        <v>0021</v>
      </c>
      <c r="E151" t="str">
        <f t="shared" si="10"/>
        <v/>
      </c>
      <c r="F151" t="str">
        <f t="shared" si="11"/>
        <v>CR</v>
      </c>
    </row>
    <row r="152" spans="1:6" x14ac:dyDescent="0.3">
      <c r="A152" t="s">
        <v>1248</v>
      </c>
      <c r="B152">
        <v>1</v>
      </c>
      <c r="D152" t="str">
        <f t="shared" si="9"/>
        <v>0022</v>
      </c>
      <c r="E152" t="str">
        <f t="shared" si="10"/>
        <v/>
      </c>
      <c r="F152" t="str">
        <f t="shared" si="11"/>
        <v>CR</v>
      </c>
    </row>
    <row r="153" spans="1:6" x14ac:dyDescent="0.3">
      <c r="A153" t="s">
        <v>1253</v>
      </c>
      <c r="B153">
        <v>1</v>
      </c>
      <c r="D153" t="str">
        <f t="shared" si="9"/>
        <v>0023</v>
      </c>
      <c r="E153" t="str">
        <f t="shared" si="10"/>
        <v/>
      </c>
      <c r="F153" t="str">
        <f t="shared" si="11"/>
        <v>CR</v>
      </c>
    </row>
    <row r="154" spans="1:6" x14ac:dyDescent="0.3">
      <c r="A154" t="s">
        <v>1255</v>
      </c>
      <c r="B154">
        <v>1</v>
      </c>
      <c r="D154" t="str">
        <f t="shared" si="9"/>
        <v>0024</v>
      </c>
      <c r="E154" t="str">
        <f t="shared" si="10"/>
        <v/>
      </c>
      <c r="F154" t="str">
        <f t="shared" si="11"/>
        <v>CR</v>
      </c>
    </row>
    <row r="155" spans="1:6" x14ac:dyDescent="0.3">
      <c r="A155" t="s">
        <v>1260</v>
      </c>
      <c r="B155">
        <v>1</v>
      </c>
      <c r="D155" t="str">
        <f t="shared" si="9"/>
        <v>0025</v>
      </c>
      <c r="E155" t="str">
        <f t="shared" si="10"/>
        <v/>
      </c>
      <c r="F155" t="str">
        <f t="shared" si="11"/>
        <v>CR</v>
      </c>
    </row>
    <row r="156" spans="1:6" x14ac:dyDescent="0.3">
      <c r="A156" t="s">
        <v>1263</v>
      </c>
      <c r="B156">
        <v>1</v>
      </c>
      <c r="D156" t="str">
        <f t="shared" si="9"/>
        <v>0026</v>
      </c>
      <c r="E156" t="str">
        <f t="shared" si="10"/>
        <v/>
      </c>
      <c r="F156" t="str">
        <f t="shared" si="11"/>
        <v>CR</v>
      </c>
    </row>
    <row r="157" spans="1:6" x14ac:dyDescent="0.3">
      <c r="A157" t="s">
        <v>1265</v>
      </c>
      <c r="B157">
        <v>1</v>
      </c>
      <c r="D157" t="str">
        <f t="shared" si="9"/>
        <v>0027</v>
      </c>
      <c r="E157" t="str">
        <f t="shared" si="10"/>
        <v/>
      </c>
      <c r="F157" t="str">
        <f t="shared" si="11"/>
        <v>CR</v>
      </c>
    </row>
    <row r="158" spans="1:6" x14ac:dyDescent="0.3">
      <c r="A158" t="s">
        <v>1267</v>
      </c>
      <c r="B158">
        <v>1</v>
      </c>
      <c r="D158" t="str">
        <f t="shared" si="9"/>
        <v>0028</v>
      </c>
      <c r="E158" t="str">
        <f t="shared" si="10"/>
        <v/>
      </c>
      <c r="F158" t="str">
        <f t="shared" si="11"/>
        <v>CR</v>
      </c>
    </row>
    <row r="159" spans="1:6" x14ac:dyDescent="0.3">
      <c r="A159" t="s">
        <v>1270</v>
      </c>
      <c r="B159">
        <v>1</v>
      </c>
      <c r="D159" t="str">
        <f t="shared" si="9"/>
        <v>0029</v>
      </c>
      <c r="E159" t="str">
        <f t="shared" si="10"/>
        <v/>
      </c>
      <c r="F159" t="str">
        <f t="shared" si="11"/>
        <v>CR</v>
      </c>
    </row>
    <row r="160" spans="1:6" x14ac:dyDescent="0.3">
      <c r="A160" t="s">
        <v>2570</v>
      </c>
      <c r="B160">
        <v>1</v>
      </c>
      <c r="D160" t="str">
        <f t="shared" si="9"/>
        <v>0030</v>
      </c>
      <c r="E160" t="str">
        <f t="shared" si="10"/>
        <v/>
      </c>
      <c r="F160" t="str">
        <f t="shared" si="11"/>
        <v>FR</v>
      </c>
    </row>
    <row r="161" spans="1:6" x14ac:dyDescent="0.3">
      <c r="A161" t="s">
        <v>1277</v>
      </c>
      <c r="B161">
        <v>1</v>
      </c>
      <c r="D161" t="str">
        <f t="shared" si="9"/>
        <v>0031</v>
      </c>
      <c r="E161" t="str">
        <f t="shared" si="10"/>
        <v/>
      </c>
      <c r="F161" t="str">
        <f t="shared" si="11"/>
        <v>CR</v>
      </c>
    </row>
    <row r="162" spans="1:6" x14ac:dyDescent="0.3">
      <c r="A162" t="s">
        <v>1281</v>
      </c>
      <c r="B162">
        <v>1</v>
      </c>
      <c r="D162" t="str">
        <f t="shared" si="9"/>
        <v>0032</v>
      </c>
      <c r="E162" t="str">
        <f t="shared" si="10"/>
        <v/>
      </c>
      <c r="F162" t="str">
        <f t="shared" si="11"/>
        <v>CR</v>
      </c>
    </row>
    <row r="163" spans="1:6" x14ac:dyDescent="0.3">
      <c r="A163" t="s">
        <v>1283</v>
      </c>
      <c r="B163">
        <v>1</v>
      </c>
      <c r="D163" t="str">
        <f t="shared" si="9"/>
        <v>0033</v>
      </c>
      <c r="E163" t="str">
        <f t="shared" si="10"/>
        <v/>
      </c>
      <c r="F163" t="str">
        <f t="shared" si="11"/>
        <v>CR</v>
      </c>
    </row>
    <row r="164" spans="1:6" x14ac:dyDescent="0.3">
      <c r="A164" t="s">
        <v>1285</v>
      </c>
      <c r="B164">
        <v>1</v>
      </c>
      <c r="D164" t="str">
        <f t="shared" si="9"/>
        <v>0034</v>
      </c>
      <c r="E164" t="str">
        <f t="shared" si="10"/>
        <v/>
      </c>
      <c r="F164" t="str">
        <f t="shared" si="11"/>
        <v>CR</v>
      </c>
    </row>
    <row r="165" spans="1:6" x14ac:dyDescent="0.3">
      <c r="A165" t="s">
        <v>1287</v>
      </c>
      <c r="B165">
        <v>1</v>
      </c>
      <c r="D165" t="str">
        <f t="shared" si="9"/>
        <v>0035</v>
      </c>
      <c r="E165" t="str">
        <f t="shared" si="10"/>
        <v/>
      </c>
      <c r="F165" t="str">
        <f t="shared" si="11"/>
        <v>CR</v>
      </c>
    </row>
    <row r="166" spans="1:6" x14ac:dyDescent="0.3">
      <c r="A166" t="s">
        <v>1288</v>
      </c>
      <c r="B166">
        <v>1</v>
      </c>
      <c r="D166" t="str">
        <f t="shared" si="9"/>
        <v>0036</v>
      </c>
      <c r="E166" t="str">
        <f t="shared" si="10"/>
        <v/>
      </c>
      <c r="F166" t="str">
        <f t="shared" si="11"/>
        <v>CR</v>
      </c>
    </row>
    <row r="167" spans="1:6" x14ac:dyDescent="0.3">
      <c r="A167" t="s">
        <v>1291</v>
      </c>
      <c r="B167">
        <v>1</v>
      </c>
      <c r="D167" t="str">
        <f t="shared" si="9"/>
        <v>0037</v>
      </c>
      <c r="E167" t="str">
        <f t="shared" si="10"/>
        <v/>
      </c>
      <c r="F167" t="str">
        <f t="shared" si="11"/>
        <v>CR</v>
      </c>
    </row>
    <row r="168" spans="1:6" x14ac:dyDescent="0.3">
      <c r="A168" t="s">
        <v>1293</v>
      </c>
      <c r="B168">
        <v>1</v>
      </c>
      <c r="D168" t="str">
        <f t="shared" si="9"/>
        <v>0038</v>
      </c>
      <c r="E168" t="str">
        <f t="shared" si="10"/>
        <v/>
      </c>
      <c r="F168" t="str">
        <f t="shared" si="11"/>
        <v>CR</v>
      </c>
    </row>
    <row r="169" spans="1:6" x14ac:dyDescent="0.3">
      <c r="A169" t="s">
        <v>1295</v>
      </c>
      <c r="B169">
        <v>1</v>
      </c>
      <c r="D169" t="str">
        <f t="shared" si="9"/>
        <v>0039</v>
      </c>
      <c r="E169" t="str">
        <f t="shared" si="10"/>
        <v/>
      </c>
      <c r="F169" t="str">
        <f t="shared" si="11"/>
        <v>CR</v>
      </c>
    </row>
    <row r="170" spans="1:6" x14ac:dyDescent="0.3">
      <c r="A170" t="s">
        <v>1297</v>
      </c>
      <c r="B170">
        <v>1</v>
      </c>
      <c r="D170" t="str">
        <f t="shared" si="9"/>
        <v>0040</v>
      </c>
      <c r="E170" t="str">
        <f t="shared" si="10"/>
        <v/>
      </c>
      <c r="F170" t="str">
        <f t="shared" si="11"/>
        <v>CR</v>
      </c>
    </row>
    <row r="171" spans="1:6" x14ac:dyDescent="0.3">
      <c r="A171" t="s">
        <v>1299</v>
      </c>
      <c r="B171">
        <v>1</v>
      </c>
      <c r="D171" t="str">
        <f t="shared" si="9"/>
        <v>0041</v>
      </c>
      <c r="E171" t="str">
        <f t="shared" si="10"/>
        <v/>
      </c>
      <c r="F171" t="str">
        <f t="shared" si="11"/>
        <v>CR</v>
      </c>
    </row>
    <row r="172" spans="1:6" x14ac:dyDescent="0.3">
      <c r="A172" t="s">
        <v>1301</v>
      </c>
      <c r="B172">
        <v>1</v>
      </c>
      <c r="D172" t="str">
        <f t="shared" si="9"/>
        <v>0042</v>
      </c>
      <c r="E172" t="str">
        <f t="shared" si="10"/>
        <v/>
      </c>
      <c r="F172" t="str">
        <f t="shared" si="11"/>
        <v>CR</v>
      </c>
    </row>
    <row r="173" spans="1:6" x14ac:dyDescent="0.3">
      <c r="A173" t="s">
        <v>1303</v>
      </c>
      <c r="B173">
        <v>1</v>
      </c>
      <c r="D173" t="str">
        <f t="shared" si="9"/>
        <v>0043</v>
      </c>
      <c r="E173" t="str">
        <f t="shared" si="10"/>
        <v/>
      </c>
      <c r="F173" t="str">
        <f t="shared" si="11"/>
        <v>CR</v>
      </c>
    </row>
    <row r="174" spans="1:6" x14ac:dyDescent="0.3">
      <c r="A174" t="s">
        <v>1306</v>
      </c>
      <c r="B174">
        <v>1</v>
      </c>
      <c r="D174" t="str">
        <f t="shared" si="9"/>
        <v>0044</v>
      </c>
      <c r="E174" t="str">
        <f t="shared" si="10"/>
        <v/>
      </c>
      <c r="F174" t="str">
        <f t="shared" si="11"/>
        <v>CR</v>
      </c>
    </row>
    <row r="175" spans="1:6" x14ac:dyDescent="0.3">
      <c r="A175" t="s">
        <v>1309</v>
      </c>
      <c r="B175">
        <v>1</v>
      </c>
      <c r="D175" t="str">
        <f t="shared" si="9"/>
        <v>0045</v>
      </c>
      <c r="E175" t="str">
        <f t="shared" si="10"/>
        <v/>
      </c>
      <c r="F175" t="str">
        <f t="shared" si="11"/>
        <v>CR</v>
      </c>
    </row>
    <row r="176" spans="1:6" x14ac:dyDescent="0.3">
      <c r="A176" t="s">
        <v>1312</v>
      </c>
      <c r="B176">
        <v>1</v>
      </c>
      <c r="D176" t="str">
        <f t="shared" si="9"/>
        <v>0046</v>
      </c>
      <c r="E176" t="str">
        <f t="shared" si="10"/>
        <v/>
      </c>
      <c r="F176" t="str">
        <f t="shared" si="11"/>
        <v>CR</v>
      </c>
    </row>
    <row r="177" spans="1:6" x14ac:dyDescent="0.3">
      <c r="A177" t="s">
        <v>1319</v>
      </c>
      <c r="B177">
        <v>1</v>
      </c>
      <c r="D177" t="str">
        <f t="shared" si="9"/>
        <v>0047</v>
      </c>
      <c r="E177" t="str">
        <f t="shared" si="10"/>
        <v/>
      </c>
      <c r="F177" t="str">
        <f t="shared" si="11"/>
        <v>CR</v>
      </c>
    </row>
    <row r="178" spans="1:6" x14ac:dyDescent="0.3">
      <c r="A178" t="s">
        <v>1322</v>
      </c>
      <c r="B178">
        <v>1</v>
      </c>
      <c r="D178" t="str">
        <f t="shared" si="9"/>
        <v>0048</v>
      </c>
      <c r="E178" t="str">
        <f t="shared" si="10"/>
        <v/>
      </c>
      <c r="F178" t="str">
        <f t="shared" si="11"/>
        <v>CR</v>
      </c>
    </row>
    <row r="179" spans="1:6" x14ac:dyDescent="0.3">
      <c r="A179" t="s">
        <v>1327</v>
      </c>
      <c r="B179">
        <v>1</v>
      </c>
      <c r="D179" t="str">
        <f t="shared" si="9"/>
        <v>0049</v>
      </c>
      <c r="E179" t="str">
        <f t="shared" si="10"/>
        <v/>
      </c>
      <c r="F179" t="str">
        <f t="shared" si="11"/>
        <v>CR</v>
      </c>
    </row>
    <row r="180" spans="1:6" x14ac:dyDescent="0.3">
      <c r="A180" t="s">
        <v>1329</v>
      </c>
      <c r="B180">
        <v>1</v>
      </c>
      <c r="D180" t="str">
        <f t="shared" si="9"/>
        <v>0050</v>
      </c>
      <c r="E180" t="str">
        <f t="shared" si="10"/>
        <v/>
      </c>
      <c r="F180" t="str">
        <f t="shared" si="11"/>
        <v>CR</v>
      </c>
    </row>
    <row r="181" spans="1:6" x14ac:dyDescent="0.3">
      <c r="A181" t="s">
        <v>1331</v>
      </c>
      <c r="B181">
        <v>1</v>
      </c>
      <c r="D181" t="str">
        <f t="shared" si="9"/>
        <v>0051</v>
      </c>
      <c r="E181" t="str">
        <f t="shared" si="10"/>
        <v/>
      </c>
      <c r="F181" t="str">
        <f t="shared" si="11"/>
        <v>CR</v>
      </c>
    </row>
    <row r="182" spans="1:6" x14ac:dyDescent="0.3">
      <c r="A182" t="s">
        <v>1334</v>
      </c>
      <c r="B182">
        <v>1</v>
      </c>
      <c r="D182" t="str">
        <f t="shared" si="9"/>
        <v>0052</v>
      </c>
      <c r="E182" t="str">
        <f t="shared" si="10"/>
        <v/>
      </c>
      <c r="F182" t="str">
        <f t="shared" si="11"/>
        <v>CR</v>
      </c>
    </row>
    <row r="183" spans="1:6" x14ac:dyDescent="0.3">
      <c r="A183" t="s">
        <v>1336</v>
      </c>
      <c r="B183">
        <v>1</v>
      </c>
      <c r="D183" t="str">
        <f t="shared" si="9"/>
        <v>0053</v>
      </c>
      <c r="E183" t="str">
        <f t="shared" si="10"/>
        <v/>
      </c>
      <c r="F183" t="str">
        <f t="shared" si="11"/>
        <v>CR</v>
      </c>
    </row>
    <row r="184" spans="1:6" x14ac:dyDescent="0.3">
      <c r="A184" t="s">
        <v>1338</v>
      </c>
      <c r="B184">
        <v>1</v>
      </c>
      <c r="D184" t="str">
        <f t="shared" si="9"/>
        <v>0054</v>
      </c>
      <c r="E184" t="str">
        <f t="shared" si="10"/>
        <v/>
      </c>
      <c r="F184" t="str">
        <f t="shared" si="11"/>
        <v>CR</v>
      </c>
    </row>
    <row r="185" spans="1:6" x14ac:dyDescent="0.3">
      <c r="A185" t="s">
        <v>1340</v>
      </c>
      <c r="B185">
        <v>1</v>
      </c>
      <c r="D185" t="str">
        <f t="shared" si="9"/>
        <v>0055</v>
      </c>
      <c r="E185" t="str">
        <f t="shared" si="10"/>
        <v/>
      </c>
      <c r="F185" t="str">
        <f t="shared" si="11"/>
        <v>CR</v>
      </c>
    </row>
    <row r="186" spans="1:6" x14ac:dyDescent="0.3">
      <c r="A186" t="s">
        <v>1342</v>
      </c>
      <c r="B186">
        <v>1</v>
      </c>
      <c r="D186" t="str">
        <f t="shared" si="9"/>
        <v>0056</v>
      </c>
      <c r="E186" t="str">
        <f t="shared" si="10"/>
        <v/>
      </c>
      <c r="F186" t="str">
        <f t="shared" si="11"/>
        <v>CR</v>
      </c>
    </row>
    <row r="187" spans="1:6" x14ac:dyDescent="0.3">
      <c r="A187" t="s">
        <v>1344</v>
      </c>
      <c r="B187">
        <v>1</v>
      </c>
      <c r="D187" t="str">
        <f t="shared" si="9"/>
        <v>0057</v>
      </c>
      <c r="E187" t="str">
        <f t="shared" si="10"/>
        <v/>
      </c>
      <c r="F187" t="str">
        <f t="shared" si="11"/>
        <v>CR</v>
      </c>
    </row>
    <row r="188" spans="1:6" x14ac:dyDescent="0.3">
      <c r="A188" t="s">
        <v>1346</v>
      </c>
      <c r="B188">
        <v>1</v>
      </c>
      <c r="D188" t="str">
        <f t="shared" si="9"/>
        <v>0058</v>
      </c>
      <c r="E188" t="str">
        <f t="shared" si="10"/>
        <v/>
      </c>
      <c r="F188" t="str">
        <f t="shared" si="11"/>
        <v>CR</v>
      </c>
    </row>
    <row r="189" spans="1:6" x14ac:dyDescent="0.3">
      <c r="A189" t="s">
        <v>1349</v>
      </c>
      <c r="B189">
        <v>1</v>
      </c>
      <c r="D189" t="str">
        <f t="shared" si="9"/>
        <v>0059</v>
      </c>
      <c r="E189" t="str">
        <f t="shared" si="10"/>
        <v/>
      </c>
      <c r="F189" t="str">
        <f t="shared" si="11"/>
        <v>CR</v>
      </c>
    </row>
    <row r="190" spans="1:6" x14ac:dyDescent="0.3">
      <c r="A190" t="s">
        <v>1351</v>
      </c>
      <c r="B190">
        <v>1</v>
      </c>
      <c r="D190" t="str">
        <f t="shared" si="9"/>
        <v>0060</v>
      </c>
      <c r="E190" t="str">
        <f t="shared" si="10"/>
        <v/>
      </c>
      <c r="F190" t="str">
        <f t="shared" si="11"/>
        <v>CR</v>
      </c>
    </row>
    <row r="191" spans="1:6" x14ac:dyDescent="0.3">
      <c r="A191" t="s">
        <v>1353</v>
      </c>
      <c r="B191">
        <v>1</v>
      </c>
      <c r="D191" t="str">
        <f t="shared" si="9"/>
        <v>0061</v>
      </c>
      <c r="E191" t="str">
        <f t="shared" si="10"/>
        <v/>
      </c>
      <c r="F191" t="str">
        <f t="shared" si="11"/>
        <v>CR</v>
      </c>
    </row>
    <row r="192" spans="1:6" x14ac:dyDescent="0.3">
      <c r="A192" t="s">
        <v>1355</v>
      </c>
      <c r="B192">
        <v>1</v>
      </c>
      <c r="D192" t="str">
        <f t="shared" si="9"/>
        <v>0062</v>
      </c>
      <c r="E192" t="str">
        <f t="shared" si="10"/>
        <v/>
      </c>
      <c r="F192" t="str">
        <f t="shared" si="11"/>
        <v>CR</v>
      </c>
    </row>
    <row r="193" spans="1:6" x14ac:dyDescent="0.3">
      <c r="A193" t="s">
        <v>1357</v>
      </c>
      <c r="B193">
        <v>1</v>
      </c>
      <c r="D193" t="str">
        <f t="shared" si="9"/>
        <v>0063</v>
      </c>
      <c r="E193" t="str">
        <f t="shared" si="10"/>
        <v/>
      </c>
      <c r="F193" t="str">
        <f t="shared" si="11"/>
        <v>CR</v>
      </c>
    </row>
    <row r="194" spans="1:6" x14ac:dyDescent="0.3">
      <c r="A194" t="s">
        <v>1359</v>
      </c>
      <c r="B194">
        <v>1</v>
      </c>
      <c r="D194" t="str">
        <f t="shared" si="9"/>
        <v>0064</v>
      </c>
      <c r="E194" t="str">
        <f t="shared" si="10"/>
        <v/>
      </c>
      <c r="F194" t="str">
        <f t="shared" si="11"/>
        <v>CR</v>
      </c>
    </row>
    <row r="195" spans="1:6" x14ac:dyDescent="0.3">
      <c r="A195" t="s">
        <v>1361</v>
      </c>
      <c r="B195">
        <v>1</v>
      </c>
      <c r="D195" t="str">
        <f t="shared" ref="D195:D258" si="12">IF(LEFT(A195,2)="SP",MID(A195,4,4),IF(LEFT(A195,1)="X",MID(A195,3,4),""))</f>
        <v>0065</v>
      </c>
      <c r="E195" t="str">
        <f t="shared" ref="E195:E258" si="13">IF(OR(LEFT(A195,2)="SP",AND(LEFT(A195,1)="X",LEN(A195)&gt;9)),RIGHT(A195,1),"")</f>
        <v/>
      </c>
      <c r="F195" t="str">
        <f t="shared" ref="F195:F258" si="14">IF(LEFT(A195,1)="X",MID(A195,8,2),"")</f>
        <v>CR</v>
      </c>
    </row>
    <row r="196" spans="1:6" x14ac:dyDescent="0.3">
      <c r="A196" t="s">
        <v>1363</v>
      </c>
      <c r="B196">
        <v>1</v>
      </c>
      <c r="D196" t="str">
        <f t="shared" si="12"/>
        <v>0066</v>
      </c>
      <c r="E196" t="str">
        <f t="shared" si="13"/>
        <v/>
      </c>
      <c r="F196" t="str">
        <f t="shared" si="14"/>
        <v>CR</v>
      </c>
    </row>
    <row r="197" spans="1:6" x14ac:dyDescent="0.3">
      <c r="A197" t="s">
        <v>1365</v>
      </c>
      <c r="B197">
        <v>1</v>
      </c>
      <c r="D197" t="str">
        <f t="shared" si="12"/>
        <v>0067</v>
      </c>
      <c r="E197" t="str">
        <f t="shared" si="13"/>
        <v/>
      </c>
      <c r="F197" t="str">
        <f t="shared" si="14"/>
        <v>CR</v>
      </c>
    </row>
    <row r="198" spans="1:6" x14ac:dyDescent="0.3">
      <c r="A198" t="s">
        <v>1368</v>
      </c>
      <c r="B198">
        <v>1</v>
      </c>
      <c r="D198" t="str">
        <f t="shared" si="12"/>
        <v>0068</v>
      </c>
      <c r="E198" t="str">
        <f t="shared" si="13"/>
        <v/>
      </c>
      <c r="F198" t="str">
        <f t="shared" si="14"/>
        <v>CR</v>
      </c>
    </row>
    <row r="199" spans="1:6" x14ac:dyDescent="0.3">
      <c r="A199" t="s">
        <v>1370</v>
      </c>
      <c r="B199">
        <v>1</v>
      </c>
      <c r="D199" t="str">
        <f t="shared" si="12"/>
        <v>0069</v>
      </c>
      <c r="E199" t="str">
        <f t="shared" si="13"/>
        <v/>
      </c>
      <c r="F199" t="str">
        <f t="shared" si="14"/>
        <v>CR</v>
      </c>
    </row>
    <row r="200" spans="1:6" x14ac:dyDescent="0.3">
      <c r="A200" t="s">
        <v>1373</v>
      </c>
      <c r="B200">
        <v>1</v>
      </c>
      <c r="D200" t="str">
        <f t="shared" si="12"/>
        <v>0070</v>
      </c>
      <c r="E200" t="str">
        <f t="shared" si="13"/>
        <v/>
      </c>
      <c r="F200" t="str">
        <f t="shared" si="14"/>
        <v>CR</v>
      </c>
    </row>
    <row r="201" spans="1:6" x14ac:dyDescent="0.3">
      <c r="A201" t="s">
        <v>1375</v>
      </c>
      <c r="B201">
        <v>1</v>
      </c>
      <c r="D201" t="str">
        <f t="shared" si="12"/>
        <v>0071</v>
      </c>
      <c r="E201" t="str">
        <f t="shared" si="13"/>
        <v/>
      </c>
      <c r="F201" t="str">
        <f t="shared" si="14"/>
        <v>CR</v>
      </c>
    </row>
    <row r="202" spans="1:6" x14ac:dyDescent="0.3">
      <c r="A202" t="s">
        <v>1377</v>
      </c>
      <c r="B202">
        <v>1</v>
      </c>
      <c r="D202" t="str">
        <f t="shared" si="12"/>
        <v>0072</v>
      </c>
      <c r="E202" t="str">
        <f t="shared" si="13"/>
        <v/>
      </c>
      <c r="F202" t="str">
        <f t="shared" si="14"/>
        <v>CR</v>
      </c>
    </row>
    <row r="203" spans="1:6" x14ac:dyDescent="0.3">
      <c r="A203" t="s">
        <v>1379</v>
      </c>
      <c r="B203">
        <v>1</v>
      </c>
      <c r="D203" t="str">
        <f t="shared" si="12"/>
        <v>0073</v>
      </c>
      <c r="E203" t="str">
        <f t="shared" si="13"/>
        <v/>
      </c>
      <c r="F203" t="str">
        <f t="shared" si="14"/>
        <v>CR</v>
      </c>
    </row>
    <row r="204" spans="1:6" x14ac:dyDescent="0.3">
      <c r="A204" t="s">
        <v>1383</v>
      </c>
      <c r="B204">
        <v>1</v>
      </c>
      <c r="D204" t="str">
        <f t="shared" si="12"/>
        <v>0074</v>
      </c>
      <c r="E204" t="str">
        <f t="shared" si="13"/>
        <v/>
      </c>
      <c r="F204" t="str">
        <f t="shared" si="14"/>
        <v>CR</v>
      </c>
    </row>
    <row r="205" spans="1:6" x14ac:dyDescent="0.3">
      <c r="A205" t="s">
        <v>1387</v>
      </c>
      <c r="B205">
        <v>1</v>
      </c>
      <c r="D205" t="str">
        <f t="shared" si="12"/>
        <v>0075</v>
      </c>
      <c r="E205" t="str">
        <f t="shared" si="13"/>
        <v/>
      </c>
      <c r="F205" t="str">
        <f t="shared" si="14"/>
        <v>CR</v>
      </c>
    </row>
    <row r="206" spans="1:6" x14ac:dyDescent="0.3">
      <c r="A206" t="s">
        <v>1393</v>
      </c>
      <c r="B206">
        <v>1</v>
      </c>
      <c r="D206" t="str">
        <f t="shared" si="12"/>
        <v>0076</v>
      </c>
      <c r="E206" t="str">
        <f t="shared" si="13"/>
        <v/>
      </c>
      <c r="F206" t="str">
        <f t="shared" si="14"/>
        <v>CR</v>
      </c>
    </row>
    <row r="207" spans="1:6" x14ac:dyDescent="0.3">
      <c r="A207" t="s">
        <v>1397</v>
      </c>
      <c r="B207">
        <v>1</v>
      </c>
      <c r="D207" t="str">
        <f t="shared" si="12"/>
        <v>0077</v>
      </c>
      <c r="E207" t="str">
        <f t="shared" si="13"/>
        <v/>
      </c>
      <c r="F207" t="str">
        <f t="shared" si="14"/>
        <v>CR</v>
      </c>
    </row>
    <row r="208" spans="1:6" x14ac:dyDescent="0.3">
      <c r="A208" t="s">
        <v>1399</v>
      </c>
      <c r="B208">
        <v>1</v>
      </c>
      <c r="D208" t="str">
        <f t="shared" si="12"/>
        <v>0078</v>
      </c>
      <c r="E208" t="str">
        <f t="shared" si="13"/>
        <v/>
      </c>
      <c r="F208" t="str">
        <f t="shared" si="14"/>
        <v>CR</v>
      </c>
    </row>
    <row r="209" spans="1:6" x14ac:dyDescent="0.3">
      <c r="A209" t="s">
        <v>1401</v>
      </c>
      <c r="B209">
        <v>1</v>
      </c>
      <c r="D209" t="str">
        <f t="shared" si="12"/>
        <v>0079</v>
      </c>
      <c r="E209" t="str">
        <f t="shared" si="13"/>
        <v/>
      </c>
      <c r="F209" t="str">
        <f t="shared" si="14"/>
        <v>CR</v>
      </c>
    </row>
    <row r="210" spans="1:6" x14ac:dyDescent="0.3">
      <c r="A210" t="s">
        <v>1406</v>
      </c>
      <c r="B210">
        <v>1</v>
      </c>
      <c r="D210" t="str">
        <f t="shared" si="12"/>
        <v>0080</v>
      </c>
      <c r="E210" t="str">
        <f t="shared" si="13"/>
        <v/>
      </c>
      <c r="F210" t="str">
        <f t="shared" si="14"/>
        <v>CR</v>
      </c>
    </row>
    <row r="211" spans="1:6" x14ac:dyDescent="0.3">
      <c r="A211" t="s">
        <v>1412</v>
      </c>
      <c r="B211">
        <v>1</v>
      </c>
      <c r="D211" t="str">
        <f t="shared" si="12"/>
        <v>0081</v>
      </c>
      <c r="E211" t="str">
        <f t="shared" si="13"/>
        <v/>
      </c>
      <c r="F211" t="str">
        <f t="shared" si="14"/>
        <v>CR</v>
      </c>
    </row>
    <row r="212" spans="1:6" x14ac:dyDescent="0.3">
      <c r="A212" t="s">
        <v>1416</v>
      </c>
      <c r="B212">
        <v>1</v>
      </c>
      <c r="D212" t="str">
        <f t="shared" si="12"/>
        <v>0082</v>
      </c>
      <c r="E212" t="str">
        <f t="shared" si="13"/>
        <v/>
      </c>
      <c r="F212" t="str">
        <f t="shared" si="14"/>
        <v>CR</v>
      </c>
    </row>
    <row r="213" spans="1:6" x14ac:dyDescent="0.3">
      <c r="A213" t="s">
        <v>2666</v>
      </c>
      <c r="B213">
        <v>1</v>
      </c>
      <c r="D213" t="str">
        <f t="shared" si="12"/>
        <v>0083</v>
      </c>
      <c r="E213" t="str">
        <f t="shared" si="13"/>
        <v/>
      </c>
      <c r="F213" t="str">
        <f t="shared" si="14"/>
        <v>FR</v>
      </c>
    </row>
    <row r="214" spans="1:6" x14ac:dyDescent="0.3">
      <c r="A214" t="s">
        <v>1426</v>
      </c>
      <c r="B214">
        <v>1</v>
      </c>
      <c r="D214" t="str">
        <f t="shared" si="12"/>
        <v>0084</v>
      </c>
      <c r="E214" t="str">
        <f t="shared" si="13"/>
        <v/>
      </c>
      <c r="F214" t="str">
        <f t="shared" si="14"/>
        <v>CR</v>
      </c>
    </row>
    <row r="215" spans="1:6" x14ac:dyDescent="0.3">
      <c r="A215" t="s">
        <v>1428</v>
      </c>
      <c r="B215">
        <v>1</v>
      </c>
      <c r="D215" t="str">
        <f t="shared" si="12"/>
        <v>0085</v>
      </c>
      <c r="E215" t="str">
        <f t="shared" si="13"/>
        <v/>
      </c>
      <c r="F215" t="str">
        <f t="shared" si="14"/>
        <v>CR</v>
      </c>
    </row>
    <row r="216" spans="1:6" x14ac:dyDescent="0.3">
      <c r="A216" t="s">
        <v>1430</v>
      </c>
      <c r="B216">
        <v>1</v>
      </c>
      <c r="D216" t="str">
        <f t="shared" si="12"/>
        <v>0086</v>
      </c>
      <c r="E216" t="str">
        <f t="shared" si="13"/>
        <v/>
      </c>
      <c r="F216" t="str">
        <f t="shared" si="14"/>
        <v>CR</v>
      </c>
    </row>
    <row r="217" spans="1:6" x14ac:dyDescent="0.3">
      <c r="A217" t="s">
        <v>1435</v>
      </c>
      <c r="B217">
        <v>1</v>
      </c>
      <c r="D217" t="str">
        <f t="shared" si="12"/>
        <v>0087</v>
      </c>
      <c r="E217" t="str">
        <f t="shared" si="13"/>
        <v/>
      </c>
      <c r="F217" t="str">
        <f t="shared" si="14"/>
        <v>CR</v>
      </c>
    </row>
    <row r="218" spans="1:6" x14ac:dyDescent="0.3">
      <c r="A218" t="s">
        <v>1438</v>
      </c>
      <c r="B218">
        <v>1</v>
      </c>
      <c r="D218" t="str">
        <f t="shared" si="12"/>
        <v>0088</v>
      </c>
      <c r="E218" t="str">
        <f t="shared" si="13"/>
        <v/>
      </c>
      <c r="F218" t="str">
        <f t="shared" si="14"/>
        <v>CR</v>
      </c>
    </row>
    <row r="219" spans="1:6" x14ac:dyDescent="0.3">
      <c r="A219" t="s">
        <v>1442</v>
      </c>
      <c r="B219">
        <v>1</v>
      </c>
      <c r="D219" t="str">
        <f t="shared" si="12"/>
        <v>0089</v>
      </c>
      <c r="E219" t="str">
        <f t="shared" si="13"/>
        <v/>
      </c>
      <c r="F219" t="str">
        <f t="shared" si="14"/>
        <v>CR</v>
      </c>
    </row>
    <row r="220" spans="1:6" x14ac:dyDescent="0.3">
      <c r="A220" t="s">
        <v>1444</v>
      </c>
      <c r="B220">
        <v>1</v>
      </c>
      <c r="D220" t="str">
        <f t="shared" si="12"/>
        <v>0090</v>
      </c>
      <c r="E220" t="str">
        <f t="shared" si="13"/>
        <v/>
      </c>
      <c r="F220" t="str">
        <f t="shared" si="14"/>
        <v>CR</v>
      </c>
    </row>
    <row r="221" spans="1:6" x14ac:dyDescent="0.3">
      <c r="A221" t="s">
        <v>1449</v>
      </c>
      <c r="B221">
        <v>1</v>
      </c>
      <c r="D221" t="str">
        <f t="shared" si="12"/>
        <v>0091</v>
      </c>
      <c r="E221" t="str">
        <f t="shared" si="13"/>
        <v/>
      </c>
      <c r="F221" t="str">
        <f t="shared" si="14"/>
        <v>CR</v>
      </c>
    </row>
    <row r="222" spans="1:6" x14ac:dyDescent="0.3">
      <c r="A222" t="s">
        <v>1452</v>
      </c>
      <c r="B222">
        <v>1</v>
      </c>
      <c r="D222" t="str">
        <f t="shared" si="12"/>
        <v>0092</v>
      </c>
      <c r="E222" t="str">
        <f t="shared" si="13"/>
        <v/>
      </c>
      <c r="F222" t="str">
        <f t="shared" si="14"/>
        <v>CR</v>
      </c>
    </row>
    <row r="223" spans="1:6" x14ac:dyDescent="0.3">
      <c r="A223" t="s">
        <v>1454</v>
      </c>
      <c r="B223">
        <v>1</v>
      </c>
      <c r="D223" t="str">
        <f t="shared" si="12"/>
        <v>0093</v>
      </c>
      <c r="E223" t="str">
        <f t="shared" si="13"/>
        <v/>
      </c>
      <c r="F223" t="str">
        <f t="shared" si="14"/>
        <v>CR</v>
      </c>
    </row>
    <row r="224" spans="1:6" x14ac:dyDescent="0.3">
      <c r="A224" t="s">
        <v>1456</v>
      </c>
      <c r="B224">
        <v>1</v>
      </c>
      <c r="D224" t="str">
        <f t="shared" si="12"/>
        <v>0094</v>
      </c>
      <c r="E224" t="str">
        <f t="shared" si="13"/>
        <v/>
      </c>
      <c r="F224" t="str">
        <f t="shared" si="14"/>
        <v>CR</v>
      </c>
    </row>
    <row r="225" spans="1:6" x14ac:dyDescent="0.3">
      <c r="A225" t="s">
        <v>1458</v>
      </c>
      <c r="B225">
        <v>1</v>
      </c>
      <c r="D225" t="str">
        <f t="shared" si="12"/>
        <v>0095</v>
      </c>
      <c r="E225" t="str">
        <f t="shared" si="13"/>
        <v/>
      </c>
      <c r="F225" t="str">
        <f t="shared" si="14"/>
        <v>CR</v>
      </c>
    </row>
    <row r="226" spans="1:6" x14ac:dyDescent="0.3">
      <c r="A226" t="s">
        <v>1460</v>
      </c>
      <c r="B226">
        <v>1</v>
      </c>
      <c r="D226" t="str">
        <f t="shared" si="12"/>
        <v>0096</v>
      </c>
      <c r="E226" t="str">
        <f t="shared" si="13"/>
        <v/>
      </c>
      <c r="F226" t="str">
        <f t="shared" si="14"/>
        <v>CR</v>
      </c>
    </row>
    <row r="227" spans="1:6" x14ac:dyDescent="0.3">
      <c r="A227" t="s">
        <v>1462</v>
      </c>
      <c r="B227">
        <v>1</v>
      </c>
      <c r="D227" t="str">
        <f t="shared" si="12"/>
        <v>0097</v>
      </c>
      <c r="E227" t="str">
        <f t="shared" si="13"/>
        <v/>
      </c>
      <c r="F227" t="str">
        <f t="shared" si="14"/>
        <v>CR</v>
      </c>
    </row>
    <row r="228" spans="1:6" x14ac:dyDescent="0.3">
      <c r="A228" t="s">
        <v>1464</v>
      </c>
      <c r="B228">
        <v>1</v>
      </c>
      <c r="D228" t="str">
        <f t="shared" si="12"/>
        <v>0098</v>
      </c>
      <c r="E228" t="str">
        <f t="shared" si="13"/>
        <v/>
      </c>
      <c r="F228" t="str">
        <f t="shared" si="14"/>
        <v>CR</v>
      </c>
    </row>
    <row r="229" spans="1:6" x14ac:dyDescent="0.3">
      <c r="A229" t="s">
        <v>1468</v>
      </c>
      <c r="B229">
        <v>1</v>
      </c>
      <c r="D229" t="str">
        <f t="shared" si="12"/>
        <v>0099</v>
      </c>
      <c r="E229" t="str">
        <f t="shared" si="13"/>
        <v/>
      </c>
      <c r="F229" t="str">
        <f t="shared" si="14"/>
        <v>CR</v>
      </c>
    </row>
    <row r="230" spans="1:6" x14ac:dyDescent="0.3">
      <c r="A230" t="s">
        <v>1471</v>
      </c>
      <c r="B230">
        <v>1</v>
      </c>
      <c r="D230" t="str">
        <f t="shared" si="12"/>
        <v>0100</v>
      </c>
      <c r="E230" t="str">
        <f t="shared" si="13"/>
        <v/>
      </c>
      <c r="F230" t="str">
        <f t="shared" si="14"/>
        <v>CR</v>
      </c>
    </row>
    <row r="231" spans="1:6" x14ac:dyDescent="0.3">
      <c r="A231" t="s">
        <v>1473</v>
      </c>
      <c r="B231">
        <v>1</v>
      </c>
      <c r="D231" t="str">
        <f t="shared" si="12"/>
        <v>0101</v>
      </c>
      <c r="E231" t="str">
        <f t="shared" si="13"/>
        <v/>
      </c>
      <c r="F231" t="str">
        <f t="shared" si="14"/>
        <v>CR</v>
      </c>
    </row>
    <row r="232" spans="1:6" x14ac:dyDescent="0.3">
      <c r="A232" t="s">
        <v>1475</v>
      </c>
      <c r="B232">
        <v>1</v>
      </c>
      <c r="D232" t="str">
        <f t="shared" si="12"/>
        <v>0102</v>
      </c>
      <c r="E232" t="str">
        <f t="shared" si="13"/>
        <v/>
      </c>
      <c r="F232" t="str">
        <f t="shared" si="14"/>
        <v>CR</v>
      </c>
    </row>
    <row r="233" spans="1:6" x14ac:dyDescent="0.3">
      <c r="A233" t="s">
        <v>1479</v>
      </c>
      <c r="B233">
        <v>1</v>
      </c>
      <c r="D233" t="str">
        <f t="shared" si="12"/>
        <v>0103</v>
      </c>
      <c r="E233" t="str">
        <f t="shared" si="13"/>
        <v/>
      </c>
      <c r="F233" t="str">
        <f t="shared" si="14"/>
        <v>CR</v>
      </c>
    </row>
    <row r="234" spans="1:6" x14ac:dyDescent="0.3">
      <c r="A234" t="s">
        <v>1483</v>
      </c>
      <c r="B234">
        <v>1</v>
      </c>
      <c r="D234" t="str">
        <f t="shared" si="12"/>
        <v>0104</v>
      </c>
      <c r="E234" t="str">
        <f t="shared" si="13"/>
        <v/>
      </c>
      <c r="F234" t="str">
        <f t="shared" si="14"/>
        <v>CR</v>
      </c>
    </row>
    <row r="235" spans="1:6" x14ac:dyDescent="0.3">
      <c r="A235" t="s">
        <v>1485</v>
      </c>
      <c r="B235">
        <v>1</v>
      </c>
      <c r="D235" t="str">
        <f t="shared" si="12"/>
        <v>0105</v>
      </c>
      <c r="E235" t="str">
        <f t="shared" si="13"/>
        <v/>
      </c>
      <c r="F235" t="str">
        <f t="shared" si="14"/>
        <v>CR</v>
      </c>
    </row>
    <row r="236" spans="1:6" x14ac:dyDescent="0.3">
      <c r="A236" t="s">
        <v>1488</v>
      </c>
      <c r="B236">
        <v>1</v>
      </c>
      <c r="D236" t="str">
        <f t="shared" si="12"/>
        <v>0106</v>
      </c>
      <c r="E236" t="str">
        <f t="shared" si="13"/>
        <v/>
      </c>
      <c r="F236" t="str">
        <f t="shared" si="14"/>
        <v>CR</v>
      </c>
    </row>
    <row r="237" spans="1:6" x14ac:dyDescent="0.3">
      <c r="A237" t="s">
        <v>1493</v>
      </c>
      <c r="B237">
        <v>1</v>
      </c>
      <c r="D237" t="str">
        <f t="shared" si="12"/>
        <v>0107</v>
      </c>
      <c r="E237" t="str">
        <f t="shared" si="13"/>
        <v/>
      </c>
      <c r="F237" t="str">
        <f t="shared" si="14"/>
        <v>CR</v>
      </c>
    </row>
    <row r="238" spans="1:6" x14ac:dyDescent="0.3">
      <c r="A238" t="s">
        <v>1497</v>
      </c>
      <c r="B238">
        <v>1</v>
      </c>
      <c r="D238" t="str">
        <f t="shared" si="12"/>
        <v>0108</v>
      </c>
      <c r="E238" t="str">
        <f t="shared" si="13"/>
        <v/>
      </c>
      <c r="F238" t="str">
        <f t="shared" si="14"/>
        <v>CR</v>
      </c>
    </row>
    <row r="239" spans="1:6" x14ac:dyDescent="0.3">
      <c r="A239" t="s">
        <v>1503</v>
      </c>
      <c r="B239">
        <v>1</v>
      </c>
      <c r="D239" t="str">
        <f t="shared" si="12"/>
        <v>0109</v>
      </c>
      <c r="E239" t="str">
        <f t="shared" si="13"/>
        <v/>
      </c>
      <c r="F239" t="str">
        <f t="shared" si="14"/>
        <v>CR</v>
      </c>
    </row>
    <row r="240" spans="1:6" x14ac:dyDescent="0.3">
      <c r="A240" t="s">
        <v>1507</v>
      </c>
      <c r="B240">
        <v>1</v>
      </c>
      <c r="D240" t="str">
        <f t="shared" si="12"/>
        <v>0110</v>
      </c>
      <c r="E240" t="str">
        <f t="shared" si="13"/>
        <v/>
      </c>
      <c r="F240" t="str">
        <f t="shared" si="14"/>
        <v>CR</v>
      </c>
    </row>
    <row r="241" spans="1:6" x14ac:dyDescent="0.3">
      <c r="A241" t="s">
        <v>1512</v>
      </c>
      <c r="B241">
        <v>1</v>
      </c>
      <c r="D241" t="str">
        <f t="shared" si="12"/>
        <v>0111</v>
      </c>
      <c r="E241" t="str">
        <f t="shared" si="13"/>
        <v/>
      </c>
      <c r="F241" t="str">
        <f t="shared" si="14"/>
        <v>CR</v>
      </c>
    </row>
    <row r="242" spans="1:6" x14ac:dyDescent="0.3">
      <c r="A242" t="s">
        <v>2571</v>
      </c>
      <c r="B242">
        <v>1</v>
      </c>
      <c r="D242" t="str">
        <f t="shared" si="12"/>
        <v>0112</v>
      </c>
      <c r="E242" t="str">
        <f t="shared" si="13"/>
        <v/>
      </c>
      <c r="F242" t="str">
        <f t="shared" si="14"/>
        <v>FR</v>
      </c>
    </row>
    <row r="243" spans="1:6" x14ac:dyDescent="0.3">
      <c r="A243" t="s">
        <v>2667</v>
      </c>
      <c r="B243">
        <v>1</v>
      </c>
      <c r="D243" t="str">
        <f t="shared" si="12"/>
        <v>0113</v>
      </c>
      <c r="E243" t="str">
        <f t="shared" si="13"/>
        <v/>
      </c>
      <c r="F243" t="str">
        <f t="shared" si="14"/>
        <v>FR</v>
      </c>
    </row>
    <row r="244" spans="1:6" x14ac:dyDescent="0.3">
      <c r="A244" t="s">
        <v>1518</v>
      </c>
      <c r="B244">
        <v>1</v>
      </c>
      <c r="D244" t="str">
        <f t="shared" si="12"/>
        <v>0114</v>
      </c>
      <c r="E244" t="str">
        <f t="shared" si="13"/>
        <v/>
      </c>
      <c r="F244" t="str">
        <f t="shared" si="14"/>
        <v>CR</v>
      </c>
    </row>
    <row r="245" spans="1:6" x14ac:dyDescent="0.3">
      <c r="A245" t="s">
        <v>1520</v>
      </c>
      <c r="B245">
        <v>1</v>
      </c>
      <c r="D245" t="str">
        <f t="shared" si="12"/>
        <v>0115</v>
      </c>
      <c r="E245" t="str">
        <f t="shared" si="13"/>
        <v/>
      </c>
      <c r="F245" t="str">
        <f t="shared" si="14"/>
        <v>CR</v>
      </c>
    </row>
    <row r="246" spans="1:6" x14ac:dyDescent="0.3">
      <c r="A246" t="s">
        <v>1522</v>
      </c>
      <c r="B246">
        <v>1</v>
      </c>
      <c r="D246" t="str">
        <f t="shared" si="12"/>
        <v>0116</v>
      </c>
      <c r="E246" t="str">
        <f t="shared" si="13"/>
        <v/>
      </c>
      <c r="F246" t="str">
        <f t="shared" si="14"/>
        <v>CR</v>
      </c>
    </row>
    <row r="247" spans="1:6" x14ac:dyDescent="0.3">
      <c r="A247" t="s">
        <v>1524</v>
      </c>
      <c r="B247">
        <v>1</v>
      </c>
      <c r="D247" t="str">
        <f t="shared" si="12"/>
        <v>0117</v>
      </c>
      <c r="E247" t="str">
        <f t="shared" si="13"/>
        <v/>
      </c>
      <c r="F247" t="str">
        <f t="shared" si="14"/>
        <v>CR</v>
      </c>
    </row>
    <row r="248" spans="1:6" x14ac:dyDescent="0.3">
      <c r="A248" t="s">
        <v>1527</v>
      </c>
      <c r="B248">
        <v>1</v>
      </c>
      <c r="D248" t="str">
        <f t="shared" si="12"/>
        <v>0118</v>
      </c>
      <c r="E248" t="str">
        <f t="shared" si="13"/>
        <v/>
      </c>
      <c r="F248" t="str">
        <f t="shared" si="14"/>
        <v>CR</v>
      </c>
    </row>
    <row r="249" spans="1:6" x14ac:dyDescent="0.3">
      <c r="A249" t="s">
        <v>1529</v>
      </c>
      <c r="B249">
        <v>1</v>
      </c>
      <c r="D249" t="str">
        <f t="shared" si="12"/>
        <v>0119</v>
      </c>
      <c r="E249" t="str">
        <f t="shared" si="13"/>
        <v/>
      </c>
      <c r="F249" t="str">
        <f t="shared" si="14"/>
        <v>CR</v>
      </c>
    </row>
    <row r="250" spans="1:6" x14ac:dyDescent="0.3">
      <c r="A250" t="s">
        <v>1531</v>
      </c>
      <c r="B250">
        <v>1</v>
      </c>
      <c r="D250" t="str">
        <f t="shared" si="12"/>
        <v>0120</v>
      </c>
      <c r="E250" t="str">
        <f t="shared" si="13"/>
        <v/>
      </c>
      <c r="F250" t="str">
        <f t="shared" si="14"/>
        <v>CR</v>
      </c>
    </row>
    <row r="251" spans="1:6" x14ac:dyDescent="0.3">
      <c r="A251" t="s">
        <v>1533</v>
      </c>
      <c r="B251">
        <v>1</v>
      </c>
      <c r="D251" t="str">
        <f t="shared" si="12"/>
        <v>0121</v>
      </c>
      <c r="E251" t="str">
        <f t="shared" si="13"/>
        <v/>
      </c>
      <c r="F251" t="str">
        <f t="shared" si="14"/>
        <v>CR</v>
      </c>
    </row>
    <row r="252" spans="1:6" x14ac:dyDescent="0.3">
      <c r="A252" t="s">
        <v>1535</v>
      </c>
      <c r="B252">
        <v>1</v>
      </c>
      <c r="D252" t="str">
        <f t="shared" si="12"/>
        <v>0122</v>
      </c>
      <c r="E252" t="str">
        <f t="shared" si="13"/>
        <v/>
      </c>
      <c r="F252" t="str">
        <f t="shared" si="14"/>
        <v>CR</v>
      </c>
    </row>
    <row r="253" spans="1:6" x14ac:dyDescent="0.3">
      <c r="A253" t="s">
        <v>1537</v>
      </c>
      <c r="B253">
        <v>1</v>
      </c>
      <c r="D253" t="str">
        <f t="shared" si="12"/>
        <v>0123</v>
      </c>
      <c r="E253" t="str">
        <f t="shared" si="13"/>
        <v/>
      </c>
      <c r="F253" t="str">
        <f t="shared" si="14"/>
        <v>CR</v>
      </c>
    </row>
    <row r="254" spans="1:6" x14ac:dyDescent="0.3">
      <c r="A254" t="s">
        <v>1539</v>
      </c>
      <c r="B254">
        <v>1</v>
      </c>
      <c r="D254" t="str">
        <f t="shared" si="12"/>
        <v>0124</v>
      </c>
      <c r="E254" t="str">
        <f t="shared" si="13"/>
        <v/>
      </c>
      <c r="F254" t="str">
        <f t="shared" si="14"/>
        <v>CR</v>
      </c>
    </row>
    <row r="255" spans="1:6" x14ac:dyDescent="0.3">
      <c r="A255" t="s">
        <v>1542</v>
      </c>
      <c r="B255">
        <v>1</v>
      </c>
      <c r="D255" t="str">
        <f t="shared" si="12"/>
        <v>0125</v>
      </c>
      <c r="E255" t="str">
        <f t="shared" si="13"/>
        <v/>
      </c>
      <c r="F255" t="str">
        <f t="shared" si="14"/>
        <v>CR</v>
      </c>
    </row>
    <row r="256" spans="1:6" x14ac:dyDescent="0.3">
      <c r="A256" t="s">
        <v>1544</v>
      </c>
      <c r="B256">
        <v>1</v>
      </c>
      <c r="D256" t="str">
        <f t="shared" si="12"/>
        <v>0126</v>
      </c>
      <c r="E256" t="str">
        <f t="shared" si="13"/>
        <v/>
      </c>
      <c r="F256" t="str">
        <f t="shared" si="14"/>
        <v>CR</v>
      </c>
    </row>
    <row r="257" spans="1:6" x14ac:dyDescent="0.3">
      <c r="A257" t="s">
        <v>1546</v>
      </c>
      <c r="B257">
        <v>1</v>
      </c>
      <c r="D257" t="str">
        <f t="shared" si="12"/>
        <v>0127</v>
      </c>
      <c r="E257" t="str">
        <f t="shared" si="13"/>
        <v/>
      </c>
      <c r="F257" t="str">
        <f t="shared" si="14"/>
        <v>CR</v>
      </c>
    </row>
    <row r="258" spans="1:6" x14ac:dyDescent="0.3">
      <c r="A258" t="s">
        <v>1549</v>
      </c>
      <c r="B258">
        <v>1</v>
      </c>
      <c r="D258" t="str">
        <f t="shared" si="12"/>
        <v>0128</v>
      </c>
      <c r="E258" t="str">
        <f t="shared" si="13"/>
        <v/>
      </c>
      <c r="F258" t="str">
        <f t="shared" si="14"/>
        <v>CR</v>
      </c>
    </row>
    <row r="259" spans="1:6" x14ac:dyDescent="0.3">
      <c r="A259" t="s">
        <v>1551</v>
      </c>
      <c r="B259">
        <v>1</v>
      </c>
      <c r="D259" t="str">
        <f t="shared" ref="D259:D322" si="15">IF(LEFT(A259,2)="SP",MID(A259,4,4),IF(LEFT(A259,1)="X",MID(A259,3,4),""))</f>
        <v>0129</v>
      </c>
      <c r="E259" t="str">
        <f t="shared" ref="E259:E322" si="16">IF(OR(LEFT(A259,2)="SP",AND(LEFT(A259,1)="X",LEN(A259)&gt;9)),RIGHT(A259,1),"")</f>
        <v/>
      </c>
      <c r="F259" t="str">
        <f t="shared" ref="F259:F322" si="17">IF(LEFT(A259,1)="X",MID(A259,8,2),"")</f>
        <v>CR</v>
      </c>
    </row>
    <row r="260" spans="1:6" x14ac:dyDescent="0.3">
      <c r="A260" t="s">
        <v>1554</v>
      </c>
      <c r="B260">
        <v>1</v>
      </c>
      <c r="D260" t="str">
        <f t="shared" si="15"/>
        <v>0130</v>
      </c>
      <c r="E260" t="str">
        <f t="shared" si="16"/>
        <v/>
      </c>
      <c r="F260" t="str">
        <f t="shared" si="17"/>
        <v>CR</v>
      </c>
    </row>
    <row r="261" spans="1:6" x14ac:dyDescent="0.3">
      <c r="A261" t="s">
        <v>1557</v>
      </c>
      <c r="B261">
        <v>1</v>
      </c>
      <c r="D261" t="str">
        <f t="shared" si="15"/>
        <v>0131</v>
      </c>
      <c r="E261" t="str">
        <f t="shared" si="16"/>
        <v/>
      </c>
      <c r="F261" t="str">
        <f t="shared" si="17"/>
        <v>CR</v>
      </c>
    </row>
    <row r="262" spans="1:6" x14ac:dyDescent="0.3">
      <c r="A262" t="s">
        <v>1559</v>
      </c>
      <c r="B262">
        <v>1</v>
      </c>
      <c r="D262" t="str">
        <f t="shared" si="15"/>
        <v>0132</v>
      </c>
      <c r="E262" t="str">
        <f t="shared" si="16"/>
        <v/>
      </c>
      <c r="F262" t="str">
        <f t="shared" si="17"/>
        <v>CR</v>
      </c>
    </row>
    <row r="263" spans="1:6" x14ac:dyDescent="0.3">
      <c r="A263" t="s">
        <v>1562</v>
      </c>
      <c r="B263">
        <v>1</v>
      </c>
      <c r="D263" t="str">
        <f t="shared" si="15"/>
        <v>0133</v>
      </c>
      <c r="E263" t="str">
        <f t="shared" si="16"/>
        <v/>
      </c>
      <c r="F263" t="str">
        <f t="shared" si="17"/>
        <v>CR</v>
      </c>
    </row>
    <row r="264" spans="1:6" x14ac:dyDescent="0.3">
      <c r="A264" t="s">
        <v>1566</v>
      </c>
      <c r="B264">
        <v>1</v>
      </c>
      <c r="D264" t="str">
        <f t="shared" si="15"/>
        <v>0134</v>
      </c>
      <c r="E264" t="str">
        <f t="shared" si="16"/>
        <v/>
      </c>
      <c r="F264" t="str">
        <f t="shared" si="17"/>
        <v>CR</v>
      </c>
    </row>
    <row r="265" spans="1:6" x14ac:dyDescent="0.3">
      <c r="A265" t="s">
        <v>1571</v>
      </c>
      <c r="B265">
        <v>1</v>
      </c>
      <c r="D265" t="str">
        <f t="shared" si="15"/>
        <v>0135</v>
      </c>
      <c r="E265" t="str">
        <f t="shared" si="16"/>
        <v/>
      </c>
      <c r="F265" t="str">
        <f t="shared" si="17"/>
        <v>CR</v>
      </c>
    </row>
    <row r="266" spans="1:6" x14ac:dyDescent="0.3">
      <c r="A266" t="s">
        <v>1575</v>
      </c>
      <c r="B266">
        <v>1</v>
      </c>
      <c r="D266" t="str">
        <f t="shared" si="15"/>
        <v>0136</v>
      </c>
      <c r="E266" t="str">
        <f t="shared" si="16"/>
        <v/>
      </c>
      <c r="F266" t="str">
        <f t="shared" si="17"/>
        <v>CR</v>
      </c>
    </row>
    <row r="267" spans="1:6" x14ac:dyDescent="0.3">
      <c r="A267" t="s">
        <v>1577</v>
      </c>
      <c r="B267">
        <v>1</v>
      </c>
      <c r="D267" t="str">
        <f t="shared" si="15"/>
        <v>0137</v>
      </c>
      <c r="E267" t="str">
        <f t="shared" si="16"/>
        <v/>
      </c>
      <c r="F267" t="str">
        <f t="shared" si="17"/>
        <v>CR</v>
      </c>
    </row>
    <row r="268" spans="1:6" x14ac:dyDescent="0.3">
      <c r="A268" t="s">
        <v>1579</v>
      </c>
      <c r="B268">
        <v>1</v>
      </c>
      <c r="D268" t="str">
        <f t="shared" si="15"/>
        <v>0138</v>
      </c>
      <c r="E268" t="str">
        <f t="shared" si="16"/>
        <v/>
      </c>
      <c r="F268" t="str">
        <f t="shared" si="17"/>
        <v>CR</v>
      </c>
    </row>
    <row r="269" spans="1:6" x14ac:dyDescent="0.3">
      <c r="A269" t="s">
        <v>1581</v>
      </c>
      <c r="B269">
        <v>1</v>
      </c>
      <c r="D269" t="str">
        <f t="shared" si="15"/>
        <v>0139</v>
      </c>
      <c r="E269" t="str">
        <f t="shared" si="16"/>
        <v/>
      </c>
      <c r="F269" t="str">
        <f t="shared" si="17"/>
        <v>CR</v>
      </c>
    </row>
    <row r="270" spans="1:6" x14ac:dyDescent="0.3">
      <c r="A270" t="s">
        <v>1583</v>
      </c>
      <c r="B270">
        <v>1</v>
      </c>
      <c r="D270" t="str">
        <f t="shared" si="15"/>
        <v>0140</v>
      </c>
      <c r="E270" t="str">
        <f t="shared" si="16"/>
        <v/>
      </c>
      <c r="F270" t="str">
        <f t="shared" si="17"/>
        <v>CR</v>
      </c>
    </row>
    <row r="271" spans="1:6" x14ac:dyDescent="0.3">
      <c r="A271" t="s">
        <v>1585</v>
      </c>
      <c r="B271">
        <v>1</v>
      </c>
      <c r="D271" t="str">
        <f t="shared" si="15"/>
        <v>0141</v>
      </c>
      <c r="E271" t="str">
        <f t="shared" si="16"/>
        <v/>
      </c>
      <c r="F271" t="str">
        <f t="shared" si="17"/>
        <v>CR</v>
      </c>
    </row>
    <row r="272" spans="1:6" x14ac:dyDescent="0.3">
      <c r="A272" t="s">
        <v>1587</v>
      </c>
      <c r="B272">
        <v>1</v>
      </c>
      <c r="D272" t="str">
        <f t="shared" si="15"/>
        <v>0142</v>
      </c>
      <c r="E272" t="str">
        <f t="shared" si="16"/>
        <v/>
      </c>
      <c r="F272" t="str">
        <f t="shared" si="17"/>
        <v>CR</v>
      </c>
    </row>
    <row r="273" spans="1:6" x14ac:dyDescent="0.3">
      <c r="A273" t="s">
        <v>1589</v>
      </c>
      <c r="B273">
        <v>1</v>
      </c>
      <c r="D273" t="str">
        <f t="shared" si="15"/>
        <v>0143</v>
      </c>
      <c r="E273" t="str">
        <f t="shared" si="16"/>
        <v/>
      </c>
      <c r="F273" t="str">
        <f t="shared" si="17"/>
        <v>CR</v>
      </c>
    </row>
    <row r="274" spans="1:6" x14ac:dyDescent="0.3">
      <c r="A274" t="s">
        <v>1591</v>
      </c>
      <c r="B274">
        <v>1</v>
      </c>
      <c r="D274" t="str">
        <f t="shared" si="15"/>
        <v>0144</v>
      </c>
      <c r="E274" t="str">
        <f t="shared" si="16"/>
        <v/>
      </c>
      <c r="F274" t="str">
        <f t="shared" si="17"/>
        <v>CR</v>
      </c>
    </row>
    <row r="275" spans="1:6" x14ac:dyDescent="0.3">
      <c r="A275" t="s">
        <v>1593</v>
      </c>
      <c r="B275">
        <v>1</v>
      </c>
      <c r="D275" t="str">
        <f t="shared" si="15"/>
        <v>0145</v>
      </c>
      <c r="E275" t="str">
        <f t="shared" si="16"/>
        <v/>
      </c>
      <c r="F275" t="str">
        <f t="shared" si="17"/>
        <v>CR</v>
      </c>
    </row>
    <row r="276" spans="1:6" x14ac:dyDescent="0.3">
      <c r="A276" t="s">
        <v>1594</v>
      </c>
      <c r="B276">
        <v>1</v>
      </c>
      <c r="D276" t="str">
        <f t="shared" si="15"/>
        <v>0146</v>
      </c>
      <c r="E276" t="str">
        <f t="shared" si="16"/>
        <v/>
      </c>
      <c r="F276" t="str">
        <f t="shared" si="17"/>
        <v>CR</v>
      </c>
    </row>
    <row r="277" spans="1:6" x14ac:dyDescent="0.3">
      <c r="A277" t="s">
        <v>1597</v>
      </c>
      <c r="B277">
        <v>1</v>
      </c>
      <c r="D277" t="str">
        <f t="shared" si="15"/>
        <v>0147</v>
      </c>
      <c r="E277" t="str">
        <f t="shared" si="16"/>
        <v/>
      </c>
      <c r="F277" t="str">
        <f t="shared" si="17"/>
        <v>CR</v>
      </c>
    </row>
    <row r="278" spans="1:6" x14ac:dyDescent="0.3">
      <c r="A278" t="s">
        <v>1600</v>
      </c>
      <c r="B278">
        <v>1</v>
      </c>
      <c r="D278" t="str">
        <f t="shared" si="15"/>
        <v>0148</v>
      </c>
      <c r="E278" t="str">
        <f t="shared" si="16"/>
        <v/>
      </c>
      <c r="F278" t="str">
        <f t="shared" si="17"/>
        <v>CR</v>
      </c>
    </row>
    <row r="279" spans="1:6" x14ac:dyDescent="0.3">
      <c r="A279" t="s">
        <v>1602</v>
      </c>
      <c r="B279">
        <v>1</v>
      </c>
      <c r="D279" t="str">
        <f t="shared" si="15"/>
        <v>0149</v>
      </c>
      <c r="E279" t="str">
        <f t="shared" si="16"/>
        <v/>
      </c>
      <c r="F279" t="str">
        <f t="shared" si="17"/>
        <v>CR</v>
      </c>
    </row>
    <row r="280" spans="1:6" x14ac:dyDescent="0.3">
      <c r="A280" t="s">
        <v>1604</v>
      </c>
      <c r="B280">
        <v>1</v>
      </c>
      <c r="D280" t="str">
        <f t="shared" si="15"/>
        <v>0150</v>
      </c>
      <c r="E280" t="str">
        <f t="shared" si="16"/>
        <v/>
      </c>
      <c r="F280" t="str">
        <f t="shared" si="17"/>
        <v>CR</v>
      </c>
    </row>
    <row r="281" spans="1:6" x14ac:dyDescent="0.3">
      <c r="A281" t="s">
        <v>1606</v>
      </c>
      <c r="B281">
        <v>1</v>
      </c>
      <c r="D281" t="str">
        <f t="shared" si="15"/>
        <v>0151</v>
      </c>
      <c r="E281" t="str">
        <f t="shared" si="16"/>
        <v/>
      </c>
      <c r="F281" t="str">
        <f t="shared" si="17"/>
        <v>CR</v>
      </c>
    </row>
    <row r="282" spans="1:6" x14ac:dyDescent="0.3">
      <c r="A282" t="s">
        <v>1609</v>
      </c>
      <c r="B282">
        <v>1</v>
      </c>
      <c r="D282" t="str">
        <f t="shared" si="15"/>
        <v>0152</v>
      </c>
      <c r="E282" t="str">
        <f t="shared" si="16"/>
        <v/>
      </c>
      <c r="F282" t="str">
        <f t="shared" si="17"/>
        <v>CR</v>
      </c>
    </row>
    <row r="283" spans="1:6" x14ac:dyDescent="0.3">
      <c r="A283" t="s">
        <v>1612</v>
      </c>
      <c r="B283">
        <v>1</v>
      </c>
      <c r="D283" t="str">
        <f t="shared" si="15"/>
        <v>0153</v>
      </c>
      <c r="E283" t="str">
        <f t="shared" si="16"/>
        <v/>
      </c>
      <c r="F283" t="str">
        <f t="shared" si="17"/>
        <v>CR</v>
      </c>
    </row>
    <row r="284" spans="1:6" x14ac:dyDescent="0.3">
      <c r="A284" t="s">
        <v>1614</v>
      </c>
      <c r="B284">
        <v>1</v>
      </c>
      <c r="D284" t="str">
        <f t="shared" si="15"/>
        <v>0154</v>
      </c>
      <c r="E284" t="str">
        <f t="shared" si="16"/>
        <v/>
      </c>
      <c r="F284" t="str">
        <f t="shared" si="17"/>
        <v>CR</v>
      </c>
    </row>
    <row r="285" spans="1:6" x14ac:dyDescent="0.3">
      <c r="A285" t="s">
        <v>1616</v>
      </c>
      <c r="B285">
        <v>1</v>
      </c>
      <c r="D285" t="str">
        <f t="shared" si="15"/>
        <v>0155</v>
      </c>
      <c r="E285" t="str">
        <f t="shared" si="16"/>
        <v/>
      </c>
      <c r="F285" t="str">
        <f t="shared" si="17"/>
        <v>CR</v>
      </c>
    </row>
    <row r="286" spans="1:6" x14ac:dyDescent="0.3">
      <c r="A286" t="s">
        <v>1618</v>
      </c>
      <c r="B286">
        <v>1</v>
      </c>
      <c r="D286" t="str">
        <f t="shared" si="15"/>
        <v>0156</v>
      </c>
      <c r="E286" t="str">
        <f t="shared" si="16"/>
        <v/>
      </c>
      <c r="F286" t="str">
        <f t="shared" si="17"/>
        <v>CR</v>
      </c>
    </row>
    <row r="287" spans="1:6" x14ac:dyDescent="0.3">
      <c r="A287" t="s">
        <v>1621</v>
      </c>
      <c r="B287">
        <v>1</v>
      </c>
      <c r="D287" t="str">
        <f t="shared" si="15"/>
        <v>0157</v>
      </c>
      <c r="E287" t="str">
        <f t="shared" si="16"/>
        <v/>
      </c>
      <c r="F287" t="str">
        <f t="shared" si="17"/>
        <v>CR</v>
      </c>
    </row>
    <row r="288" spans="1:6" x14ac:dyDescent="0.3">
      <c r="A288" t="s">
        <v>1624</v>
      </c>
      <c r="B288">
        <v>1</v>
      </c>
      <c r="D288" t="str">
        <f t="shared" si="15"/>
        <v>0158</v>
      </c>
      <c r="E288" t="str">
        <f t="shared" si="16"/>
        <v/>
      </c>
      <c r="F288" t="str">
        <f t="shared" si="17"/>
        <v>CR</v>
      </c>
    </row>
    <row r="289" spans="1:6" x14ac:dyDescent="0.3">
      <c r="A289" t="s">
        <v>1625</v>
      </c>
      <c r="B289">
        <v>1</v>
      </c>
      <c r="D289" t="str">
        <f t="shared" si="15"/>
        <v>0159</v>
      </c>
      <c r="E289" t="str">
        <f t="shared" si="16"/>
        <v/>
      </c>
      <c r="F289" t="str">
        <f t="shared" si="17"/>
        <v>CR</v>
      </c>
    </row>
    <row r="290" spans="1:6" x14ac:dyDescent="0.3">
      <c r="A290" t="s">
        <v>1628</v>
      </c>
      <c r="B290">
        <v>1</v>
      </c>
      <c r="D290" t="str">
        <f t="shared" si="15"/>
        <v>0160</v>
      </c>
      <c r="E290" t="str">
        <f t="shared" si="16"/>
        <v/>
      </c>
      <c r="F290" t="str">
        <f t="shared" si="17"/>
        <v>CR</v>
      </c>
    </row>
    <row r="291" spans="1:6" x14ac:dyDescent="0.3">
      <c r="A291" t="s">
        <v>1631</v>
      </c>
      <c r="B291">
        <v>1</v>
      </c>
      <c r="D291" t="str">
        <f t="shared" si="15"/>
        <v>0161</v>
      </c>
      <c r="E291" t="str">
        <f t="shared" si="16"/>
        <v/>
      </c>
      <c r="F291" t="str">
        <f t="shared" si="17"/>
        <v>CR</v>
      </c>
    </row>
    <row r="292" spans="1:6" x14ac:dyDescent="0.3">
      <c r="A292" t="s">
        <v>1633</v>
      </c>
      <c r="B292">
        <v>1</v>
      </c>
      <c r="D292" t="str">
        <f t="shared" si="15"/>
        <v>0162</v>
      </c>
      <c r="E292" t="str">
        <f t="shared" si="16"/>
        <v/>
      </c>
      <c r="F292" t="str">
        <f t="shared" si="17"/>
        <v>CR</v>
      </c>
    </row>
    <row r="293" spans="1:6" x14ac:dyDescent="0.3">
      <c r="A293" t="s">
        <v>1635</v>
      </c>
      <c r="B293">
        <v>1</v>
      </c>
      <c r="D293" t="str">
        <f t="shared" si="15"/>
        <v>0163</v>
      </c>
      <c r="E293" t="str">
        <f t="shared" si="16"/>
        <v/>
      </c>
      <c r="F293" t="str">
        <f t="shared" si="17"/>
        <v>CR</v>
      </c>
    </row>
    <row r="294" spans="1:6" x14ac:dyDescent="0.3">
      <c r="A294" t="s">
        <v>1637</v>
      </c>
      <c r="B294">
        <v>1</v>
      </c>
      <c r="D294" t="str">
        <f t="shared" si="15"/>
        <v>0164</v>
      </c>
      <c r="E294" t="str">
        <f t="shared" si="16"/>
        <v/>
      </c>
      <c r="F294" t="str">
        <f t="shared" si="17"/>
        <v>CR</v>
      </c>
    </row>
    <row r="295" spans="1:6" x14ac:dyDescent="0.3">
      <c r="A295" t="s">
        <v>1639</v>
      </c>
      <c r="B295">
        <v>1</v>
      </c>
      <c r="D295" t="str">
        <f t="shared" si="15"/>
        <v>0165</v>
      </c>
      <c r="E295" t="str">
        <f t="shared" si="16"/>
        <v/>
      </c>
      <c r="F295" t="str">
        <f t="shared" si="17"/>
        <v>CR</v>
      </c>
    </row>
    <row r="296" spans="1:6" x14ac:dyDescent="0.3">
      <c r="A296" t="s">
        <v>1641</v>
      </c>
      <c r="B296">
        <v>1</v>
      </c>
      <c r="D296" t="str">
        <f t="shared" si="15"/>
        <v>0166</v>
      </c>
      <c r="E296" t="str">
        <f t="shared" si="16"/>
        <v/>
      </c>
      <c r="F296" t="str">
        <f t="shared" si="17"/>
        <v>CR</v>
      </c>
    </row>
    <row r="297" spans="1:6" x14ac:dyDescent="0.3">
      <c r="A297" t="s">
        <v>1643</v>
      </c>
      <c r="B297">
        <v>1</v>
      </c>
      <c r="D297" t="str">
        <f t="shared" si="15"/>
        <v>0167</v>
      </c>
      <c r="E297" t="str">
        <f t="shared" si="16"/>
        <v/>
      </c>
      <c r="F297" t="str">
        <f t="shared" si="17"/>
        <v>CR</v>
      </c>
    </row>
    <row r="298" spans="1:6" x14ac:dyDescent="0.3">
      <c r="A298" t="s">
        <v>1645</v>
      </c>
      <c r="B298">
        <v>1</v>
      </c>
      <c r="D298" t="str">
        <f t="shared" si="15"/>
        <v>0168</v>
      </c>
      <c r="E298" t="str">
        <f t="shared" si="16"/>
        <v/>
      </c>
      <c r="F298" t="str">
        <f t="shared" si="17"/>
        <v>CR</v>
      </c>
    </row>
    <row r="299" spans="1:6" x14ac:dyDescent="0.3">
      <c r="A299" t="s">
        <v>1647</v>
      </c>
      <c r="B299">
        <v>1</v>
      </c>
      <c r="D299" t="str">
        <f t="shared" si="15"/>
        <v>0169</v>
      </c>
      <c r="E299" t="str">
        <f t="shared" si="16"/>
        <v/>
      </c>
      <c r="F299" t="str">
        <f t="shared" si="17"/>
        <v>CR</v>
      </c>
    </row>
    <row r="300" spans="1:6" x14ac:dyDescent="0.3">
      <c r="A300" t="s">
        <v>1650</v>
      </c>
      <c r="B300">
        <v>1</v>
      </c>
      <c r="D300" t="str">
        <f t="shared" si="15"/>
        <v>0170</v>
      </c>
      <c r="E300" t="str">
        <f t="shared" si="16"/>
        <v/>
      </c>
      <c r="F300" t="str">
        <f t="shared" si="17"/>
        <v>CR</v>
      </c>
    </row>
    <row r="301" spans="1:6" x14ac:dyDescent="0.3">
      <c r="A301" t="s">
        <v>1652</v>
      </c>
      <c r="B301">
        <v>1</v>
      </c>
      <c r="D301" t="str">
        <f t="shared" si="15"/>
        <v>0171</v>
      </c>
      <c r="E301" t="str">
        <f t="shared" si="16"/>
        <v/>
      </c>
      <c r="F301" t="str">
        <f t="shared" si="17"/>
        <v>CR</v>
      </c>
    </row>
    <row r="302" spans="1:6" x14ac:dyDescent="0.3">
      <c r="A302" t="s">
        <v>1654</v>
      </c>
      <c r="B302">
        <v>1</v>
      </c>
      <c r="D302" t="str">
        <f t="shared" si="15"/>
        <v>0172</v>
      </c>
      <c r="E302" t="str">
        <f t="shared" si="16"/>
        <v/>
      </c>
      <c r="F302" t="str">
        <f t="shared" si="17"/>
        <v>CR</v>
      </c>
    </row>
    <row r="303" spans="1:6" x14ac:dyDescent="0.3">
      <c r="A303" t="s">
        <v>1657</v>
      </c>
      <c r="B303">
        <v>1</v>
      </c>
      <c r="D303" t="str">
        <f t="shared" si="15"/>
        <v>0173</v>
      </c>
      <c r="E303" t="str">
        <f t="shared" si="16"/>
        <v/>
      </c>
      <c r="F303" t="str">
        <f t="shared" si="17"/>
        <v>CR</v>
      </c>
    </row>
    <row r="304" spans="1:6" x14ac:dyDescent="0.3">
      <c r="A304" t="s">
        <v>1661</v>
      </c>
      <c r="B304">
        <v>1</v>
      </c>
      <c r="D304" t="str">
        <f t="shared" si="15"/>
        <v>0174</v>
      </c>
      <c r="E304" t="str">
        <f t="shared" si="16"/>
        <v/>
      </c>
      <c r="F304" t="str">
        <f t="shared" si="17"/>
        <v>CR</v>
      </c>
    </row>
    <row r="305" spans="1:6" x14ac:dyDescent="0.3">
      <c r="A305" t="s">
        <v>1664</v>
      </c>
      <c r="B305">
        <v>1</v>
      </c>
      <c r="D305" t="str">
        <f t="shared" si="15"/>
        <v>0175</v>
      </c>
      <c r="E305" t="str">
        <f t="shared" si="16"/>
        <v/>
      </c>
      <c r="F305" t="str">
        <f t="shared" si="17"/>
        <v>DR</v>
      </c>
    </row>
    <row r="306" spans="1:6" x14ac:dyDescent="0.3">
      <c r="A306" t="s">
        <v>1666</v>
      </c>
      <c r="B306">
        <v>1</v>
      </c>
      <c r="D306" t="str">
        <f t="shared" si="15"/>
        <v>0176</v>
      </c>
      <c r="E306" t="str">
        <f t="shared" si="16"/>
        <v/>
      </c>
      <c r="F306" t="str">
        <f t="shared" si="17"/>
        <v>CR</v>
      </c>
    </row>
    <row r="307" spans="1:6" x14ac:dyDescent="0.3">
      <c r="A307" t="s">
        <v>1668</v>
      </c>
      <c r="B307">
        <v>1</v>
      </c>
      <c r="D307" t="str">
        <f t="shared" si="15"/>
        <v>0177</v>
      </c>
      <c r="E307" t="str">
        <f t="shared" si="16"/>
        <v/>
      </c>
      <c r="F307" t="str">
        <f t="shared" si="17"/>
        <v>CR</v>
      </c>
    </row>
    <row r="308" spans="1:6" x14ac:dyDescent="0.3">
      <c r="A308" t="s">
        <v>1670</v>
      </c>
      <c r="B308">
        <v>1</v>
      </c>
      <c r="D308" t="str">
        <f t="shared" si="15"/>
        <v>0178</v>
      </c>
      <c r="E308" t="str">
        <f t="shared" si="16"/>
        <v/>
      </c>
      <c r="F308" t="str">
        <f t="shared" si="17"/>
        <v>CR</v>
      </c>
    </row>
    <row r="309" spans="1:6" x14ac:dyDescent="0.3">
      <c r="A309" t="s">
        <v>2572</v>
      </c>
      <c r="B309">
        <v>1</v>
      </c>
      <c r="D309" t="str">
        <f t="shared" si="15"/>
        <v>0179</v>
      </c>
      <c r="E309" t="str">
        <f t="shared" si="16"/>
        <v/>
      </c>
      <c r="F309" t="str">
        <f t="shared" si="17"/>
        <v>FR</v>
      </c>
    </row>
    <row r="310" spans="1:6" x14ac:dyDescent="0.3">
      <c r="A310" t="s">
        <v>1674</v>
      </c>
      <c r="B310">
        <v>1</v>
      </c>
      <c r="D310" t="str">
        <f t="shared" si="15"/>
        <v>0180</v>
      </c>
      <c r="E310" t="str">
        <f t="shared" si="16"/>
        <v/>
      </c>
      <c r="F310" t="str">
        <f t="shared" si="17"/>
        <v>BR</v>
      </c>
    </row>
    <row r="311" spans="1:6" x14ac:dyDescent="0.3">
      <c r="A311" t="s">
        <v>1675</v>
      </c>
      <c r="B311">
        <v>1</v>
      </c>
      <c r="D311" t="str">
        <f t="shared" si="15"/>
        <v>0181</v>
      </c>
      <c r="E311" t="str">
        <f t="shared" si="16"/>
        <v/>
      </c>
      <c r="F311" t="str">
        <f t="shared" si="17"/>
        <v>BR</v>
      </c>
    </row>
    <row r="312" spans="1:6" x14ac:dyDescent="0.3">
      <c r="A312" t="s">
        <v>1679</v>
      </c>
      <c r="B312">
        <v>1</v>
      </c>
      <c r="D312" t="str">
        <f t="shared" si="15"/>
        <v>0182</v>
      </c>
      <c r="E312" t="str">
        <f t="shared" si="16"/>
        <v/>
      </c>
      <c r="F312" t="str">
        <f t="shared" si="17"/>
        <v>CR</v>
      </c>
    </row>
    <row r="313" spans="1:6" x14ac:dyDescent="0.3">
      <c r="A313" t="s">
        <v>1682</v>
      </c>
      <c r="B313">
        <v>1</v>
      </c>
      <c r="D313" t="str">
        <f t="shared" si="15"/>
        <v>0183</v>
      </c>
      <c r="E313" t="str">
        <f t="shared" si="16"/>
        <v/>
      </c>
      <c r="F313" t="str">
        <f t="shared" si="17"/>
        <v>CR</v>
      </c>
    </row>
    <row r="314" spans="1:6" x14ac:dyDescent="0.3">
      <c r="A314" t="s">
        <v>1685</v>
      </c>
      <c r="B314">
        <v>1</v>
      </c>
      <c r="D314" t="str">
        <f t="shared" si="15"/>
        <v>0184</v>
      </c>
      <c r="E314" t="str">
        <f t="shared" si="16"/>
        <v/>
      </c>
      <c r="F314" t="str">
        <f t="shared" si="17"/>
        <v>CR</v>
      </c>
    </row>
    <row r="315" spans="1:6" x14ac:dyDescent="0.3">
      <c r="A315" t="s">
        <v>1688</v>
      </c>
      <c r="B315">
        <v>1</v>
      </c>
      <c r="D315" t="str">
        <f t="shared" si="15"/>
        <v>0185</v>
      </c>
      <c r="E315" t="str">
        <f t="shared" si="16"/>
        <v/>
      </c>
      <c r="F315" t="str">
        <f t="shared" si="17"/>
        <v>CR</v>
      </c>
    </row>
    <row r="316" spans="1:6" x14ac:dyDescent="0.3">
      <c r="A316" t="s">
        <v>2668</v>
      </c>
      <c r="B316">
        <v>1</v>
      </c>
      <c r="D316" t="str">
        <f t="shared" si="15"/>
        <v>0186</v>
      </c>
      <c r="E316" t="str">
        <f t="shared" si="16"/>
        <v/>
      </c>
      <c r="F316" t="str">
        <f t="shared" si="17"/>
        <v>FR</v>
      </c>
    </row>
    <row r="317" spans="1:6" x14ac:dyDescent="0.3">
      <c r="A317" t="s">
        <v>1693</v>
      </c>
      <c r="B317">
        <v>1</v>
      </c>
      <c r="D317" t="str">
        <f t="shared" si="15"/>
        <v>0187</v>
      </c>
      <c r="E317" t="str">
        <f t="shared" si="16"/>
        <v/>
      </c>
      <c r="F317" t="str">
        <f t="shared" si="17"/>
        <v>CR</v>
      </c>
    </row>
    <row r="318" spans="1:6" x14ac:dyDescent="0.3">
      <c r="A318" t="s">
        <v>1697</v>
      </c>
      <c r="B318">
        <v>1</v>
      </c>
      <c r="D318" t="str">
        <f t="shared" si="15"/>
        <v>0188</v>
      </c>
      <c r="E318" t="str">
        <f t="shared" si="16"/>
        <v/>
      </c>
      <c r="F318" t="str">
        <f t="shared" si="17"/>
        <v>CR</v>
      </c>
    </row>
    <row r="319" spans="1:6" x14ac:dyDescent="0.3">
      <c r="A319" t="s">
        <v>1699</v>
      </c>
      <c r="B319">
        <v>1</v>
      </c>
      <c r="D319" t="str">
        <f t="shared" si="15"/>
        <v>0189</v>
      </c>
      <c r="E319" t="str">
        <f t="shared" si="16"/>
        <v/>
      </c>
      <c r="F319" t="str">
        <f t="shared" si="17"/>
        <v>CR</v>
      </c>
    </row>
    <row r="320" spans="1:6" x14ac:dyDescent="0.3">
      <c r="A320" t="s">
        <v>1701</v>
      </c>
      <c r="B320">
        <v>1</v>
      </c>
      <c r="D320" t="str">
        <f t="shared" si="15"/>
        <v>0190</v>
      </c>
      <c r="E320" t="str">
        <f t="shared" si="16"/>
        <v/>
      </c>
      <c r="F320" t="str">
        <f t="shared" si="17"/>
        <v>CR</v>
      </c>
    </row>
    <row r="321" spans="1:6" x14ac:dyDescent="0.3">
      <c r="A321" t="s">
        <v>1703</v>
      </c>
      <c r="B321">
        <v>1</v>
      </c>
      <c r="D321" t="str">
        <f t="shared" si="15"/>
        <v>0191</v>
      </c>
      <c r="E321" t="str">
        <f t="shared" si="16"/>
        <v/>
      </c>
      <c r="F321" t="str">
        <f t="shared" si="17"/>
        <v>CR</v>
      </c>
    </row>
    <row r="322" spans="1:6" x14ac:dyDescent="0.3">
      <c r="A322" t="s">
        <v>1706</v>
      </c>
      <c r="B322">
        <v>1</v>
      </c>
      <c r="D322" t="str">
        <f t="shared" si="15"/>
        <v>0192</v>
      </c>
      <c r="E322" t="str">
        <f t="shared" si="16"/>
        <v/>
      </c>
      <c r="F322" t="str">
        <f t="shared" si="17"/>
        <v>CR</v>
      </c>
    </row>
    <row r="323" spans="1:6" x14ac:dyDescent="0.3">
      <c r="A323" t="s">
        <v>1708</v>
      </c>
      <c r="B323">
        <v>1</v>
      </c>
      <c r="D323" t="str">
        <f t="shared" ref="D323:D386" si="18">IF(LEFT(A323,2)="SP",MID(A323,4,4),IF(LEFT(A323,1)="X",MID(A323,3,4),""))</f>
        <v>0193</v>
      </c>
      <c r="E323" t="str">
        <f t="shared" ref="E323:E386" si="19">IF(OR(LEFT(A323,2)="SP",AND(LEFT(A323,1)="X",LEN(A323)&gt;9)),RIGHT(A323,1),"")</f>
        <v/>
      </c>
      <c r="F323" t="str">
        <f t="shared" ref="F323:F386" si="20">IF(LEFT(A323,1)="X",MID(A323,8,2),"")</f>
        <v>CR</v>
      </c>
    </row>
    <row r="324" spans="1:6" x14ac:dyDescent="0.3">
      <c r="A324" t="s">
        <v>1709</v>
      </c>
      <c r="B324">
        <v>1</v>
      </c>
      <c r="D324" t="str">
        <f t="shared" si="18"/>
        <v>0194</v>
      </c>
      <c r="E324" t="str">
        <f t="shared" si="19"/>
        <v/>
      </c>
      <c r="F324" t="str">
        <f t="shared" si="20"/>
        <v>CR</v>
      </c>
    </row>
    <row r="325" spans="1:6" x14ac:dyDescent="0.3">
      <c r="A325" t="s">
        <v>1712</v>
      </c>
      <c r="B325">
        <v>1</v>
      </c>
      <c r="D325" t="str">
        <f t="shared" si="18"/>
        <v>0195</v>
      </c>
      <c r="E325" t="str">
        <f t="shared" si="19"/>
        <v/>
      </c>
      <c r="F325" t="str">
        <f t="shared" si="20"/>
        <v>CR</v>
      </c>
    </row>
    <row r="326" spans="1:6" x14ac:dyDescent="0.3">
      <c r="A326" t="s">
        <v>1714</v>
      </c>
      <c r="B326">
        <v>1</v>
      </c>
      <c r="D326" t="str">
        <f t="shared" si="18"/>
        <v>0196</v>
      </c>
      <c r="E326" t="str">
        <f t="shared" si="19"/>
        <v/>
      </c>
      <c r="F326" t="str">
        <f t="shared" si="20"/>
        <v>CR</v>
      </c>
    </row>
    <row r="327" spans="1:6" x14ac:dyDescent="0.3">
      <c r="A327" t="s">
        <v>2669</v>
      </c>
      <c r="B327">
        <v>1</v>
      </c>
      <c r="D327" t="str">
        <f t="shared" si="18"/>
        <v>0197</v>
      </c>
      <c r="E327" t="str">
        <f t="shared" si="19"/>
        <v/>
      </c>
      <c r="F327" t="str">
        <f t="shared" si="20"/>
        <v>DR</v>
      </c>
    </row>
    <row r="328" spans="1:6" x14ac:dyDescent="0.3">
      <c r="A328" t="s">
        <v>2670</v>
      </c>
      <c r="B328">
        <v>1</v>
      </c>
      <c r="D328" t="str">
        <f t="shared" si="18"/>
        <v>0198</v>
      </c>
      <c r="E328" t="str">
        <f t="shared" si="19"/>
        <v/>
      </c>
      <c r="F328" t="str">
        <f t="shared" si="20"/>
        <v>FR</v>
      </c>
    </row>
    <row r="329" spans="1:6" x14ac:dyDescent="0.3">
      <c r="A329" t="s">
        <v>1719</v>
      </c>
      <c r="B329">
        <v>1</v>
      </c>
      <c r="D329" t="str">
        <f t="shared" si="18"/>
        <v>0199</v>
      </c>
      <c r="E329" t="str">
        <f t="shared" si="19"/>
        <v/>
      </c>
      <c r="F329" t="str">
        <f t="shared" si="20"/>
        <v>CR</v>
      </c>
    </row>
    <row r="330" spans="1:6" x14ac:dyDescent="0.3">
      <c r="A330" t="s">
        <v>1722</v>
      </c>
      <c r="B330">
        <v>1</v>
      </c>
      <c r="D330" t="str">
        <f t="shared" si="18"/>
        <v>0200</v>
      </c>
      <c r="E330" t="str">
        <f t="shared" si="19"/>
        <v/>
      </c>
      <c r="F330" t="str">
        <f t="shared" si="20"/>
        <v>CR</v>
      </c>
    </row>
    <row r="331" spans="1:6" x14ac:dyDescent="0.3">
      <c r="A331" t="s">
        <v>1724</v>
      </c>
      <c r="B331">
        <v>1</v>
      </c>
      <c r="D331" t="str">
        <f t="shared" si="18"/>
        <v>0201</v>
      </c>
      <c r="E331" t="str">
        <f t="shared" si="19"/>
        <v/>
      </c>
      <c r="F331" t="str">
        <f t="shared" si="20"/>
        <v>CR</v>
      </c>
    </row>
    <row r="332" spans="1:6" x14ac:dyDescent="0.3">
      <c r="A332" t="s">
        <v>2573</v>
      </c>
      <c r="B332">
        <v>1</v>
      </c>
      <c r="D332" t="str">
        <f t="shared" si="18"/>
        <v>0202</v>
      </c>
      <c r="E332" t="str">
        <f t="shared" si="19"/>
        <v/>
      </c>
      <c r="F332" t="str">
        <f t="shared" si="20"/>
        <v>DR</v>
      </c>
    </row>
    <row r="333" spans="1:6" x14ac:dyDescent="0.3">
      <c r="A333" t="s">
        <v>1727</v>
      </c>
      <c r="B333">
        <v>1</v>
      </c>
      <c r="D333" t="str">
        <f t="shared" si="18"/>
        <v>0203</v>
      </c>
      <c r="E333" t="str">
        <f t="shared" si="19"/>
        <v/>
      </c>
      <c r="F333" t="str">
        <f t="shared" si="20"/>
        <v>CR</v>
      </c>
    </row>
    <row r="334" spans="1:6" x14ac:dyDescent="0.3">
      <c r="A334" t="s">
        <v>1728</v>
      </c>
      <c r="B334">
        <v>1</v>
      </c>
      <c r="D334" t="str">
        <f t="shared" si="18"/>
        <v>0204</v>
      </c>
      <c r="E334" t="str">
        <f t="shared" si="19"/>
        <v/>
      </c>
      <c r="F334" t="str">
        <f t="shared" si="20"/>
        <v>CR</v>
      </c>
    </row>
    <row r="335" spans="1:6" x14ac:dyDescent="0.3">
      <c r="A335" t="s">
        <v>1731</v>
      </c>
      <c r="B335">
        <v>1</v>
      </c>
      <c r="D335" t="str">
        <f t="shared" si="18"/>
        <v>0205</v>
      </c>
      <c r="E335" t="str">
        <f t="shared" si="19"/>
        <v/>
      </c>
      <c r="F335" t="str">
        <f t="shared" si="20"/>
        <v>CR</v>
      </c>
    </row>
    <row r="336" spans="1:6" x14ac:dyDescent="0.3">
      <c r="A336" t="s">
        <v>1734</v>
      </c>
      <c r="B336">
        <v>1</v>
      </c>
      <c r="D336" t="str">
        <f t="shared" si="18"/>
        <v>0206</v>
      </c>
      <c r="E336" t="str">
        <f t="shared" si="19"/>
        <v/>
      </c>
      <c r="F336" t="str">
        <f t="shared" si="20"/>
        <v>CR</v>
      </c>
    </row>
    <row r="337" spans="1:6" x14ac:dyDescent="0.3">
      <c r="A337" t="s">
        <v>1737</v>
      </c>
      <c r="B337">
        <v>1</v>
      </c>
      <c r="D337" t="str">
        <f t="shared" si="18"/>
        <v>0207</v>
      </c>
      <c r="E337" t="str">
        <f t="shared" si="19"/>
        <v/>
      </c>
      <c r="F337" t="str">
        <f t="shared" si="20"/>
        <v>CR</v>
      </c>
    </row>
    <row r="338" spans="1:6" x14ac:dyDescent="0.3">
      <c r="A338" t="s">
        <v>1742</v>
      </c>
      <c r="B338">
        <v>1</v>
      </c>
      <c r="D338" t="str">
        <f t="shared" si="18"/>
        <v>0208</v>
      </c>
      <c r="E338" t="str">
        <f t="shared" si="19"/>
        <v/>
      </c>
      <c r="F338" t="str">
        <f t="shared" si="20"/>
        <v>CR</v>
      </c>
    </row>
    <row r="339" spans="1:6" x14ac:dyDescent="0.3">
      <c r="A339" t="s">
        <v>1744</v>
      </c>
      <c r="B339">
        <v>1</v>
      </c>
      <c r="D339" t="str">
        <f t="shared" si="18"/>
        <v>0209</v>
      </c>
      <c r="E339" t="str">
        <f t="shared" si="19"/>
        <v/>
      </c>
      <c r="F339" t="str">
        <f t="shared" si="20"/>
        <v>CR</v>
      </c>
    </row>
    <row r="340" spans="1:6" x14ac:dyDescent="0.3">
      <c r="A340" t="s">
        <v>1748</v>
      </c>
      <c r="B340">
        <v>1</v>
      </c>
      <c r="D340" t="str">
        <f t="shared" si="18"/>
        <v>0210</v>
      </c>
      <c r="E340" t="str">
        <f t="shared" si="19"/>
        <v/>
      </c>
      <c r="F340" t="str">
        <f t="shared" si="20"/>
        <v>CR</v>
      </c>
    </row>
    <row r="341" spans="1:6" x14ac:dyDescent="0.3">
      <c r="A341" t="s">
        <v>1752</v>
      </c>
      <c r="B341">
        <v>1</v>
      </c>
      <c r="D341" t="str">
        <f t="shared" si="18"/>
        <v>0211</v>
      </c>
      <c r="E341" t="str">
        <f t="shared" si="19"/>
        <v/>
      </c>
      <c r="F341" t="str">
        <f t="shared" si="20"/>
        <v>CR</v>
      </c>
    </row>
    <row r="342" spans="1:6" x14ac:dyDescent="0.3">
      <c r="A342" t="s">
        <v>1755</v>
      </c>
      <c r="B342">
        <v>1</v>
      </c>
      <c r="D342" t="str">
        <f t="shared" si="18"/>
        <v>0212</v>
      </c>
      <c r="E342" t="str">
        <f t="shared" si="19"/>
        <v/>
      </c>
      <c r="F342" t="str">
        <f t="shared" si="20"/>
        <v>CR</v>
      </c>
    </row>
    <row r="343" spans="1:6" x14ac:dyDescent="0.3">
      <c r="A343" t="s">
        <v>1757</v>
      </c>
      <c r="B343">
        <v>1</v>
      </c>
      <c r="D343" t="str">
        <f t="shared" si="18"/>
        <v>0213</v>
      </c>
      <c r="E343" t="str">
        <f t="shared" si="19"/>
        <v/>
      </c>
      <c r="F343" t="str">
        <f t="shared" si="20"/>
        <v>CR</v>
      </c>
    </row>
    <row r="344" spans="1:6" x14ac:dyDescent="0.3">
      <c r="A344" t="s">
        <v>1758</v>
      </c>
      <c r="B344">
        <v>1</v>
      </c>
      <c r="D344" t="str">
        <f t="shared" si="18"/>
        <v>0214</v>
      </c>
      <c r="E344" t="str">
        <f t="shared" si="19"/>
        <v/>
      </c>
      <c r="F344" t="str">
        <f t="shared" si="20"/>
        <v>CR</v>
      </c>
    </row>
    <row r="345" spans="1:6" x14ac:dyDescent="0.3">
      <c r="A345" t="s">
        <v>1762</v>
      </c>
      <c r="B345">
        <v>1</v>
      </c>
      <c r="D345" t="str">
        <f t="shared" si="18"/>
        <v>0215</v>
      </c>
      <c r="E345" t="str">
        <f t="shared" si="19"/>
        <v/>
      </c>
      <c r="F345" t="str">
        <f t="shared" si="20"/>
        <v>CR</v>
      </c>
    </row>
    <row r="346" spans="1:6" x14ac:dyDescent="0.3">
      <c r="A346" t="s">
        <v>1764</v>
      </c>
      <c r="B346">
        <v>1</v>
      </c>
      <c r="D346" t="str">
        <f t="shared" si="18"/>
        <v>0216</v>
      </c>
      <c r="E346" t="str">
        <f t="shared" si="19"/>
        <v/>
      </c>
      <c r="F346" t="str">
        <f t="shared" si="20"/>
        <v>CR</v>
      </c>
    </row>
    <row r="347" spans="1:6" x14ac:dyDescent="0.3">
      <c r="A347" t="s">
        <v>1768</v>
      </c>
      <c r="B347">
        <v>1</v>
      </c>
      <c r="D347" t="str">
        <f t="shared" si="18"/>
        <v>0217</v>
      </c>
      <c r="E347" t="str">
        <f t="shared" si="19"/>
        <v/>
      </c>
      <c r="F347" t="str">
        <f t="shared" si="20"/>
        <v>CR</v>
      </c>
    </row>
    <row r="348" spans="1:6" x14ac:dyDescent="0.3">
      <c r="A348" t="s">
        <v>1770</v>
      </c>
      <c r="B348">
        <v>1</v>
      </c>
      <c r="D348" t="str">
        <f t="shared" si="18"/>
        <v>0218</v>
      </c>
      <c r="E348" t="str">
        <f t="shared" si="19"/>
        <v/>
      </c>
      <c r="F348" t="str">
        <f t="shared" si="20"/>
        <v>CR</v>
      </c>
    </row>
    <row r="349" spans="1:6" x14ac:dyDescent="0.3">
      <c r="A349" t="s">
        <v>1773</v>
      </c>
      <c r="B349">
        <v>1</v>
      </c>
      <c r="D349" t="str">
        <f t="shared" si="18"/>
        <v>0219</v>
      </c>
      <c r="E349" t="str">
        <f t="shared" si="19"/>
        <v/>
      </c>
      <c r="F349" t="str">
        <f t="shared" si="20"/>
        <v>CR</v>
      </c>
    </row>
    <row r="350" spans="1:6" x14ac:dyDescent="0.3">
      <c r="A350" t="s">
        <v>1776</v>
      </c>
      <c r="B350">
        <v>1</v>
      </c>
      <c r="D350" t="str">
        <f t="shared" si="18"/>
        <v>0220</v>
      </c>
      <c r="E350" t="str">
        <f t="shared" si="19"/>
        <v/>
      </c>
      <c r="F350" t="str">
        <f t="shared" si="20"/>
        <v>CR</v>
      </c>
    </row>
    <row r="351" spans="1:6" x14ac:dyDescent="0.3">
      <c r="A351" t="s">
        <v>1779</v>
      </c>
      <c r="B351">
        <v>1</v>
      </c>
      <c r="D351" t="str">
        <f t="shared" si="18"/>
        <v>0221</v>
      </c>
      <c r="E351" t="str">
        <f t="shared" si="19"/>
        <v/>
      </c>
      <c r="F351" t="str">
        <f t="shared" si="20"/>
        <v>CR</v>
      </c>
    </row>
    <row r="352" spans="1:6" x14ac:dyDescent="0.3">
      <c r="A352" t="s">
        <v>1781</v>
      </c>
      <c r="B352">
        <v>1</v>
      </c>
      <c r="D352" t="str">
        <f t="shared" si="18"/>
        <v>0222</v>
      </c>
      <c r="E352" t="str">
        <f t="shared" si="19"/>
        <v/>
      </c>
      <c r="F352" t="str">
        <f t="shared" si="20"/>
        <v>CR</v>
      </c>
    </row>
    <row r="353" spans="1:6" x14ac:dyDescent="0.3">
      <c r="A353" t="s">
        <v>1783</v>
      </c>
      <c r="B353">
        <v>1</v>
      </c>
      <c r="D353" t="str">
        <f t="shared" si="18"/>
        <v>0223</v>
      </c>
      <c r="E353" t="str">
        <f t="shared" si="19"/>
        <v/>
      </c>
      <c r="F353" t="str">
        <f t="shared" si="20"/>
        <v>CR</v>
      </c>
    </row>
    <row r="354" spans="1:6" x14ac:dyDescent="0.3">
      <c r="A354" t="s">
        <v>1787</v>
      </c>
      <c r="B354">
        <v>1</v>
      </c>
      <c r="D354" t="str">
        <f t="shared" si="18"/>
        <v>0224</v>
      </c>
      <c r="E354" t="str">
        <f t="shared" si="19"/>
        <v/>
      </c>
      <c r="F354" t="str">
        <f t="shared" si="20"/>
        <v>CR</v>
      </c>
    </row>
    <row r="355" spans="1:6" x14ac:dyDescent="0.3">
      <c r="A355" t="s">
        <v>1789</v>
      </c>
      <c r="B355">
        <v>1</v>
      </c>
      <c r="D355" t="str">
        <f t="shared" si="18"/>
        <v>0225</v>
      </c>
      <c r="E355" t="str">
        <f t="shared" si="19"/>
        <v/>
      </c>
      <c r="F355" t="str">
        <f t="shared" si="20"/>
        <v>CR</v>
      </c>
    </row>
    <row r="356" spans="1:6" x14ac:dyDescent="0.3">
      <c r="A356" t="s">
        <v>2671</v>
      </c>
      <c r="B356">
        <v>1</v>
      </c>
      <c r="D356" t="str">
        <f t="shared" si="18"/>
        <v>0226</v>
      </c>
      <c r="E356" t="str">
        <f t="shared" si="19"/>
        <v/>
      </c>
      <c r="F356" t="str">
        <f t="shared" si="20"/>
        <v>DR</v>
      </c>
    </row>
    <row r="357" spans="1:6" x14ac:dyDescent="0.3">
      <c r="A357" t="s">
        <v>1795</v>
      </c>
      <c r="B357">
        <v>1</v>
      </c>
      <c r="D357" t="str">
        <f t="shared" si="18"/>
        <v>0227</v>
      </c>
      <c r="E357" t="str">
        <f t="shared" si="19"/>
        <v/>
      </c>
      <c r="F357" t="str">
        <f t="shared" si="20"/>
        <v>CR</v>
      </c>
    </row>
    <row r="358" spans="1:6" x14ac:dyDescent="0.3">
      <c r="A358" t="s">
        <v>1797</v>
      </c>
      <c r="B358">
        <v>1</v>
      </c>
      <c r="D358" t="str">
        <f t="shared" si="18"/>
        <v>0228</v>
      </c>
      <c r="E358" t="str">
        <f t="shared" si="19"/>
        <v/>
      </c>
      <c r="F358" t="str">
        <f t="shared" si="20"/>
        <v>CR</v>
      </c>
    </row>
    <row r="359" spans="1:6" x14ac:dyDescent="0.3">
      <c r="A359" t="s">
        <v>1801</v>
      </c>
      <c r="B359">
        <v>1</v>
      </c>
      <c r="D359" t="str">
        <f t="shared" si="18"/>
        <v>0229</v>
      </c>
      <c r="E359" t="str">
        <f t="shared" si="19"/>
        <v/>
      </c>
      <c r="F359" t="str">
        <f t="shared" si="20"/>
        <v>CR</v>
      </c>
    </row>
    <row r="360" spans="1:6" x14ac:dyDescent="0.3">
      <c r="A360" t="s">
        <v>1804</v>
      </c>
      <c r="B360">
        <v>1</v>
      </c>
      <c r="D360" t="str">
        <f t="shared" si="18"/>
        <v>0230</v>
      </c>
      <c r="E360" t="str">
        <f t="shared" si="19"/>
        <v/>
      </c>
      <c r="F360" t="str">
        <f t="shared" si="20"/>
        <v>CR</v>
      </c>
    </row>
    <row r="361" spans="1:6" x14ac:dyDescent="0.3">
      <c r="A361" t="s">
        <v>1806</v>
      </c>
      <c r="B361">
        <v>1</v>
      </c>
      <c r="D361" t="str">
        <f t="shared" si="18"/>
        <v>0231</v>
      </c>
      <c r="E361" t="str">
        <f t="shared" si="19"/>
        <v/>
      </c>
      <c r="F361" t="str">
        <f t="shared" si="20"/>
        <v>CR</v>
      </c>
    </row>
    <row r="362" spans="1:6" x14ac:dyDescent="0.3">
      <c r="A362" t="s">
        <v>1808</v>
      </c>
      <c r="B362">
        <v>1</v>
      </c>
      <c r="D362" t="str">
        <f t="shared" si="18"/>
        <v>0232</v>
      </c>
      <c r="E362" t="str">
        <f t="shared" si="19"/>
        <v/>
      </c>
      <c r="F362" t="str">
        <f t="shared" si="20"/>
        <v>CR</v>
      </c>
    </row>
    <row r="363" spans="1:6" x14ac:dyDescent="0.3">
      <c r="A363" t="s">
        <v>1812</v>
      </c>
      <c r="B363">
        <v>1</v>
      </c>
      <c r="D363" t="str">
        <f t="shared" si="18"/>
        <v>0233</v>
      </c>
      <c r="E363" t="str">
        <f t="shared" si="19"/>
        <v/>
      </c>
      <c r="F363" t="str">
        <f t="shared" si="20"/>
        <v>CR</v>
      </c>
    </row>
    <row r="364" spans="1:6" x14ac:dyDescent="0.3">
      <c r="A364" t="s">
        <v>1816</v>
      </c>
      <c r="B364">
        <v>1</v>
      </c>
      <c r="D364" t="str">
        <f t="shared" si="18"/>
        <v>0234</v>
      </c>
      <c r="E364" t="str">
        <f t="shared" si="19"/>
        <v/>
      </c>
      <c r="F364" t="str">
        <f t="shared" si="20"/>
        <v>CR</v>
      </c>
    </row>
    <row r="365" spans="1:6" x14ac:dyDescent="0.3">
      <c r="A365" t="s">
        <v>1818</v>
      </c>
      <c r="B365">
        <v>1</v>
      </c>
      <c r="D365" t="str">
        <f t="shared" si="18"/>
        <v>0235</v>
      </c>
      <c r="E365" t="str">
        <f t="shared" si="19"/>
        <v/>
      </c>
      <c r="F365" t="str">
        <f t="shared" si="20"/>
        <v>CR</v>
      </c>
    </row>
    <row r="366" spans="1:6" x14ac:dyDescent="0.3">
      <c r="A366" t="s">
        <v>2672</v>
      </c>
      <c r="B366">
        <v>1</v>
      </c>
      <c r="D366" t="str">
        <f t="shared" si="18"/>
        <v>0236</v>
      </c>
      <c r="E366" t="str">
        <f t="shared" si="19"/>
        <v/>
      </c>
      <c r="F366" t="str">
        <f t="shared" si="20"/>
        <v>DR</v>
      </c>
    </row>
    <row r="367" spans="1:6" x14ac:dyDescent="0.3">
      <c r="A367" t="s">
        <v>1823</v>
      </c>
      <c r="B367">
        <v>1</v>
      </c>
      <c r="D367" t="str">
        <f t="shared" si="18"/>
        <v>0237</v>
      </c>
      <c r="E367" t="str">
        <f t="shared" si="19"/>
        <v/>
      </c>
      <c r="F367" t="str">
        <f t="shared" si="20"/>
        <v>CR</v>
      </c>
    </row>
    <row r="368" spans="1:6" x14ac:dyDescent="0.3">
      <c r="A368" t="s">
        <v>1825</v>
      </c>
      <c r="B368">
        <v>1</v>
      </c>
      <c r="D368" t="str">
        <f t="shared" si="18"/>
        <v>0238</v>
      </c>
      <c r="E368" t="str">
        <f t="shared" si="19"/>
        <v/>
      </c>
      <c r="F368" t="str">
        <f t="shared" si="20"/>
        <v>CR</v>
      </c>
    </row>
    <row r="369" spans="1:6" x14ac:dyDescent="0.3">
      <c r="A369" t="s">
        <v>1827</v>
      </c>
      <c r="B369">
        <v>1</v>
      </c>
      <c r="D369" t="str">
        <f t="shared" si="18"/>
        <v>0239</v>
      </c>
      <c r="E369" t="str">
        <f t="shared" si="19"/>
        <v/>
      </c>
      <c r="F369" t="str">
        <f t="shared" si="20"/>
        <v>CR</v>
      </c>
    </row>
    <row r="370" spans="1:6" x14ac:dyDescent="0.3">
      <c r="A370" t="s">
        <v>1830</v>
      </c>
      <c r="B370">
        <v>1</v>
      </c>
      <c r="D370" t="str">
        <f t="shared" si="18"/>
        <v>0240</v>
      </c>
      <c r="E370" t="str">
        <f t="shared" si="19"/>
        <v/>
      </c>
      <c r="F370" t="str">
        <f t="shared" si="20"/>
        <v>CR</v>
      </c>
    </row>
    <row r="371" spans="1:6" x14ac:dyDescent="0.3">
      <c r="A371" t="s">
        <v>1834</v>
      </c>
      <c r="B371">
        <v>1</v>
      </c>
      <c r="D371" t="str">
        <f t="shared" si="18"/>
        <v>0241</v>
      </c>
      <c r="E371" t="str">
        <f t="shared" si="19"/>
        <v/>
      </c>
      <c r="F371" t="str">
        <f t="shared" si="20"/>
        <v>CR</v>
      </c>
    </row>
    <row r="372" spans="1:6" x14ac:dyDescent="0.3">
      <c r="A372" t="s">
        <v>1836</v>
      </c>
      <c r="B372">
        <v>1</v>
      </c>
      <c r="D372" t="str">
        <f t="shared" si="18"/>
        <v>0242</v>
      </c>
      <c r="E372" t="str">
        <f t="shared" si="19"/>
        <v/>
      </c>
      <c r="F372" t="str">
        <f t="shared" si="20"/>
        <v>CR</v>
      </c>
    </row>
    <row r="373" spans="1:6" x14ac:dyDescent="0.3">
      <c r="A373" t="s">
        <v>1840</v>
      </c>
      <c r="B373">
        <v>1</v>
      </c>
      <c r="D373" t="str">
        <f t="shared" si="18"/>
        <v>0243</v>
      </c>
      <c r="E373" t="str">
        <f t="shared" si="19"/>
        <v/>
      </c>
      <c r="F373" t="str">
        <f t="shared" si="20"/>
        <v>CR</v>
      </c>
    </row>
    <row r="374" spans="1:6" x14ac:dyDescent="0.3">
      <c r="A374" t="s">
        <v>1842</v>
      </c>
      <c r="B374">
        <v>1</v>
      </c>
      <c r="D374" t="str">
        <f t="shared" si="18"/>
        <v>0244</v>
      </c>
      <c r="E374" t="str">
        <f t="shared" si="19"/>
        <v/>
      </c>
      <c r="F374" t="str">
        <f t="shared" si="20"/>
        <v>CR</v>
      </c>
    </row>
    <row r="375" spans="1:6" x14ac:dyDescent="0.3">
      <c r="A375" t="s">
        <v>1844</v>
      </c>
      <c r="B375">
        <v>1</v>
      </c>
      <c r="D375" t="str">
        <f t="shared" si="18"/>
        <v>0245</v>
      </c>
      <c r="E375" t="str">
        <f t="shared" si="19"/>
        <v/>
      </c>
      <c r="F375" t="str">
        <f t="shared" si="20"/>
        <v>CR</v>
      </c>
    </row>
    <row r="376" spans="1:6" x14ac:dyDescent="0.3">
      <c r="A376" t="s">
        <v>1846</v>
      </c>
      <c r="B376">
        <v>1</v>
      </c>
      <c r="D376" t="str">
        <f t="shared" si="18"/>
        <v>0246</v>
      </c>
      <c r="E376" t="str">
        <f t="shared" si="19"/>
        <v/>
      </c>
      <c r="F376" t="str">
        <f t="shared" si="20"/>
        <v>CR</v>
      </c>
    </row>
    <row r="377" spans="1:6" x14ac:dyDescent="0.3">
      <c r="A377" t="s">
        <v>2673</v>
      </c>
      <c r="B377">
        <v>1</v>
      </c>
      <c r="D377" t="str">
        <f t="shared" si="18"/>
        <v>0247</v>
      </c>
      <c r="E377" t="str">
        <f t="shared" si="19"/>
        <v/>
      </c>
      <c r="F377" t="str">
        <f t="shared" si="20"/>
        <v>FR</v>
      </c>
    </row>
    <row r="378" spans="1:6" x14ac:dyDescent="0.3">
      <c r="A378" t="s">
        <v>1852</v>
      </c>
      <c r="B378">
        <v>1</v>
      </c>
      <c r="D378" t="str">
        <f t="shared" si="18"/>
        <v>0248</v>
      </c>
      <c r="E378" t="str">
        <f t="shared" si="19"/>
        <v/>
      </c>
      <c r="F378" t="str">
        <f t="shared" si="20"/>
        <v>CR</v>
      </c>
    </row>
    <row r="379" spans="1:6" x14ac:dyDescent="0.3">
      <c r="A379" t="s">
        <v>1854</v>
      </c>
      <c r="B379">
        <v>1</v>
      </c>
      <c r="D379" t="str">
        <f t="shared" si="18"/>
        <v>0249</v>
      </c>
      <c r="E379" t="str">
        <f t="shared" si="19"/>
        <v/>
      </c>
      <c r="F379" t="str">
        <f t="shared" si="20"/>
        <v>CR</v>
      </c>
    </row>
    <row r="380" spans="1:6" x14ac:dyDescent="0.3">
      <c r="A380" t="s">
        <v>1856</v>
      </c>
      <c r="B380">
        <v>1</v>
      </c>
      <c r="D380" t="str">
        <f t="shared" si="18"/>
        <v>0250</v>
      </c>
      <c r="E380" t="str">
        <f t="shared" si="19"/>
        <v/>
      </c>
      <c r="F380" t="str">
        <f t="shared" si="20"/>
        <v>CR</v>
      </c>
    </row>
    <row r="381" spans="1:6" x14ac:dyDescent="0.3">
      <c r="A381" t="s">
        <v>1859</v>
      </c>
      <c r="B381">
        <v>1</v>
      </c>
      <c r="D381" t="str">
        <f t="shared" si="18"/>
        <v>0251</v>
      </c>
      <c r="E381" t="str">
        <f t="shared" si="19"/>
        <v/>
      </c>
      <c r="F381" t="str">
        <f t="shared" si="20"/>
        <v>CR</v>
      </c>
    </row>
    <row r="382" spans="1:6" x14ac:dyDescent="0.3">
      <c r="A382" t="s">
        <v>1861</v>
      </c>
      <c r="B382">
        <v>1</v>
      </c>
      <c r="D382" t="str">
        <f t="shared" si="18"/>
        <v>0252</v>
      </c>
      <c r="E382" t="str">
        <f t="shared" si="19"/>
        <v/>
      </c>
      <c r="F382" t="str">
        <f t="shared" si="20"/>
        <v>CR</v>
      </c>
    </row>
    <row r="383" spans="1:6" x14ac:dyDescent="0.3">
      <c r="A383" t="s">
        <v>2674</v>
      </c>
      <c r="B383">
        <v>1</v>
      </c>
      <c r="D383" t="str">
        <f t="shared" si="18"/>
        <v>0253</v>
      </c>
      <c r="E383" t="str">
        <f t="shared" si="19"/>
        <v/>
      </c>
      <c r="F383" t="str">
        <f t="shared" si="20"/>
        <v>FR</v>
      </c>
    </row>
    <row r="384" spans="1:6" x14ac:dyDescent="0.3">
      <c r="A384" t="s">
        <v>1865</v>
      </c>
      <c r="B384">
        <v>1</v>
      </c>
      <c r="D384" t="str">
        <f t="shared" si="18"/>
        <v>0254</v>
      </c>
      <c r="E384" t="str">
        <f t="shared" si="19"/>
        <v/>
      </c>
      <c r="F384" t="str">
        <f t="shared" si="20"/>
        <v>CR</v>
      </c>
    </row>
    <row r="385" spans="1:6" x14ac:dyDescent="0.3">
      <c r="A385" t="s">
        <v>1868</v>
      </c>
      <c r="B385">
        <v>1</v>
      </c>
      <c r="D385" t="str">
        <f t="shared" si="18"/>
        <v>0255</v>
      </c>
      <c r="E385" t="str">
        <f t="shared" si="19"/>
        <v/>
      </c>
      <c r="F385" t="str">
        <f t="shared" si="20"/>
        <v>CR</v>
      </c>
    </row>
    <row r="386" spans="1:6" x14ac:dyDescent="0.3">
      <c r="A386" t="s">
        <v>1871</v>
      </c>
      <c r="B386">
        <v>1</v>
      </c>
      <c r="D386" t="str">
        <f t="shared" si="18"/>
        <v>0256</v>
      </c>
      <c r="E386" t="str">
        <f t="shared" si="19"/>
        <v/>
      </c>
      <c r="F386" t="str">
        <f t="shared" si="20"/>
        <v>CR</v>
      </c>
    </row>
    <row r="387" spans="1:6" x14ac:dyDescent="0.3">
      <c r="A387" t="s">
        <v>1874</v>
      </c>
      <c r="B387">
        <v>1</v>
      </c>
      <c r="D387" t="str">
        <f t="shared" ref="D387:D450" si="21">IF(LEFT(A387,2)="SP",MID(A387,4,4),IF(LEFT(A387,1)="X",MID(A387,3,4),""))</f>
        <v>0257</v>
      </c>
      <c r="E387" t="str">
        <f t="shared" ref="E387:E450" si="22">IF(OR(LEFT(A387,2)="SP",AND(LEFT(A387,1)="X",LEN(A387)&gt;9)),RIGHT(A387,1),"")</f>
        <v/>
      </c>
      <c r="F387" t="str">
        <f t="shared" ref="F387:F450" si="23">IF(LEFT(A387,1)="X",MID(A387,8,2),"")</f>
        <v>CR</v>
      </c>
    </row>
    <row r="388" spans="1:6" x14ac:dyDescent="0.3">
      <c r="A388" t="s">
        <v>1876</v>
      </c>
      <c r="B388">
        <v>1</v>
      </c>
      <c r="D388" t="str">
        <f t="shared" si="21"/>
        <v>0258</v>
      </c>
      <c r="E388" t="str">
        <f t="shared" si="22"/>
        <v/>
      </c>
      <c r="F388" t="str">
        <f t="shared" si="23"/>
        <v>CR</v>
      </c>
    </row>
    <row r="389" spans="1:6" x14ac:dyDescent="0.3">
      <c r="A389" t="s">
        <v>1879</v>
      </c>
      <c r="B389">
        <v>1</v>
      </c>
      <c r="D389" t="str">
        <f t="shared" si="21"/>
        <v>0259</v>
      </c>
      <c r="E389" t="str">
        <f t="shared" si="22"/>
        <v/>
      </c>
      <c r="F389" t="str">
        <f t="shared" si="23"/>
        <v>CR</v>
      </c>
    </row>
    <row r="390" spans="1:6" x14ac:dyDescent="0.3">
      <c r="A390" t="s">
        <v>1881</v>
      </c>
      <c r="B390">
        <v>1</v>
      </c>
      <c r="D390" t="str">
        <f t="shared" si="21"/>
        <v>0260</v>
      </c>
      <c r="E390" t="str">
        <f t="shared" si="22"/>
        <v/>
      </c>
      <c r="F390" t="str">
        <f t="shared" si="23"/>
        <v>CR</v>
      </c>
    </row>
    <row r="391" spans="1:6" x14ac:dyDescent="0.3">
      <c r="A391" t="s">
        <v>1884</v>
      </c>
      <c r="B391">
        <v>1</v>
      </c>
      <c r="D391" t="str">
        <f t="shared" si="21"/>
        <v>0261</v>
      </c>
      <c r="E391" t="str">
        <f t="shared" si="22"/>
        <v/>
      </c>
      <c r="F391" t="str">
        <f t="shared" si="23"/>
        <v>CR</v>
      </c>
    </row>
    <row r="392" spans="1:6" x14ac:dyDescent="0.3">
      <c r="A392" t="s">
        <v>1886</v>
      </c>
      <c r="B392">
        <v>1</v>
      </c>
      <c r="D392" t="str">
        <f t="shared" si="21"/>
        <v>0262</v>
      </c>
      <c r="E392" t="str">
        <f t="shared" si="22"/>
        <v/>
      </c>
      <c r="F392" t="str">
        <f t="shared" si="23"/>
        <v>CR</v>
      </c>
    </row>
    <row r="393" spans="1:6" x14ac:dyDescent="0.3">
      <c r="A393" t="s">
        <v>1890</v>
      </c>
      <c r="B393">
        <v>1</v>
      </c>
      <c r="D393" t="str">
        <f t="shared" si="21"/>
        <v>0263</v>
      </c>
      <c r="E393" t="str">
        <f t="shared" si="22"/>
        <v/>
      </c>
      <c r="F393" t="str">
        <f t="shared" si="23"/>
        <v>CR</v>
      </c>
    </row>
    <row r="394" spans="1:6" x14ac:dyDescent="0.3">
      <c r="A394" t="s">
        <v>1891</v>
      </c>
      <c r="B394">
        <v>1</v>
      </c>
      <c r="D394" t="str">
        <f t="shared" si="21"/>
        <v>0264</v>
      </c>
      <c r="E394" t="str">
        <f t="shared" si="22"/>
        <v/>
      </c>
      <c r="F394" t="str">
        <f t="shared" si="23"/>
        <v>CR</v>
      </c>
    </row>
    <row r="395" spans="1:6" x14ac:dyDescent="0.3">
      <c r="A395" t="s">
        <v>1895</v>
      </c>
      <c r="B395">
        <v>1</v>
      </c>
      <c r="D395" t="str">
        <f t="shared" si="21"/>
        <v>0265</v>
      </c>
      <c r="E395" t="str">
        <f t="shared" si="22"/>
        <v/>
      </c>
      <c r="F395" t="str">
        <f t="shared" si="23"/>
        <v>CR</v>
      </c>
    </row>
    <row r="396" spans="1:6" x14ac:dyDescent="0.3">
      <c r="A396" t="s">
        <v>1899</v>
      </c>
      <c r="B396">
        <v>1</v>
      </c>
      <c r="D396" t="str">
        <f t="shared" si="21"/>
        <v>0266</v>
      </c>
      <c r="E396" t="str">
        <f t="shared" si="22"/>
        <v/>
      </c>
      <c r="F396" t="str">
        <f t="shared" si="23"/>
        <v>CR</v>
      </c>
    </row>
    <row r="397" spans="1:6" x14ac:dyDescent="0.3">
      <c r="A397" t="s">
        <v>1900</v>
      </c>
      <c r="B397">
        <v>1</v>
      </c>
      <c r="D397" t="str">
        <f t="shared" si="21"/>
        <v>0267</v>
      </c>
      <c r="E397" t="str">
        <f t="shared" si="22"/>
        <v/>
      </c>
      <c r="F397" t="str">
        <f t="shared" si="23"/>
        <v>CR</v>
      </c>
    </row>
    <row r="398" spans="1:6" x14ac:dyDescent="0.3">
      <c r="A398" t="s">
        <v>1903</v>
      </c>
      <c r="B398">
        <v>1</v>
      </c>
      <c r="D398" t="str">
        <f t="shared" si="21"/>
        <v>0268</v>
      </c>
      <c r="E398" t="str">
        <f t="shared" si="22"/>
        <v/>
      </c>
      <c r="F398" t="str">
        <f t="shared" si="23"/>
        <v>CR</v>
      </c>
    </row>
    <row r="399" spans="1:6" x14ac:dyDescent="0.3">
      <c r="A399" t="s">
        <v>1906</v>
      </c>
      <c r="B399">
        <v>1</v>
      </c>
      <c r="D399" t="str">
        <f t="shared" si="21"/>
        <v>0269</v>
      </c>
      <c r="E399" t="str">
        <f t="shared" si="22"/>
        <v/>
      </c>
      <c r="F399" t="str">
        <f t="shared" si="23"/>
        <v>CR</v>
      </c>
    </row>
    <row r="400" spans="1:6" x14ac:dyDescent="0.3">
      <c r="A400" t="s">
        <v>1910</v>
      </c>
      <c r="B400">
        <v>1</v>
      </c>
      <c r="D400" t="str">
        <f t="shared" si="21"/>
        <v>0270</v>
      </c>
      <c r="E400" t="str">
        <f t="shared" si="22"/>
        <v/>
      </c>
      <c r="F400" t="str">
        <f t="shared" si="23"/>
        <v>CR</v>
      </c>
    </row>
    <row r="401" spans="1:6" x14ac:dyDescent="0.3">
      <c r="A401" t="s">
        <v>1914</v>
      </c>
      <c r="B401">
        <v>1</v>
      </c>
      <c r="D401" t="str">
        <f t="shared" si="21"/>
        <v>0271</v>
      </c>
      <c r="E401" t="str">
        <f t="shared" si="22"/>
        <v/>
      </c>
      <c r="F401" t="str">
        <f t="shared" si="23"/>
        <v>CR</v>
      </c>
    </row>
    <row r="402" spans="1:6" x14ac:dyDescent="0.3">
      <c r="A402" t="s">
        <v>1920</v>
      </c>
      <c r="B402">
        <v>1</v>
      </c>
      <c r="D402" t="str">
        <f t="shared" si="21"/>
        <v>0272</v>
      </c>
      <c r="E402" t="str">
        <f t="shared" si="22"/>
        <v/>
      </c>
      <c r="F402" t="str">
        <f t="shared" si="23"/>
        <v>CR</v>
      </c>
    </row>
    <row r="403" spans="1:6" x14ac:dyDescent="0.3">
      <c r="A403" t="s">
        <v>1923</v>
      </c>
      <c r="B403">
        <v>1</v>
      </c>
      <c r="D403" t="str">
        <f t="shared" si="21"/>
        <v>0273</v>
      </c>
      <c r="E403" t="str">
        <f t="shared" si="22"/>
        <v/>
      </c>
      <c r="F403" t="str">
        <f t="shared" si="23"/>
        <v>CR</v>
      </c>
    </row>
    <row r="404" spans="1:6" x14ac:dyDescent="0.3">
      <c r="A404" t="s">
        <v>1925</v>
      </c>
      <c r="B404">
        <v>1</v>
      </c>
      <c r="D404" t="str">
        <f t="shared" si="21"/>
        <v>0274</v>
      </c>
      <c r="E404" t="str">
        <f t="shared" si="22"/>
        <v/>
      </c>
      <c r="F404" t="str">
        <f t="shared" si="23"/>
        <v>CR</v>
      </c>
    </row>
    <row r="405" spans="1:6" x14ac:dyDescent="0.3">
      <c r="A405" t="s">
        <v>2574</v>
      </c>
      <c r="B405">
        <v>1</v>
      </c>
      <c r="D405" t="str">
        <f t="shared" si="21"/>
        <v>0275</v>
      </c>
      <c r="E405" t="str">
        <f t="shared" si="22"/>
        <v/>
      </c>
      <c r="F405" t="str">
        <f t="shared" si="23"/>
        <v>FR</v>
      </c>
    </row>
    <row r="406" spans="1:6" x14ac:dyDescent="0.3">
      <c r="A406" t="s">
        <v>1928</v>
      </c>
      <c r="B406">
        <v>1</v>
      </c>
      <c r="D406" t="str">
        <f t="shared" si="21"/>
        <v>0276</v>
      </c>
      <c r="E406" t="str">
        <f t="shared" si="22"/>
        <v/>
      </c>
      <c r="F406" t="str">
        <f t="shared" si="23"/>
        <v>CR</v>
      </c>
    </row>
    <row r="407" spans="1:6" x14ac:dyDescent="0.3">
      <c r="A407" t="s">
        <v>1930</v>
      </c>
      <c r="B407">
        <v>1</v>
      </c>
      <c r="D407" t="str">
        <f t="shared" si="21"/>
        <v>0277</v>
      </c>
      <c r="E407" t="str">
        <f t="shared" si="22"/>
        <v/>
      </c>
      <c r="F407" t="str">
        <f t="shared" si="23"/>
        <v>CR</v>
      </c>
    </row>
    <row r="408" spans="1:6" x14ac:dyDescent="0.3">
      <c r="A408" t="s">
        <v>1933</v>
      </c>
      <c r="B408">
        <v>1</v>
      </c>
      <c r="D408" t="str">
        <f t="shared" si="21"/>
        <v>0278</v>
      </c>
      <c r="E408" t="str">
        <f t="shared" si="22"/>
        <v/>
      </c>
      <c r="F408" t="str">
        <f t="shared" si="23"/>
        <v>CR</v>
      </c>
    </row>
    <row r="409" spans="1:6" x14ac:dyDescent="0.3">
      <c r="A409" t="s">
        <v>1935</v>
      </c>
      <c r="B409">
        <v>1</v>
      </c>
      <c r="D409" t="str">
        <f t="shared" si="21"/>
        <v>0279</v>
      </c>
      <c r="E409" t="str">
        <f t="shared" si="22"/>
        <v/>
      </c>
      <c r="F409" t="str">
        <f t="shared" si="23"/>
        <v>CR</v>
      </c>
    </row>
    <row r="410" spans="1:6" x14ac:dyDescent="0.3">
      <c r="A410" t="s">
        <v>1937</v>
      </c>
      <c r="B410">
        <v>1</v>
      </c>
      <c r="D410" t="str">
        <f t="shared" si="21"/>
        <v>0280</v>
      </c>
      <c r="E410" t="str">
        <f t="shared" si="22"/>
        <v/>
      </c>
      <c r="F410" t="str">
        <f t="shared" si="23"/>
        <v>CR</v>
      </c>
    </row>
    <row r="411" spans="1:6" x14ac:dyDescent="0.3">
      <c r="A411" t="s">
        <v>1940</v>
      </c>
      <c r="B411">
        <v>1</v>
      </c>
      <c r="D411" t="str">
        <f t="shared" si="21"/>
        <v>0281</v>
      </c>
      <c r="E411" t="str">
        <f t="shared" si="22"/>
        <v/>
      </c>
      <c r="F411" t="str">
        <f t="shared" si="23"/>
        <v>CR</v>
      </c>
    </row>
    <row r="412" spans="1:6" x14ac:dyDescent="0.3">
      <c r="A412" t="s">
        <v>1942</v>
      </c>
      <c r="B412">
        <v>1</v>
      </c>
      <c r="D412" t="str">
        <f t="shared" si="21"/>
        <v>0282</v>
      </c>
      <c r="E412" t="str">
        <f t="shared" si="22"/>
        <v/>
      </c>
      <c r="F412" t="str">
        <f t="shared" si="23"/>
        <v>CR</v>
      </c>
    </row>
    <row r="413" spans="1:6" x14ac:dyDescent="0.3">
      <c r="A413" t="s">
        <v>1944</v>
      </c>
      <c r="B413">
        <v>1</v>
      </c>
      <c r="D413" t="str">
        <f t="shared" si="21"/>
        <v>0283</v>
      </c>
      <c r="E413" t="str">
        <f t="shared" si="22"/>
        <v/>
      </c>
      <c r="F413" t="str">
        <f t="shared" si="23"/>
        <v>CR</v>
      </c>
    </row>
    <row r="414" spans="1:6" x14ac:dyDescent="0.3">
      <c r="A414" t="s">
        <v>1946</v>
      </c>
      <c r="B414">
        <v>1</v>
      </c>
      <c r="D414" t="str">
        <f t="shared" si="21"/>
        <v>0284</v>
      </c>
      <c r="E414" t="str">
        <f t="shared" si="22"/>
        <v/>
      </c>
      <c r="F414" t="str">
        <f t="shared" si="23"/>
        <v>CR</v>
      </c>
    </row>
    <row r="415" spans="1:6" x14ac:dyDescent="0.3">
      <c r="A415" t="s">
        <v>1948</v>
      </c>
      <c r="B415">
        <v>1</v>
      </c>
      <c r="D415" t="str">
        <f t="shared" si="21"/>
        <v>0285</v>
      </c>
      <c r="E415" t="str">
        <f t="shared" si="22"/>
        <v/>
      </c>
      <c r="F415" t="str">
        <f t="shared" si="23"/>
        <v>CR</v>
      </c>
    </row>
    <row r="416" spans="1:6" x14ac:dyDescent="0.3">
      <c r="A416" t="s">
        <v>1951</v>
      </c>
      <c r="B416">
        <v>1</v>
      </c>
      <c r="D416" t="str">
        <f t="shared" si="21"/>
        <v>0286</v>
      </c>
      <c r="E416" t="str">
        <f t="shared" si="22"/>
        <v/>
      </c>
      <c r="F416" t="str">
        <f t="shared" si="23"/>
        <v>CR</v>
      </c>
    </row>
    <row r="417" spans="1:6" x14ac:dyDescent="0.3">
      <c r="A417" t="s">
        <v>1953</v>
      </c>
      <c r="B417">
        <v>1</v>
      </c>
      <c r="D417" t="str">
        <f t="shared" si="21"/>
        <v>0287</v>
      </c>
      <c r="E417" t="str">
        <f t="shared" si="22"/>
        <v/>
      </c>
      <c r="F417" t="str">
        <f t="shared" si="23"/>
        <v>CR</v>
      </c>
    </row>
    <row r="418" spans="1:6" x14ac:dyDescent="0.3">
      <c r="A418" t="s">
        <v>1956</v>
      </c>
      <c r="B418">
        <v>1</v>
      </c>
      <c r="D418" t="str">
        <f t="shared" si="21"/>
        <v>0288</v>
      </c>
      <c r="E418" t="str">
        <f t="shared" si="22"/>
        <v/>
      </c>
      <c r="F418" t="str">
        <f t="shared" si="23"/>
        <v>CR</v>
      </c>
    </row>
    <row r="419" spans="1:6" x14ac:dyDescent="0.3">
      <c r="A419" t="s">
        <v>1958</v>
      </c>
      <c r="B419">
        <v>1</v>
      </c>
      <c r="D419" t="str">
        <f t="shared" si="21"/>
        <v>0289</v>
      </c>
      <c r="E419" t="str">
        <f t="shared" si="22"/>
        <v/>
      </c>
      <c r="F419" t="str">
        <f t="shared" si="23"/>
        <v>CR</v>
      </c>
    </row>
    <row r="420" spans="1:6" x14ac:dyDescent="0.3">
      <c r="A420" t="s">
        <v>1960</v>
      </c>
      <c r="B420">
        <v>1</v>
      </c>
      <c r="D420" t="str">
        <f t="shared" si="21"/>
        <v>0290</v>
      </c>
      <c r="E420" t="str">
        <f t="shared" si="22"/>
        <v/>
      </c>
      <c r="F420" t="str">
        <f t="shared" si="23"/>
        <v>CR</v>
      </c>
    </row>
    <row r="421" spans="1:6" x14ac:dyDescent="0.3">
      <c r="A421" t="s">
        <v>1962</v>
      </c>
      <c r="B421">
        <v>1</v>
      </c>
      <c r="D421" t="str">
        <f t="shared" si="21"/>
        <v>0291</v>
      </c>
      <c r="E421" t="str">
        <f t="shared" si="22"/>
        <v/>
      </c>
      <c r="F421" t="str">
        <f t="shared" si="23"/>
        <v>CR</v>
      </c>
    </row>
    <row r="422" spans="1:6" x14ac:dyDescent="0.3">
      <c r="A422" t="s">
        <v>1964</v>
      </c>
      <c r="B422">
        <v>1</v>
      </c>
      <c r="D422" t="str">
        <f t="shared" si="21"/>
        <v>0292</v>
      </c>
      <c r="E422" t="str">
        <f t="shared" si="22"/>
        <v/>
      </c>
      <c r="F422" t="str">
        <f t="shared" si="23"/>
        <v>CR</v>
      </c>
    </row>
    <row r="423" spans="1:6" x14ac:dyDescent="0.3">
      <c r="A423" t="s">
        <v>1966</v>
      </c>
      <c r="B423">
        <v>1</v>
      </c>
      <c r="D423" t="str">
        <f t="shared" si="21"/>
        <v>0293</v>
      </c>
      <c r="E423" t="str">
        <f t="shared" si="22"/>
        <v/>
      </c>
      <c r="F423" t="str">
        <f t="shared" si="23"/>
        <v>CR</v>
      </c>
    </row>
    <row r="424" spans="1:6" x14ac:dyDescent="0.3">
      <c r="A424" t="s">
        <v>1968</v>
      </c>
      <c r="B424">
        <v>1</v>
      </c>
      <c r="D424" t="str">
        <f t="shared" si="21"/>
        <v>0294</v>
      </c>
      <c r="E424" t="str">
        <f t="shared" si="22"/>
        <v/>
      </c>
      <c r="F424" t="str">
        <f t="shared" si="23"/>
        <v>DR</v>
      </c>
    </row>
    <row r="425" spans="1:6" x14ac:dyDescent="0.3">
      <c r="A425" t="s">
        <v>1970</v>
      </c>
      <c r="B425">
        <v>1</v>
      </c>
      <c r="D425" t="str">
        <f t="shared" si="21"/>
        <v>0295</v>
      </c>
      <c r="E425" t="str">
        <f t="shared" si="22"/>
        <v/>
      </c>
      <c r="F425" t="str">
        <f t="shared" si="23"/>
        <v>CR</v>
      </c>
    </row>
    <row r="426" spans="1:6" x14ac:dyDescent="0.3">
      <c r="A426" t="s">
        <v>1972</v>
      </c>
      <c r="B426">
        <v>1</v>
      </c>
      <c r="D426" t="str">
        <f t="shared" si="21"/>
        <v>0296</v>
      </c>
      <c r="E426" t="str">
        <f t="shared" si="22"/>
        <v/>
      </c>
      <c r="F426" t="str">
        <f t="shared" si="23"/>
        <v>CR</v>
      </c>
    </row>
    <row r="427" spans="1:6" x14ac:dyDescent="0.3">
      <c r="A427" t="s">
        <v>1974</v>
      </c>
      <c r="B427">
        <v>1</v>
      </c>
      <c r="D427" t="str">
        <f t="shared" si="21"/>
        <v>0297</v>
      </c>
      <c r="E427" t="str">
        <f t="shared" si="22"/>
        <v/>
      </c>
      <c r="F427" t="str">
        <f t="shared" si="23"/>
        <v>CR</v>
      </c>
    </row>
    <row r="428" spans="1:6" x14ac:dyDescent="0.3">
      <c r="A428" t="s">
        <v>1977</v>
      </c>
      <c r="B428">
        <v>1</v>
      </c>
      <c r="D428" t="str">
        <f t="shared" si="21"/>
        <v>0298</v>
      </c>
      <c r="E428" t="str">
        <f t="shared" si="22"/>
        <v/>
      </c>
      <c r="F428" t="str">
        <f t="shared" si="23"/>
        <v>CR</v>
      </c>
    </row>
    <row r="429" spans="1:6" x14ac:dyDescent="0.3">
      <c r="A429" t="s">
        <v>1979</v>
      </c>
      <c r="B429">
        <v>1</v>
      </c>
      <c r="D429" t="str">
        <f t="shared" si="21"/>
        <v>0299</v>
      </c>
      <c r="E429" t="str">
        <f t="shared" si="22"/>
        <v/>
      </c>
      <c r="F429" t="str">
        <f t="shared" si="23"/>
        <v>CR</v>
      </c>
    </row>
    <row r="430" spans="1:6" x14ac:dyDescent="0.3">
      <c r="A430" t="s">
        <v>1982</v>
      </c>
      <c r="B430">
        <v>1</v>
      </c>
      <c r="D430" t="str">
        <f t="shared" si="21"/>
        <v>0300</v>
      </c>
      <c r="E430" t="str">
        <f t="shared" si="22"/>
        <v/>
      </c>
      <c r="F430" t="str">
        <f t="shared" si="23"/>
        <v>CR</v>
      </c>
    </row>
    <row r="431" spans="1:6" x14ac:dyDescent="0.3">
      <c r="A431" t="s">
        <v>1984</v>
      </c>
      <c r="B431">
        <v>1</v>
      </c>
      <c r="D431" t="str">
        <f t="shared" si="21"/>
        <v>0301</v>
      </c>
      <c r="E431" t="str">
        <f t="shared" si="22"/>
        <v/>
      </c>
      <c r="F431" t="str">
        <f t="shared" si="23"/>
        <v>CR</v>
      </c>
    </row>
    <row r="432" spans="1:6" x14ac:dyDescent="0.3">
      <c r="A432" t="s">
        <v>1987</v>
      </c>
      <c r="B432">
        <v>1</v>
      </c>
      <c r="D432" t="str">
        <f t="shared" si="21"/>
        <v>0302</v>
      </c>
      <c r="E432" t="str">
        <f t="shared" si="22"/>
        <v/>
      </c>
      <c r="F432" t="str">
        <f t="shared" si="23"/>
        <v>CR</v>
      </c>
    </row>
    <row r="433" spans="1:6" x14ac:dyDescent="0.3">
      <c r="A433" t="s">
        <v>1990</v>
      </c>
      <c r="B433">
        <v>1</v>
      </c>
      <c r="D433" t="str">
        <f t="shared" si="21"/>
        <v>0303</v>
      </c>
      <c r="E433" t="str">
        <f t="shared" si="22"/>
        <v/>
      </c>
      <c r="F433" t="str">
        <f t="shared" si="23"/>
        <v>CR</v>
      </c>
    </row>
    <row r="434" spans="1:6" x14ac:dyDescent="0.3">
      <c r="A434" t="s">
        <v>1992</v>
      </c>
      <c r="B434">
        <v>1</v>
      </c>
      <c r="D434" t="str">
        <f t="shared" si="21"/>
        <v>0304</v>
      </c>
      <c r="E434" t="str">
        <f t="shared" si="22"/>
        <v/>
      </c>
      <c r="F434" t="str">
        <f t="shared" si="23"/>
        <v>CR</v>
      </c>
    </row>
    <row r="435" spans="1:6" x14ac:dyDescent="0.3">
      <c r="A435" t="s">
        <v>1995</v>
      </c>
      <c r="B435">
        <v>1</v>
      </c>
      <c r="D435" t="str">
        <f t="shared" si="21"/>
        <v>0305</v>
      </c>
      <c r="E435" t="str">
        <f t="shared" si="22"/>
        <v/>
      </c>
      <c r="F435" t="str">
        <f t="shared" si="23"/>
        <v>CR</v>
      </c>
    </row>
    <row r="436" spans="1:6" x14ac:dyDescent="0.3">
      <c r="A436" t="s">
        <v>1997</v>
      </c>
      <c r="B436">
        <v>1</v>
      </c>
      <c r="D436" t="str">
        <f t="shared" si="21"/>
        <v>0306</v>
      </c>
      <c r="E436" t="str">
        <f t="shared" si="22"/>
        <v/>
      </c>
      <c r="F436" t="str">
        <f t="shared" si="23"/>
        <v>CR</v>
      </c>
    </row>
    <row r="437" spans="1:6" x14ac:dyDescent="0.3">
      <c r="A437" t="s">
        <v>1999</v>
      </c>
      <c r="B437">
        <v>1</v>
      </c>
      <c r="D437" t="str">
        <f t="shared" si="21"/>
        <v>0307</v>
      </c>
      <c r="E437" t="str">
        <f t="shared" si="22"/>
        <v/>
      </c>
      <c r="F437" t="str">
        <f t="shared" si="23"/>
        <v>CR</v>
      </c>
    </row>
    <row r="438" spans="1:6" x14ac:dyDescent="0.3">
      <c r="A438" t="s">
        <v>2001</v>
      </c>
      <c r="B438">
        <v>1</v>
      </c>
      <c r="D438" t="str">
        <f t="shared" si="21"/>
        <v>0308</v>
      </c>
      <c r="E438" t="str">
        <f t="shared" si="22"/>
        <v/>
      </c>
      <c r="F438" t="str">
        <f t="shared" si="23"/>
        <v>CR</v>
      </c>
    </row>
    <row r="439" spans="1:6" x14ac:dyDescent="0.3">
      <c r="A439" t="s">
        <v>2003</v>
      </c>
      <c r="B439">
        <v>1</v>
      </c>
      <c r="D439" t="str">
        <f t="shared" si="21"/>
        <v>0309</v>
      </c>
      <c r="E439" t="str">
        <f t="shared" si="22"/>
        <v/>
      </c>
      <c r="F439" t="str">
        <f t="shared" si="23"/>
        <v>CR</v>
      </c>
    </row>
    <row r="440" spans="1:6" x14ac:dyDescent="0.3">
      <c r="A440" t="s">
        <v>2005</v>
      </c>
      <c r="B440">
        <v>1</v>
      </c>
      <c r="D440" t="str">
        <f t="shared" si="21"/>
        <v>0310</v>
      </c>
      <c r="E440" t="str">
        <f t="shared" si="22"/>
        <v/>
      </c>
      <c r="F440" t="str">
        <f t="shared" si="23"/>
        <v>CR</v>
      </c>
    </row>
    <row r="441" spans="1:6" x14ac:dyDescent="0.3">
      <c r="A441" t="s">
        <v>2008</v>
      </c>
      <c r="B441">
        <v>1</v>
      </c>
      <c r="D441" t="str">
        <f t="shared" si="21"/>
        <v>0311</v>
      </c>
      <c r="E441" t="str">
        <f t="shared" si="22"/>
        <v/>
      </c>
      <c r="F441" t="str">
        <f t="shared" si="23"/>
        <v>CR</v>
      </c>
    </row>
    <row r="442" spans="1:6" x14ac:dyDescent="0.3">
      <c r="A442" t="s">
        <v>2010</v>
      </c>
      <c r="B442">
        <v>1</v>
      </c>
      <c r="D442" t="str">
        <f t="shared" si="21"/>
        <v>0312</v>
      </c>
      <c r="E442" t="str">
        <f t="shared" si="22"/>
        <v/>
      </c>
      <c r="F442" t="str">
        <f t="shared" si="23"/>
        <v>CR</v>
      </c>
    </row>
    <row r="443" spans="1:6" x14ac:dyDescent="0.3">
      <c r="A443" t="s">
        <v>2014</v>
      </c>
      <c r="B443">
        <v>1</v>
      </c>
      <c r="D443" t="str">
        <f t="shared" si="21"/>
        <v>0313</v>
      </c>
      <c r="E443" t="str">
        <f t="shared" si="22"/>
        <v/>
      </c>
      <c r="F443" t="str">
        <f t="shared" si="23"/>
        <v>CR</v>
      </c>
    </row>
    <row r="444" spans="1:6" x14ac:dyDescent="0.3">
      <c r="A444" t="s">
        <v>2018</v>
      </c>
      <c r="B444">
        <v>1</v>
      </c>
      <c r="D444" t="str">
        <f t="shared" si="21"/>
        <v>0314</v>
      </c>
      <c r="E444" t="str">
        <f t="shared" si="22"/>
        <v/>
      </c>
      <c r="F444" t="str">
        <f t="shared" si="23"/>
        <v>CR</v>
      </c>
    </row>
    <row r="445" spans="1:6" x14ac:dyDescent="0.3">
      <c r="A445" t="s">
        <v>2025</v>
      </c>
      <c r="B445">
        <v>1</v>
      </c>
      <c r="D445" t="str">
        <f t="shared" si="21"/>
        <v>0315</v>
      </c>
      <c r="E445" t="str">
        <f t="shared" si="22"/>
        <v/>
      </c>
      <c r="F445" t="str">
        <f t="shared" si="23"/>
        <v>CR</v>
      </c>
    </row>
    <row r="446" spans="1:6" x14ac:dyDescent="0.3">
      <c r="A446" t="s">
        <v>2030</v>
      </c>
      <c r="B446">
        <v>1</v>
      </c>
      <c r="D446" t="str">
        <f t="shared" si="21"/>
        <v>0316</v>
      </c>
      <c r="E446" t="str">
        <f t="shared" si="22"/>
        <v/>
      </c>
      <c r="F446" t="str">
        <f t="shared" si="23"/>
        <v>CR</v>
      </c>
    </row>
    <row r="447" spans="1:6" x14ac:dyDescent="0.3">
      <c r="A447" t="s">
        <v>2034</v>
      </c>
      <c r="B447">
        <v>1</v>
      </c>
      <c r="D447" t="str">
        <f t="shared" si="21"/>
        <v>0317</v>
      </c>
      <c r="E447" t="str">
        <f t="shared" si="22"/>
        <v/>
      </c>
      <c r="F447" t="str">
        <f t="shared" si="23"/>
        <v>CR</v>
      </c>
    </row>
    <row r="448" spans="1:6" x14ac:dyDescent="0.3">
      <c r="A448" t="s">
        <v>2038</v>
      </c>
      <c r="B448">
        <v>1</v>
      </c>
      <c r="D448" t="str">
        <f t="shared" si="21"/>
        <v>0318</v>
      </c>
      <c r="E448" t="str">
        <f t="shared" si="22"/>
        <v/>
      </c>
      <c r="F448" t="str">
        <f t="shared" si="23"/>
        <v>CR</v>
      </c>
    </row>
    <row r="449" spans="1:6" x14ac:dyDescent="0.3">
      <c r="A449" t="s">
        <v>2040</v>
      </c>
      <c r="B449">
        <v>1</v>
      </c>
      <c r="D449" t="str">
        <f t="shared" si="21"/>
        <v>0319</v>
      </c>
      <c r="E449" t="str">
        <f t="shared" si="22"/>
        <v/>
      </c>
      <c r="F449" t="str">
        <f t="shared" si="23"/>
        <v>FR</v>
      </c>
    </row>
    <row r="450" spans="1:6" x14ac:dyDescent="0.3">
      <c r="A450" t="s">
        <v>2041</v>
      </c>
      <c r="B450">
        <v>1</v>
      </c>
      <c r="D450" t="str">
        <f t="shared" si="21"/>
        <v>0320</v>
      </c>
      <c r="E450" t="str">
        <f t="shared" si="22"/>
        <v/>
      </c>
      <c r="F450" t="str">
        <f t="shared" si="23"/>
        <v>FR</v>
      </c>
    </row>
    <row r="451" spans="1:6" x14ac:dyDescent="0.3">
      <c r="A451" t="s">
        <v>2042</v>
      </c>
      <c r="B451">
        <v>1</v>
      </c>
      <c r="D451" t="str">
        <f t="shared" ref="D451:D514" si="24">IF(LEFT(A451,2)="SP",MID(A451,4,4),IF(LEFT(A451,1)="X",MID(A451,3,4),""))</f>
        <v>0321</v>
      </c>
      <c r="E451" t="str">
        <f t="shared" ref="E451:E514" si="25">IF(OR(LEFT(A451,2)="SP",AND(LEFT(A451,1)="X",LEN(A451)&gt;9)),RIGHT(A451,1),"")</f>
        <v/>
      </c>
      <c r="F451" t="str">
        <f t="shared" ref="F451:F514" si="26">IF(LEFT(A451,1)="X",MID(A451,8,2),"")</f>
        <v>FR</v>
      </c>
    </row>
    <row r="452" spans="1:6" x14ac:dyDescent="0.3">
      <c r="A452" t="s">
        <v>2044</v>
      </c>
      <c r="B452">
        <v>1</v>
      </c>
      <c r="D452" t="str">
        <f t="shared" si="24"/>
        <v>0322</v>
      </c>
      <c r="E452" t="str">
        <f t="shared" si="25"/>
        <v/>
      </c>
      <c r="F452" t="str">
        <f t="shared" si="26"/>
        <v>FR</v>
      </c>
    </row>
    <row r="453" spans="1:6" x14ac:dyDescent="0.3">
      <c r="A453" t="s">
        <v>2046</v>
      </c>
      <c r="B453">
        <v>1</v>
      </c>
      <c r="D453" t="str">
        <f t="shared" si="24"/>
        <v>0323</v>
      </c>
      <c r="E453" t="str">
        <f t="shared" si="25"/>
        <v/>
      </c>
      <c r="F453" t="str">
        <f t="shared" si="26"/>
        <v>CR</v>
      </c>
    </row>
    <row r="454" spans="1:6" x14ac:dyDescent="0.3">
      <c r="A454" t="s">
        <v>2049</v>
      </c>
      <c r="B454">
        <v>1</v>
      </c>
      <c r="D454" t="str">
        <f t="shared" si="24"/>
        <v>0324</v>
      </c>
      <c r="E454" t="str">
        <f t="shared" si="25"/>
        <v/>
      </c>
      <c r="F454" t="str">
        <f t="shared" si="26"/>
        <v>CR</v>
      </c>
    </row>
    <row r="455" spans="1:6" x14ac:dyDescent="0.3">
      <c r="A455" t="s">
        <v>2051</v>
      </c>
      <c r="B455">
        <v>1</v>
      </c>
      <c r="D455" t="str">
        <f t="shared" si="24"/>
        <v>0325</v>
      </c>
      <c r="E455" t="str">
        <f t="shared" si="25"/>
        <v/>
      </c>
      <c r="F455" t="str">
        <f t="shared" si="26"/>
        <v>CR</v>
      </c>
    </row>
    <row r="456" spans="1:6" x14ac:dyDescent="0.3">
      <c r="A456" t="s">
        <v>2053</v>
      </c>
      <c r="B456">
        <v>1</v>
      </c>
      <c r="D456" t="str">
        <f t="shared" si="24"/>
        <v>0326</v>
      </c>
      <c r="E456" t="str">
        <f t="shared" si="25"/>
        <v/>
      </c>
      <c r="F456" t="str">
        <f t="shared" si="26"/>
        <v>CR</v>
      </c>
    </row>
    <row r="457" spans="1:6" x14ac:dyDescent="0.3">
      <c r="A457" t="s">
        <v>2055</v>
      </c>
      <c r="B457">
        <v>1</v>
      </c>
      <c r="D457" t="str">
        <f t="shared" si="24"/>
        <v>0327</v>
      </c>
      <c r="E457" t="str">
        <f t="shared" si="25"/>
        <v/>
      </c>
      <c r="F457" t="str">
        <f t="shared" si="26"/>
        <v>CR</v>
      </c>
    </row>
    <row r="458" spans="1:6" x14ac:dyDescent="0.3">
      <c r="A458" t="s">
        <v>2060</v>
      </c>
      <c r="B458">
        <v>1</v>
      </c>
      <c r="D458" t="str">
        <f t="shared" si="24"/>
        <v>0328</v>
      </c>
      <c r="E458" t="str">
        <f t="shared" si="25"/>
        <v/>
      </c>
      <c r="F458" t="str">
        <f t="shared" si="26"/>
        <v>CR</v>
      </c>
    </row>
    <row r="459" spans="1:6" x14ac:dyDescent="0.3">
      <c r="A459" t="s">
        <v>2575</v>
      </c>
      <c r="B459">
        <v>1.0000001999999899</v>
      </c>
      <c r="D459" t="str">
        <f t="shared" si="24"/>
        <v>0329</v>
      </c>
      <c r="E459" t="str">
        <f t="shared" si="25"/>
        <v/>
      </c>
      <c r="F459" t="str">
        <f t="shared" si="26"/>
        <v>FR</v>
      </c>
    </row>
    <row r="460" spans="1:6" x14ac:dyDescent="0.3">
      <c r="A460" t="s">
        <v>2064</v>
      </c>
      <c r="B460">
        <v>1</v>
      </c>
      <c r="D460" t="str">
        <f t="shared" si="24"/>
        <v>0330</v>
      </c>
      <c r="E460" t="str">
        <f t="shared" si="25"/>
        <v/>
      </c>
      <c r="F460" t="str">
        <f t="shared" si="26"/>
        <v>CR</v>
      </c>
    </row>
    <row r="461" spans="1:6" x14ac:dyDescent="0.3">
      <c r="A461" t="s">
        <v>2066</v>
      </c>
      <c r="B461">
        <v>1</v>
      </c>
      <c r="D461" t="str">
        <f t="shared" si="24"/>
        <v>0331</v>
      </c>
      <c r="E461" t="str">
        <f t="shared" si="25"/>
        <v/>
      </c>
      <c r="F461" t="str">
        <f t="shared" si="26"/>
        <v>CR</v>
      </c>
    </row>
    <row r="462" spans="1:6" x14ac:dyDescent="0.3">
      <c r="A462" t="s">
        <v>2068</v>
      </c>
      <c r="B462">
        <v>1</v>
      </c>
      <c r="D462" t="str">
        <f t="shared" si="24"/>
        <v>0332</v>
      </c>
      <c r="E462" t="str">
        <f t="shared" si="25"/>
        <v/>
      </c>
      <c r="F462" t="str">
        <f t="shared" si="26"/>
        <v>CR</v>
      </c>
    </row>
    <row r="463" spans="1:6" x14ac:dyDescent="0.3">
      <c r="A463" t="s">
        <v>2070</v>
      </c>
      <c r="B463">
        <v>1</v>
      </c>
      <c r="D463" t="str">
        <f t="shared" si="24"/>
        <v>0333</v>
      </c>
      <c r="E463" t="str">
        <f t="shared" si="25"/>
        <v/>
      </c>
      <c r="F463" t="str">
        <f t="shared" si="26"/>
        <v>CR</v>
      </c>
    </row>
    <row r="464" spans="1:6" x14ac:dyDescent="0.3">
      <c r="A464" t="s">
        <v>2072</v>
      </c>
      <c r="B464">
        <v>1</v>
      </c>
      <c r="D464" t="str">
        <f t="shared" si="24"/>
        <v>0334</v>
      </c>
      <c r="E464" t="str">
        <f t="shared" si="25"/>
        <v/>
      </c>
      <c r="F464" t="str">
        <f t="shared" si="26"/>
        <v>CR</v>
      </c>
    </row>
    <row r="465" spans="1:6" x14ac:dyDescent="0.3">
      <c r="A465" t="s">
        <v>2074</v>
      </c>
      <c r="B465">
        <v>1</v>
      </c>
      <c r="D465" t="str">
        <f t="shared" si="24"/>
        <v>0335</v>
      </c>
      <c r="E465" t="str">
        <f t="shared" si="25"/>
        <v/>
      </c>
      <c r="F465" t="str">
        <f t="shared" si="26"/>
        <v>CR</v>
      </c>
    </row>
    <row r="466" spans="1:6" x14ac:dyDescent="0.3">
      <c r="A466" t="s">
        <v>2078</v>
      </c>
      <c r="B466">
        <v>1</v>
      </c>
      <c r="D466" t="str">
        <f t="shared" si="24"/>
        <v>0336</v>
      </c>
      <c r="E466" t="str">
        <f t="shared" si="25"/>
        <v/>
      </c>
      <c r="F466" t="str">
        <f t="shared" si="26"/>
        <v>CR</v>
      </c>
    </row>
    <row r="467" spans="1:6" x14ac:dyDescent="0.3">
      <c r="A467" t="s">
        <v>2082</v>
      </c>
      <c r="B467">
        <v>1</v>
      </c>
      <c r="D467" t="str">
        <f t="shared" si="24"/>
        <v>0337</v>
      </c>
      <c r="E467" t="str">
        <f t="shared" si="25"/>
        <v/>
      </c>
      <c r="F467" t="str">
        <f t="shared" si="26"/>
        <v>CR</v>
      </c>
    </row>
    <row r="468" spans="1:6" x14ac:dyDescent="0.3">
      <c r="A468" t="s">
        <v>2084</v>
      </c>
      <c r="B468">
        <v>1</v>
      </c>
      <c r="D468" t="str">
        <f t="shared" si="24"/>
        <v>0338</v>
      </c>
      <c r="E468" t="str">
        <f t="shared" si="25"/>
        <v/>
      </c>
      <c r="F468" t="str">
        <f t="shared" si="26"/>
        <v>CR</v>
      </c>
    </row>
    <row r="469" spans="1:6" x14ac:dyDescent="0.3">
      <c r="A469" t="s">
        <v>2086</v>
      </c>
      <c r="B469">
        <v>1</v>
      </c>
      <c r="D469" t="str">
        <f t="shared" si="24"/>
        <v>0339</v>
      </c>
      <c r="E469" t="str">
        <f t="shared" si="25"/>
        <v/>
      </c>
      <c r="F469" t="str">
        <f t="shared" si="26"/>
        <v>CR</v>
      </c>
    </row>
    <row r="470" spans="1:6" x14ac:dyDescent="0.3">
      <c r="A470" t="s">
        <v>2088</v>
      </c>
      <c r="B470">
        <v>1</v>
      </c>
      <c r="D470" t="str">
        <f t="shared" si="24"/>
        <v>0340</v>
      </c>
      <c r="E470" t="str">
        <f t="shared" si="25"/>
        <v/>
      </c>
      <c r="F470" t="str">
        <f t="shared" si="26"/>
        <v>CR</v>
      </c>
    </row>
    <row r="471" spans="1:6" x14ac:dyDescent="0.3">
      <c r="A471" t="s">
        <v>2091</v>
      </c>
      <c r="B471">
        <v>1</v>
      </c>
      <c r="D471" t="str">
        <f t="shared" si="24"/>
        <v>0341</v>
      </c>
      <c r="E471" t="str">
        <f t="shared" si="25"/>
        <v/>
      </c>
      <c r="F471" t="str">
        <f t="shared" si="26"/>
        <v>CR</v>
      </c>
    </row>
    <row r="472" spans="1:6" x14ac:dyDescent="0.3">
      <c r="A472" t="s">
        <v>2095</v>
      </c>
      <c r="B472">
        <v>1</v>
      </c>
      <c r="D472" t="str">
        <f t="shared" si="24"/>
        <v>0342</v>
      </c>
      <c r="E472" t="str">
        <f t="shared" si="25"/>
        <v/>
      </c>
      <c r="F472" t="str">
        <f t="shared" si="26"/>
        <v>CR</v>
      </c>
    </row>
    <row r="473" spans="1:6" x14ac:dyDescent="0.3">
      <c r="A473" t="s">
        <v>2098</v>
      </c>
      <c r="B473">
        <v>1</v>
      </c>
      <c r="D473" t="str">
        <f t="shared" si="24"/>
        <v>0343</v>
      </c>
      <c r="E473" t="str">
        <f t="shared" si="25"/>
        <v/>
      </c>
      <c r="F473" t="str">
        <f t="shared" si="26"/>
        <v>CR</v>
      </c>
    </row>
    <row r="474" spans="1:6" x14ac:dyDescent="0.3">
      <c r="A474" t="s">
        <v>2101</v>
      </c>
      <c r="B474">
        <v>1</v>
      </c>
      <c r="D474" t="str">
        <f t="shared" si="24"/>
        <v>0344</v>
      </c>
      <c r="E474" t="str">
        <f t="shared" si="25"/>
        <v/>
      </c>
      <c r="F474" t="str">
        <f t="shared" si="26"/>
        <v>CR</v>
      </c>
    </row>
    <row r="475" spans="1:6" x14ac:dyDescent="0.3">
      <c r="A475" t="s">
        <v>2104</v>
      </c>
      <c r="B475">
        <v>1</v>
      </c>
      <c r="D475" t="str">
        <f t="shared" si="24"/>
        <v>0345</v>
      </c>
      <c r="E475" t="str">
        <f t="shared" si="25"/>
        <v/>
      </c>
      <c r="F475" t="str">
        <f t="shared" si="26"/>
        <v>CR</v>
      </c>
    </row>
    <row r="476" spans="1:6" x14ac:dyDescent="0.3">
      <c r="A476" t="s">
        <v>2106</v>
      </c>
      <c r="B476">
        <v>1</v>
      </c>
      <c r="D476" t="str">
        <f t="shared" si="24"/>
        <v>0346</v>
      </c>
      <c r="E476" t="str">
        <f t="shared" si="25"/>
        <v/>
      </c>
      <c r="F476" t="str">
        <f t="shared" si="26"/>
        <v>CR</v>
      </c>
    </row>
    <row r="477" spans="1:6" x14ac:dyDescent="0.3">
      <c r="A477" t="s">
        <v>2110</v>
      </c>
      <c r="B477">
        <v>1</v>
      </c>
      <c r="D477" t="str">
        <f t="shared" si="24"/>
        <v>0347</v>
      </c>
      <c r="E477" t="str">
        <f t="shared" si="25"/>
        <v/>
      </c>
      <c r="F477" t="str">
        <f t="shared" si="26"/>
        <v>CR</v>
      </c>
    </row>
    <row r="478" spans="1:6" x14ac:dyDescent="0.3">
      <c r="A478" t="s">
        <v>2113</v>
      </c>
      <c r="B478">
        <v>1</v>
      </c>
      <c r="D478" t="str">
        <f t="shared" si="24"/>
        <v>0348</v>
      </c>
      <c r="E478" t="str">
        <f t="shared" si="25"/>
        <v/>
      </c>
      <c r="F478" t="str">
        <f t="shared" si="26"/>
        <v>CR</v>
      </c>
    </row>
    <row r="479" spans="1:6" x14ac:dyDescent="0.3">
      <c r="A479" t="s">
        <v>2116</v>
      </c>
      <c r="B479">
        <v>1</v>
      </c>
      <c r="D479" t="str">
        <f t="shared" si="24"/>
        <v>0349</v>
      </c>
      <c r="E479" t="str">
        <f t="shared" si="25"/>
        <v/>
      </c>
      <c r="F479" t="str">
        <f t="shared" si="26"/>
        <v>CR</v>
      </c>
    </row>
    <row r="480" spans="1:6" x14ac:dyDescent="0.3">
      <c r="A480" t="s">
        <v>2121</v>
      </c>
      <c r="B480">
        <v>1</v>
      </c>
      <c r="D480" t="str">
        <f t="shared" si="24"/>
        <v>0350</v>
      </c>
      <c r="E480" t="str">
        <f t="shared" si="25"/>
        <v/>
      </c>
      <c r="F480" t="str">
        <f t="shared" si="26"/>
        <v>CR</v>
      </c>
    </row>
    <row r="481" spans="1:6" x14ac:dyDescent="0.3">
      <c r="A481" t="s">
        <v>2123</v>
      </c>
      <c r="B481">
        <v>1</v>
      </c>
      <c r="D481" t="str">
        <f t="shared" si="24"/>
        <v>0351</v>
      </c>
      <c r="E481" t="str">
        <f t="shared" si="25"/>
        <v/>
      </c>
      <c r="F481" t="str">
        <f t="shared" si="26"/>
        <v>DR</v>
      </c>
    </row>
    <row r="482" spans="1:6" x14ac:dyDescent="0.3">
      <c r="A482" t="s">
        <v>2125</v>
      </c>
      <c r="B482">
        <v>1</v>
      </c>
      <c r="D482" t="str">
        <f t="shared" si="24"/>
        <v>0352</v>
      </c>
      <c r="E482" t="str">
        <f t="shared" si="25"/>
        <v/>
      </c>
      <c r="F482" t="str">
        <f t="shared" si="26"/>
        <v>DR</v>
      </c>
    </row>
    <row r="483" spans="1:6" x14ac:dyDescent="0.3">
      <c r="A483" t="s">
        <v>2128</v>
      </c>
      <c r="B483">
        <v>1</v>
      </c>
      <c r="D483" t="str">
        <f t="shared" si="24"/>
        <v>0353</v>
      </c>
      <c r="E483" t="str">
        <f t="shared" si="25"/>
        <v/>
      </c>
      <c r="F483" t="str">
        <f t="shared" si="26"/>
        <v>DR</v>
      </c>
    </row>
    <row r="484" spans="1:6" x14ac:dyDescent="0.3">
      <c r="A484" t="s">
        <v>2675</v>
      </c>
      <c r="B484">
        <v>1</v>
      </c>
      <c r="D484" t="str">
        <f t="shared" si="24"/>
        <v>0354</v>
      </c>
      <c r="E484" t="str">
        <f t="shared" si="25"/>
        <v/>
      </c>
      <c r="F484" t="str">
        <f t="shared" si="26"/>
        <v>FR</v>
      </c>
    </row>
    <row r="485" spans="1:6" x14ac:dyDescent="0.3">
      <c r="A485" t="s">
        <v>2138</v>
      </c>
      <c r="B485">
        <v>1</v>
      </c>
      <c r="D485" t="str">
        <f t="shared" si="24"/>
        <v>0355</v>
      </c>
      <c r="E485" t="str">
        <f t="shared" si="25"/>
        <v/>
      </c>
      <c r="F485" t="str">
        <f t="shared" si="26"/>
        <v>CR</v>
      </c>
    </row>
    <row r="486" spans="1:6" x14ac:dyDescent="0.3">
      <c r="A486" t="s">
        <v>2141</v>
      </c>
      <c r="B486">
        <v>1</v>
      </c>
      <c r="D486" t="str">
        <f t="shared" si="24"/>
        <v>0356</v>
      </c>
      <c r="E486" t="str">
        <f t="shared" si="25"/>
        <v/>
      </c>
      <c r="F486" t="str">
        <f t="shared" si="26"/>
        <v>CR</v>
      </c>
    </row>
    <row r="487" spans="1:6" x14ac:dyDescent="0.3">
      <c r="A487" t="s">
        <v>2143</v>
      </c>
      <c r="B487">
        <v>1</v>
      </c>
      <c r="D487" t="str">
        <f t="shared" si="24"/>
        <v>0357</v>
      </c>
      <c r="E487" t="str">
        <f t="shared" si="25"/>
        <v/>
      </c>
      <c r="F487" t="str">
        <f t="shared" si="26"/>
        <v>CR</v>
      </c>
    </row>
    <row r="488" spans="1:6" x14ac:dyDescent="0.3">
      <c r="A488" t="s">
        <v>2146</v>
      </c>
      <c r="B488">
        <v>1</v>
      </c>
      <c r="D488" t="str">
        <f t="shared" si="24"/>
        <v>0358</v>
      </c>
      <c r="E488" t="str">
        <f t="shared" si="25"/>
        <v/>
      </c>
      <c r="F488" t="str">
        <f t="shared" si="26"/>
        <v>CR</v>
      </c>
    </row>
    <row r="489" spans="1:6" x14ac:dyDescent="0.3">
      <c r="A489" t="s">
        <v>2150</v>
      </c>
      <c r="B489">
        <v>1</v>
      </c>
      <c r="D489" t="str">
        <f t="shared" si="24"/>
        <v>0359</v>
      </c>
      <c r="E489" t="str">
        <f t="shared" si="25"/>
        <v/>
      </c>
      <c r="F489" t="str">
        <f t="shared" si="26"/>
        <v>CR</v>
      </c>
    </row>
    <row r="490" spans="1:6" x14ac:dyDescent="0.3">
      <c r="A490" t="s">
        <v>2153</v>
      </c>
      <c r="B490">
        <v>1</v>
      </c>
      <c r="D490" t="str">
        <f t="shared" si="24"/>
        <v>0360</v>
      </c>
      <c r="E490" t="str">
        <f t="shared" si="25"/>
        <v/>
      </c>
      <c r="F490" t="str">
        <f t="shared" si="26"/>
        <v>CR</v>
      </c>
    </row>
    <row r="491" spans="1:6" x14ac:dyDescent="0.3">
      <c r="A491" t="s">
        <v>2156</v>
      </c>
      <c r="B491">
        <v>1</v>
      </c>
      <c r="D491" t="str">
        <f t="shared" si="24"/>
        <v>0361</v>
      </c>
      <c r="E491" t="str">
        <f t="shared" si="25"/>
        <v/>
      </c>
      <c r="F491" t="str">
        <f t="shared" si="26"/>
        <v>CR</v>
      </c>
    </row>
    <row r="492" spans="1:6" x14ac:dyDescent="0.3">
      <c r="A492" t="s">
        <v>2158</v>
      </c>
      <c r="B492">
        <v>1</v>
      </c>
      <c r="D492" t="str">
        <f t="shared" si="24"/>
        <v>0362</v>
      </c>
      <c r="E492" t="str">
        <f t="shared" si="25"/>
        <v/>
      </c>
      <c r="F492" t="str">
        <f t="shared" si="26"/>
        <v>CR</v>
      </c>
    </row>
    <row r="493" spans="1:6" x14ac:dyDescent="0.3">
      <c r="A493" t="s">
        <v>2160</v>
      </c>
      <c r="B493">
        <v>1</v>
      </c>
      <c r="D493" t="str">
        <f t="shared" si="24"/>
        <v>0363</v>
      </c>
      <c r="E493" t="str">
        <f t="shared" si="25"/>
        <v/>
      </c>
      <c r="F493" t="str">
        <f t="shared" si="26"/>
        <v>CR</v>
      </c>
    </row>
    <row r="494" spans="1:6" x14ac:dyDescent="0.3">
      <c r="A494" t="s">
        <v>2163</v>
      </c>
      <c r="B494">
        <v>1</v>
      </c>
      <c r="D494" t="str">
        <f t="shared" si="24"/>
        <v>0364</v>
      </c>
      <c r="E494" t="str">
        <f t="shared" si="25"/>
        <v/>
      </c>
      <c r="F494" t="str">
        <f t="shared" si="26"/>
        <v>CR</v>
      </c>
    </row>
    <row r="495" spans="1:6" x14ac:dyDescent="0.3">
      <c r="A495" t="s">
        <v>2576</v>
      </c>
      <c r="B495">
        <v>1</v>
      </c>
      <c r="D495" t="str">
        <f t="shared" si="24"/>
        <v>0365</v>
      </c>
      <c r="E495" t="str">
        <f t="shared" si="25"/>
        <v/>
      </c>
      <c r="F495" t="str">
        <f t="shared" si="26"/>
        <v>FR</v>
      </c>
    </row>
    <row r="496" spans="1:6" x14ac:dyDescent="0.3">
      <c r="A496" t="s">
        <v>2168</v>
      </c>
      <c r="B496">
        <v>1</v>
      </c>
      <c r="D496" t="str">
        <f t="shared" si="24"/>
        <v>0366</v>
      </c>
      <c r="E496" t="str">
        <f t="shared" si="25"/>
        <v/>
      </c>
      <c r="F496" t="str">
        <f t="shared" si="26"/>
        <v>DR</v>
      </c>
    </row>
    <row r="497" spans="1:6" x14ac:dyDescent="0.3">
      <c r="A497" t="s">
        <v>2172</v>
      </c>
      <c r="B497">
        <v>1</v>
      </c>
      <c r="D497" t="str">
        <f t="shared" si="24"/>
        <v>0367</v>
      </c>
      <c r="E497" t="str">
        <f t="shared" si="25"/>
        <v/>
      </c>
      <c r="F497" t="str">
        <f t="shared" si="26"/>
        <v>DR</v>
      </c>
    </row>
    <row r="498" spans="1:6" x14ac:dyDescent="0.3">
      <c r="A498" t="s">
        <v>2178</v>
      </c>
      <c r="B498">
        <v>1</v>
      </c>
      <c r="D498" t="str">
        <f t="shared" si="24"/>
        <v>0368</v>
      </c>
      <c r="E498" t="str">
        <f t="shared" si="25"/>
        <v/>
      </c>
      <c r="F498" t="str">
        <f t="shared" si="26"/>
        <v>CR</v>
      </c>
    </row>
    <row r="499" spans="1:6" x14ac:dyDescent="0.3">
      <c r="A499" t="s">
        <v>2181</v>
      </c>
      <c r="B499">
        <v>1</v>
      </c>
      <c r="D499" t="str">
        <f t="shared" si="24"/>
        <v>0369</v>
      </c>
      <c r="E499" t="str">
        <f t="shared" si="25"/>
        <v/>
      </c>
      <c r="F499" t="str">
        <f t="shared" si="26"/>
        <v>CR</v>
      </c>
    </row>
    <row r="500" spans="1:6" x14ac:dyDescent="0.3">
      <c r="A500" t="s">
        <v>2185</v>
      </c>
      <c r="B500">
        <v>1</v>
      </c>
      <c r="D500" t="str">
        <f t="shared" si="24"/>
        <v>0370</v>
      </c>
      <c r="E500" t="str">
        <f t="shared" si="25"/>
        <v/>
      </c>
      <c r="F500" t="str">
        <f t="shared" si="26"/>
        <v>CR</v>
      </c>
    </row>
    <row r="501" spans="1:6" x14ac:dyDescent="0.3">
      <c r="A501" t="s">
        <v>2187</v>
      </c>
      <c r="B501">
        <v>1</v>
      </c>
      <c r="D501" t="str">
        <f t="shared" si="24"/>
        <v>0371</v>
      </c>
      <c r="E501" t="str">
        <f t="shared" si="25"/>
        <v/>
      </c>
      <c r="F501" t="str">
        <f t="shared" si="26"/>
        <v>CR</v>
      </c>
    </row>
    <row r="502" spans="1:6" x14ac:dyDescent="0.3">
      <c r="A502" t="s">
        <v>2189</v>
      </c>
      <c r="B502">
        <v>1</v>
      </c>
      <c r="D502" t="str">
        <f t="shared" si="24"/>
        <v>0372</v>
      </c>
      <c r="E502" t="str">
        <f t="shared" si="25"/>
        <v/>
      </c>
      <c r="F502" t="str">
        <f t="shared" si="26"/>
        <v>CR</v>
      </c>
    </row>
    <row r="503" spans="1:6" x14ac:dyDescent="0.3">
      <c r="A503" t="s">
        <v>2191</v>
      </c>
      <c r="B503">
        <v>1</v>
      </c>
      <c r="D503" t="str">
        <f t="shared" si="24"/>
        <v>0373</v>
      </c>
      <c r="E503" t="str">
        <f t="shared" si="25"/>
        <v/>
      </c>
      <c r="F503" t="str">
        <f t="shared" si="26"/>
        <v>CR</v>
      </c>
    </row>
    <row r="504" spans="1:6" x14ac:dyDescent="0.3">
      <c r="A504" t="s">
        <v>2194</v>
      </c>
      <c r="B504">
        <v>1</v>
      </c>
      <c r="D504" t="str">
        <f t="shared" si="24"/>
        <v>0374</v>
      </c>
      <c r="E504" t="str">
        <f t="shared" si="25"/>
        <v/>
      </c>
      <c r="F504" t="str">
        <f t="shared" si="26"/>
        <v>CR</v>
      </c>
    </row>
    <row r="505" spans="1:6" x14ac:dyDescent="0.3">
      <c r="A505" t="s">
        <v>2197</v>
      </c>
      <c r="B505">
        <v>1</v>
      </c>
      <c r="D505" t="str">
        <f t="shared" si="24"/>
        <v>0375</v>
      </c>
      <c r="E505" t="str">
        <f t="shared" si="25"/>
        <v/>
      </c>
      <c r="F505" t="str">
        <f t="shared" si="26"/>
        <v>CR</v>
      </c>
    </row>
    <row r="506" spans="1:6" x14ac:dyDescent="0.3">
      <c r="A506" t="s">
        <v>2199</v>
      </c>
      <c r="B506">
        <v>1</v>
      </c>
      <c r="D506" t="str">
        <f t="shared" si="24"/>
        <v>0376</v>
      </c>
      <c r="E506" t="str">
        <f t="shared" si="25"/>
        <v/>
      </c>
      <c r="F506" t="str">
        <f t="shared" si="26"/>
        <v>CR</v>
      </c>
    </row>
    <row r="507" spans="1:6" x14ac:dyDescent="0.3">
      <c r="A507" t="s">
        <v>2202</v>
      </c>
      <c r="B507">
        <v>1</v>
      </c>
      <c r="D507" t="str">
        <f t="shared" si="24"/>
        <v>0377</v>
      </c>
      <c r="E507" t="str">
        <f t="shared" si="25"/>
        <v/>
      </c>
      <c r="F507" t="str">
        <f t="shared" si="26"/>
        <v>CR</v>
      </c>
    </row>
    <row r="508" spans="1:6" x14ac:dyDescent="0.3">
      <c r="A508" t="s">
        <v>2205</v>
      </c>
      <c r="B508">
        <v>1</v>
      </c>
      <c r="D508" t="str">
        <f t="shared" si="24"/>
        <v>0378</v>
      </c>
      <c r="E508" t="str">
        <f t="shared" si="25"/>
        <v/>
      </c>
      <c r="F508" t="str">
        <f t="shared" si="26"/>
        <v>CR</v>
      </c>
    </row>
    <row r="509" spans="1:6" x14ac:dyDescent="0.3">
      <c r="A509" t="s">
        <v>2208</v>
      </c>
      <c r="B509">
        <v>1</v>
      </c>
      <c r="D509" t="str">
        <f t="shared" si="24"/>
        <v>0379</v>
      </c>
      <c r="E509" t="str">
        <f t="shared" si="25"/>
        <v/>
      </c>
      <c r="F509" t="str">
        <f t="shared" si="26"/>
        <v>FR</v>
      </c>
    </row>
    <row r="510" spans="1:6" x14ac:dyDescent="0.3">
      <c r="A510" t="s">
        <v>2211</v>
      </c>
      <c r="B510">
        <v>1</v>
      </c>
      <c r="D510" t="str">
        <f t="shared" si="24"/>
        <v>0380</v>
      </c>
      <c r="E510" t="str">
        <f t="shared" si="25"/>
        <v/>
      </c>
      <c r="F510" t="str">
        <f t="shared" si="26"/>
        <v>CR</v>
      </c>
    </row>
    <row r="511" spans="1:6" x14ac:dyDescent="0.3">
      <c r="A511" t="s">
        <v>2215</v>
      </c>
      <c r="B511">
        <v>1</v>
      </c>
      <c r="D511" t="str">
        <f t="shared" si="24"/>
        <v>0381</v>
      </c>
      <c r="E511" t="str">
        <f t="shared" si="25"/>
        <v/>
      </c>
      <c r="F511" t="str">
        <f t="shared" si="26"/>
        <v>CR</v>
      </c>
    </row>
    <row r="512" spans="1:6" x14ac:dyDescent="0.3">
      <c r="A512" t="s">
        <v>2218</v>
      </c>
      <c r="B512">
        <v>1</v>
      </c>
      <c r="D512" t="str">
        <f t="shared" si="24"/>
        <v>0382</v>
      </c>
      <c r="E512" t="str">
        <f t="shared" si="25"/>
        <v/>
      </c>
      <c r="F512" t="str">
        <f t="shared" si="26"/>
        <v>CR</v>
      </c>
    </row>
    <row r="513" spans="1:6" x14ac:dyDescent="0.3">
      <c r="A513" t="s">
        <v>2220</v>
      </c>
      <c r="B513">
        <v>1</v>
      </c>
      <c r="D513" t="str">
        <f t="shared" si="24"/>
        <v>0383</v>
      </c>
      <c r="E513" t="str">
        <f t="shared" si="25"/>
        <v/>
      </c>
      <c r="F513" t="str">
        <f t="shared" si="26"/>
        <v>CR</v>
      </c>
    </row>
    <row r="514" spans="1:6" x14ac:dyDescent="0.3">
      <c r="A514" t="s">
        <v>2222</v>
      </c>
      <c r="B514">
        <v>1</v>
      </c>
      <c r="D514" t="str">
        <f t="shared" si="24"/>
        <v>0384</v>
      </c>
      <c r="E514" t="str">
        <f t="shared" si="25"/>
        <v/>
      </c>
      <c r="F514" t="str">
        <f t="shared" si="26"/>
        <v>CR</v>
      </c>
    </row>
    <row r="515" spans="1:6" x14ac:dyDescent="0.3">
      <c r="A515" t="s">
        <v>2224</v>
      </c>
      <c r="B515">
        <v>1</v>
      </c>
      <c r="D515" t="str">
        <f t="shared" ref="D515:D578" si="27">IF(LEFT(A515,2)="SP",MID(A515,4,4),IF(LEFT(A515,1)="X",MID(A515,3,4),""))</f>
        <v>0385</v>
      </c>
      <c r="E515" t="str">
        <f t="shared" ref="E515:E578" si="28">IF(OR(LEFT(A515,2)="SP",AND(LEFT(A515,1)="X",LEN(A515)&gt;9)),RIGHT(A515,1),"")</f>
        <v/>
      </c>
      <c r="F515" t="str">
        <f t="shared" ref="F515:F578" si="29">IF(LEFT(A515,1)="X",MID(A515,8,2),"")</f>
        <v>FR</v>
      </c>
    </row>
    <row r="516" spans="1:6" x14ac:dyDescent="0.3">
      <c r="A516" t="s">
        <v>2226</v>
      </c>
      <c r="B516">
        <v>1</v>
      </c>
      <c r="D516" t="str">
        <f t="shared" si="27"/>
        <v>0386</v>
      </c>
      <c r="E516" t="str">
        <f t="shared" si="28"/>
        <v/>
      </c>
      <c r="F516" t="str">
        <f t="shared" si="29"/>
        <v>FR</v>
      </c>
    </row>
    <row r="517" spans="1:6" x14ac:dyDescent="0.3">
      <c r="A517" t="s">
        <v>2577</v>
      </c>
      <c r="B517">
        <v>1</v>
      </c>
      <c r="D517" t="str">
        <f t="shared" si="27"/>
        <v>0387</v>
      </c>
      <c r="E517" t="str">
        <f t="shared" si="28"/>
        <v/>
      </c>
      <c r="F517" t="str">
        <f t="shared" si="29"/>
        <v>FR</v>
      </c>
    </row>
    <row r="518" spans="1:6" x14ac:dyDescent="0.3">
      <c r="A518" t="s">
        <v>2232</v>
      </c>
      <c r="B518">
        <v>1</v>
      </c>
      <c r="D518" t="str">
        <f t="shared" si="27"/>
        <v>0388</v>
      </c>
      <c r="E518" t="str">
        <f t="shared" si="28"/>
        <v/>
      </c>
      <c r="F518" t="str">
        <f t="shared" si="29"/>
        <v>CR</v>
      </c>
    </row>
    <row r="519" spans="1:6" x14ac:dyDescent="0.3">
      <c r="A519" t="s">
        <v>2234</v>
      </c>
      <c r="B519">
        <v>1</v>
      </c>
      <c r="D519" t="str">
        <f t="shared" si="27"/>
        <v>0389</v>
      </c>
      <c r="E519" t="str">
        <f t="shared" si="28"/>
        <v/>
      </c>
      <c r="F519" t="str">
        <f t="shared" si="29"/>
        <v>CR</v>
      </c>
    </row>
    <row r="520" spans="1:6" x14ac:dyDescent="0.3">
      <c r="A520" t="s">
        <v>2236</v>
      </c>
      <c r="B520">
        <v>1</v>
      </c>
      <c r="D520" t="str">
        <f t="shared" si="27"/>
        <v>0390</v>
      </c>
      <c r="E520" t="str">
        <f t="shared" si="28"/>
        <v/>
      </c>
      <c r="F520" t="str">
        <f t="shared" si="29"/>
        <v>CR</v>
      </c>
    </row>
    <row r="521" spans="1:6" x14ac:dyDescent="0.3">
      <c r="A521" t="s">
        <v>2239</v>
      </c>
      <c r="B521">
        <v>1</v>
      </c>
      <c r="D521" t="str">
        <f t="shared" si="27"/>
        <v>0391</v>
      </c>
      <c r="E521" t="str">
        <f t="shared" si="28"/>
        <v/>
      </c>
      <c r="F521" t="str">
        <f t="shared" si="29"/>
        <v>CR</v>
      </c>
    </row>
    <row r="522" spans="1:6" x14ac:dyDescent="0.3">
      <c r="A522" t="s">
        <v>2246</v>
      </c>
      <c r="B522">
        <v>1</v>
      </c>
      <c r="D522" t="str">
        <f t="shared" si="27"/>
        <v>0392</v>
      </c>
      <c r="E522" t="str">
        <f t="shared" si="28"/>
        <v/>
      </c>
      <c r="F522" t="str">
        <f t="shared" si="29"/>
        <v>CR</v>
      </c>
    </row>
    <row r="523" spans="1:6" x14ac:dyDescent="0.3">
      <c r="A523" t="s">
        <v>2251</v>
      </c>
      <c r="B523">
        <v>1</v>
      </c>
      <c r="D523" t="str">
        <f t="shared" si="27"/>
        <v>0393</v>
      </c>
      <c r="E523" t="str">
        <f t="shared" si="28"/>
        <v/>
      </c>
      <c r="F523" t="str">
        <f t="shared" si="29"/>
        <v>CR</v>
      </c>
    </row>
    <row r="524" spans="1:6" x14ac:dyDescent="0.3">
      <c r="A524" t="s">
        <v>2254</v>
      </c>
      <c r="B524">
        <v>1</v>
      </c>
      <c r="D524" t="str">
        <f t="shared" si="27"/>
        <v>0394</v>
      </c>
      <c r="E524" t="str">
        <f t="shared" si="28"/>
        <v/>
      </c>
      <c r="F524" t="str">
        <f t="shared" si="29"/>
        <v>CR</v>
      </c>
    </row>
    <row r="525" spans="1:6" x14ac:dyDescent="0.3">
      <c r="A525" t="s">
        <v>2256</v>
      </c>
      <c r="B525">
        <v>1</v>
      </c>
      <c r="D525" t="str">
        <f t="shared" si="27"/>
        <v>0395</v>
      </c>
      <c r="E525" t="str">
        <f t="shared" si="28"/>
        <v/>
      </c>
      <c r="F525" t="str">
        <f t="shared" si="29"/>
        <v>CR</v>
      </c>
    </row>
    <row r="526" spans="1:6" x14ac:dyDescent="0.3">
      <c r="A526" t="s">
        <v>2258</v>
      </c>
      <c r="B526">
        <v>1</v>
      </c>
      <c r="D526" t="str">
        <f t="shared" si="27"/>
        <v>0396</v>
      </c>
      <c r="E526" t="str">
        <f t="shared" si="28"/>
        <v/>
      </c>
      <c r="F526" t="str">
        <f t="shared" si="29"/>
        <v>CR</v>
      </c>
    </row>
    <row r="527" spans="1:6" x14ac:dyDescent="0.3">
      <c r="A527" t="s">
        <v>2262</v>
      </c>
      <c r="B527">
        <v>1</v>
      </c>
      <c r="D527" t="str">
        <f t="shared" si="27"/>
        <v>0397</v>
      </c>
      <c r="E527" t="str">
        <f t="shared" si="28"/>
        <v/>
      </c>
      <c r="F527" t="str">
        <f t="shared" si="29"/>
        <v>CR</v>
      </c>
    </row>
    <row r="528" spans="1:6" x14ac:dyDescent="0.3">
      <c r="A528" t="s">
        <v>2268</v>
      </c>
      <c r="B528">
        <v>1</v>
      </c>
      <c r="D528" t="str">
        <f t="shared" si="27"/>
        <v>0398</v>
      </c>
      <c r="E528" t="str">
        <f t="shared" si="28"/>
        <v/>
      </c>
      <c r="F528" t="str">
        <f t="shared" si="29"/>
        <v>CR</v>
      </c>
    </row>
    <row r="529" spans="1:6" x14ac:dyDescent="0.3">
      <c r="A529" t="s">
        <v>2271</v>
      </c>
      <c r="B529">
        <v>1</v>
      </c>
      <c r="D529" t="str">
        <f t="shared" si="27"/>
        <v>0399</v>
      </c>
      <c r="E529" t="str">
        <f t="shared" si="28"/>
        <v/>
      </c>
      <c r="F529" t="str">
        <f t="shared" si="29"/>
        <v>DR</v>
      </c>
    </row>
    <row r="530" spans="1:6" x14ac:dyDescent="0.3">
      <c r="A530" t="s">
        <v>2276</v>
      </c>
      <c r="B530">
        <v>1</v>
      </c>
      <c r="D530" t="str">
        <f t="shared" si="27"/>
        <v>0400</v>
      </c>
      <c r="E530" t="str">
        <f t="shared" si="28"/>
        <v/>
      </c>
      <c r="F530" t="str">
        <f t="shared" si="29"/>
        <v>FR</v>
      </c>
    </row>
    <row r="531" spans="1:6" x14ac:dyDescent="0.3">
      <c r="A531" t="s">
        <v>2277</v>
      </c>
      <c r="B531">
        <v>1</v>
      </c>
      <c r="D531" t="str">
        <f t="shared" si="27"/>
        <v>0401</v>
      </c>
      <c r="E531" t="str">
        <f t="shared" si="28"/>
        <v/>
      </c>
      <c r="F531" t="str">
        <f t="shared" si="29"/>
        <v>DR</v>
      </c>
    </row>
    <row r="532" spans="1:6" x14ac:dyDescent="0.3">
      <c r="A532" t="s">
        <v>2281</v>
      </c>
      <c r="B532">
        <v>1</v>
      </c>
      <c r="D532" t="str">
        <f t="shared" si="27"/>
        <v>0402</v>
      </c>
      <c r="E532" t="str">
        <f t="shared" si="28"/>
        <v/>
      </c>
      <c r="F532" t="str">
        <f t="shared" si="29"/>
        <v>CR</v>
      </c>
    </row>
    <row r="533" spans="1:6" x14ac:dyDescent="0.3">
      <c r="A533" t="s">
        <v>2283</v>
      </c>
      <c r="B533">
        <v>1</v>
      </c>
      <c r="D533" t="str">
        <f t="shared" si="27"/>
        <v>0403</v>
      </c>
      <c r="E533" t="str">
        <f t="shared" si="28"/>
        <v/>
      </c>
      <c r="F533" t="str">
        <f t="shared" si="29"/>
        <v>CR</v>
      </c>
    </row>
    <row r="534" spans="1:6" x14ac:dyDescent="0.3">
      <c r="A534" t="s">
        <v>2286</v>
      </c>
      <c r="B534">
        <v>1</v>
      </c>
      <c r="D534" t="str">
        <f t="shared" si="27"/>
        <v>0404</v>
      </c>
      <c r="E534" t="str">
        <f t="shared" si="28"/>
        <v/>
      </c>
      <c r="F534" t="str">
        <f t="shared" si="29"/>
        <v>CR</v>
      </c>
    </row>
    <row r="535" spans="1:6" x14ac:dyDescent="0.3">
      <c r="A535" t="s">
        <v>2288</v>
      </c>
      <c r="B535">
        <v>1</v>
      </c>
      <c r="D535" t="str">
        <f t="shared" si="27"/>
        <v>0405</v>
      </c>
      <c r="E535" t="str">
        <f t="shared" si="28"/>
        <v/>
      </c>
      <c r="F535" t="str">
        <f t="shared" si="29"/>
        <v>CR</v>
      </c>
    </row>
    <row r="536" spans="1:6" x14ac:dyDescent="0.3">
      <c r="A536" t="s">
        <v>2578</v>
      </c>
      <c r="B536">
        <v>1</v>
      </c>
      <c r="D536" t="str">
        <f t="shared" si="27"/>
        <v>0406</v>
      </c>
      <c r="E536" t="str">
        <f t="shared" si="28"/>
        <v/>
      </c>
      <c r="F536" t="str">
        <f t="shared" si="29"/>
        <v>FR</v>
      </c>
    </row>
    <row r="537" spans="1:6" x14ac:dyDescent="0.3">
      <c r="A537" t="s">
        <v>2293</v>
      </c>
      <c r="B537">
        <v>1</v>
      </c>
      <c r="D537" t="str">
        <f t="shared" si="27"/>
        <v>0407</v>
      </c>
      <c r="E537" t="str">
        <f t="shared" si="28"/>
        <v/>
      </c>
      <c r="F537" t="str">
        <f t="shared" si="29"/>
        <v>CR</v>
      </c>
    </row>
    <row r="538" spans="1:6" x14ac:dyDescent="0.3">
      <c r="A538" t="s">
        <v>2295</v>
      </c>
      <c r="B538">
        <v>1</v>
      </c>
      <c r="D538" t="str">
        <f t="shared" si="27"/>
        <v>0408</v>
      </c>
      <c r="E538" t="str">
        <f t="shared" si="28"/>
        <v/>
      </c>
      <c r="F538" t="str">
        <f t="shared" si="29"/>
        <v>CR</v>
      </c>
    </row>
    <row r="539" spans="1:6" x14ac:dyDescent="0.3">
      <c r="A539" t="s">
        <v>2297</v>
      </c>
      <c r="B539">
        <v>1</v>
      </c>
      <c r="D539" t="str">
        <f t="shared" si="27"/>
        <v>0409</v>
      </c>
      <c r="E539" t="str">
        <f t="shared" si="28"/>
        <v/>
      </c>
      <c r="F539" t="str">
        <f t="shared" si="29"/>
        <v>CR</v>
      </c>
    </row>
    <row r="540" spans="1:6" x14ac:dyDescent="0.3">
      <c r="A540" t="s">
        <v>2299</v>
      </c>
      <c r="B540">
        <v>1</v>
      </c>
      <c r="D540" t="str">
        <f t="shared" si="27"/>
        <v>0410</v>
      </c>
      <c r="E540" t="str">
        <f t="shared" si="28"/>
        <v/>
      </c>
      <c r="F540" t="str">
        <f t="shared" si="29"/>
        <v>CR</v>
      </c>
    </row>
    <row r="541" spans="1:6" x14ac:dyDescent="0.3">
      <c r="A541" t="s">
        <v>2301</v>
      </c>
      <c r="B541">
        <v>1</v>
      </c>
      <c r="D541" t="str">
        <f t="shared" si="27"/>
        <v>0411</v>
      </c>
      <c r="E541" t="str">
        <f t="shared" si="28"/>
        <v/>
      </c>
      <c r="F541" t="str">
        <f t="shared" si="29"/>
        <v>CR</v>
      </c>
    </row>
    <row r="542" spans="1:6" x14ac:dyDescent="0.3">
      <c r="A542" t="s">
        <v>2303</v>
      </c>
      <c r="B542">
        <v>1</v>
      </c>
      <c r="D542" t="str">
        <f t="shared" si="27"/>
        <v>0412</v>
      </c>
      <c r="E542" t="str">
        <f t="shared" si="28"/>
        <v/>
      </c>
      <c r="F542" t="str">
        <f t="shared" si="29"/>
        <v>CR</v>
      </c>
    </row>
    <row r="543" spans="1:6" x14ac:dyDescent="0.3">
      <c r="A543" t="s">
        <v>2305</v>
      </c>
      <c r="B543">
        <v>1</v>
      </c>
      <c r="D543" t="str">
        <f t="shared" si="27"/>
        <v>0413</v>
      </c>
      <c r="E543" t="str">
        <f t="shared" si="28"/>
        <v/>
      </c>
      <c r="F543" t="str">
        <f t="shared" si="29"/>
        <v>CR</v>
      </c>
    </row>
    <row r="544" spans="1:6" x14ac:dyDescent="0.3">
      <c r="A544" t="s">
        <v>2308</v>
      </c>
      <c r="B544">
        <v>1</v>
      </c>
      <c r="D544" t="str">
        <f t="shared" si="27"/>
        <v>0414</v>
      </c>
      <c r="E544" t="str">
        <f t="shared" si="28"/>
        <v/>
      </c>
      <c r="F544" t="str">
        <f t="shared" si="29"/>
        <v>CR</v>
      </c>
    </row>
    <row r="545" spans="1:6" x14ac:dyDescent="0.3">
      <c r="A545" t="s">
        <v>2310</v>
      </c>
      <c r="B545">
        <v>1</v>
      </c>
      <c r="D545" t="str">
        <f t="shared" si="27"/>
        <v>0415</v>
      </c>
      <c r="E545" t="str">
        <f t="shared" si="28"/>
        <v/>
      </c>
      <c r="F545" t="str">
        <f t="shared" si="29"/>
        <v>CR</v>
      </c>
    </row>
    <row r="546" spans="1:6" x14ac:dyDescent="0.3">
      <c r="A546" t="s">
        <v>2312</v>
      </c>
      <c r="B546">
        <v>1</v>
      </c>
      <c r="D546" t="str">
        <f t="shared" si="27"/>
        <v>0416</v>
      </c>
      <c r="E546" t="str">
        <f t="shared" si="28"/>
        <v/>
      </c>
      <c r="F546" t="str">
        <f t="shared" si="29"/>
        <v>CR</v>
      </c>
    </row>
    <row r="547" spans="1:6" x14ac:dyDescent="0.3">
      <c r="A547" t="s">
        <v>2314</v>
      </c>
      <c r="B547">
        <v>1</v>
      </c>
      <c r="D547" t="str">
        <f t="shared" si="27"/>
        <v>0417</v>
      </c>
      <c r="E547" t="str">
        <f t="shared" si="28"/>
        <v/>
      </c>
      <c r="F547" t="str">
        <f t="shared" si="29"/>
        <v>CR</v>
      </c>
    </row>
    <row r="548" spans="1:6" x14ac:dyDescent="0.3">
      <c r="A548" t="s">
        <v>2317</v>
      </c>
      <c r="B548">
        <v>1</v>
      </c>
      <c r="D548" t="str">
        <f t="shared" si="27"/>
        <v>0418</v>
      </c>
      <c r="E548" t="str">
        <f t="shared" si="28"/>
        <v/>
      </c>
      <c r="F548" t="str">
        <f t="shared" si="29"/>
        <v>CR</v>
      </c>
    </row>
    <row r="549" spans="1:6" x14ac:dyDescent="0.3">
      <c r="A549" t="s">
        <v>2321</v>
      </c>
      <c r="B549">
        <v>1</v>
      </c>
      <c r="D549" t="str">
        <f t="shared" si="27"/>
        <v>0419</v>
      </c>
      <c r="E549" t="str">
        <f t="shared" si="28"/>
        <v/>
      </c>
      <c r="F549" t="str">
        <f t="shared" si="29"/>
        <v>CR</v>
      </c>
    </row>
    <row r="550" spans="1:6" x14ac:dyDescent="0.3">
      <c r="A550" t="s">
        <v>2324</v>
      </c>
      <c r="B550">
        <v>1</v>
      </c>
      <c r="D550" t="str">
        <f t="shared" si="27"/>
        <v>0420</v>
      </c>
      <c r="E550" t="str">
        <f t="shared" si="28"/>
        <v/>
      </c>
      <c r="F550" t="str">
        <f t="shared" si="29"/>
        <v>CR</v>
      </c>
    </row>
    <row r="551" spans="1:6" x14ac:dyDescent="0.3">
      <c r="A551" t="s">
        <v>2328</v>
      </c>
      <c r="B551">
        <v>1</v>
      </c>
      <c r="D551" t="str">
        <f t="shared" si="27"/>
        <v>0421</v>
      </c>
      <c r="E551" t="str">
        <f t="shared" si="28"/>
        <v/>
      </c>
      <c r="F551" t="str">
        <f t="shared" si="29"/>
        <v>CR</v>
      </c>
    </row>
    <row r="552" spans="1:6" x14ac:dyDescent="0.3">
      <c r="A552" t="s">
        <v>2332</v>
      </c>
      <c r="B552">
        <v>1</v>
      </c>
      <c r="D552" t="str">
        <f t="shared" si="27"/>
        <v>0422</v>
      </c>
      <c r="E552" t="str">
        <f t="shared" si="28"/>
        <v/>
      </c>
      <c r="F552" t="str">
        <f t="shared" si="29"/>
        <v>CR</v>
      </c>
    </row>
    <row r="553" spans="1:6" x14ac:dyDescent="0.3">
      <c r="A553" t="s">
        <v>2334</v>
      </c>
      <c r="B553">
        <v>1</v>
      </c>
      <c r="D553" t="str">
        <f t="shared" si="27"/>
        <v>0423</v>
      </c>
      <c r="E553" t="str">
        <f t="shared" si="28"/>
        <v/>
      </c>
      <c r="F553" t="str">
        <f t="shared" si="29"/>
        <v>CR</v>
      </c>
    </row>
    <row r="554" spans="1:6" x14ac:dyDescent="0.3">
      <c r="A554" t="s">
        <v>2336</v>
      </c>
      <c r="B554">
        <v>1</v>
      </c>
      <c r="D554" t="str">
        <f t="shared" si="27"/>
        <v>0424</v>
      </c>
      <c r="E554" t="str">
        <f t="shared" si="28"/>
        <v/>
      </c>
      <c r="F554" t="str">
        <f t="shared" si="29"/>
        <v>CR</v>
      </c>
    </row>
    <row r="555" spans="1:6" x14ac:dyDescent="0.3">
      <c r="A555" t="s">
        <v>2339</v>
      </c>
      <c r="B555">
        <v>1</v>
      </c>
      <c r="D555" t="str">
        <f t="shared" si="27"/>
        <v>0425</v>
      </c>
      <c r="E555" t="str">
        <f t="shared" si="28"/>
        <v/>
      </c>
      <c r="F555" t="str">
        <f t="shared" si="29"/>
        <v>CR</v>
      </c>
    </row>
    <row r="556" spans="1:6" x14ac:dyDescent="0.3">
      <c r="A556" t="s">
        <v>2342</v>
      </c>
      <c r="B556">
        <v>1</v>
      </c>
      <c r="D556" t="str">
        <f t="shared" si="27"/>
        <v>0426</v>
      </c>
      <c r="E556" t="str">
        <f t="shared" si="28"/>
        <v/>
      </c>
      <c r="F556" t="str">
        <f t="shared" si="29"/>
        <v>CR</v>
      </c>
    </row>
    <row r="557" spans="1:6" x14ac:dyDescent="0.3">
      <c r="A557" t="s">
        <v>2345</v>
      </c>
      <c r="B557">
        <v>1</v>
      </c>
      <c r="D557" t="str">
        <f t="shared" si="27"/>
        <v>0427</v>
      </c>
      <c r="E557" t="str">
        <f t="shared" si="28"/>
        <v/>
      </c>
      <c r="F557" t="str">
        <f t="shared" si="29"/>
        <v>CR</v>
      </c>
    </row>
    <row r="558" spans="1:6" x14ac:dyDescent="0.3">
      <c r="A558" t="s">
        <v>2347</v>
      </c>
      <c r="B558">
        <v>1</v>
      </c>
      <c r="D558" t="str">
        <f t="shared" si="27"/>
        <v>0428</v>
      </c>
      <c r="E558" t="str">
        <f t="shared" si="28"/>
        <v/>
      </c>
      <c r="F558" t="str">
        <f t="shared" si="29"/>
        <v>CR</v>
      </c>
    </row>
    <row r="559" spans="1:6" x14ac:dyDescent="0.3">
      <c r="A559" t="s">
        <v>2349</v>
      </c>
      <c r="B559">
        <v>1</v>
      </c>
      <c r="D559" t="str">
        <f t="shared" si="27"/>
        <v>0429</v>
      </c>
      <c r="E559" t="str">
        <f t="shared" si="28"/>
        <v/>
      </c>
      <c r="F559" t="str">
        <f t="shared" si="29"/>
        <v>CR</v>
      </c>
    </row>
    <row r="560" spans="1:6" x14ac:dyDescent="0.3">
      <c r="A560" t="s">
        <v>2351</v>
      </c>
      <c r="B560">
        <v>1</v>
      </c>
      <c r="D560" t="str">
        <f t="shared" si="27"/>
        <v>0430</v>
      </c>
      <c r="E560" t="str">
        <f t="shared" si="28"/>
        <v/>
      </c>
      <c r="F560" t="str">
        <f t="shared" si="29"/>
        <v>CR</v>
      </c>
    </row>
    <row r="561" spans="1:6" x14ac:dyDescent="0.3">
      <c r="A561" t="s">
        <v>2353</v>
      </c>
      <c r="B561">
        <v>1</v>
      </c>
      <c r="D561" t="str">
        <f t="shared" si="27"/>
        <v>0431</v>
      </c>
      <c r="E561" t="str">
        <f t="shared" si="28"/>
        <v/>
      </c>
      <c r="F561" t="str">
        <f t="shared" si="29"/>
        <v>CR</v>
      </c>
    </row>
    <row r="562" spans="1:6" x14ac:dyDescent="0.3">
      <c r="A562" t="s">
        <v>2356</v>
      </c>
      <c r="B562">
        <v>1</v>
      </c>
      <c r="D562" t="str">
        <f t="shared" si="27"/>
        <v>0432</v>
      </c>
      <c r="E562" t="str">
        <f t="shared" si="28"/>
        <v/>
      </c>
      <c r="F562" t="str">
        <f t="shared" si="29"/>
        <v>CR</v>
      </c>
    </row>
    <row r="563" spans="1:6" x14ac:dyDescent="0.3">
      <c r="A563" t="s">
        <v>2359</v>
      </c>
      <c r="B563">
        <v>1</v>
      </c>
      <c r="D563" t="str">
        <f t="shared" si="27"/>
        <v>0433</v>
      </c>
      <c r="E563" t="str">
        <f t="shared" si="28"/>
        <v/>
      </c>
      <c r="F563" t="str">
        <f t="shared" si="29"/>
        <v>CR</v>
      </c>
    </row>
    <row r="564" spans="1:6" x14ac:dyDescent="0.3">
      <c r="A564" t="s">
        <v>2676</v>
      </c>
      <c r="B564">
        <v>1</v>
      </c>
      <c r="D564" t="str">
        <f t="shared" si="27"/>
        <v>0434</v>
      </c>
      <c r="E564" t="str">
        <f t="shared" si="28"/>
        <v/>
      </c>
      <c r="F564" t="str">
        <f t="shared" si="29"/>
        <v>FR</v>
      </c>
    </row>
    <row r="565" spans="1:6" x14ac:dyDescent="0.3">
      <c r="A565" t="s">
        <v>2369</v>
      </c>
      <c r="B565">
        <v>1</v>
      </c>
      <c r="D565" t="str">
        <f t="shared" si="27"/>
        <v>0435</v>
      </c>
      <c r="E565" t="str">
        <f t="shared" si="28"/>
        <v/>
      </c>
      <c r="F565" t="str">
        <f t="shared" si="29"/>
        <v>CR</v>
      </c>
    </row>
    <row r="566" spans="1:6" x14ac:dyDescent="0.3">
      <c r="A566" t="s">
        <v>2372</v>
      </c>
      <c r="B566">
        <v>1</v>
      </c>
      <c r="D566" t="str">
        <f t="shared" si="27"/>
        <v>0436</v>
      </c>
      <c r="E566" t="str">
        <f t="shared" si="28"/>
        <v/>
      </c>
      <c r="F566" t="str">
        <f t="shared" si="29"/>
        <v>CR</v>
      </c>
    </row>
    <row r="567" spans="1:6" x14ac:dyDescent="0.3">
      <c r="A567" t="s">
        <v>2579</v>
      </c>
      <c r="B567">
        <v>1</v>
      </c>
      <c r="D567" t="str">
        <f t="shared" si="27"/>
        <v>0437</v>
      </c>
      <c r="E567" t="str">
        <f t="shared" si="28"/>
        <v/>
      </c>
      <c r="F567" t="str">
        <f t="shared" si="29"/>
        <v>FR</v>
      </c>
    </row>
    <row r="568" spans="1:6" x14ac:dyDescent="0.3">
      <c r="A568" t="s">
        <v>2379</v>
      </c>
      <c r="B568">
        <v>1</v>
      </c>
      <c r="D568" t="str">
        <f t="shared" si="27"/>
        <v>0438</v>
      </c>
      <c r="E568" t="str">
        <f t="shared" si="28"/>
        <v/>
      </c>
      <c r="F568" t="str">
        <f t="shared" si="29"/>
        <v>DR</v>
      </c>
    </row>
    <row r="569" spans="1:6" x14ac:dyDescent="0.3">
      <c r="A569" t="s">
        <v>2386</v>
      </c>
      <c r="B569">
        <v>1</v>
      </c>
      <c r="D569" t="str">
        <f t="shared" si="27"/>
        <v>0439</v>
      </c>
      <c r="E569" t="str">
        <f t="shared" si="28"/>
        <v/>
      </c>
      <c r="F569" t="str">
        <f t="shared" si="29"/>
        <v>FR</v>
      </c>
    </row>
    <row r="570" spans="1:6" x14ac:dyDescent="0.3">
      <c r="A570" t="s">
        <v>2677</v>
      </c>
      <c r="B570">
        <v>1</v>
      </c>
      <c r="D570" t="str">
        <f t="shared" si="27"/>
        <v>0440</v>
      </c>
      <c r="E570" t="str">
        <f t="shared" si="28"/>
        <v/>
      </c>
      <c r="F570" t="str">
        <f t="shared" si="29"/>
        <v>FR</v>
      </c>
    </row>
    <row r="571" spans="1:6" x14ac:dyDescent="0.3">
      <c r="A571" t="s">
        <v>2389</v>
      </c>
      <c r="B571">
        <v>1</v>
      </c>
      <c r="D571" t="str">
        <f t="shared" si="27"/>
        <v>0441</v>
      </c>
      <c r="E571" t="str">
        <f t="shared" si="28"/>
        <v/>
      </c>
      <c r="F571" t="str">
        <f t="shared" si="29"/>
        <v>CR</v>
      </c>
    </row>
    <row r="572" spans="1:6" x14ac:dyDescent="0.3">
      <c r="A572" t="s">
        <v>2392</v>
      </c>
      <c r="B572">
        <v>1</v>
      </c>
      <c r="D572" t="str">
        <f t="shared" si="27"/>
        <v>0442</v>
      </c>
      <c r="E572" t="str">
        <f t="shared" si="28"/>
        <v/>
      </c>
      <c r="F572" t="str">
        <f t="shared" si="29"/>
        <v>CR</v>
      </c>
    </row>
    <row r="573" spans="1:6" x14ac:dyDescent="0.3">
      <c r="A573" t="s">
        <v>2395</v>
      </c>
      <c r="B573">
        <v>1</v>
      </c>
      <c r="D573" t="str">
        <f t="shared" si="27"/>
        <v>0443</v>
      </c>
      <c r="E573" t="str">
        <f t="shared" si="28"/>
        <v/>
      </c>
      <c r="F573" t="str">
        <f t="shared" si="29"/>
        <v>CR</v>
      </c>
    </row>
    <row r="574" spans="1:6" x14ac:dyDescent="0.3">
      <c r="A574" t="s">
        <v>2397</v>
      </c>
      <c r="B574">
        <v>1</v>
      </c>
      <c r="D574" t="str">
        <f t="shared" si="27"/>
        <v>0444</v>
      </c>
      <c r="E574" t="str">
        <f t="shared" si="28"/>
        <v/>
      </c>
      <c r="F574" t="str">
        <f t="shared" si="29"/>
        <v>CR</v>
      </c>
    </row>
    <row r="575" spans="1:6" x14ac:dyDescent="0.3">
      <c r="A575" t="s">
        <v>2678</v>
      </c>
      <c r="B575">
        <v>1</v>
      </c>
      <c r="D575" t="str">
        <f t="shared" si="27"/>
        <v>0445</v>
      </c>
      <c r="E575" t="str">
        <f t="shared" si="28"/>
        <v/>
      </c>
      <c r="F575" t="str">
        <f t="shared" si="29"/>
        <v>FR</v>
      </c>
    </row>
    <row r="576" spans="1:6" x14ac:dyDescent="0.3">
      <c r="A576" t="s">
        <v>2402</v>
      </c>
      <c r="B576">
        <v>1</v>
      </c>
      <c r="D576" t="str">
        <f t="shared" si="27"/>
        <v>0446</v>
      </c>
      <c r="E576" t="str">
        <f t="shared" si="28"/>
        <v/>
      </c>
      <c r="F576" t="str">
        <f t="shared" si="29"/>
        <v>CR</v>
      </c>
    </row>
    <row r="577" spans="1:6" x14ac:dyDescent="0.3">
      <c r="A577" t="s">
        <v>2679</v>
      </c>
      <c r="B577">
        <v>1</v>
      </c>
      <c r="D577" t="str">
        <f t="shared" si="27"/>
        <v>0447</v>
      </c>
      <c r="E577" t="str">
        <f t="shared" si="28"/>
        <v/>
      </c>
      <c r="F577" t="str">
        <f t="shared" si="29"/>
        <v>FR</v>
      </c>
    </row>
    <row r="578" spans="1:6" x14ac:dyDescent="0.3">
      <c r="A578" t="s">
        <v>2404</v>
      </c>
      <c r="B578">
        <v>1</v>
      </c>
      <c r="D578" t="str">
        <f t="shared" si="27"/>
        <v>0448</v>
      </c>
      <c r="E578" t="str">
        <f t="shared" si="28"/>
        <v/>
      </c>
      <c r="F578" t="str">
        <f t="shared" si="29"/>
        <v>CR</v>
      </c>
    </row>
    <row r="579" spans="1:6" x14ac:dyDescent="0.3">
      <c r="A579" t="s">
        <v>2407</v>
      </c>
      <c r="B579">
        <v>1</v>
      </c>
      <c r="D579" t="str">
        <f t="shared" ref="D579:D629" si="30">IF(LEFT(A579,2)="SP",MID(A579,4,4),IF(LEFT(A579,1)="X",MID(A579,3,4),""))</f>
        <v>0449</v>
      </c>
      <c r="E579" t="str">
        <f t="shared" ref="E579:E629" si="31">IF(OR(LEFT(A579,2)="SP",AND(LEFT(A579,1)="X",LEN(A579)&gt;9)),RIGHT(A579,1),"")</f>
        <v/>
      </c>
      <c r="F579" t="str">
        <f t="shared" ref="F579:F629" si="32">IF(LEFT(A579,1)="X",MID(A579,8,2),"")</f>
        <v>CR</v>
      </c>
    </row>
    <row r="580" spans="1:6" x14ac:dyDescent="0.3">
      <c r="A580" t="s">
        <v>2409</v>
      </c>
      <c r="B580">
        <v>1</v>
      </c>
      <c r="D580" t="str">
        <f t="shared" si="30"/>
        <v>0450</v>
      </c>
      <c r="E580" t="str">
        <f t="shared" si="31"/>
        <v/>
      </c>
      <c r="F580" t="str">
        <f t="shared" si="32"/>
        <v>CR</v>
      </c>
    </row>
    <row r="581" spans="1:6" x14ac:dyDescent="0.3">
      <c r="A581" t="s">
        <v>2412</v>
      </c>
      <c r="B581">
        <v>1</v>
      </c>
      <c r="D581" t="str">
        <f t="shared" si="30"/>
        <v>0451</v>
      </c>
      <c r="E581" t="str">
        <f t="shared" si="31"/>
        <v/>
      </c>
      <c r="F581" t="str">
        <f t="shared" si="32"/>
        <v>CR</v>
      </c>
    </row>
    <row r="582" spans="1:6" x14ac:dyDescent="0.3">
      <c r="A582" t="s">
        <v>2680</v>
      </c>
      <c r="B582">
        <v>1</v>
      </c>
      <c r="D582" t="str">
        <f t="shared" si="30"/>
        <v>0452</v>
      </c>
      <c r="E582" t="str">
        <f t="shared" si="31"/>
        <v/>
      </c>
      <c r="F582" t="str">
        <f t="shared" si="32"/>
        <v>FR</v>
      </c>
    </row>
    <row r="583" spans="1:6" x14ac:dyDescent="0.3">
      <c r="A583" t="s">
        <v>2417</v>
      </c>
      <c r="B583">
        <v>1</v>
      </c>
      <c r="D583" t="str">
        <f t="shared" si="30"/>
        <v>0453</v>
      </c>
      <c r="E583" t="str">
        <f t="shared" si="31"/>
        <v/>
      </c>
      <c r="F583" t="str">
        <f t="shared" si="32"/>
        <v>CR</v>
      </c>
    </row>
    <row r="584" spans="1:6" x14ac:dyDescent="0.3">
      <c r="A584" t="s">
        <v>2419</v>
      </c>
      <c r="B584">
        <v>1</v>
      </c>
      <c r="D584" t="str">
        <f t="shared" si="30"/>
        <v>0454</v>
      </c>
      <c r="E584" t="str">
        <f t="shared" si="31"/>
        <v/>
      </c>
      <c r="F584" t="str">
        <f t="shared" si="32"/>
        <v>CR</v>
      </c>
    </row>
    <row r="585" spans="1:6" x14ac:dyDescent="0.3">
      <c r="A585" t="s">
        <v>2681</v>
      </c>
      <c r="B585">
        <v>1</v>
      </c>
      <c r="D585" t="str">
        <f t="shared" si="30"/>
        <v>0455</v>
      </c>
      <c r="E585" t="str">
        <f t="shared" si="31"/>
        <v/>
      </c>
      <c r="F585" t="str">
        <f t="shared" si="32"/>
        <v>FR</v>
      </c>
    </row>
    <row r="586" spans="1:6" x14ac:dyDescent="0.3">
      <c r="A586" t="s">
        <v>2422</v>
      </c>
      <c r="B586">
        <v>1</v>
      </c>
      <c r="D586" t="str">
        <f t="shared" si="30"/>
        <v>0456</v>
      </c>
      <c r="E586" t="str">
        <f t="shared" si="31"/>
        <v/>
      </c>
      <c r="F586" t="str">
        <f t="shared" si="32"/>
        <v>CR</v>
      </c>
    </row>
    <row r="587" spans="1:6" x14ac:dyDescent="0.3">
      <c r="A587" t="s">
        <v>2425</v>
      </c>
      <c r="B587">
        <v>1</v>
      </c>
      <c r="D587" t="str">
        <f t="shared" si="30"/>
        <v>0457</v>
      </c>
      <c r="E587" t="str">
        <f t="shared" si="31"/>
        <v/>
      </c>
      <c r="F587" t="str">
        <f t="shared" si="32"/>
        <v>CR</v>
      </c>
    </row>
    <row r="588" spans="1:6" x14ac:dyDescent="0.3">
      <c r="A588" t="s">
        <v>2429</v>
      </c>
      <c r="B588">
        <v>1</v>
      </c>
      <c r="D588" t="str">
        <f t="shared" si="30"/>
        <v>0458</v>
      </c>
      <c r="E588" t="str">
        <f t="shared" si="31"/>
        <v/>
      </c>
      <c r="F588" t="str">
        <f t="shared" si="32"/>
        <v>CR</v>
      </c>
    </row>
    <row r="589" spans="1:6" x14ac:dyDescent="0.3">
      <c r="A589" t="s">
        <v>2433</v>
      </c>
      <c r="B589">
        <v>1</v>
      </c>
      <c r="D589" t="str">
        <f t="shared" si="30"/>
        <v>0459</v>
      </c>
      <c r="E589" t="str">
        <f t="shared" si="31"/>
        <v/>
      </c>
      <c r="F589" t="str">
        <f t="shared" si="32"/>
        <v>CR</v>
      </c>
    </row>
    <row r="590" spans="1:6" x14ac:dyDescent="0.3">
      <c r="A590" t="s">
        <v>2435</v>
      </c>
      <c r="B590">
        <v>1</v>
      </c>
      <c r="D590" t="str">
        <f t="shared" si="30"/>
        <v>0460</v>
      </c>
      <c r="E590" t="str">
        <f t="shared" si="31"/>
        <v/>
      </c>
      <c r="F590" t="str">
        <f t="shared" si="32"/>
        <v>CR</v>
      </c>
    </row>
    <row r="591" spans="1:6" x14ac:dyDescent="0.3">
      <c r="A591" t="s">
        <v>2440</v>
      </c>
      <c r="B591">
        <v>1</v>
      </c>
      <c r="D591" t="str">
        <f t="shared" si="30"/>
        <v>0461</v>
      </c>
      <c r="E591" t="str">
        <f t="shared" si="31"/>
        <v/>
      </c>
      <c r="F591" t="str">
        <f t="shared" si="32"/>
        <v>CR</v>
      </c>
    </row>
    <row r="592" spans="1:6" x14ac:dyDescent="0.3">
      <c r="A592" t="s">
        <v>2444</v>
      </c>
      <c r="B592">
        <v>1</v>
      </c>
      <c r="D592" t="str">
        <f t="shared" si="30"/>
        <v>0462</v>
      </c>
      <c r="E592" t="str">
        <f t="shared" si="31"/>
        <v/>
      </c>
      <c r="F592" t="str">
        <f t="shared" si="32"/>
        <v>CR</v>
      </c>
    </row>
    <row r="593" spans="1:6" x14ac:dyDescent="0.3">
      <c r="A593" t="s">
        <v>2446</v>
      </c>
      <c r="B593">
        <v>1</v>
      </c>
      <c r="D593" t="str">
        <f t="shared" si="30"/>
        <v>0463</v>
      </c>
      <c r="E593" t="str">
        <f t="shared" si="31"/>
        <v/>
      </c>
      <c r="F593" t="str">
        <f t="shared" si="32"/>
        <v>CR</v>
      </c>
    </row>
    <row r="594" spans="1:6" x14ac:dyDescent="0.3">
      <c r="A594" t="s">
        <v>2448</v>
      </c>
      <c r="B594">
        <v>1</v>
      </c>
      <c r="D594" t="str">
        <f t="shared" si="30"/>
        <v>0464</v>
      </c>
      <c r="E594" t="str">
        <f t="shared" si="31"/>
        <v/>
      </c>
      <c r="F594" t="str">
        <f t="shared" si="32"/>
        <v>CR</v>
      </c>
    </row>
    <row r="595" spans="1:6" x14ac:dyDescent="0.3">
      <c r="A595" t="s">
        <v>2450</v>
      </c>
      <c r="B595">
        <v>1</v>
      </c>
      <c r="D595" t="str">
        <f t="shared" si="30"/>
        <v>0465</v>
      </c>
      <c r="E595" t="str">
        <f t="shared" si="31"/>
        <v/>
      </c>
      <c r="F595" t="str">
        <f t="shared" si="32"/>
        <v>CR</v>
      </c>
    </row>
    <row r="596" spans="1:6" x14ac:dyDescent="0.3">
      <c r="A596" t="s">
        <v>2452</v>
      </c>
      <c r="B596">
        <v>1</v>
      </c>
      <c r="D596" t="str">
        <f t="shared" si="30"/>
        <v>0466</v>
      </c>
      <c r="E596" t="str">
        <f t="shared" si="31"/>
        <v/>
      </c>
      <c r="F596" t="str">
        <f t="shared" si="32"/>
        <v>CR</v>
      </c>
    </row>
    <row r="597" spans="1:6" x14ac:dyDescent="0.3">
      <c r="A597" t="s">
        <v>2455</v>
      </c>
      <c r="B597">
        <v>1</v>
      </c>
      <c r="D597" t="str">
        <f t="shared" si="30"/>
        <v>0467</v>
      </c>
      <c r="E597" t="str">
        <f t="shared" si="31"/>
        <v/>
      </c>
      <c r="F597" t="str">
        <f t="shared" si="32"/>
        <v>CR</v>
      </c>
    </row>
    <row r="598" spans="1:6" x14ac:dyDescent="0.3">
      <c r="A598" t="s">
        <v>2457</v>
      </c>
      <c r="B598">
        <v>1</v>
      </c>
      <c r="D598" t="str">
        <f t="shared" si="30"/>
        <v>0468</v>
      </c>
      <c r="E598" t="str">
        <f t="shared" si="31"/>
        <v/>
      </c>
      <c r="F598" t="str">
        <f t="shared" si="32"/>
        <v>CR</v>
      </c>
    </row>
    <row r="599" spans="1:6" x14ac:dyDescent="0.3">
      <c r="A599" t="s">
        <v>2459</v>
      </c>
      <c r="B599">
        <v>1</v>
      </c>
      <c r="D599" t="str">
        <f t="shared" si="30"/>
        <v>0469</v>
      </c>
      <c r="E599" t="str">
        <f t="shared" si="31"/>
        <v/>
      </c>
      <c r="F599" t="str">
        <f t="shared" si="32"/>
        <v>CR</v>
      </c>
    </row>
    <row r="600" spans="1:6" x14ac:dyDescent="0.3">
      <c r="A600" t="s">
        <v>2461</v>
      </c>
      <c r="B600">
        <v>1</v>
      </c>
      <c r="D600" t="str">
        <f t="shared" si="30"/>
        <v>0470</v>
      </c>
      <c r="E600" t="str">
        <f t="shared" si="31"/>
        <v/>
      </c>
      <c r="F600" t="str">
        <f t="shared" si="32"/>
        <v>CR</v>
      </c>
    </row>
    <row r="601" spans="1:6" x14ac:dyDescent="0.3">
      <c r="A601" t="s">
        <v>2463</v>
      </c>
      <c r="B601">
        <v>1</v>
      </c>
      <c r="D601" t="str">
        <f t="shared" si="30"/>
        <v>0471</v>
      </c>
      <c r="E601" t="str">
        <f t="shared" si="31"/>
        <v/>
      </c>
      <c r="F601" t="str">
        <f t="shared" si="32"/>
        <v>CR</v>
      </c>
    </row>
    <row r="602" spans="1:6" x14ac:dyDescent="0.3">
      <c r="A602" t="s">
        <v>2465</v>
      </c>
      <c r="B602">
        <v>1</v>
      </c>
      <c r="D602" t="str">
        <f t="shared" si="30"/>
        <v>0472</v>
      </c>
      <c r="E602" t="str">
        <f t="shared" si="31"/>
        <v/>
      </c>
      <c r="F602" t="str">
        <f t="shared" si="32"/>
        <v>CR</v>
      </c>
    </row>
    <row r="603" spans="1:6" x14ac:dyDescent="0.3">
      <c r="A603" t="s">
        <v>2467</v>
      </c>
      <c r="B603">
        <v>1</v>
      </c>
      <c r="D603" t="str">
        <f t="shared" si="30"/>
        <v>0473</v>
      </c>
      <c r="E603" t="str">
        <f t="shared" si="31"/>
        <v/>
      </c>
      <c r="F603" t="str">
        <f t="shared" si="32"/>
        <v>CR</v>
      </c>
    </row>
    <row r="604" spans="1:6" x14ac:dyDescent="0.3">
      <c r="A604" t="s">
        <v>2470</v>
      </c>
      <c r="B604">
        <v>1</v>
      </c>
      <c r="D604" t="str">
        <f t="shared" si="30"/>
        <v>0474</v>
      </c>
      <c r="E604" t="str">
        <f t="shared" si="31"/>
        <v/>
      </c>
      <c r="F604" t="str">
        <f t="shared" si="32"/>
        <v>CR</v>
      </c>
    </row>
    <row r="605" spans="1:6" x14ac:dyDescent="0.3">
      <c r="A605" t="s">
        <v>2474</v>
      </c>
      <c r="B605">
        <v>1</v>
      </c>
      <c r="D605" t="str">
        <f t="shared" si="30"/>
        <v>0475</v>
      </c>
      <c r="E605" t="str">
        <f t="shared" si="31"/>
        <v/>
      </c>
      <c r="F605" t="str">
        <f t="shared" si="32"/>
        <v>CR</v>
      </c>
    </row>
    <row r="606" spans="1:6" x14ac:dyDescent="0.3">
      <c r="A606" t="s">
        <v>2476</v>
      </c>
      <c r="B606">
        <v>1</v>
      </c>
      <c r="D606" t="str">
        <f t="shared" si="30"/>
        <v>0476</v>
      </c>
      <c r="E606" t="str">
        <f t="shared" si="31"/>
        <v/>
      </c>
      <c r="F606" t="str">
        <f t="shared" si="32"/>
        <v>CR</v>
      </c>
    </row>
    <row r="607" spans="1:6" x14ac:dyDescent="0.3">
      <c r="A607" t="s">
        <v>2478</v>
      </c>
      <c r="B607">
        <v>1</v>
      </c>
      <c r="D607" t="str">
        <f t="shared" si="30"/>
        <v>0477</v>
      </c>
      <c r="E607" t="str">
        <f t="shared" si="31"/>
        <v/>
      </c>
      <c r="F607" t="str">
        <f t="shared" si="32"/>
        <v>CR</v>
      </c>
    </row>
    <row r="608" spans="1:6" x14ac:dyDescent="0.3">
      <c r="A608" t="s">
        <v>2480</v>
      </c>
      <c r="B608">
        <v>1</v>
      </c>
      <c r="D608" t="str">
        <f t="shared" si="30"/>
        <v>0478</v>
      </c>
      <c r="E608" t="str">
        <f t="shared" si="31"/>
        <v/>
      </c>
      <c r="F608" t="str">
        <f t="shared" si="32"/>
        <v>CR</v>
      </c>
    </row>
    <row r="609" spans="1:6" x14ac:dyDescent="0.3">
      <c r="A609" t="s">
        <v>2482</v>
      </c>
      <c r="B609">
        <v>1</v>
      </c>
      <c r="D609" t="str">
        <f t="shared" si="30"/>
        <v>0479</v>
      </c>
      <c r="E609" t="str">
        <f t="shared" si="31"/>
        <v/>
      </c>
      <c r="F609" t="str">
        <f t="shared" si="32"/>
        <v>CR</v>
      </c>
    </row>
    <row r="610" spans="1:6" x14ac:dyDescent="0.3">
      <c r="A610" t="s">
        <v>2484</v>
      </c>
      <c r="B610">
        <v>1</v>
      </c>
      <c r="D610" t="str">
        <f t="shared" si="30"/>
        <v>0480</v>
      </c>
      <c r="E610" t="str">
        <f t="shared" si="31"/>
        <v/>
      </c>
      <c r="F610" t="str">
        <f t="shared" si="32"/>
        <v>CR</v>
      </c>
    </row>
    <row r="611" spans="1:6" x14ac:dyDescent="0.3">
      <c r="A611" t="s">
        <v>2487</v>
      </c>
      <c r="B611">
        <v>1</v>
      </c>
      <c r="D611" t="str">
        <f t="shared" si="30"/>
        <v>0481</v>
      </c>
      <c r="E611" t="str">
        <f t="shared" si="31"/>
        <v/>
      </c>
      <c r="F611" t="str">
        <f t="shared" si="32"/>
        <v>CR</v>
      </c>
    </row>
    <row r="612" spans="1:6" x14ac:dyDescent="0.3">
      <c r="A612" t="s">
        <v>2489</v>
      </c>
      <c r="B612">
        <v>1</v>
      </c>
      <c r="D612" t="str">
        <f t="shared" si="30"/>
        <v>0482</v>
      </c>
      <c r="E612" t="str">
        <f t="shared" si="31"/>
        <v/>
      </c>
      <c r="F612" t="str">
        <f t="shared" si="32"/>
        <v>CR</v>
      </c>
    </row>
    <row r="613" spans="1:6" x14ac:dyDescent="0.3">
      <c r="A613" t="s">
        <v>2492</v>
      </c>
      <c r="B613">
        <v>1</v>
      </c>
      <c r="D613" t="str">
        <f t="shared" si="30"/>
        <v>0483</v>
      </c>
      <c r="E613" t="str">
        <f t="shared" si="31"/>
        <v/>
      </c>
      <c r="F613" t="str">
        <f t="shared" si="32"/>
        <v>CR</v>
      </c>
    </row>
    <row r="614" spans="1:6" x14ac:dyDescent="0.3">
      <c r="A614" t="s">
        <v>2494</v>
      </c>
      <c r="B614">
        <v>1</v>
      </c>
      <c r="D614" t="str">
        <f t="shared" si="30"/>
        <v>0484</v>
      </c>
      <c r="E614" t="str">
        <f t="shared" si="31"/>
        <v/>
      </c>
      <c r="F614" t="str">
        <f t="shared" si="32"/>
        <v>CR</v>
      </c>
    </row>
    <row r="615" spans="1:6" x14ac:dyDescent="0.3">
      <c r="A615" t="s">
        <v>2497</v>
      </c>
      <c r="B615">
        <v>1</v>
      </c>
      <c r="D615" t="str">
        <f t="shared" si="30"/>
        <v>0485</v>
      </c>
      <c r="E615" t="str">
        <f t="shared" si="31"/>
        <v/>
      </c>
      <c r="F615" t="str">
        <f t="shared" si="32"/>
        <v>CR</v>
      </c>
    </row>
    <row r="616" spans="1:6" x14ac:dyDescent="0.3">
      <c r="A616" t="s">
        <v>2502</v>
      </c>
      <c r="B616">
        <v>1</v>
      </c>
      <c r="D616" t="str">
        <f t="shared" si="30"/>
        <v>0486</v>
      </c>
      <c r="E616" t="str">
        <f t="shared" si="31"/>
        <v/>
      </c>
      <c r="F616" t="str">
        <f t="shared" si="32"/>
        <v>CR</v>
      </c>
    </row>
    <row r="617" spans="1:6" x14ac:dyDescent="0.3">
      <c r="A617" t="s">
        <v>2506</v>
      </c>
      <c r="B617">
        <v>1</v>
      </c>
      <c r="D617" t="str">
        <f t="shared" si="30"/>
        <v>0487</v>
      </c>
      <c r="E617" t="str">
        <f t="shared" si="31"/>
        <v/>
      </c>
      <c r="F617" t="str">
        <f t="shared" si="32"/>
        <v>CR</v>
      </c>
    </row>
    <row r="618" spans="1:6" x14ac:dyDescent="0.3">
      <c r="A618" t="s">
        <v>2510</v>
      </c>
      <c r="B618">
        <v>1</v>
      </c>
      <c r="D618" t="str">
        <f t="shared" si="30"/>
        <v>0488</v>
      </c>
      <c r="E618" t="str">
        <f t="shared" si="31"/>
        <v/>
      </c>
      <c r="F618" t="str">
        <f t="shared" si="32"/>
        <v>CR</v>
      </c>
    </row>
    <row r="619" spans="1:6" x14ac:dyDescent="0.3">
      <c r="A619" t="s">
        <v>2516</v>
      </c>
      <c r="B619">
        <v>1</v>
      </c>
      <c r="D619" t="str">
        <f t="shared" si="30"/>
        <v>0489</v>
      </c>
      <c r="E619" t="str">
        <f t="shared" si="31"/>
        <v/>
      </c>
      <c r="F619" t="str">
        <f t="shared" si="32"/>
        <v>CR</v>
      </c>
    </row>
    <row r="620" spans="1:6" x14ac:dyDescent="0.3">
      <c r="A620" t="s">
        <v>2519</v>
      </c>
      <c r="B620">
        <v>1</v>
      </c>
      <c r="D620" t="str">
        <f t="shared" si="30"/>
        <v>0490</v>
      </c>
      <c r="E620" t="str">
        <f t="shared" si="31"/>
        <v/>
      </c>
      <c r="F620" t="str">
        <f t="shared" si="32"/>
        <v>CR</v>
      </c>
    </row>
    <row r="621" spans="1:6" x14ac:dyDescent="0.3">
      <c r="A621" t="s">
        <v>2522</v>
      </c>
      <c r="B621">
        <v>1</v>
      </c>
      <c r="D621" t="str">
        <f t="shared" si="30"/>
        <v>0491</v>
      </c>
      <c r="E621" t="str">
        <f t="shared" si="31"/>
        <v/>
      </c>
      <c r="F621" t="str">
        <f t="shared" si="32"/>
        <v>CR</v>
      </c>
    </row>
    <row r="622" spans="1:6" x14ac:dyDescent="0.3">
      <c r="A622" t="s">
        <v>2526</v>
      </c>
      <c r="B622">
        <v>1</v>
      </c>
      <c r="D622" t="str">
        <f t="shared" si="30"/>
        <v>0492</v>
      </c>
      <c r="E622" t="str">
        <f t="shared" si="31"/>
        <v/>
      </c>
      <c r="F622" t="str">
        <f t="shared" si="32"/>
        <v>CR</v>
      </c>
    </row>
    <row r="623" spans="1:6" x14ac:dyDescent="0.3">
      <c r="A623" t="s">
        <v>2529</v>
      </c>
      <c r="B623">
        <v>1</v>
      </c>
      <c r="D623" t="str">
        <f t="shared" si="30"/>
        <v>0493</v>
      </c>
      <c r="E623" t="str">
        <f t="shared" si="31"/>
        <v/>
      </c>
      <c r="F623" t="str">
        <f t="shared" si="32"/>
        <v>CR</v>
      </c>
    </row>
    <row r="624" spans="1:6" x14ac:dyDescent="0.3">
      <c r="A624" t="s">
        <v>2532</v>
      </c>
      <c r="B624">
        <v>1</v>
      </c>
      <c r="D624" t="str">
        <f t="shared" si="30"/>
        <v>0494</v>
      </c>
      <c r="E624" t="str">
        <f t="shared" si="31"/>
        <v/>
      </c>
      <c r="F624" t="str">
        <f t="shared" si="32"/>
        <v>CR</v>
      </c>
    </row>
    <row r="625" spans="1:6" x14ac:dyDescent="0.3">
      <c r="A625" t="s">
        <v>2534</v>
      </c>
      <c r="B625">
        <v>1</v>
      </c>
      <c r="D625" t="str">
        <f t="shared" si="30"/>
        <v>0495</v>
      </c>
      <c r="E625" t="str">
        <f t="shared" si="31"/>
        <v/>
      </c>
      <c r="F625" t="str">
        <f t="shared" si="32"/>
        <v>CR</v>
      </c>
    </row>
    <row r="626" spans="1:6" x14ac:dyDescent="0.3">
      <c r="A626" t="s">
        <v>2536</v>
      </c>
      <c r="B626">
        <v>1</v>
      </c>
      <c r="D626" t="str">
        <f t="shared" si="30"/>
        <v>0496</v>
      </c>
      <c r="E626" t="str">
        <f t="shared" si="31"/>
        <v/>
      </c>
      <c r="F626" t="str">
        <f t="shared" si="32"/>
        <v>CR</v>
      </c>
    </row>
    <row r="627" spans="1:6" x14ac:dyDescent="0.3">
      <c r="A627" t="s">
        <v>2539</v>
      </c>
      <c r="B627">
        <v>1</v>
      </c>
      <c r="D627" t="str">
        <f t="shared" si="30"/>
        <v>0497</v>
      </c>
      <c r="E627" t="str">
        <f t="shared" si="31"/>
        <v/>
      </c>
      <c r="F627" t="str">
        <f t="shared" si="32"/>
        <v>CR</v>
      </c>
    </row>
    <row r="628" spans="1:6" x14ac:dyDescent="0.3">
      <c r="A628" t="s">
        <v>2542</v>
      </c>
      <c r="B628">
        <v>1</v>
      </c>
      <c r="D628" t="str">
        <f t="shared" si="30"/>
        <v>0498</v>
      </c>
      <c r="E628" t="str">
        <f t="shared" si="31"/>
        <v/>
      </c>
      <c r="F628" t="str">
        <f t="shared" si="32"/>
        <v>CR</v>
      </c>
    </row>
    <row r="629" spans="1:6" x14ac:dyDescent="0.3">
      <c r="A629" t="s">
        <v>2546</v>
      </c>
      <c r="B629">
        <v>1</v>
      </c>
      <c r="D629" t="str">
        <f t="shared" si="30"/>
        <v>0499</v>
      </c>
      <c r="E629" t="str">
        <f t="shared" si="31"/>
        <v/>
      </c>
      <c r="F629" t="str">
        <f t="shared" si="32"/>
        <v>CR</v>
      </c>
    </row>
    <row r="630" spans="1:6" x14ac:dyDescent="0.3">
      <c r="D630" t="str">
        <f t="shared" ref="D630:D693" si="33">IF(LEFT(A630,2)="SP",MID(A630,4,4),IF(LEFT(A630,1)="X",MID(A630,3,4),""))</f>
        <v/>
      </c>
      <c r="E630" t="str">
        <f t="shared" ref="E630:E661" si="34">IF(OR(LEFT(A630,2)="SP",AND(LEFT(A630,1)="X",LEN(A630)&gt;9)),RIGHT(A630,1),"")</f>
        <v/>
      </c>
      <c r="F630" t="str">
        <f t="shared" ref="F630:F657" si="35">IF(LEFT(A630,1)="X",MID(A630,8,2),"")</f>
        <v/>
      </c>
    </row>
    <row r="631" spans="1:6" x14ac:dyDescent="0.3">
      <c r="D631" t="str">
        <f t="shared" si="33"/>
        <v/>
      </c>
      <c r="E631" t="str">
        <f t="shared" si="34"/>
        <v/>
      </c>
      <c r="F631" t="str">
        <f t="shared" si="35"/>
        <v/>
      </c>
    </row>
    <row r="632" spans="1:6" x14ac:dyDescent="0.3">
      <c r="D632" t="str">
        <f t="shared" si="33"/>
        <v/>
      </c>
      <c r="E632" t="str">
        <f t="shared" si="34"/>
        <v/>
      </c>
      <c r="F632" t="str">
        <f t="shared" si="35"/>
        <v/>
      </c>
    </row>
    <row r="633" spans="1:6" x14ac:dyDescent="0.3">
      <c r="D633" t="str">
        <f t="shared" si="33"/>
        <v/>
      </c>
      <c r="E633" t="str">
        <f t="shared" si="34"/>
        <v/>
      </c>
      <c r="F633" t="str">
        <f t="shared" si="35"/>
        <v/>
      </c>
    </row>
    <row r="634" spans="1:6" x14ac:dyDescent="0.3">
      <c r="D634" t="str">
        <f t="shared" si="33"/>
        <v/>
      </c>
      <c r="E634" t="str">
        <f t="shared" si="34"/>
        <v/>
      </c>
      <c r="F634" t="str">
        <f t="shared" si="35"/>
        <v/>
      </c>
    </row>
    <row r="635" spans="1:6" x14ac:dyDescent="0.3">
      <c r="D635" t="str">
        <f t="shared" si="33"/>
        <v/>
      </c>
      <c r="E635" t="str">
        <f t="shared" si="34"/>
        <v/>
      </c>
      <c r="F635" t="str">
        <f t="shared" si="35"/>
        <v/>
      </c>
    </row>
    <row r="636" spans="1:6" x14ac:dyDescent="0.3">
      <c r="D636" t="str">
        <f t="shared" si="33"/>
        <v/>
      </c>
      <c r="E636" t="str">
        <f t="shared" si="34"/>
        <v/>
      </c>
      <c r="F636" t="str">
        <f t="shared" si="35"/>
        <v/>
      </c>
    </row>
    <row r="637" spans="1:6" x14ac:dyDescent="0.3">
      <c r="D637" t="str">
        <f t="shared" si="33"/>
        <v/>
      </c>
      <c r="E637" t="str">
        <f t="shared" si="34"/>
        <v/>
      </c>
      <c r="F637" t="str">
        <f t="shared" si="35"/>
        <v/>
      </c>
    </row>
    <row r="638" spans="1:6" x14ac:dyDescent="0.3">
      <c r="D638" t="str">
        <f t="shared" si="33"/>
        <v/>
      </c>
      <c r="E638" t="str">
        <f t="shared" si="34"/>
        <v/>
      </c>
      <c r="F638" t="str">
        <f t="shared" si="35"/>
        <v/>
      </c>
    </row>
    <row r="639" spans="1:6" x14ac:dyDescent="0.3">
      <c r="D639" t="str">
        <f t="shared" si="33"/>
        <v/>
      </c>
      <c r="E639" t="str">
        <f t="shared" si="34"/>
        <v/>
      </c>
      <c r="F639" t="str">
        <f t="shared" si="35"/>
        <v/>
      </c>
    </row>
    <row r="640" spans="1:6" x14ac:dyDescent="0.3">
      <c r="D640" t="str">
        <f t="shared" si="33"/>
        <v/>
      </c>
      <c r="E640" t="str">
        <f t="shared" si="34"/>
        <v/>
      </c>
      <c r="F640" t="str">
        <f t="shared" si="35"/>
        <v/>
      </c>
    </row>
    <row r="641" spans="4:6" x14ac:dyDescent="0.3">
      <c r="D641" t="str">
        <f t="shared" si="33"/>
        <v/>
      </c>
      <c r="E641" t="str">
        <f t="shared" si="34"/>
        <v/>
      </c>
      <c r="F641" t="str">
        <f t="shared" si="35"/>
        <v/>
      </c>
    </row>
    <row r="642" spans="4:6" x14ac:dyDescent="0.3">
      <c r="D642" t="str">
        <f t="shared" si="33"/>
        <v/>
      </c>
      <c r="E642" t="str">
        <f t="shared" si="34"/>
        <v/>
      </c>
      <c r="F642" t="str">
        <f t="shared" si="35"/>
        <v/>
      </c>
    </row>
    <row r="643" spans="4:6" x14ac:dyDescent="0.3">
      <c r="D643" t="str">
        <f t="shared" si="33"/>
        <v/>
      </c>
      <c r="E643" t="str">
        <f t="shared" si="34"/>
        <v/>
      </c>
      <c r="F643" t="str">
        <f t="shared" si="35"/>
        <v/>
      </c>
    </row>
    <row r="644" spans="4:6" x14ac:dyDescent="0.3">
      <c r="D644" t="str">
        <f t="shared" si="33"/>
        <v/>
      </c>
      <c r="E644" t="str">
        <f t="shared" si="34"/>
        <v/>
      </c>
      <c r="F644" t="str">
        <f t="shared" si="35"/>
        <v/>
      </c>
    </row>
    <row r="645" spans="4:6" x14ac:dyDescent="0.3">
      <c r="D645" t="str">
        <f t="shared" si="33"/>
        <v/>
      </c>
      <c r="E645" t="str">
        <f t="shared" si="34"/>
        <v/>
      </c>
      <c r="F645" t="str">
        <f t="shared" si="35"/>
        <v/>
      </c>
    </row>
    <row r="646" spans="4:6" x14ac:dyDescent="0.3">
      <c r="D646" t="str">
        <f t="shared" si="33"/>
        <v/>
      </c>
      <c r="E646" t="str">
        <f t="shared" si="34"/>
        <v/>
      </c>
      <c r="F646" t="str">
        <f t="shared" si="35"/>
        <v/>
      </c>
    </row>
    <row r="647" spans="4:6" x14ac:dyDescent="0.3">
      <c r="D647" t="str">
        <f t="shared" si="33"/>
        <v/>
      </c>
      <c r="E647" t="str">
        <f t="shared" si="34"/>
        <v/>
      </c>
      <c r="F647" t="str">
        <f t="shared" si="35"/>
        <v/>
      </c>
    </row>
    <row r="648" spans="4:6" x14ac:dyDescent="0.3">
      <c r="D648" t="str">
        <f t="shared" si="33"/>
        <v/>
      </c>
      <c r="E648" t="str">
        <f t="shared" si="34"/>
        <v/>
      </c>
      <c r="F648" t="str">
        <f t="shared" si="35"/>
        <v/>
      </c>
    </row>
    <row r="649" spans="4:6" x14ac:dyDescent="0.3">
      <c r="D649" t="str">
        <f t="shared" si="33"/>
        <v/>
      </c>
      <c r="E649" t="str">
        <f t="shared" si="34"/>
        <v/>
      </c>
      <c r="F649" t="str">
        <f t="shared" si="35"/>
        <v/>
      </c>
    </row>
    <row r="650" spans="4:6" x14ac:dyDescent="0.3">
      <c r="D650" t="str">
        <f t="shared" si="33"/>
        <v/>
      </c>
      <c r="E650" t="str">
        <f t="shared" si="34"/>
        <v/>
      </c>
      <c r="F650" t="str">
        <f t="shared" si="35"/>
        <v/>
      </c>
    </row>
    <row r="651" spans="4:6" x14ac:dyDescent="0.3">
      <c r="D651" t="str">
        <f t="shared" si="33"/>
        <v/>
      </c>
      <c r="E651" t="str">
        <f t="shared" si="34"/>
        <v/>
      </c>
      <c r="F651" t="str">
        <f t="shared" si="35"/>
        <v/>
      </c>
    </row>
    <row r="652" spans="4:6" x14ac:dyDescent="0.3">
      <c r="D652" t="str">
        <f t="shared" si="33"/>
        <v/>
      </c>
      <c r="E652" t="str">
        <f t="shared" si="34"/>
        <v/>
      </c>
      <c r="F652" t="str">
        <f t="shared" si="35"/>
        <v/>
      </c>
    </row>
    <row r="653" spans="4:6" x14ac:dyDescent="0.3">
      <c r="D653" t="str">
        <f t="shared" si="33"/>
        <v/>
      </c>
      <c r="E653" t="str">
        <f t="shared" si="34"/>
        <v/>
      </c>
      <c r="F653" t="str">
        <f t="shared" si="35"/>
        <v/>
      </c>
    </row>
    <row r="654" spans="4:6" x14ac:dyDescent="0.3">
      <c r="D654" t="str">
        <f t="shared" si="33"/>
        <v/>
      </c>
      <c r="E654" t="str">
        <f t="shared" si="34"/>
        <v/>
      </c>
      <c r="F654" t="str">
        <f t="shared" si="35"/>
        <v/>
      </c>
    </row>
    <row r="655" spans="4:6" x14ac:dyDescent="0.3">
      <c r="D655" t="str">
        <f t="shared" si="33"/>
        <v/>
      </c>
      <c r="E655" t="str">
        <f t="shared" si="34"/>
        <v/>
      </c>
      <c r="F655" t="str">
        <f t="shared" si="35"/>
        <v/>
      </c>
    </row>
    <row r="656" spans="4:6" x14ac:dyDescent="0.3">
      <c r="D656" t="str">
        <f t="shared" si="33"/>
        <v/>
      </c>
      <c r="E656" t="str">
        <f t="shared" si="34"/>
        <v/>
      </c>
      <c r="F656" t="str">
        <f t="shared" si="35"/>
        <v/>
      </c>
    </row>
    <row r="657" spans="4:6" x14ac:dyDescent="0.3">
      <c r="D657" t="str">
        <f t="shared" si="33"/>
        <v/>
      </c>
      <c r="E657" t="str">
        <f t="shared" si="34"/>
        <v/>
      </c>
      <c r="F657" t="str">
        <f t="shared" si="35"/>
        <v/>
      </c>
    </row>
    <row r="658" spans="4:6" x14ac:dyDescent="0.3">
      <c r="D658" t="str">
        <f t="shared" si="33"/>
        <v/>
      </c>
      <c r="E658" t="str">
        <f t="shared" si="34"/>
        <v/>
      </c>
      <c r="F658" t="str">
        <f t="shared" ref="F658:F721" si="36">IF(LEFT(A658,1)="X",MID(A658,8,2),"")</f>
        <v/>
      </c>
    </row>
    <row r="659" spans="4:6" x14ac:dyDescent="0.3">
      <c r="D659" t="str">
        <f t="shared" si="33"/>
        <v/>
      </c>
      <c r="E659" t="str">
        <f t="shared" si="34"/>
        <v/>
      </c>
      <c r="F659" t="str">
        <f t="shared" si="36"/>
        <v/>
      </c>
    </row>
    <row r="660" spans="4:6" x14ac:dyDescent="0.3">
      <c r="D660" t="str">
        <f t="shared" si="33"/>
        <v/>
      </c>
      <c r="E660" t="str">
        <f t="shared" si="34"/>
        <v/>
      </c>
      <c r="F660" t="str">
        <f t="shared" si="36"/>
        <v/>
      </c>
    </row>
    <row r="661" spans="4:6" x14ac:dyDescent="0.3">
      <c r="D661" t="str">
        <f t="shared" si="33"/>
        <v/>
      </c>
      <c r="E661" t="str">
        <f t="shared" si="34"/>
        <v/>
      </c>
      <c r="F661" t="str">
        <f t="shared" si="36"/>
        <v/>
      </c>
    </row>
    <row r="662" spans="4:6" x14ac:dyDescent="0.3">
      <c r="D662" t="str">
        <f t="shared" si="33"/>
        <v/>
      </c>
      <c r="E662" t="str">
        <f t="shared" ref="E662:E693" si="37">IF(OR(LEFT(A662,2)="SP",AND(LEFT(A662,1)="X",LEN(A662)&gt;9)),RIGHT(A662,1),"")</f>
        <v/>
      </c>
      <c r="F662" t="str">
        <f t="shared" si="36"/>
        <v/>
      </c>
    </row>
    <row r="663" spans="4:6" x14ac:dyDescent="0.3">
      <c r="D663" t="str">
        <f t="shared" si="33"/>
        <v/>
      </c>
      <c r="E663" t="str">
        <f t="shared" si="37"/>
        <v/>
      </c>
      <c r="F663" t="str">
        <f t="shared" si="36"/>
        <v/>
      </c>
    </row>
    <row r="664" spans="4:6" x14ac:dyDescent="0.3">
      <c r="D664" t="str">
        <f t="shared" si="33"/>
        <v/>
      </c>
      <c r="E664" t="str">
        <f t="shared" si="37"/>
        <v/>
      </c>
      <c r="F664" t="str">
        <f t="shared" si="36"/>
        <v/>
      </c>
    </row>
    <row r="665" spans="4:6" x14ac:dyDescent="0.3">
      <c r="D665" t="str">
        <f t="shared" si="33"/>
        <v/>
      </c>
      <c r="E665" t="str">
        <f t="shared" si="37"/>
        <v/>
      </c>
      <c r="F665" t="str">
        <f t="shared" si="36"/>
        <v/>
      </c>
    </row>
    <row r="666" spans="4:6" x14ac:dyDescent="0.3">
      <c r="D666" t="str">
        <f t="shared" si="33"/>
        <v/>
      </c>
      <c r="E666" t="str">
        <f t="shared" si="37"/>
        <v/>
      </c>
      <c r="F666" t="str">
        <f t="shared" si="36"/>
        <v/>
      </c>
    </row>
    <row r="667" spans="4:6" x14ac:dyDescent="0.3">
      <c r="D667" t="str">
        <f t="shared" si="33"/>
        <v/>
      </c>
      <c r="E667" t="str">
        <f t="shared" si="37"/>
        <v/>
      </c>
      <c r="F667" t="str">
        <f t="shared" si="36"/>
        <v/>
      </c>
    </row>
    <row r="668" spans="4:6" x14ac:dyDescent="0.3">
      <c r="D668" t="str">
        <f t="shared" si="33"/>
        <v/>
      </c>
      <c r="E668" t="str">
        <f t="shared" si="37"/>
        <v/>
      </c>
      <c r="F668" t="str">
        <f t="shared" si="36"/>
        <v/>
      </c>
    </row>
    <row r="669" spans="4:6" x14ac:dyDescent="0.3">
      <c r="D669" t="str">
        <f t="shared" si="33"/>
        <v/>
      </c>
      <c r="E669" t="str">
        <f t="shared" si="37"/>
        <v/>
      </c>
      <c r="F669" t="str">
        <f t="shared" si="36"/>
        <v/>
      </c>
    </row>
    <row r="670" spans="4:6" x14ac:dyDescent="0.3">
      <c r="D670" t="str">
        <f t="shared" si="33"/>
        <v/>
      </c>
      <c r="E670" t="str">
        <f t="shared" si="37"/>
        <v/>
      </c>
      <c r="F670" t="str">
        <f t="shared" si="36"/>
        <v/>
      </c>
    </row>
    <row r="671" spans="4:6" x14ac:dyDescent="0.3">
      <c r="D671" t="str">
        <f t="shared" si="33"/>
        <v/>
      </c>
      <c r="E671" t="str">
        <f t="shared" si="37"/>
        <v/>
      </c>
      <c r="F671" t="str">
        <f t="shared" si="36"/>
        <v/>
      </c>
    </row>
    <row r="672" spans="4:6" x14ac:dyDescent="0.3">
      <c r="D672" t="str">
        <f t="shared" si="33"/>
        <v/>
      </c>
      <c r="E672" t="str">
        <f t="shared" si="37"/>
        <v/>
      </c>
      <c r="F672" t="str">
        <f t="shared" si="36"/>
        <v/>
      </c>
    </row>
    <row r="673" spans="4:6" x14ac:dyDescent="0.3">
      <c r="D673" t="str">
        <f t="shared" si="33"/>
        <v/>
      </c>
      <c r="E673" t="str">
        <f t="shared" si="37"/>
        <v/>
      </c>
      <c r="F673" t="str">
        <f t="shared" si="36"/>
        <v/>
      </c>
    </row>
    <row r="674" spans="4:6" x14ac:dyDescent="0.3">
      <c r="D674" t="str">
        <f t="shared" si="33"/>
        <v/>
      </c>
      <c r="E674" t="str">
        <f t="shared" si="37"/>
        <v/>
      </c>
      <c r="F674" t="str">
        <f t="shared" si="36"/>
        <v/>
      </c>
    </row>
    <row r="675" spans="4:6" x14ac:dyDescent="0.3">
      <c r="D675" t="str">
        <f t="shared" si="33"/>
        <v/>
      </c>
      <c r="E675" t="str">
        <f t="shared" si="37"/>
        <v/>
      </c>
      <c r="F675" t="str">
        <f t="shared" si="36"/>
        <v/>
      </c>
    </row>
    <row r="676" spans="4:6" x14ac:dyDescent="0.3">
      <c r="D676" t="str">
        <f t="shared" si="33"/>
        <v/>
      </c>
      <c r="E676" t="str">
        <f t="shared" si="37"/>
        <v/>
      </c>
      <c r="F676" t="str">
        <f t="shared" si="36"/>
        <v/>
      </c>
    </row>
    <row r="677" spans="4:6" x14ac:dyDescent="0.3">
      <c r="D677" t="str">
        <f t="shared" si="33"/>
        <v/>
      </c>
      <c r="E677" t="str">
        <f t="shared" si="37"/>
        <v/>
      </c>
      <c r="F677" t="str">
        <f t="shared" si="36"/>
        <v/>
      </c>
    </row>
    <row r="678" spans="4:6" x14ac:dyDescent="0.3">
      <c r="D678" t="str">
        <f t="shared" si="33"/>
        <v/>
      </c>
      <c r="E678" t="str">
        <f t="shared" si="37"/>
        <v/>
      </c>
      <c r="F678" t="str">
        <f t="shared" si="36"/>
        <v/>
      </c>
    </row>
    <row r="679" spans="4:6" x14ac:dyDescent="0.3">
      <c r="D679" t="str">
        <f t="shared" si="33"/>
        <v/>
      </c>
      <c r="E679" t="str">
        <f t="shared" si="37"/>
        <v/>
      </c>
      <c r="F679" t="str">
        <f t="shared" si="36"/>
        <v/>
      </c>
    </row>
    <row r="680" spans="4:6" x14ac:dyDescent="0.3">
      <c r="D680" t="str">
        <f t="shared" si="33"/>
        <v/>
      </c>
      <c r="E680" t="str">
        <f t="shared" si="37"/>
        <v/>
      </c>
      <c r="F680" t="str">
        <f t="shared" si="36"/>
        <v/>
      </c>
    </row>
    <row r="681" spans="4:6" x14ac:dyDescent="0.3">
      <c r="D681" t="str">
        <f t="shared" si="33"/>
        <v/>
      </c>
      <c r="E681" t="str">
        <f t="shared" si="37"/>
        <v/>
      </c>
      <c r="F681" t="str">
        <f t="shared" si="36"/>
        <v/>
      </c>
    </row>
    <row r="682" spans="4:6" x14ac:dyDescent="0.3">
      <c r="D682" t="str">
        <f t="shared" si="33"/>
        <v/>
      </c>
      <c r="E682" t="str">
        <f t="shared" si="37"/>
        <v/>
      </c>
      <c r="F682" t="str">
        <f t="shared" si="36"/>
        <v/>
      </c>
    </row>
    <row r="683" spans="4:6" x14ac:dyDescent="0.3">
      <c r="D683" t="str">
        <f t="shared" si="33"/>
        <v/>
      </c>
      <c r="E683" t="str">
        <f t="shared" si="37"/>
        <v/>
      </c>
      <c r="F683" t="str">
        <f t="shared" si="36"/>
        <v/>
      </c>
    </row>
    <row r="684" spans="4:6" x14ac:dyDescent="0.3">
      <c r="D684" t="str">
        <f t="shared" si="33"/>
        <v/>
      </c>
      <c r="E684" t="str">
        <f t="shared" si="37"/>
        <v/>
      </c>
      <c r="F684" t="str">
        <f t="shared" si="36"/>
        <v/>
      </c>
    </row>
    <row r="685" spans="4:6" x14ac:dyDescent="0.3">
      <c r="D685" t="str">
        <f t="shared" si="33"/>
        <v/>
      </c>
      <c r="E685" t="str">
        <f t="shared" si="37"/>
        <v/>
      </c>
      <c r="F685" t="str">
        <f t="shared" si="36"/>
        <v/>
      </c>
    </row>
    <row r="686" spans="4:6" x14ac:dyDescent="0.3">
      <c r="D686" t="str">
        <f t="shared" si="33"/>
        <v/>
      </c>
      <c r="E686" t="str">
        <f t="shared" si="37"/>
        <v/>
      </c>
      <c r="F686" t="str">
        <f t="shared" si="36"/>
        <v/>
      </c>
    </row>
    <row r="687" spans="4:6" x14ac:dyDescent="0.3">
      <c r="D687" t="str">
        <f t="shared" si="33"/>
        <v/>
      </c>
      <c r="E687" t="str">
        <f t="shared" si="37"/>
        <v/>
      </c>
      <c r="F687" t="str">
        <f t="shared" si="36"/>
        <v/>
      </c>
    </row>
    <row r="688" spans="4:6" x14ac:dyDescent="0.3">
      <c r="D688" t="str">
        <f t="shared" si="33"/>
        <v/>
      </c>
      <c r="E688" t="str">
        <f t="shared" si="37"/>
        <v/>
      </c>
      <c r="F688" t="str">
        <f t="shared" si="36"/>
        <v/>
      </c>
    </row>
    <row r="689" spans="4:6" x14ac:dyDescent="0.3">
      <c r="D689" t="str">
        <f t="shared" si="33"/>
        <v/>
      </c>
      <c r="E689" t="str">
        <f t="shared" si="37"/>
        <v/>
      </c>
      <c r="F689" t="str">
        <f t="shared" si="36"/>
        <v/>
      </c>
    </row>
    <row r="690" spans="4:6" x14ac:dyDescent="0.3">
      <c r="D690" t="str">
        <f t="shared" si="33"/>
        <v/>
      </c>
      <c r="E690" t="str">
        <f t="shared" si="37"/>
        <v/>
      </c>
      <c r="F690" t="str">
        <f t="shared" si="36"/>
        <v/>
      </c>
    </row>
    <row r="691" spans="4:6" x14ac:dyDescent="0.3">
      <c r="D691" t="str">
        <f t="shared" si="33"/>
        <v/>
      </c>
      <c r="E691" t="str">
        <f t="shared" si="37"/>
        <v/>
      </c>
      <c r="F691" t="str">
        <f t="shared" si="36"/>
        <v/>
      </c>
    </row>
    <row r="692" spans="4:6" x14ac:dyDescent="0.3">
      <c r="D692" t="str">
        <f t="shared" si="33"/>
        <v/>
      </c>
      <c r="E692" t="str">
        <f t="shared" si="37"/>
        <v/>
      </c>
      <c r="F692" t="str">
        <f t="shared" si="36"/>
        <v/>
      </c>
    </row>
    <row r="693" spans="4:6" x14ac:dyDescent="0.3">
      <c r="D693" t="str">
        <f t="shared" si="33"/>
        <v/>
      </c>
      <c r="E693" t="str">
        <f t="shared" si="37"/>
        <v/>
      </c>
      <c r="F693" t="str">
        <f t="shared" si="36"/>
        <v/>
      </c>
    </row>
    <row r="694" spans="4:6" x14ac:dyDescent="0.3">
      <c r="D694" t="str">
        <f t="shared" ref="D694:D757" si="38">IF(LEFT(A694,2)="SP",MID(A694,4,4),IF(LEFT(A694,1)="X",MID(A694,3,4),""))</f>
        <v/>
      </c>
      <c r="E694" t="str">
        <f t="shared" ref="E694:E725" si="39">IF(OR(LEFT(A694,2)="SP",AND(LEFT(A694,1)="X",LEN(A694)&gt;9)),RIGHT(A694,1),"")</f>
        <v/>
      </c>
      <c r="F694" t="str">
        <f t="shared" si="36"/>
        <v/>
      </c>
    </row>
    <row r="695" spans="4:6" x14ac:dyDescent="0.3">
      <c r="D695" t="str">
        <f t="shared" si="38"/>
        <v/>
      </c>
      <c r="E695" t="str">
        <f t="shared" si="39"/>
        <v/>
      </c>
      <c r="F695" t="str">
        <f t="shared" si="36"/>
        <v/>
      </c>
    </row>
    <row r="696" spans="4:6" x14ac:dyDescent="0.3">
      <c r="D696" t="str">
        <f t="shared" si="38"/>
        <v/>
      </c>
      <c r="E696" t="str">
        <f t="shared" si="39"/>
        <v/>
      </c>
      <c r="F696" t="str">
        <f t="shared" si="36"/>
        <v/>
      </c>
    </row>
    <row r="697" spans="4:6" x14ac:dyDescent="0.3">
      <c r="D697" t="str">
        <f t="shared" si="38"/>
        <v/>
      </c>
      <c r="E697" t="str">
        <f t="shared" si="39"/>
        <v/>
      </c>
      <c r="F697" t="str">
        <f t="shared" si="36"/>
        <v/>
      </c>
    </row>
    <row r="698" spans="4:6" x14ac:dyDescent="0.3">
      <c r="D698" t="str">
        <f t="shared" si="38"/>
        <v/>
      </c>
      <c r="E698" t="str">
        <f t="shared" si="39"/>
        <v/>
      </c>
      <c r="F698" t="str">
        <f t="shared" si="36"/>
        <v/>
      </c>
    </row>
    <row r="699" spans="4:6" x14ac:dyDescent="0.3">
      <c r="D699" t="str">
        <f t="shared" si="38"/>
        <v/>
      </c>
      <c r="E699" t="str">
        <f t="shared" si="39"/>
        <v/>
      </c>
      <c r="F699" t="str">
        <f t="shared" si="36"/>
        <v/>
      </c>
    </row>
    <row r="700" spans="4:6" x14ac:dyDescent="0.3">
      <c r="D700" t="str">
        <f t="shared" si="38"/>
        <v/>
      </c>
      <c r="E700" t="str">
        <f t="shared" si="39"/>
        <v/>
      </c>
      <c r="F700" t="str">
        <f t="shared" si="36"/>
        <v/>
      </c>
    </row>
    <row r="701" spans="4:6" x14ac:dyDescent="0.3">
      <c r="D701" t="str">
        <f t="shared" si="38"/>
        <v/>
      </c>
      <c r="E701" t="str">
        <f t="shared" si="39"/>
        <v/>
      </c>
      <c r="F701" t="str">
        <f t="shared" si="36"/>
        <v/>
      </c>
    </row>
    <row r="702" spans="4:6" x14ac:dyDescent="0.3">
      <c r="D702" t="str">
        <f t="shared" si="38"/>
        <v/>
      </c>
      <c r="E702" t="str">
        <f t="shared" si="39"/>
        <v/>
      </c>
      <c r="F702" t="str">
        <f t="shared" si="36"/>
        <v/>
      </c>
    </row>
    <row r="703" spans="4:6" x14ac:dyDescent="0.3">
      <c r="D703" t="str">
        <f t="shared" si="38"/>
        <v/>
      </c>
      <c r="E703" t="str">
        <f t="shared" si="39"/>
        <v/>
      </c>
      <c r="F703" t="str">
        <f t="shared" si="36"/>
        <v/>
      </c>
    </row>
    <row r="704" spans="4:6" x14ac:dyDescent="0.3">
      <c r="D704" t="str">
        <f t="shared" si="38"/>
        <v/>
      </c>
      <c r="E704" t="str">
        <f t="shared" si="39"/>
        <v/>
      </c>
      <c r="F704" t="str">
        <f t="shared" si="36"/>
        <v/>
      </c>
    </row>
    <row r="705" spans="4:6" x14ac:dyDescent="0.3">
      <c r="D705" t="str">
        <f t="shared" si="38"/>
        <v/>
      </c>
      <c r="E705" t="str">
        <f t="shared" si="39"/>
        <v/>
      </c>
      <c r="F705" t="str">
        <f t="shared" si="36"/>
        <v/>
      </c>
    </row>
    <row r="706" spans="4:6" x14ac:dyDescent="0.3">
      <c r="D706" t="str">
        <f t="shared" si="38"/>
        <v/>
      </c>
      <c r="E706" t="str">
        <f t="shared" si="39"/>
        <v/>
      </c>
      <c r="F706" t="str">
        <f t="shared" si="36"/>
        <v/>
      </c>
    </row>
    <row r="707" spans="4:6" x14ac:dyDescent="0.3">
      <c r="D707" t="str">
        <f t="shared" si="38"/>
        <v/>
      </c>
      <c r="E707" t="str">
        <f t="shared" si="39"/>
        <v/>
      </c>
      <c r="F707" t="str">
        <f t="shared" si="36"/>
        <v/>
      </c>
    </row>
    <row r="708" spans="4:6" x14ac:dyDescent="0.3">
      <c r="D708" t="str">
        <f t="shared" si="38"/>
        <v/>
      </c>
      <c r="E708" t="str">
        <f t="shared" si="39"/>
        <v/>
      </c>
      <c r="F708" t="str">
        <f t="shared" si="36"/>
        <v/>
      </c>
    </row>
    <row r="709" spans="4:6" x14ac:dyDescent="0.3">
      <c r="D709" t="str">
        <f t="shared" si="38"/>
        <v/>
      </c>
      <c r="E709" t="str">
        <f t="shared" si="39"/>
        <v/>
      </c>
      <c r="F709" t="str">
        <f t="shared" si="36"/>
        <v/>
      </c>
    </row>
    <row r="710" spans="4:6" x14ac:dyDescent="0.3">
      <c r="D710" t="str">
        <f t="shared" si="38"/>
        <v/>
      </c>
      <c r="E710" t="str">
        <f t="shared" si="39"/>
        <v/>
      </c>
      <c r="F710" t="str">
        <f t="shared" si="36"/>
        <v/>
      </c>
    </row>
    <row r="711" spans="4:6" x14ac:dyDescent="0.3">
      <c r="D711" t="str">
        <f t="shared" si="38"/>
        <v/>
      </c>
      <c r="E711" t="str">
        <f t="shared" si="39"/>
        <v/>
      </c>
      <c r="F711" t="str">
        <f t="shared" si="36"/>
        <v/>
      </c>
    </row>
    <row r="712" spans="4:6" x14ac:dyDescent="0.3">
      <c r="D712" t="str">
        <f t="shared" si="38"/>
        <v/>
      </c>
      <c r="E712" t="str">
        <f t="shared" si="39"/>
        <v/>
      </c>
      <c r="F712" t="str">
        <f t="shared" si="36"/>
        <v/>
      </c>
    </row>
    <row r="713" spans="4:6" x14ac:dyDescent="0.3">
      <c r="D713" t="str">
        <f t="shared" si="38"/>
        <v/>
      </c>
      <c r="E713" t="str">
        <f t="shared" si="39"/>
        <v/>
      </c>
      <c r="F713" t="str">
        <f t="shared" si="36"/>
        <v/>
      </c>
    </row>
    <row r="714" spans="4:6" x14ac:dyDescent="0.3">
      <c r="D714" t="str">
        <f t="shared" si="38"/>
        <v/>
      </c>
      <c r="E714" t="str">
        <f t="shared" si="39"/>
        <v/>
      </c>
      <c r="F714" t="str">
        <f t="shared" si="36"/>
        <v/>
      </c>
    </row>
    <row r="715" spans="4:6" x14ac:dyDescent="0.3">
      <c r="D715" t="str">
        <f t="shared" si="38"/>
        <v/>
      </c>
      <c r="E715" t="str">
        <f t="shared" si="39"/>
        <v/>
      </c>
      <c r="F715" t="str">
        <f t="shared" si="36"/>
        <v/>
      </c>
    </row>
    <row r="716" spans="4:6" x14ac:dyDescent="0.3">
      <c r="D716" t="str">
        <f t="shared" si="38"/>
        <v/>
      </c>
      <c r="E716" t="str">
        <f t="shared" si="39"/>
        <v/>
      </c>
      <c r="F716" t="str">
        <f t="shared" si="36"/>
        <v/>
      </c>
    </row>
    <row r="717" spans="4:6" x14ac:dyDescent="0.3">
      <c r="D717" t="str">
        <f t="shared" si="38"/>
        <v/>
      </c>
      <c r="E717" t="str">
        <f t="shared" si="39"/>
        <v/>
      </c>
      <c r="F717" t="str">
        <f t="shared" si="36"/>
        <v/>
      </c>
    </row>
    <row r="718" spans="4:6" x14ac:dyDescent="0.3">
      <c r="D718" t="str">
        <f t="shared" si="38"/>
        <v/>
      </c>
      <c r="E718" t="str">
        <f t="shared" si="39"/>
        <v/>
      </c>
      <c r="F718" t="str">
        <f t="shared" si="36"/>
        <v/>
      </c>
    </row>
    <row r="719" spans="4:6" x14ac:dyDescent="0.3">
      <c r="D719" t="str">
        <f t="shared" si="38"/>
        <v/>
      </c>
      <c r="E719" t="str">
        <f t="shared" si="39"/>
        <v/>
      </c>
      <c r="F719" t="str">
        <f t="shared" si="36"/>
        <v/>
      </c>
    </row>
    <row r="720" spans="4:6" x14ac:dyDescent="0.3">
      <c r="D720" t="str">
        <f t="shared" si="38"/>
        <v/>
      </c>
      <c r="E720" t="str">
        <f t="shared" si="39"/>
        <v/>
      </c>
      <c r="F720" t="str">
        <f t="shared" si="36"/>
        <v/>
      </c>
    </row>
    <row r="721" spans="4:6" x14ac:dyDescent="0.3">
      <c r="D721" t="str">
        <f t="shared" si="38"/>
        <v/>
      </c>
      <c r="E721" t="str">
        <f t="shared" si="39"/>
        <v/>
      </c>
      <c r="F721" t="str">
        <f t="shared" si="36"/>
        <v/>
      </c>
    </row>
    <row r="722" spans="4:6" x14ac:dyDescent="0.3">
      <c r="D722" t="str">
        <f t="shared" si="38"/>
        <v/>
      </c>
      <c r="E722" t="str">
        <f t="shared" si="39"/>
        <v/>
      </c>
      <c r="F722" t="str">
        <f t="shared" ref="F722:F783" si="40">IF(LEFT(A722,1)="X",MID(A722,8,2),"")</f>
        <v/>
      </c>
    </row>
    <row r="723" spans="4:6" x14ac:dyDescent="0.3">
      <c r="D723" t="str">
        <f t="shared" si="38"/>
        <v/>
      </c>
      <c r="E723" t="str">
        <f t="shared" si="39"/>
        <v/>
      </c>
      <c r="F723" t="str">
        <f t="shared" si="40"/>
        <v/>
      </c>
    </row>
    <row r="724" spans="4:6" x14ac:dyDescent="0.3">
      <c r="D724" t="str">
        <f t="shared" si="38"/>
        <v/>
      </c>
      <c r="E724" t="str">
        <f t="shared" si="39"/>
        <v/>
      </c>
      <c r="F724" t="str">
        <f t="shared" si="40"/>
        <v/>
      </c>
    </row>
    <row r="725" spans="4:6" x14ac:dyDescent="0.3">
      <c r="D725" t="str">
        <f t="shared" si="38"/>
        <v/>
      </c>
      <c r="E725" t="str">
        <f t="shared" si="39"/>
        <v/>
      </c>
      <c r="F725" t="str">
        <f t="shared" si="40"/>
        <v/>
      </c>
    </row>
    <row r="726" spans="4:6" x14ac:dyDescent="0.3">
      <c r="D726" t="str">
        <f t="shared" si="38"/>
        <v/>
      </c>
      <c r="E726" t="str">
        <f t="shared" ref="E726:E757" si="41">IF(OR(LEFT(A726,2)="SP",AND(LEFT(A726,1)="X",LEN(A726)&gt;9)),RIGHT(A726,1),"")</f>
        <v/>
      </c>
      <c r="F726" t="str">
        <f t="shared" si="40"/>
        <v/>
      </c>
    </row>
    <row r="727" spans="4:6" x14ac:dyDescent="0.3">
      <c r="D727" t="str">
        <f t="shared" si="38"/>
        <v/>
      </c>
      <c r="E727" t="str">
        <f t="shared" si="41"/>
        <v/>
      </c>
      <c r="F727" t="str">
        <f t="shared" si="40"/>
        <v/>
      </c>
    </row>
    <row r="728" spans="4:6" x14ac:dyDescent="0.3">
      <c r="D728" t="str">
        <f t="shared" si="38"/>
        <v/>
      </c>
      <c r="E728" t="str">
        <f t="shared" si="41"/>
        <v/>
      </c>
      <c r="F728" t="str">
        <f t="shared" si="40"/>
        <v/>
      </c>
    </row>
    <row r="729" spans="4:6" x14ac:dyDescent="0.3">
      <c r="D729" t="str">
        <f t="shared" si="38"/>
        <v/>
      </c>
      <c r="E729" t="str">
        <f t="shared" si="41"/>
        <v/>
      </c>
      <c r="F729" t="str">
        <f t="shared" si="40"/>
        <v/>
      </c>
    </row>
    <row r="730" spans="4:6" x14ac:dyDescent="0.3">
      <c r="D730" t="str">
        <f t="shared" si="38"/>
        <v/>
      </c>
      <c r="E730" t="str">
        <f t="shared" si="41"/>
        <v/>
      </c>
      <c r="F730" t="str">
        <f t="shared" si="40"/>
        <v/>
      </c>
    </row>
    <row r="731" spans="4:6" x14ac:dyDescent="0.3">
      <c r="D731" t="str">
        <f t="shared" si="38"/>
        <v/>
      </c>
      <c r="E731" t="str">
        <f t="shared" si="41"/>
        <v/>
      </c>
      <c r="F731" t="str">
        <f t="shared" si="40"/>
        <v/>
      </c>
    </row>
    <row r="732" spans="4:6" x14ac:dyDescent="0.3">
      <c r="D732" t="str">
        <f t="shared" si="38"/>
        <v/>
      </c>
      <c r="E732" t="str">
        <f t="shared" si="41"/>
        <v/>
      </c>
      <c r="F732" t="str">
        <f t="shared" si="40"/>
        <v/>
      </c>
    </row>
    <row r="733" spans="4:6" x14ac:dyDescent="0.3">
      <c r="D733" t="str">
        <f t="shared" si="38"/>
        <v/>
      </c>
      <c r="E733" t="str">
        <f t="shared" si="41"/>
        <v/>
      </c>
      <c r="F733" t="str">
        <f t="shared" si="40"/>
        <v/>
      </c>
    </row>
    <row r="734" spans="4:6" x14ac:dyDescent="0.3">
      <c r="D734" t="str">
        <f t="shared" si="38"/>
        <v/>
      </c>
      <c r="E734" t="str">
        <f t="shared" si="41"/>
        <v/>
      </c>
      <c r="F734" t="str">
        <f t="shared" si="40"/>
        <v/>
      </c>
    </row>
    <row r="735" spans="4:6" x14ac:dyDescent="0.3">
      <c r="D735" t="str">
        <f t="shared" si="38"/>
        <v/>
      </c>
      <c r="E735" t="str">
        <f t="shared" si="41"/>
        <v/>
      </c>
      <c r="F735" t="str">
        <f t="shared" si="40"/>
        <v/>
      </c>
    </row>
    <row r="736" spans="4:6" x14ac:dyDescent="0.3">
      <c r="D736" t="str">
        <f t="shared" si="38"/>
        <v/>
      </c>
      <c r="E736" t="str">
        <f t="shared" si="41"/>
        <v/>
      </c>
      <c r="F736" t="str">
        <f t="shared" si="40"/>
        <v/>
      </c>
    </row>
    <row r="737" spans="4:6" x14ac:dyDescent="0.3">
      <c r="D737" t="str">
        <f t="shared" si="38"/>
        <v/>
      </c>
      <c r="E737" t="str">
        <f t="shared" si="41"/>
        <v/>
      </c>
      <c r="F737" t="str">
        <f t="shared" si="40"/>
        <v/>
      </c>
    </row>
    <row r="738" spans="4:6" x14ac:dyDescent="0.3">
      <c r="D738" t="str">
        <f t="shared" si="38"/>
        <v/>
      </c>
      <c r="E738" t="str">
        <f t="shared" si="41"/>
        <v/>
      </c>
      <c r="F738" t="str">
        <f t="shared" si="40"/>
        <v/>
      </c>
    </row>
    <row r="739" spans="4:6" x14ac:dyDescent="0.3">
      <c r="D739" t="str">
        <f t="shared" si="38"/>
        <v/>
      </c>
      <c r="E739" t="str">
        <f t="shared" si="41"/>
        <v/>
      </c>
      <c r="F739" t="str">
        <f t="shared" si="40"/>
        <v/>
      </c>
    </row>
    <row r="740" spans="4:6" x14ac:dyDescent="0.3">
      <c r="D740" t="str">
        <f t="shared" si="38"/>
        <v/>
      </c>
      <c r="E740" t="str">
        <f t="shared" si="41"/>
        <v/>
      </c>
      <c r="F740" t="str">
        <f t="shared" si="40"/>
        <v/>
      </c>
    </row>
    <row r="741" spans="4:6" x14ac:dyDescent="0.3">
      <c r="D741" t="str">
        <f t="shared" si="38"/>
        <v/>
      </c>
      <c r="E741" t="str">
        <f t="shared" si="41"/>
        <v/>
      </c>
      <c r="F741" t="str">
        <f t="shared" si="40"/>
        <v/>
      </c>
    </row>
    <row r="742" spans="4:6" x14ac:dyDescent="0.3">
      <c r="D742" t="str">
        <f t="shared" si="38"/>
        <v/>
      </c>
      <c r="E742" t="str">
        <f t="shared" si="41"/>
        <v/>
      </c>
      <c r="F742" t="str">
        <f t="shared" si="40"/>
        <v/>
      </c>
    </row>
    <row r="743" spans="4:6" x14ac:dyDescent="0.3">
      <c r="D743" t="str">
        <f t="shared" si="38"/>
        <v/>
      </c>
      <c r="E743" t="str">
        <f t="shared" si="41"/>
        <v/>
      </c>
      <c r="F743" t="str">
        <f t="shared" si="40"/>
        <v/>
      </c>
    </row>
    <row r="744" spans="4:6" x14ac:dyDescent="0.3">
      <c r="D744" t="str">
        <f t="shared" si="38"/>
        <v/>
      </c>
      <c r="E744" t="str">
        <f t="shared" si="41"/>
        <v/>
      </c>
      <c r="F744" t="str">
        <f t="shared" si="40"/>
        <v/>
      </c>
    </row>
    <row r="745" spans="4:6" x14ac:dyDescent="0.3">
      <c r="D745" t="str">
        <f t="shared" si="38"/>
        <v/>
      </c>
      <c r="E745" t="str">
        <f t="shared" si="41"/>
        <v/>
      </c>
      <c r="F745" t="str">
        <f t="shared" si="40"/>
        <v/>
      </c>
    </row>
    <row r="746" spans="4:6" x14ac:dyDescent="0.3">
      <c r="D746" t="str">
        <f t="shared" si="38"/>
        <v/>
      </c>
      <c r="E746" t="str">
        <f t="shared" si="41"/>
        <v/>
      </c>
      <c r="F746" t="str">
        <f t="shared" si="40"/>
        <v/>
      </c>
    </row>
    <row r="747" spans="4:6" x14ac:dyDescent="0.3">
      <c r="D747" t="str">
        <f t="shared" si="38"/>
        <v/>
      </c>
      <c r="E747" t="str">
        <f t="shared" si="41"/>
        <v/>
      </c>
      <c r="F747" t="str">
        <f t="shared" si="40"/>
        <v/>
      </c>
    </row>
    <row r="748" spans="4:6" x14ac:dyDescent="0.3">
      <c r="D748" t="str">
        <f t="shared" si="38"/>
        <v/>
      </c>
      <c r="E748" t="str">
        <f t="shared" si="41"/>
        <v/>
      </c>
      <c r="F748" t="str">
        <f t="shared" si="40"/>
        <v/>
      </c>
    </row>
    <row r="749" spans="4:6" x14ac:dyDescent="0.3">
      <c r="D749" t="str">
        <f t="shared" si="38"/>
        <v/>
      </c>
      <c r="E749" t="str">
        <f t="shared" si="41"/>
        <v/>
      </c>
      <c r="F749" t="str">
        <f t="shared" si="40"/>
        <v/>
      </c>
    </row>
    <row r="750" spans="4:6" x14ac:dyDescent="0.3">
      <c r="D750" t="str">
        <f t="shared" si="38"/>
        <v/>
      </c>
      <c r="E750" t="str">
        <f t="shared" si="41"/>
        <v/>
      </c>
      <c r="F750" t="str">
        <f t="shared" si="40"/>
        <v/>
      </c>
    </row>
    <row r="751" spans="4:6" x14ac:dyDescent="0.3">
      <c r="D751" t="str">
        <f t="shared" si="38"/>
        <v/>
      </c>
      <c r="E751" t="str">
        <f t="shared" si="41"/>
        <v/>
      </c>
      <c r="F751" t="str">
        <f t="shared" si="40"/>
        <v/>
      </c>
    </row>
    <row r="752" spans="4:6" x14ac:dyDescent="0.3">
      <c r="D752" t="str">
        <f t="shared" si="38"/>
        <v/>
      </c>
      <c r="E752" t="str">
        <f t="shared" si="41"/>
        <v/>
      </c>
      <c r="F752" t="str">
        <f t="shared" si="40"/>
        <v/>
      </c>
    </row>
    <row r="753" spans="4:6" x14ac:dyDescent="0.3">
      <c r="D753" t="str">
        <f t="shared" si="38"/>
        <v/>
      </c>
      <c r="E753" t="str">
        <f t="shared" si="41"/>
        <v/>
      </c>
      <c r="F753" t="str">
        <f t="shared" si="40"/>
        <v/>
      </c>
    </row>
    <row r="754" spans="4:6" x14ac:dyDescent="0.3">
      <c r="D754" t="str">
        <f t="shared" si="38"/>
        <v/>
      </c>
      <c r="E754" t="str">
        <f t="shared" si="41"/>
        <v/>
      </c>
      <c r="F754" t="str">
        <f t="shared" si="40"/>
        <v/>
      </c>
    </row>
    <row r="755" spans="4:6" x14ac:dyDescent="0.3">
      <c r="D755" t="str">
        <f t="shared" si="38"/>
        <v/>
      </c>
      <c r="E755" t="str">
        <f t="shared" si="41"/>
        <v/>
      </c>
      <c r="F755" t="str">
        <f t="shared" si="40"/>
        <v/>
      </c>
    </row>
    <row r="756" spans="4:6" x14ac:dyDescent="0.3">
      <c r="D756" t="str">
        <f t="shared" si="38"/>
        <v/>
      </c>
      <c r="E756" t="str">
        <f t="shared" si="41"/>
        <v/>
      </c>
      <c r="F756" t="str">
        <f t="shared" si="40"/>
        <v/>
      </c>
    </row>
    <row r="757" spans="4:6" x14ac:dyDescent="0.3">
      <c r="D757" t="str">
        <f t="shared" si="38"/>
        <v/>
      </c>
      <c r="E757" t="str">
        <f t="shared" si="41"/>
        <v/>
      </c>
      <c r="F757" t="str">
        <f t="shared" si="40"/>
        <v/>
      </c>
    </row>
    <row r="758" spans="4:6" x14ac:dyDescent="0.3">
      <c r="D758" t="str">
        <f t="shared" ref="D758:D821" si="42">IF(LEFT(A758,2)="SP",MID(A758,4,4),IF(LEFT(A758,1)="X",MID(A758,3,4),""))</f>
        <v/>
      </c>
      <c r="E758" t="str">
        <f t="shared" ref="E758:E782" si="43">IF(OR(LEFT(A758,2)="SP",AND(LEFT(A758,1)="X",LEN(A758)&gt;9)),RIGHT(A758,1),"")</f>
        <v/>
      </c>
      <c r="F758" t="str">
        <f t="shared" si="40"/>
        <v/>
      </c>
    </row>
    <row r="759" spans="4:6" x14ac:dyDescent="0.3">
      <c r="D759" t="str">
        <f t="shared" si="42"/>
        <v/>
      </c>
      <c r="E759" t="str">
        <f t="shared" si="43"/>
        <v/>
      </c>
      <c r="F759" t="str">
        <f t="shared" si="40"/>
        <v/>
      </c>
    </row>
    <row r="760" spans="4:6" x14ac:dyDescent="0.3">
      <c r="D760" t="str">
        <f t="shared" si="42"/>
        <v/>
      </c>
      <c r="E760" t="str">
        <f t="shared" si="43"/>
        <v/>
      </c>
      <c r="F760" t="str">
        <f t="shared" si="40"/>
        <v/>
      </c>
    </row>
    <row r="761" spans="4:6" x14ac:dyDescent="0.3">
      <c r="D761" t="str">
        <f t="shared" si="42"/>
        <v/>
      </c>
      <c r="E761" t="str">
        <f t="shared" si="43"/>
        <v/>
      </c>
      <c r="F761" t="str">
        <f t="shared" si="40"/>
        <v/>
      </c>
    </row>
    <row r="762" spans="4:6" x14ac:dyDescent="0.3">
      <c r="D762" t="str">
        <f t="shared" si="42"/>
        <v/>
      </c>
      <c r="E762" t="str">
        <f t="shared" si="43"/>
        <v/>
      </c>
      <c r="F762" t="str">
        <f t="shared" si="40"/>
        <v/>
      </c>
    </row>
    <row r="763" spans="4:6" x14ac:dyDescent="0.3">
      <c r="D763" t="str">
        <f t="shared" si="42"/>
        <v/>
      </c>
      <c r="E763" t="str">
        <f t="shared" si="43"/>
        <v/>
      </c>
      <c r="F763" t="str">
        <f t="shared" si="40"/>
        <v/>
      </c>
    </row>
    <row r="764" spans="4:6" x14ac:dyDescent="0.3">
      <c r="D764" t="str">
        <f t="shared" si="42"/>
        <v/>
      </c>
      <c r="E764" t="str">
        <f t="shared" si="43"/>
        <v/>
      </c>
      <c r="F764" t="str">
        <f t="shared" si="40"/>
        <v/>
      </c>
    </row>
    <row r="765" spans="4:6" x14ac:dyDescent="0.3">
      <c r="D765" t="str">
        <f t="shared" si="42"/>
        <v/>
      </c>
      <c r="E765" t="str">
        <f t="shared" si="43"/>
        <v/>
      </c>
      <c r="F765" t="str">
        <f t="shared" si="40"/>
        <v/>
      </c>
    </row>
    <row r="766" spans="4:6" x14ac:dyDescent="0.3">
      <c r="D766" t="str">
        <f t="shared" si="42"/>
        <v/>
      </c>
      <c r="E766" t="str">
        <f t="shared" si="43"/>
        <v/>
      </c>
      <c r="F766" t="str">
        <f t="shared" si="40"/>
        <v/>
      </c>
    </row>
    <row r="767" spans="4:6" x14ac:dyDescent="0.3">
      <c r="D767" t="str">
        <f t="shared" si="42"/>
        <v/>
      </c>
      <c r="E767" t="str">
        <f t="shared" si="43"/>
        <v/>
      </c>
      <c r="F767" t="str">
        <f t="shared" si="40"/>
        <v/>
      </c>
    </row>
    <row r="768" spans="4:6" x14ac:dyDescent="0.3">
      <c r="D768" t="str">
        <f t="shared" si="42"/>
        <v/>
      </c>
      <c r="E768" t="str">
        <f t="shared" si="43"/>
        <v/>
      </c>
      <c r="F768" t="str">
        <f t="shared" si="40"/>
        <v/>
      </c>
    </row>
    <row r="769" spans="4:6" x14ac:dyDescent="0.3">
      <c r="D769" t="str">
        <f t="shared" si="42"/>
        <v/>
      </c>
      <c r="E769" t="str">
        <f t="shared" si="43"/>
        <v/>
      </c>
      <c r="F769" t="str">
        <f t="shared" si="40"/>
        <v/>
      </c>
    </row>
    <row r="770" spans="4:6" x14ac:dyDescent="0.3">
      <c r="D770" t="str">
        <f t="shared" si="42"/>
        <v/>
      </c>
      <c r="E770" t="str">
        <f t="shared" si="43"/>
        <v/>
      </c>
      <c r="F770" t="str">
        <f t="shared" si="40"/>
        <v/>
      </c>
    </row>
    <row r="771" spans="4:6" x14ac:dyDescent="0.3">
      <c r="D771" t="str">
        <f t="shared" si="42"/>
        <v/>
      </c>
      <c r="E771" t="str">
        <f t="shared" si="43"/>
        <v/>
      </c>
      <c r="F771" t="str">
        <f t="shared" si="40"/>
        <v/>
      </c>
    </row>
    <row r="772" spans="4:6" x14ac:dyDescent="0.3">
      <c r="D772" t="str">
        <f t="shared" si="42"/>
        <v/>
      </c>
      <c r="E772" t="str">
        <f t="shared" si="43"/>
        <v/>
      </c>
      <c r="F772" t="str">
        <f t="shared" si="40"/>
        <v/>
      </c>
    </row>
    <row r="773" spans="4:6" x14ac:dyDescent="0.3">
      <c r="D773" t="str">
        <f t="shared" si="42"/>
        <v/>
      </c>
      <c r="E773" t="str">
        <f t="shared" si="43"/>
        <v/>
      </c>
      <c r="F773" t="str">
        <f t="shared" si="40"/>
        <v/>
      </c>
    </row>
    <row r="774" spans="4:6" x14ac:dyDescent="0.3">
      <c r="D774" t="str">
        <f t="shared" si="42"/>
        <v/>
      </c>
      <c r="E774" t="str">
        <f t="shared" si="43"/>
        <v/>
      </c>
      <c r="F774" t="str">
        <f t="shared" si="40"/>
        <v/>
      </c>
    </row>
    <row r="775" spans="4:6" x14ac:dyDescent="0.3">
      <c r="D775" t="str">
        <f t="shared" si="42"/>
        <v/>
      </c>
      <c r="E775" t="str">
        <f t="shared" si="43"/>
        <v/>
      </c>
      <c r="F775" t="str">
        <f t="shared" si="40"/>
        <v/>
      </c>
    </row>
    <row r="776" spans="4:6" x14ac:dyDescent="0.3">
      <c r="D776" t="str">
        <f t="shared" si="42"/>
        <v/>
      </c>
      <c r="E776" t="str">
        <f t="shared" si="43"/>
        <v/>
      </c>
      <c r="F776" t="str">
        <f t="shared" si="40"/>
        <v/>
      </c>
    </row>
    <row r="777" spans="4:6" x14ac:dyDescent="0.3">
      <c r="D777" t="str">
        <f t="shared" si="42"/>
        <v/>
      </c>
      <c r="E777" t="str">
        <f t="shared" si="43"/>
        <v/>
      </c>
      <c r="F777" t="str">
        <f t="shared" si="40"/>
        <v/>
      </c>
    </row>
    <row r="778" spans="4:6" x14ac:dyDescent="0.3">
      <c r="D778" t="str">
        <f t="shared" si="42"/>
        <v/>
      </c>
      <c r="E778" t="str">
        <f t="shared" si="43"/>
        <v/>
      </c>
      <c r="F778" t="str">
        <f t="shared" si="40"/>
        <v/>
      </c>
    </row>
    <row r="779" spans="4:6" x14ac:dyDescent="0.3">
      <c r="D779" t="str">
        <f t="shared" si="42"/>
        <v/>
      </c>
      <c r="E779" t="str">
        <f t="shared" si="43"/>
        <v/>
      </c>
      <c r="F779" t="str">
        <f t="shared" si="40"/>
        <v/>
      </c>
    </row>
    <row r="780" spans="4:6" x14ac:dyDescent="0.3">
      <c r="D780" t="str">
        <f t="shared" si="42"/>
        <v/>
      </c>
      <c r="E780" t="str">
        <f t="shared" si="43"/>
        <v/>
      </c>
      <c r="F780" t="str">
        <f t="shared" si="40"/>
        <v/>
      </c>
    </row>
    <row r="781" spans="4:6" x14ac:dyDescent="0.3">
      <c r="D781" t="str">
        <f t="shared" si="42"/>
        <v/>
      </c>
      <c r="E781" t="str">
        <f t="shared" si="43"/>
        <v/>
      </c>
      <c r="F781" t="str">
        <f t="shared" si="40"/>
        <v/>
      </c>
    </row>
    <row r="782" spans="4:6" x14ac:dyDescent="0.3">
      <c r="D782" t="str">
        <f t="shared" si="42"/>
        <v/>
      </c>
      <c r="E782" t="str">
        <f t="shared" si="43"/>
        <v/>
      </c>
      <c r="F782" t="str">
        <f t="shared" si="40"/>
        <v/>
      </c>
    </row>
    <row r="783" spans="4:6" x14ac:dyDescent="0.3">
      <c r="D783" t="str">
        <f t="shared" si="42"/>
        <v/>
      </c>
      <c r="F783" t="str">
        <f t="shared" si="40"/>
        <v/>
      </c>
    </row>
    <row r="784" spans="4:6" x14ac:dyDescent="0.3">
      <c r="D784" t="str">
        <f t="shared" si="42"/>
        <v/>
      </c>
    </row>
    <row r="785" spans="4:4" x14ac:dyDescent="0.3">
      <c r="D785" t="str">
        <f t="shared" si="42"/>
        <v/>
      </c>
    </row>
    <row r="786" spans="4:4" x14ac:dyDescent="0.3">
      <c r="D786" t="str">
        <f t="shared" si="42"/>
        <v/>
      </c>
    </row>
    <row r="787" spans="4:4" x14ac:dyDescent="0.3">
      <c r="D787" t="str">
        <f t="shared" si="42"/>
        <v/>
      </c>
    </row>
    <row r="788" spans="4:4" x14ac:dyDescent="0.3">
      <c r="D788" t="str">
        <f t="shared" si="42"/>
        <v/>
      </c>
    </row>
    <row r="789" spans="4:4" x14ac:dyDescent="0.3">
      <c r="D789" t="str">
        <f t="shared" si="42"/>
        <v/>
      </c>
    </row>
    <row r="790" spans="4:4" x14ac:dyDescent="0.3">
      <c r="D790" t="str">
        <f t="shared" si="42"/>
        <v/>
      </c>
    </row>
    <row r="791" spans="4:4" x14ac:dyDescent="0.3">
      <c r="D791" t="str">
        <f t="shared" si="42"/>
        <v/>
      </c>
    </row>
    <row r="792" spans="4:4" x14ac:dyDescent="0.3">
      <c r="D792" t="str">
        <f t="shared" si="42"/>
        <v/>
      </c>
    </row>
    <row r="793" spans="4:4" x14ac:dyDescent="0.3">
      <c r="D793" t="str">
        <f t="shared" si="42"/>
        <v/>
      </c>
    </row>
    <row r="794" spans="4:4" x14ac:dyDescent="0.3">
      <c r="D794" t="str">
        <f t="shared" si="42"/>
        <v/>
      </c>
    </row>
    <row r="795" spans="4:4" x14ac:dyDescent="0.3">
      <c r="D795" t="str">
        <f t="shared" si="42"/>
        <v/>
      </c>
    </row>
    <row r="796" spans="4:4" x14ac:dyDescent="0.3">
      <c r="D796" t="str">
        <f t="shared" si="42"/>
        <v/>
      </c>
    </row>
    <row r="797" spans="4:4" x14ac:dyDescent="0.3">
      <c r="D797" t="str">
        <f t="shared" si="42"/>
        <v/>
      </c>
    </row>
    <row r="798" spans="4:4" x14ac:dyDescent="0.3">
      <c r="D798" t="str">
        <f t="shared" si="42"/>
        <v/>
      </c>
    </row>
    <row r="799" spans="4:4" x14ac:dyDescent="0.3">
      <c r="D799" t="str">
        <f t="shared" si="42"/>
        <v/>
      </c>
    </row>
    <row r="800" spans="4:4" x14ac:dyDescent="0.3">
      <c r="D800" t="str">
        <f t="shared" si="42"/>
        <v/>
      </c>
    </row>
    <row r="801" spans="4:4" x14ac:dyDescent="0.3">
      <c r="D801" t="str">
        <f t="shared" si="42"/>
        <v/>
      </c>
    </row>
    <row r="802" spans="4:4" x14ac:dyDescent="0.3">
      <c r="D802" t="str">
        <f t="shared" si="42"/>
        <v/>
      </c>
    </row>
    <row r="803" spans="4:4" x14ac:dyDescent="0.3">
      <c r="D803" t="str">
        <f t="shared" si="42"/>
        <v/>
      </c>
    </row>
    <row r="804" spans="4:4" x14ac:dyDescent="0.3">
      <c r="D804" t="str">
        <f t="shared" si="42"/>
        <v/>
      </c>
    </row>
    <row r="805" spans="4:4" x14ac:dyDescent="0.3">
      <c r="D805" t="str">
        <f t="shared" si="42"/>
        <v/>
      </c>
    </row>
    <row r="806" spans="4:4" x14ac:dyDescent="0.3">
      <c r="D806" t="str">
        <f t="shared" si="42"/>
        <v/>
      </c>
    </row>
    <row r="807" spans="4:4" x14ac:dyDescent="0.3">
      <c r="D807" t="str">
        <f t="shared" si="42"/>
        <v/>
      </c>
    </row>
    <row r="808" spans="4:4" x14ac:dyDescent="0.3">
      <c r="D808" t="str">
        <f t="shared" si="42"/>
        <v/>
      </c>
    </row>
    <row r="809" spans="4:4" x14ac:dyDescent="0.3">
      <c r="D809" t="str">
        <f t="shared" si="42"/>
        <v/>
      </c>
    </row>
    <row r="810" spans="4:4" x14ac:dyDescent="0.3">
      <c r="D810" t="str">
        <f t="shared" si="42"/>
        <v/>
      </c>
    </row>
    <row r="811" spans="4:4" x14ac:dyDescent="0.3">
      <c r="D811" t="str">
        <f t="shared" si="42"/>
        <v/>
      </c>
    </row>
    <row r="812" spans="4:4" x14ac:dyDescent="0.3">
      <c r="D812" t="str">
        <f t="shared" si="42"/>
        <v/>
      </c>
    </row>
    <row r="813" spans="4:4" x14ac:dyDescent="0.3">
      <c r="D813" t="str">
        <f t="shared" si="42"/>
        <v/>
      </c>
    </row>
    <row r="814" spans="4:4" x14ac:dyDescent="0.3">
      <c r="D814" t="str">
        <f t="shared" si="42"/>
        <v/>
      </c>
    </row>
    <row r="815" spans="4:4" x14ac:dyDescent="0.3">
      <c r="D815" t="str">
        <f t="shared" si="42"/>
        <v/>
      </c>
    </row>
    <row r="816" spans="4:4" x14ac:dyDescent="0.3">
      <c r="D816" t="str">
        <f t="shared" si="42"/>
        <v/>
      </c>
    </row>
    <row r="817" spans="4:4" x14ac:dyDescent="0.3">
      <c r="D817" t="str">
        <f t="shared" si="42"/>
        <v/>
      </c>
    </row>
    <row r="818" spans="4:4" x14ac:dyDescent="0.3">
      <c r="D818" t="str">
        <f t="shared" si="42"/>
        <v/>
      </c>
    </row>
    <row r="819" spans="4:4" x14ac:dyDescent="0.3">
      <c r="D819" t="str">
        <f t="shared" si="42"/>
        <v/>
      </c>
    </row>
    <row r="820" spans="4:4" x14ac:dyDescent="0.3">
      <c r="D820" t="str">
        <f t="shared" si="42"/>
        <v/>
      </c>
    </row>
    <row r="821" spans="4:4" x14ac:dyDescent="0.3">
      <c r="D821" t="str">
        <f t="shared" si="42"/>
        <v/>
      </c>
    </row>
    <row r="822" spans="4:4" x14ac:dyDescent="0.3">
      <c r="D822" t="str">
        <f t="shared" ref="D822:D885" si="44">IF(LEFT(A822,2)="SP",MID(A822,4,4),IF(LEFT(A822,1)="X",MID(A822,3,4),""))</f>
        <v/>
      </c>
    </row>
    <row r="823" spans="4:4" x14ac:dyDescent="0.3">
      <c r="D823" t="str">
        <f t="shared" si="44"/>
        <v/>
      </c>
    </row>
    <row r="824" spans="4:4" x14ac:dyDescent="0.3">
      <c r="D824" t="str">
        <f t="shared" si="44"/>
        <v/>
      </c>
    </row>
    <row r="825" spans="4:4" x14ac:dyDescent="0.3">
      <c r="D825" t="str">
        <f t="shared" si="44"/>
        <v/>
      </c>
    </row>
    <row r="826" spans="4:4" x14ac:dyDescent="0.3">
      <c r="D826" t="str">
        <f t="shared" si="44"/>
        <v/>
      </c>
    </row>
    <row r="827" spans="4:4" x14ac:dyDescent="0.3">
      <c r="D827" t="str">
        <f t="shared" si="44"/>
        <v/>
      </c>
    </row>
    <row r="828" spans="4:4" x14ac:dyDescent="0.3">
      <c r="D828" t="str">
        <f t="shared" si="44"/>
        <v/>
      </c>
    </row>
    <row r="829" spans="4:4" x14ac:dyDescent="0.3">
      <c r="D829" t="str">
        <f t="shared" si="44"/>
        <v/>
      </c>
    </row>
    <row r="830" spans="4:4" x14ac:dyDescent="0.3">
      <c r="D830" t="str">
        <f t="shared" si="44"/>
        <v/>
      </c>
    </row>
    <row r="831" spans="4:4" x14ac:dyDescent="0.3">
      <c r="D831" t="str">
        <f t="shared" si="44"/>
        <v/>
      </c>
    </row>
    <row r="832" spans="4:4" x14ac:dyDescent="0.3">
      <c r="D832" t="str">
        <f t="shared" si="44"/>
        <v/>
      </c>
    </row>
    <row r="833" spans="4:4" x14ac:dyDescent="0.3">
      <c r="D833" t="str">
        <f t="shared" si="44"/>
        <v/>
      </c>
    </row>
    <row r="834" spans="4:4" x14ac:dyDescent="0.3">
      <c r="D834" t="str">
        <f t="shared" si="44"/>
        <v/>
      </c>
    </row>
    <row r="835" spans="4:4" x14ac:dyDescent="0.3">
      <c r="D835" t="str">
        <f t="shared" si="44"/>
        <v/>
      </c>
    </row>
    <row r="836" spans="4:4" x14ac:dyDescent="0.3">
      <c r="D836" t="str">
        <f t="shared" si="44"/>
        <v/>
      </c>
    </row>
    <row r="837" spans="4:4" x14ac:dyDescent="0.3">
      <c r="D837" t="str">
        <f t="shared" si="44"/>
        <v/>
      </c>
    </row>
    <row r="838" spans="4:4" x14ac:dyDescent="0.3">
      <c r="D838" t="str">
        <f t="shared" si="44"/>
        <v/>
      </c>
    </row>
    <row r="839" spans="4:4" x14ac:dyDescent="0.3">
      <c r="D839" t="str">
        <f t="shared" si="44"/>
        <v/>
      </c>
    </row>
    <row r="840" spans="4:4" x14ac:dyDescent="0.3">
      <c r="D840" t="str">
        <f t="shared" si="44"/>
        <v/>
      </c>
    </row>
    <row r="841" spans="4:4" x14ac:dyDescent="0.3">
      <c r="D841" t="str">
        <f t="shared" si="44"/>
        <v/>
      </c>
    </row>
    <row r="842" spans="4:4" x14ac:dyDescent="0.3">
      <c r="D842" t="str">
        <f t="shared" si="44"/>
        <v/>
      </c>
    </row>
    <row r="843" spans="4:4" x14ac:dyDescent="0.3">
      <c r="D843" t="str">
        <f t="shared" si="44"/>
        <v/>
      </c>
    </row>
    <row r="844" spans="4:4" x14ac:dyDescent="0.3">
      <c r="D844" t="str">
        <f t="shared" si="44"/>
        <v/>
      </c>
    </row>
    <row r="845" spans="4:4" x14ac:dyDescent="0.3">
      <c r="D845" t="str">
        <f t="shared" si="44"/>
        <v/>
      </c>
    </row>
    <row r="846" spans="4:4" x14ac:dyDescent="0.3">
      <c r="D846" t="str">
        <f t="shared" si="44"/>
        <v/>
      </c>
    </row>
    <row r="847" spans="4:4" x14ac:dyDescent="0.3">
      <c r="D847" t="str">
        <f t="shared" si="44"/>
        <v/>
      </c>
    </row>
    <row r="848" spans="4:4" x14ac:dyDescent="0.3">
      <c r="D848" t="str">
        <f t="shared" si="44"/>
        <v/>
      </c>
    </row>
    <row r="849" spans="4:4" x14ac:dyDescent="0.3">
      <c r="D849" t="str">
        <f t="shared" si="44"/>
        <v/>
      </c>
    </row>
    <row r="850" spans="4:4" x14ac:dyDescent="0.3">
      <c r="D850" t="str">
        <f t="shared" si="44"/>
        <v/>
      </c>
    </row>
    <row r="851" spans="4:4" x14ac:dyDescent="0.3">
      <c r="D851" t="str">
        <f t="shared" si="44"/>
        <v/>
      </c>
    </row>
    <row r="852" spans="4:4" x14ac:dyDescent="0.3">
      <c r="D852" t="str">
        <f t="shared" si="44"/>
        <v/>
      </c>
    </row>
    <row r="853" spans="4:4" x14ac:dyDescent="0.3">
      <c r="D853" t="str">
        <f t="shared" si="44"/>
        <v/>
      </c>
    </row>
    <row r="854" spans="4:4" x14ac:dyDescent="0.3">
      <c r="D854" t="str">
        <f t="shared" si="44"/>
        <v/>
      </c>
    </row>
    <row r="855" spans="4:4" x14ac:dyDescent="0.3">
      <c r="D855" t="str">
        <f t="shared" si="44"/>
        <v/>
      </c>
    </row>
    <row r="856" spans="4:4" x14ac:dyDescent="0.3">
      <c r="D856" t="str">
        <f t="shared" si="44"/>
        <v/>
      </c>
    </row>
    <row r="857" spans="4:4" x14ac:dyDescent="0.3">
      <c r="D857" t="str">
        <f t="shared" si="44"/>
        <v/>
      </c>
    </row>
    <row r="858" spans="4:4" x14ac:dyDescent="0.3">
      <c r="D858" t="str">
        <f t="shared" si="44"/>
        <v/>
      </c>
    </row>
    <row r="859" spans="4:4" x14ac:dyDescent="0.3">
      <c r="D859" t="str">
        <f t="shared" si="44"/>
        <v/>
      </c>
    </row>
    <row r="860" spans="4:4" x14ac:dyDescent="0.3">
      <c r="D860" t="str">
        <f t="shared" si="44"/>
        <v/>
      </c>
    </row>
    <row r="861" spans="4:4" x14ac:dyDescent="0.3">
      <c r="D861" t="str">
        <f t="shared" si="44"/>
        <v/>
      </c>
    </row>
    <row r="862" spans="4:4" x14ac:dyDescent="0.3">
      <c r="D862" t="str">
        <f t="shared" si="44"/>
        <v/>
      </c>
    </row>
    <row r="863" spans="4:4" x14ac:dyDescent="0.3">
      <c r="D863" t="str">
        <f t="shared" si="44"/>
        <v/>
      </c>
    </row>
    <row r="864" spans="4:4" x14ac:dyDescent="0.3">
      <c r="D864" t="str">
        <f t="shared" si="44"/>
        <v/>
      </c>
    </row>
    <row r="865" spans="4:4" x14ac:dyDescent="0.3">
      <c r="D865" t="str">
        <f t="shared" si="44"/>
        <v/>
      </c>
    </row>
    <row r="866" spans="4:4" x14ac:dyDescent="0.3">
      <c r="D866" t="str">
        <f t="shared" si="44"/>
        <v/>
      </c>
    </row>
    <row r="867" spans="4:4" x14ac:dyDescent="0.3">
      <c r="D867" t="str">
        <f t="shared" si="44"/>
        <v/>
      </c>
    </row>
    <row r="868" spans="4:4" x14ac:dyDescent="0.3">
      <c r="D868" t="str">
        <f t="shared" si="44"/>
        <v/>
      </c>
    </row>
    <row r="869" spans="4:4" x14ac:dyDescent="0.3">
      <c r="D869" t="str">
        <f t="shared" si="44"/>
        <v/>
      </c>
    </row>
    <row r="870" spans="4:4" x14ac:dyDescent="0.3">
      <c r="D870" t="str">
        <f t="shared" si="44"/>
        <v/>
      </c>
    </row>
    <row r="871" spans="4:4" x14ac:dyDescent="0.3">
      <c r="D871" t="str">
        <f t="shared" si="44"/>
        <v/>
      </c>
    </row>
    <row r="872" spans="4:4" x14ac:dyDescent="0.3">
      <c r="D872" t="str">
        <f t="shared" si="44"/>
        <v/>
      </c>
    </row>
    <row r="873" spans="4:4" x14ac:dyDescent="0.3">
      <c r="D873" t="str">
        <f t="shared" si="44"/>
        <v/>
      </c>
    </row>
    <row r="874" spans="4:4" x14ac:dyDescent="0.3">
      <c r="D874" t="str">
        <f t="shared" si="44"/>
        <v/>
      </c>
    </row>
    <row r="875" spans="4:4" x14ac:dyDescent="0.3">
      <c r="D875" t="str">
        <f t="shared" si="44"/>
        <v/>
      </c>
    </row>
    <row r="876" spans="4:4" x14ac:dyDescent="0.3">
      <c r="D876" t="str">
        <f t="shared" si="44"/>
        <v/>
      </c>
    </row>
    <row r="877" spans="4:4" x14ac:dyDescent="0.3">
      <c r="D877" t="str">
        <f t="shared" si="44"/>
        <v/>
      </c>
    </row>
    <row r="878" spans="4:4" x14ac:dyDescent="0.3">
      <c r="D878" t="str">
        <f t="shared" si="44"/>
        <v/>
      </c>
    </row>
    <row r="879" spans="4:4" x14ac:dyDescent="0.3">
      <c r="D879" t="str">
        <f t="shared" si="44"/>
        <v/>
      </c>
    </row>
    <row r="880" spans="4:4" x14ac:dyDescent="0.3">
      <c r="D880" t="str">
        <f t="shared" si="44"/>
        <v/>
      </c>
    </row>
    <row r="881" spans="4:4" x14ac:dyDescent="0.3">
      <c r="D881" t="str">
        <f t="shared" si="44"/>
        <v/>
      </c>
    </row>
    <row r="882" spans="4:4" x14ac:dyDescent="0.3">
      <c r="D882" t="str">
        <f t="shared" si="44"/>
        <v/>
      </c>
    </row>
    <row r="883" spans="4:4" x14ac:dyDescent="0.3">
      <c r="D883" t="str">
        <f t="shared" si="44"/>
        <v/>
      </c>
    </row>
    <row r="884" spans="4:4" x14ac:dyDescent="0.3">
      <c r="D884" t="str">
        <f t="shared" si="44"/>
        <v/>
      </c>
    </row>
    <row r="885" spans="4:4" x14ac:dyDescent="0.3">
      <c r="D885" t="str">
        <f t="shared" si="44"/>
        <v/>
      </c>
    </row>
    <row r="886" spans="4:4" x14ac:dyDescent="0.3">
      <c r="D886" t="str">
        <f t="shared" ref="D886:D949" si="45">IF(LEFT(A886,2)="SP",MID(A886,4,4),IF(LEFT(A886,1)="X",MID(A886,3,4),""))</f>
        <v/>
      </c>
    </row>
    <row r="887" spans="4:4" x14ac:dyDescent="0.3">
      <c r="D887" t="str">
        <f t="shared" si="45"/>
        <v/>
      </c>
    </row>
    <row r="888" spans="4:4" x14ac:dyDescent="0.3">
      <c r="D888" t="str">
        <f t="shared" si="45"/>
        <v/>
      </c>
    </row>
    <row r="889" spans="4:4" x14ac:dyDescent="0.3">
      <c r="D889" t="str">
        <f t="shared" si="45"/>
        <v/>
      </c>
    </row>
    <row r="890" spans="4:4" x14ac:dyDescent="0.3">
      <c r="D890" t="str">
        <f t="shared" si="45"/>
        <v/>
      </c>
    </row>
    <row r="891" spans="4:4" x14ac:dyDescent="0.3">
      <c r="D891" t="str">
        <f t="shared" si="45"/>
        <v/>
      </c>
    </row>
    <row r="892" spans="4:4" x14ac:dyDescent="0.3">
      <c r="D892" t="str">
        <f t="shared" si="45"/>
        <v/>
      </c>
    </row>
    <row r="893" spans="4:4" x14ac:dyDescent="0.3">
      <c r="D893" t="str">
        <f t="shared" si="45"/>
        <v/>
      </c>
    </row>
    <row r="894" spans="4:4" x14ac:dyDescent="0.3">
      <c r="D894" t="str">
        <f t="shared" si="45"/>
        <v/>
      </c>
    </row>
    <row r="895" spans="4:4" x14ac:dyDescent="0.3">
      <c r="D895" t="str">
        <f t="shared" si="45"/>
        <v/>
      </c>
    </row>
    <row r="896" spans="4:4" x14ac:dyDescent="0.3">
      <c r="D896" t="str">
        <f t="shared" si="45"/>
        <v/>
      </c>
    </row>
    <row r="897" spans="4:4" x14ac:dyDescent="0.3">
      <c r="D897" t="str">
        <f t="shared" si="45"/>
        <v/>
      </c>
    </row>
    <row r="898" spans="4:4" x14ac:dyDescent="0.3">
      <c r="D898" t="str">
        <f t="shared" si="45"/>
        <v/>
      </c>
    </row>
    <row r="899" spans="4:4" x14ac:dyDescent="0.3">
      <c r="D899" t="str">
        <f t="shared" si="45"/>
        <v/>
      </c>
    </row>
    <row r="900" spans="4:4" x14ac:dyDescent="0.3">
      <c r="D900" t="str">
        <f t="shared" si="45"/>
        <v/>
      </c>
    </row>
    <row r="901" spans="4:4" x14ac:dyDescent="0.3">
      <c r="D901" t="str">
        <f t="shared" si="45"/>
        <v/>
      </c>
    </row>
    <row r="902" spans="4:4" x14ac:dyDescent="0.3">
      <c r="D902" t="str">
        <f t="shared" si="45"/>
        <v/>
      </c>
    </row>
    <row r="903" spans="4:4" x14ac:dyDescent="0.3">
      <c r="D903" t="str">
        <f t="shared" si="45"/>
        <v/>
      </c>
    </row>
    <row r="904" spans="4:4" x14ac:dyDescent="0.3">
      <c r="D904" t="str">
        <f t="shared" si="45"/>
        <v/>
      </c>
    </row>
    <row r="905" spans="4:4" x14ac:dyDescent="0.3">
      <c r="D905" t="str">
        <f t="shared" si="45"/>
        <v/>
      </c>
    </row>
    <row r="906" spans="4:4" x14ac:dyDescent="0.3">
      <c r="D906" t="str">
        <f t="shared" si="45"/>
        <v/>
      </c>
    </row>
    <row r="907" spans="4:4" x14ac:dyDescent="0.3">
      <c r="D907" t="str">
        <f t="shared" si="45"/>
        <v/>
      </c>
    </row>
    <row r="908" spans="4:4" x14ac:dyDescent="0.3">
      <c r="D908" t="str">
        <f t="shared" si="45"/>
        <v/>
      </c>
    </row>
    <row r="909" spans="4:4" x14ac:dyDescent="0.3">
      <c r="D909" t="str">
        <f t="shared" si="45"/>
        <v/>
      </c>
    </row>
    <row r="910" spans="4:4" x14ac:dyDescent="0.3">
      <c r="D910" t="str">
        <f t="shared" si="45"/>
        <v/>
      </c>
    </row>
    <row r="911" spans="4:4" x14ac:dyDescent="0.3">
      <c r="D911" t="str">
        <f t="shared" si="45"/>
        <v/>
      </c>
    </row>
    <row r="912" spans="4:4" x14ac:dyDescent="0.3">
      <c r="D912" t="str">
        <f t="shared" si="45"/>
        <v/>
      </c>
    </row>
    <row r="913" spans="4:4" x14ac:dyDescent="0.3">
      <c r="D913" t="str">
        <f t="shared" si="45"/>
        <v/>
      </c>
    </row>
    <row r="914" spans="4:4" x14ac:dyDescent="0.3">
      <c r="D914" t="str">
        <f t="shared" si="45"/>
        <v/>
      </c>
    </row>
    <row r="915" spans="4:4" x14ac:dyDescent="0.3">
      <c r="D915" t="str">
        <f t="shared" si="45"/>
        <v/>
      </c>
    </row>
    <row r="916" spans="4:4" x14ac:dyDescent="0.3">
      <c r="D916" t="str">
        <f t="shared" si="45"/>
        <v/>
      </c>
    </row>
    <row r="917" spans="4:4" x14ac:dyDescent="0.3">
      <c r="D917" t="str">
        <f t="shared" si="45"/>
        <v/>
      </c>
    </row>
    <row r="918" spans="4:4" x14ac:dyDescent="0.3">
      <c r="D918" t="str">
        <f t="shared" si="45"/>
        <v/>
      </c>
    </row>
    <row r="919" spans="4:4" x14ac:dyDescent="0.3">
      <c r="D919" t="str">
        <f t="shared" si="45"/>
        <v/>
      </c>
    </row>
    <row r="920" spans="4:4" x14ac:dyDescent="0.3">
      <c r="D920" t="str">
        <f t="shared" si="45"/>
        <v/>
      </c>
    </row>
    <row r="921" spans="4:4" x14ac:dyDescent="0.3">
      <c r="D921" t="str">
        <f t="shared" si="45"/>
        <v/>
      </c>
    </row>
    <row r="922" spans="4:4" x14ac:dyDescent="0.3">
      <c r="D922" t="str">
        <f t="shared" si="45"/>
        <v/>
      </c>
    </row>
    <row r="923" spans="4:4" x14ac:dyDescent="0.3">
      <c r="D923" t="str">
        <f t="shared" si="45"/>
        <v/>
      </c>
    </row>
    <row r="924" spans="4:4" x14ac:dyDescent="0.3">
      <c r="D924" t="str">
        <f t="shared" si="45"/>
        <v/>
      </c>
    </row>
    <row r="925" spans="4:4" x14ac:dyDescent="0.3">
      <c r="D925" t="str">
        <f t="shared" si="45"/>
        <v/>
      </c>
    </row>
    <row r="926" spans="4:4" x14ac:dyDescent="0.3">
      <c r="D926" t="str">
        <f t="shared" si="45"/>
        <v/>
      </c>
    </row>
    <row r="927" spans="4:4" x14ac:dyDescent="0.3">
      <c r="D927" t="str">
        <f t="shared" si="45"/>
        <v/>
      </c>
    </row>
    <row r="928" spans="4:4" x14ac:dyDescent="0.3">
      <c r="D928" t="str">
        <f t="shared" si="45"/>
        <v/>
      </c>
    </row>
    <row r="929" spans="4:4" x14ac:dyDescent="0.3">
      <c r="D929" t="str">
        <f t="shared" si="45"/>
        <v/>
      </c>
    </row>
    <row r="930" spans="4:4" x14ac:dyDescent="0.3">
      <c r="D930" t="str">
        <f t="shared" si="45"/>
        <v/>
      </c>
    </row>
    <row r="931" spans="4:4" x14ac:dyDescent="0.3">
      <c r="D931" t="str">
        <f t="shared" si="45"/>
        <v/>
      </c>
    </row>
    <row r="932" spans="4:4" x14ac:dyDescent="0.3">
      <c r="D932" t="str">
        <f t="shared" si="45"/>
        <v/>
      </c>
    </row>
    <row r="933" spans="4:4" x14ac:dyDescent="0.3">
      <c r="D933" t="str">
        <f t="shared" si="45"/>
        <v/>
      </c>
    </row>
    <row r="934" spans="4:4" x14ac:dyDescent="0.3">
      <c r="D934" t="str">
        <f t="shared" si="45"/>
        <v/>
      </c>
    </row>
    <row r="935" spans="4:4" x14ac:dyDescent="0.3">
      <c r="D935" t="str">
        <f t="shared" si="45"/>
        <v/>
      </c>
    </row>
    <row r="936" spans="4:4" x14ac:dyDescent="0.3">
      <c r="D936" t="str">
        <f t="shared" si="45"/>
        <v/>
      </c>
    </row>
    <row r="937" spans="4:4" x14ac:dyDescent="0.3">
      <c r="D937" t="str">
        <f t="shared" si="45"/>
        <v/>
      </c>
    </row>
    <row r="938" spans="4:4" x14ac:dyDescent="0.3">
      <c r="D938" t="str">
        <f t="shared" si="45"/>
        <v/>
      </c>
    </row>
    <row r="939" spans="4:4" x14ac:dyDescent="0.3">
      <c r="D939" t="str">
        <f t="shared" si="45"/>
        <v/>
      </c>
    </row>
    <row r="940" spans="4:4" x14ac:dyDescent="0.3">
      <c r="D940" t="str">
        <f t="shared" si="45"/>
        <v/>
      </c>
    </row>
    <row r="941" spans="4:4" x14ac:dyDescent="0.3">
      <c r="D941" t="str">
        <f t="shared" si="45"/>
        <v/>
      </c>
    </row>
    <row r="942" spans="4:4" x14ac:dyDescent="0.3">
      <c r="D942" t="str">
        <f t="shared" si="45"/>
        <v/>
      </c>
    </row>
    <row r="943" spans="4:4" x14ac:dyDescent="0.3">
      <c r="D943" t="str">
        <f t="shared" si="45"/>
        <v/>
      </c>
    </row>
    <row r="944" spans="4:4" x14ac:dyDescent="0.3">
      <c r="D944" t="str">
        <f t="shared" si="45"/>
        <v/>
      </c>
    </row>
    <row r="945" spans="4:4" x14ac:dyDescent="0.3">
      <c r="D945" t="str">
        <f t="shared" si="45"/>
        <v/>
      </c>
    </row>
    <row r="946" spans="4:4" x14ac:dyDescent="0.3">
      <c r="D946" t="str">
        <f t="shared" si="45"/>
        <v/>
      </c>
    </row>
    <row r="947" spans="4:4" x14ac:dyDescent="0.3">
      <c r="D947" t="str">
        <f t="shared" si="45"/>
        <v/>
      </c>
    </row>
    <row r="948" spans="4:4" x14ac:dyDescent="0.3">
      <c r="D948" t="str">
        <f t="shared" si="45"/>
        <v/>
      </c>
    </row>
    <row r="949" spans="4:4" x14ac:dyDescent="0.3">
      <c r="D949" t="str">
        <f t="shared" si="45"/>
        <v/>
      </c>
    </row>
    <row r="950" spans="4:4" x14ac:dyDescent="0.3">
      <c r="D950" t="str">
        <f t="shared" ref="D950:D1013" si="46">IF(LEFT(A950,2)="SP",MID(A950,4,4),IF(LEFT(A950,1)="X",MID(A950,3,4),""))</f>
        <v/>
      </c>
    </row>
    <row r="951" spans="4:4" x14ac:dyDescent="0.3">
      <c r="D951" t="str">
        <f t="shared" si="46"/>
        <v/>
      </c>
    </row>
    <row r="952" spans="4:4" x14ac:dyDescent="0.3">
      <c r="D952" t="str">
        <f t="shared" si="46"/>
        <v/>
      </c>
    </row>
    <row r="953" spans="4:4" x14ac:dyDescent="0.3">
      <c r="D953" t="str">
        <f t="shared" si="46"/>
        <v/>
      </c>
    </row>
    <row r="954" spans="4:4" x14ac:dyDescent="0.3">
      <c r="D954" t="str">
        <f t="shared" si="46"/>
        <v/>
      </c>
    </row>
    <row r="955" spans="4:4" x14ac:dyDescent="0.3">
      <c r="D955" t="str">
        <f t="shared" si="46"/>
        <v/>
      </c>
    </row>
    <row r="956" spans="4:4" x14ac:dyDescent="0.3">
      <c r="D956" t="str">
        <f t="shared" si="46"/>
        <v/>
      </c>
    </row>
    <row r="957" spans="4:4" x14ac:dyDescent="0.3">
      <c r="D957" t="str">
        <f t="shared" si="46"/>
        <v/>
      </c>
    </row>
    <row r="958" spans="4:4" x14ac:dyDescent="0.3">
      <c r="D958" t="str">
        <f t="shared" si="46"/>
        <v/>
      </c>
    </row>
    <row r="959" spans="4:4" x14ac:dyDescent="0.3">
      <c r="D959" t="str">
        <f t="shared" si="46"/>
        <v/>
      </c>
    </row>
    <row r="960" spans="4:4" x14ac:dyDescent="0.3">
      <c r="D960" t="str">
        <f t="shared" si="46"/>
        <v/>
      </c>
    </row>
    <row r="961" spans="4:4" x14ac:dyDescent="0.3">
      <c r="D961" t="str">
        <f t="shared" si="46"/>
        <v/>
      </c>
    </row>
    <row r="962" spans="4:4" x14ac:dyDescent="0.3">
      <c r="D962" t="str">
        <f t="shared" si="46"/>
        <v/>
      </c>
    </row>
    <row r="963" spans="4:4" x14ac:dyDescent="0.3">
      <c r="D963" t="str">
        <f t="shared" si="46"/>
        <v/>
      </c>
    </row>
    <row r="964" spans="4:4" x14ac:dyDescent="0.3">
      <c r="D964" t="str">
        <f t="shared" si="46"/>
        <v/>
      </c>
    </row>
    <row r="965" spans="4:4" x14ac:dyDescent="0.3">
      <c r="D965" t="str">
        <f t="shared" si="46"/>
        <v/>
      </c>
    </row>
    <row r="966" spans="4:4" x14ac:dyDescent="0.3">
      <c r="D966" t="str">
        <f t="shared" si="46"/>
        <v/>
      </c>
    </row>
    <row r="967" spans="4:4" x14ac:dyDescent="0.3">
      <c r="D967" t="str">
        <f t="shared" si="46"/>
        <v/>
      </c>
    </row>
    <row r="968" spans="4:4" x14ac:dyDescent="0.3">
      <c r="D968" t="str">
        <f t="shared" si="46"/>
        <v/>
      </c>
    </row>
    <row r="969" spans="4:4" x14ac:dyDescent="0.3">
      <c r="D969" t="str">
        <f t="shared" si="46"/>
        <v/>
      </c>
    </row>
    <row r="970" spans="4:4" x14ac:dyDescent="0.3">
      <c r="D970" t="str">
        <f t="shared" si="46"/>
        <v/>
      </c>
    </row>
    <row r="971" spans="4:4" x14ac:dyDescent="0.3">
      <c r="D971" t="str">
        <f t="shared" si="46"/>
        <v/>
      </c>
    </row>
    <row r="972" spans="4:4" x14ac:dyDescent="0.3">
      <c r="D972" t="str">
        <f t="shared" si="46"/>
        <v/>
      </c>
    </row>
    <row r="973" spans="4:4" x14ac:dyDescent="0.3">
      <c r="D973" t="str">
        <f t="shared" si="46"/>
        <v/>
      </c>
    </row>
    <row r="974" spans="4:4" x14ac:dyDescent="0.3">
      <c r="D974" t="str">
        <f t="shared" si="46"/>
        <v/>
      </c>
    </row>
    <row r="975" spans="4:4" x14ac:dyDescent="0.3">
      <c r="D975" t="str">
        <f t="shared" si="46"/>
        <v/>
      </c>
    </row>
    <row r="976" spans="4:4" x14ac:dyDescent="0.3">
      <c r="D976" t="str">
        <f t="shared" si="46"/>
        <v/>
      </c>
    </row>
    <row r="977" spans="4:4" x14ac:dyDescent="0.3">
      <c r="D977" t="str">
        <f t="shared" si="46"/>
        <v/>
      </c>
    </row>
    <row r="978" spans="4:4" x14ac:dyDescent="0.3">
      <c r="D978" t="str">
        <f t="shared" si="46"/>
        <v/>
      </c>
    </row>
    <row r="979" spans="4:4" x14ac:dyDescent="0.3">
      <c r="D979" t="str">
        <f t="shared" si="46"/>
        <v/>
      </c>
    </row>
    <row r="980" spans="4:4" x14ac:dyDescent="0.3">
      <c r="D980" t="str">
        <f t="shared" si="46"/>
        <v/>
      </c>
    </row>
    <row r="981" spans="4:4" x14ac:dyDescent="0.3">
      <c r="D981" t="str">
        <f t="shared" si="46"/>
        <v/>
      </c>
    </row>
    <row r="982" spans="4:4" x14ac:dyDescent="0.3">
      <c r="D982" t="str">
        <f t="shared" si="46"/>
        <v/>
      </c>
    </row>
    <row r="983" spans="4:4" x14ac:dyDescent="0.3">
      <c r="D983" t="str">
        <f t="shared" si="46"/>
        <v/>
      </c>
    </row>
    <row r="984" spans="4:4" x14ac:dyDescent="0.3">
      <c r="D984" t="str">
        <f t="shared" si="46"/>
        <v/>
      </c>
    </row>
    <row r="985" spans="4:4" x14ac:dyDescent="0.3">
      <c r="D985" t="str">
        <f t="shared" si="46"/>
        <v/>
      </c>
    </row>
    <row r="986" spans="4:4" x14ac:dyDescent="0.3">
      <c r="D986" t="str">
        <f t="shared" si="46"/>
        <v/>
      </c>
    </row>
    <row r="987" spans="4:4" x14ac:dyDescent="0.3">
      <c r="D987" t="str">
        <f t="shared" si="46"/>
        <v/>
      </c>
    </row>
    <row r="988" spans="4:4" x14ac:dyDescent="0.3">
      <c r="D988" t="str">
        <f t="shared" si="46"/>
        <v/>
      </c>
    </row>
    <row r="989" spans="4:4" x14ac:dyDescent="0.3">
      <c r="D989" t="str">
        <f t="shared" si="46"/>
        <v/>
      </c>
    </row>
    <row r="990" spans="4:4" x14ac:dyDescent="0.3">
      <c r="D990" t="str">
        <f t="shared" si="46"/>
        <v/>
      </c>
    </row>
    <row r="991" spans="4:4" x14ac:dyDescent="0.3">
      <c r="D991" t="str">
        <f t="shared" si="46"/>
        <v/>
      </c>
    </row>
    <row r="992" spans="4:4" x14ac:dyDescent="0.3">
      <c r="D992" t="str">
        <f t="shared" si="46"/>
        <v/>
      </c>
    </row>
    <row r="993" spans="4:4" x14ac:dyDescent="0.3">
      <c r="D993" t="str">
        <f t="shared" si="46"/>
        <v/>
      </c>
    </row>
    <row r="994" spans="4:4" x14ac:dyDescent="0.3">
      <c r="D994" t="str">
        <f t="shared" si="46"/>
        <v/>
      </c>
    </row>
    <row r="995" spans="4:4" x14ac:dyDescent="0.3">
      <c r="D995" t="str">
        <f t="shared" si="46"/>
        <v/>
      </c>
    </row>
    <row r="996" spans="4:4" x14ac:dyDescent="0.3">
      <c r="D996" t="str">
        <f t="shared" si="46"/>
        <v/>
      </c>
    </row>
    <row r="997" spans="4:4" x14ac:dyDescent="0.3">
      <c r="D997" t="str">
        <f t="shared" si="46"/>
        <v/>
      </c>
    </row>
    <row r="998" spans="4:4" x14ac:dyDescent="0.3">
      <c r="D998" t="str">
        <f t="shared" si="46"/>
        <v/>
      </c>
    </row>
    <row r="999" spans="4:4" x14ac:dyDescent="0.3">
      <c r="D999" t="str">
        <f t="shared" si="46"/>
        <v/>
      </c>
    </row>
    <row r="1000" spans="4:4" x14ac:dyDescent="0.3">
      <c r="D1000" t="str">
        <f t="shared" si="46"/>
        <v/>
      </c>
    </row>
    <row r="1001" spans="4:4" x14ac:dyDescent="0.3">
      <c r="D1001" t="str">
        <f t="shared" si="46"/>
        <v/>
      </c>
    </row>
    <row r="1002" spans="4:4" x14ac:dyDescent="0.3">
      <c r="D1002" t="str">
        <f t="shared" si="46"/>
        <v/>
      </c>
    </row>
    <row r="1003" spans="4:4" x14ac:dyDescent="0.3">
      <c r="D1003" t="str">
        <f t="shared" si="46"/>
        <v/>
      </c>
    </row>
    <row r="1004" spans="4:4" x14ac:dyDescent="0.3">
      <c r="D1004" t="str">
        <f t="shared" si="46"/>
        <v/>
      </c>
    </row>
    <row r="1005" spans="4:4" x14ac:dyDescent="0.3">
      <c r="D1005" t="str">
        <f t="shared" si="46"/>
        <v/>
      </c>
    </row>
    <row r="1006" spans="4:4" x14ac:dyDescent="0.3">
      <c r="D1006" t="str">
        <f t="shared" si="46"/>
        <v/>
      </c>
    </row>
    <row r="1007" spans="4:4" x14ac:dyDescent="0.3">
      <c r="D1007" t="str">
        <f t="shared" si="46"/>
        <v/>
      </c>
    </row>
    <row r="1008" spans="4:4" x14ac:dyDescent="0.3">
      <c r="D1008" t="str">
        <f t="shared" si="46"/>
        <v/>
      </c>
    </row>
    <row r="1009" spans="4:4" x14ac:dyDescent="0.3">
      <c r="D1009" t="str">
        <f t="shared" si="46"/>
        <v/>
      </c>
    </row>
    <row r="1010" spans="4:4" x14ac:dyDescent="0.3">
      <c r="D1010" t="str">
        <f t="shared" si="46"/>
        <v/>
      </c>
    </row>
    <row r="1011" spans="4:4" x14ac:dyDescent="0.3">
      <c r="D1011" t="str">
        <f t="shared" si="46"/>
        <v/>
      </c>
    </row>
    <row r="1012" spans="4:4" x14ac:dyDescent="0.3">
      <c r="D1012" t="str">
        <f t="shared" si="46"/>
        <v/>
      </c>
    </row>
    <row r="1013" spans="4:4" x14ac:dyDescent="0.3">
      <c r="D1013" t="str">
        <f t="shared" si="46"/>
        <v/>
      </c>
    </row>
    <row r="1014" spans="4:4" x14ac:dyDescent="0.3">
      <c r="D1014" t="str">
        <f t="shared" ref="D1014:D1077" si="47">IF(LEFT(A1014,2)="SP",MID(A1014,4,4),IF(LEFT(A1014,1)="X",MID(A1014,3,4),""))</f>
        <v/>
      </c>
    </row>
    <row r="1015" spans="4:4" x14ac:dyDescent="0.3">
      <c r="D1015" t="str">
        <f t="shared" si="47"/>
        <v/>
      </c>
    </row>
    <row r="1016" spans="4:4" x14ac:dyDescent="0.3">
      <c r="D1016" t="str">
        <f t="shared" si="47"/>
        <v/>
      </c>
    </row>
    <row r="1017" spans="4:4" x14ac:dyDescent="0.3">
      <c r="D1017" t="str">
        <f t="shared" si="47"/>
        <v/>
      </c>
    </row>
    <row r="1018" spans="4:4" x14ac:dyDescent="0.3">
      <c r="D1018" t="str">
        <f t="shared" si="47"/>
        <v/>
      </c>
    </row>
    <row r="1019" spans="4:4" x14ac:dyDescent="0.3">
      <c r="D1019" t="str">
        <f t="shared" si="47"/>
        <v/>
      </c>
    </row>
    <row r="1020" spans="4:4" x14ac:dyDescent="0.3">
      <c r="D1020" t="str">
        <f t="shared" si="47"/>
        <v/>
      </c>
    </row>
    <row r="1021" spans="4:4" x14ac:dyDescent="0.3">
      <c r="D1021" t="str">
        <f t="shared" si="47"/>
        <v/>
      </c>
    </row>
    <row r="1022" spans="4:4" x14ac:dyDescent="0.3">
      <c r="D1022" t="str">
        <f t="shared" si="47"/>
        <v/>
      </c>
    </row>
    <row r="1023" spans="4:4" x14ac:dyDescent="0.3">
      <c r="D1023" t="str">
        <f t="shared" si="47"/>
        <v/>
      </c>
    </row>
    <row r="1024" spans="4:4" x14ac:dyDescent="0.3">
      <c r="D1024" t="str">
        <f t="shared" si="47"/>
        <v/>
      </c>
    </row>
    <row r="1025" spans="4:4" x14ac:dyDescent="0.3">
      <c r="D1025" t="str">
        <f t="shared" si="47"/>
        <v/>
      </c>
    </row>
    <row r="1026" spans="4:4" x14ac:dyDescent="0.3">
      <c r="D1026" t="str">
        <f t="shared" si="47"/>
        <v/>
      </c>
    </row>
    <row r="1027" spans="4:4" x14ac:dyDescent="0.3">
      <c r="D1027" t="str">
        <f t="shared" si="47"/>
        <v/>
      </c>
    </row>
    <row r="1028" spans="4:4" x14ac:dyDescent="0.3">
      <c r="D1028" t="str">
        <f t="shared" si="47"/>
        <v/>
      </c>
    </row>
    <row r="1029" spans="4:4" x14ac:dyDescent="0.3">
      <c r="D1029" t="str">
        <f t="shared" si="47"/>
        <v/>
      </c>
    </row>
    <row r="1030" spans="4:4" x14ac:dyDescent="0.3">
      <c r="D1030" t="str">
        <f t="shared" si="47"/>
        <v/>
      </c>
    </row>
    <row r="1031" spans="4:4" x14ac:dyDescent="0.3">
      <c r="D1031" t="str">
        <f t="shared" si="47"/>
        <v/>
      </c>
    </row>
    <row r="1032" spans="4:4" x14ac:dyDescent="0.3">
      <c r="D1032" t="str">
        <f t="shared" si="47"/>
        <v/>
      </c>
    </row>
    <row r="1033" spans="4:4" x14ac:dyDescent="0.3">
      <c r="D1033" t="str">
        <f t="shared" si="47"/>
        <v/>
      </c>
    </row>
    <row r="1034" spans="4:4" x14ac:dyDescent="0.3">
      <c r="D1034" t="str">
        <f t="shared" si="47"/>
        <v/>
      </c>
    </row>
    <row r="1035" spans="4:4" x14ac:dyDescent="0.3">
      <c r="D1035" t="str">
        <f t="shared" si="47"/>
        <v/>
      </c>
    </row>
    <row r="1036" spans="4:4" x14ac:dyDescent="0.3">
      <c r="D1036" t="str">
        <f t="shared" si="47"/>
        <v/>
      </c>
    </row>
    <row r="1037" spans="4:4" x14ac:dyDescent="0.3">
      <c r="D1037" t="str">
        <f t="shared" si="47"/>
        <v/>
      </c>
    </row>
    <row r="1038" spans="4:4" x14ac:dyDescent="0.3">
      <c r="D1038" t="str">
        <f t="shared" si="47"/>
        <v/>
      </c>
    </row>
    <row r="1039" spans="4:4" x14ac:dyDescent="0.3">
      <c r="D1039" t="str">
        <f t="shared" si="47"/>
        <v/>
      </c>
    </row>
    <row r="1040" spans="4:4" x14ac:dyDescent="0.3">
      <c r="D1040" t="str">
        <f t="shared" si="47"/>
        <v/>
      </c>
    </row>
    <row r="1041" spans="4:4" x14ac:dyDescent="0.3">
      <c r="D1041" t="str">
        <f t="shared" si="47"/>
        <v/>
      </c>
    </row>
    <row r="1042" spans="4:4" x14ac:dyDescent="0.3">
      <c r="D1042" t="str">
        <f t="shared" si="47"/>
        <v/>
      </c>
    </row>
    <row r="1043" spans="4:4" x14ac:dyDescent="0.3">
      <c r="D1043" t="str">
        <f t="shared" si="47"/>
        <v/>
      </c>
    </row>
    <row r="1044" spans="4:4" x14ac:dyDescent="0.3">
      <c r="D1044" t="str">
        <f t="shared" si="47"/>
        <v/>
      </c>
    </row>
    <row r="1045" spans="4:4" x14ac:dyDescent="0.3">
      <c r="D1045" t="str">
        <f t="shared" si="47"/>
        <v/>
      </c>
    </row>
    <row r="1046" spans="4:4" x14ac:dyDescent="0.3">
      <c r="D1046" t="str">
        <f t="shared" si="47"/>
        <v/>
      </c>
    </row>
    <row r="1047" spans="4:4" x14ac:dyDescent="0.3">
      <c r="D1047" t="str">
        <f t="shared" si="47"/>
        <v/>
      </c>
    </row>
    <row r="1048" spans="4:4" x14ac:dyDescent="0.3">
      <c r="D1048" t="str">
        <f t="shared" si="47"/>
        <v/>
      </c>
    </row>
    <row r="1049" spans="4:4" x14ac:dyDescent="0.3">
      <c r="D1049" t="str">
        <f t="shared" si="47"/>
        <v/>
      </c>
    </row>
    <row r="1050" spans="4:4" x14ac:dyDescent="0.3">
      <c r="D1050" t="str">
        <f t="shared" si="47"/>
        <v/>
      </c>
    </row>
    <row r="1051" spans="4:4" x14ac:dyDescent="0.3">
      <c r="D1051" t="str">
        <f t="shared" si="47"/>
        <v/>
      </c>
    </row>
    <row r="1052" spans="4:4" x14ac:dyDescent="0.3">
      <c r="D1052" t="str">
        <f t="shared" si="47"/>
        <v/>
      </c>
    </row>
    <row r="1053" spans="4:4" x14ac:dyDescent="0.3">
      <c r="D1053" t="str">
        <f t="shared" si="47"/>
        <v/>
      </c>
    </row>
    <row r="1054" spans="4:4" x14ac:dyDescent="0.3">
      <c r="D1054" t="str">
        <f t="shared" si="47"/>
        <v/>
      </c>
    </row>
    <row r="1055" spans="4:4" x14ac:dyDescent="0.3">
      <c r="D1055" t="str">
        <f t="shared" si="47"/>
        <v/>
      </c>
    </row>
    <row r="1056" spans="4:4" x14ac:dyDescent="0.3">
      <c r="D1056" t="str">
        <f t="shared" si="47"/>
        <v/>
      </c>
    </row>
    <row r="1057" spans="4:4" x14ac:dyDescent="0.3">
      <c r="D1057" t="str">
        <f t="shared" si="47"/>
        <v/>
      </c>
    </row>
    <row r="1058" spans="4:4" x14ac:dyDescent="0.3">
      <c r="D1058" t="str">
        <f t="shared" si="47"/>
        <v/>
      </c>
    </row>
    <row r="1059" spans="4:4" x14ac:dyDescent="0.3">
      <c r="D1059" t="str">
        <f t="shared" si="47"/>
        <v/>
      </c>
    </row>
    <row r="1060" spans="4:4" x14ac:dyDescent="0.3">
      <c r="D1060" t="str">
        <f t="shared" si="47"/>
        <v/>
      </c>
    </row>
    <row r="1061" spans="4:4" x14ac:dyDescent="0.3">
      <c r="D1061" t="str">
        <f t="shared" si="47"/>
        <v/>
      </c>
    </row>
    <row r="1062" spans="4:4" x14ac:dyDescent="0.3">
      <c r="D1062" t="str">
        <f t="shared" si="47"/>
        <v/>
      </c>
    </row>
    <row r="1063" spans="4:4" x14ac:dyDescent="0.3">
      <c r="D1063" t="str">
        <f t="shared" si="47"/>
        <v/>
      </c>
    </row>
    <row r="1064" spans="4:4" x14ac:dyDescent="0.3">
      <c r="D1064" t="str">
        <f t="shared" si="47"/>
        <v/>
      </c>
    </row>
    <row r="1065" spans="4:4" x14ac:dyDescent="0.3">
      <c r="D1065" t="str">
        <f t="shared" si="47"/>
        <v/>
      </c>
    </row>
    <row r="1066" spans="4:4" x14ac:dyDescent="0.3">
      <c r="D1066" t="str">
        <f t="shared" si="47"/>
        <v/>
      </c>
    </row>
    <row r="1067" spans="4:4" x14ac:dyDescent="0.3">
      <c r="D1067" t="str">
        <f t="shared" si="47"/>
        <v/>
      </c>
    </row>
    <row r="1068" spans="4:4" x14ac:dyDescent="0.3">
      <c r="D1068" t="str">
        <f t="shared" si="47"/>
        <v/>
      </c>
    </row>
    <row r="1069" spans="4:4" x14ac:dyDescent="0.3">
      <c r="D1069" t="str">
        <f t="shared" si="47"/>
        <v/>
      </c>
    </row>
    <row r="1070" spans="4:4" x14ac:dyDescent="0.3">
      <c r="D1070" t="str">
        <f t="shared" si="47"/>
        <v/>
      </c>
    </row>
    <row r="1071" spans="4:4" x14ac:dyDescent="0.3">
      <c r="D1071" t="str">
        <f t="shared" si="47"/>
        <v/>
      </c>
    </row>
    <row r="1072" spans="4:4" x14ac:dyDescent="0.3">
      <c r="D1072" t="str">
        <f t="shared" si="47"/>
        <v/>
      </c>
    </row>
    <row r="1073" spans="4:4" x14ac:dyDescent="0.3">
      <c r="D1073" t="str">
        <f t="shared" si="47"/>
        <v/>
      </c>
    </row>
    <row r="1074" spans="4:4" x14ac:dyDescent="0.3">
      <c r="D1074" t="str">
        <f t="shared" si="47"/>
        <v/>
      </c>
    </row>
    <row r="1075" spans="4:4" x14ac:dyDescent="0.3">
      <c r="D1075" t="str">
        <f t="shared" si="47"/>
        <v/>
      </c>
    </row>
    <row r="1076" spans="4:4" x14ac:dyDescent="0.3">
      <c r="D1076" t="str">
        <f t="shared" si="47"/>
        <v/>
      </c>
    </row>
    <row r="1077" spans="4:4" x14ac:dyDescent="0.3">
      <c r="D1077" t="str">
        <f t="shared" si="47"/>
        <v/>
      </c>
    </row>
    <row r="1078" spans="4:4" x14ac:dyDescent="0.3">
      <c r="D1078" t="str">
        <f t="shared" ref="D1078:D1141" si="48">IF(LEFT(A1078,2)="SP",MID(A1078,4,4),IF(LEFT(A1078,1)="X",MID(A1078,3,4),""))</f>
        <v/>
      </c>
    </row>
    <row r="1079" spans="4:4" x14ac:dyDescent="0.3">
      <c r="D1079" t="str">
        <f t="shared" si="48"/>
        <v/>
      </c>
    </row>
    <row r="1080" spans="4:4" x14ac:dyDescent="0.3">
      <c r="D1080" t="str">
        <f t="shared" si="48"/>
        <v/>
      </c>
    </row>
    <row r="1081" spans="4:4" x14ac:dyDescent="0.3">
      <c r="D1081" t="str">
        <f t="shared" si="48"/>
        <v/>
      </c>
    </row>
    <row r="1082" spans="4:4" x14ac:dyDescent="0.3">
      <c r="D1082" t="str">
        <f t="shared" si="48"/>
        <v/>
      </c>
    </row>
    <row r="1083" spans="4:4" x14ac:dyDescent="0.3">
      <c r="D1083" t="str">
        <f t="shared" si="48"/>
        <v/>
      </c>
    </row>
    <row r="1084" spans="4:4" x14ac:dyDescent="0.3">
      <c r="D1084" t="str">
        <f t="shared" si="48"/>
        <v/>
      </c>
    </row>
    <row r="1085" spans="4:4" x14ac:dyDescent="0.3">
      <c r="D1085" t="str">
        <f t="shared" si="48"/>
        <v/>
      </c>
    </row>
    <row r="1086" spans="4:4" x14ac:dyDescent="0.3">
      <c r="D1086" t="str">
        <f t="shared" si="48"/>
        <v/>
      </c>
    </row>
    <row r="1087" spans="4:4" x14ac:dyDescent="0.3">
      <c r="D1087" t="str">
        <f t="shared" si="48"/>
        <v/>
      </c>
    </row>
    <row r="1088" spans="4:4" x14ac:dyDescent="0.3">
      <c r="D1088" t="str">
        <f t="shared" si="48"/>
        <v/>
      </c>
    </row>
    <row r="1089" spans="4:4" x14ac:dyDescent="0.3">
      <c r="D1089" t="str">
        <f t="shared" si="48"/>
        <v/>
      </c>
    </row>
    <row r="1090" spans="4:4" x14ac:dyDescent="0.3">
      <c r="D1090" t="str">
        <f t="shared" si="48"/>
        <v/>
      </c>
    </row>
    <row r="1091" spans="4:4" x14ac:dyDescent="0.3">
      <c r="D1091" t="str">
        <f t="shared" si="48"/>
        <v/>
      </c>
    </row>
    <row r="1092" spans="4:4" x14ac:dyDescent="0.3">
      <c r="D1092" t="str">
        <f t="shared" si="48"/>
        <v/>
      </c>
    </row>
    <row r="1093" spans="4:4" x14ac:dyDescent="0.3">
      <c r="D1093" t="str">
        <f t="shared" si="48"/>
        <v/>
      </c>
    </row>
    <row r="1094" spans="4:4" x14ac:dyDescent="0.3">
      <c r="D1094" t="str">
        <f t="shared" si="48"/>
        <v/>
      </c>
    </row>
    <row r="1095" spans="4:4" x14ac:dyDescent="0.3">
      <c r="D1095" t="str">
        <f t="shared" si="48"/>
        <v/>
      </c>
    </row>
    <row r="1096" spans="4:4" x14ac:dyDescent="0.3">
      <c r="D1096" t="str">
        <f t="shared" si="48"/>
        <v/>
      </c>
    </row>
    <row r="1097" spans="4:4" x14ac:dyDescent="0.3">
      <c r="D1097" t="str">
        <f t="shared" si="48"/>
        <v/>
      </c>
    </row>
    <row r="1098" spans="4:4" x14ac:dyDescent="0.3">
      <c r="D1098" t="str">
        <f t="shared" si="48"/>
        <v/>
      </c>
    </row>
    <row r="1099" spans="4:4" x14ac:dyDescent="0.3">
      <c r="D1099" t="str">
        <f t="shared" si="48"/>
        <v/>
      </c>
    </row>
    <row r="1100" spans="4:4" x14ac:dyDescent="0.3">
      <c r="D1100" t="str">
        <f t="shared" si="48"/>
        <v/>
      </c>
    </row>
    <row r="1101" spans="4:4" x14ac:dyDescent="0.3">
      <c r="D1101" t="str">
        <f t="shared" si="48"/>
        <v/>
      </c>
    </row>
    <row r="1102" spans="4:4" x14ac:dyDescent="0.3">
      <c r="D1102" t="str">
        <f t="shared" si="48"/>
        <v/>
      </c>
    </row>
    <row r="1103" spans="4:4" x14ac:dyDescent="0.3">
      <c r="D1103" t="str">
        <f t="shared" si="48"/>
        <v/>
      </c>
    </row>
    <row r="1104" spans="4:4" x14ac:dyDescent="0.3">
      <c r="D1104" t="str">
        <f t="shared" si="48"/>
        <v/>
      </c>
    </row>
    <row r="1105" spans="4:4" x14ac:dyDescent="0.3">
      <c r="D1105" t="str">
        <f t="shared" si="48"/>
        <v/>
      </c>
    </row>
    <row r="1106" spans="4:4" x14ac:dyDescent="0.3">
      <c r="D1106" t="str">
        <f t="shared" si="48"/>
        <v/>
      </c>
    </row>
    <row r="1107" spans="4:4" x14ac:dyDescent="0.3">
      <c r="D1107" t="str">
        <f t="shared" si="48"/>
        <v/>
      </c>
    </row>
    <row r="1108" spans="4:4" x14ac:dyDescent="0.3">
      <c r="D1108" t="str">
        <f t="shared" si="48"/>
        <v/>
      </c>
    </row>
    <row r="1109" spans="4:4" x14ac:dyDescent="0.3">
      <c r="D1109" t="str">
        <f t="shared" si="48"/>
        <v/>
      </c>
    </row>
    <row r="1110" spans="4:4" x14ac:dyDescent="0.3">
      <c r="D1110" t="str">
        <f t="shared" si="48"/>
        <v/>
      </c>
    </row>
    <row r="1111" spans="4:4" x14ac:dyDescent="0.3">
      <c r="D1111" t="str">
        <f t="shared" si="48"/>
        <v/>
      </c>
    </row>
    <row r="1112" spans="4:4" x14ac:dyDescent="0.3">
      <c r="D1112" t="str">
        <f t="shared" si="48"/>
        <v/>
      </c>
    </row>
    <row r="1113" spans="4:4" x14ac:dyDescent="0.3">
      <c r="D1113" t="str">
        <f t="shared" si="48"/>
        <v/>
      </c>
    </row>
    <row r="1114" spans="4:4" x14ac:dyDescent="0.3">
      <c r="D1114" t="str">
        <f t="shared" si="48"/>
        <v/>
      </c>
    </row>
    <row r="1115" spans="4:4" x14ac:dyDescent="0.3">
      <c r="D1115" t="str">
        <f t="shared" si="48"/>
        <v/>
      </c>
    </row>
    <row r="1116" spans="4:4" x14ac:dyDescent="0.3">
      <c r="D1116" t="str">
        <f t="shared" si="48"/>
        <v/>
      </c>
    </row>
    <row r="1117" spans="4:4" x14ac:dyDescent="0.3">
      <c r="D1117" t="str">
        <f t="shared" si="48"/>
        <v/>
      </c>
    </row>
    <row r="1118" spans="4:4" x14ac:dyDescent="0.3">
      <c r="D1118" t="str">
        <f t="shared" si="48"/>
        <v/>
      </c>
    </row>
    <row r="1119" spans="4:4" x14ac:dyDescent="0.3">
      <c r="D1119" t="str">
        <f t="shared" si="48"/>
        <v/>
      </c>
    </row>
    <row r="1120" spans="4:4" x14ac:dyDescent="0.3">
      <c r="D1120" t="str">
        <f t="shared" si="48"/>
        <v/>
      </c>
    </row>
    <row r="1121" spans="4:4" x14ac:dyDescent="0.3">
      <c r="D1121" t="str">
        <f t="shared" si="48"/>
        <v/>
      </c>
    </row>
    <row r="1122" spans="4:4" x14ac:dyDescent="0.3">
      <c r="D1122" t="str">
        <f t="shared" si="48"/>
        <v/>
      </c>
    </row>
    <row r="1123" spans="4:4" x14ac:dyDescent="0.3">
      <c r="D1123" t="str">
        <f t="shared" si="48"/>
        <v/>
      </c>
    </row>
    <row r="1124" spans="4:4" x14ac:dyDescent="0.3">
      <c r="D1124" t="str">
        <f t="shared" si="48"/>
        <v/>
      </c>
    </row>
    <row r="1125" spans="4:4" x14ac:dyDescent="0.3">
      <c r="D1125" t="str">
        <f t="shared" si="48"/>
        <v/>
      </c>
    </row>
    <row r="1126" spans="4:4" x14ac:dyDescent="0.3">
      <c r="D1126" t="str">
        <f t="shared" si="48"/>
        <v/>
      </c>
    </row>
    <row r="1127" spans="4:4" x14ac:dyDescent="0.3">
      <c r="D1127" t="str">
        <f t="shared" si="48"/>
        <v/>
      </c>
    </row>
    <row r="1128" spans="4:4" x14ac:dyDescent="0.3">
      <c r="D1128" t="str">
        <f t="shared" si="48"/>
        <v/>
      </c>
    </row>
    <row r="1129" spans="4:4" x14ac:dyDescent="0.3">
      <c r="D1129" t="str">
        <f t="shared" si="48"/>
        <v/>
      </c>
    </row>
    <row r="1130" spans="4:4" x14ac:dyDescent="0.3">
      <c r="D1130" t="str">
        <f t="shared" si="48"/>
        <v/>
      </c>
    </row>
    <row r="1131" spans="4:4" x14ac:dyDescent="0.3">
      <c r="D1131" t="str">
        <f t="shared" si="48"/>
        <v/>
      </c>
    </row>
    <row r="1132" spans="4:4" x14ac:dyDescent="0.3">
      <c r="D1132" t="str">
        <f t="shared" si="48"/>
        <v/>
      </c>
    </row>
    <row r="1133" spans="4:4" x14ac:dyDescent="0.3">
      <c r="D1133" t="str">
        <f t="shared" si="48"/>
        <v/>
      </c>
    </row>
    <row r="1134" spans="4:4" x14ac:dyDescent="0.3">
      <c r="D1134" t="str">
        <f t="shared" si="48"/>
        <v/>
      </c>
    </row>
    <row r="1135" spans="4:4" x14ac:dyDescent="0.3">
      <c r="D1135" t="str">
        <f t="shared" si="48"/>
        <v/>
      </c>
    </row>
    <row r="1136" spans="4:4" x14ac:dyDescent="0.3">
      <c r="D1136" t="str">
        <f t="shared" si="48"/>
        <v/>
      </c>
    </row>
    <row r="1137" spans="4:4" x14ac:dyDescent="0.3">
      <c r="D1137" t="str">
        <f t="shared" si="48"/>
        <v/>
      </c>
    </row>
    <row r="1138" spans="4:4" x14ac:dyDescent="0.3">
      <c r="D1138" t="str">
        <f t="shared" si="48"/>
        <v/>
      </c>
    </row>
    <row r="1139" spans="4:4" x14ac:dyDescent="0.3">
      <c r="D1139" t="str">
        <f t="shared" si="48"/>
        <v/>
      </c>
    </row>
    <row r="1140" spans="4:4" x14ac:dyDescent="0.3">
      <c r="D1140" t="str">
        <f t="shared" si="48"/>
        <v/>
      </c>
    </row>
    <row r="1141" spans="4:4" x14ac:dyDescent="0.3">
      <c r="D1141" t="str">
        <f t="shared" si="48"/>
        <v/>
      </c>
    </row>
    <row r="1142" spans="4:4" x14ac:dyDescent="0.3">
      <c r="D1142" t="str">
        <f t="shared" ref="D1142:D1205" si="49">IF(LEFT(A1142,2)="SP",MID(A1142,4,4),IF(LEFT(A1142,1)="X",MID(A1142,3,4),""))</f>
        <v/>
      </c>
    </row>
    <row r="1143" spans="4:4" x14ac:dyDescent="0.3">
      <c r="D1143" t="str">
        <f t="shared" si="49"/>
        <v/>
      </c>
    </row>
    <row r="1144" spans="4:4" x14ac:dyDescent="0.3">
      <c r="D1144" t="str">
        <f t="shared" si="49"/>
        <v/>
      </c>
    </row>
    <row r="1145" spans="4:4" x14ac:dyDescent="0.3">
      <c r="D1145" t="str">
        <f t="shared" si="49"/>
        <v/>
      </c>
    </row>
    <row r="1146" spans="4:4" x14ac:dyDescent="0.3">
      <c r="D1146" t="str">
        <f t="shared" si="49"/>
        <v/>
      </c>
    </row>
    <row r="1147" spans="4:4" x14ac:dyDescent="0.3">
      <c r="D1147" t="str">
        <f t="shared" si="49"/>
        <v/>
      </c>
    </row>
    <row r="1148" spans="4:4" x14ac:dyDescent="0.3">
      <c r="D1148" t="str">
        <f t="shared" si="49"/>
        <v/>
      </c>
    </row>
    <row r="1149" spans="4:4" x14ac:dyDescent="0.3">
      <c r="D1149" t="str">
        <f t="shared" si="49"/>
        <v/>
      </c>
    </row>
    <row r="1150" spans="4:4" x14ac:dyDescent="0.3">
      <c r="D1150" t="str">
        <f t="shared" si="49"/>
        <v/>
      </c>
    </row>
    <row r="1151" spans="4:4" x14ac:dyDescent="0.3">
      <c r="D1151" t="str">
        <f t="shared" si="49"/>
        <v/>
      </c>
    </row>
    <row r="1152" spans="4:4" x14ac:dyDescent="0.3">
      <c r="D1152" t="str">
        <f t="shared" si="49"/>
        <v/>
      </c>
    </row>
    <row r="1153" spans="4:4" x14ac:dyDescent="0.3">
      <c r="D1153" t="str">
        <f t="shared" si="49"/>
        <v/>
      </c>
    </row>
    <row r="1154" spans="4:4" x14ac:dyDescent="0.3">
      <c r="D1154" t="str">
        <f t="shared" si="49"/>
        <v/>
      </c>
    </row>
    <row r="1155" spans="4:4" x14ac:dyDescent="0.3">
      <c r="D1155" t="str">
        <f t="shared" si="49"/>
        <v/>
      </c>
    </row>
    <row r="1156" spans="4:4" x14ac:dyDescent="0.3">
      <c r="D1156" t="str">
        <f t="shared" si="49"/>
        <v/>
      </c>
    </row>
    <row r="1157" spans="4:4" x14ac:dyDescent="0.3">
      <c r="D1157" t="str">
        <f t="shared" si="49"/>
        <v/>
      </c>
    </row>
    <row r="1158" spans="4:4" x14ac:dyDescent="0.3">
      <c r="D1158" t="str">
        <f t="shared" si="49"/>
        <v/>
      </c>
    </row>
    <row r="1159" spans="4:4" x14ac:dyDescent="0.3">
      <c r="D1159" t="str">
        <f t="shared" si="49"/>
        <v/>
      </c>
    </row>
    <row r="1160" spans="4:4" x14ac:dyDescent="0.3">
      <c r="D1160" t="str">
        <f t="shared" si="49"/>
        <v/>
      </c>
    </row>
    <row r="1161" spans="4:4" x14ac:dyDescent="0.3">
      <c r="D1161" t="str">
        <f t="shared" si="49"/>
        <v/>
      </c>
    </row>
    <row r="1162" spans="4:4" x14ac:dyDescent="0.3">
      <c r="D1162" t="str">
        <f t="shared" si="49"/>
        <v/>
      </c>
    </row>
    <row r="1163" spans="4:4" x14ac:dyDescent="0.3">
      <c r="D1163" t="str">
        <f t="shared" si="49"/>
        <v/>
      </c>
    </row>
    <row r="1164" spans="4:4" x14ac:dyDescent="0.3">
      <c r="D1164" t="str">
        <f t="shared" si="49"/>
        <v/>
      </c>
    </row>
    <row r="1165" spans="4:4" x14ac:dyDescent="0.3">
      <c r="D1165" t="str">
        <f t="shared" si="49"/>
        <v/>
      </c>
    </row>
    <row r="1166" spans="4:4" x14ac:dyDescent="0.3">
      <c r="D1166" t="str">
        <f t="shared" si="49"/>
        <v/>
      </c>
    </row>
    <row r="1167" spans="4:4" x14ac:dyDescent="0.3">
      <c r="D1167" t="str">
        <f t="shared" si="49"/>
        <v/>
      </c>
    </row>
    <row r="1168" spans="4:4" x14ac:dyDescent="0.3">
      <c r="D1168" t="str">
        <f t="shared" si="49"/>
        <v/>
      </c>
    </row>
    <row r="1169" spans="4:4" x14ac:dyDescent="0.3">
      <c r="D1169" t="str">
        <f t="shared" si="49"/>
        <v/>
      </c>
    </row>
    <row r="1170" spans="4:4" x14ac:dyDescent="0.3">
      <c r="D1170" t="str">
        <f t="shared" si="49"/>
        <v/>
      </c>
    </row>
    <row r="1171" spans="4:4" x14ac:dyDescent="0.3">
      <c r="D1171" t="str">
        <f t="shared" si="49"/>
        <v/>
      </c>
    </row>
    <row r="1172" spans="4:4" x14ac:dyDescent="0.3">
      <c r="D1172" t="str">
        <f t="shared" si="49"/>
        <v/>
      </c>
    </row>
    <row r="1173" spans="4:4" x14ac:dyDescent="0.3">
      <c r="D1173" t="str">
        <f t="shared" si="49"/>
        <v/>
      </c>
    </row>
    <row r="1174" spans="4:4" x14ac:dyDescent="0.3">
      <c r="D1174" t="str">
        <f t="shared" si="49"/>
        <v/>
      </c>
    </row>
    <row r="1175" spans="4:4" x14ac:dyDescent="0.3">
      <c r="D1175" t="str">
        <f t="shared" si="49"/>
        <v/>
      </c>
    </row>
    <row r="1176" spans="4:4" x14ac:dyDescent="0.3">
      <c r="D1176" t="str">
        <f t="shared" si="49"/>
        <v/>
      </c>
    </row>
    <row r="1177" spans="4:4" x14ac:dyDescent="0.3">
      <c r="D1177" t="str">
        <f t="shared" si="49"/>
        <v/>
      </c>
    </row>
    <row r="1178" spans="4:4" x14ac:dyDescent="0.3">
      <c r="D1178" t="str">
        <f t="shared" si="49"/>
        <v/>
      </c>
    </row>
    <row r="1179" spans="4:4" x14ac:dyDescent="0.3">
      <c r="D1179" t="str">
        <f t="shared" si="49"/>
        <v/>
      </c>
    </row>
    <row r="1180" spans="4:4" x14ac:dyDescent="0.3">
      <c r="D1180" t="str">
        <f t="shared" si="49"/>
        <v/>
      </c>
    </row>
    <row r="1181" spans="4:4" x14ac:dyDescent="0.3">
      <c r="D1181" t="str">
        <f t="shared" si="49"/>
        <v/>
      </c>
    </row>
    <row r="1182" spans="4:4" x14ac:dyDescent="0.3">
      <c r="D1182" t="str">
        <f t="shared" si="49"/>
        <v/>
      </c>
    </row>
    <row r="1183" spans="4:4" x14ac:dyDescent="0.3">
      <c r="D1183" t="str">
        <f t="shared" si="49"/>
        <v/>
      </c>
    </row>
    <row r="1184" spans="4:4" x14ac:dyDescent="0.3">
      <c r="D1184" t="str">
        <f t="shared" si="49"/>
        <v/>
      </c>
    </row>
    <row r="1185" spans="4:4" x14ac:dyDescent="0.3">
      <c r="D1185" t="str">
        <f t="shared" si="49"/>
        <v/>
      </c>
    </row>
    <row r="1186" spans="4:4" x14ac:dyDescent="0.3">
      <c r="D1186" t="str">
        <f t="shared" si="49"/>
        <v/>
      </c>
    </row>
    <row r="1187" spans="4:4" x14ac:dyDescent="0.3">
      <c r="D1187" t="str">
        <f t="shared" si="49"/>
        <v/>
      </c>
    </row>
    <row r="1188" spans="4:4" x14ac:dyDescent="0.3">
      <c r="D1188" t="str">
        <f t="shared" si="49"/>
        <v/>
      </c>
    </row>
    <row r="1189" spans="4:4" x14ac:dyDescent="0.3">
      <c r="D1189" t="str">
        <f t="shared" si="49"/>
        <v/>
      </c>
    </row>
    <row r="1190" spans="4:4" x14ac:dyDescent="0.3">
      <c r="D1190" t="str">
        <f t="shared" si="49"/>
        <v/>
      </c>
    </row>
    <row r="1191" spans="4:4" x14ac:dyDescent="0.3">
      <c r="D1191" t="str">
        <f t="shared" si="49"/>
        <v/>
      </c>
    </row>
    <row r="1192" spans="4:4" x14ac:dyDescent="0.3">
      <c r="D1192" t="str">
        <f t="shared" si="49"/>
        <v/>
      </c>
    </row>
    <row r="1193" spans="4:4" x14ac:dyDescent="0.3">
      <c r="D1193" t="str">
        <f t="shared" si="49"/>
        <v/>
      </c>
    </row>
    <row r="1194" spans="4:4" x14ac:dyDescent="0.3">
      <c r="D1194" t="str">
        <f t="shared" si="49"/>
        <v/>
      </c>
    </row>
    <row r="1195" spans="4:4" x14ac:dyDescent="0.3">
      <c r="D1195" t="str">
        <f t="shared" si="49"/>
        <v/>
      </c>
    </row>
    <row r="1196" spans="4:4" x14ac:dyDescent="0.3">
      <c r="D1196" t="str">
        <f t="shared" si="49"/>
        <v/>
      </c>
    </row>
    <row r="1197" spans="4:4" x14ac:dyDescent="0.3">
      <c r="D1197" t="str">
        <f t="shared" si="49"/>
        <v/>
      </c>
    </row>
    <row r="1198" spans="4:4" x14ac:dyDescent="0.3">
      <c r="D1198" t="str">
        <f t="shared" si="49"/>
        <v/>
      </c>
    </row>
    <row r="1199" spans="4:4" x14ac:dyDescent="0.3">
      <c r="D1199" t="str">
        <f t="shared" si="49"/>
        <v/>
      </c>
    </row>
    <row r="1200" spans="4:4" x14ac:dyDescent="0.3">
      <c r="D1200" t="str">
        <f t="shared" si="49"/>
        <v/>
      </c>
    </row>
    <row r="1201" spans="4:4" x14ac:dyDescent="0.3">
      <c r="D1201" t="str">
        <f t="shared" si="49"/>
        <v/>
      </c>
    </row>
    <row r="1202" spans="4:4" x14ac:dyDescent="0.3">
      <c r="D1202" t="str">
        <f t="shared" si="49"/>
        <v/>
      </c>
    </row>
    <row r="1203" spans="4:4" x14ac:dyDescent="0.3">
      <c r="D1203" t="str">
        <f t="shared" si="49"/>
        <v/>
      </c>
    </row>
    <row r="1204" spans="4:4" x14ac:dyDescent="0.3">
      <c r="D1204" t="str">
        <f t="shared" si="49"/>
        <v/>
      </c>
    </row>
    <row r="1205" spans="4:4" x14ac:dyDescent="0.3">
      <c r="D1205" t="str">
        <f t="shared" si="49"/>
        <v/>
      </c>
    </row>
    <row r="1206" spans="4:4" x14ac:dyDescent="0.3">
      <c r="D1206" t="str">
        <f t="shared" ref="D1206:D1269" si="50">IF(LEFT(A1206,2)="SP",MID(A1206,4,4),IF(LEFT(A1206,1)="X",MID(A1206,3,4),""))</f>
        <v/>
      </c>
    </row>
    <row r="1207" spans="4:4" x14ac:dyDescent="0.3">
      <c r="D1207" t="str">
        <f t="shared" si="50"/>
        <v/>
      </c>
    </row>
    <row r="1208" spans="4:4" x14ac:dyDescent="0.3">
      <c r="D1208" t="str">
        <f t="shared" si="50"/>
        <v/>
      </c>
    </row>
    <row r="1209" spans="4:4" x14ac:dyDescent="0.3">
      <c r="D1209" t="str">
        <f t="shared" si="50"/>
        <v/>
      </c>
    </row>
    <row r="1210" spans="4:4" x14ac:dyDescent="0.3">
      <c r="D1210" t="str">
        <f t="shared" si="50"/>
        <v/>
      </c>
    </row>
    <row r="1211" spans="4:4" x14ac:dyDescent="0.3">
      <c r="D1211" t="str">
        <f t="shared" si="50"/>
        <v/>
      </c>
    </row>
    <row r="1212" spans="4:4" x14ac:dyDescent="0.3">
      <c r="D1212" t="str">
        <f t="shared" si="50"/>
        <v/>
      </c>
    </row>
    <row r="1213" spans="4:4" x14ac:dyDescent="0.3">
      <c r="D1213" t="str">
        <f t="shared" si="50"/>
        <v/>
      </c>
    </row>
    <row r="1214" spans="4:4" x14ac:dyDescent="0.3">
      <c r="D1214" t="str">
        <f t="shared" si="50"/>
        <v/>
      </c>
    </row>
    <row r="1215" spans="4:4" x14ac:dyDescent="0.3">
      <c r="D1215" t="str">
        <f t="shared" si="50"/>
        <v/>
      </c>
    </row>
    <row r="1216" spans="4:4" x14ac:dyDescent="0.3">
      <c r="D1216" t="str">
        <f t="shared" si="50"/>
        <v/>
      </c>
    </row>
    <row r="1217" spans="4:4" x14ac:dyDescent="0.3">
      <c r="D1217" t="str">
        <f t="shared" si="50"/>
        <v/>
      </c>
    </row>
    <row r="1218" spans="4:4" x14ac:dyDescent="0.3">
      <c r="D1218" t="str">
        <f t="shared" si="50"/>
        <v/>
      </c>
    </row>
    <row r="1219" spans="4:4" x14ac:dyDescent="0.3">
      <c r="D1219" t="str">
        <f t="shared" si="50"/>
        <v/>
      </c>
    </row>
    <row r="1220" spans="4:4" x14ac:dyDescent="0.3">
      <c r="D1220" t="str">
        <f t="shared" si="50"/>
        <v/>
      </c>
    </row>
    <row r="1221" spans="4:4" x14ac:dyDescent="0.3">
      <c r="D1221" t="str">
        <f t="shared" si="50"/>
        <v/>
      </c>
    </row>
    <row r="1222" spans="4:4" x14ac:dyDescent="0.3">
      <c r="D1222" t="str">
        <f t="shared" si="50"/>
        <v/>
      </c>
    </row>
    <row r="1223" spans="4:4" x14ac:dyDescent="0.3">
      <c r="D1223" t="str">
        <f t="shared" si="50"/>
        <v/>
      </c>
    </row>
    <row r="1224" spans="4:4" x14ac:dyDescent="0.3">
      <c r="D1224" t="str">
        <f t="shared" si="50"/>
        <v/>
      </c>
    </row>
    <row r="1225" spans="4:4" x14ac:dyDescent="0.3">
      <c r="D1225" t="str">
        <f t="shared" si="50"/>
        <v/>
      </c>
    </row>
    <row r="1226" spans="4:4" x14ac:dyDescent="0.3">
      <c r="D1226" t="str">
        <f t="shared" si="50"/>
        <v/>
      </c>
    </row>
    <row r="1227" spans="4:4" x14ac:dyDescent="0.3">
      <c r="D1227" t="str">
        <f t="shared" si="50"/>
        <v/>
      </c>
    </row>
    <row r="1228" spans="4:4" x14ac:dyDescent="0.3">
      <c r="D1228" t="str">
        <f t="shared" si="50"/>
        <v/>
      </c>
    </row>
    <row r="1229" spans="4:4" x14ac:dyDescent="0.3">
      <c r="D1229" t="str">
        <f t="shared" si="50"/>
        <v/>
      </c>
    </row>
    <row r="1230" spans="4:4" x14ac:dyDescent="0.3">
      <c r="D1230" t="str">
        <f t="shared" si="50"/>
        <v/>
      </c>
    </row>
    <row r="1231" spans="4:4" x14ac:dyDescent="0.3">
      <c r="D1231" t="str">
        <f t="shared" si="50"/>
        <v/>
      </c>
    </row>
    <row r="1232" spans="4:4" x14ac:dyDescent="0.3">
      <c r="D1232" t="str">
        <f t="shared" si="50"/>
        <v/>
      </c>
    </row>
    <row r="1233" spans="4:4" x14ac:dyDescent="0.3">
      <c r="D1233" t="str">
        <f t="shared" si="50"/>
        <v/>
      </c>
    </row>
    <row r="1234" spans="4:4" x14ac:dyDescent="0.3">
      <c r="D1234" t="str">
        <f t="shared" si="50"/>
        <v/>
      </c>
    </row>
    <row r="1235" spans="4:4" x14ac:dyDescent="0.3">
      <c r="D1235" t="str">
        <f t="shared" si="50"/>
        <v/>
      </c>
    </row>
    <row r="1236" spans="4:4" x14ac:dyDescent="0.3">
      <c r="D1236" t="str">
        <f t="shared" si="50"/>
        <v/>
      </c>
    </row>
    <row r="1237" spans="4:4" x14ac:dyDescent="0.3">
      <c r="D1237" t="str">
        <f t="shared" si="50"/>
        <v/>
      </c>
    </row>
    <row r="1238" spans="4:4" x14ac:dyDescent="0.3">
      <c r="D1238" t="str">
        <f t="shared" si="50"/>
        <v/>
      </c>
    </row>
    <row r="1239" spans="4:4" x14ac:dyDescent="0.3">
      <c r="D1239" t="str">
        <f t="shared" si="50"/>
        <v/>
      </c>
    </row>
    <row r="1240" spans="4:4" x14ac:dyDescent="0.3">
      <c r="D1240" t="str">
        <f t="shared" si="50"/>
        <v/>
      </c>
    </row>
    <row r="1241" spans="4:4" x14ac:dyDescent="0.3">
      <c r="D1241" t="str">
        <f t="shared" si="50"/>
        <v/>
      </c>
    </row>
    <row r="1242" spans="4:4" x14ac:dyDescent="0.3">
      <c r="D1242" t="str">
        <f t="shared" si="50"/>
        <v/>
      </c>
    </row>
    <row r="1243" spans="4:4" x14ac:dyDescent="0.3">
      <c r="D1243" t="str">
        <f t="shared" si="50"/>
        <v/>
      </c>
    </row>
    <row r="1244" spans="4:4" x14ac:dyDescent="0.3">
      <c r="D1244" t="str">
        <f t="shared" si="50"/>
        <v/>
      </c>
    </row>
    <row r="1245" spans="4:4" x14ac:dyDescent="0.3">
      <c r="D1245" t="str">
        <f t="shared" si="50"/>
        <v/>
      </c>
    </row>
    <row r="1246" spans="4:4" x14ac:dyDescent="0.3">
      <c r="D1246" t="str">
        <f t="shared" si="50"/>
        <v/>
      </c>
    </row>
    <row r="1247" spans="4:4" x14ac:dyDescent="0.3">
      <c r="D1247" t="str">
        <f t="shared" si="50"/>
        <v/>
      </c>
    </row>
    <row r="1248" spans="4:4" x14ac:dyDescent="0.3">
      <c r="D1248" t="str">
        <f t="shared" si="50"/>
        <v/>
      </c>
    </row>
    <row r="1249" spans="4:4" x14ac:dyDescent="0.3">
      <c r="D1249" t="str">
        <f t="shared" si="50"/>
        <v/>
      </c>
    </row>
    <row r="1250" spans="4:4" x14ac:dyDescent="0.3">
      <c r="D1250" t="str">
        <f t="shared" si="50"/>
        <v/>
      </c>
    </row>
    <row r="1251" spans="4:4" x14ac:dyDescent="0.3">
      <c r="D1251" t="str">
        <f t="shared" si="50"/>
        <v/>
      </c>
    </row>
    <row r="1252" spans="4:4" x14ac:dyDescent="0.3">
      <c r="D1252" t="str">
        <f t="shared" si="50"/>
        <v/>
      </c>
    </row>
    <row r="1253" spans="4:4" x14ac:dyDescent="0.3">
      <c r="D1253" t="str">
        <f t="shared" si="50"/>
        <v/>
      </c>
    </row>
    <row r="1254" spans="4:4" x14ac:dyDescent="0.3">
      <c r="D1254" t="str">
        <f t="shared" si="50"/>
        <v/>
      </c>
    </row>
    <row r="1255" spans="4:4" x14ac:dyDescent="0.3">
      <c r="D1255" t="str">
        <f t="shared" si="50"/>
        <v/>
      </c>
    </row>
    <row r="1256" spans="4:4" x14ac:dyDescent="0.3">
      <c r="D1256" t="str">
        <f t="shared" si="50"/>
        <v/>
      </c>
    </row>
    <row r="1257" spans="4:4" x14ac:dyDescent="0.3">
      <c r="D1257" t="str">
        <f t="shared" si="50"/>
        <v/>
      </c>
    </row>
    <row r="1258" spans="4:4" x14ac:dyDescent="0.3">
      <c r="D1258" t="str">
        <f t="shared" si="50"/>
        <v/>
      </c>
    </row>
    <row r="1259" spans="4:4" x14ac:dyDescent="0.3">
      <c r="D1259" t="str">
        <f t="shared" si="50"/>
        <v/>
      </c>
    </row>
    <row r="1260" spans="4:4" x14ac:dyDescent="0.3">
      <c r="D1260" t="str">
        <f t="shared" si="50"/>
        <v/>
      </c>
    </row>
    <row r="1261" spans="4:4" x14ac:dyDescent="0.3">
      <c r="D1261" t="str">
        <f t="shared" si="50"/>
        <v/>
      </c>
    </row>
    <row r="1262" spans="4:4" x14ac:dyDescent="0.3">
      <c r="D1262" t="str">
        <f t="shared" si="50"/>
        <v/>
      </c>
    </row>
    <row r="1263" spans="4:4" x14ac:dyDescent="0.3">
      <c r="D1263" t="str">
        <f t="shared" si="50"/>
        <v/>
      </c>
    </row>
    <row r="1264" spans="4:4" x14ac:dyDescent="0.3">
      <c r="D1264" t="str">
        <f t="shared" si="50"/>
        <v/>
      </c>
    </row>
    <row r="1265" spans="4:4" x14ac:dyDescent="0.3">
      <c r="D1265" t="str">
        <f t="shared" si="50"/>
        <v/>
      </c>
    </row>
    <row r="1266" spans="4:4" x14ac:dyDescent="0.3">
      <c r="D1266" t="str">
        <f t="shared" si="50"/>
        <v/>
      </c>
    </row>
    <row r="1267" spans="4:4" x14ac:dyDescent="0.3">
      <c r="D1267" t="str">
        <f t="shared" si="50"/>
        <v/>
      </c>
    </row>
    <row r="1268" spans="4:4" x14ac:dyDescent="0.3">
      <c r="D1268" t="str">
        <f t="shared" si="50"/>
        <v/>
      </c>
    </row>
    <row r="1269" spans="4:4" x14ac:dyDescent="0.3">
      <c r="D1269" t="str">
        <f t="shared" si="50"/>
        <v/>
      </c>
    </row>
    <row r="1270" spans="4:4" x14ac:dyDescent="0.3">
      <c r="D1270" t="str">
        <f t="shared" ref="D1270:D1333" si="51">IF(LEFT(A1270,2)="SP",MID(A1270,4,4),IF(LEFT(A1270,1)="X",MID(A1270,3,4),""))</f>
        <v/>
      </c>
    </row>
    <row r="1271" spans="4:4" x14ac:dyDescent="0.3">
      <c r="D1271" t="str">
        <f t="shared" si="51"/>
        <v/>
      </c>
    </row>
    <row r="1272" spans="4:4" x14ac:dyDescent="0.3">
      <c r="D1272" t="str">
        <f t="shared" si="51"/>
        <v/>
      </c>
    </row>
    <row r="1273" spans="4:4" x14ac:dyDescent="0.3">
      <c r="D1273" t="str">
        <f t="shared" si="51"/>
        <v/>
      </c>
    </row>
    <row r="1274" spans="4:4" x14ac:dyDescent="0.3">
      <c r="D1274" t="str">
        <f t="shared" si="51"/>
        <v/>
      </c>
    </row>
    <row r="1275" spans="4:4" x14ac:dyDescent="0.3">
      <c r="D1275" t="str">
        <f t="shared" si="51"/>
        <v/>
      </c>
    </row>
    <row r="1276" spans="4:4" x14ac:dyDescent="0.3">
      <c r="D1276" t="str">
        <f t="shared" si="51"/>
        <v/>
      </c>
    </row>
    <row r="1277" spans="4:4" x14ac:dyDescent="0.3">
      <c r="D1277" t="str">
        <f t="shared" si="51"/>
        <v/>
      </c>
    </row>
    <row r="1278" spans="4:4" x14ac:dyDescent="0.3">
      <c r="D1278" t="str">
        <f t="shared" si="51"/>
        <v/>
      </c>
    </row>
    <row r="1279" spans="4:4" x14ac:dyDescent="0.3">
      <c r="D1279" t="str">
        <f t="shared" si="51"/>
        <v/>
      </c>
    </row>
    <row r="1280" spans="4:4" x14ac:dyDescent="0.3">
      <c r="D1280" t="str">
        <f t="shared" si="51"/>
        <v/>
      </c>
    </row>
    <row r="1281" spans="4:4" x14ac:dyDescent="0.3">
      <c r="D1281" t="str">
        <f t="shared" si="51"/>
        <v/>
      </c>
    </row>
    <row r="1282" spans="4:4" x14ac:dyDescent="0.3">
      <c r="D1282" t="str">
        <f t="shared" si="51"/>
        <v/>
      </c>
    </row>
    <row r="1283" spans="4:4" x14ac:dyDescent="0.3">
      <c r="D1283" t="str">
        <f t="shared" si="51"/>
        <v/>
      </c>
    </row>
    <row r="1284" spans="4:4" x14ac:dyDescent="0.3">
      <c r="D1284" t="str">
        <f t="shared" si="51"/>
        <v/>
      </c>
    </row>
    <row r="1285" spans="4:4" x14ac:dyDescent="0.3">
      <c r="D1285" t="str">
        <f t="shared" si="51"/>
        <v/>
      </c>
    </row>
    <row r="1286" spans="4:4" x14ac:dyDescent="0.3">
      <c r="D1286" t="str">
        <f t="shared" si="51"/>
        <v/>
      </c>
    </row>
    <row r="1287" spans="4:4" x14ac:dyDescent="0.3">
      <c r="D1287" t="str">
        <f t="shared" si="51"/>
        <v/>
      </c>
    </row>
    <row r="1288" spans="4:4" x14ac:dyDescent="0.3">
      <c r="D1288" t="str">
        <f t="shared" si="51"/>
        <v/>
      </c>
    </row>
    <row r="1289" spans="4:4" x14ac:dyDescent="0.3">
      <c r="D1289" t="str">
        <f t="shared" si="51"/>
        <v/>
      </c>
    </row>
    <row r="1290" spans="4:4" x14ac:dyDescent="0.3">
      <c r="D1290" t="str">
        <f t="shared" si="51"/>
        <v/>
      </c>
    </row>
    <row r="1291" spans="4:4" x14ac:dyDescent="0.3">
      <c r="D1291" t="str">
        <f t="shared" si="51"/>
        <v/>
      </c>
    </row>
    <row r="1292" spans="4:4" x14ac:dyDescent="0.3">
      <c r="D1292" t="str">
        <f t="shared" si="51"/>
        <v/>
      </c>
    </row>
    <row r="1293" spans="4:4" x14ac:dyDescent="0.3">
      <c r="D1293" t="str">
        <f t="shared" si="51"/>
        <v/>
      </c>
    </row>
    <row r="1294" spans="4:4" x14ac:dyDescent="0.3">
      <c r="D1294" t="str">
        <f t="shared" si="51"/>
        <v/>
      </c>
    </row>
    <row r="1295" spans="4:4" x14ac:dyDescent="0.3">
      <c r="D1295" t="str">
        <f t="shared" si="51"/>
        <v/>
      </c>
    </row>
    <row r="1296" spans="4:4" x14ac:dyDescent="0.3">
      <c r="D1296" t="str">
        <f t="shared" si="51"/>
        <v/>
      </c>
    </row>
    <row r="1297" spans="4:4" x14ac:dyDescent="0.3">
      <c r="D1297" t="str">
        <f t="shared" si="51"/>
        <v/>
      </c>
    </row>
    <row r="1298" spans="4:4" x14ac:dyDescent="0.3">
      <c r="D1298" t="str">
        <f t="shared" si="51"/>
        <v/>
      </c>
    </row>
    <row r="1299" spans="4:4" x14ac:dyDescent="0.3">
      <c r="D1299" t="str">
        <f t="shared" si="51"/>
        <v/>
      </c>
    </row>
    <row r="1300" spans="4:4" x14ac:dyDescent="0.3">
      <c r="D1300" t="str">
        <f t="shared" si="51"/>
        <v/>
      </c>
    </row>
    <row r="1301" spans="4:4" x14ac:dyDescent="0.3">
      <c r="D1301" t="str">
        <f t="shared" si="51"/>
        <v/>
      </c>
    </row>
    <row r="1302" spans="4:4" x14ac:dyDescent="0.3">
      <c r="D1302" t="str">
        <f t="shared" si="51"/>
        <v/>
      </c>
    </row>
    <row r="1303" spans="4:4" x14ac:dyDescent="0.3">
      <c r="D1303" t="str">
        <f t="shared" si="51"/>
        <v/>
      </c>
    </row>
    <row r="1304" spans="4:4" x14ac:dyDescent="0.3">
      <c r="D1304" t="str">
        <f t="shared" si="51"/>
        <v/>
      </c>
    </row>
    <row r="1305" spans="4:4" x14ac:dyDescent="0.3">
      <c r="D1305" t="str">
        <f t="shared" si="51"/>
        <v/>
      </c>
    </row>
    <row r="1306" spans="4:4" x14ac:dyDescent="0.3">
      <c r="D1306" t="str">
        <f t="shared" si="51"/>
        <v/>
      </c>
    </row>
    <row r="1307" spans="4:4" x14ac:dyDescent="0.3">
      <c r="D1307" t="str">
        <f t="shared" si="51"/>
        <v/>
      </c>
    </row>
    <row r="1308" spans="4:4" x14ac:dyDescent="0.3">
      <c r="D1308" t="str">
        <f t="shared" si="51"/>
        <v/>
      </c>
    </row>
    <row r="1309" spans="4:4" x14ac:dyDescent="0.3">
      <c r="D1309" t="str">
        <f t="shared" si="51"/>
        <v/>
      </c>
    </row>
    <row r="1310" spans="4:4" x14ac:dyDescent="0.3">
      <c r="D1310" t="str">
        <f t="shared" si="51"/>
        <v/>
      </c>
    </row>
    <row r="1311" spans="4:4" x14ac:dyDescent="0.3">
      <c r="D1311" t="str">
        <f t="shared" si="51"/>
        <v/>
      </c>
    </row>
    <row r="1312" spans="4:4" x14ac:dyDescent="0.3">
      <c r="D1312" t="str">
        <f t="shared" si="51"/>
        <v/>
      </c>
    </row>
    <row r="1313" spans="4:4" x14ac:dyDescent="0.3">
      <c r="D1313" t="str">
        <f t="shared" si="51"/>
        <v/>
      </c>
    </row>
    <row r="1314" spans="4:4" x14ac:dyDescent="0.3">
      <c r="D1314" t="str">
        <f t="shared" si="51"/>
        <v/>
      </c>
    </row>
    <row r="1315" spans="4:4" x14ac:dyDescent="0.3">
      <c r="D1315" t="str">
        <f t="shared" si="51"/>
        <v/>
      </c>
    </row>
    <row r="1316" spans="4:4" x14ac:dyDescent="0.3">
      <c r="D1316" t="str">
        <f t="shared" si="51"/>
        <v/>
      </c>
    </row>
    <row r="1317" spans="4:4" x14ac:dyDescent="0.3">
      <c r="D1317" t="str">
        <f t="shared" si="51"/>
        <v/>
      </c>
    </row>
    <row r="1318" spans="4:4" x14ac:dyDescent="0.3">
      <c r="D1318" t="str">
        <f t="shared" si="51"/>
        <v/>
      </c>
    </row>
    <row r="1319" spans="4:4" x14ac:dyDescent="0.3">
      <c r="D1319" t="str">
        <f t="shared" si="51"/>
        <v/>
      </c>
    </row>
    <row r="1320" spans="4:4" x14ac:dyDescent="0.3">
      <c r="D1320" t="str">
        <f t="shared" si="51"/>
        <v/>
      </c>
    </row>
    <row r="1321" spans="4:4" x14ac:dyDescent="0.3">
      <c r="D1321" t="str">
        <f t="shared" si="51"/>
        <v/>
      </c>
    </row>
    <row r="1322" spans="4:4" x14ac:dyDescent="0.3">
      <c r="D1322" t="str">
        <f t="shared" si="51"/>
        <v/>
      </c>
    </row>
    <row r="1323" spans="4:4" x14ac:dyDescent="0.3">
      <c r="D1323" t="str">
        <f t="shared" si="51"/>
        <v/>
      </c>
    </row>
    <row r="1324" spans="4:4" x14ac:dyDescent="0.3">
      <c r="D1324" t="str">
        <f t="shared" si="51"/>
        <v/>
      </c>
    </row>
    <row r="1325" spans="4:4" x14ac:dyDescent="0.3">
      <c r="D1325" t="str">
        <f t="shared" si="51"/>
        <v/>
      </c>
    </row>
    <row r="1326" spans="4:4" x14ac:dyDescent="0.3">
      <c r="D1326" t="str">
        <f t="shared" si="51"/>
        <v/>
      </c>
    </row>
    <row r="1327" spans="4:4" x14ac:dyDescent="0.3">
      <c r="D1327" t="str">
        <f t="shared" si="51"/>
        <v/>
      </c>
    </row>
    <row r="1328" spans="4:4" x14ac:dyDescent="0.3">
      <c r="D1328" t="str">
        <f t="shared" si="51"/>
        <v/>
      </c>
    </row>
    <row r="1329" spans="4:4" x14ac:dyDescent="0.3">
      <c r="D1329" t="str">
        <f t="shared" si="51"/>
        <v/>
      </c>
    </row>
    <row r="1330" spans="4:4" x14ac:dyDescent="0.3">
      <c r="D1330" t="str">
        <f t="shared" si="51"/>
        <v/>
      </c>
    </row>
    <row r="1331" spans="4:4" x14ac:dyDescent="0.3">
      <c r="D1331" t="str">
        <f t="shared" si="51"/>
        <v/>
      </c>
    </row>
    <row r="1332" spans="4:4" x14ac:dyDescent="0.3">
      <c r="D1332" t="str">
        <f t="shared" si="51"/>
        <v/>
      </c>
    </row>
    <row r="1333" spans="4:4" x14ac:dyDescent="0.3">
      <c r="D1333" t="str">
        <f t="shared" si="51"/>
        <v/>
      </c>
    </row>
    <row r="1334" spans="4:4" x14ac:dyDescent="0.3">
      <c r="D1334" t="str">
        <f t="shared" ref="D1334:D1397" si="52">IF(LEFT(A1334,2)="SP",MID(A1334,4,4),IF(LEFT(A1334,1)="X",MID(A1334,3,4),""))</f>
        <v/>
      </c>
    </row>
    <row r="1335" spans="4:4" x14ac:dyDescent="0.3">
      <c r="D1335" t="str">
        <f t="shared" si="52"/>
        <v/>
      </c>
    </row>
    <row r="1336" spans="4:4" x14ac:dyDescent="0.3">
      <c r="D1336" t="str">
        <f t="shared" si="52"/>
        <v/>
      </c>
    </row>
    <row r="1337" spans="4:4" x14ac:dyDescent="0.3">
      <c r="D1337" t="str">
        <f t="shared" si="52"/>
        <v/>
      </c>
    </row>
    <row r="1338" spans="4:4" x14ac:dyDescent="0.3">
      <c r="D1338" t="str">
        <f t="shared" si="52"/>
        <v/>
      </c>
    </row>
    <row r="1339" spans="4:4" x14ac:dyDescent="0.3">
      <c r="D1339" t="str">
        <f t="shared" si="52"/>
        <v/>
      </c>
    </row>
    <row r="1340" spans="4:4" x14ac:dyDescent="0.3">
      <c r="D1340" t="str">
        <f t="shared" si="52"/>
        <v/>
      </c>
    </row>
    <row r="1341" spans="4:4" x14ac:dyDescent="0.3">
      <c r="D1341" t="str">
        <f t="shared" si="52"/>
        <v/>
      </c>
    </row>
    <row r="1342" spans="4:4" x14ac:dyDescent="0.3">
      <c r="D1342" t="str">
        <f t="shared" si="52"/>
        <v/>
      </c>
    </row>
    <row r="1343" spans="4:4" x14ac:dyDescent="0.3">
      <c r="D1343" t="str">
        <f t="shared" si="52"/>
        <v/>
      </c>
    </row>
    <row r="1344" spans="4:4" x14ac:dyDescent="0.3">
      <c r="D1344" t="str">
        <f t="shared" si="52"/>
        <v/>
      </c>
    </row>
    <row r="1345" spans="4:4" x14ac:dyDescent="0.3">
      <c r="D1345" t="str">
        <f t="shared" si="52"/>
        <v/>
      </c>
    </row>
    <row r="1346" spans="4:4" x14ac:dyDescent="0.3">
      <c r="D1346" t="str">
        <f t="shared" si="52"/>
        <v/>
      </c>
    </row>
    <row r="1347" spans="4:4" x14ac:dyDescent="0.3">
      <c r="D1347" t="str">
        <f t="shared" si="52"/>
        <v/>
      </c>
    </row>
    <row r="1348" spans="4:4" x14ac:dyDescent="0.3">
      <c r="D1348" t="str">
        <f t="shared" si="52"/>
        <v/>
      </c>
    </row>
    <row r="1349" spans="4:4" x14ac:dyDescent="0.3">
      <c r="D1349" t="str">
        <f t="shared" si="52"/>
        <v/>
      </c>
    </row>
    <row r="1350" spans="4:4" x14ac:dyDescent="0.3">
      <c r="D1350" t="str">
        <f t="shared" si="52"/>
        <v/>
      </c>
    </row>
    <row r="1351" spans="4:4" x14ac:dyDescent="0.3">
      <c r="D1351" t="str">
        <f t="shared" si="52"/>
        <v/>
      </c>
    </row>
    <row r="1352" spans="4:4" x14ac:dyDescent="0.3">
      <c r="D1352" t="str">
        <f t="shared" si="52"/>
        <v/>
      </c>
    </row>
    <row r="1353" spans="4:4" x14ac:dyDescent="0.3">
      <c r="D1353" t="str">
        <f t="shared" si="52"/>
        <v/>
      </c>
    </row>
    <row r="1354" spans="4:4" x14ac:dyDescent="0.3">
      <c r="D1354" t="str">
        <f t="shared" si="52"/>
        <v/>
      </c>
    </row>
    <row r="1355" spans="4:4" x14ac:dyDescent="0.3">
      <c r="D1355" t="str">
        <f t="shared" si="52"/>
        <v/>
      </c>
    </row>
    <row r="1356" spans="4:4" x14ac:dyDescent="0.3">
      <c r="D1356" t="str">
        <f t="shared" si="52"/>
        <v/>
      </c>
    </row>
    <row r="1357" spans="4:4" x14ac:dyDescent="0.3">
      <c r="D1357" t="str">
        <f t="shared" si="52"/>
        <v/>
      </c>
    </row>
    <row r="1358" spans="4:4" x14ac:dyDescent="0.3">
      <c r="D1358" t="str">
        <f t="shared" si="52"/>
        <v/>
      </c>
    </row>
    <row r="1359" spans="4:4" x14ac:dyDescent="0.3">
      <c r="D1359" t="str">
        <f t="shared" si="52"/>
        <v/>
      </c>
    </row>
    <row r="1360" spans="4:4" x14ac:dyDescent="0.3">
      <c r="D1360" t="str">
        <f t="shared" si="52"/>
        <v/>
      </c>
    </row>
    <row r="1361" spans="4:4" x14ac:dyDescent="0.3">
      <c r="D1361" t="str">
        <f t="shared" si="52"/>
        <v/>
      </c>
    </row>
    <row r="1362" spans="4:4" x14ac:dyDescent="0.3">
      <c r="D1362" t="str">
        <f t="shared" si="52"/>
        <v/>
      </c>
    </row>
    <row r="1363" spans="4:4" x14ac:dyDescent="0.3">
      <c r="D1363" t="str">
        <f t="shared" si="52"/>
        <v/>
      </c>
    </row>
    <row r="1364" spans="4:4" x14ac:dyDescent="0.3">
      <c r="D1364" t="str">
        <f t="shared" si="52"/>
        <v/>
      </c>
    </row>
    <row r="1365" spans="4:4" x14ac:dyDescent="0.3">
      <c r="D1365" t="str">
        <f t="shared" si="52"/>
        <v/>
      </c>
    </row>
    <row r="1366" spans="4:4" x14ac:dyDescent="0.3">
      <c r="D1366" t="str">
        <f t="shared" si="52"/>
        <v/>
      </c>
    </row>
    <row r="1367" spans="4:4" x14ac:dyDescent="0.3">
      <c r="D1367" t="str">
        <f t="shared" si="52"/>
        <v/>
      </c>
    </row>
    <row r="1368" spans="4:4" x14ac:dyDescent="0.3">
      <c r="D1368" t="str">
        <f t="shared" si="52"/>
        <v/>
      </c>
    </row>
    <row r="1369" spans="4:4" x14ac:dyDescent="0.3">
      <c r="D1369" t="str">
        <f t="shared" si="52"/>
        <v/>
      </c>
    </row>
    <row r="1370" spans="4:4" x14ac:dyDescent="0.3">
      <c r="D1370" t="str">
        <f t="shared" si="52"/>
        <v/>
      </c>
    </row>
    <row r="1371" spans="4:4" x14ac:dyDescent="0.3">
      <c r="D1371" t="str">
        <f t="shared" si="52"/>
        <v/>
      </c>
    </row>
    <row r="1372" spans="4:4" x14ac:dyDescent="0.3">
      <c r="D1372" t="str">
        <f t="shared" si="52"/>
        <v/>
      </c>
    </row>
    <row r="1373" spans="4:4" x14ac:dyDescent="0.3">
      <c r="D1373" t="str">
        <f t="shared" si="52"/>
        <v/>
      </c>
    </row>
    <row r="1374" spans="4:4" x14ac:dyDescent="0.3">
      <c r="D1374" t="str">
        <f t="shared" si="52"/>
        <v/>
      </c>
    </row>
    <row r="1375" spans="4:4" x14ac:dyDescent="0.3">
      <c r="D1375" t="str">
        <f t="shared" si="52"/>
        <v/>
      </c>
    </row>
    <row r="1376" spans="4:4" x14ac:dyDescent="0.3">
      <c r="D1376" t="str">
        <f t="shared" si="52"/>
        <v/>
      </c>
    </row>
    <row r="1377" spans="4:4" x14ac:dyDescent="0.3">
      <c r="D1377" t="str">
        <f t="shared" si="52"/>
        <v/>
      </c>
    </row>
    <row r="1378" spans="4:4" x14ac:dyDescent="0.3">
      <c r="D1378" t="str">
        <f t="shared" si="52"/>
        <v/>
      </c>
    </row>
    <row r="1379" spans="4:4" x14ac:dyDescent="0.3">
      <c r="D1379" t="str">
        <f t="shared" si="52"/>
        <v/>
      </c>
    </row>
    <row r="1380" spans="4:4" x14ac:dyDescent="0.3">
      <c r="D1380" t="str">
        <f t="shared" si="52"/>
        <v/>
      </c>
    </row>
    <row r="1381" spans="4:4" x14ac:dyDescent="0.3">
      <c r="D1381" t="str">
        <f t="shared" si="52"/>
        <v/>
      </c>
    </row>
    <row r="1382" spans="4:4" x14ac:dyDescent="0.3">
      <c r="D1382" t="str">
        <f t="shared" si="52"/>
        <v/>
      </c>
    </row>
    <row r="1383" spans="4:4" x14ac:dyDescent="0.3">
      <c r="D1383" t="str">
        <f t="shared" si="52"/>
        <v/>
      </c>
    </row>
    <row r="1384" spans="4:4" x14ac:dyDescent="0.3">
      <c r="D1384" t="str">
        <f t="shared" si="52"/>
        <v/>
      </c>
    </row>
    <row r="1385" spans="4:4" x14ac:dyDescent="0.3">
      <c r="D1385" t="str">
        <f t="shared" si="52"/>
        <v/>
      </c>
    </row>
    <row r="1386" spans="4:4" x14ac:dyDescent="0.3">
      <c r="D1386" t="str">
        <f t="shared" si="52"/>
        <v/>
      </c>
    </row>
    <row r="1387" spans="4:4" x14ac:dyDescent="0.3">
      <c r="D1387" t="str">
        <f t="shared" si="52"/>
        <v/>
      </c>
    </row>
    <row r="1388" spans="4:4" x14ac:dyDescent="0.3">
      <c r="D1388" t="str">
        <f t="shared" si="52"/>
        <v/>
      </c>
    </row>
    <row r="1389" spans="4:4" x14ac:dyDescent="0.3">
      <c r="D1389" t="str">
        <f t="shared" si="52"/>
        <v/>
      </c>
    </row>
    <row r="1390" spans="4:4" x14ac:dyDescent="0.3">
      <c r="D1390" t="str">
        <f t="shared" si="52"/>
        <v/>
      </c>
    </row>
    <row r="1391" spans="4:4" x14ac:dyDescent="0.3">
      <c r="D1391" t="str">
        <f t="shared" si="52"/>
        <v/>
      </c>
    </row>
    <row r="1392" spans="4:4" x14ac:dyDescent="0.3">
      <c r="D1392" t="str">
        <f t="shared" si="52"/>
        <v/>
      </c>
    </row>
    <row r="1393" spans="4:4" x14ac:dyDescent="0.3">
      <c r="D1393" t="str">
        <f t="shared" si="52"/>
        <v/>
      </c>
    </row>
    <row r="1394" spans="4:4" x14ac:dyDescent="0.3">
      <c r="D1394" t="str">
        <f t="shared" si="52"/>
        <v/>
      </c>
    </row>
    <row r="1395" spans="4:4" x14ac:dyDescent="0.3">
      <c r="D1395" t="str">
        <f t="shared" si="52"/>
        <v/>
      </c>
    </row>
    <row r="1396" spans="4:4" x14ac:dyDescent="0.3">
      <c r="D1396" t="str">
        <f t="shared" si="52"/>
        <v/>
      </c>
    </row>
    <row r="1397" spans="4:4" x14ac:dyDescent="0.3">
      <c r="D1397" t="str">
        <f t="shared" si="52"/>
        <v/>
      </c>
    </row>
    <row r="1398" spans="4:4" x14ac:dyDescent="0.3">
      <c r="D1398" t="str">
        <f t="shared" ref="D1398:D1461" si="53">IF(LEFT(A1398,2)="SP",MID(A1398,4,4),IF(LEFT(A1398,1)="X",MID(A1398,3,4),""))</f>
        <v/>
      </c>
    </row>
    <row r="1399" spans="4:4" x14ac:dyDescent="0.3">
      <c r="D1399" t="str">
        <f t="shared" si="53"/>
        <v/>
      </c>
    </row>
    <row r="1400" spans="4:4" x14ac:dyDescent="0.3">
      <c r="D1400" t="str">
        <f t="shared" si="53"/>
        <v/>
      </c>
    </row>
    <row r="1401" spans="4:4" x14ac:dyDescent="0.3">
      <c r="D1401" t="str">
        <f t="shared" si="53"/>
        <v/>
      </c>
    </row>
    <row r="1402" spans="4:4" x14ac:dyDescent="0.3">
      <c r="D1402" t="str">
        <f t="shared" si="53"/>
        <v/>
      </c>
    </row>
    <row r="1403" spans="4:4" x14ac:dyDescent="0.3">
      <c r="D1403" t="str">
        <f t="shared" si="53"/>
        <v/>
      </c>
    </row>
    <row r="1404" spans="4:4" x14ac:dyDescent="0.3">
      <c r="D1404" t="str">
        <f t="shared" si="53"/>
        <v/>
      </c>
    </row>
    <row r="1405" spans="4:4" x14ac:dyDescent="0.3">
      <c r="D1405" t="str">
        <f t="shared" si="53"/>
        <v/>
      </c>
    </row>
    <row r="1406" spans="4:4" x14ac:dyDescent="0.3">
      <c r="D1406" t="str">
        <f t="shared" si="53"/>
        <v/>
      </c>
    </row>
    <row r="1407" spans="4:4" x14ac:dyDescent="0.3">
      <c r="D1407" t="str">
        <f t="shared" si="53"/>
        <v/>
      </c>
    </row>
    <row r="1408" spans="4:4" x14ac:dyDescent="0.3">
      <c r="D1408" t="str">
        <f t="shared" si="53"/>
        <v/>
      </c>
    </row>
    <row r="1409" spans="4:4" x14ac:dyDescent="0.3">
      <c r="D1409" t="str">
        <f t="shared" si="53"/>
        <v/>
      </c>
    </row>
    <row r="1410" spans="4:4" x14ac:dyDescent="0.3">
      <c r="D1410" t="str">
        <f t="shared" si="53"/>
        <v/>
      </c>
    </row>
    <row r="1411" spans="4:4" x14ac:dyDescent="0.3">
      <c r="D1411" t="str">
        <f t="shared" si="53"/>
        <v/>
      </c>
    </row>
    <row r="1412" spans="4:4" x14ac:dyDescent="0.3">
      <c r="D1412" t="str">
        <f t="shared" si="53"/>
        <v/>
      </c>
    </row>
    <row r="1413" spans="4:4" x14ac:dyDescent="0.3">
      <c r="D1413" t="str">
        <f t="shared" si="53"/>
        <v/>
      </c>
    </row>
    <row r="1414" spans="4:4" x14ac:dyDescent="0.3">
      <c r="D1414" t="str">
        <f t="shared" si="53"/>
        <v/>
      </c>
    </row>
    <row r="1415" spans="4:4" x14ac:dyDescent="0.3">
      <c r="D1415" t="str">
        <f t="shared" si="53"/>
        <v/>
      </c>
    </row>
    <row r="1416" spans="4:4" x14ac:dyDescent="0.3">
      <c r="D1416" t="str">
        <f t="shared" si="53"/>
        <v/>
      </c>
    </row>
    <row r="1417" spans="4:4" x14ac:dyDescent="0.3">
      <c r="D1417" t="str">
        <f t="shared" si="53"/>
        <v/>
      </c>
    </row>
    <row r="1418" spans="4:4" x14ac:dyDescent="0.3">
      <c r="D1418" t="str">
        <f t="shared" si="53"/>
        <v/>
      </c>
    </row>
    <row r="1419" spans="4:4" x14ac:dyDescent="0.3">
      <c r="D1419" t="str">
        <f t="shared" si="53"/>
        <v/>
      </c>
    </row>
    <row r="1420" spans="4:4" x14ac:dyDescent="0.3">
      <c r="D1420" t="str">
        <f t="shared" si="53"/>
        <v/>
      </c>
    </row>
    <row r="1421" spans="4:4" x14ac:dyDescent="0.3">
      <c r="D1421" t="str">
        <f t="shared" si="53"/>
        <v/>
      </c>
    </row>
    <row r="1422" spans="4:4" x14ac:dyDescent="0.3">
      <c r="D1422" t="str">
        <f t="shared" si="53"/>
        <v/>
      </c>
    </row>
    <row r="1423" spans="4:4" x14ac:dyDescent="0.3">
      <c r="D1423" t="str">
        <f t="shared" si="53"/>
        <v/>
      </c>
    </row>
    <row r="1424" spans="4:4" x14ac:dyDescent="0.3">
      <c r="D1424" t="str">
        <f t="shared" si="53"/>
        <v/>
      </c>
    </row>
    <row r="1425" spans="4:4" x14ac:dyDescent="0.3">
      <c r="D1425" t="str">
        <f t="shared" si="53"/>
        <v/>
      </c>
    </row>
    <row r="1426" spans="4:4" x14ac:dyDescent="0.3">
      <c r="D1426" t="str">
        <f t="shared" si="53"/>
        <v/>
      </c>
    </row>
    <row r="1427" spans="4:4" x14ac:dyDescent="0.3">
      <c r="D1427" t="str">
        <f t="shared" si="53"/>
        <v/>
      </c>
    </row>
    <row r="1428" spans="4:4" x14ac:dyDescent="0.3">
      <c r="D1428" t="str">
        <f t="shared" si="53"/>
        <v/>
      </c>
    </row>
    <row r="1429" spans="4:4" x14ac:dyDescent="0.3">
      <c r="D1429" t="str">
        <f t="shared" si="53"/>
        <v/>
      </c>
    </row>
    <row r="1430" spans="4:4" x14ac:dyDescent="0.3">
      <c r="D1430" t="str">
        <f t="shared" si="53"/>
        <v/>
      </c>
    </row>
    <row r="1431" spans="4:4" x14ac:dyDescent="0.3">
      <c r="D1431" t="str">
        <f t="shared" si="53"/>
        <v/>
      </c>
    </row>
    <row r="1432" spans="4:4" x14ac:dyDescent="0.3">
      <c r="D1432" t="str">
        <f t="shared" si="53"/>
        <v/>
      </c>
    </row>
    <row r="1433" spans="4:4" x14ac:dyDescent="0.3">
      <c r="D1433" t="str">
        <f t="shared" si="53"/>
        <v/>
      </c>
    </row>
    <row r="1434" spans="4:4" x14ac:dyDescent="0.3">
      <c r="D1434" t="str">
        <f t="shared" si="53"/>
        <v/>
      </c>
    </row>
    <row r="1435" spans="4:4" x14ac:dyDescent="0.3">
      <c r="D1435" t="str">
        <f t="shared" si="53"/>
        <v/>
      </c>
    </row>
    <row r="1436" spans="4:4" x14ac:dyDescent="0.3">
      <c r="D1436" t="str">
        <f t="shared" si="53"/>
        <v/>
      </c>
    </row>
    <row r="1437" spans="4:4" x14ac:dyDescent="0.3">
      <c r="D1437" t="str">
        <f t="shared" si="53"/>
        <v/>
      </c>
    </row>
    <row r="1438" spans="4:4" x14ac:dyDescent="0.3">
      <c r="D1438" t="str">
        <f t="shared" si="53"/>
        <v/>
      </c>
    </row>
    <row r="1439" spans="4:4" x14ac:dyDescent="0.3">
      <c r="D1439" t="str">
        <f t="shared" si="53"/>
        <v/>
      </c>
    </row>
    <row r="1440" spans="4:4" x14ac:dyDescent="0.3">
      <c r="D1440" t="str">
        <f t="shared" si="53"/>
        <v/>
      </c>
    </row>
    <row r="1441" spans="4:4" x14ac:dyDescent="0.3">
      <c r="D1441" t="str">
        <f t="shared" si="53"/>
        <v/>
      </c>
    </row>
    <row r="1442" spans="4:4" x14ac:dyDescent="0.3">
      <c r="D1442" t="str">
        <f t="shared" si="53"/>
        <v/>
      </c>
    </row>
    <row r="1443" spans="4:4" x14ac:dyDescent="0.3">
      <c r="D1443" t="str">
        <f t="shared" si="53"/>
        <v/>
      </c>
    </row>
    <row r="1444" spans="4:4" x14ac:dyDescent="0.3">
      <c r="D1444" t="str">
        <f t="shared" si="53"/>
        <v/>
      </c>
    </row>
    <row r="1445" spans="4:4" x14ac:dyDescent="0.3">
      <c r="D1445" t="str">
        <f t="shared" si="53"/>
        <v/>
      </c>
    </row>
    <row r="1446" spans="4:4" x14ac:dyDescent="0.3">
      <c r="D1446" t="str">
        <f t="shared" si="53"/>
        <v/>
      </c>
    </row>
    <row r="1447" spans="4:4" x14ac:dyDescent="0.3">
      <c r="D1447" t="str">
        <f t="shared" si="53"/>
        <v/>
      </c>
    </row>
    <row r="1448" spans="4:4" x14ac:dyDescent="0.3">
      <c r="D1448" t="str">
        <f t="shared" si="53"/>
        <v/>
      </c>
    </row>
    <row r="1449" spans="4:4" x14ac:dyDescent="0.3">
      <c r="D1449" t="str">
        <f t="shared" si="53"/>
        <v/>
      </c>
    </row>
    <row r="1450" spans="4:4" x14ac:dyDescent="0.3">
      <c r="D1450" t="str">
        <f t="shared" si="53"/>
        <v/>
      </c>
    </row>
    <row r="1451" spans="4:4" x14ac:dyDescent="0.3">
      <c r="D1451" t="str">
        <f t="shared" si="53"/>
        <v/>
      </c>
    </row>
    <row r="1452" spans="4:4" x14ac:dyDescent="0.3">
      <c r="D1452" t="str">
        <f t="shared" si="53"/>
        <v/>
      </c>
    </row>
    <row r="1453" spans="4:4" x14ac:dyDescent="0.3">
      <c r="D1453" t="str">
        <f t="shared" si="53"/>
        <v/>
      </c>
    </row>
    <row r="1454" spans="4:4" x14ac:dyDescent="0.3">
      <c r="D1454" t="str">
        <f t="shared" si="53"/>
        <v/>
      </c>
    </row>
    <row r="1455" spans="4:4" x14ac:dyDescent="0.3">
      <c r="D1455" t="str">
        <f t="shared" si="53"/>
        <v/>
      </c>
    </row>
    <row r="1456" spans="4:4" x14ac:dyDescent="0.3">
      <c r="D1456" t="str">
        <f t="shared" si="53"/>
        <v/>
      </c>
    </row>
    <row r="1457" spans="4:4" x14ac:dyDescent="0.3">
      <c r="D1457" t="str">
        <f t="shared" si="53"/>
        <v/>
      </c>
    </row>
    <row r="1458" spans="4:4" x14ac:dyDescent="0.3">
      <c r="D1458" t="str">
        <f t="shared" si="53"/>
        <v/>
      </c>
    </row>
    <row r="1459" spans="4:4" x14ac:dyDescent="0.3">
      <c r="D1459" t="str">
        <f t="shared" si="53"/>
        <v/>
      </c>
    </row>
    <row r="1460" spans="4:4" x14ac:dyDescent="0.3">
      <c r="D1460" t="str">
        <f t="shared" si="53"/>
        <v/>
      </c>
    </row>
    <row r="1461" spans="4:4" x14ac:dyDescent="0.3">
      <c r="D1461" t="str">
        <f t="shared" si="53"/>
        <v/>
      </c>
    </row>
    <row r="1462" spans="4:4" x14ac:dyDescent="0.3">
      <c r="D1462" t="str">
        <f t="shared" ref="D1462:D1525" si="54">IF(LEFT(A1462,2)="SP",MID(A1462,4,4),IF(LEFT(A1462,1)="X",MID(A1462,3,4),""))</f>
        <v/>
      </c>
    </row>
    <row r="1463" spans="4:4" x14ac:dyDescent="0.3">
      <c r="D1463" t="str">
        <f t="shared" si="54"/>
        <v/>
      </c>
    </row>
    <row r="1464" spans="4:4" x14ac:dyDescent="0.3">
      <c r="D1464" t="str">
        <f t="shared" si="54"/>
        <v/>
      </c>
    </row>
    <row r="1465" spans="4:4" x14ac:dyDescent="0.3">
      <c r="D1465" t="str">
        <f t="shared" si="54"/>
        <v/>
      </c>
    </row>
    <row r="1466" spans="4:4" x14ac:dyDescent="0.3">
      <c r="D1466" t="str">
        <f t="shared" si="54"/>
        <v/>
      </c>
    </row>
    <row r="1467" spans="4:4" x14ac:dyDescent="0.3">
      <c r="D1467" t="str">
        <f t="shared" si="54"/>
        <v/>
      </c>
    </row>
    <row r="1468" spans="4:4" x14ac:dyDescent="0.3">
      <c r="D1468" t="str">
        <f t="shared" si="54"/>
        <v/>
      </c>
    </row>
    <row r="1469" spans="4:4" x14ac:dyDescent="0.3">
      <c r="D1469" t="str">
        <f t="shared" si="54"/>
        <v/>
      </c>
    </row>
    <row r="1470" spans="4:4" x14ac:dyDescent="0.3">
      <c r="D1470" t="str">
        <f t="shared" si="54"/>
        <v/>
      </c>
    </row>
    <row r="1471" spans="4:4" x14ac:dyDescent="0.3">
      <c r="D1471" t="str">
        <f t="shared" si="54"/>
        <v/>
      </c>
    </row>
    <row r="1472" spans="4:4" x14ac:dyDescent="0.3">
      <c r="D1472" t="str">
        <f t="shared" si="54"/>
        <v/>
      </c>
    </row>
    <row r="1473" spans="4:4" x14ac:dyDescent="0.3">
      <c r="D1473" t="str">
        <f t="shared" si="54"/>
        <v/>
      </c>
    </row>
    <row r="1474" spans="4:4" x14ac:dyDescent="0.3">
      <c r="D1474" t="str">
        <f t="shared" si="54"/>
        <v/>
      </c>
    </row>
    <row r="1475" spans="4:4" x14ac:dyDescent="0.3">
      <c r="D1475" t="str">
        <f t="shared" si="54"/>
        <v/>
      </c>
    </row>
    <row r="1476" spans="4:4" x14ac:dyDescent="0.3">
      <c r="D1476" t="str">
        <f t="shared" si="54"/>
        <v/>
      </c>
    </row>
    <row r="1477" spans="4:4" x14ac:dyDescent="0.3">
      <c r="D1477" t="str">
        <f t="shared" si="54"/>
        <v/>
      </c>
    </row>
    <row r="1478" spans="4:4" x14ac:dyDescent="0.3">
      <c r="D1478" t="str">
        <f t="shared" si="54"/>
        <v/>
      </c>
    </row>
    <row r="1479" spans="4:4" x14ac:dyDescent="0.3">
      <c r="D1479" t="str">
        <f t="shared" si="54"/>
        <v/>
      </c>
    </row>
    <row r="1480" spans="4:4" x14ac:dyDescent="0.3">
      <c r="D1480" t="str">
        <f t="shared" si="54"/>
        <v/>
      </c>
    </row>
    <row r="1481" spans="4:4" x14ac:dyDescent="0.3">
      <c r="D1481" t="str">
        <f t="shared" si="54"/>
        <v/>
      </c>
    </row>
    <row r="1482" spans="4:4" x14ac:dyDescent="0.3">
      <c r="D1482" t="str">
        <f t="shared" si="54"/>
        <v/>
      </c>
    </row>
    <row r="1483" spans="4:4" x14ac:dyDescent="0.3">
      <c r="D1483" t="str">
        <f t="shared" si="54"/>
        <v/>
      </c>
    </row>
    <row r="1484" spans="4:4" x14ac:dyDescent="0.3">
      <c r="D1484" t="str">
        <f t="shared" si="54"/>
        <v/>
      </c>
    </row>
    <row r="1485" spans="4:4" x14ac:dyDescent="0.3">
      <c r="D1485" t="str">
        <f t="shared" si="54"/>
        <v/>
      </c>
    </row>
    <row r="1486" spans="4:4" x14ac:dyDescent="0.3">
      <c r="D1486" t="str">
        <f t="shared" si="54"/>
        <v/>
      </c>
    </row>
    <row r="1487" spans="4:4" x14ac:dyDescent="0.3">
      <c r="D1487" t="str">
        <f t="shared" si="54"/>
        <v/>
      </c>
    </row>
    <row r="1488" spans="4:4" x14ac:dyDescent="0.3">
      <c r="D1488" t="str">
        <f t="shared" si="54"/>
        <v/>
      </c>
    </row>
    <row r="1489" spans="4:4" x14ac:dyDescent="0.3">
      <c r="D1489" t="str">
        <f t="shared" si="54"/>
        <v/>
      </c>
    </row>
    <row r="1490" spans="4:4" x14ac:dyDescent="0.3">
      <c r="D1490" t="str">
        <f t="shared" si="54"/>
        <v/>
      </c>
    </row>
    <row r="1491" spans="4:4" x14ac:dyDescent="0.3">
      <c r="D1491" t="str">
        <f t="shared" si="54"/>
        <v/>
      </c>
    </row>
    <row r="1492" spans="4:4" x14ac:dyDescent="0.3">
      <c r="D1492" t="str">
        <f t="shared" si="54"/>
        <v/>
      </c>
    </row>
    <row r="1493" spans="4:4" x14ac:dyDescent="0.3">
      <c r="D1493" t="str">
        <f t="shared" si="54"/>
        <v/>
      </c>
    </row>
    <row r="1494" spans="4:4" x14ac:dyDescent="0.3">
      <c r="D1494" t="str">
        <f t="shared" si="54"/>
        <v/>
      </c>
    </row>
    <row r="1495" spans="4:4" x14ac:dyDescent="0.3">
      <c r="D1495" t="str">
        <f t="shared" si="54"/>
        <v/>
      </c>
    </row>
    <row r="1496" spans="4:4" x14ac:dyDescent="0.3">
      <c r="D1496" t="str">
        <f t="shared" si="54"/>
        <v/>
      </c>
    </row>
    <row r="1497" spans="4:4" x14ac:dyDescent="0.3">
      <c r="D1497" t="str">
        <f t="shared" si="54"/>
        <v/>
      </c>
    </row>
    <row r="1498" spans="4:4" x14ac:dyDescent="0.3">
      <c r="D1498" t="str">
        <f t="shared" si="54"/>
        <v/>
      </c>
    </row>
    <row r="1499" spans="4:4" x14ac:dyDescent="0.3">
      <c r="D1499" t="str">
        <f t="shared" si="54"/>
        <v/>
      </c>
    </row>
    <row r="1500" spans="4:4" x14ac:dyDescent="0.3">
      <c r="D1500" t="str">
        <f t="shared" si="54"/>
        <v/>
      </c>
    </row>
    <row r="1501" spans="4:4" x14ac:dyDescent="0.3">
      <c r="D1501" t="str">
        <f t="shared" si="54"/>
        <v/>
      </c>
    </row>
    <row r="1502" spans="4:4" x14ac:dyDescent="0.3">
      <c r="D1502" t="str">
        <f t="shared" si="54"/>
        <v/>
      </c>
    </row>
    <row r="1503" spans="4:4" x14ac:dyDescent="0.3">
      <c r="D1503" t="str">
        <f t="shared" si="54"/>
        <v/>
      </c>
    </row>
    <row r="1504" spans="4:4" x14ac:dyDescent="0.3">
      <c r="D1504" t="str">
        <f t="shared" si="54"/>
        <v/>
      </c>
    </row>
    <row r="1505" spans="4:4" x14ac:dyDescent="0.3">
      <c r="D1505" t="str">
        <f t="shared" si="54"/>
        <v/>
      </c>
    </row>
    <row r="1506" spans="4:4" x14ac:dyDescent="0.3">
      <c r="D1506" t="str">
        <f t="shared" si="54"/>
        <v/>
      </c>
    </row>
    <row r="1507" spans="4:4" x14ac:dyDescent="0.3">
      <c r="D1507" t="str">
        <f t="shared" si="54"/>
        <v/>
      </c>
    </row>
    <row r="1508" spans="4:4" x14ac:dyDescent="0.3">
      <c r="D1508" t="str">
        <f t="shared" si="54"/>
        <v/>
      </c>
    </row>
    <row r="1509" spans="4:4" x14ac:dyDescent="0.3">
      <c r="D1509" t="str">
        <f t="shared" si="54"/>
        <v/>
      </c>
    </row>
    <row r="1510" spans="4:4" x14ac:dyDescent="0.3">
      <c r="D1510" t="str">
        <f t="shared" si="54"/>
        <v/>
      </c>
    </row>
    <row r="1511" spans="4:4" x14ac:dyDescent="0.3">
      <c r="D1511" t="str">
        <f t="shared" si="54"/>
        <v/>
      </c>
    </row>
    <row r="1512" spans="4:4" x14ac:dyDescent="0.3">
      <c r="D1512" t="str">
        <f t="shared" si="54"/>
        <v/>
      </c>
    </row>
    <row r="1513" spans="4:4" x14ac:dyDescent="0.3">
      <c r="D1513" t="str">
        <f t="shared" si="54"/>
        <v/>
      </c>
    </row>
    <row r="1514" spans="4:4" x14ac:dyDescent="0.3">
      <c r="D1514" t="str">
        <f t="shared" si="54"/>
        <v/>
      </c>
    </row>
    <row r="1515" spans="4:4" x14ac:dyDescent="0.3">
      <c r="D1515" t="str">
        <f t="shared" si="54"/>
        <v/>
      </c>
    </row>
    <row r="1516" spans="4:4" x14ac:dyDescent="0.3">
      <c r="D1516" t="str">
        <f t="shared" si="54"/>
        <v/>
      </c>
    </row>
    <row r="1517" spans="4:4" x14ac:dyDescent="0.3">
      <c r="D1517" t="str">
        <f t="shared" si="54"/>
        <v/>
      </c>
    </row>
    <row r="1518" spans="4:4" x14ac:dyDescent="0.3">
      <c r="D1518" t="str">
        <f t="shared" si="54"/>
        <v/>
      </c>
    </row>
    <row r="1519" spans="4:4" x14ac:dyDescent="0.3">
      <c r="D1519" t="str">
        <f t="shared" si="54"/>
        <v/>
      </c>
    </row>
    <row r="1520" spans="4:4" x14ac:dyDescent="0.3">
      <c r="D1520" t="str">
        <f t="shared" si="54"/>
        <v/>
      </c>
    </row>
    <row r="1521" spans="4:4" x14ac:dyDescent="0.3">
      <c r="D1521" t="str">
        <f t="shared" si="54"/>
        <v/>
      </c>
    </row>
    <row r="1522" spans="4:4" x14ac:dyDescent="0.3">
      <c r="D1522" t="str">
        <f t="shared" si="54"/>
        <v/>
      </c>
    </row>
    <row r="1523" spans="4:4" x14ac:dyDescent="0.3">
      <c r="D1523" t="str">
        <f t="shared" si="54"/>
        <v/>
      </c>
    </row>
    <row r="1524" spans="4:4" x14ac:dyDescent="0.3">
      <c r="D1524" t="str">
        <f t="shared" si="54"/>
        <v/>
      </c>
    </row>
    <row r="1525" spans="4:4" x14ac:dyDescent="0.3">
      <c r="D1525" t="str">
        <f t="shared" si="54"/>
        <v/>
      </c>
    </row>
    <row r="1526" spans="4:4" x14ac:dyDescent="0.3">
      <c r="D1526" t="str">
        <f t="shared" ref="D1526:D1589" si="55">IF(LEFT(A1526,2)="SP",MID(A1526,4,4),IF(LEFT(A1526,1)="X",MID(A1526,3,4),""))</f>
        <v/>
      </c>
    </row>
    <row r="1527" spans="4:4" x14ac:dyDescent="0.3">
      <c r="D1527" t="str">
        <f t="shared" si="55"/>
        <v/>
      </c>
    </row>
    <row r="1528" spans="4:4" x14ac:dyDescent="0.3">
      <c r="D1528" t="str">
        <f t="shared" si="55"/>
        <v/>
      </c>
    </row>
    <row r="1529" spans="4:4" x14ac:dyDescent="0.3">
      <c r="D1529" t="str">
        <f t="shared" si="55"/>
        <v/>
      </c>
    </row>
    <row r="1530" spans="4:4" x14ac:dyDescent="0.3">
      <c r="D1530" t="str">
        <f t="shared" si="55"/>
        <v/>
      </c>
    </row>
    <row r="1531" spans="4:4" x14ac:dyDescent="0.3">
      <c r="D1531" t="str">
        <f t="shared" si="55"/>
        <v/>
      </c>
    </row>
    <row r="1532" spans="4:4" x14ac:dyDescent="0.3">
      <c r="D1532" t="str">
        <f t="shared" si="55"/>
        <v/>
      </c>
    </row>
    <row r="1533" spans="4:4" x14ac:dyDescent="0.3">
      <c r="D1533" t="str">
        <f t="shared" si="55"/>
        <v/>
      </c>
    </row>
    <row r="1534" spans="4:4" x14ac:dyDescent="0.3">
      <c r="D1534" t="str">
        <f t="shared" si="55"/>
        <v/>
      </c>
    </row>
    <row r="1535" spans="4:4" x14ac:dyDescent="0.3">
      <c r="D1535" t="str">
        <f t="shared" si="55"/>
        <v/>
      </c>
    </row>
    <row r="1536" spans="4:4" x14ac:dyDescent="0.3">
      <c r="D1536" t="str">
        <f t="shared" si="55"/>
        <v/>
      </c>
    </row>
    <row r="1537" spans="4:4" x14ac:dyDescent="0.3">
      <c r="D1537" t="str">
        <f t="shared" si="55"/>
        <v/>
      </c>
    </row>
    <row r="1538" spans="4:4" x14ac:dyDescent="0.3">
      <c r="D1538" t="str">
        <f t="shared" si="55"/>
        <v/>
      </c>
    </row>
    <row r="1539" spans="4:4" x14ac:dyDescent="0.3">
      <c r="D1539" t="str">
        <f t="shared" si="55"/>
        <v/>
      </c>
    </row>
    <row r="1540" spans="4:4" x14ac:dyDescent="0.3">
      <c r="D1540" t="str">
        <f t="shared" si="55"/>
        <v/>
      </c>
    </row>
    <row r="1541" spans="4:4" x14ac:dyDescent="0.3">
      <c r="D1541" t="str">
        <f t="shared" si="55"/>
        <v/>
      </c>
    </row>
    <row r="1542" spans="4:4" x14ac:dyDescent="0.3">
      <c r="D1542" t="str">
        <f t="shared" si="55"/>
        <v/>
      </c>
    </row>
    <row r="1543" spans="4:4" x14ac:dyDescent="0.3">
      <c r="D1543" t="str">
        <f t="shared" si="55"/>
        <v/>
      </c>
    </row>
    <row r="1544" spans="4:4" x14ac:dyDescent="0.3">
      <c r="D1544" t="str">
        <f t="shared" si="55"/>
        <v/>
      </c>
    </row>
    <row r="1545" spans="4:4" x14ac:dyDescent="0.3">
      <c r="D1545" t="str">
        <f t="shared" si="55"/>
        <v/>
      </c>
    </row>
    <row r="1546" spans="4:4" x14ac:dyDescent="0.3">
      <c r="D1546" t="str">
        <f t="shared" si="55"/>
        <v/>
      </c>
    </row>
    <row r="1547" spans="4:4" x14ac:dyDescent="0.3">
      <c r="D1547" t="str">
        <f t="shared" si="55"/>
        <v/>
      </c>
    </row>
    <row r="1548" spans="4:4" x14ac:dyDescent="0.3">
      <c r="D1548" t="str">
        <f t="shared" si="55"/>
        <v/>
      </c>
    </row>
    <row r="1549" spans="4:4" x14ac:dyDescent="0.3">
      <c r="D1549" t="str">
        <f t="shared" si="55"/>
        <v/>
      </c>
    </row>
    <row r="1550" spans="4:4" x14ac:dyDescent="0.3">
      <c r="D1550" t="str">
        <f t="shared" si="55"/>
        <v/>
      </c>
    </row>
    <row r="1551" spans="4:4" x14ac:dyDescent="0.3">
      <c r="D1551" t="str">
        <f t="shared" si="55"/>
        <v/>
      </c>
    </row>
    <row r="1552" spans="4:4" x14ac:dyDescent="0.3">
      <c r="D1552" t="str">
        <f t="shared" si="55"/>
        <v/>
      </c>
    </row>
    <row r="1553" spans="4:4" x14ac:dyDescent="0.3">
      <c r="D1553" t="str">
        <f t="shared" si="55"/>
        <v/>
      </c>
    </row>
    <row r="1554" spans="4:4" x14ac:dyDescent="0.3">
      <c r="D1554" t="str">
        <f t="shared" si="55"/>
        <v/>
      </c>
    </row>
    <row r="1555" spans="4:4" x14ac:dyDescent="0.3">
      <c r="D1555" t="str">
        <f t="shared" si="55"/>
        <v/>
      </c>
    </row>
    <row r="1556" spans="4:4" x14ac:dyDescent="0.3">
      <c r="D1556" t="str">
        <f t="shared" si="55"/>
        <v/>
      </c>
    </row>
    <row r="1557" spans="4:4" x14ac:dyDescent="0.3">
      <c r="D1557" t="str">
        <f t="shared" si="55"/>
        <v/>
      </c>
    </row>
    <row r="1558" spans="4:4" x14ac:dyDescent="0.3">
      <c r="D1558" t="str">
        <f t="shared" si="55"/>
        <v/>
      </c>
    </row>
    <row r="1559" spans="4:4" x14ac:dyDescent="0.3">
      <c r="D1559" t="str">
        <f t="shared" si="55"/>
        <v/>
      </c>
    </row>
    <row r="1560" spans="4:4" x14ac:dyDescent="0.3">
      <c r="D1560" t="str">
        <f t="shared" si="55"/>
        <v/>
      </c>
    </row>
    <row r="1561" spans="4:4" x14ac:dyDescent="0.3">
      <c r="D1561" t="str">
        <f t="shared" si="55"/>
        <v/>
      </c>
    </row>
    <row r="1562" spans="4:4" x14ac:dyDescent="0.3">
      <c r="D1562" t="str">
        <f t="shared" si="55"/>
        <v/>
      </c>
    </row>
    <row r="1563" spans="4:4" x14ac:dyDescent="0.3">
      <c r="D1563" t="str">
        <f t="shared" si="55"/>
        <v/>
      </c>
    </row>
    <row r="1564" spans="4:4" x14ac:dyDescent="0.3">
      <c r="D1564" t="str">
        <f t="shared" si="55"/>
        <v/>
      </c>
    </row>
    <row r="1565" spans="4:4" x14ac:dyDescent="0.3">
      <c r="D1565" t="str">
        <f t="shared" si="55"/>
        <v/>
      </c>
    </row>
    <row r="1566" spans="4:4" x14ac:dyDescent="0.3">
      <c r="D1566" t="str">
        <f t="shared" si="55"/>
        <v/>
      </c>
    </row>
    <row r="1567" spans="4:4" x14ac:dyDescent="0.3">
      <c r="D1567" t="str">
        <f t="shared" si="55"/>
        <v/>
      </c>
    </row>
    <row r="1568" spans="4:4" x14ac:dyDescent="0.3">
      <c r="D1568" t="str">
        <f t="shared" si="55"/>
        <v/>
      </c>
    </row>
    <row r="1569" spans="4:4" x14ac:dyDescent="0.3">
      <c r="D1569" t="str">
        <f t="shared" si="55"/>
        <v/>
      </c>
    </row>
    <row r="1570" spans="4:4" x14ac:dyDescent="0.3">
      <c r="D1570" t="str">
        <f t="shared" si="55"/>
        <v/>
      </c>
    </row>
    <row r="1571" spans="4:4" x14ac:dyDescent="0.3">
      <c r="D1571" t="str">
        <f t="shared" si="55"/>
        <v/>
      </c>
    </row>
    <row r="1572" spans="4:4" x14ac:dyDescent="0.3">
      <c r="D1572" t="str">
        <f t="shared" si="55"/>
        <v/>
      </c>
    </row>
    <row r="1573" spans="4:4" x14ac:dyDescent="0.3">
      <c r="D1573" t="str">
        <f t="shared" si="55"/>
        <v/>
      </c>
    </row>
    <row r="1574" spans="4:4" x14ac:dyDescent="0.3">
      <c r="D1574" t="str">
        <f t="shared" si="55"/>
        <v/>
      </c>
    </row>
    <row r="1575" spans="4:4" x14ac:dyDescent="0.3">
      <c r="D1575" t="str">
        <f t="shared" si="55"/>
        <v/>
      </c>
    </row>
    <row r="1576" spans="4:4" x14ac:dyDescent="0.3">
      <c r="D1576" t="str">
        <f t="shared" si="55"/>
        <v/>
      </c>
    </row>
    <row r="1577" spans="4:4" x14ac:dyDescent="0.3">
      <c r="D1577" t="str">
        <f t="shared" si="55"/>
        <v/>
      </c>
    </row>
    <row r="1578" spans="4:4" x14ac:dyDescent="0.3">
      <c r="D1578" t="str">
        <f t="shared" si="55"/>
        <v/>
      </c>
    </row>
    <row r="1579" spans="4:4" x14ac:dyDescent="0.3">
      <c r="D1579" t="str">
        <f t="shared" si="55"/>
        <v/>
      </c>
    </row>
    <row r="1580" spans="4:4" x14ac:dyDescent="0.3">
      <c r="D1580" t="str">
        <f t="shared" si="55"/>
        <v/>
      </c>
    </row>
    <row r="1581" spans="4:4" x14ac:dyDescent="0.3">
      <c r="D1581" t="str">
        <f t="shared" si="55"/>
        <v/>
      </c>
    </row>
    <row r="1582" spans="4:4" x14ac:dyDescent="0.3">
      <c r="D1582" t="str">
        <f t="shared" si="55"/>
        <v/>
      </c>
    </row>
    <row r="1583" spans="4:4" x14ac:dyDescent="0.3">
      <c r="D1583" t="str">
        <f t="shared" si="55"/>
        <v/>
      </c>
    </row>
    <row r="1584" spans="4:4" x14ac:dyDescent="0.3">
      <c r="D1584" t="str">
        <f t="shared" si="55"/>
        <v/>
      </c>
    </row>
    <row r="1585" spans="4:4" x14ac:dyDescent="0.3">
      <c r="D1585" t="str">
        <f t="shared" si="55"/>
        <v/>
      </c>
    </row>
    <row r="1586" spans="4:4" x14ac:dyDescent="0.3">
      <c r="D1586" t="str">
        <f t="shared" si="55"/>
        <v/>
      </c>
    </row>
    <row r="1587" spans="4:4" x14ac:dyDescent="0.3">
      <c r="D1587" t="str">
        <f t="shared" si="55"/>
        <v/>
      </c>
    </row>
    <row r="1588" spans="4:4" x14ac:dyDescent="0.3">
      <c r="D1588" t="str">
        <f t="shared" si="55"/>
        <v/>
      </c>
    </row>
    <row r="1589" spans="4:4" x14ac:dyDescent="0.3">
      <c r="D1589" t="str">
        <f t="shared" si="55"/>
        <v/>
      </c>
    </row>
    <row r="1590" spans="4:4" x14ac:dyDescent="0.3">
      <c r="D1590" t="str">
        <f t="shared" ref="D1590:D1653" si="56">IF(LEFT(A1590,2)="SP",MID(A1590,4,4),IF(LEFT(A1590,1)="X",MID(A1590,3,4),""))</f>
        <v/>
      </c>
    </row>
    <row r="1591" spans="4:4" x14ac:dyDescent="0.3">
      <c r="D1591" t="str">
        <f t="shared" si="56"/>
        <v/>
      </c>
    </row>
    <row r="1592" spans="4:4" x14ac:dyDescent="0.3">
      <c r="D1592" t="str">
        <f t="shared" si="56"/>
        <v/>
      </c>
    </row>
    <row r="1593" spans="4:4" x14ac:dyDescent="0.3">
      <c r="D1593" t="str">
        <f t="shared" si="56"/>
        <v/>
      </c>
    </row>
    <row r="1594" spans="4:4" x14ac:dyDescent="0.3">
      <c r="D1594" t="str">
        <f t="shared" si="56"/>
        <v/>
      </c>
    </row>
    <row r="1595" spans="4:4" x14ac:dyDescent="0.3">
      <c r="D1595" t="str">
        <f t="shared" si="56"/>
        <v/>
      </c>
    </row>
    <row r="1596" spans="4:4" x14ac:dyDescent="0.3">
      <c r="D1596" t="str">
        <f t="shared" si="56"/>
        <v/>
      </c>
    </row>
    <row r="1597" spans="4:4" x14ac:dyDescent="0.3">
      <c r="D1597" t="str">
        <f t="shared" si="56"/>
        <v/>
      </c>
    </row>
    <row r="1598" spans="4:4" x14ac:dyDescent="0.3">
      <c r="D1598" t="str">
        <f t="shared" si="56"/>
        <v/>
      </c>
    </row>
    <row r="1599" spans="4:4" x14ac:dyDescent="0.3">
      <c r="D1599" t="str">
        <f t="shared" si="56"/>
        <v/>
      </c>
    </row>
    <row r="1600" spans="4:4" x14ac:dyDescent="0.3">
      <c r="D1600" t="str">
        <f t="shared" si="56"/>
        <v/>
      </c>
    </row>
    <row r="1601" spans="4:4" x14ac:dyDescent="0.3">
      <c r="D1601" t="str">
        <f t="shared" si="56"/>
        <v/>
      </c>
    </row>
    <row r="1602" spans="4:4" x14ac:dyDescent="0.3">
      <c r="D1602" t="str">
        <f t="shared" si="56"/>
        <v/>
      </c>
    </row>
    <row r="1603" spans="4:4" x14ac:dyDescent="0.3">
      <c r="D1603" t="str">
        <f t="shared" si="56"/>
        <v/>
      </c>
    </row>
    <row r="1604" spans="4:4" x14ac:dyDescent="0.3">
      <c r="D1604" t="str">
        <f t="shared" si="56"/>
        <v/>
      </c>
    </row>
    <row r="1605" spans="4:4" x14ac:dyDescent="0.3">
      <c r="D1605" t="str">
        <f t="shared" si="56"/>
        <v/>
      </c>
    </row>
    <row r="1606" spans="4:4" x14ac:dyDescent="0.3">
      <c r="D1606" t="str">
        <f t="shared" si="56"/>
        <v/>
      </c>
    </row>
    <row r="1607" spans="4:4" x14ac:dyDescent="0.3">
      <c r="D1607" t="str">
        <f t="shared" si="56"/>
        <v/>
      </c>
    </row>
    <row r="1608" spans="4:4" x14ac:dyDescent="0.3">
      <c r="D1608" t="str">
        <f t="shared" si="56"/>
        <v/>
      </c>
    </row>
    <row r="1609" spans="4:4" x14ac:dyDescent="0.3">
      <c r="D1609" t="str">
        <f t="shared" si="56"/>
        <v/>
      </c>
    </row>
    <row r="1610" spans="4:4" x14ac:dyDescent="0.3">
      <c r="D1610" t="str">
        <f t="shared" si="56"/>
        <v/>
      </c>
    </row>
    <row r="1611" spans="4:4" x14ac:dyDescent="0.3">
      <c r="D1611" t="str">
        <f t="shared" si="56"/>
        <v/>
      </c>
    </row>
    <row r="1612" spans="4:4" x14ac:dyDescent="0.3">
      <c r="D1612" t="str">
        <f t="shared" si="56"/>
        <v/>
      </c>
    </row>
    <row r="1613" spans="4:4" x14ac:dyDescent="0.3">
      <c r="D1613" t="str">
        <f t="shared" si="56"/>
        <v/>
      </c>
    </row>
    <row r="1614" spans="4:4" x14ac:dyDescent="0.3">
      <c r="D1614" t="str">
        <f t="shared" si="56"/>
        <v/>
      </c>
    </row>
    <row r="1615" spans="4:4" x14ac:dyDescent="0.3">
      <c r="D1615" t="str">
        <f t="shared" si="56"/>
        <v/>
      </c>
    </row>
    <row r="1616" spans="4:4" x14ac:dyDescent="0.3">
      <c r="D1616" t="str">
        <f t="shared" si="56"/>
        <v/>
      </c>
    </row>
    <row r="1617" spans="4:4" x14ac:dyDescent="0.3">
      <c r="D1617" t="str">
        <f t="shared" si="56"/>
        <v/>
      </c>
    </row>
    <row r="1618" spans="4:4" x14ac:dyDescent="0.3">
      <c r="D1618" t="str">
        <f t="shared" si="56"/>
        <v/>
      </c>
    </row>
    <row r="1619" spans="4:4" x14ac:dyDescent="0.3">
      <c r="D1619" t="str">
        <f t="shared" si="56"/>
        <v/>
      </c>
    </row>
    <row r="1620" spans="4:4" x14ac:dyDescent="0.3">
      <c r="D1620" t="str">
        <f t="shared" si="56"/>
        <v/>
      </c>
    </row>
    <row r="1621" spans="4:4" x14ac:dyDescent="0.3">
      <c r="D1621" t="str">
        <f t="shared" si="56"/>
        <v/>
      </c>
    </row>
    <row r="1622" spans="4:4" x14ac:dyDescent="0.3">
      <c r="D1622" t="str">
        <f t="shared" si="56"/>
        <v/>
      </c>
    </row>
    <row r="1623" spans="4:4" x14ac:dyDescent="0.3">
      <c r="D1623" t="str">
        <f t="shared" si="56"/>
        <v/>
      </c>
    </row>
    <row r="1624" spans="4:4" x14ac:dyDescent="0.3">
      <c r="D1624" t="str">
        <f t="shared" si="56"/>
        <v/>
      </c>
    </row>
    <row r="1625" spans="4:4" x14ac:dyDescent="0.3">
      <c r="D1625" t="str">
        <f t="shared" si="56"/>
        <v/>
      </c>
    </row>
    <row r="1626" spans="4:4" x14ac:dyDescent="0.3">
      <c r="D1626" t="str">
        <f t="shared" si="56"/>
        <v/>
      </c>
    </row>
    <row r="1627" spans="4:4" x14ac:dyDescent="0.3">
      <c r="D1627" t="str">
        <f t="shared" si="56"/>
        <v/>
      </c>
    </row>
    <row r="1628" spans="4:4" x14ac:dyDescent="0.3">
      <c r="D1628" t="str">
        <f t="shared" si="56"/>
        <v/>
      </c>
    </row>
    <row r="1629" spans="4:4" x14ac:dyDescent="0.3">
      <c r="D1629" t="str">
        <f t="shared" si="56"/>
        <v/>
      </c>
    </row>
    <row r="1630" spans="4:4" x14ac:dyDescent="0.3">
      <c r="D1630" t="str">
        <f t="shared" si="56"/>
        <v/>
      </c>
    </row>
    <row r="1631" spans="4:4" x14ac:dyDescent="0.3">
      <c r="D1631" t="str">
        <f t="shared" si="56"/>
        <v/>
      </c>
    </row>
    <row r="1632" spans="4:4" x14ac:dyDescent="0.3">
      <c r="D1632" t="str">
        <f t="shared" si="56"/>
        <v/>
      </c>
    </row>
    <row r="1633" spans="4:4" x14ac:dyDescent="0.3">
      <c r="D1633" t="str">
        <f t="shared" si="56"/>
        <v/>
      </c>
    </row>
    <row r="1634" spans="4:4" x14ac:dyDescent="0.3">
      <c r="D1634" t="str">
        <f t="shared" si="56"/>
        <v/>
      </c>
    </row>
    <row r="1635" spans="4:4" x14ac:dyDescent="0.3">
      <c r="D1635" t="str">
        <f t="shared" si="56"/>
        <v/>
      </c>
    </row>
    <row r="1636" spans="4:4" x14ac:dyDescent="0.3">
      <c r="D1636" t="str">
        <f t="shared" si="56"/>
        <v/>
      </c>
    </row>
    <row r="1637" spans="4:4" x14ac:dyDescent="0.3">
      <c r="D1637" t="str">
        <f t="shared" si="56"/>
        <v/>
      </c>
    </row>
    <row r="1638" spans="4:4" x14ac:dyDescent="0.3">
      <c r="D1638" t="str">
        <f t="shared" si="56"/>
        <v/>
      </c>
    </row>
    <row r="1639" spans="4:4" x14ac:dyDescent="0.3">
      <c r="D1639" t="str">
        <f t="shared" si="56"/>
        <v/>
      </c>
    </row>
    <row r="1640" spans="4:4" x14ac:dyDescent="0.3">
      <c r="D1640" t="str">
        <f t="shared" si="56"/>
        <v/>
      </c>
    </row>
    <row r="1641" spans="4:4" x14ac:dyDescent="0.3">
      <c r="D1641" t="str">
        <f t="shared" si="56"/>
        <v/>
      </c>
    </row>
    <row r="1642" spans="4:4" x14ac:dyDescent="0.3">
      <c r="D1642" t="str">
        <f t="shared" si="56"/>
        <v/>
      </c>
    </row>
    <row r="1643" spans="4:4" x14ac:dyDescent="0.3">
      <c r="D1643" t="str">
        <f t="shared" si="56"/>
        <v/>
      </c>
    </row>
    <row r="1644" spans="4:4" x14ac:dyDescent="0.3">
      <c r="D1644" t="str">
        <f t="shared" si="56"/>
        <v/>
      </c>
    </row>
    <row r="1645" spans="4:4" x14ac:dyDescent="0.3">
      <c r="D1645" t="str">
        <f t="shared" si="56"/>
        <v/>
      </c>
    </row>
    <row r="1646" spans="4:4" x14ac:dyDescent="0.3">
      <c r="D1646" t="str">
        <f t="shared" si="56"/>
        <v/>
      </c>
    </row>
    <row r="1647" spans="4:4" x14ac:dyDescent="0.3">
      <c r="D1647" t="str">
        <f t="shared" si="56"/>
        <v/>
      </c>
    </row>
    <row r="1648" spans="4:4" x14ac:dyDescent="0.3">
      <c r="D1648" t="str">
        <f t="shared" si="56"/>
        <v/>
      </c>
    </row>
    <row r="1649" spans="4:4" x14ac:dyDescent="0.3">
      <c r="D1649" t="str">
        <f t="shared" si="56"/>
        <v/>
      </c>
    </row>
    <row r="1650" spans="4:4" x14ac:dyDescent="0.3">
      <c r="D1650" t="str">
        <f t="shared" si="56"/>
        <v/>
      </c>
    </row>
    <row r="1651" spans="4:4" x14ac:dyDescent="0.3">
      <c r="D1651" t="str">
        <f t="shared" si="56"/>
        <v/>
      </c>
    </row>
    <row r="1652" spans="4:4" x14ac:dyDescent="0.3">
      <c r="D1652" t="str">
        <f t="shared" si="56"/>
        <v/>
      </c>
    </row>
    <row r="1653" spans="4:4" x14ac:dyDescent="0.3">
      <c r="D1653" t="str">
        <f t="shared" si="56"/>
        <v/>
      </c>
    </row>
    <row r="1654" spans="4:4" x14ac:dyDescent="0.3">
      <c r="D1654" t="str">
        <f t="shared" ref="D1654:D1717" si="57">IF(LEFT(A1654,2)="SP",MID(A1654,4,4),IF(LEFT(A1654,1)="X",MID(A1654,3,4),""))</f>
        <v/>
      </c>
    </row>
    <row r="1655" spans="4:4" x14ac:dyDescent="0.3">
      <c r="D1655" t="str">
        <f t="shared" si="57"/>
        <v/>
      </c>
    </row>
    <row r="1656" spans="4:4" x14ac:dyDescent="0.3">
      <c r="D1656" t="str">
        <f t="shared" si="57"/>
        <v/>
      </c>
    </row>
    <row r="1657" spans="4:4" x14ac:dyDescent="0.3">
      <c r="D1657" t="str">
        <f t="shared" si="57"/>
        <v/>
      </c>
    </row>
    <row r="1658" spans="4:4" x14ac:dyDescent="0.3">
      <c r="D1658" t="str">
        <f t="shared" si="57"/>
        <v/>
      </c>
    </row>
    <row r="1659" spans="4:4" x14ac:dyDescent="0.3">
      <c r="D1659" t="str">
        <f t="shared" si="57"/>
        <v/>
      </c>
    </row>
    <row r="1660" spans="4:4" x14ac:dyDescent="0.3">
      <c r="D1660" t="str">
        <f t="shared" si="57"/>
        <v/>
      </c>
    </row>
    <row r="1661" spans="4:4" x14ac:dyDescent="0.3">
      <c r="D1661" t="str">
        <f t="shared" si="57"/>
        <v/>
      </c>
    </row>
    <row r="1662" spans="4:4" x14ac:dyDescent="0.3">
      <c r="D1662" t="str">
        <f t="shared" si="57"/>
        <v/>
      </c>
    </row>
    <row r="1663" spans="4:4" x14ac:dyDescent="0.3">
      <c r="D1663" t="str">
        <f t="shared" si="57"/>
        <v/>
      </c>
    </row>
    <row r="1664" spans="4:4" x14ac:dyDescent="0.3">
      <c r="D1664" t="str">
        <f t="shared" si="57"/>
        <v/>
      </c>
    </row>
    <row r="1665" spans="4:4" x14ac:dyDescent="0.3">
      <c r="D1665" t="str">
        <f t="shared" si="57"/>
        <v/>
      </c>
    </row>
    <row r="1666" spans="4:4" x14ac:dyDescent="0.3">
      <c r="D1666" t="str">
        <f t="shared" si="57"/>
        <v/>
      </c>
    </row>
    <row r="1667" spans="4:4" x14ac:dyDescent="0.3">
      <c r="D1667" t="str">
        <f t="shared" si="57"/>
        <v/>
      </c>
    </row>
    <row r="1668" spans="4:4" x14ac:dyDescent="0.3">
      <c r="D1668" t="str">
        <f t="shared" si="57"/>
        <v/>
      </c>
    </row>
    <row r="1669" spans="4:4" x14ac:dyDescent="0.3">
      <c r="D1669" t="str">
        <f t="shared" si="57"/>
        <v/>
      </c>
    </row>
    <row r="1670" spans="4:4" x14ac:dyDescent="0.3">
      <c r="D1670" t="str">
        <f t="shared" si="57"/>
        <v/>
      </c>
    </row>
    <row r="1671" spans="4:4" x14ac:dyDescent="0.3">
      <c r="D1671" t="str">
        <f t="shared" si="57"/>
        <v/>
      </c>
    </row>
    <row r="1672" spans="4:4" x14ac:dyDescent="0.3">
      <c r="D1672" t="str">
        <f t="shared" si="57"/>
        <v/>
      </c>
    </row>
    <row r="1673" spans="4:4" x14ac:dyDescent="0.3">
      <c r="D1673" t="str">
        <f t="shared" si="57"/>
        <v/>
      </c>
    </row>
    <row r="1674" spans="4:4" x14ac:dyDescent="0.3">
      <c r="D1674" t="str">
        <f t="shared" si="57"/>
        <v/>
      </c>
    </row>
    <row r="1675" spans="4:4" x14ac:dyDescent="0.3">
      <c r="D1675" t="str">
        <f t="shared" si="57"/>
        <v/>
      </c>
    </row>
    <row r="1676" spans="4:4" x14ac:dyDescent="0.3">
      <c r="D1676" t="str">
        <f t="shared" si="57"/>
        <v/>
      </c>
    </row>
    <row r="1677" spans="4:4" x14ac:dyDescent="0.3">
      <c r="D1677" t="str">
        <f t="shared" si="57"/>
        <v/>
      </c>
    </row>
    <row r="1678" spans="4:4" x14ac:dyDescent="0.3">
      <c r="D1678" t="str">
        <f t="shared" si="57"/>
        <v/>
      </c>
    </row>
    <row r="1679" spans="4:4" x14ac:dyDescent="0.3">
      <c r="D1679" t="str">
        <f t="shared" si="57"/>
        <v/>
      </c>
    </row>
    <row r="1680" spans="4:4" x14ac:dyDescent="0.3">
      <c r="D1680" t="str">
        <f t="shared" si="57"/>
        <v/>
      </c>
    </row>
    <row r="1681" spans="4:4" x14ac:dyDescent="0.3">
      <c r="D1681" t="str">
        <f t="shared" si="57"/>
        <v/>
      </c>
    </row>
    <row r="1682" spans="4:4" x14ac:dyDescent="0.3">
      <c r="D1682" t="str">
        <f t="shared" si="57"/>
        <v/>
      </c>
    </row>
    <row r="1683" spans="4:4" x14ac:dyDescent="0.3">
      <c r="D1683" t="str">
        <f t="shared" si="57"/>
        <v/>
      </c>
    </row>
    <row r="1684" spans="4:4" x14ac:dyDescent="0.3">
      <c r="D1684" t="str">
        <f t="shared" si="57"/>
        <v/>
      </c>
    </row>
    <row r="1685" spans="4:4" x14ac:dyDescent="0.3">
      <c r="D1685" t="str">
        <f t="shared" si="57"/>
        <v/>
      </c>
    </row>
    <row r="1686" spans="4:4" x14ac:dyDescent="0.3">
      <c r="D1686" t="str">
        <f t="shared" si="57"/>
        <v/>
      </c>
    </row>
    <row r="1687" spans="4:4" x14ac:dyDescent="0.3">
      <c r="D1687" t="str">
        <f t="shared" si="57"/>
        <v/>
      </c>
    </row>
    <row r="1688" spans="4:4" x14ac:dyDescent="0.3">
      <c r="D1688" t="str">
        <f t="shared" si="57"/>
        <v/>
      </c>
    </row>
    <row r="1689" spans="4:4" x14ac:dyDescent="0.3">
      <c r="D1689" t="str">
        <f t="shared" si="57"/>
        <v/>
      </c>
    </row>
    <row r="1690" spans="4:4" x14ac:dyDescent="0.3">
      <c r="D1690" t="str">
        <f t="shared" si="57"/>
        <v/>
      </c>
    </row>
    <row r="1691" spans="4:4" x14ac:dyDescent="0.3">
      <c r="D1691" t="str">
        <f t="shared" si="57"/>
        <v/>
      </c>
    </row>
    <row r="1692" spans="4:4" x14ac:dyDescent="0.3">
      <c r="D1692" t="str">
        <f t="shared" si="57"/>
        <v/>
      </c>
    </row>
    <row r="1693" spans="4:4" x14ac:dyDescent="0.3">
      <c r="D1693" t="str">
        <f t="shared" si="57"/>
        <v/>
      </c>
    </row>
    <row r="1694" spans="4:4" x14ac:dyDescent="0.3">
      <c r="D1694" t="str">
        <f t="shared" si="57"/>
        <v/>
      </c>
    </row>
    <row r="1695" spans="4:4" x14ac:dyDescent="0.3">
      <c r="D1695" t="str">
        <f t="shared" si="57"/>
        <v/>
      </c>
    </row>
    <row r="1696" spans="4:4" x14ac:dyDescent="0.3">
      <c r="D1696" t="str">
        <f t="shared" si="57"/>
        <v/>
      </c>
    </row>
    <row r="1697" spans="4:4" x14ac:dyDescent="0.3">
      <c r="D1697" t="str">
        <f t="shared" si="57"/>
        <v/>
      </c>
    </row>
    <row r="1698" spans="4:4" x14ac:dyDescent="0.3">
      <c r="D1698" t="str">
        <f t="shared" si="57"/>
        <v/>
      </c>
    </row>
    <row r="1699" spans="4:4" x14ac:dyDescent="0.3">
      <c r="D1699" t="str">
        <f t="shared" si="57"/>
        <v/>
      </c>
    </row>
    <row r="1700" spans="4:4" x14ac:dyDescent="0.3">
      <c r="D1700" t="str">
        <f t="shared" si="57"/>
        <v/>
      </c>
    </row>
    <row r="1701" spans="4:4" x14ac:dyDescent="0.3">
      <c r="D1701" t="str">
        <f t="shared" si="57"/>
        <v/>
      </c>
    </row>
    <row r="1702" spans="4:4" x14ac:dyDescent="0.3">
      <c r="D1702" t="str">
        <f t="shared" si="57"/>
        <v/>
      </c>
    </row>
    <row r="1703" spans="4:4" x14ac:dyDescent="0.3">
      <c r="D1703" t="str">
        <f t="shared" si="57"/>
        <v/>
      </c>
    </row>
    <row r="1704" spans="4:4" x14ac:dyDescent="0.3">
      <c r="D1704" t="str">
        <f t="shared" si="57"/>
        <v/>
      </c>
    </row>
    <row r="1705" spans="4:4" x14ac:dyDescent="0.3">
      <c r="D1705" t="str">
        <f t="shared" si="57"/>
        <v/>
      </c>
    </row>
    <row r="1706" spans="4:4" x14ac:dyDescent="0.3">
      <c r="D1706" t="str">
        <f t="shared" si="57"/>
        <v/>
      </c>
    </row>
    <row r="1707" spans="4:4" x14ac:dyDescent="0.3">
      <c r="D1707" t="str">
        <f t="shared" si="57"/>
        <v/>
      </c>
    </row>
    <row r="1708" spans="4:4" x14ac:dyDescent="0.3">
      <c r="D1708" t="str">
        <f t="shared" si="57"/>
        <v/>
      </c>
    </row>
    <row r="1709" spans="4:4" x14ac:dyDescent="0.3">
      <c r="D1709" t="str">
        <f t="shared" si="57"/>
        <v/>
      </c>
    </row>
    <row r="1710" spans="4:4" x14ac:dyDescent="0.3">
      <c r="D1710" t="str">
        <f t="shared" si="57"/>
        <v/>
      </c>
    </row>
    <row r="1711" spans="4:4" x14ac:dyDescent="0.3">
      <c r="D1711" t="str">
        <f t="shared" si="57"/>
        <v/>
      </c>
    </row>
    <row r="1712" spans="4:4" x14ac:dyDescent="0.3">
      <c r="D1712" t="str">
        <f t="shared" si="57"/>
        <v/>
      </c>
    </row>
    <row r="1713" spans="4:4" x14ac:dyDescent="0.3">
      <c r="D1713" t="str">
        <f t="shared" si="57"/>
        <v/>
      </c>
    </row>
    <row r="1714" spans="4:4" x14ac:dyDescent="0.3">
      <c r="D1714" t="str">
        <f t="shared" si="57"/>
        <v/>
      </c>
    </row>
    <row r="1715" spans="4:4" x14ac:dyDescent="0.3">
      <c r="D1715" t="str">
        <f t="shared" si="57"/>
        <v/>
      </c>
    </row>
    <row r="1716" spans="4:4" x14ac:dyDescent="0.3">
      <c r="D1716" t="str">
        <f t="shared" si="57"/>
        <v/>
      </c>
    </row>
    <row r="1717" spans="4:4" x14ac:dyDescent="0.3">
      <c r="D1717" t="str">
        <f t="shared" si="57"/>
        <v/>
      </c>
    </row>
    <row r="1718" spans="4:4" x14ac:dyDescent="0.3">
      <c r="D1718" t="str">
        <f t="shared" ref="D1718:D1781" si="58">IF(LEFT(A1718,2)="SP",MID(A1718,4,4),IF(LEFT(A1718,1)="X",MID(A1718,3,4),""))</f>
        <v/>
      </c>
    </row>
    <row r="1719" spans="4:4" x14ac:dyDescent="0.3">
      <c r="D1719" t="str">
        <f t="shared" si="58"/>
        <v/>
      </c>
    </row>
    <row r="1720" spans="4:4" x14ac:dyDescent="0.3">
      <c r="D1720" t="str">
        <f t="shared" si="58"/>
        <v/>
      </c>
    </row>
    <row r="1721" spans="4:4" x14ac:dyDescent="0.3">
      <c r="D1721" t="str">
        <f t="shared" si="58"/>
        <v/>
      </c>
    </row>
    <row r="1722" spans="4:4" x14ac:dyDescent="0.3">
      <c r="D1722" t="str">
        <f t="shared" si="58"/>
        <v/>
      </c>
    </row>
    <row r="1723" spans="4:4" x14ac:dyDescent="0.3">
      <c r="D1723" t="str">
        <f t="shared" si="58"/>
        <v/>
      </c>
    </row>
    <row r="1724" spans="4:4" x14ac:dyDescent="0.3">
      <c r="D1724" t="str">
        <f t="shared" si="58"/>
        <v/>
      </c>
    </row>
    <row r="1725" spans="4:4" x14ac:dyDescent="0.3">
      <c r="D1725" t="str">
        <f t="shared" si="58"/>
        <v/>
      </c>
    </row>
    <row r="1726" spans="4:4" x14ac:dyDescent="0.3">
      <c r="D1726" t="str">
        <f t="shared" si="58"/>
        <v/>
      </c>
    </row>
    <row r="1727" spans="4:4" x14ac:dyDescent="0.3">
      <c r="D1727" t="str">
        <f t="shared" si="58"/>
        <v/>
      </c>
    </row>
    <row r="1728" spans="4:4" x14ac:dyDescent="0.3">
      <c r="D1728" t="str">
        <f t="shared" si="58"/>
        <v/>
      </c>
    </row>
    <row r="1729" spans="4:4" x14ac:dyDescent="0.3">
      <c r="D1729" t="str">
        <f t="shared" si="58"/>
        <v/>
      </c>
    </row>
    <row r="1730" spans="4:4" x14ac:dyDescent="0.3">
      <c r="D1730" t="str">
        <f t="shared" si="58"/>
        <v/>
      </c>
    </row>
    <row r="1731" spans="4:4" x14ac:dyDescent="0.3">
      <c r="D1731" t="str">
        <f t="shared" si="58"/>
        <v/>
      </c>
    </row>
    <row r="1732" spans="4:4" x14ac:dyDescent="0.3">
      <c r="D1732" t="str">
        <f t="shared" si="58"/>
        <v/>
      </c>
    </row>
    <row r="1733" spans="4:4" x14ac:dyDescent="0.3">
      <c r="D1733" t="str">
        <f t="shared" si="58"/>
        <v/>
      </c>
    </row>
    <row r="1734" spans="4:4" x14ac:dyDescent="0.3">
      <c r="D1734" t="str">
        <f t="shared" si="58"/>
        <v/>
      </c>
    </row>
    <row r="1735" spans="4:4" x14ac:dyDescent="0.3">
      <c r="D1735" t="str">
        <f t="shared" si="58"/>
        <v/>
      </c>
    </row>
    <row r="1736" spans="4:4" x14ac:dyDescent="0.3">
      <c r="D1736" t="str">
        <f t="shared" si="58"/>
        <v/>
      </c>
    </row>
    <row r="1737" spans="4:4" x14ac:dyDescent="0.3">
      <c r="D1737" t="str">
        <f t="shared" si="58"/>
        <v/>
      </c>
    </row>
    <row r="1738" spans="4:4" x14ac:dyDescent="0.3">
      <c r="D1738" t="str">
        <f t="shared" si="58"/>
        <v/>
      </c>
    </row>
    <row r="1739" spans="4:4" x14ac:dyDescent="0.3">
      <c r="D1739" t="str">
        <f t="shared" si="58"/>
        <v/>
      </c>
    </row>
    <row r="1740" spans="4:4" x14ac:dyDescent="0.3">
      <c r="D1740" t="str">
        <f t="shared" si="58"/>
        <v/>
      </c>
    </row>
    <row r="1741" spans="4:4" x14ac:dyDescent="0.3">
      <c r="D1741" t="str">
        <f t="shared" si="58"/>
        <v/>
      </c>
    </row>
    <row r="1742" spans="4:4" x14ac:dyDescent="0.3">
      <c r="D1742" t="str">
        <f t="shared" si="58"/>
        <v/>
      </c>
    </row>
    <row r="1743" spans="4:4" x14ac:dyDescent="0.3">
      <c r="D1743" t="str">
        <f t="shared" si="58"/>
        <v/>
      </c>
    </row>
    <row r="1744" spans="4:4" x14ac:dyDescent="0.3">
      <c r="D1744" t="str">
        <f t="shared" si="58"/>
        <v/>
      </c>
    </row>
    <row r="1745" spans="4:4" x14ac:dyDescent="0.3">
      <c r="D1745" t="str">
        <f t="shared" si="58"/>
        <v/>
      </c>
    </row>
    <row r="1746" spans="4:4" x14ac:dyDescent="0.3">
      <c r="D1746" t="str">
        <f t="shared" si="58"/>
        <v/>
      </c>
    </row>
    <row r="1747" spans="4:4" x14ac:dyDescent="0.3">
      <c r="D1747" t="str">
        <f t="shared" si="58"/>
        <v/>
      </c>
    </row>
    <row r="1748" spans="4:4" x14ac:dyDescent="0.3">
      <c r="D1748" t="str">
        <f t="shared" si="58"/>
        <v/>
      </c>
    </row>
    <row r="1749" spans="4:4" x14ac:dyDescent="0.3">
      <c r="D1749" t="str">
        <f t="shared" si="58"/>
        <v/>
      </c>
    </row>
    <row r="1750" spans="4:4" x14ac:dyDescent="0.3">
      <c r="D1750" t="str">
        <f t="shared" si="58"/>
        <v/>
      </c>
    </row>
    <row r="1751" spans="4:4" x14ac:dyDescent="0.3">
      <c r="D1751" t="str">
        <f t="shared" si="58"/>
        <v/>
      </c>
    </row>
    <row r="1752" spans="4:4" x14ac:dyDescent="0.3">
      <c r="D1752" t="str">
        <f t="shared" si="58"/>
        <v/>
      </c>
    </row>
    <row r="1753" spans="4:4" x14ac:dyDescent="0.3">
      <c r="D1753" t="str">
        <f t="shared" si="58"/>
        <v/>
      </c>
    </row>
    <row r="1754" spans="4:4" x14ac:dyDescent="0.3">
      <c r="D1754" t="str">
        <f t="shared" si="58"/>
        <v/>
      </c>
    </row>
    <row r="1755" spans="4:4" x14ac:dyDescent="0.3">
      <c r="D1755" t="str">
        <f t="shared" si="58"/>
        <v/>
      </c>
    </row>
    <row r="1756" spans="4:4" x14ac:dyDescent="0.3">
      <c r="D1756" t="str">
        <f t="shared" si="58"/>
        <v/>
      </c>
    </row>
    <row r="1757" spans="4:4" x14ac:dyDescent="0.3">
      <c r="D1757" t="str">
        <f t="shared" si="58"/>
        <v/>
      </c>
    </row>
    <row r="1758" spans="4:4" x14ac:dyDescent="0.3">
      <c r="D1758" t="str">
        <f t="shared" si="58"/>
        <v/>
      </c>
    </row>
    <row r="1759" spans="4:4" x14ac:dyDescent="0.3">
      <c r="D1759" t="str">
        <f t="shared" si="58"/>
        <v/>
      </c>
    </row>
    <row r="1760" spans="4:4" x14ac:dyDescent="0.3">
      <c r="D1760" t="str">
        <f t="shared" si="58"/>
        <v/>
      </c>
    </row>
    <row r="1761" spans="4:4" x14ac:dyDescent="0.3">
      <c r="D1761" t="str">
        <f t="shared" si="58"/>
        <v/>
      </c>
    </row>
    <row r="1762" spans="4:4" x14ac:dyDescent="0.3">
      <c r="D1762" t="str">
        <f t="shared" si="58"/>
        <v/>
      </c>
    </row>
    <row r="1763" spans="4:4" x14ac:dyDescent="0.3">
      <c r="D1763" t="str">
        <f t="shared" si="58"/>
        <v/>
      </c>
    </row>
    <row r="1764" spans="4:4" x14ac:dyDescent="0.3">
      <c r="D1764" t="str">
        <f t="shared" si="58"/>
        <v/>
      </c>
    </row>
    <row r="1765" spans="4:4" x14ac:dyDescent="0.3">
      <c r="D1765" t="str">
        <f t="shared" si="58"/>
        <v/>
      </c>
    </row>
    <row r="1766" spans="4:4" x14ac:dyDescent="0.3">
      <c r="D1766" t="str">
        <f t="shared" si="58"/>
        <v/>
      </c>
    </row>
    <row r="1767" spans="4:4" x14ac:dyDescent="0.3">
      <c r="D1767" t="str">
        <f t="shared" si="58"/>
        <v/>
      </c>
    </row>
    <row r="1768" spans="4:4" x14ac:dyDescent="0.3">
      <c r="D1768" t="str">
        <f t="shared" si="58"/>
        <v/>
      </c>
    </row>
    <row r="1769" spans="4:4" x14ac:dyDescent="0.3">
      <c r="D1769" t="str">
        <f t="shared" si="58"/>
        <v/>
      </c>
    </row>
    <row r="1770" spans="4:4" x14ac:dyDescent="0.3">
      <c r="D1770" t="str">
        <f t="shared" si="58"/>
        <v/>
      </c>
    </row>
    <row r="1771" spans="4:4" x14ac:dyDescent="0.3">
      <c r="D1771" t="str">
        <f t="shared" si="58"/>
        <v/>
      </c>
    </row>
    <row r="1772" spans="4:4" x14ac:dyDescent="0.3">
      <c r="D1772" t="str">
        <f t="shared" si="58"/>
        <v/>
      </c>
    </row>
    <row r="1773" spans="4:4" x14ac:dyDescent="0.3">
      <c r="D1773" t="str">
        <f t="shared" si="58"/>
        <v/>
      </c>
    </row>
    <row r="1774" spans="4:4" x14ac:dyDescent="0.3">
      <c r="D1774" t="str">
        <f t="shared" si="58"/>
        <v/>
      </c>
    </row>
    <row r="1775" spans="4:4" x14ac:dyDescent="0.3">
      <c r="D1775" t="str">
        <f t="shared" si="58"/>
        <v/>
      </c>
    </row>
    <row r="1776" spans="4:4" x14ac:dyDescent="0.3">
      <c r="D1776" t="str">
        <f t="shared" si="58"/>
        <v/>
      </c>
    </row>
    <row r="1777" spans="4:4" x14ac:dyDescent="0.3">
      <c r="D1777" t="str">
        <f t="shared" si="58"/>
        <v/>
      </c>
    </row>
    <row r="1778" spans="4:4" x14ac:dyDescent="0.3">
      <c r="D1778" t="str">
        <f t="shared" si="58"/>
        <v/>
      </c>
    </row>
    <row r="1779" spans="4:4" x14ac:dyDescent="0.3">
      <c r="D1779" t="str">
        <f t="shared" si="58"/>
        <v/>
      </c>
    </row>
    <row r="1780" spans="4:4" x14ac:dyDescent="0.3">
      <c r="D1780" t="str">
        <f t="shared" si="58"/>
        <v/>
      </c>
    </row>
    <row r="1781" spans="4:4" x14ac:dyDescent="0.3">
      <c r="D1781" t="str">
        <f t="shared" si="58"/>
        <v/>
      </c>
    </row>
    <row r="1782" spans="4:4" x14ac:dyDescent="0.3">
      <c r="D1782" t="str">
        <f t="shared" ref="D1782:D1845" si="59">IF(LEFT(A1782,2)="SP",MID(A1782,4,4),IF(LEFT(A1782,1)="X",MID(A1782,3,4),""))</f>
        <v/>
      </c>
    </row>
    <row r="1783" spans="4:4" x14ac:dyDescent="0.3">
      <c r="D1783" t="str">
        <f t="shared" si="59"/>
        <v/>
      </c>
    </row>
    <row r="1784" spans="4:4" x14ac:dyDescent="0.3">
      <c r="D1784" t="str">
        <f t="shared" si="59"/>
        <v/>
      </c>
    </row>
    <row r="1785" spans="4:4" x14ac:dyDescent="0.3">
      <c r="D1785" t="str">
        <f t="shared" si="59"/>
        <v/>
      </c>
    </row>
    <row r="1786" spans="4:4" x14ac:dyDescent="0.3">
      <c r="D1786" t="str">
        <f t="shared" si="59"/>
        <v/>
      </c>
    </row>
    <row r="1787" spans="4:4" x14ac:dyDescent="0.3">
      <c r="D1787" t="str">
        <f t="shared" si="59"/>
        <v/>
      </c>
    </row>
    <row r="1788" spans="4:4" x14ac:dyDescent="0.3">
      <c r="D1788" t="str">
        <f t="shared" si="59"/>
        <v/>
      </c>
    </row>
    <row r="1789" spans="4:4" x14ac:dyDescent="0.3">
      <c r="D1789" t="str">
        <f t="shared" si="59"/>
        <v/>
      </c>
    </row>
    <row r="1790" spans="4:4" x14ac:dyDescent="0.3">
      <c r="D1790" t="str">
        <f t="shared" si="59"/>
        <v/>
      </c>
    </row>
    <row r="1791" spans="4:4" x14ac:dyDescent="0.3">
      <c r="D1791" t="str">
        <f t="shared" si="59"/>
        <v/>
      </c>
    </row>
    <row r="1792" spans="4:4" x14ac:dyDescent="0.3">
      <c r="D1792" t="str">
        <f t="shared" si="59"/>
        <v/>
      </c>
    </row>
    <row r="1793" spans="4:4" x14ac:dyDescent="0.3">
      <c r="D1793" t="str">
        <f t="shared" si="59"/>
        <v/>
      </c>
    </row>
    <row r="1794" spans="4:4" x14ac:dyDescent="0.3">
      <c r="D1794" t="str">
        <f t="shared" si="59"/>
        <v/>
      </c>
    </row>
    <row r="1795" spans="4:4" x14ac:dyDescent="0.3">
      <c r="D1795" t="str">
        <f t="shared" si="59"/>
        <v/>
      </c>
    </row>
    <row r="1796" spans="4:4" x14ac:dyDescent="0.3">
      <c r="D1796" t="str">
        <f t="shared" si="59"/>
        <v/>
      </c>
    </row>
    <row r="1797" spans="4:4" x14ac:dyDescent="0.3">
      <c r="D1797" t="str">
        <f t="shared" si="59"/>
        <v/>
      </c>
    </row>
    <row r="1798" spans="4:4" x14ac:dyDescent="0.3">
      <c r="D1798" t="str">
        <f t="shared" si="59"/>
        <v/>
      </c>
    </row>
    <row r="1799" spans="4:4" x14ac:dyDescent="0.3">
      <c r="D1799" t="str">
        <f t="shared" si="59"/>
        <v/>
      </c>
    </row>
    <row r="1800" spans="4:4" x14ac:dyDescent="0.3">
      <c r="D1800" t="str">
        <f t="shared" si="59"/>
        <v/>
      </c>
    </row>
    <row r="1801" spans="4:4" x14ac:dyDescent="0.3">
      <c r="D1801" t="str">
        <f t="shared" si="59"/>
        <v/>
      </c>
    </row>
    <row r="1802" spans="4:4" x14ac:dyDescent="0.3">
      <c r="D1802" t="str">
        <f t="shared" si="59"/>
        <v/>
      </c>
    </row>
    <row r="1803" spans="4:4" x14ac:dyDescent="0.3">
      <c r="D1803" t="str">
        <f t="shared" si="59"/>
        <v/>
      </c>
    </row>
    <row r="1804" spans="4:4" x14ac:dyDescent="0.3">
      <c r="D1804" t="str">
        <f t="shared" si="59"/>
        <v/>
      </c>
    </row>
    <row r="1805" spans="4:4" x14ac:dyDescent="0.3">
      <c r="D1805" t="str">
        <f t="shared" si="59"/>
        <v/>
      </c>
    </row>
    <row r="1806" spans="4:4" x14ac:dyDescent="0.3">
      <c r="D1806" t="str">
        <f t="shared" si="59"/>
        <v/>
      </c>
    </row>
    <row r="1807" spans="4:4" x14ac:dyDescent="0.3">
      <c r="D1807" t="str">
        <f t="shared" si="59"/>
        <v/>
      </c>
    </row>
    <row r="1808" spans="4:4" x14ac:dyDescent="0.3">
      <c r="D1808" t="str">
        <f t="shared" si="59"/>
        <v/>
      </c>
    </row>
    <row r="1809" spans="4:4" x14ac:dyDescent="0.3">
      <c r="D1809" t="str">
        <f t="shared" si="59"/>
        <v/>
      </c>
    </row>
    <row r="1810" spans="4:4" x14ac:dyDescent="0.3">
      <c r="D1810" t="str">
        <f t="shared" si="59"/>
        <v/>
      </c>
    </row>
    <row r="1811" spans="4:4" x14ac:dyDescent="0.3">
      <c r="D1811" t="str">
        <f t="shared" si="59"/>
        <v/>
      </c>
    </row>
    <row r="1812" spans="4:4" x14ac:dyDescent="0.3">
      <c r="D1812" t="str">
        <f t="shared" si="59"/>
        <v/>
      </c>
    </row>
    <row r="1813" spans="4:4" x14ac:dyDescent="0.3">
      <c r="D1813" t="str">
        <f t="shared" si="59"/>
        <v/>
      </c>
    </row>
    <row r="1814" spans="4:4" x14ac:dyDescent="0.3">
      <c r="D1814" t="str">
        <f t="shared" si="59"/>
        <v/>
      </c>
    </row>
    <row r="1815" spans="4:4" x14ac:dyDescent="0.3">
      <c r="D1815" t="str">
        <f t="shared" si="59"/>
        <v/>
      </c>
    </row>
    <row r="1816" spans="4:4" x14ac:dyDescent="0.3">
      <c r="D1816" t="str">
        <f t="shared" si="59"/>
        <v/>
      </c>
    </row>
    <row r="1817" spans="4:4" x14ac:dyDescent="0.3">
      <c r="D1817" t="str">
        <f t="shared" si="59"/>
        <v/>
      </c>
    </row>
    <row r="1818" spans="4:4" x14ac:dyDescent="0.3">
      <c r="D1818" t="str">
        <f t="shared" si="59"/>
        <v/>
      </c>
    </row>
    <row r="1819" spans="4:4" x14ac:dyDescent="0.3">
      <c r="D1819" t="str">
        <f t="shared" si="59"/>
        <v/>
      </c>
    </row>
    <row r="1820" spans="4:4" x14ac:dyDescent="0.3">
      <c r="D1820" t="str">
        <f t="shared" si="59"/>
        <v/>
      </c>
    </row>
    <row r="1821" spans="4:4" x14ac:dyDescent="0.3">
      <c r="D1821" t="str">
        <f t="shared" si="59"/>
        <v/>
      </c>
    </row>
    <row r="1822" spans="4:4" x14ac:dyDescent="0.3">
      <c r="D1822" t="str">
        <f t="shared" si="59"/>
        <v/>
      </c>
    </row>
    <row r="1823" spans="4:4" x14ac:dyDescent="0.3">
      <c r="D1823" t="str">
        <f t="shared" si="59"/>
        <v/>
      </c>
    </row>
    <row r="1824" spans="4:4" x14ac:dyDescent="0.3">
      <c r="D1824" t="str">
        <f t="shared" si="59"/>
        <v/>
      </c>
    </row>
    <row r="1825" spans="4:4" x14ac:dyDescent="0.3">
      <c r="D1825" t="str">
        <f t="shared" si="59"/>
        <v/>
      </c>
    </row>
    <row r="1826" spans="4:4" x14ac:dyDescent="0.3">
      <c r="D1826" t="str">
        <f t="shared" si="59"/>
        <v/>
      </c>
    </row>
    <row r="1827" spans="4:4" x14ac:dyDescent="0.3">
      <c r="D1827" t="str">
        <f t="shared" si="59"/>
        <v/>
      </c>
    </row>
    <row r="1828" spans="4:4" x14ac:dyDescent="0.3">
      <c r="D1828" t="str">
        <f t="shared" si="59"/>
        <v/>
      </c>
    </row>
    <row r="1829" spans="4:4" x14ac:dyDescent="0.3">
      <c r="D1829" t="str">
        <f t="shared" si="59"/>
        <v/>
      </c>
    </row>
    <row r="1830" spans="4:4" x14ac:dyDescent="0.3">
      <c r="D1830" t="str">
        <f t="shared" si="59"/>
        <v/>
      </c>
    </row>
    <row r="1831" spans="4:4" x14ac:dyDescent="0.3">
      <c r="D1831" t="str">
        <f t="shared" si="59"/>
        <v/>
      </c>
    </row>
    <row r="1832" spans="4:4" x14ac:dyDescent="0.3">
      <c r="D1832" t="str">
        <f t="shared" si="59"/>
        <v/>
      </c>
    </row>
    <row r="1833" spans="4:4" x14ac:dyDescent="0.3">
      <c r="D1833" t="str">
        <f t="shared" si="59"/>
        <v/>
      </c>
    </row>
    <row r="1834" spans="4:4" x14ac:dyDescent="0.3">
      <c r="D1834" t="str">
        <f t="shared" si="59"/>
        <v/>
      </c>
    </row>
    <row r="1835" spans="4:4" x14ac:dyDescent="0.3">
      <c r="D1835" t="str">
        <f t="shared" si="59"/>
        <v/>
      </c>
    </row>
    <row r="1836" spans="4:4" x14ac:dyDescent="0.3">
      <c r="D1836" t="str">
        <f t="shared" si="59"/>
        <v/>
      </c>
    </row>
    <row r="1837" spans="4:4" x14ac:dyDescent="0.3">
      <c r="D1837" t="str">
        <f t="shared" si="59"/>
        <v/>
      </c>
    </row>
    <row r="1838" spans="4:4" x14ac:dyDescent="0.3">
      <c r="D1838" t="str">
        <f t="shared" si="59"/>
        <v/>
      </c>
    </row>
    <row r="1839" spans="4:4" x14ac:dyDescent="0.3">
      <c r="D1839" t="str">
        <f t="shared" si="59"/>
        <v/>
      </c>
    </row>
    <row r="1840" spans="4:4" x14ac:dyDescent="0.3">
      <c r="D1840" t="str">
        <f t="shared" si="59"/>
        <v/>
      </c>
    </row>
    <row r="1841" spans="4:4" x14ac:dyDescent="0.3">
      <c r="D1841" t="str">
        <f t="shared" si="59"/>
        <v/>
      </c>
    </row>
    <row r="1842" spans="4:4" x14ac:dyDescent="0.3">
      <c r="D1842" t="str">
        <f t="shared" si="59"/>
        <v/>
      </c>
    </row>
    <row r="1843" spans="4:4" x14ac:dyDescent="0.3">
      <c r="D1843" t="str">
        <f t="shared" si="59"/>
        <v/>
      </c>
    </row>
    <row r="1844" spans="4:4" x14ac:dyDescent="0.3">
      <c r="D1844" t="str">
        <f t="shared" si="59"/>
        <v/>
      </c>
    </row>
    <row r="1845" spans="4:4" x14ac:dyDescent="0.3">
      <c r="D1845" t="str">
        <f t="shared" si="59"/>
        <v/>
      </c>
    </row>
    <row r="1846" spans="4:4" x14ac:dyDescent="0.3">
      <c r="D1846" t="str">
        <f t="shared" ref="D1846:D1909" si="60">IF(LEFT(A1846,2)="SP",MID(A1846,4,4),IF(LEFT(A1846,1)="X",MID(A1846,3,4),""))</f>
        <v/>
      </c>
    </row>
    <row r="1847" spans="4:4" x14ac:dyDescent="0.3">
      <c r="D1847" t="str">
        <f t="shared" si="60"/>
        <v/>
      </c>
    </row>
    <row r="1848" spans="4:4" x14ac:dyDescent="0.3">
      <c r="D1848" t="str">
        <f t="shared" si="60"/>
        <v/>
      </c>
    </row>
    <row r="1849" spans="4:4" x14ac:dyDescent="0.3">
      <c r="D1849" t="str">
        <f t="shared" si="60"/>
        <v/>
      </c>
    </row>
    <row r="1850" spans="4:4" x14ac:dyDescent="0.3">
      <c r="D1850" t="str">
        <f t="shared" si="60"/>
        <v/>
      </c>
    </row>
    <row r="1851" spans="4:4" x14ac:dyDescent="0.3">
      <c r="D1851" t="str">
        <f t="shared" si="60"/>
        <v/>
      </c>
    </row>
    <row r="1852" spans="4:4" x14ac:dyDescent="0.3">
      <c r="D1852" t="str">
        <f t="shared" si="60"/>
        <v/>
      </c>
    </row>
    <row r="1853" spans="4:4" x14ac:dyDescent="0.3">
      <c r="D1853" t="str">
        <f t="shared" si="60"/>
        <v/>
      </c>
    </row>
    <row r="1854" spans="4:4" x14ac:dyDescent="0.3">
      <c r="D1854" t="str">
        <f t="shared" si="60"/>
        <v/>
      </c>
    </row>
    <row r="1855" spans="4:4" x14ac:dyDescent="0.3">
      <c r="D1855" t="str">
        <f t="shared" si="60"/>
        <v/>
      </c>
    </row>
    <row r="1856" spans="4:4" x14ac:dyDescent="0.3">
      <c r="D1856" t="str">
        <f t="shared" si="60"/>
        <v/>
      </c>
    </row>
    <row r="1857" spans="4:4" x14ac:dyDescent="0.3">
      <c r="D1857" t="str">
        <f t="shared" si="60"/>
        <v/>
      </c>
    </row>
    <row r="1858" spans="4:4" x14ac:dyDescent="0.3">
      <c r="D1858" t="str">
        <f t="shared" si="60"/>
        <v/>
      </c>
    </row>
    <row r="1859" spans="4:4" x14ac:dyDescent="0.3">
      <c r="D1859" t="str">
        <f t="shared" si="60"/>
        <v/>
      </c>
    </row>
    <row r="1860" spans="4:4" x14ac:dyDescent="0.3">
      <c r="D1860" t="str">
        <f t="shared" si="60"/>
        <v/>
      </c>
    </row>
    <row r="1861" spans="4:4" x14ac:dyDescent="0.3">
      <c r="D1861" t="str">
        <f t="shared" si="60"/>
        <v/>
      </c>
    </row>
    <row r="1862" spans="4:4" x14ac:dyDescent="0.3">
      <c r="D1862" t="str">
        <f t="shared" si="60"/>
        <v/>
      </c>
    </row>
    <row r="1863" spans="4:4" x14ac:dyDescent="0.3">
      <c r="D1863" t="str">
        <f t="shared" si="60"/>
        <v/>
      </c>
    </row>
    <row r="1864" spans="4:4" x14ac:dyDescent="0.3">
      <c r="D1864" t="str">
        <f t="shared" si="60"/>
        <v/>
      </c>
    </row>
    <row r="1865" spans="4:4" x14ac:dyDescent="0.3">
      <c r="D1865" t="str">
        <f t="shared" si="60"/>
        <v/>
      </c>
    </row>
    <row r="1866" spans="4:4" x14ac:dyDescent="0.3">
      <c r="D1866" t="str">
        <f t="shared" si="60"/>
        <v/>
      </c>
    </row>
    <row r="1867" spans="4:4" x14ac:dyDescent="0.3">
      <c r="D1867" t="str">
        <f t="shared" si="60"/>
        <v/>
      </c>
    </row>
    <row r="1868" spans="4:4" x14ac:dyDescent="0.3">
      <c r="D1868" t="str">
        <f t="shared" si="60"/>
        <v/>
      </c>
    </row>
    <row r="1869" spans="4:4" x14ac:dyDescent="0.3">
      <c r="D1869" t="str">
        <f t="shared" si="60"/>
        <v/>
      </c>
    </row>
    <row r="1870" spans="4:4" x14ac:dyDescent="0.3">
      <c r="D1870" t="str">
        <f t="shared" si="60"/>
        <v/>
      </c>
    </row>
    <row r="1871" spans="4:4" x14ac:dyDescent="0.3">
      <c r="D1871" t="str">
        <f t="shared" si="60"/>
        <v/>
      </c>
    </row>
    <row r="1872" spans="4:4" x14ac:dyDescent="0.3">
      <c r="D1872" t="str">
        <f t="shared" si="60"/>
        <v/>
      </c>
    </row>
    <row r="1873" spans="4:4" x14ac:dyDescent="0.3">
      <c r="D1873" t="str">
        <f t="shared" si="60"/>
        <v/>
      </c>
    </row>
    <row r="1874" spans="4:4" x14ac:dyDescent="0.3">
      <c r="D1874" t="str">
        <f t="shared" si="60"/>
        <v/>
      </c>
    </row>
    <row r="1875" spans="4:4" x14ac:dyDescent="0.3">
      <c r="D1875" t="str">
        <f t="shared" si="60"/>
        <v/>
      </c>
    </row>
    <row r="1876" spans="4:4" x14ac:dyDescent="0.3">
      <c r="D1876" t="str">
        <f t="shared" si="60"/>
        <v/>
      </c>
    </row>
    <row r="1877" spans="4:4" x14ac:dyDescent="0.3">
      <c r="D1877" t="str">
        <f t="shared" si="60"/>
        <v/>
      </c>
    </row>
    <row r="1878" spans="4:4" x14ac:dyDescent="0.3">
      <c r="D1878" t="str">
        <f t="shared" si="60"/>
        <v/>
      </c>
    </row>
    <row r="1879" spans="4:4" x14ac:dyDescent="0.3">
      <c r="D1879" t="str">
        <f t="shared" si="60"/>
        <v/>
      </c>
    </row>
    <row r="1880" spans="4:4" x14ac:dyDescent="0.3">
      <c r="D1880" t="str">
        <f t="shared" si="60"/>
        <v/>
      </c>
    </row>
    <row r="1881" spans="4:4" x14ac:dyDescent="0.3">
      <c r="D1881" t="str">
        <f t="shared" si="60"/>
        <v/>
      </c>
    </row>
    <row r="1882" spans="4:4" x14ac:dyDescent="0.3">
      <c r="D1882" t="str">
        <f t="shared" si="60"/>
        <v/>
      </c>
    </row>
    <row r="1883" spans="4:4" x14ac:dyDescent="0.3">
      <c r="D1883" t="str">
        <f t="shared" si="60"/>
        <v/>
      </c>
    </row>
    <row r="1884" spans="4:4" x14ac:dyDescent="0.3">
      <c r="D1884" t="str">
        <f t="shared" si="60"/>
        <v/>
      </c>
    </row>
    <row r="1885" spans="4:4" x14ac:dyDescent="0.3">
      <c r="D1885" t="str">
        <f t="shared" si="60"/>
        <v/>
      </c>
    </row>
    <row r="1886" spans="4:4" x14ac:dyDescent="0.3">
      <c r="D1886" t="str">
        <f t="shared" si="60"/>
        <v/>
      </c>
    </row>
    <row r="1887" spans="4:4" x14ac:dyDescent="0.3">
      <c r="D1887" t="str">
        <f t="shared" si="60"/>
        <v/>
      </c>
    </row>
    <row r="1888" spans="4:4" x14ac:dyDescent="0.3">
      <c r="D1888" t="str">
        <f t="shared" si="60"/>
        <v/>
      </c>
    </row>
    <row r="1889" spans="4:4" x14ac:dyDescent="0.3">
      <c r="D1889" t="str">
        <f t="shared" si="60"/>
        <v/>
      </c>
    </row>
    <row r="1890" spans="4:4" x14ac:dyDescent="0.3">
      <c r="D1890" t="str">
        <f t="shared" si="60"/>
        <v/>
      </c>
    </row>
    <row r="1891" spans="4:4" x14ac:dyDescent="0.3">
      <c r="D1891" t="str">
        <f t="shared" si="60"/>
        <v/>
      </c>
    </row>
    <row r="1892" spans="4:4" x14ac:dyDescent="0.3">
      <c r="D1892" t="str">
        <f t="shared" si="60"/>
        <v/>
      </c>
    </row>
    <row r="1893" spans="4:4" x14ac:dyDescent="0.3">
      <c r="D1893" t="str">
        <f t="shared" si="60"/>
        <v/>
      </c>
    </row>
    <row r="1894" spans="4:4" x14ac:dyDescent="0.3">
      <c r="D1894" t="str">
        <f t="shared" si="60"/>
        <v/>
      </c>
    </row>
    <row r="1895" spans="4:4" x14ac:dyDescent="0.3">
      <c r="D1895" t="str">
        <f t="shared" si="60"/>
        <v/>
      </c>
    </row>
    <row r="1896" spans="4:4" x14ac:dyDescent="0.3">
      <c r="D1896" t="str">
        <f t="shared" si="60"/>
        <v/>
      </c>
    </row>
    <row r="1897" spans="4:4" x14ac:dyDescent="0.3">
      <c r="D1897" t="str">
        <f t="shared" si="60"/>
        <v/>
      </c>
    </row>
    <row r="1898" spans="4:4" x14ac:dyDescent="0.3">
      <c r="D1898" t="str">
        <f t="shared" si="60"/>
        <v/>
      </c>
    </row>
    <row r="1899" spans="4:4" x14ac:dyDescent="0.3">
      <c r="D1899" t="str">
        <f t="shared" si="60"/>
        <v/>
      </c>
    </row>
    <row r="1900" spans="4:4" x14ac:dyDescent="0.3">
      <c r="D1900" t="str">
        <f t="shared" si="60"/>
        <v/>
      </c>
    </row>
    <row r="1901" spans="4:4" x14ac:dyDescent="0.3">
      <c r="D1901" t="str">
        <f t="shared" si="60"/>
        <v/>
      </c>
    </row>
    <row r="1902" spans="4:4" x14ac:dyDescent="0.3">
      <c r="D1902" t="str">
        <f t="shared" si="60"/>
        <v/>
      </c>
    </row>
    <row r="1903" spans="4:4" x14ac:dyDescent="0.3">
      <c r="D1903" t="str">
        <f t="shared" si="60"/>
        <v/>
      </c>
    </row>
    <row r="1904" spans="4:4" x14ac:dyDescent="0.3">
      <c r="D1904" t="str">
        <f t="shared" si="60"/>
        <v/>
      </c>
    </row>
    <row r="1905" spans="4:4" x14ac:dyDescent="0.3">
      <c r="D1905" t="str">
        <f t="shared" si="60"/>
        <v/>
      </c>
    </row>
    <row r="1906" spans="4:4" x14ac:dyDescent="0.3">
      <c r="D1906" t="str">
        <f t="shared" si="60"/>
        <v/>
      </c>
    </row>
    <row r="1907" spans="4:4" x14ac:dyDescent="0.3">
      <c r="D1907" t="str">
        <f t="shared" si="60"/>
        <v/>
      </c>
    </row>
    <row r="1908" spans="4:4" x14ac:dyDescent="0.3">
      <c r="D1908" t="str">
        <f t="shared" si="60"/>
        <v/>
      </c>
    </row>
    <row r="1909" spans="4:4" x14ac:dyDescent="0.3">
      <c r="D1909" t="str">
        <f t="shared" si="60"/>
        <v/>
      </c>
    </row>
    <row r="1910" spans="4:4" x14ac:dyDescent="0.3">
      <c r="D1910" t="str">
        <f t="shared" ref="D1910:D1973" si="61">IF(LEFT(A1910,2)="SP",MID(A1910,4,4),IF(LEFT(A1910,1)="X",MID(A1910,3,4),""))</f>
        <v/>
      </c>
    </row>
    <row r="1911" spans="4:4" x14ac:dyDescent="0.3">
      <c r="D1911" t="str">
        <f t="shared" si="61"/>
        <v/>
      </c>
    </row>
    <row r="1912" spans="4:4" x14ac:dyDescent="0.3">
      <c r="D1912" t="str">
        <f t="shared" si="61"/>
        <v/>
      </c>
    </row>
    <row r="1913" spans="4:4" x14ac:dyDescent="0.3">
      <c r="D1913" t="str">
        <f t="shared" si="61"/>
        <v/>
      </c>
    </row>
    <row r="1914" spans="4:4" x14ac:dyDescent="0.3">
      <c r="D1914" t="str">
        <f t="shared" si="61"/>
        <v/>
      </c>
    </row>
    <row r="1915" spans="4:4" x14ac:dyDescent="0.3">
      <c r="D1915" t="str">
        <f t="shared" si="61"/>
        <v/>
      </c>
    </row>
    <row r="1916" spans="4:4" x14ac:dyDescent="0.3">
      <c r="D1916" t="str">
        <f t="shared" si="61"/>
        <v/>
      </c>
    </row>
    <row r="1917" spans="4:4" x14ac:dyDescent="0.3">
      <c r="D1917" t="str">
        <f t="shared" si="61"/>
        <v/>
      </c>
    </row>
    <row r="1918" spans="4:4" x14ac:dyDescent="0.3">
      <c r="D1918" t="str">
        <f t="shared" si="61"/>
        <v/>
      </c>
    </row>
    <row r="1919" spans="4:4" x14ac:dyDescent="0.3">
      <c r="D1919" t="str">
        <f t="shared" si="61"/>
        <v/>
      </c>
    </row>
    <row r="1920" spans="4:4" x14ac:dyDescent="0.3">
      <c r="D1920" t="str">
        <f t="shared" si="61"/>
        <v/>
      </c>
    </row>
    <row r="1921" spans="4:4" x14ac:dyDescent="0.3">
      <c r="D1921" t="str">
        <f t="shared" si="61"/>
        <v/>
      </c>
    </row>
    <row r="1922" spans="4:4" x14ac:dyDescent="0.3">
      <c r="D1922" t="str">
        <f t="shared" si="61"/>
        <v/>
      </c>
    </row>
    <row r="1923" spans="4:4" x14ac:dyDescent="0.3">
      <c r="D1923" t="str">
        <f t="shared" si="61"/>
        <v/>
      </c>
    </row>
    <row r="1924" spans="4:4" x14ac:dyDescent="0.3">
      <c r="D1924" t="str">
        <f t="shared" si="61"/>
        <v/>
      </c>
    </row>
    <row r="1925" spans="4:4" x14ac:dyDescent="0.3">
      <c r="D1925" t="str">
        <f t="shared" si="61"/>
        <v/>
      </c>
    </row>
    <row r="1926" spans="4:4" x14ac:dyDescent="0.3">
      <c r="D1926" t="str">
        <f t="shared" si="61"/>
        <v/>
      </c>
    </row>
    <row r="1927" spans="4:4" x14ac:dyDescent="0.3">
      <c r="D1927" t="str">
        <f t="shared" si="61"/>
        <v/>
      </c>
    </row>
    <row r="1928" spans="4:4" x14ac:dyDescent="0.3">
      <c r="D1928" t="str">
        <f t="shared" si="61"/>
        <v/>
      </c>
    </row>
    <row r="1929" spans="4:4" x14ac:dyDescent="0.3">
      <c r="D1929" t="str">
        <f t="shared" si="61"/>
        <v/>
      </c>
    </row>
    <row r="1930" spans="4:4" x14ac:dyDescent="0.3">
      <c r="D1930" t="str">
        <f t="shared" si="61"/>
        <v/>
      </c>
    </row>
    <row r="1931" spans="4:4" x14ac:dyDescent="0.3">
      <c r="D1931" t="str">
        <f t="shared" si="61"/>
        <v/>
      </c>
    </row>
    <row r="1932" spans="4:4" x14ac:dyDescent="0.3">
      <c r="D1932" t="str">
        <f t="shared" si="61"/>
        <v/>
      </c>
    </row>
    <row r="1933" spans="4:4" x14ac:dyDescent="0.3">
      <c r="D1933" t="str">
        <f t="shared" si="61"/>
        <v/>
      </c>
    </row>
    <row r="1934" spans="4:4" x14ac:dyDescent="0.3">
      <c r="D1934" t="str">
        <f t="shared" si="61"/>
        <v/>
      </c>
    </row>
    <row r="1935" spans="4:4" x14ac:dyDescent="0.3">
      <c r="D1935" t="str">
        <f t="shared" si="61"/>
        <v/>
      </c>
    </row>
    <row r="1936" spans="4:4" x14ac:dyDescent="0.3">
      <c r="D1936" t="str">
        <f t="shared" si="61"/>
        <v/>
      </c>
    </row>
    <row r="1937" spans="4:4" x14ac:dyDescent="0.3">
      <c r="D1937" t="str">
        <f t="shared" si="61"/>
        <v/>
      </c>
    </row>
    <row r="1938" spans="4:4" x14ac:dyDescent="0.3">
      <c r="D1938" t="str">
        <f t="shared" si="61"/>
        <v/>
      </c>
    </row>
    <row r="1939" spans="4:4" x14ac:dyDescent="0.3">
      <c r="D1939" t="str">
        <f t="shared" si="61"/>
        <v/>
      </c>
    </row>
    <row r="1940" spans="4:4" x14ac:dyDescent="0.3">
      <c r="D1940" t="str">
        <f t="shared" si="61"/>
        <v/>
      </c>
    </row>
    <row r="1941" spans="4:4" x14ac:dyDescent="0.3">
      <c r="D1941" t="str">
        <f t="shared" si="61"/>
        <v/>
      </c>
    </row>
    <row r="1942" spans="4:4" x14ac:dyDescent="0.3">
      <c r="D1942" t="str">
        <f t="shared" si="61"/>
        <v/>
      </c>
    </row>
    <row r="1943" spans="4:4" x14ac:dyDescent="0.3">
      <c r="D1943" t="str">
        <f t="shared" si="61"/>
        <v/>
      </c>
    </row>
    <row r="1944" spans="4:4" x14ac:dyDescent="0.3">
      <c r="D1944" t="str">
        <f t="shared" si="61"/>
        <v/>
      </c>
    </row>
    <row r="1945" spans="4:4" x14ac:dyDescent="0.3">
      <c r="D1945" t="str">
        <f t="shared" si="61"/>
        <v/>
      </c>
    </row>
    <row r="1946" spans="4:4" x14ac:dyDescent="0.3">
      <c r="D1946" t="str">
        <f t="shared" si="61"/>
        <v/>
      </c>
    </row>
    <row r="1947" spans="4:4" x14ac:dyDescent="0.3">
      <c r="D1947" t="str">
        <f t="shared" si="61"/>
        <v/>
      </c>
    </row>
    <row r="1948" spans="4:4" x14ac:dyDescent="0.3">
      <c r="D1948" t="str">
        <f t="shared" si="61"/>
        <v/>
      </c>
    </row>
    <row r="1949" spans="4:4" x14ac:dyDescent="0.3">
      <c r="D1949" t="str">
        <f t="shared" si="61"/>
        <v/>
      </c>
    </row>
    <row r="1950" spans="4:4" x14ac:dyDescent="0.3">
      <c r="D1950" t="str">
        <f t="shared" si="61"/>
        <v/>
      </c>
    </row>
    <row r="1951" spans="4:4" x14ac:dyDescent="0.3">
      <c r="D1951" t="str">
        <f t="shared" si="61"/>
        <v/>
      </c>
    </row>
    <row r="1952" spans="4:4" x14ac:dyDescent="0.3">
      <c r="D1952" t="str">
        <f t="shared" si="61"/>
        <v/>
      </c>
    </row>
    <row r="1953" spans="4:4" x14ac:dyDescent="0.3">
      <c r="D1953" t="str">
        <f t="shared" si="61"/>
        <v/>
      </c>
    </row>
    <row r="1954" spans="4:4" x14ac:dyDescent="0.3">
      <c r="D1954" t="str">
        <f t="shared" si="61"/>
        <v/>
      </c>
    </row>
    <row r="1955" spans="4:4" x14ac:dyDescent="0.3">
      <c r="D1955" t="str">
        <f t="shared" si="61"/>
        <v/>
      </c>
    </row>
    <row r="1956" spans="4:4" x14ac:dyDescent="0.3">
      <c r="D1956" t="str">
        <f t="shared" si="61"/>
        <v/>
      </c>
    </row>
    <row r="1957" spans="4:4" x14ac:dyDescent="0.3">
      <c r="D1957" t="str">
        <f t="shared" si="61"/>
        <v/>
      </c>
    </row>
    <row r="1958" spans="4:4" x14ac:dyDescent="0.3">
      <c r="D1958" t="str">
        <f t="shared" si="61"/>
        <v/>
      </c>
    </row>
    <row r="1959" spans="4:4" x14ac:dyDescent="0.3">
      <c r="D1959" t="str">
        <f t="shared" si="61"/>
        <v/>
      </c>
    </row>
    <row r="1960" spans="4:4" x14ac:dyDescent="0.3">
      <c r="D1960" t="str">
        <f t="shared" si="61"/>
        <v/>
      </c>
    </row>
    <row r="1961" spans="4:4" x14ac:dyDescent="0.3">
      <c r="D1961" t="str">
        <f t="shared" si="61"/>
        <v/>
      </c>
    </row>
    <row r="1962" spans="4:4" x14ac:dyDescent="0.3">
      <c r="D1962" t="str">
        <f t="shared" si="61"/>
        <v/>
      </c>
    </row>
    <row r="1963" spans="4:4" x14ac:dyDescent="0.3">
      <c r="D1963" t="str">
        <f t="shared" si="61"/>
        <v/>
      </c>
    </row>
    <row r="1964" spans="4:4" x14ac:dyDescent="0.3">
      <c r="D1964" t="str">
        <f t="shared" si="61"/>
        <v/>
      </c>
    </row>
    <row r="1965" spans="4:4" x14ac:dyDescent="0.3">
      <c r="D1965" t="str">
        <f t="shared" si="61"/>
        <v/>
      </c>
    </row>
    <row r="1966" spans="4:4" x14ac:dyDescent="0.3">
      <c r="D1966" t="str">
        <f t="shared" si="61"/>
        <v/>
      </c>
    </row>
    <row r="1967" spans="4:4" x14ac:dyDescent="0.3">
      <c r="D1967" t="str">
        <f t="shared" si="61"/>
        <v/>
      </c>
    </row>
    <row r="1968" spans="4:4" x14ac:dyDescent="0.3">
      <c r="D1968" t="str">
        <f t="shared" si="61"/>
        <v/>
      </c>
    </row>
    <row r="1969" spans="4:4" x14ac:dyDescent="0.3">
      <c r="D1969" t="str">
        <f t="shared" si="61"/>
        <v/>
      </c>
    </row>
    <row r="1970" spans="4:4" x14ac:dyDescent="0.3">
      <c r="D1970" t="str">
        <f t="shared" si="61"/>
        <v/>
      </c>
    </row>
    <row r="1971" spans="4:4" x14ac:dyDescent="0.3">
      <c r="D1971" t="str">
        <f t="shared" si="61"/>
        <v/>
      </c>
    </row>
    <row r="1972" spans="4:4" x14ac:dyDescent="0.3">
      <c r="D1972" t="str">
        <f t="shared" si="61"/>
        <v/>
      </c>
    </row>
    <row r="1973" spans="4:4" x14ac:dyDescent="0.3">
      <c r="D1973" t="str">
        <f t="shared" si="61"/>
        <v/>
      </c>
    </row>
    <row r="1974" spans="4:4" x14ac:dyDescent="0.3">
      <c r="D1974" t="str">
        <f t="shared" ref="D1974:D2037" si="62">IF(LEFT(A1974,2)="SP",MID(A1974,4,4),IF(LEFT(A1974,1)="X",MID(A1974,3,4),""))</f>
        <v/>
      </c>
    </row>
    <row r="1975" spans="4:4" x14ac:dyDescent="0.3">
      <c r="D1975" t="str">
        <f t="shared" si="62"/>
        <v/>
      </c>
    </row>
    <row r="1976" spans="4:4" x14ac:dyDescent="0.3">
      <c r="D1976" t="str">
        <f t="shared" si="62"/>
        <v/>
      </c>
    </row>
    <row r="1977" spans="4:4" x14ac:dyDescent="0.3">
      <c r="D1977" t="str">
        <f t="shared" si="62"/>
        <v/>
      </c>
    </row>
    <row r="1978" spans="4:4" x14ac:dyDescent="0.3">
      <c r="D1978" t="str">
        <f t="shared" si="62"/>
        <v/>
      </c>
    </row>
    <row r="1979" spans="4:4" x14ac:dyDescent="0.3">
      <c r="D1979" t="str">
        <f t="shared" si="62"/>
        <v/>
      </c>
    </row>
    <row r="1980" spans="4:4" x14ac:dyDescent="0.3">
      <c r="D1980" t="str">
        <f t="shared" si="62"/>
        <v/>
      </c>
    </row>
    <row r="1981" spans="4:4" x14ac:dyDescent="0.3">
      <c r="D1981" t="str">
        <f t="shared" si="62"/>
        <v/>
      </c>
    </row>
    <row r="1982" spans="4:4" x14ac:dyDescent="0.3">
      <c r="D1982" t="str">
        <f t="shared" si="62"/>
        <v/>
      </c>
    </row>
    <row r="1983" spans="4:4" x14ac:dyDescent="0.3">
      <c r="D1983" t="str">
        <f t="shared" si="62"/>
        <v/>
      </c>
    </row>
    <row r="1984" spans="4:4" x14ac:dyDescent="0.3">
      <c r="D1984" t="str">
        <f t="shared" si="62"/>
        <v/>
      </c>
    </row>
    <row r="1985" spans="4:4" x14ac:dyDescent="0.3">
      <c r="D1985" t="str">
        <f t="shared" si="62"/>
        <v/>
      </c>
    </row>
    <row r="1986" spans="4:4" x14ac:dyDescent="0.3">
      <c r="D1986" t="str">
        <f t="shared" si="62"/>
        <v/>
      </c>
    </row>
    <row r="1987" spans="4:4" x14ac:dyDescent="0.3">
      <c r="D1987" t="str">
        <f t="shared" si="62"/>
        <v/>
      </c>
    </row>
    <row r="1988" spans="4:4" x14ac:dyDescent="0.3">
      <c r="D1988" t="str">
        <f t="shared" si="62"/>
        <v/>
      </c>
    </row>
    <row r="1989" spans="4:4" x14ac:dyDescent="0.3">
      <c r="D1989" t="str">
        <f t="shared" si="62"/>
        <v/>
      </c>
    </row>
    <row r="1990" spans="4:4" x14ac:dyDescent="0.3">
      <c r="D1990" t="str">
        <f t="shared" si="62"/>
        <v/>
      </c>
    </row>
    <row r="1991" spans="4:4" x14ac:dyDescent="0.3">
      <c r="D1991" t="str">
        <f t="shared" si="62"/>
        <v/>
      </c>
    </row>
    <row r="1992" spans="4:4" x14ac:dyDescent="0.3">
      <c r="D1992" t="str">
        <f t="shared" si="62"/>
        <v/>
      </c>
    </row>
    <row r="1993" spans="4:4" x14ac:dyDescent="0.3">
      <c r="D1993" t="str">
        <f t="shared" si="62"/>
        <v/>
      </c>
    </row>
    <row r="1994" spans="4:4" x14ac:dyDescent="0.3">
      <c r="D1994" t="str">
        <f t="shared" si="62"/>
        <v/>
      </c>
    </row>
    <row r="1995" spans="4:4" x14ac:dyDescent="0.3">
      <c r="D1995" t="str">
        <f t="shared" si="62"/>
        <v/>
      </c>
    </row>
    <row r="1996" spans="4:4" x14ac:dyDescent="0.3">
      <c r="D1996" t="str">
        <f t="shared" si="62"/>
        <v/>
      </c>
    </row>
    <row r="1997" spans="4:4" x14ac:dyDescent="0.3">
      <c r="D1997" t="str">
        <f t="shared" si="62"/>
        <v/>
      </c>
    </row>
    <row r="1998" spans="4:4" x14ac:dyDescent="0.3">
      <c r="D1998" t="str">
        <f t="shared" si="62"/>
        <v/>
      </c>
    </row>
    <row r="1999" spans="4:4" x14ac:dyDescent="0.3">
      <c r="D1999" t="str">
        <f t="shared" si="62"/>
        <v/>
      </c>
    </row>
    <row r="2000" spans="4:4" x14ac:dyDescent="0.3">
      <c r="D2000" t="str">
        <f t="shared" si="62"/>
        <v/>
      </c>
    </row>
    <row r="2001" spans="4:4" x14ac:dyDescent="0.3">
      <c r="D2001" t="str">
        <f t="shared" si="62"/>
        <v/>
      </c>
    </row>
    <row r="2002" spans="4:4" x14ac:dyDescent="0.3">
      <c r="D2002" t="str">
        <f t="shared" si="62"/>
        <v/>
      </c>
    </row>
    <row r="2003" spans="4:4" x14ac:dyDescent="0.3">
      <c r="D2003" t="str">
        <f t="shared" si="62"/>
        <v/>
      </c>
    </row>
    <row r="2004" spans="4:4" x14ac:dyDescent="0.3">
      <c r="D2004" t="str">
        <f t="shared" si="62"/>
        <v/>
      </c>
    </row>
    <row r="2005" spans="4:4" x14ac:dyDescent="0.3">
      <c r="D2005" t="str">
        <f t="shared" si="62"/>
        <v/>
      </c>
    </row>
    <row r="2006" spans="4:4" x14ac:dyDescent="0.3">
      <c r="D2006" t="str">
        <f t="shared" si="62"/>
        <v/>
      </c>
    </row>
    <row r="2007" spans="4:4" x14ac:dyDescent="0.3">
      <c r="D2007" t="str">
        <f t="shared" si="62"/>
        <v/>
      </c>
    </row>
    <row r="2008" spans="4:4" x14ac:dyDescent="0.3">
      <c r="D2008" t="str">
        <f t="shared" si="62"/>
        <v/>
      </c>
    </row>
    <row r="2009" spans="4:4" x14ac:dyDescent="0.3">
      <c r="D2009" t="str">
        <f t="shared" si="62"/>
        <v/>
      </c>
    </row>
    <row r="2010" spans="4:4" x14ac:dyDescent="0.3">
      <c r="D2010" t="str">
        <f t="shared" si="62"/>
        <v/>
      </c>
    </row>
    <row r="2011" spans="4:4" x14ac:dyDescent="0.3">
      <c r="D2011" t="str">
        <f t="shared" si="62"/>
        <v/>
      </c>
    </row>
    <row r="2012" spans="4:4" x14ac:dyDescent="0.3">
      <c r="D2012" t="str">
        <f t="shared" si="62"/>
        <v/>
      </c>
    </row>
    <row r="2013" spans="4:4" x14ac:dyDescent="0.3">
      <c r="D2013" t="str">
        <f t="shared" si="62"/>
        <v/>
      </c>
    </row>
    <row r="2014" spans="4:4" x14ac:dyDescent="0.3">
      <c r="D2014" t="str">
        <f t="shared" si="62"/>
        <v/>
      </c>
    </row>
    <row r="2015" spans="4:4" x14ac:dyDescent="0.3">
      <c r="D2015" t="str">
        <f t="shared" si="62"/>
        <v/>
      </c>
    </row>
    <row r="2016" spans="4:4" x14ac:dyDescent="0.3">
      <c r="D2016" t="str">
        <f t="shared" si="62"/>
        <v/>
      </c>
    </row>
    <row r="2017" spans="4:4" x14ac:dyDescent="0.3">
      <c r="D2017" t="str">
        <f t="shared" si="62"/>
        <v/>
      </c>
    </row>
    <row r="2018" spans="4:4" x14ac:dyDescent="0.3">
      <c r="D2018" t="str">
        <f t="shared" si="62"/>
        <v/>
      </c>
    </row>
    <row r="2019" spans="4:4" x14ac:dyDescent="0.3">
      <c r="D2019" t="str">
        <f t="shared" si="62"/>
        <v/>
      </c>
    </row>
    <row r="2020" spans="4:4" x14ac:dyDescent="0.3">
      <c r="D2020" t="str">
        <f t="shared" si="62"/>
        <v/>
      </c>
    </row>
    <row r="2021" spans="4:4" x14ac:dyDescent="0.3">
      <c r="D2021" t="str">
        <f t="shared" si="62"/>
        <v/>
      </c>
    </row>
    <row r="2022" spans="4:4" x14ac:dyDescent="0.3">
      <c r="D2022" t="str">
        <f t="shared" si="62"/>
        <v/>
      </c>
    </row>
    <row r="2023" spans="4:4" x14ac:dyDescent="0.3">
      <c r="D2023" t="str">
        <f t="shared" si="62"/>
        <v/>
      </c>
    </row>
    <row r="2024" spans="4:4" x14ac:dyDescent="0.3">
      <c r="D2024" t="str">
        <f t="shared" si="62"/>
        <v/>
      </c>
    </row>
    <row r="2025" spans="4:4" x14ac:dyDescent="0.3">
      <c r="D2025" t="str">
        <f t="shared" si="62"/>
        <v/>
      </c>
    </row>
    <row r="2026" spans="4:4" x14ac:dyDescent="0.3">
      <c r="D2026" t="str">
        <f t="shared" si="62"/>
        <v/>
      </c>
    </row>
    <row r="2027" spans="4:4" x14ac:dyDescent="0.3">
      <c r="D2027" t="str">
        <f t="shared" si="62"/>
        <v/>
      </c>
    </row>
    <row r="2028" spans="4:4" x14ac:dyDescent="0.3">
      <c r="D2028" t="str">
        <f t="shared" si="62"/>
        <v/>
      </c>
    </row>
    <row r="2029" spans="4:4" x14ac:dyDescent="0.3">
      <c r="D2029" t="str">
        <f t="shared" si="62"/>
        <v/>
      </c>
    </row>
    <row r="2030" spans="4:4" x14ac:dyDescent="0.3">
      <c r="D2030" t="str">
        <f t="shared" si="62"/>
        <v/>
      </c>
    </row>
    <row r="2031" spans="4:4" x14ac:dyDescent="0.3">
      <c r="D2031" t="str">
        <f t="shared" si="62"/>
        <v/>
      </c>
    </row>
    <row r="2032" spans="4:4" x14ac:dyDescent="0.3">
      <c r="D2032" t="str">
        <f t="shared" si="62"/>
        <v/>
      </c>
    </row>
    <row r="2033" spans="4:4" x14ac:dyDescent="0.3">
      <c r="D2033" t="str">
        <f t="shared" si="62"/>
        <v/>
      </c>
    </row>
    <row r="2034" spans="4:4" x14ac:dyDescent="0.3">
      <c r="D2034" t="str">
        <f t="shared" si="62"/>
        <v/>
      </c>
    </row>
    <row r="2035" spans="4:4" x14ac:dyDescent="0.3">
      <c r="D2035" t="str">
        <f t="shared" si="62"/>
        <v/>
      </c>
    </row>
    <row r="2036" spans="4:4" x14ac:dyDescent="0.3">
      <c r="D2036" t="str">
        <f t="shared" si="62"/>
        <v/>
      </c>
    </row>
    <row r="2037" spans="4:4" x14ac:dyDescent="0.3">
      <c r="D2037" t="str">
        <f t="shared" si="62"/>
        <v/>
      </c>
    </row>
    <row r="2038" spans="4:4" x14ac:dyDescent="0.3">
      <c r="D2038" t="str">
        <f t="shared" ref="D2038:D2101" si="63">IF(LEFT(A2038,2)="SP",MID(A2038,4,4),IF(LEFT(A2038,1)="X",MID(A2038,3,4),""))</f>
        <v/>
      </c>
    </row>
    <row r="2039" spans="4:4" x14ac:dyDescent="0.3">
      <c r="D2039" t="str">
        <f t="shared" si="63"/>
        <v/>
      </c>
    </row>
    <row r="2040" spans="4:4" x14ac:dyDescent="0.3">
      <c r="D2040" t="str">
        <f t="shared" si="63"/>
        <v/>
      </c>
    </row>
    <row r="2041" spans="4:4" x14ac:dyDescent="0.3">
      <c r="D2041" t="str">
        <f t="shared" si="63"/>
        <v/>
      </c>
    </row>
    <row r="2042" spans="4:4" x14ac:dyDescent="0.3">
      <c r="D2042" t="str">
        <f t="shared" si="63"/>
        <v/>
      </c>
    </row>
    <row r="2043" spans="4:4" x14ac:dyDescent="0.3">
      <c r="D2043" t="str">
        <f t="shared" si="63"/>
        <v/>
      </c>
    </row>
    <row r="2044" spans="4:4" x14ac:dyDescent="0.3">
      <c r="D2044" t="str">
        <f t="shared" si="63"/>
        <v/>
      </c>
    </row>
    <row r="2045" spans="4:4" x14ac:dyDescent="0.3">
      <c r="D2045" t="str">
        <f t="shared" si="63"/>
        <v/>
      </c>
    </row>
    <row r="2046" spans="4:4" x14ac:dyDescent="0.3">
      <c r="D2046" t="str">
        <f t="shared" si="63"/>
        <v/>
      </c>
    </row>
    <row r="2047" spans="4:4" x14ac:dyDescent="0.3">
      <c r="D2047" t="str">
        <f t="shared" si="63"/>
        <v/>
      </c>
    </row>
    <row r="2048" spans="4:4" x14ac:dyDescent="0.3">
      <c r="D2048" t="str">
        <f t="shared" si="63"/>
        <v/>
      </c>
    </row>
    <row r="2049" spans="4:4" x14ac:dyDescent="0.3">
      <c r="D2049" t="str">
        <f t="shared" si="63"/>
        <v/>
      </c>
    </row>
    <row r="2050" spans="4:4" x14ac:dyDescent="0.3">
      <c r="D2050" t="str">
        <f t="shared" si="63"/>
        <v/>
      </c>
    </row>
    <row r="2051" spans="4:4" x14ac:dyDescent="0.3">
      <c r="D2051" t="str">
        <f t="shared" si="63"/>
        <v/>
      </c>
    </row>
    <row r="2052" spans="4:4" x14ac:dyDescent="0.3">
      <c r="D2052" t="str">
        <f t="shared" si="63"/>
        <v/>
      </c>
    </row>
    <row r="2053" spans="4:4" x14ac:dyDescent="0.3">
      <c r="D2053" t="str">
        <f t="shared" si="63"/>
        <v/>
      </c>
    </row>
    <row r="2054" spans="4:4" x14ac:dyDescent="0.3">
      <c r="D2054" t="str">
        <f t="shared" si="63"/>
        <v/>
      </c>
    </row>
    <row r="2055" spans="4:4" x14ac:dyDescent="0.3">
      <c r="D2055" t="str">
        <f t="shared" si="63"/>
        <v/>
      </c>
    </row>
    <row r="2056" spans="4:4" x14ac:dyDescent="0.3">
      <c r="D2056" t="str">
        <f t="shared" si="63"/>
        <v/>
      </c>
    </row>
    <row r="2057" spans="4:4" x14ac:dyDescent="0.3">
      <c r="D2057" t="str">
        <f t="shared" si="63"/>
        <v/>
      </c>
    </row>
    <row r="2058" spans="4:4" x14ac:dyDescent="0.3">
      <c r="D2058" t="str">
        <f t="shared" si="63"/>
        <v/>
      </c>
    </row>
    <row r="2059" spans="4:4" x14ac:dyDescent="0.3">
      <c r="D2059" t="str">
        <f t="shared" si="63"/>
        <v/>
      </c>
    </row>
    <row r="2060" spans="4:4" x14ac:dyDescent="0.3">
      <c r="D2060" t="str">
        <f t="shared" si="63"/>
        <v/>
      </c>
    </row>
    <row r="2061" spans="4:4" x14ac:dyDescent="0.3">
      <c r="D2061" t="str">
        <f t="shared" si="63"/>
        <v/>
      </c>
    </row>
    <row r="2062" spans="4:4" x14ac:dyDescent="0.3">
      <c r="D2062" t="str">
        <f t="shared" si="63"/>
        <v/>
      </c>
    </row>
    <row r="2063" spans="4:4" x14ac:dyDescent="0.3">
      <c r="D2063" t="str">
        <f t="shared" si="63"/>
        <v/>
      </c>
    </row>
    <row r="2064" spans="4:4" x14ac:dyDescent="0.3">
      <c r="D2064" t="str">
        <f t="shared" si="63"/>
        <v/>
      </c>
    </row>
    <row r="2065" spans="4:4" x14ac:dyDescent="0.3">
      <c r="D2065" t="str">
        <f t="shared" si="63"/>
        <v/>
      </c>
    </row>
    <row r="2066" spans="4:4" x14ac:dyDescent="0.3">
      <c r="D2066" t="str">
        <f t="shared" si="63"/>
        <v/>
      </c>
    </row>
    <row r="2067" spans="4:4" x14ac:dyDescent="0.3">
      <c r="D2067" t="str">
        <f t="shared" si="63"/>
        <v/>
      </c>
    </row>
    <row r="2068" spans="4:4" x14ac:dyDescent="0.3">
      <c r="D2068" t="str">
        <f t="shared" si="63"/>
        <v/>
      </c>
    </row>
    <row r="2069" spans="4:4" x14ac:dyDescent="0.3">
      <c r="D2069" t="str">
        <f t="shared" si="63"/>
        <v/>
      </c>
    </row>
    <row r="2070" spans="4:4" x14ac:dyDescent="0.3">
      <c r="D2070" t="str">
        <f t="shared" si="63"/>
        <v/>
      </c>
    </row>
    <row r="2071" spans="4:4" x14ac:dyDescent="0.3">
      <c r="D2071" t="str">
        <f t="shared" si="63"/>
        <v/>
      </c>
    </row>
    <row r="2072" spans="4:4" x14ac:dyDescent="0.3">
      <c r="D2072" t="str">
        <f t="shared" si="63"/>
        <v/>
      </c>
    </row>
    <row r="2073" spans="4:4" x14ac:dyDescent="0.3">
      <c r="D2073" t="str">
        <f t="shared" si="63"/>
        <v/>
      </c>
    </row>
    <row r="2074" spans="4:4" x14ac:dyDescent="0.3">
      <c r="D2074" t="str">
        <f t="shared" si="63"/>
        <v/>
      </c>
    </row>
    <row r="2075" spans="4:4" x14ac:dyDescent="0.3">
      <c r="D2075" t="str">
        <f t="shared" si="63"/>
        <v/>
      </c>
    </row>
    <row r="2076" spans="4:4" x14ac:dyDescent="0.3">
      <c r="D2076" t="str">
        <f t="shared" si="63"/>
        <v/>
      </c>
    </row>
    <row r="2077" spans="4:4" x14ac:dyDescent="0.3">
      <c r="D2077" t="str">
        <f t="shared" si="63"/>
        <v/>
      </c>
    </row>
    <row r="2078" spans="4:4" x14ac:dyDescent="0.3">
      <c r="D2078" t="str">
        <f t="shared" si="63"/>
        <v/>
      </c>
    </row>
    <row r="2079" spans="4:4" x14ac:dyDescent="0.3">
      <c r="D2079" t="str">
        <f t="shared" si="63"/>
        <v/>
      </c>
    </row>
    <row r="2080" spans="4:4" x14ac:dyDescent="0.3">
      <c r="D2080" t="str">
        <f t="shared" si="63"/>
        <v/>
      </c>
    </row>
    <row r="2081" spans="4:4" x14ac:dyDescent="0.3">
      <c r="D2081" t="str">
        <f t="shared" si="63"/>
        <v/>
      </c>
    </row>
    <row r="2082" spans="4:4" x14ac:dyDescent="0.3">
      <c r="D2082" t="str">
        <f t="shared" si="63"/>
        <v/>
      </c>
    </row>
    <row r="2083" spans="4:4" x14ac:dyDescent="0.3">
      <c r="D2083" t="str">
        <f t="shared" si="63"/>
        <v/>
      </c>
    </row>
    <row r="2084" spans="4:4" x14ac:dyDescent="0.3">
      <c r="D2084" t="str">
        <f t="shared" si="63"/>
        <v/>
      </c>
    </row>
    <row r="2085" spans="4:4" x14ac:dyDescent="0.3">
      <c r="D2085" t="str">
        <f t="shared" si="63"/>
        <v/>
      </c>
    </row>
    <row r="2086" spans="4:4" x14ac:dyDescent="0.3">
      <c r="D2086" t="str">
        <f t="shared" si="63"/>
        <v/>
      </c>
    </row>
    <row r="2087" spans="4:4" x14ac:dyDescent="0.3">
      <c r="D2087" t="str">
        <f t="shared" si="63"/>
        <v/>
      </c>
    </row>
    <row r="2088" spans="4:4" x14ac:dyDescent="0.3">
      <c r="D2088" t="str">
        <f t="shared" si="63"/>
        <v/>
      </c>
    </row>
    <row r="2089" spans="4:4" x14ac:dyDescent="0.3">
      <c r="D2089" t="str">
        <f t="shared" si="63"/>
        <v/>
      </c>
    </row>
    <row r="2090" spans="4:4" x14ac:dyDescent="0.3">
      <c r="D2090" t="str">
        <f t="shared" si="63"/>
        <v/>
      </c>
    </row>
    <row r="2091" spans="4:4" x14ac:dyDescent="0.3">
      <c r="D2091" t="str">
        <f t="shared" si="63"/>
        <v/>
      </c>
    </row>
    <row r="2092" spans="4:4" x14ac:dyDescent="0.3">
      <c r="D2092" t="str">
        <f t="shared" si="63"/>
        <v/>
      </c>
    </row>
    <row r="2093" spans="4:4" x14ac:dyDescent="0.3">
      <c r="D2093" t="str">
        <f t="shared" si="63"/>
        <v/>
      </c>
    </row>
    <row r="2094" spans="4:4" x14ac:dyDescent="0.3">
      <c r="D2094" t="str">
        <f t="shared" si="63"/>
        <v/>
      </c>
    </row>
    <row r="2095" spans="4:4" x14ac:dyDescent="0.3">
      <c r="D2095" t="str">
        <f t="shared" si="63"/>
        <v/>
      </c>
    </row>
    <row r="2096" spans="4:4" x14ac:dyDescent="0.3">
      <c r="D2096" t="str">
        <f t="shared" si="63"/>
        <v/>
      </c>
    </row>
    <row r="2097" spans="4:4" x14ac:dyDescent="0.3">
      <c r="D2097" t="str">
        <f t="shared" si="63"/>
        <v/>
      </c>
    </row>
    <row r="2098" spans="4:4" x14ac:dyDescent="0.3">
      <c r="D2098" t="str">
        <f t="shared" si="63"/>
        <v/>
      </c>
    </row>
    <row r="2099" spans="4:4" x14ac:dyDescent="0.3">
      <c r="D2099" t="str">
        <f t="shared" si="63"/>
        <v/>
      </c>
    </row>
    <row r="2100" spans="4:4" x14ac:dyDescent="0.3">
      <c r="D2100" t="str">
        <f t="shared" si="63"/>
        <v/>
      </c>
    </row>
    <row r="2101" spans="4:4" x14ac:dyDescent="0.3">
      <c r="D2101" t="str">
        <f t="shared" si="63"/>
        <v/>
      </c>
    </row>
    <row r="2102" spans="4:4" x14ac:dyDescent="0.3">
      <c r="D2102" t="str">
        <f t="shared" ref="D2102:D2165" si="64">IF(LEFT(A2102,2)="SP",MID(A2102,4,4),IF(LEFT(A2102,1)="X",MID(A2102,3,4),""))</f>
        <v/>
      </c>
    </row>
    <row r="2103" spans="4:4" x14ac:dyDescent="0.3">
      <c r="D2103" t="str">
        <f t="shared" si="64"/>
        <v/>
      </c>
    </row>
    <row r="2104" spans="4:4" x14ac:dyDescent="0.3">
      <c r="D2104" t="str">
        <f t="shared" si="64"/>
        <v/>
      </c>
    </row>
    <row r="2105" spans="4:4" x14ac:dyDescent="0.3">
      <c r="D2105" t="str">
        <f t="shared" si="64"/>
        <v/>
      </c>
    </row>
    <row r="2106" spans="4:4" x14ac:dyDescent="0.3">
      <c r="D2106" t="str">
        <f t="shared" si="64"/>
        <v/>
      </c>
    </row>
    <row r="2107" spans="4:4" x14ac:dyDescent="0.3">
      <c r="D2107" t="str">
        <f t="shared" si="64"/>
        <v/>
      </c>
    </row>
    <row r="2108" spans="4:4" x14ac:dyDescent="0.3">
      <c r="D2108" t="str">
        <f t="shared" si="64"/>
        <v/>
      </c>
    </row>
    <row r="2109" spans="4:4" x14ac:dyDescent="0.3">
      <c r="D2109" t="str">
        <f t="shared" si="64"/>
        <v/>
      </c>
    </row>
    <row r="2110" spans="4:4" x14ac:dyDescent="0.3">
      <c r="D2110" t="str">
        <f t="shared" si="64"/>
        <v/>
      </c>
    </row>
    <row r="2111" spans="4:4" x14ac:dyDescent="0.3">
      <c r="D2111" t="str">
        <f t="shared" si="64"/>
        <v/>
      </c>
    </row>
    <row r="2112" spans="4:4" x14ac:dyDescent="0.3">
      <c r="D2112" t="str">
        <f t="shared" si="64"/>
        <v/>
      </c>
    </row>
    <row r="2113" spans="4:4" x14ac:dyDescent="0.3">
      <c r="D2113" t="str">
        <f t="shared" si="64"/>
        <v/>
      </c>
    </row>
    <row r="2114" spans="4:4" x14ac:dyDescent="0.3">
      <c r="D2114" t="str">
        <f t="shared" si="64"/>
        <v/>
      </c>
    </row>
    <row r="2115" spans="4:4" x14ac:dyDescent="0.3">
      <c r="D2115" t="str">
        <f t="shared" si="64"/>
        <v/>
      </c>
    </row>
    <row r="2116" spans="4:4" x14ac:dyDescent="0.3">
      <c r="D2116" t="str">
        <f t="shared" si="64"/>
        <v/>
      </c>
    </row>
    <row r="2117" spans="4:4" x14ac:dyDescent="0.3">
      <c r="D2117" t="str">
        <f t="shared" si="64"/>
        <v/>
      </c>
    </row>
    <row r="2118" spans="4:4" x14ac:dyDescent="0.3">
      <c r="D2118" t="str">
        <f t="shared" si="64"/>
        <v/>
      </c>
    </row>
    <row r="2119" spans="4:4" x14ac:dyDescent="0.3">
      <c r="D2119" t="str">
        <f t="shared" si="64"/>
        <v/>
      </c>
    </row>
    <row r="2120" spans="4:4" x14ac:dyDescent="0.3">
      <c r="D2120" t="str">
        <f t="shared" si="64"/>
        <v/>
      </c>
    </row>
    <row r="2121" spans="4:4" x14ac:dyDescent="0.3">
      <c r="D2121" t="str">
        <f t="shared" si="64"/>
        <v/>
      </c>
    </row>
    <row r="2122" spans="4:4" x14ac:dyDescent="0.3">
      <c r="D2122" t="str">
        <f t="shared" si="64"/>
        <v/>
      </c>
    </row>
    <row r="2123" spans="4:4" x14ac:dyDescent="0.3">
      <c r="D2123" t="str">
        <f t="shared" si="64"/>
        <v/>
      </c>
    </row>
    <row r="2124" spans="4:4" x14ac:dyDescent="0.3">
      <c r="D2124" t="str">
        <f t="shared" si="64"/>
        <v/>
      </c>
    </row>
    <row r="2125" spans="4:4" x14ac:dyDescent="0.3">
      <c r="D2125" t="str">
        <f t="shared" si="64"/>
        <v/>
      </c>
    </row>
    <row r="2126" spans="4:4" x14ac:dyDescent="0.3">
      <c r="D2126" t="str">
        <f t="shared" si="64"/>
        <v/>
      </c>
    </row>
    <row r="2127" spans="4:4" x14ac:dyDescent="0.3">
      <c r="D2127" t="str">
        <f t="shared" si="64"/>
        <v/>
      </c>
    </row>
    <row r="2128" spans="4:4" x14ac:dyDescent="0.3">
      <c r="D2128" t="str">
        <f t="shared" si="64"/>
        <v/>
      </c>
    </row>
    <row r="2129" spans="4:4" x14ac:dyDescent="0.3">
      <c r="D2129" t="str">
        <f t="shared" si="64"/>
        <v/>
      </c>
    </row>
    <row r="2130" spans="4:4" x14ac:dyDescent="0.3">
      <c r="D2130" t="str">
        <f t="shared" si="64"/>
        <v/>
      </c>
    </row>
    <row r="2131" spans="4:4" x14ac:dyDescent="0.3">
      <c r="D2131" t="str">
        <f t="shared" si="64"/>
        <v/>
      </c>
    </row>
    <row r="2132" spans="4:4" x14ac:dyDescent="0.3">
      <c r="D2132" t="str">
        <f t="shared" si="64"/>
        <v/>
      </c>
    </row>
    <row r="2133" spans="4:4" x14ac:dyDescent="0.3">
      <c r="D2133" t="str">
        <f t="shared" si="64"/>
        <v/>
      </c>
    </row>
    <row r="2134" spans="4:4" x14ac:dyDescent="0.3">
      <c r="D2134" t="str">
        <f t="shared" si="64"/>
        <v/>
      </c>
    </row>
    <row r="2135" spans="4:4" x14ac:dyDescent="0.3">
      <c r="D2135" t="str">
        <f t="shared" si="64"/>
        <v/>
      </c>
    </row>
    <row r="2136" spans="4:4" x14ac:dyDescent="0.3">
      <c r="D2136" t="str">
        <f t="shared" si="64"/>
        <v/>
      </c>
    </row>
    <row r="2137" spans="4:4" x14ac:dyDescent="0.3">
      <c r="D2137" t="str">
        <f t="shared" si="64"/>
        <v/>
      </c>
    </row>
    <row r="2138" spans="4:4" x14ac:dyDescent="0.3">
      <c r="D2138" t="str">
        <f t="shared" si="64"/>
        <v/>
      </c>
    </row>
    <row r="2139" spans="4:4" x14ac:dyDescent="0.3">
      <c r="D2139" t="str">
        <f t="shared" si="64"/>
        <v/>
      </c>
    </row>
    <row r="2140" spans="4:4" x14ac:dyDescent="0.3">
      <c r="D2140" t="str">
        <f t="shared" si="64"/>
        <v/>
      </c>
    </row>
    <row r="2141" spans="4:4" x14ac:dyDescent="0.3">
      <c r="D2141" t="str">
        <f t="shared" si="64"/>
        <v/>
      </c>
    </row>
    <row r="2142" spans="4:4" x14ac:dyDescent="0.3">
      <c r="D2142" t="str">
        <f t="shared" si="64"/>
        <v/>
      </c>
    </row>
    <row r="2143" spans="4:4" x14ac:dyDescent="0.3">
      <c r="D2143" t="str">
        <f t="shared" si="64"/>
        <v/>
      </c>
    </row>
    <row r="2144" spans="4:4" x14ac:dyDescent="0.3">
      <c r="D2144" t="str">
        <f t="shared" si="64"/>
        <v/>
      </c>
    </row>
    <row r="2145" spans="4:4" x14ac:dyDescent="0.3">
      <c r="D2145" t="str">
        <f t="shared" si="64"/>
        <v/>
      </c>
    </row>
    <row r="2146" spans="4:4" x14ac:dyDescent="0.3">
      <c r="D2146" t="str">
        <f t="shared" si="64"/>
        <v/>
      </c>
    </row>
    <row r="2147" spans="4:4" x14ac:dyDescent="0.3">
      <c r="D2147" t="str">
        <f t="shared" si="64"/>
        <v/>
      </c>
    </row>
    <row r="2148" spans="4:4" x14ac:dyDescent="0.3">
      <c r="D2148" t="str">
        <f t="shared" si="64"/>
        <v/>
      </c>
    </row>
    <row r="2149" spans="4:4" x14ac:dyDescent="0.3">
      <c r="D2149" t="str">
        <f t="shared" si="64"/>
        <v/>
      </c>
    </row>
    <row r="2150" spans="4:4" x14ac:dyDescent="0.3">
      <c r="D2150" t="str">
        <f t="shared" si="64"/>
        <v/>
      </c>
    </row>
    <row r="2151" spans="4:4" x14ac:dyDescent="0.3">
      <c r="D2151" t="str">
        <f t="shared" si="64"/>
        <v/>
      </c>
    </row>
    <row r="2152" spans="4:4" x14ac:dyDescent="0.3">
      <c r="D2152" t="str">
        <f t="shared" si="64"/>
        <v/>
      </c>
    </row>
    <row r="2153" spans="4:4" x14ac:dyDescent="0.3">
      <c r="D2153" t="str">
        <f t="shared" si="64"/>
        <v/>
      </c>
    </row>
    <row r="2154" spans="4:4" x14ac:dyDescent="0.3">
      <c r="D2154" t="str">
        <f t="shared" si="64"/>
        <v/>
      </c>
    </row>
    <row r="2155" spans="4:4" x14ac:dyDescent="0.3">
      <c r="D2155" t="str">
        <f t="shared" si="64"/>
        <v/>
      </c>
    </row>
    <row r="2156" spans="4:4" x14ac:dyDescent="0.3">
      <c r="D2156" t="str">
        <f t="shared" si="64"/>
        <v/>
      </c>
    </row>
    <row r="2157" spans="4:4" x14ac:dyDescent="0.3">
      <c r="D2157" t="str">
        <f t="shared" si="64"/>
        <v/>
      </c>
    </row>
    <row r="2158" spans="4:4" x14ac:dyDescent="0.3">
      <c r="D2158" t="str">
        <f t="shared" si="64"/>
        <v/>
      </c>
    </row>
    <row r="2159" spans="4:4" x14ac:dyDescent="0.3">
      <c r="D2159" t="str">
        <f t="shared" si="64"/>
        <v/>
      </c>
    </row>
    <row r="2160" spans="4:4" x14ac:dyDescent="0.3">
      <c r="D2160" t="str">
        <f t="shared" si="64"/>
        <v/>
      </c>
    </row>
    <row r="2161" spans="4:4" x14ac:dyDescent="0.3">
      <c r="D2161" t="str">
        <f t="shared" si="64"/>
        <v/>
      </c>
    </row>
    <row r="2162" spans="4:4" x14ac:dyDescent="0.3">
      <c r="D2162" t="str">
        <f t="shared" si="64"/>
        <v/>
      </c>
    </row>
    <row r="2163" spans="4:4" x14ac:dyDescent="0.3">
      <c r="D2163" t="str">
        <f t="shared" si="64"/>
        <v/>
      </c>
    </row>
    <row r="2164" spans="4:4" x14ac:dyDescent="0.3">
      <c r="D2164" t="str">
        <f t="shared" si="64"/>
        <v/>
      </c>
    </row>
    <row r="2165" spans="4:4" x14ac:dyDescent="0.3">
      <c r="D2165" t="str">
        <f t="shared" si="64"/>
        <v/>
      </c>
    </row>
    <row r="2166" spans="4:4" x14ac:dyDescent="0.3">
      <c r="D2166" t="str">
        <f t="shared" ref="D2166:D2229" si="65">IF(LEFT(A2166,2)="SP",MID(A2166,4,4),IF(LEFT(A2166,1)="X",MID(A2166,3,4),""))</f>
        <v/>
      </c>
    </row>
    <row r="2167" spans="4:4" x14ac:dyDescent="0.3">
      <c r="D2167" t="str">
        <f t="shared" si="65"/>
        <v/>
      </c>
    </row>
    <row r="2168" spans="4:4" x14ac:dyDescent="0.3">
      <c r="D2168" t="str">
        <f t="shared" si="65"/>
        <v/>
      </c>
    </row>
    <row r="2169" spans="4:4" x14ac:dyDescent="0.3">
      <c r="D2169" t="str">
        <f t="shared" si="65"/>
        <v/>
      </c>
    </row>
    <row r="2170" spans="4:4" x14ac:dyDescent="0.3">
      <c r="D2170" t="str">
        <f t="shared" si="65"/>
        <v/>
      </c>
    </row>
    <row r="2171" spans="4:4" x14ac:dyDescent="0.3">
      <c r="D2171" t="str">
        <f t="shared" si="65"/>
        <v/>
      </c>
    </row>
    <row r="2172" spans="4:4" x14ac:dyDescent="0.3">
      <c r="D2172" t="str">
        <f t="shared" si="65"/>
        <v/>
      </c>
    </row>
    <row r="2173" spans="4:4" x14ac:dyDescent="0.3">
      <c r="D2173" t="str">
        <f t="shared" si="65"/>
        <v/>
      </c>
    </row>
    <row r="2174" spans="4:4" x14ac:dyDescent="0.3">
      <c r="D2174" t="str">
        <f t="shared" si="65"/>
        <v/>
      </c>
    </row>
    <row r="2175" spans="4:4" x14ac:dyDescent="0.3">
      <c r="D2175" t="str">
        <f t="shared" si="65"/>
        <v/>
      </c>
    </row>
    <row r="2176" spans="4:4" x14ac:dyDescent="0.3">
      <c r="D2176" t="str">
        <f t="shared" si="65"/>
        <v/>
      </c>
    </row>
    <row r="2177" spans="4:4" x14ac:dyDescent="0.3">
      <c r="D2177" t="str">
        <f t="shared" si="65"/>
        <v/>
      </c>
    </row>
    <row r="2178" spans="4:4" x14ac:dyDescent="0.3">
      <c r="D2178" t="str">
        <f t="shared" si="65"/>
        <v/>
      </c>
    </row>
    <row r="2179" spans="4:4" x14ac:dyDescent="0.3">
      <c r="D2179" t="str">
        <f t="shared" si="65"/>
        <v/>
      </c>
    </row>
    <row r="2180" spans="4:4" x14ac:dyDescent="0.3">
      <c r="D2180" t="str">
        <f t="shared" si="65"/>
        <v/>
      </c>
    </row>
    <row r="2181" spans="4:4" x14ac:dyDescent="0.3">
      <c r="D2181" t="str">
        <f t="shared" si="65"/>
        <v/>
      </c>
    </row>
    <row r="2182" spans="4:4" x14ac:dyDescent="0.3">
      <c r="D2182" t="str">
        <f t="shared" si="65"/>
        <v/>
      </c>
    </row>
    <row r="2183" spans="4:4" x14ac:dyDescent="0.3">
      <c r="D2183" t="str">
        <f t="shared" si="65"/>
        <v/>
      </c>
    </row>
    <row r="2184" spans="4:4" x14ac:dyDescent="0.3">
      <c r="D2184" t="str">
        <f t="shared" si="65"/>
        <v/>
      </c>
    </row>
    <row r="2185" spans="4:4" x14ac:dyDescent="0.3">
      <c r="D2185" t="str">
        <f t="shared" si="65"/>
        <v/>
      </c>
    </row>
    <row r="2186" spans="4:4" x14ac:dyDescent="0.3">
      <c r="D2186" t="str">
        <f t="shared" si="65"/>
        <v/>
      </c>
    </row>
    <row r="2187" spans="4:4" x14ac:dyDescent="0.3">
      <c r="D2187" t="str">
        <f t="shared" si="65"/>
        <v/>
      </c>
    </row>
    <row r="2188" spans="4:4" x14ac:dyDescent="0.3">
      <c r="D2188" t="str">
        <f t="shared" si="65"/>
        <v/>
      </c>
    </row>
    <row r="2189" spans="4:4" x14ac:dyDescent="0.3">
      <c r="D2189" t="str">
        <f t="shared" si="65"/>
        <v/>
      </c>
    </row>
    <row r="2190" spans="4:4" x14ac:dyDescent="0.3">
      <c r="D2190" t="str">
        <f t="shared" si="65"/>
        <v/>
      </c>
    </row>
    <row r="2191" spans="4:4" x14ac:dyDescent="0.3">
      <c r="D2191" t="str">
        <f t="shared" si="65"/>
        <v/>
      </c>
    </row>
    <row r="2192" spans="4:4" x14ac:dyDescent="0.3">
      <c r="D2192" t="str">
        <f t="shared" si="65"/>
        <v/>
      </c>
    </row>
    <row r="2193" spans="4:4" x14ac:dyDescent="0.3">
      <c r="D2193" t="str">
        <f t="shared" si="65"/>
        <v/>
      </c>
    </row>
    <row r="2194" spans="4:4" x14ac:dyDescent="0.3">
      <c r="D2194" t="str">
        <f t="shared" si="65"/>
        <v/>
      </c>
    </row>
    <row r="2195" spans="4:4" x14ac:dyDescent="0.3">
      <c r="D2195" t="str">
        <f t="shared" si="65"/>
        <v/>
      </c>
    </row>
    <row r="2196" spans="4:4" x14ac:dyDescent="0.3">
      <c r="D2196" t="str">
        <f t="shared" si="65"/>
        <v/>
      </c>
    </row>
    <row r="2197" spans="4:4" x14ac:dyDescent="0.3">
      <c r="D2197" t="str">
        <f t="shared" si="65"/>
        <v/>
      </c>
    </row>
    <row r="2198" spans="4:4" x14ac:dyDescent="0.3">
      <c r="D2198" t="str">
        <f t="shared" si="65"/>
        <v/>
      </c>
    </row>
    <row r="2199" spans="4:4" x14ac:dyDescent="0.3">
      <c r="D2199" t="str">
        <f t="shared" si="65"/>
        <v/>
      </c>
    </row>
    <row r="2200" spans="4:4" x14ac:dyDescent="0.3">
      <c r="D2200" t="str">
        <f t="shared" si="65"/>
        <v/>
      </c>
    </row>
    <row r="2201" spans="4:4" x14ac:dyDescent="0.3">
      <c r="D2201" t="str">
        <f t="shared" si="65"/>
        <v/>
      </c>
    </row>
    <row r="2202" spans="4:4" x14ac:dyDescent="0.3">
      <c r="D2202" t="str">
        <f t="shared" si="65"/>
        <v/>
      </c>
    </row>
    <row r="2203" spans="4:4" x14ac:dyDescent="0.3">
      <c r="D2203" t="str">
        <f t="shared" si="65"/>
        <v/>
      </c>
    </row>
    <row r="2204" spans="4:4" x14ac:dyDescent="0.3">
      <c r="D2204" t="str">
        <f t="shared" si="65"/>
        <v/>
      </c>
    </row>
    <row r="2205" spans="4:4" x14ac:dyDescent="0.3">
      <c r="D2205" t="str">
        <f t="shared" si="65"/>
        <v/>
      </c>
    </row>
    <row r="2206" spans="4:4" x14ac:dyDescent="0.3">
      <c r="D2206" t="str">
        <f t="shared" si="65"/>
        <v/>
      </c>
    </row>
    <row r="2207" spans="4:4" x14ac:dyDescent="0.3">
      <c r="D2207" t="str">
        <f t="shared" si="65"/>
        <v/>
      </c>
    </row>
    <row r="2208" spans="4:4" x14ac:dyDescent="0.3">
      <c r="D2208" t="str">
        <f t="shared" si="65"/>
        <v/>
      </c>
    </row>
    <row r="2209" spans="4:4" x14ac:dyDescent="0.3">
      <c r="D2209" t="str">
        <f t="shared" si="65"/>
        <v/>
      </c>
    </row>
    <row r="2210" spans="4:4" x14ac:dyDescent="0.3">
      <c r="D2210" t="str">
        <f t="shared" si="65"/>
        <v/>
      </c>
    </row>
    <row r="2211" spans="4:4" x14ac:dyDescent="0.3">
      <c r="D2211" t="str">
        <f t="shared" si="65"/>
        <v/>
      </c>
    </row>
    <row r="2212" spans="4:4" x14ac:dyDescent="0.3">
      <c r="D2212" t="str">
        <f t="shared" si="65"/>
        <v/>
      </c>
    </row>
    <row r="2213" spans="4:4" x14ac:dyDescent="0.3">
      <c r="D2213" t="str">
        <f t="shared" si="65"/>
        <v/>
      </c>
    </row>
    <row r="2214" spans="4:4" x14ac:dyDescent="0.3">
      <c r="D2214" t="str">
        <f t="shared" si="65"/>
        <v/>
      </c>
    </row>
    <row r="2215" spans="4:4" x14ac:dyDescent="0.3">
      <c r="D2215" t="str">
        <f t="shared" si="65"/>
        <v/>
      </c>
    </row>
    <row r="2216" spans="4:4" x14ac:dyDescent="0.3">
      <c r="D2216" t="str">
        <f t="shared" si="65"/>
        <v/>
      </c>
    </row>
    <row r="2217" spans="4:4" x14ac:dyDescent="0.3">
      <c r="D2217" t="str">
        <f t="shared" si="65"/>
        <v/>
      </c>
    </row>
    <row r="2218" spans="4:4" x14ac:dyDescent="0.3">
      <c r="D2218" t="str">
        <f t="shared" si="65"/>
        <v/>
      </c>
    </row>
    <row r="2219" spans="4:4" x14ac:dyDescent="0.3">
      <c r="D2219" t="str">
        <f t="shared" si="65"/>
        <v/>
      </c>
    </row>
    <row r="2220" spans="4:4" x14ac:dyDescent="0.3">
      <c r="D2220" t="str">
        <f t="shared" si="65"/>
        <v/>
      </c>
    </row>
    <row r="2221" spans="4:4" x14ac:dyDescent="0.3">
      <c r="D2221" t="str">
        <f t="shared" si="65"/>
        <v/>
      </c>
    </row>
    <row r="2222" spans="4:4" x14ac:dyDescent="0.3">
      <c r="D2222" t="str">
        <f t="shared" si="65"/>
        <v/>
      </c>
    </row>
    <row r="2223" spans="4:4" x14ac:dyDescent="0.3">
      <c r="D2223" t="str">
        <f t="shared" si="65"/>
        <v/>
      </c>
    </row>
    <row r="2224" spans="4:4" x14ac:dyDescent="0.3">
      <c r="D2224" t="str">
        <f t="shared" si="65"/>
        <v/>
      </c>
    </row>
    <row r="2225" spans="4:4" x14ac:dyDescent="0.3">
      <c r="D2225" t="str">
        <f t="shared" si="65"/>
        <v/>
      </c>
    </row>
    <row r="2226" spans="4:4" x14ac:dyDescent="0.3">
      <c r="D2226" t="str">
        <f t="shared" si="65"/>
        <v/>
      </c>
    </row>
    <row r="2227" spans="4:4" x14ac:dyDescent="0.3">
      <c r="D2227" t="str">
        <f t="shared" si="65"/>
        <v/>
      </c>
    </row>
    <row r="2228" spans="4:4" x14ac:dyDescent="0.3">
      <c r="D2228" t="str">
        <f t="shared" si="65"/>
        <v/>
      </c>
    </row>
    <row r="2229" spans="4:4" x14ac:dyDescent="0.3">
      <c r="D2229" t="str">
        <f t="shared" si="65"/>
        <v/>
      </c>
    </row>
    <row r="2230" spans="4:4" x14ac:dyDescent="0.3">
      <c r="D2230" t="str">
        <f t="shared" ref="D2230:D2293" si="66">IF(LEFT(A2230,2)="SP",MID(A2230,4,4),IF(LEFT(A2230,1)="X",MID(A2230,3,4),""))</f>
        <v/>
      </c>
    </row>
    <row r="2231" spans="4:4" x14ac:dyDescent="0.3">
      <c r="D2231" t="str">
        <f t="shared" si="66"/>
        <v/>
      </c>
    </row>
    <row r="2232" spans="4:4" x14ac:dyDescent="0.3">
      <c r="D2232" t="str">
        <f t="shared" si="66"/>
        <v/>
      </c>
    </row>
    <row r="2233" spans="4:4" x14ac:dyDescent="0.3">
      <c r="D2233" t="str">
        <f t="shared" si="66"/>
        <v/>
      </c>
    </row>
    <row r="2234" spans="4:4" x14ac:dyDescent="0.3">
      <c r="D2234" t="str">
        <f t="shared" si="66"/>
        <v/>
      </c>
    </row>
    <row r="2235" spans="4:4" x14ac:dyDescent="0.3">
      <c r="D2235" t="str">
        <f t="shared" si="66"/>
        <v/>
      </c>
    </row>
    <row r="2236" spans="4:4" x14ac:dyDescent="0.3">
      <c r="D2236" t="str">
        <f t="shared" si="66"/>
        <v/>
      </c>
    </row>
    <row r="2237" spans="4:4" x14ac:dyDescent="0.3">
      <c r="D2237" t="str">
        <f t="shared" si="66"/>
        <v/>
      </c>
    </row>
    <row r="2238" spans="4:4" x14ac:dyDescent="0.3">
      <c r="D2238" t="str">
        <f t="shared" si="66"/>
        <v/>
      </c>
    </row>
    <row r="2239" spans="4:4" x14ac:dyDescent="0.3">
      <c r="D2239" t="str">
        <f t="shared" si="66"/>
        <v/>
      </c>
    </row>
    <row r="2240" spans="4:4" x14ac:dyDescent="0.3">
      <c r="D2240" t="str">
        <f t="shared" si="66"/>
        <v/>
      </c>
    </row>
    <row r="2241" spans="4:4" x14ac:dyDescent="0.3">
      <c r="D2241" t="str">
        <f t="shared" si="66"/>
        <v/>
      </c>
    </row>
    <row r="2242" spans="4:4" x14ac:dyDescent="0.3">
      <c r="D2242" t="str">
        <f t="shared" si="66"/>
        <v/>
      </c>
    </row>
    <row r="2243" spans="4:4" x14ac:dyDescent="0.3">
      <c r="D2243" t="str">
        <f t="shared" si="66"/>
        <v/>
      </c>
    </row>
    <row r="2244" spans="4:4" x14ac:dyDescent="0.3">
      <c r="D2244" t="str">
        <f t="shared" si="66"/>
        <v/>
      </c>
    </row>
    <row r="2245" spans="4:4" x14ac:dyDescent="0.3">
      <c r="D2245" t="str">
        <f t="shared" si="66"/>
        <v/>
      </c>
    </row>
    <row r="2246" spans="4:4" x14ac:dyDescent="0.3">
      <c r="D2246" t="str">
        <f t="shared" si="66"/>
        <v/>
      </c>
    </row>
    <row r="2247" spans="4:4" x14ac:dyDescent="0.3">
      <c r="D2247" t="str">
        <f t="shared" si="66"/>
        <v/>
      </c>
    </row>
    <row r="2248" spans="4:4" x14ac:dyDescent="0.3">
      <c r="D2248" t="str">
        <f t="shared" si="66"/>
        <v/>
      </c>
    </row>
    <row r="2249" spans="4:4" x14ac:dyDescent="0.3">
      <c r="D2249" t="str">
        <f t="shared" si="66"/>
        <v/>
      </c>
    </row>
    <row r="2250" spans="4:4" x14ac:dyDescent="0.3">
      <c r="D2250" t="str">
        <f t="shared" si="66"/>
        <v/>
      </c>
    </row>
    <row r="2251" spans="4:4" x14ac:dyDescent="0.3">
      <c r="D2251" t="str">
        <f t="shared" si="66"/>
        <v/>
      </c>
    </row>
    <row r="2252" spans="4:4" x14ac:dyDescent="0.3">
      <c r="D2252" t="str">
        <f t="shared" si="66"/>
        <v/>
      </c>
    </row>
    <row r="2253" spans="4:4" x14ac:dyDescent="0.3">
      <c r="D2253" t="str">
        <f t="shared" si="66"/>
        <v/>
      </c>
    </row>
    <row r="2254" spans="4:4" x14ac:dyDescent="0.3">
      <c r="D2254" t="str">
        <f t="shared" si="66"/>
        <v/>
      </c>
    </row>
    <row r="2255" spans="4:4" x14ac:dyDescent="0.3">
      <c r="D2255" t="str">
        <f t="shared" si="66"/>
        <v/>
      </c>
    </row>
    <row r="2256" spans="4:4" x14ac:dyDescent="0.3">
      <c r="D2256" t="str">
        <f t="shared" si="66"/>
        <v/>
      </c>
    </row>
    <row r="2257" spans="4:4" x14ac:dyDescent="0.3">
      <c r="D2257" t="str">
        <f t="shared" si="66"/>
        <v/>
      </c>
    </row>
    <row r="2258" spans="4:4" x14ac:dyDescent="0.3">
      <c r="D2258" t="str">
        <f t="shared" si="66"/>
        <v/>
      </c>
    </row>
    <row r="2259" spans="4:4" x14ac:dyDescent="0.3">
      <c r="D2259" t="str">
        <f t="shared" si="66"/>
        <v/>
      </c>
    </row>
    <row r="2260" spans="4:4" x14ac:dyDescent="0.3">
      <c r="D2260" t="str">
        <f t="shared" si="66"/>
        <v/>
      </c>
    </row>
    <row r="2261" spans="4:4" x14ac:dyDescent="0.3">
      <c r="D2261" t="str">
        <f t="shared" si="66"/>
        <v/>
      </c>
    </row>
    <row r="2262" spans="4:4" x14ac:dyDescent="0.3">
      <c r="D2262" t="str">
        <f t="shared" si="66"/>
        <v/>
      </c>
    </row>
    <row r="2263" spans="4:4" x14ac:dyDescent="0.3">
      <c r="D2263" t="str">
        <f t="shared" si="66"/>
        <v/>
      </c>
    </row>
    <row r="2264" spans="4:4" x14ac:dyDescent="0.3">
      <c r="D2264" t="str">
        <f t="shared" si="66"/>
        <v/>
      </c>
    </row>
    <row r="2265" spans="4:4" x14ac:dyDescent="0.3">
      <c r="D2265" t="str">
        <f t="shared" si="66"/>
        <v/>
      </c>
    </row>
    <row r="2266" spans="4:4" x14ac:dyDescent="0.3">
      <c r="D2266" t="str">
        <f t="shared" si="66"/>
        <v/>
      </c>
    </row>
    <row r="2267" spans="4:4" x14ac:dyDescent="0.3">
      <c r="D2267" t="str">
        <f t="shared" si="66"/>
        <v/>
      </c>
    </row>
    <row r="2268" spans="4:4" x14ac:dyDescent="0.3">
      <c r="D2268" t="str">
        <f t="shared" si="66"/>
        <v/>
      </c>
    </row>
    <row r="2269" spans="4:4" x14ac:dyDescent="0.3">
      <c r="D2269" t="str">
        <f t="shared" si="66"/>
        <v/>
      </c>
    </row>
    <row r="2270" spans="4:4" x14ac:dyDescent="0.3">
      <c r="D2270" t="str">
        <f t="shared" si="66"/>
        <v/>
      </c>
    </row>
    <row r="2271" spans="4:4" x14ac:dyDescent="0.3">
      <c r="D2271" t="str">
        <f t="shared" si="66"/>
        <v/>
      </c>
    </row>
    <row r="2272" spans="4:4" x14ac:dyDescent="0.3">
      <c r="D2272" t="str">
        <f t="shared" si="66"/>
        <v/>
      </c>
    </row>
    <row r="2273" spans="4:4" x14ac:dyDescent="0.3">
      <c r="D2273" t="str">
        <f t="shared" si="66"/>
        <v/>
      </c>
    </row>
    <row r="2274" spans="4:4" x14ac:dyDescent="0.3">
      <c r="D2274" t="str">
        <f t="shared" si="66"/>
        <v/>
      </c>
    </row>
    <row r="2275" spans="4:4" x14ac:dyDescent="0.3">
      <c r="D2275" t="str">
        <f t="shared" si="66"/>
        <v/>
      </c>
    </row>
    <row r="2276" spans="4:4" x14ac:dyDescent="0.3">
      <c r="D2276" t="str">
        <f t="shared" si="66"/>
        <v/>
      </c>
    </row>
    <row r="2277" spans="4:4" x14ac:dyDescent="0.3">
      <c r="D2277" t="str">
        <f t="shared" si="66"/>
        <v/>
      </c>
    </row>
    <row r="2278" spans="4:4" x14ac:dyDescent="0.3">
      <c r="D2278" t="str">
        <f t="shared" si="66"/>
        <v/>
      </c>
    </row>
    <row r="2279" spans="4:4" x14ac:dyDescent="0.3">
      <c r="D2279" t="str">
        <f t="shared" si="66"/>
        <v/>
      </c>
    </row>
    <row r="2280" spans="4:4" x14ac:dyDescent="0.3">
      <c r="D2280" t="str">
        <f t="shared" si="66"/>
        <v/>
      </c>
    </row>
    <row r="2281" spans="4:4" x14ac:dyDescent="0.3">
      <c r="D2281" t="str">
        <f t="shared" si="66"/>
        <v/>
      </c>
    </row>
    <row r="2282" spans="4:4" x14ac:dyDescent="0.3">
      <c r="D2282" t="str">
        <f t="shared" si="66"/>
        <v/>
      </c>
    </row>
    <row r="2283" spans="4:4" x14ac:dyDescent="0.3">
      <c r="D2283" t="str">
        <f t="shared" si="66"/>
        <v/>
      </c>
    </row>
    <row r="2284" spans="4:4" x14ac:dyDescent="0.3">
      <c r="D2284" t="str">
        <f t="shared" si="66"/>
        <v/>
      </c>
    </row>
    <row r="2285" spans="4:4" x14ac:dyDescent="0.3">
      <c r="D2285" t="str">
        <f t="shared" si="66"/>
        <v/>
      </c>
    </row>
    <row r="2286" spans="4:4" x14ac:dyDescent="0.3">
      <c r="D2286" t="str">
        <f t="shared" si="66"/>
        <v/>
      </c>
    </row>
    <row r="2287" spans="4:4" x14ac:dyDescent="0.3">
      <c r="D2287" t="str">
        <f t="shared" si="66"/>
        <v/>
      </c>
    </row>
    <row r="2288" spans="4:4" x14ac:dyDescent="0.3">
      <c r="D2288" t="str">
        <f t="shared" si="66"/>
        <v/>
      </c>
    </row>
    <row r="2289" spans="4:4" x14ac:dyDescent="0.3">
      <c r="D2289" t="str">
        <f t="shared" si="66"/>
        <v/>
      </c>
    </row>
    <row r="2290" spans="4:4" x14ac:dyDescent="0.3">
      <c r="D2290" t="str">
        <f t="shared" si="66"/>
        <v/>
      </c>
    </row>
    <row r="2291" spans="4:4" x14ac:dyDescent="0.3">
      <c r="D2291" t="str">
        <f t="shared" si="66"/>
        <v/>
      </c>
    </row>
    <row r="2292" spans="4:4" x14ac:dyDescent="0.3">
      <c r="D2292" t="str">
        <f t="shared" si="66"/>
        <v/>
      </c>
    </row>
    <row r="2293" spans="4:4" x14ac:dyDescent="0.3">
      <c r="D2293" t="str">
        <f t="shared" si="66"/>
        <v/>
      </c>
    </row>
    <row r="2294" spans="4:4" x14ac:dyDescent="0.3">
      <c r="D2294" t="str">
        <f t="shared" ref="D2294:D2357" si="67">IF(LEFT(A2294,2)="SP",MID(A2294,4,4),IF(LEFT(A2294,1)="X",MID(A2294,3,4),""))</f>
        <v/>
      </c>
    </row>
    <row r="2295" spans="4:4" x14ac:dyDescent="0.3">
      <c r="D2295" t="str">
        <f t="shared" si="67"/>
        <v/>
      </c>
    </row>
    <row r="2296" spans="4:4" x14ac:dyDescent="0.3">
      <c r="D2296" t="str">
        <f t="shared" si="67"/>
        <v/>
      </c>
    </row>
    <row r="2297" spans="4:4" x14ac:dyDescent="0.3">
      <c r="D2297" t="str">
        <f t="shared" si="67"/>
        <v/>
      </c>
    </row>
    <row r="2298" spans="4:4" x14ac:dyDescent="0.3">
      <c r="D2298" t="str">
        <f t="shared" si="67"/>
        <v/>
      </c>
    </row>
    <row r="2299" spans="4:4" x14ac:dyDescent="0.3">
      <c r="D2299" t="str">
        <f t="shared" si="67"/>
        <v/>
      </c>
    </row>
    <row r="2300" spans="4:4" x14ac:dyDescent="0.3">
      <c r="D2300" t="str">
        <f t="shared" si="67"/>
        <v/>
      </c>
    </row>
    <row r="2301" spans="4:4" x14ac:dyDescent="0.3">
      <c r="D2301" t="str">
        <f t="shared" si="67"/>
        <v/>
      </c>
    </row>
    <row r="2302" spans="4:4" x14ac:dyDescent="0.3">
      <c r="D2302" t="str">
        <f t="shared" si="67"/>
        <v/>
      </c>
    </row>
    <row r="2303" spans="4:4" x14ac:dyDescent="0.3">
      <c r="D2303" t="str">
        <f t="shared" si="67"/>
        <v/>
      </c>
    </row>
    <row r="2304" spans="4:4" x14ac:dyDescent="0.3">
      <c r="D2304" t="str">
        <f t="shared" si="67"/>
        <v/>
      </c>
    </row>
    <row r="2305" spans="4:4" x14ac:dyDescent="0.3">
      <c r="D2305" t="str">
        <f t="shared" si="67"/>
        <v/>
      </c>
    </row>
    <row r="2306" spans="4:4" x14ac:dyDescent="0.3">
      <c r="D2306" t="str">
        <f t="shared" si="67"/>
        <v/>
      </c>
    </row>
    <row r="2307" spans="4:4" x14ac:dyDescent="0.3">
      <c r="D2307" t="str">
        <f t="shared" si="67"/>
        <v/>
      </c>
    </row>
    <row r="2308" spans="4:4" x14ac:dyDescent="0.3">
      <c r="D2308" t="str">
        <f t="shared" si="67"/>
        <v/>
      </c>
    </row>
    <row r="2309" spans="4:4" x14ac:dyDescent="0.3">
      <c r="D2309" t="str">
        <f t="shared" si="67"/>
        <v/>
      </c>
    </row>
    <row r="2310" spans="4:4" x14ac:dyDescent="0.3">
      <c r="D2310" t="str">
        <f t="shared" si="67"/>
        <v/>
      </c>
    </row>
    <row r="2311" spans="4:4" x14ac:dyDescent="0.3">
      <c r="D2311" t="str">
        <f t="shared" si="67"/>
        <v/>
      </c>
    </row>
    <row r="2312" spans="4:4" x14ac:dyDescent="0.3">
      <c r="D2312" t="str">
        <f t="shared" si="67"/>
        <v/>
      </c>
    </row>
    <row r="2313" spans="4:4" x14ac:dyDescent="0.3">
      <c r="D2313" t="str">
        <f t="shared" si="67"/>
        <v/>
      </c>
    </row>
    <row r="2314" spans="4:4" x14ac:dyDescent="0.3">
      <c r="D2314" t="str">
        <f t="shared" si="67"/>
        <v/>
      </c>
    </row>
    <row r="2315" spans="4:4" x14ac:dyDescent="0.3">
      <c r="D2315" t="str">
        <f t="shared" si="67"/>
        <v/>
      </c>
    </row>
    <row r="2316" spans="4:4" x14ac:dyDescent="0.3">
      <c r="D2316" t="str">
        <f t="shared" si="67"/>
        <v/>
      </c>
    </row>
    <row r="2317" spans="4:4" x14ac:dyDescent="0.3">
      <c r="D2317" t="str">
        <f t="shared" si="67"/>
        <v/>
      </c>
    </row>
    <row r="2318" spans="4:4" x14ac:dyDescent="0.3">
      <c r="D2318" t="str">
        <f t="shared" si="67"/>
        <v/>
      </c>
    </row>
    <row r="2319" spans="4:4" x14ac:dyDescent="0.3">
      <c r="D2319" t="str">
        <f t="shared" si="67"/>
        <v/>
      </c>
    </row>
    <row r="2320" spans="4:4" x14ac:dyDescent="0.3">
      <c r="D2320" t="str">
        <f t="shared" si="67"/>
        <v/>
      </c>
    </row>
    <row r="2321" spans="4:4" x14ac:dyDescent="0.3">
      <c r="D2321" t="str">
        <f t="shared" si="67"/>
        <v/>
      </c>
    </row>
    <row r="2322" spans="4:4" x14ac:dyDescent="0.3">
      <c r="D2322" t="str">
        <f t="shared" si="67"/>
        <v/>
      </c>
    </row>
    <row r="2323" spans="4:4" x14ac:dyDescent="0.3">
      <c r="D2323" t="str">
        <f t="shared" si="67"/>
        <v/>
      </c>
    </row>
    <row r="2324" spans="4:4" x14ac:dyDescent="0.3">
      <c r="D2324" t="str">
        <f t="shared" si="67"/>
        <v/>
      </c>
    </row>
    <row r="2325" spans="4:4" x14ac:dyDescent="0.3">
      <c r="D2325" t="str">
        <f t="shared" si="67"/>
        <v/>
      </c>
    </row>
    <row r="2326" spans="4:4" x14ac:dyDescent="0.3">
      <c r="D2326" t="str">
        <f t="shared" si="67"/>
        <v/>
      </c>
    </row>
    <row r="2327" spans="4:4" x14ac:dyDescent="0.3">
      <c r="D2327" t="str">
        <f t="shared" si="67"/>
        <v/>
      </c>
    </row>
    <row r="2328" spans="4:4" x14ac:dyDescent="0.3">
      <c r="D2328" t="str">
        <f t="shared" si="67"/>
        <v/>
      </c>
    </row>
    <row r="2329" spans="4:4" x14ac:dyDescent="0.3">
      <c r="D2329" t="str">
        <f t="shared" si="67"/>
        <v/>
      </c>
    </row>
    <row r="2330" spans="4:4" x14ac:dyDescent="0.3">
      <c r="D2330" t="str">
        <f t="shared" si="67"/>
        <v/>
      </c>
    </row>
    <row r="2331" spans="4:4" x14ac:dyDescent="0.3">
      <c r="D2331" t="str">
        <f t="shared" si="67"/>
        <v/>
      </c>
    </row>
    <row r="2332" spans="4:4" x14ac:dyDescent="0.3">
      <c r="D2332" t="str">
        <f t="shared" si="67"/>
        <v/>
      </c>
    </row>
    <row r="2333" spans="4:4" x14ac:dyDescent="0.3">
      <c r="D2333" t="str">
        <f t="shared" si="67"/>
        <v/>
      </c>
    </row>
    <row r="2334" spans="4:4" x14ac:dyDescent="0.3">
      <c r="D2334" t="str">
        <f t="shared" si="67"/>
        <v/>
      </c>
    </row>
    <row r="2335" spans="4:4" x14ac:dyDescent="0.3">
      <c r="D2335" t="str">
        <f t="shared" si="67"/>
        <v/>
      </c>
    </row>
    <row r="2336" spans="4:4" x14ac:dyDescent="0.3">
      <c r="D2336" t="str">
        <f t="shared" si="67"/>
        <v/>
      </c>
    </row>
    <row r="2337" spans="4:4" x14ac:dyDescent="0.3">
      <c r="D2337" t="str">
        <f t="shared" si="67"/>
        <v/>
      </c>
    </row>
    <row r="2338" spans="4:4" x14ac:dyDescent="0.3">
      <c r="D2338" t="str">
        <f t="shared" si="67"/>
        <v/>
      </c>
    </row>
    <row r="2339" spans="4:4" x14ac:dyDescent="0.3">
      <c r="D2339" t="str">
        <f t="shared" si="67"/>
        <v/>
      </c>
    </row>
    <row r="2340" spans="4:4" x14ac:dyDescent="0.3">
      <c r="D2340" t="str">
        <f t="shared" si="67"/>
        <v/>
      </c>
    </row>
    <row r="2341" spans="4:4" x14ac:dyDescent="0.3">
      <c r="D2341" t="str">
        <f t="shared" si="67"/>
        <v/>
      </c>
    </row>
    <row r="2342" spans="4:4" x14ac:dyDescent="0.3">
      <c r="D2342" t="str">
        <f t="shared" si="67"/>
        <v/>
      </c>
    </row>
    <row r="2343" spans="4:4" x14ac:dyDescent="0.3">
      <c r="D2343" t="str">
        <f t="shared" si="67"/>
        <v/>
      </c>
    </row>
    <row r="2344" spans="4:4" x14ac:dyDescent="0.3">
      <c r="D2344" t="str">
        <f t="shared" si="67"/>
        <v/>
      </c>
    </row>
    <row r="2345" spans="4:4" x14ac:dyDescent="0.3">
      <c r="D2345" t="str">
        <f t="shared" si="67"/>
        <v/>
      </c>
    </row>
    <row r="2346" spans="4:4" x14ac:dyDescent="0.3">
      <c r="D2346" t="str">
        <f t="shared" si="67"/>
        <v/>
      </c>
    </row>
    <row r="2347" spans="4:4" x14ac:dyDescent="0.3">
      <c r="D2347" t="str">
        <f t="shared" si="67"/>
        <v/>
      </c>
    </row>
    <row r="2348" spans="4:4" x14ac:dyDescent="0.3">
      <c r="D2348" t="str">
        <f t="shared" si="67"/>
        <v/>
      </c>
    </row>
    <row r="2349" spans="4:4" x14ac:dyDescent="0.3">
      <c r="D2349" t="str">
        <f t="shared" si="67"/>
        <v/>
      </c>
    </row>
    <row r="2350" spans="4:4" x14ac:dyDescent="0.3">
      <c r="D2350" t="str">
        <f t="shared" si="67"/>
        <v/>
      </c>
    </row>
    <row r="2351" spans="4:4" x14ac:dyDescent="0.3">
      <c r="D2351" t="str">
        <f t="shared" si="67"/>
        <v/>
      </c>
    </row>
    <row r="2352" spans="4:4" x14ac:dyDescent="0.3">
      <c r="D2352" t="str">
        <f t="shared" si="67"/>
        <v/>
      </c>
    </row>
    <row r="2353" spans="4:4" x14ac:dyDescent="0.3">
      <c r="D2353" t="str">
        <f t="shared" si="67"/>
        <v/>
      </c>
    </row>
    <row r="2354" spans="4:4" x14ac:dyDescent="0.3">
      <c r="D2354" t="str">
        <f t="shared" si="67"/>
        <v/>
      </c>
    </row>
    <row r="2355" spans="4:4" x14ac:dyDescent="0.3">
      <c r="D2355" t="str">
        <f t="shared" si="67"/>
        <v/>
      </c>
    </row>
    <row r="2356" spans="4:4" x14ac:dyDescent="0.3">
      <c r="D2356" t="str">
        <f t="shared" si="67"/>
        <v/>
      </c>
    </row>
    <row r="2357" spans="4:4" x14ac:dyDescent="0.3">
      <c r="D2357" t="str">
        <f t="shared" si="67"/>
        <v/>
      </c>
    </row>
    <row r="2358" spans="4:4" x14ac:dyDescent="0.3">
      <c r="D2358" t="str">
        <f t="shared" ref="D2358:D2421" si="68">IF(LEFT(A2358,2)="SP",MID(A2358,4,4),IF(LEFT(A2358,1)="X",MID(A2358,3,4),""))</f>
        <v/>
      </c>
    </row>
    <row r="2359" spans="4:4" x14ac:dyDescent="0.3">
      <c r="D2359" t="str">
        <f t="shared" si="68"/>
        <v/>
      </c>
    </row>
    <row r="2360" spans="4:4" x14ac:dyDescent="0.3">
      <c r="D2360" t="str">
        <f t="shared" si="68"/>
        <v/>
      </c>
    </row>
    <row r="2361" spans="4:4" x14ac:dyDescent="0.3">
      <c r="D2361" t="str">
        <f t="shared" si="68"/>
        <v/>
      </c>
    </row>
    <row r="2362" spans="4:4" x14ac:dyDescent="0.3">
      <c r="D2362" t="str">
        <f t="shared" si="68"/>
        <v/>
      </c>
    </row>
    <row r="2363" spans="4:4" x14ac:dyDescent="0.3">
      <c r="D2363" t="str">
        <f t="shared" si="68"/>
        <v/>
      </c>
    </row>
    <row r="2364" spans="4:4" x14ac:dyDescent="0.3">
      <c r="D2364" t="str">
        <f t="shared" si="68"/>
        <v/>
      </c>
    </row>
    <row r="2365" spans="4:4" x14ac:dyDescent="0.3">
      <c r="D2365" t="str">
        <f t="shared" si="68"/>
        <v/>
      </c>
    </row>
    <row r="2366" spans="4:4" x14ac:dyDescent="0.3">
      <c r="D2366" t="str">
        <f t="shared" si="68"/>
        <v/>
      </c>
    </row>
    <row r="2367" spans="4:4" x14ac:dyDescent="0.3">
      <c r="D2367" t="str">
        <f t="shared" si="68"/>
        <v/>
      </c>
    </row>
    <row r="2368" spans="4:4" x14ac:dyDescent="0.3">
      <c r="D2368" t="str">
        <f t="shared" si="68"/>
        <v/>
      </c>
    </row>
    <row r="2369" spans="4:4" x14ac:dyDescent="0.3">
      <c r="D2369" t="str">
        <f t="shared" si="68"/>
        <v/>
      </c>
    </row>
    <row r="2370" spans="4:4" x14ac:dyDescent="0.3">
      <c r="D2370" t="str">
        <f t="shared" si="68"/>
        <v/>
      </c>
    </row>
    <row r="2371" spans="4:4" x14ac:dyDescent="0.3">
      <c r="D2371" t="str">
        <f t="shared" si="68"/>
        <v/>
      </c>
    </row>
    <row r="2372" spans="4:4" x14ac:dyDescent="0.3">
      <c r="D2372" t="str">
        <f t="shared" si="68"/>
        <v/>
      </c>
    </row>
    <row r="2373" spans="4:4" x14ac:dyDescent="0.3">
      <c r="D2373" t="str">
        <f t="shared" si="68"/>
        <v/>
      </c>
    </row>
    <row r="2374" spans="4:4" x14ac:dyDescent="0.3">
      <c r="D2374" t="str">
        <f t="shared" si="68"/>
        <v/>
      </c>
    </row>
    <row r="2375" spans="4:4" x14ac:dyDescent="0.3">
      <c r="D2375" t="str">
        <f t="shared" si="68"/>
        <v/>
      </c>
    </row>
    <row r="2376" spans="4:4" x14ac:dyDescent="0.3">
      <c r="D2376" t="str">
        <f t="shared" si="68"/>
        <v/>
      </c>
    </row>
    <row r="2377" spans="4:4" x14ac:dyDescent="0.3">
      <c r="D2377" t="str">
        <f t="shared" si="68"/>
        <v/>
      </c>
    </row>
    <row r="2378" spans="4:4" x14ac:dyDescent="0.3">
      <c r="D2378" t="str">
        <f t="shared" si="68"/>
        <v/>
      </c>
    </row>
    <row r="2379" spans="4:4" x14ac:dyDescent="0.3">
      <c r="D2379" t="str">
        <f t="shared" si="68"/>
        <v/>
      </c>
    </row>
    <row r="2380" spans="4:4" x14ac:dyDescent="0.3">
      <c r="D2380" t="str">
        <f t="shared" si="68"/>
        <v/>
      </c>
    </row>
    <row r="2381" spans="4:4" x14ac:dyDescent="0.3">
      <c r="D2381" t="str">
        <f t="shared" si="68"/>
        <v/>
      </c>
    </row>
    <row r="2382" spans="4:4" x14ac:dyDescent="0.3">
      <c r="D2382" t="str">
        <f t="shared" si="68"/>
        <v/>
      </c>
    </row>
    <row r="2383" spans="4:4" x14ac:dyDescent="0.3">
      <c r="D2383" t="str">
        <f t="shared" si="68"/>
        <v/>
      </c>
    </row>
    <row r="2384" spans="4:4" x14ac:dyDescent="0.3">
      <c r="D2384" t="str">
        <f t="shared" si="68"/>
        <v/>
      </c>
    </row>
    <row r="2385" spans="4:4" x14ac:dyDescent="0.3">
      <c r="D2385" t="str">
        <f t="shared" si="68"/>
        <v/>
      </c>
    </row>
    <row r="2386" spans="4:4" x14ac:dyDescent="0.3">
      <c r="D2386" t="str">
        <f t="shared" si="68"/>
        <v/>
      </c>
    </row>
    <row r="2387" spans="4:4" x14ac:dyDescent="0.3">
      <c r="D2387" t="str">
        <f t="shared" si="68"/>
        <v/>
      </c>
    </row>
    <row r="2388" spans="4:4" x14ac:dyDescent="0.3">
      <c r="D2388" t="str">
        <f t="shared" si="68"/>
        <v/>
      </c>
    </row>
    <row r="2389" spans="4:4" x14ac:dyDescent="0.3">
      <c r="D2389" t="str">
        <f t="shared" si="68"/>
        <v/>
      </c>
    </row>
    <row r="2390" spans="4:4" x14ac:dyDescent="0.3">
      <c r="D2390" t="str">
        <f t="shared" si="68"/>
        <v/>
      </c>
    </row>
    <row r="2391" spans="4:4" x14ac:dyDescent="0.3">
      <c r="D2391" t="str">
        <f t="shared" si="68"/>
        <v/>
      </c>
    </row>
    <row r="2392" spans="4:4" x14ac:dyDescent="0.3">
      <c r="D2392" t="str">
        <f t="shared" si="68"/>
        <v/>
      </c>
    </row>
    <row r="2393" spans="4:4" x14ac:dyDescent="0.3">
      <c r="D2393" t="str">
        <f t="shared" si="68"/>
        <v/>
      </c>
    </row>
    <row r="2394" spans="4:4" x14ac:dyDescent="0.3">
      <c r="D2394" t="str">
        <f t="shared" si="68"/>
        <v/>
      </c>
    </row>
    <row r="2395" spans="4:4" x14ac:dyDescent="0.3">
      <c r="D2395" t="str">
        <f t="shared" si="68"/>
        <v/>
      </c>
    </row>
    <row r="2396" spans="4:4" x14ac:dyDescent="0.3">
      <c r="D2396" t="str">
        <f t="shared" si="68"/>
        <v/>
      </c>
    </row>
    <row r="2397" spans="4:4" x14ac:dyDescent="0.3">
      <c r="D2397" t="str">
        <f t="shared" si="68"/>
        <v/>
      </c>
    </row>
    <row r="2398" spans="4:4" x14ac:dyDescent="0.3">
      <c r="D2398" t="str">
        <f t="shared" si="68"/>
        <v/>
      </c>
    </row>
    <row r="2399" spans="4:4" x14ac:dyDescent="0.3">
      <c r="D2399" t="str">
        <f t="shared" si="68"/>
        <v/>
      </c>
    </row>
    <row r="2400" spans="4:4" x14ac:dyDescent="0.3">
      <c r="D2400" t="str">
        <f t="shared" si="68"/>
        <v/>
      </c>
    </row>
    <row r="2401" spans="4:4" x14ac:dyDescent="0.3">
      <c r="D2401" t="str">
        <f t="shared" si="68"/>
        <v/>
      </c>
    </row>
    <row r="2402" spans="4:4" x14ac:dyDescent="0.3">
      <c r="D2402" t="str">
        <f t="shared" si="68"/>
        <v/>
      </c>
    </row>
    <row r="2403" spans="4:4" x14ac:dyDescent="0.3">
      <c r="D2403" t="str">
        <f t="shared" si="68"/>
        <v/>
      </c>
    </row>
    <row r="2404" spans="4:4" x14ac:dyDescent="0.3">
      <c r="D2404" t="str">
        <f t="shared" si="68"/>
        <v/>
      </c>
    </row>
    <row r="2405" spans="4:4" x14ac:dyDescent="0.3">
      <c r="D2405" t="str">
        <f t="shared" si="68"/>
        <v/>
      </c>
    </row>
    <row r="2406" spans="4:4" x14ac:dyDescent="0.3">
      <c r="D2406" t="str">
        <f t="shared" si="68"/>
        <v/>
      </c>
    </row>
    <row r="2407" spans="4:4" x14ac:dyDescent="0.3">
      <c r="D2407" t="str">
        <f t="shared" si="68"/>
        <v/>
      </c>
    </row>
    <row r="2408" spans="4:4" x14ac:dyDescent="0.3">
      <c r="D2408" t="str">
        <f t="shared" si="68"/>
        <v/>
      </c>
    </row>
    <row r="2409" spans="4:4" x14ac:dyDescent="0.3">
      <c r="D2409" t="str">
        <f t="shared" si="68"/>
        <v/>
      </c>
    </row>
    <row r="2410" spans="4:4" x14ac:dyDescent="0.3">
      <c r="D2410" t="str">
        <f t="shared" si="68"/>
        <v/>
      </c>
    </row>
    <row r="2411" spans="4:4" x14ac:dyDescent="0.3">
      <c r="D2411" t="str">
        <f t="shared" si="68"/>
        <v/>
      </c>
    </row>
    <row r="2412" spans="4:4" x14ac:dyDescent="0.3">
      <c r="D2412" t="str">
        <f t="shared" si="68"/>
        <v/>
      </c>
    </row>
    <row r="2413" spans="4:4" x14ac:dyDescent="0.3">
      <c r="D2413" t="str">
        <f t="shared" si="68"/>
        <v/>
      </c>
    </row>
    <row r="2414" spans="4:4" x14ac:dyDescent="0.3">
      <c r="D2414" t="str">
        <f t="shared" si="68"/>
        <v/>
      </c>
    </row>
    <row r="2415" spans="4:4" x14ac:dyDescent="0.3">
      <c r="D2415" t="str">
        <f t="shared" si="68"/>
        <v/>
      </c>
    </row>
    <row r="2416" spans="4:4" x14ac:dyDescent="0.3">
      <c r="D2416" t="str">
        <f t="shared" si="68"/>
        <v/>
      </c>
    </row>
    <row r="2417" spans="4:4" x14ac:dyDescent="0.3">
      <c r="D2417" t="str">
        <f t="shared" si="68"/>
        <v/>
      </c>
    </row>
    <row r="2418" spans="4:4" x14ac:dyDescent="0.3">
      <c r="D2418" t="str">
        <f t="shared" si="68"/>
        <v/>
      </c>
    </row>
    <row r="2419" spans="4:4" x14ac:dyDescent="0.3">
      <c r="D2419" t="str">
        <f t="shared" si="68"/>
        <v/>
      </c>
    </row>
    <row r="2420" spans="4:4" x14ac:dyDescent="0.3">
      <c r="D2420" t="str">
        <f t="shared" si="68"/>
        <v/>
      </c>
    </row>
    <row r="2421" spans="4:4" x14ac:dyDescent="0.3">
      <c r="D2421" t="str">
        <f t="shared" si="68"/>
        <v/>
      </c>
    </row>
    <row r="2422" spans="4:4" x14ac:dyDescent="0.3">
      <c r="D2422" t="str">
        <f t="shared" ref="D2422:D2485" si="69">IF(LEFT(A2422,2)="SP",MID(A2422,4,4),IF(LEFT(A2422,1)="X",MID(A2422,3,4),""))</f>
        <v/>
      </c>
    </row>
    <row r="2423" spans="4:4" x14ac:dyDescent="0.3">
      <c r="D2423" t="str">
        <f t="shared" si="69"/>
        <v/>
      </c>
    </row>
    <row r="2424" spans="4:4" x14ac:dyDescent="0.3">
      <c r="D2424" t="str">
        <f t="shared" si="69"/>
        <v/>
      </c>
    </row>
    <row r="2425" spans="4:4" x14ac:dyDescent="0.3">
      <c r="D2425" t="str">
        <f t="shared" si="69"/>
        <v/>
      </c>
    </row>
    <row r="2426" spans="4:4" x14ac:dyDescent="0.3">
      <c r="D2426" t="str">
        <f t="shared" si="69"/>
        <v/>
      </c>
    </row>
    <row r="2427" spans="4:4" x14ac:dyDescent="0.3">
      <c r="D2427" t="str">
        <f t="shared" si="69"/>
        <v/>
      </c>
    </row>
    <row r="2428" spans="4:4" x14ac:dyDescent="0.3">
      <c r="D2428" t="str">
        <f t="shared" si="69"/>
        <v/>
      </c>
    </row>
    <row r="2429" spans="4:4" x14ac:dyDescent="0.3">
      <c r="D2429" t="str">
        <f t="shared" si="69"/>
        <v/>
      </c>
    </row>
    <row r="2430" spans="4:4" x14ac:dyDescent="0.3">
      <c r="D2430" t="str">
        <f t="shared" si="69"/>
        <v/>
      </c>
    </row>
    <row r="2431" spans="4:4" x14ac:dyDescent="0.3">
      <c r="D2431" t="str">
        <f t="shared" si="69"/>
        <v/>
      </c>
    </row>
    <row r="2432" spans="4:4" x14ac:dyDescent="0.3">
      <c r="D2432" t="str">
        <f t="shared" si="69"/>
        <v/>
      </c>
    </row>
    <row r="2433" spans="4:4" x14ac:dyDescent="0.3">
      <c r="D2433" t="str">
        <f t="shared" si="69"/>
        <v/>
      </c>
    </row>
    <row r="2434" spans="4:4" x14ac:dyDescent="0.3">
      <c r="D2434" t="str">
        <f t="shared" si="69"/>
        <v/>
      </c>
    </row>
    <row r="2435" spans="4:4" x14ac:dyDescent="0.3">
      <c r="D2435" t="str">
        <f t="shared" si="69"/>
        <v/>
      </c>
    </row>
    <row r="2436" spans="4:4" x14ac:dyDescent="0.3">
      <c r="D2436" t="str">
        <f t="shared" si="69"/>
        <v/>
      </c>
    </row>
    <row r="2437" spans="4:4" x14ac:dyDescent="0.3">
      <c r="D2437" t="str">
        <f t="shared" si="69"/>
        <v/>
      </c>
    </row>
    <row r="2438" spans="4:4" x14ac:dyDescent="0.3">
      <c r="D2438" t="str">
        <f t="shared" si="69"/>
        <v/>
      </c>
    </row>
    <row r="2439" spans="4:4" x14ac:dyDescent="0.3">
      <c r="D2439" t="str">
        <f t="shared" si="69"/>
        <v/>
      </c>
    </row>
    <row r="2440" spans="4:4" x14ac:dyDescent="0.3">
      <c r="D2440" t="str">
        <f t="shared" si="69"/>
        <v/>
      </c>
    </row>
    <row r="2441" spans="4:4" x14ac:dyDescent="0.3">
      <c r="D2441" t="str">
        <f t="shared" si="69"/>
        <v/>
      </c>
    </row>
    <row r="2442" spans="4:4" x14ac:dyDescent="0.3">
      <c r="D2442" t="str">
        <f t="shared" si="69"/>
        <v/>
      </c>
    </row>
    <row r="2443" spans="4:4" x14ac:dyDescent="0.3">
      <c r="D2443" t="str">
        <f t="shared" si="69"/>
        <v/>
      </c>
    </row>
    <row r="2444" spans="4:4" x14ac:dyDescent="0.3">
      <c r="D2444" t="str">
        <f t="shared" si="69"/>
        <v/>
      </c>
    </row>
    <row r="2445" spans="4:4" x14ac:dyDescent="0.3">
      <c r="D2445" t="str">
        <f t="shared" si="69"/>
        <v/>
      </c>
    </row>
    <row r="2446" spans="4:4" x14ac:dyDescent="0.3">
      <c r="D2446" t="str">
        <f t="shared" si="69"/>
        <v/>
      </c>
    </row>
    <row r="2447" spans="4:4" x14ac:dyDescent="0.3">
      <c r="D2447" t="str">
        <f t="shared" si="69"/>
        <v/>
      </c>
    </row>
    <row r="2448" spans="4:4" x14ac:dyDescent="0.3">
      <c r="D2448" t="str">
        <f t="shared" si="69"/>
        <v/>
      </c>
    </row>
    <row r="2449" spans="4:4" x14ac:dyDescent="0.3">
      <c r="D2449" t="str">
        <f t="shared" si="69"/>
        <v/>
      </c>
    </row>
    <row r="2450" spans="4:4" x14ac:dyDescent="0.3">
      <c r="D2450" t="str">
        <f t="shared" si="69"/>
        <v/>
      </c>
    </row>
    <row r="2451" spans="4:4" x14ac:dyDescent="0.3">
      <c r="D2451" t="str">
        <f t="shared" si="69"/>
        <v/>
      </c>
    </row>
    <row r="2452" spans="4:4" x14ac:dyDescent="0.3">
      <c r="D2452" t="str">
        <f t="shared" si="69"/>
        <v/>
      </c>
    </row>
    <row r="2453" spans="4:4" x14ac:dyDescent="0.3">
      <c r="D2453" t="str">
        <f t="shared" si="69"/>
        <v/>
      </c>
    </row>
    <row r="2454" spans="4:4" x14ac:dyDescent="0.3">
      <c r="D2454" t="str">
        <f t="shared" si="69"/>
        <v/>
      </c>
    </row>
    <row r="2455" spans="4:4" x14ac:dyDescent="0.3">
      <c r="D2455" t="str">
        <f t="shared" si="69"/>
        <v/>
      </c>
    </row>
    <row r="2456" spans="4:4" x14ac:dyDescent="0.3">
      <c r="D2456" t="str">
        <f t="shared" si="69"/>
        <v/>
      </c>
    </row>
    <row r="2457" spans="4:4" x14ac:dyDescent="0.3">
      <c r="D2457" t="str">
        <f t="shared" si="69"/>
        <v/>
      </c>
    </row>
    <row r="2458" spans="4:4" x14ac:dyDescent="0.3">
      <c r="D2458" t="str">
        <f t="shared" si="69"/>
        <v/>
      </c>
    </row>
    <row r="2459" spans="4:4" x14ac:dyDescent="0.3">
      <c r="D2459" t="str">
        <f t="shared" si="69"/>
        <v/>
      </c>
    </row>
    <row r="2460" spans="4:4" x14ac:dyDescent="0.3">
      <c r="D2460" t="str">
        <f t="shared" si="69"/>
        <v/>
      </c>
    </row>
    <row r="2461" spans="4:4" x14ac:dyDescent="0.3">
      <c r="D2461" t="str">
        <f t="shared" si="69"/>
        <v/>
      </c>
    </row>
    <row r="2462" spans="4:4" x14ac:dyDescent="0.3">
      <c r="D2462" t="str">
        <f t="shared" si="69"/>
        <v/>
      </c>
    </row>
    <row r="2463" spans="4:4" x14ac:dyDescent="0.3">
      <c r="D2463" t="str">
        <f t="shared" si="69"/>
        <v/>
      </c>
    </row>
    <row r="2464" spans="4:4" x14ac:dyDescent="0.3">
      <c r="D2464" t="str">
        <f t="shared" si="69"/>
        <v/>
      </c>
    </row>
    <row r="2465" spans="4:4" x14ac:dyDescent="0.3">
      <c r="D2465" t="str">
        <f t="shared" si="69"/>
        <v/>
      </c>
    </row>
    <row r="2466" spans="4:4" x14ac:dyDescent="0.3">
      <c r="D2466" t="str">
        <f t="shared" si="69"/>
        <v/>
      </c>
    </row>
    <row r="2467" spans="4:4" x14ac:dyDescent="0.3">
      <c r="D2467" t="str">
        <f t="shared" si="69"/>
        <v/>
      </c>
    </row>
    <row r="2468" spans="4:4" x14ac:dyDescent="0.3">
      <c r="D2468" t="str">
        <f t="shared" si="69"/>
        <v/>
      </c>
    </row>
    <row r="2469" spans="4:4" x14ac:dyDescent="0.3">
      <c r="D2469" t="str">
        <f t="shared" si="69"/>
        <v/>
      </c>
    </row>
    <row r="2470" spans="4:4" x14ac:dyDescent="0.3">
      <c r="D2470" t="str">
        <f t="shared" si="69"/>
        <v/>
      </c>
    </row>
    <row r="2471" spans="4:4" x14ac:dyDescent="0.3">
      <c r="D2471" t="str">
        <f t="shared" si="69"/>
        <v/>
      </c>
    </row>
    <row r="2472" spans="4:4" x14ac:dyDescent="0.3">
      <c r="D2472" t="str">
        <f t="shared" si="69"/>
        <v/>
      </c>
    </row>
    <row r="2473" spans="4:4" x14ac:dyDescent="0.3">
      <c r="D2473" t="str">
        <f t="shared" si="69"/>
        <v/>
      </c>
    </row>
    <row r="2474" spans="4:4" x14ac:dyDescent="0.3">
      <c r="D2474" t="str">
        <f t="shared" si="69"/>
        <v/>
      </c>
    </row>
    <row r="2475" spans="4:4" x14ac:dyDescent="0.3">
      <c r="D2475" t="str">
        <f t="shared" si="69"/>
        <v/>
      </c>
    </row>
    <row r="2476" spans="4:4" x14ac:dyDescent="0.3">
      <c r="D2476" t="str">
        <f t="shared" si="69"/>
        <v/>
      </c>
    </row>
    <row r="2477" spans="4:4" x14ac:dyDescent="0.3">
      <c r="D2477" t="str">
        <f t="shared" si="69"/>
        <v/>
      </c>
    </row>
    <row r="2478" spans="4:4" x14ac:dyDescent="0.3">
      <c r="D2478" t="str">
        <f t="shared" si="69"/>
        <v/>
      </c>
    </row>
    <row r="2479" spans="4:4" x14ac:dyDescent="0.3">
      <c r="D2479" t="str">
        <f t="shared" si="69"/>
        <v/>
      </c>
    </row>
    <row r="2480" spans="4:4" x14ac:dyDescent="0.3">
      <c r="D2480" t="str">
        <f t="shared" si="69"/>
        <v/>
      </c>
    </row>
    <row r="2481" spans="4:4" x14ac:dyDescent="0.3">
      <c r="D2481" t="str">
        <f t="shared" si="69"/>
        <v/>
      </c>
    </row>
    <row r="2482" spans="4:4" x14ac:dyDescent="0.3">
      <c r="D2482" t="str">
        <f t="shared" si="69"/>
        <v/>
      </c>
    </row>
    <row r="2483" spans="4:4" x14ac:dyDescent="0.3">
      <c r="D2483" t="str">
        <f t="shared" si="69"/>
        <v/>
      </c>
    </row>
    <row r="2484" spans="4:4" x14ac:dyDescent="0.3">
      <c r="D2484" t="str">
        <f t="shared" si="69"/>
        <v/>
      </c>
    </row>
    <row r="2485" spans="4:4" x14ac:dyDescent="0.3">
      <c r="D2485" t="str">
        <f t="shared" si="69"/>
        <v/>
      </c>
    </row>
    <row r="2486" spans="4:4" x14ac:dyDescent="0.3">
      <c r="D2486" t="str">
        <f t="shared" ref="D2486:D2549" si="70">IF(LEFT(A2486,2)="SP",MID(A2486,4,4),IF(LEFT(A2486,1)="X",MID(A2486,3,4),""))</f>
        <v/>
      </c>
    </row>
    <row r="2487" spans="4:4" x14ac:dyDescent="0.3">
      <c r="D2487" t="str">
        <f t="shared" si="70"/>
        <v/>
      </c>
    </row>
    <row r="2488" spans="4:4" x14ac:dyDescent="0.3">
      <c r="D2488" t="str">
        <f t="shared" si="70"/>
        <v/>
      </c>
    </row>
    <row r="2489" spans="4:4" x14ac:dyDescent="0.3">
      <c r="D2489" t="str">
        <f t="shared" si="70"/>
        <v/>
      </c>
    </row>
    <row r="2490" spans="4:4" x14ac:dyDescent="0.3">
      <c r="D2490" t="str">
        <f t="shared" si="70"/>
        <v/>
      </c>
    </row>
    <row r="2491" spans="4:4" x14ac:dyDescent="0.3">
      <c r="D2491" t="str">
        <f t="shared" si="70"/>
        <v/>
      </c>
    </row>
    <row r="2492" spans="4:4" x14ac:dyDescent="0.3">
      <c r="D2492" t="str">
        <f t="shared" si="70"/>
        <v/>
      </c>
    </row>
    <row r="2493" spans="4:4" x14ac:dyDescent="0.3">
      <c r="D2493" t="str">
        <f t="shared" si="70"/>
        <v/>
      </c>
    </row>
    <row r="2494" spans="4:4" x14ac:dyDescent="0.3">
      <c r="D2494" t="str">
        <f t="shared" si="70"/>
        <v/>
      </c>
    </row>
    <row r="2495" spans="4:4" x14ac:dyDescent="0.3">
      <c r="D2495" t="str">
        <f t="shared" si="70"/>
        <v/>
      </c>
    </row>
    <row r="2496" spans="4:4" x14ac:dyDescent="0.3">
      <c r="D2496" t="str">
        <f t="shared" si="70"/>
        <v/>
      </c>
    </row>
    <row r="2497" spans="4:4" x14ac:dyDescent="0.3">
      <c r="D2497" t="str">
        <f t="shared" si="70"/>
        <v/>
      </c>
    </row>
    <row r="2498" spans="4:4" x14ac:dyDescent="0.3">
      <c r="D2498" t="str">
        <f t="shared" si="70"/>
        <v/>
      </c>
    </row>
    <row r="2499" spans="4:4" x14ac:dyDescent="0.3">
      <c r="D2499" t="str">
        <f t="shared" si="70"/>
        <v/>
      </c>
    </row>
    <row r="2500" spans="4:4" x14ac:dyDescent="0.3">
      <c r="D2500" t="str">
        <f t="shared" si="70"/>
        <v/>
      </c>
    </row>
    <row r="2501" spans="4:4" x14ac:dyDescent="0.3">
      <c r="D2501" t="str">
        <f t="shared" si="70"/>
        <v/>
      </c>
    </row>
    <row r="2502" spans="4:4" x14ac:dyDescent="0.3">
      <c r="D2502" t="str">
        <f t="shared" si="70"/>
        <v/>
      </c>
    </row>
    <row r="2503" spans="4:4" x14ac:dyDescent="0.3">
      <c r="D2503" t="str">
        <f t="shared" si="70"/>
        <v/>
      </c>
    </row>
    <row r="2504" spans="4:4" x14ac:dyDescent="0.3">
      <c r="D2504" t="str">
        <f t="shared" si="70"/>
        <v/>
      </c>
    </row>
    <row r="2505" spans="4:4" x14ac:dyDescent="0.3">
      <c r="D2505" t="str">
        <f t="shared" si="70"/>
        <v/>
      </c>
    </row>
    <row r="2506" spans="4:4" x14ac:dyDescent="0.3">
      <c r="D2506" t="str">
        <f t="shared" si="70"/>
        <v/>
      </c>
    </row>
    <row r="2507" spans="4:4" x14ac:dyDescent="0.3">
      <c r="D2507" t="str">
        <f t="shared" si="70"/>
        <v/>
      </c>
    </row>
    <row r="2508" spans="4:4" x14ac:dyDescent="0.3">
      <c r="D2508" t="str">
        <f t="shared" si="70"/>
        <v/>
      </c>
    </row>
    <row r="2509" spans="4:4" x14ac:dyDescent="0.3">
      <c r="D2509" t="str">
        <f t="shared" si="70"/>
        <v/>
      </c>
    </row>
    <row r="2510" spans="4:4" x14ac:dyDescent="0.3">
      <c r="D2510" t="str">
        <f t="shared" si="70"/>
        <v/>
      </c>
    </row>
    <row r="2511" spans="4:4" x14ac:dyDescent="0.3">
      <c r="D2511" t="str">
        <f t="shared" si="70"/>
        <v/>
      </c>
    </row>
    <row r="2512" spans="4:4" x14ac:dyDescent="0.3">
      <c r="D2512" t="str">
        <f t="shared" si="70"/>
        <v/>
      </c>
    </row>
    <row r="2513" spans="4:4" x14ac:dyDescent="0.3">
      <c r="D2513" t="str">
        <f t="shared" si="70"/>
        <v/>
      </c>
    </row>
    <row r="2514" spans="4:4" x14ac:dyDescent="0.3">
      <c r="D2514" t="str">
        <f t="shared" si="70"/>
        <v/>
      </c>
    </row>
    <row r="2515" spans="4:4" x14ac:dyDescent="0.3">
      <c r="D2515" t="str">
        <f t="shared" si="70"/>
        <v/>
      </c>
    </row>
    <row r="2516" spans="4:4" x14ac:dyDescent="0.3">
      <c r="D2516" t="str">
        <f t="shared" si="70"/>
        <v/>
      </c>
    </row>
    <row r="2517" spans="4:4" x14ac:dyDescent="0.3">
      <c r="D2517" t="str">
        <f t="shared" si="70"/>
        <v/>
      </c>
    </row>
    <row r="2518" spans="4:4" x14ac:dyDescent="0.3">
      <c r="D2518" t="str">
        <f t="shared" si="70"/>
        <v/>
      </c>
    </row>
    <row r="2519" spans="4:4" x14ac:dyDescent="0.3">
      <c r="D2519" t="str">
        <f t="shared" si="70"/>
        <v/>
      </c>
    </row>
    <row r="2520" spans="4:4" x14ac:dyDescent="0.3">
      <c r="D2520" t="str">
        <f t="shared" si="70"/>
        <v/>
      </c>
    </row>
    <row r="2521" spans="4:4" x14ac:dyDescent="0.3">
      <c r="D2521" t="str">
        <f t="shared" si="70"/>
        <v/>
      </c>
    </row>
    <row r="2522" spans="4:4" x14ac:dyDescent="0.3">
      <c r="D2522" t="str">
        <f t="shared" si="70"/>
        <v/>
      </c>
    </row>
    <row r="2523" spans="4:4" x14ac:dyDescent="0.3">
      <c r="D2523" t="str">
        <f t="shared" si="70"/>
        <v/>
      </c>
    </row>
    <row r="2524" spans="4:4" x14ac:dyDescent="0.3">
      <c r="D2524" t="str">
        <f t="shared" si="70"/>
        <v/>
      </c>
    </row>
    <row r="2525" spans="4:4" x14ac:dyDescent="0.3">
      <c r="D2525" t="str">
        <f t="shared" si="70"/>
        <v/>
      </c>
    </row>
    <row r="2526" spans="4:4" x14ac:dyDescent="0.3">
      <c r="D2526" t="str">
        <f t="shared" si="70"/>
        <v/>
      </c>
    </row>
    <row r="2527" spans="4:4" x14ac:dyDescent="0.3">
      <c r="D2527" t="str">
        <f t="shared" si="70"/>
        <v/>
      </c>
    </row>
    <row r="2528" spans="4:4" x14ac:dyDescent="0.3">
      <c r="D2528" t="str">
        <f t="shared" si="70"/>
        <v/>
      </c>
    </row>
    <row r="2529" spans="4:4" x14ac:dyDescent="0.3">
      <c r="D2529" t="str">
        <f t="shared" si="70"/>
        <v/>
      </c>
    </row>
    <row r="2530" spans="4:4" x14ac:dyDescent="0.3">
      <c r="D2530" t="str">
        <f t="shared" si="70"/>
        <v/>
      </c>
    </row>
    <row r="2531" spans="4:4" x14ac:dyDescent="0.3">
      <c r="D2531" t="str">
        <f t="shared" si="70"/>
        <v/>
      </c>
    </row>
    <row r="2532" spans="4:4" x14ac:dyDescent="0.3">
      <c r="D2532" t="str">
        <f t="shared" si="70"/>
        <v/>
      </c>
    </row>
    <row r="2533" spans="4:4" x14ac:dyDescent="0.3">
      <c r="D2533" t="str">
        <f t="shared" si="70"/>
        <v/>
      </c>
    </row>
    <row r="2534" spans="4:4" x14ac:dyDescent="0.3">
      <c r="D2534" t="str">
        <f t="shared" si="70"/>
        <v/>
      </c>
    </row>
    <row r="2535" spans="4:4" x14ac:dyDescent="0.3">
      <c r="D2535" t="str">
        <f t="shared" si="70"/>
        <v/>
      </c>
    </row>
    <row r="2536" spans="4:4" x14ac:dyDescent="0.3">
      <c r="D2536" t="str">
        <f t="shared" si="70"/>
        <v/>
      </c>
    </row>
    <row r="2537" spans="4:4" x14ac:dyDescent="0.3">
      <c r="D2537" t="str">
        <f t="shared" si="70"/>
        <v/>
      </c>
    </row>
    <row r="2538" spans="4:4" x14ac:dyDescent="0.3">
      <c r="D2538" t="str">
        <f t="shared" si="70"/>
        <v/>
      </c>
    </row>
    <row r="2539" spans="4:4" x14ac:dyDescent="0.3">
      <c r="D2539" t="str">
        <f t="shared" si="70"/>
        <v/>
      </c>
    </row>
    <row r="2540" spans="4:4" x14ac:dyDescent="0.3">
      <c r="D2540" t="str">
        <f t="shared" si="70"/>
        <v/>
      </c>
    </row>
    <row r="2541" spans="4:4" x14ac:dyDescent="0.3">
      <c r="D2541" t="str">
        <f t="shared" si="70"/>
        <v/>
      </c>
    </row>
    <row r="2542" spans="4:4" x14ac:dyDescent="0.3">
      <c r="D2542" t="str">
        <f t="shared" si="70"/>
        <v/>
      </c>
    </row>
    <row r="2543" spans="4:4" x14ac:dyDescent="0.3">
      <c r="D2543" t="str">
        <f t="shared" si="70"/>
        <v/>
      </c>
    </row>
    <row r="2544" spans="4:4" x14ac:dyDescent="0.3">
      <c r="D2544" t="str">
        <f t="shared" si="70"/>
        <v/>
      </c>
    </row>
    <row r="2545" spans="4:4" x14ac:dyDescent="0.3">
      <c r="D2545" t="str">
        <f t="shared" si="70"/>
        <v/>
      </c>
    </row>
    <row r="2546" spans="4:4" x14ac:dyDescent="0.3">
      <c r="D2546" t="str">
        <f t="shared" si="70"/>
        <v/>
      </c>
    </row>
    <row r="2547" spans="4:4" x14ac:dyDescent="0.3">
      <c r="D2547" t="str">
        <f t="shared" si="70"/>
        <v/>
      </c>
    </row>
    <row r="2548" spans="4:4" x14ac:dyDescent="0.3">
      <c r="D2548" t="str">
        <f t="shared" si="70"/>
        <v/>
      </c>
    </row>
    <row r="2549" spans="4:4" x14ac:dyDescent="0.3">
      <c r="D2549" t="str">
        <f t="shared" si="70"/>
        <v/>
      </c>
    </row>
    <row r="2550" spans="4:4" x14ac:dyDescent="0.3">
      <c r="D2550" t="str">
        <f t="shared" ref="D2550:D2613" si="71">IF(LEFT(A2550,2)="SP",MID(A2550,4,4),IF(LEFT(A2550,1)="X",MID(A2550,3,4),""))</f>
        <v/>
      </c>
    </row>
    <row r="2551" spans="4:4" x14ac:dyDescent="0.3">
      <c r="D2551" t="str">
        <f t="shared" si="71"/>
        <v/>
      </c>
    </row>
    <row r="2552" spans="4:4" x14ac:dyDescent="0.3">
      <c r="D2552" t="str">
        <f t="shared" si="71"/>
        <v/>
      </c>
    </row>
    <row r="2553" spans="4:4" x14ac:dyDescent="0.3">
      <c r="D2553" t="str">
        <f t="shared" si="71"/>
        <v/>
      </c>
    </row>
    <row r="2554" spans="4:4" x14ac:dyDescent="0.3">
      <c r="D2554" t="str">
        <f t="shared" si="71"/>
        <v/>
      </c>
    </row>
    <row r="2555" spans="4:4" x14ac:dyDescent="0.3">
      <c r="D2555" t="str">
        <f t="shared" si="71"/>
        <v/>
      </c>
    </row>
    <row r="2556" spans="4:4" x14ac:dyDescent="0.3">
      <c r="D2556" t="str">
        <f t="shared" si="71"/>
        <v/>
      </c>
    </row>
    <row r="2557" spans="4:4" x14ac:dyDescent="0.3">
      <c r="D2557" t="str">
        <f t="shared" si="71"/>
        <v/>
      </c>
    </row>
    <row r="2558" spans="4:4" x14ac:dyDescent="0.3">
      <c r="D2558" t="str">
        <f t="shared" si="71"/>
        <v/>
      </c>
    </row>
    <row r="2559" spans="4:4" x14ac:dyDescent="0.3">
      <c r="D2559" t="str">
        <f t="shared" si="71"/>
        <v/>
      </c>
    </row>
    <row r="2560" spans="4:4" x14ac:dyDescent="0.3">
      <c r="D2560" t="str">
        <f t="shared" si="71"/>
        <v/>
      </c>
    </row>
    <row r="2561" spans="4:4" x14ac:dyDescent="0.3">
      <c r="D2561" t="str">
        <f t="shared" si="71"/>
        <v/>
      </c>
    </row>
    <row r="2562" spans="4:4" x14ac:dyDescent="0.3">
      <c r="D2562" t="str">
        <f t="shared" si="71"/>
        <v/>
      </c>
    </row>
    <row r="2563" spans="4:4" x14ac:dyDescent="0.3">
      <c r="D2563" t="str">
        <f t="shared" si="71"/>
        <v/>
      </c>
    </row>
    <row r="2564" spans="4:4" x14ac:dyDescent="0.3">
      <c r="D2564" t="str">
        <f t="shared" si="71"/>
        <v/>
      </c>
    </row>
    <row r="2565" spans="4:4" x14ac:dyDescent="0.3">
      <c r="D2565" t="str">
        <f t="shared" si="71"/>
        <v/>
      </c>
    </row>
    <row r="2566" spans="4:4" x14ac:dyDescent="0.3">
      <c r="D2566" t="str">
        <f t="shared" si="71"/>
        <v/>
      </c>
    </row>
    <row r="2567" spans="4:4" x14ac:dyDescent="0.3">
      <c r="D2567" t="str">
        <f t="shared" si="71"/>
        <v/>
      </c>
    </row>
    <row r="2568" spans="4:4" x14ac:dyDescent="0.3">
      <c r="D2568" t="str">
        <f t="shared" si="71"/>
        <v/>
      </c>
    </row>
    <row r="2569" spans="4:4" x14ac:dyDescent="0.3">
      <c r="D2569" t="str">
        <f t="shared" si="71"/>
        <v/>
      </c>
    </row>
    <row r="2570" spans="4:4" x14ac:dyDescent="0.3">
      <c r="D2570" t="str">
        <f t="shared" si="71"/>
        <v/>
      </c>
    </row>
    <row r="2571" spans="4:4" x14ac:dyDescent="0.3">
      <c r="D2571" t="str">
        <f t="shared" si="71"/>
        <v/>
      </c>
    </row>
    <row r="2572" spans="4:4" x14ac:dyDescent="0.3">
      <c r="D2572" t="str">
        <f t="shared" si="71"/>
        <v/>
      </c>
    </row>
    <row r="2573" spans="4:4" x14ac:dyDescent="0.3">
      <c r="D2573" t="str">
        <f t="shared" si="71"/>
        <v/>
      </c>
    </row>
    <row r="2574" spans="4:4" x14ac:dyDescent="0.3">
      <c r="D2574" t="str">
        <f t="shared" si="71"/>
        <v/>
      </c>
    </row>
    <row r="2575" spans="4:4" x14ac:dyDescent="0.3">
      <c r="D2575" t="str">
        <f t="shared" si="71"/>
        <v/>
      </c>
    </row>
    <row r="2576" spans="4:4" x14ac:dyDescent="0.3">
      <c r="D2576" t="str">
        <f t="shared" si="71"/>
        <v/>
      </c>
    </row>
    <row r="2577" spans="4:4" x14ac:dyDescent="0.3">
      <c r="D2577" t="str">
        <f t="shared" si="71"/>
        <v/>
      </c>
    </row>
    <row r="2578" spans="4:4" x14ac:dyDescent="0.3">
      <c r="D2578" t="str">
        <f t="shared" si="71"/>
        <v/>
      </c>
    </row>
    <row r="2579" spans="4:4" x14ac:dyDescent="0.3">
      <c r="D2579" t="str">
        <f t="shared" si="71"/>
        <v/>
      </c>
    </row>
    <row r="2580" spans="4:4" x14ac:dyDescent="0.3">
      <c r="D2580" t="str">
        <f t="shared" si="71"/>
        <v/>
      </c>
    </row>
    <row r="2581" spans="4:4" x14ac:dyDescent="0.3">
      <c r="D2581" t="str">
        <f t="shared" si="71"/>
        <v/>
      </c>
    </row>
    <row r="2582" spans="4:4" x14ac:dyDescent="0.3">
      <c r="D2582" t="str">
        <f t="shared" si="71"/>
        <v/>
      </c>
    </row>
    <row r="2583" spans="4:4" x14ac:dyDescent="0.3">
      <c r="D2583" t="str">
        <f t="shared" si="71"/>
        <v/>
      </c>
    </row>
    <row r="2584" spans="4:4" x14ac:dyDescent="0.3">
      <c r="D2584" t="str">
        <f t="shared" si="71"/>
        <v/>
      </c>
    </row>
    <row r="2585" spans="4:4" x14ac:dyDescent="0.3">
      <c r="D2585" t="str">
        <f t="shared" si="71"/>
        <v/>
      </c>
    </row>
    <row r="2586" spans="4:4" x14ac:dyDescent="0.3">
      <c r="D2586" t="str">
        <f t="shared" si="71"/>
        <v/>
      </c>
    </row>
    <row r="2587" spans="4:4" x14ac:dyDescent="0.3">
      <c r="D2587" t="str">
        <f t="shared" si="71"/>
        <v/>
      </c>
    </row>
    <row r="2588" spans="4:4" x14ac:dyDescent="0.3">
      <c r="D2588" t="str">
        <f t="shared" si="71"/>
        <v/>
      </c>
    </row>
    <row r="2589" spans="4:4" x14ac:dyDescent="0.3">
      <c r="D2589" t="str">
        <f t="shared" si="71"/>
        <v/>
      </c>
    </row>
    <row r="2590" spans="4:4" x14ac:dyDescent="0.3">
      <c r="D2590" t="str">
        <f t="shared" si="71"/>
        <v/>
      </c>
    </row>
    <row r="2591" spans="4:4" x14ac:dyDescent="0.3">
      <c r="D2591" t="str">
        <f t="shared" si="71"/>
        <v/>
      </c>
    </row>
    <row r="2592" spans="4:4" x14ac:dyDescent="0.3">
      <c r="D2592" t="str">
        <f t="shared" si="71"/>
        <v/>
      </c>
    </row>
    <row r="2593" spans="4:4" x14ac:dyDescent="0.3">
      <c r="D2593" t="str">
        <f t="shared" si="71"/>
        <v/>
      </c>
    </row>
    <row r="2594" spans="4:4" x14ac:dyDescent="0.3">
      <c r="D2594" t="str">
        <f t="shared" si="71"/>
        <v/>
      </c>
    </row>
    <row r="2595" spans="4:4" x14ac:dyDescent="0.3">
      <c r="D2595" t="str">
        <f t="shared" si="71"/>
        <v/>
      </c>
    </row>
    <row r="2596" spans="4:4" x14ac:dyDescent="0.3">
      <c r="D2596" t="str">
        <f t="shared" si="71"/>
        <v/>
      </c>
    </row>
    <row r="2597" spans="4:4" x14ac:dyDescent="0.3">
      <c r="D2597" t="str">
        <f t="shared" si="71"/>
        <v/>
      </c>
    </row>
    <row r="2598" spans="4:4" x14ac:dyDescent="0.3">
      <c r="D2598" t="str">
        <f t="shared" si="71"/>
        <v/>
      </c>
    </row>
    <row r="2599" spans="4:4" x14ac:dyDescent="0.3">
      <c r="D2599" t="str">
        <f t="shared" si="71"/>
        <v/>
      </c>
    </row>
    <row r="2600" spans="4:4" x14ac:dyDescent="0.3">
      <c r="D2600" t="str">
        <f t="shared" si="71"/>
        <v/>
      </c>
    </row>
    <row r="2601" spans="4:4" x14ac:dyDescent="0.3">
      <c r="D2601" t="str">
        <f t="shared" si="71"/>
        <v/>
      </c>
    </row>
    <row r="2602" spans="4:4" x14ac:dyDescent="0.3">
      <c r="D2602" t="str">
        <f t="shared" si="71"/>
        <v/>
      </c>
    </row>
    <row r="2603" spans="4:4" x14ac:dyDescent="0.3">
      <c r="D2603" t="str">
        <f t="shared" si="71"/>
        <v/>
      </c>
    </row>
    <row r="2604" spans="4:4" x14ac:dyDescent="0.3">
      <c r="D2604" t="str">
        <f t="shared" si="71"/>
        <v/>
      </c>
    </row>
    <row r="2605" spans="4:4" x14ac:dyDescent="0.3">
      <c r="D2605" t="str">
        <f t="shared" si="71"/>
        <v/>
      </c>
    </row>
    <row r="2606" spans="4:4" x14ac:dyDescent="0.3">
      <c r="D2606" t="str">
        <f t="shared" si="71"/>
        <v/>
      </c>
    </row>
    <row r="2607" spans="4:4" x14ac:dyDescent="0.3">
      <c r="D2607" t="str">
        <f t="shared" si="71"/>
        <v/>
      </c>
    </row>
    <row r="2608" spans="4:4" x14ac:dyDescent="0.3">
      <c r="D2608" t="str">
        <f t="shared" si="71"/>
        <v/>
      </c>
    </row>
    <row r="2609" spans="4:4" x14ac:dyDescent="0.3">
      <c r="D2609" t="str">
        <f t="shared" si="71"/>
        <v/>
      </c>
    </row>
    <row r="2610" spans="4:4" x14ac:dyDescent="0.3">
      <c r="D2610" t="str">
        <f t="shared" si="71"/>
        <v/>
      </c>
    </row>
    <row r="2611" spans="4:4" x14ac:dyDescent="0.3">
      <c r="D2611" t="str">
        <f t="shared" si="71"/>
        <v/>
      </c>
    </row>
    <row r="2612" spans="4:4" x14ac:dyDescent="0.3">
      <c r="D2612" t="str">
        <f t="shared" si="71"/>
        <v/>
      </c>
    </row>
    <row r="2613" spans="4:4" x14ac:dyDescent="0.3">
      <c r="D2613" t="str">
        <f t="shared" si="71"/>
        <v/>
      </c>
    </row>
    <row r="2614" spans="4:4" x14ac:dyDescent="0.3">
      <c r="D2614" t="str">
        <f t="shared" ref="D2614:D2677" si="72">IF(LEFT(A2614,2)="SP",MID(A2614,4,4),IF(LEFT(A2614,1)="X",MID(A2614,3,4),""))</f>
        <v/>
      </c>
    </row>
    <row r="2615" spans="4:4" x14ac:dyDescent="0.3">
      <c r="D2615" t="str">
        <f t="shared" si="72"/>
        <v/>
      </c>
    </row>
    <row r="2616" spans="4:4" x14ac:dyDescent="0.3">
      <c r="D2616" t="str">
        <f t="shared" si="72"/>
        <v/>
      </c>
    </row>
    <row r="2617" spans="4:4" x14ac:dyDescent="0.3">
      <c r="D2617" t="str">
        <f t="shared" si="72"/>
        <v/>
      </c>
    </row>
    <row r="2618" spans="4:4" x14ac:dyDescent="0.3">
      <c r="D2618" t="str">
        <f t="shared" si="72"/>
        <v/>
      </c>
    </row>
    <row r="2619" spans="4:4" x14ac:dyDescent="0.3">
      <c r="D2619" t="str">
        <f t="shared" si="72"/>
        <v/>
      </c>
    </row>
    <row r="2620" spans="4:4" x14ac:dyDescent="0.3">
      <c r="D2620" t="str">
        <f t="shared" si="72"/>
        <v/>
      </c>
    </row>
    <row r="2621" spans="4:4" x14ac:dyDescent="0.3">
      <c r="D2621" t="str">
        <f t="shared" si="72"/>
        <v/>
      </c>
    </row>
    <row r="2622" spans="4:4" x14ac:dyDescent="0.3">
      <c r="D2622" t="str">
        <f t="shared" si="72"/>
        <v/>
      </c>
    </row>
    <row r="2623" spans="4:4" x14ac:dyDescent="0.3">
      <c r="D2623" t="str">
        <f t="shared" si="72"/>
        <v/>
      </c>
    </row>
    <row r="2624" spans="4:4" x14ac:dyDescent="0.3">
      <c r="D2624" t="str">
        <f t="shared" si="72"/>
        <v/>
      </c>
    </row>
    <row r="2625" spans="4:4" x14ac:dyDescent="0.3">
      <c r="D2625" t="str">
        <f t="shared" si="72"/>
        <v/>
      </c>
    </row>
    <row r="2626" spans="4:4" x14ac:dyDescent="0.3">
      <c r="D2626" t="str">
        <f t="shared" si="72"/>
        <v/>
      </c>
    </row>
    <row r="2627" spans="4:4" x14ac:dyDescent="0.3">
      <c r="D2627" t="str">
        <f t="shared" si="72"/>
        <v/>
      </c>
    </row>
    <row r="2628" spans="4:4" x14ac:dyDescent="0.3">
      <c r="D2628" t="str">
        <f t="shared" si="72"/>
        <v/>
      </c>
    </row>
    <row r="2629" spans="4:4" x14ac:dyDescent="0.3">
      <c r="D2629" t="str">
        <f t="shared" si="72"/>
        <v/>
      </c>
    </row>
    <row r="2630" spans="4:4" x14ac:dyDescent="0.3">
      <c r="D2630" t="str">
        <f t="shared" si="72"/>
        <v/>
      </c>
    </row>
    <row r="2631" spans="4:4" x14ac:dyDescent="0.3">
      <c r="D2631" t="str">
        <f t="shared" si="72"/>
        <v/>
      </c>
    </row>
    <row r="2632" spans="4:4" x14ac:dyDescent="0.3">
      <c r="D2632" t="str">
        <f t="shared" si="72"/>
        <v/>
      </c>
    </row>
    <row r="2633" spans="4:4" x14ac:dyDescent="0.3">
      <c r="D2633" t="str">
        <f t="shared" si="72"/>
        <v/>
      </c>
    </row>
    <row r="2634" spans="4:4" x14ac:dyDescent="0.3">
      <c r="D2634" t="str">
        <f t="shared" si="72"/>
        <v/>
      </c>
    </row>
    <row r="2635" spans="4:4" x14ac:dyDescent="0.3">
      <c r="D2635" t="str">
        <f t="shared" si="72"/>
        <v/>
      </c>
    </row>
    <row r="2636" spans="4:4" x14ac:dyDescent="0.3">
      <c r="D2636" t="str">
        <f t="shared" si="72"/>
        <v/>
      </c>
    </row>
    <row r="2637" spans="4:4" x14ac:dyDescent="0.3">
      <c r="D2637" t="str">
        <f t="shared" si="72"/>
        <v/>
      </c>
    </row>
    <row r="2638" spans="4:4" x14ac:dyDescent="0.3">
      <c r="D2638" t="str">
        <f t="shared" si="72"/>
        <v/>
      </c>
    </row>
    <row r="2639" spans="4:4" x14ac:dyDescent="0.3">
      <c r="D2639" t="str">
        <f t="shared" si="72"/>
        <v/>
      </c>
    </row>
    <row r="2640" spans="4:4" x14ac:dyDescent="0.3">
      <c r="D2640" t="str">
        <f t="shared" si="72"/>
        <v/>
      </c>
    </row>
    <row r="2641" spans="4:4" x14ac:dyDescent="0.3">
      <c r="D2641" t="str">
        <f t="shared" si="72"/>
        <v/>
      </c>
    </row>
    <row r="2642" spans="4:4" x14ac:dyDescent="0.3">
      <c r="D2642" t="str">
        <f t="shared" si="72"/>
        <v/>
      </c>
    </row>
    <row r="2643" spans="4:4" x14ac:dyDescent="0.3">
      <c r="D2643" t="str">
        <f t="shared" si="72"/>
        <v/>
      </c>
    </row>
    <row r="2644" spans="4:4" x14ac:dyDescent="0.3">
      <c r="D2644" t="str">
        <f t="shared" si="72"/>
        <v/>
      </c>
    </row>
    <row r="2645" spans="4:4" x14ac:dyDescent="0.3">
      <c r="D2645" t="str">
        <f t="shared" si="72"/>
        <v/>
      </c>
    </row>
    <row r="2646" spans="4:4" x14ac:dyDescent="0.3">
      <c r="D2646" t="str">
        <f t="shared" si="72"/>
        <v/>
      </c>
    </row>
    <row r="2647" spans="4:4" x14ac:dyDescent="0.3">
      <c r="D2647" t="str">
        <f t="shared" si="72"/>
        <v/>
      </c>
    </row>
    <row r="2648" spans="4:4" x14ac:dyDescent="0.3">
      <c r="D2648" t="str">
        <f t="shared" si="72"/>
        <v/>
      </c>
    </row>
    <row r="2649" spans="4:4" x14ac:dyDescent="0.3">
      <c r="D2649" t="str">
        <f t="shared" si="72"/>
        <v/>
      </c>
    </row>
    <row r="2650" spans="4:4" x14ac:dyDescent="0.3">
      <c r="D2650" t="str">
        <f t="shared" si="72"/>
        <v/>
      </c>
    </row>
    <row r="2651" spans="4:4" x14ac:dyDescent="0.3">
      <c r="D2651" t="str">
        <f t="shared" si="72"/>
        <v/>
      </c>
    </row>
    <row r="2652" spans="4:4" x14ac:dyDescent="0.3">
      <c r="D2652" t="str">
        <f t="shared" si="72"/>
        <v/>
      </c>
    </row>
    <row r="2653" spans="4:4" x14ac:dyDescent="0.3">
      <c r="D2653" t="str">
        <f t="shared" si="72"/>
        <v/>
      </c>
    </row>
    <row r="2654" spans="4:4" x14ac:dyDescent="0.3">
      <c r="D2654" t="str">
        <f t="shared" si="72"/>
        <v/>
      </c>
    </row>
    <row r="2655" spans="4:4" x14ac:dyDescent="0.3">
      <c r="D2655" t="str">
        <f t="shared" si="72"/>
        <v/>
      </c>
    </row>
    <row r="2656" spans="4:4" x14ac:dyDescent="0.3">
      <c r="D2656" t="str">
        <f t="shared" si="72"/>
        <v/>
      </c>
    </row>
    <row r="2657" spans="4:4" x14ac:dyDescent="0.3">
      <c r="D2657" t="str">
        <f t="shared" si="72"/>
        <v/>
      </c>
    </row>
    <row r="2658" spans="4:4" x14ac:dyDescent="0.3">
      <c r="D2658" t="str">
        <f t="shared" si="72"/>
        <v/>
      </c>
    </row>
    <row r="2659" spans="4:4" x14ac:dyDescent="0.3">
      <c r="D2659" t="str">
        <f t="shared" si="72"/>
        <v/>
      </c>
    </row>
    <row r="2660" spans="4:4" x14ac:dyDescent="0.3">
      <c r="D2660" t="str">
        <f t="shared" si="72"/>
        <v/>
      </c>
    </row>
    <row r="2661" spans="4:4" x14ac:dyDescent="0.3">
      <c r="D2661" t="str">
        <f t="shared" si="72"/>
        <v/>
      </c>
    </row>
    <row r="2662" spans="4:4" x14ac:dyDescent="0.3">
      <c r="D2662" t="str">
        <f t="shared" si="72"/>
        <v/>
      </c>
    </row>
    <row r="2663" spans="4:4" x14ac:dyDescent="0.3">
      <c r="D2663" t="str">
        <f t="shared" si="72"/>
        <v/>
      </c>
    </row>
    <row r="2664" spans="4:4" x14ac:dyDescent="0.3">
      <c r="D2664" t="str">
        <f t="shared" si="72"/>
        <v/>
      </c>
    </row>
    <row r="2665" spans="4:4" x14ac:dyDescent="0.3">
      <c r="D2665" t="str">
        <f t="shared" si="72"/>
        <v/>
      </c>
    </row>
    <row r="2666" spans="4:4" x14ac:dyDescent="0.3">
      <c r="D2666" t="str">
        <f t="shared" si="72"/>
        <v/>
      </c>
    </row>
    <row r="2667" spans="4:4" x14ac:dyDescent="0.3">
      <c r="D2667" t="str">
        <f t="shared" si="72"/>
        <v/>
      </c>
    </row>
    <row r="2668" spans="4:4" x14ac:dyDescent="0.3">
      <c r="D2668" t="str">
        <f t="shared" si="72"/>
        <v/>
      </c>
    </row>
    <row r="2669" spans="4:4" x14ac:dyDescent="0.3">
      <c r="D2669" t="str">
        <f t="shared" si="72"/>
        <v/>
      </c>
    </row>
    <row r="2670" spans="4:4" x14ac:dyDescent="0.3">
      <c r="D2670" t="str">
        <f t="shared" si="72"/>
        <v/>
      </c>
    </row>
    <row r="2671" spans="4:4" x14ac:dyDescent="0.3">
      <c r="D2671" t="str">
        <f t="shared" si="72"/>
        <v/>
      </c>
    </row>
    <row r="2672" spans="4:4" x14ac:dyDescent="0.3">
      <c r="D2672" t="str">
        <f t="shared" si="72"/>
        <v/>
      </c>
    </row>
    <row r="2673" spans="4:4" x14ac:dyDescent="0.3">
      <c r="D2673" t="str">
        <f t="shared" si="72"/>
        <v/>
      </c>
    </row>
    <row r="2674" spans="4:4" x14ac:dyDescent="0.3">
      <c r="D2674" t="str">
        <f t="shared" si="72"/>
        <v/>
      </c>
    </row>
    <row r="2675" spans="4:4" x14ac:dyDescent="0.3">
      <c r="D2675" t="str">
        <f t="shared" si="72"/>
        <v/>
      </c>
    </row>
    <row r="2676" spans="4:4" x14ac:dyDescent="0.3">
      <c r="D2676" t="str">
        <f t="shared" si="72"/>
        <v/>
      </c>
    </row>
    <row r="2677" spans="4:4" x14ac:dyDescent="0.3">
      <c r="D2677" t="str">
        <f t="shared" si="72"/>
        <v/>
      </c>
    </row>
    <row r="2678" spans="4:4" x14ac:dyDescent="0.3">
      <c r="D2678" t="str">
        <f t="shared" ref="D2678:D2741" si="73">IF(LEFT(A2678,2)="SP",MID(A2678,4,4),IF(LEFT(A2678,1)="X",MID(A2678,3,4),""))</f>
        <v/>
      </c>
    </row>
    <row r="2679" spans="4:4" x14ac:dyDescent="0.3">
      <c r="D2679" t="str">
        <f t="shared" si="73"/>
        <v/>
      </c>
    </row>
    <row r="2680" spans="4:4" x14ac:dyDescent="0.3">
      <c r="D2680" t="str">
        <f t="shared" si="73"/>
        <v/>
      </c>
    </row>
    <row r="2681" spans="4:4" x14ac:dyDescent="0.3">
      <c r="D2681" t="str">
        <f t="shared" si="73"/>
        <v/>
      </c>
    </row>
    <row r="2682" spans="4:4" x14ac:dyDescent="0.3">
      <c r="D2682" t="str">
        <f t="shared" si="73"/>
        <v/>
      </c>
    </row>
    <row r="2683" spans="4:4" x14ac:dyDescent="0.3">
      <c r="D2683" t="str">
        <f t="shared" si="73"/>
        <v/>
      </c>
    </row>
    <row r="2684" spans="4:4" x14ac:dyDescent="0.3">
      <c r="D2684" t="str">
        <f t="shared" si="73"/>
        <v/>
      </c>
    </row>
    <row r="2685" spans="4:4" x14ac:dyDescent="0.3">
      <c r="D2685" t="str">
        <f t="shared" si="73"/>
        <v/>
      </c>
    </row>
    <row r="2686" spans="4:4" x14ac:dyDescent="0.3">
      <c r="D2686" t="str">
        <f t="shared" si="73"/>
        <v/>
      </c>
    </row>
    <row r="2687" spans="4:4" x14ac:dyDescent="0.3">
      <c r="D2687" t="str">
        <f t="shared" si="73"/>
        <v/>
      </c>
    </row>
    <row r="2688" spans="4:4" x14ac:dyDescent="0.3">
      <c r="D2688" t="str">
        <f t="shared" si="73"/>
        <v/>
      </c>
    </row>
    <row r="2689" spans="4:4" x14ac:dyDescent="0.3">
      <c r="D2689" t="str">
        <f t="shared" si="73"/>
        <v/>
      </c>
    </row>
    <row r="2690" spans="4:4" x14ac:dyDescent="0.3">
      <c r="D2690" t="str">
        <f t="shared" si="73"/>
        <v/>
      </c>
    </row>
    <row r="2691" spans="4:4" x14ac:dyDescent="0.3">
      <c r="D2691" t="str">
        <f t="shared" si="73"/>
        <v/>
      </c>
    </row>
    <row r="2692" spans="4:4" x14ac:dyDescent="0.3">
      <c r="D2692" t="str">
        <f t="shared" si="73"/>
        <v/>
      </c>
    </row>
    <row r="2693" spans="4:4" x14ac:dyDescent="0.3">
      <c r="D2693" t="str">
        <f t="shared" si="73"/>
        <v/>
      </c>
    </row>
    <row r="2694" spans="4:4" x14ac:dyDescent="0.3">
      <c r="D2694" t="str">
        <f t="shared" si="73"/>
        <v/>
      </c>
    </row>
    <row r="2695" spans="4:4" x14ac:dyDescent="0.3">
      <c r="D2695" t="str">
        <f t="shared" si="73"/>
        <v/>
      </c>
    </row>
    <row r="2696" spans="4:4" x14ac:dyDescent="0.3">
      <c r="D2696" t="str">
        <f t="shared" si="73"/>
        <v/>
      </c>
    </row>
    <row r="2697" spans="4:4" x14ac:dyDescent="0.3">
      <c r="D2697" t="str">
        <f t="shared" si="73"/>
        <v/>
      </c>
    </row>
    <row r="2698" spans="4:4" x14ac:dyDescent="0.3">
      <c r="D2698" t="str">
        <f t="shared" si="73"/>
        <v/>
      </c>
    </row>
    <row r="2699" spans="4:4" x14ac:dyDescent="0.3">
      <c r="D2699" t="str">
        <f t="shared" si="73"/>
        <v/>
      </c>
    </row>
    <row r="2700" spans="4:4" x14ac:dyDescent="0.3">
      <c r="D2700" t="str">
        <f t="shared" si="73"/>
        <v/>
      </c>
    </row>
    <row r="2701" spans="4:4" x14ac:dyDescent="0.3">
      <c r="D2701" t="str">
        <f t="shared" si="73"/>
        <v/>
      </c>
    </row>
    <row r="2702" spans="4:4" x14ac:dyDescent="0.3">
      <c r="D2702" t="str">
        <f t="shared" si="73"/>
        <v/>
      </c>
    </row>
    <row r="2703" spans="4:4" x14ac:dyDescent="0.3">
      <c r="D2703" t="str">
        <f t="shared" si="73"/>
        <v/>
      </c>
    </row>
    <row r="2704" spans="4:4" x14ac:dyDescent="0.3">
      <c r="D2704" t="str">
        <f t="shared" si="73"/>
        <v/>
      </c>
    </row>
    <row r="2705" spans="4:4" x14ac:dyDescent="0.3">
      <c r="D2705" t="str">
        <f t="shared" si="73"/>
        <v/>
      </c>
    </row>
    <row r="2706" spans="4:4" x14ac:dyDescent="0.3">
      <c r="D2706" t="str">
        <f t="shared" si="73"/>
        <v/>
      </c>
    </row>
    <row r="2707" spans="4:4" x14ac:dyDescent="0.3">
      <c r="D2707" t="str">
        <f t="shared" si="73"/>
        <v/>
      </c>
    </row>
    <row r="2708" spans="4:4" x14ac:dyDescent="0.3">
      <c r="D2708" t="str">
        <f t="shared" si="73"/>
        <v/>
      </c>
    </row>
    <row r="2709" spans="4:4" x14ac:dyDescent="0.3">
      <c r="D2709" t="str">
        <f t="shared" si="73"/>
        <v/>
      </c>
    </row>
    <row r="2710" spans="4:4" x14ac:dyDescent="0.3">
      <c r="D2710" t="str">
        <f t="shared" si="73"/>
        <v/>
      </c>
    </row>
    <row r="2711" spans="4:4" x14ac:dyDescent="0.3">
      <c r="D2711" t="str">
        <f t="shared" si="73"/>
        <v/>
      </c>
    </row>
    <row r="2712" spans="4:4" x14ac:dyDescent="0.3">
      <c r="D2712" t="str">
        <f t="shared" si="73"/>
        <v/>
      </c>
    </row>
    <row r="2713" spans="4:4" x14ac:dyDescent="0.3">
      <c r="D2713" t="str">
        <f t="shared" si="73"/>
        <v/>
      </c>
    </row>
    <row r="2714" spans="4:4" x14ac:dyDescent="0.3">
      <c r="D2714" t="str">
        <f t="shared" si="73"/>
        <v/>
      </c>
    </row>
    <row r="2715" spans="4:4" x14ac:dyDescent="0.3">
      <c r="D2715" t="str">
        <f t="shared" si="73"/>
        <v/>
      </c>
    </row>
    <row r="2716" spans="4:4" x14ac:dyDescent="0.3">
      <c r="D2716" t="str">
        <f t="shared" si="73"/>
        <v/>
      </c>
    </row>
    <row r="2717" spans="4:4" x14ac:dyDescent="0.3">
      <c r="D2717" t="str">
        <f t="shared" si="73"/>
        <v/>
      </c>
    </row>
    <row r="2718" spans="4:4" x14ac:dyDescent="0.3">
      <c r="D2718" t="str">
        <f t="shared" si="73"/>
        <v/>
      </c>
    </row>
    <row r="2719" spans="4:4" x14ac:dyDescent="0.3">
      <c r="D2719" t="str">
        <f t="shared" si="73"/>
        <v/>
      </c>
    </row>
    <row r="2720" spans="4:4" x14ac:dyDescent="0.3">
      <c r="D2720" t="str">
        <f t="shared" si="73"/>
        <v/>
      </c>
    </row>
    <row r="2721" spans="4:4" x14ac:dyDescent="0.3">
      <c r="D2721" t="str">
        <f t="shared" si="73"/>
        <v/>
      </c>
    </row>
    <row r="2722" spans="4:4" x14ac:dyDescent="0.3">
      <c r="D2722" t="str">
        <f t="shared" si="73"/>
        <v/>
      </c>
    </row>
    <row r="2723" spans="4:4" x14ac:dyDescent="0.3">
      <c r="D2723" t="str">
        <f t="shared" si="73"/>
        <v/>
      </c>
    </row>
    <row r="2724" spans="4:4" x14ac:dyDescent="0.3">
      <c r="D2724" t="str">
        <f t="shared" si="73"/>
        <v/>
      </c>
    </row>
    <row r="2725" spans="4:4" x14ac:dyDescent="0.3">
      <c r="D2725" t="str">
        <f t="shared" si="73"/>
        <v/>
      </c>
    </row>
    <row r="2726" spans="4:4" x14ac:dyDescent="0.3">
      <c r="D2726" t="str">
        <f t="shared" si="73"/>
        <v/>
      </c>
    </row>
    <row r="2727" spans="4:4" x14ac:dyDescent="0.3">
      <c r="D2727" t="str">
        <f t="shared" si="73"/>
        <v/>
      </c>
    </row>
    <row r="2728" spans="4:4" x14ac:dyDescent="0.3">
      <c r="D2728" t="str">
        <f t="shared" si="73"/>
        <v/>
      </c>
    </row>
    <row r="2729" spans="4:4" x14ac:dyDescent="0.3">
      <c r="D2729" t="str">
        <f t="shared" si="73"/>
        <v/>
      </c>
    </row>
    <row r="2730" spans="4:4" x14ac:dyDescent="0.3">
      <c r="D2730" t="str">
        <f t="shared" si="73"/>
        <v/>
      </c>
    </row>
    <row r="2731" spans="4:4" x14ac:dyDescent="0.3">
      <c r="D2731" t="str">
        <f t="shared" si="73"/>
        <v/>
      </c>
    </row>
    <row r="2732" spans="4:4" x14ac:dyDescent="0.3">
      <c r="D2732" t="str">
        <f t="shared" si="73"/>
        <v/>
      </c>
    </row>
    <row r="2733" spans="4:4" x14ac:dyDescent="0.3">
      <c r="D2733" t="str">
        <f t="shared" si="73"/>
        <v/>
      </c>
    </row>
    <row r="2734" spans="4:4" x14ac:dyDescent="0.3">
      <c r="D2734" t="str">
        <f t="shared" si="73"/>
        <v/>
      </c>
    </row>
    <row r="2735" spans="4:4" x14ac:dyDescent="0.3">
      <c r="D2735" t="str">
        <f t="shared" si="73"/>
        <v/>
      </c>
    </row>
    <row r="2736" spans="4:4" x14ac:dyDescent="0.3">
      <c r="D2736" t="str">
        <f t="shared" si="73"/>
        <v/>
      </c>
    </row>
    <row r="2737" spans="4:4" x14ac:dyDescent="0.3">
      <c r="D2737" t="str">
        <f t="shared" si="73"/>
        <v/>
      </c>
    </row>
    <row r="2738" spans="4:4" x14ac:dyDescent="0.3">
      <c r="D2738" t="str">
        <f t="shared" si="73"/>
        <v/>
      </c>
    </row>
    <row r="2739" spans="4:4" x14ac:dyDescent="0.3">
      <c r="D2739" t="str">
        <f t="shared" si="73"/>
        <v/>
      </c>
    </row>
    <row r="2740" spans="4:4" x14ac:dyDescent="0.3">
      <c r="D2740" t="str">
        <f t="shared" si="73"/>
        <v/>
      </c>
    </row>
    <row r="2741" spans="4:4" x14ac:dyDescent="0.3">
      <c r="D2741" t="str">
        <f t="shared" si="73"/>
        <v/>
      </c>
    </row>
    <row r="2742" spans="4:4" x14ac:dyDescent="0.3">
      <c r="D2742" t="str">
        <f t="shared" ref="D2742:D2805" si="74">IF(LEFT(A2742,2)="SP",MID(A2742,4,4),IF(LEFT(A2742,1)="X",MID(A2742,3,4),""))</f>
        <v/>
      </c>
    </row>
    <row r="2743" spans="4:4" x14ac:dyDescent="0.3">
      <c r="D2743" t="str">
        <f t="shared" si="74"/>
        <v/>
      </c>
    </row>
    <row r="2744" spans="4:4" x14ac:dyDescent="0.3">
      <c r="D2744" t="str">
        <f t="shared" si="74"/>
        <v/>
      </c>
    </row>
    <row r="2745" spans="4:4" x14ac:dyDescent="0.3">
      <c r="D2745" t="str">
        <f t="shared" si="74"/>
        <v/>
      </c>
    </row>
    <row r="2746" spans="4:4" x14ac:dyDescent="0.3">
      <c r="D2746" t="str">
        <f t="shared" si="74"/>
        <v/>
      </c>
    </row>
    <row r="2747" spans="4:4" x14ac:dyDescent="0.3">
      <c r="D2747" t="str">
        <f t="shared" si="74"/>
        <v/>
      </c>
    </row>
    <row r="2748" spans="4:4" x14ac:dyDescent="0.3">
      <c r="D2748" t="str">
        <f t="shared" si="74"/>
        <v/>
      </c>
    </row>
    <row r="2749" spans="4:4" x14ac:dyDescent="0.3">
      <c r="D2749" t="str">
        <f t="shared" si="74"/>
        <v/>
      </c>
    </row>
    <row r="2750" spans="4:4" x14ac:dyDescent="0.3">
      <c r="D2750" t="str">
        <f t="shared" si="74"/>
        <v/>
      </c>
    </row>
    <row r="2751" spans="4:4" x14ac:dyDescent="0.3">
      <c r="D2751" t="str">
        <f t="shared" si="74"/>
        <v/>
      </c>
    </row>
    <row r="2752" spans="4:4" x14ac:dyDescent="0.3">
      <c r="D2752" t="str">
        <f t="shared" si="74"/>
        <v/>
      </c>
    </row>
    <row r="2753" spans="4:4" x14ac:dyDescent="0.3">
      <c r="D2753" t="str">
        <f t="shared" si="74"/>
        <v/>
      </c>
    </row>
    <row r="2754" spans="4:4" x14ac:dyDescent="0.3">
      <c r="D2754" t="str">
        <f t="shared" si="74"/>
        <v/>
      </c>
    </row>
    <row r="2755" spans="4:4" x14ac:dyDescent="0.3">
      <c r="D2755" t="str">
        <f t="shared" si="74"/>
        <v/>
      </c>
    </row>
    <row r="2756" spans="4:4" x14ac:dyDescent="0.3">
      <c r="D2756" t="str">
        <f t="shared" si="74"/>
        <v/>
      </c>
    </row>
    <row r="2757" spans="4:4" x14ac:dyDescent="0.3">
      <c r="D2757" t="str">
        <f t="shared" si="74"/>
        <v/>
      </c>
    </row>
    <row r="2758" spans="4:4" x14ac:dyDescent="0.3">
      <c r="D2758" t="str">
        <f t="shared" si="74"/>
        <v/>
      </c>
    </row>
    <row r="2759" spans="4:4" x14ac:dyDescent="0.3">
      <c r="D2759" t="str">
        <f t="shared" si="74"/>
        <v/>
      </c>
    </row>
    <row r="2760" spans="4:4" x14ac:dyDescent="0.3">
      <c r="D2760" t="str">
        <f t="shared" si="74"/>
        <v/>
      </c>
    </row>
    <row r="2761" spans="4:4" x14ac:dyDescent="0.3">
      <c r="D2761" t="str">
        <f t="shared" si="74"/>
        <v/>
      </c>
    </row>
    <row r="2762" spans="4:4" x14ac:dyDescent="0.3">
      <c r="D2762" t="str">
        <f t="shared" si="74"/>
        <v/>
      </c>
    </row>
    <row r="2763" spans="4:4" x14ac:dyDescent="0.3">
      <c r="D2763" t="str">
        <f t="shared" si="74"/>
        <v/>
      </c>
    </row>
    <row r="2764" spans="4:4" x14ac:dyDescent="0.3">
      <c r="D2764" t="str">
        <f t="shared" si="74"/>
        <v/>
      </c>
    </row>
    <row r="2765" spans="4:4" x14ac:dyDescent="0.3">
      <c r="D2765" t="str">
        <f t="shared" si="74"/>
        <v/>
      </c>
    </row>
    <row r="2766" spans="4:4" x14ac:dyDescent="0.3">
      <c r="D2766" t="str">
        <f t="shared" si="74"/>
        <v/>
      </c>
    </row>
    <row r="2767" spans="4:4" x14ac:dyDescent="0.3">
      <c r="D2767" t="str">
        <f t="shared" si="74"/>
        <v/>
      </c>
    </row>
    <row r="2768" spans="4:4" x14ac:dyDescent="0.3">
      <c r="D2768" t="str">
        <f t="shared" si="74"/>
        <v/>
      </c>
    </row>
    <row r="2769" spans="4:4" x14ac:dyDescent="0.3">
      <c r="D2769" t="str">
        <f t="shared" si="74"/>
        <v/>
      </c>
    </row>
    <row r="2770" spans="4:4" x14ac:dyDescent="0.3">
      <c r="D2770" t="str">
        <f t="shared" si="74"/>
        <v/>
      </c>
    </row>
    <row r="2771" spans="4:4" x14ac:dyDescent="0.3">
      <c r="D2771" t="str">
        <f t="shared" si="74"/>
        <v/>
      </c>
    </row>
    <row r="2772" spans="4:4" x14ac:dyDescent="0.3">
      <c r="D2772" t="str">
        <f t="shared" si="74"/>
        <v/>
      </c>
    </row>
    <row r="2773" spans="4:4" x14ac:dyDescent="0.3">
      <c r="D2773" t="str">
        <f t="shared" si="74"/>
        <v/>
      </c>
    </row>
    <row r="2774" spans="4:4" x14ac:dyDescent="0.3">
      <c r="D2774" t="str">
        <f t="shared" si="74"/>
        <v/>
      </c>
    </row>
    <row r="2775" spans="4:4" x14ac:dyDescent="0.3">
      <c r="D2775" t="str">
        <f t="shared" si="74"/>
        <v/>
      </c>
    </row>
    <row r="2776" spans="4:4" x14ac:dyDescent="0.3">
      <c r="D2776" t="str">
        <f t="shared" si="74"/>
        <v/>
      </c>
    </row>
    <row r="2777" spans="4:4" x14ac:dyDescent="0.3">
      <c r="D2777" t="str">
        <f t="shared" si="74"/>
        <v/>
      </c>
    </row>
    <row r="2778" spans="4:4" x14ac:dyDescent="0.3">
      <c r="D2778" t="str">
        <f t="shared" si="74"/>
        <v/>
      </c>
    </row>
    <row r="2779" spans="4:4" x14ac:dyDescent="0.3">
      <c r="D2779" t="str">
        <f t="shared" si="74"/>
        <v/>
      </c>
    </row>
    <row r="2780" spans="4:4" x14ac:dyDescent="0.3">
      <c r="D2780" t="str">
        <f t="shared" si="74"/>
        <v/>
      </c>
    </row>
    <row r="2781" spans="4:4" x14ac:dyDescent="0.3">
      <c r="D2781" t="str">
        <f t="shared" si="74"/>
        <v/>
      </c>
    </row>
    <row r="2782" spans="4:4" x14ac:dyDescent="0.3">
      <c r="D2782" t="str">
        <f t="shared" si="74"/>
        <v/>
      </c>
    </row>
    <row r="2783" spans="4:4" x14ac:dyDescent="0.3">
      <c r="D2783" t="str">
        <f t="shared" si="74"/>
        <v/>
      </c>
    </row>
    <row r="2784" spans="4:4" x14ac:dyDescent="0.3">
      <c r="D2784" t="str">
        <f t="shared" si="74"/>
        <v/>
      </c>
    </row>
    <row r="2785" spans="4:4" x14ac:dyDescent="0.3">
      <c r="D2785" t="str">
        <f t="shared" si="74"/>
        <v/>
      </c>
    </row>
    <row r="2786" spans="4:4" x14ac:dyDescent="0.3">
      <c r="D2786" t="str">
        <f t="shared" si="74"/>
        <v/>
      </c>
    </row>
    <row r="2787" spans="4:4" x14ac:dyDescent="0.3">
      <c r="D2787" t="str">
        <f t="shared" si="74"/>
        <v/>
      </c>
    </row>
    <row r="2788" spans="4:4" x14ac:dyDescent="0.3">
      <c r="D2788" t="str">
        <f t="shared" si="74"/>
        <v/>
      </c>
    </row>
    <row r="2789" spans="4:4" x14ac:dyDescent="0.3">
      <c r="D2789" t="str">
        <f t="shared" si="74"/>
        <v/>
      </c>
    </row>
    <row r="2790" spans="4:4" x14ac:dyDescent="0.3">
      <c r="D2790" t="str">
        <f t="shared" si="74"/>
        <v/>
      </c>
    </row>
    <row r="2791" spans="4:4" x14ac:dyDescent="0.3">
      <c r="D2791" t="str">
        <f t="shared" si="74"/>
        <v/>
      </c>
    </row>
    <row r="2792" spans="4:4" x14ac:dyDescent="0.3">
      <c r="D2792" t="str">
        <f t="shared" si="74"/>
        <v/>
      </c>
    </row>
    <row r="2793" spans="4:4" x14ac:dyDescent="0.3">
      <c r="D2793" t="str">
        <f t="shared" si="74"/>
        <v/>
      </c>
    </row>
    <row r="2794" spans="4:4" x14ac:dyDescent="0.3">
      <c r="D2794" t="str">
        <f t="shared" si="74"/>
        <v/>
      </c>
    </row>
    <row r="2795" spans="4:4" x14ac:dyDescent="0.3">
      <c r="D2795" t="str">
        <f t="shared" si="74"/>
        <v/>
      </c>
    </row>
    <row r="2796" spans="4:4" x14ac:dyDescent="0.3">
      <c r="D2796" t="str">
        <f t="shared" si="74"/>
        <v/>
      </c>
    </row>
    <row r="2797" spans="4:4" x14ac:dyDescent="0.3">
      <c r="D2797" t="str">
        <f t="shared" si="74"/>
        <v/>
      </c>
    </row>
    <row r="2798" spans="4:4" x14ac:dyDescent="0.3">
      <c r="D2798" t="str">
        <f t="shared" si="74"/>
        <v/>
      </c>
    </row>
    <row r="2799" spans="4:4" x14ac:dyDescent="0.3">
      <c r="D2799" t="str">
        <f t="shared" si="74"/>
        <v/>
      </c>
    </row>
    <row r="2800" spans="4:4" x14ac:dyDescent="0.3">
      <c r="D2800" t="str">
        <f t="shared" si="74"/>
        <v/>
      </c>
    </row>
    <row r="2801" spans="4:4" x14ac:dyDescent="0.3">
      <c r="D2801" t="str">
        <f t="shared" si="74"/>
        <v/>
      </c>
    </row>
    <row r="2802" spans="4:4" x14ac:dyDescent="0.3">
      <c r="D2802" t="str">
        <f t="shared" si="74"/>
        <v/>
      </c>
    </row>
    <row r="2803" spans="4:4" x14ac:dyDescent="0.3">
      <c r="D2803" t="str">
        <f t="shared" si="74"/>
        <v/>
      </c>
    </row>
    <row r="2804" spans="4:4" x14ac:dyDescent="0.3">
      <c r="D2804" t="str">
        <f t="shared" si="74"/>
        <v/>
      </c>
    </row>
    <row r="2805" spans="4:4" x14ac:dyDescent="0.3">
      <c r="D2805" t="str">
        <f t="shared" si="74"/>
        <v/>
      </c>
    </row>
    <row r="2806" spans="4:4" x14ac:dyDescent="0.3">
      <c r="D2806" t="str">
        <f t="shared" ref="D2806:D2869" si="75">IF(LEFT(A2806,2)="SP",MID(A2806,4,4),IF(LEFT(A2806,1)="X",MID(A2806,3,4),""))</f>
        <v/>
      </c>
    </row>
    <row r="2807" spans="4:4" x14ac:dyDescent="0.3">
      <c r="D2807" t="str">
        <f t="shared" si="75"/>
        <v/>
      </c>
    </row>
    <row r="2808" spans="4:4" x14ac:dyDescent="0.3">
      <c r="D2808" t="str">
        <f t="shared" si="75"/>
        <v/>
      </c>
    </row>
    <row r="2809" spans="4:4" x14ac:dyDescent="0.3">
      <c r="D2809" t="str">
        <f t="shared" si="75"/>
        <v/>
      </c>
    </row>
    <row r="2810" spans="4:4" x14ac:dyDescent="0.3">
      <c r="D2810" t="str">
        <f t="shared" si="75"/>
        <v/>
      </c>
    </row>
    <row r="2811" spans="4:4" x14ac:dyDescent="0.3">
      <c r="D2811" t="str">
        <f t="shared" si="75"/>
        <v/>
      </c>
    </row>
    <row r="2812" spans="4:4" x14ac:dyDescent="0.3">
      <c r="D2812" t="str">
        <f t="shared" si="75"/>
        <v/>
      </c>
    </row>
    <row r="2813" spans="4:4" x14ac:dyDescent="0.3">
      <c r="D2813" t="str">
        <f t="shared" si="75"/>
        <v/>
      </c>
    </row>
    <row r="2814" spans="4:4" x14ac:dyDescent="0.3">
      <c r="D2814" t="str">
        <f t="shared" si="75"/>
        <v/>
      </c>
    </row>
    <row r="2815" spans="4:4" x14ac:dyDescent="0.3">
      <c r="D2815" t="str">
        <f t="shared" si="75"/>
        <v/>
      </c>
    </row>
    <row r="2816" spans="4:4" x14ac:dyDescent="0.3">
      <c r="D2816" t="str">
        <f t="shared" si="75"/>
        <v/>
      </c>
    </row>
    <row r="2817" spans="4:4" x14ac:dyDescent="0.3">
      <c r="D2817" t="str">
        <f t="shared" si="75"/>
        <v/>
      </c>
    </row>
    <row r="2818" spans="4:4" x14ac:dyDescent="0.3">
      <c r="D2818" t="str">
        <f t="shared" si="75"/>
        <v/>
      </c>
    </row>
    <row r="2819" spans="4:4" x14ac:dyDescent="0.3">
      <c r="D2819" t="str">
        <f t="shared" si="75"/>
        <v/>
      </c>
    </row>
    <row r="2820" spans="4:4" x14ac:dyDescent="0.3">
      <c r="D2820" t="str">
        <f t="shared" si="75"/>
        <v/>
      </c>
    </row>
    <row r="2821" spans="4:4" x14ac:dyDescent="0.3">
      <c r="D2821" t="str">
        <f t="shared" si="75"/>
        <v/>
      </c>
    </row>
    <row r="2822" spans="4:4" x14ac:dyDescent="0.3">
      <c r="D2822" t="str">
        <f t="shared" si="75"/>
        <v/>
      </c>
    </row>
    <row r="2823" spans="4:4" x14ac:dyDescent="0.3">
      <c r="D2823" t="str">
        <f t="shared" si="75"/>
        <v/>
      </c>
    </row>
    <row r="2824" spans="4:4" x14ac:dyDescent="0.3">
      <c r="D2824" t="str">
        <f t="shared" si="75"/>
        <v/>
      </c>
    </row>
    <row r="2825" spans="4:4" x14ac:dyDescent="0.3">
      <c r="D2825" t="str">
        <f t="shared" si="75"/>
        <v/>
      </c>
    </row>
    <row r="2826" spans="4:4" x14ac:dyDescent="0.3">
      <c r="D2826" t="str">
        <f t="shared" si="75"/>
        <v/>
      </c>
    </row>
    <row r="2827" spans="4:4" x14ac:dyDescent="0.3">
      <c r="D2827" t="str">
        <f t="shared" si="75"/>
        <v/>
      </c>
    </row>
    <row r="2828" spans="4:4" x14ac:dyDescent="0.3">
      <c r="D2828" t="str">
        <f t="shared" si="75"/>
        <v/>
      </c>
    </row>
    <row r="2829" spans="4:4" x14ac:dyDescent="0.3">
      <c r="D2829" t="str">
        <f t="shared" si="75"/>
        <v/>
      </c>
    </row>
    <row r="2830" spans="4:4" x14ac:dyDescent="0.3">
      <c r="D2830" t="str">
        <f t="shared" si="75"/>
        <v/>
      </c>
    </row>
    <row r="2831" spans="4:4" x14ac:dyDescent="0.3">
      <c r="D2831" t="str">
        <f t="shared" si="75"/>
        <v/>
      </c>
    </row>
    <row r="2832" spans="4:4" x14ac:dyDescent="0.3">
      <c r="D2832" t="str">
        <f t="shared" si="75"/>
        <v/>
      </c>
    </row>
    <row r="2833" spans="4:4" x14ac:dyDescent="0.3">
      <c r="D2833" t="str">
        <f t="shared" si="75"/>
        <v/>
      </c>
    </row>
    <row r="2834" spans="4:4" x14ac:dyDescent="0.3">
      <c r="D2834" t="str">
        <f t="shared" si="75"/>
        <v/>
      </c>
    </row>
    <row r="2835" spans="4:4" x14ac:dyDescent="0.3">
      <c r="D2835" t="str">
        <f t="shared" si="75"/>
        <v/>
      </c>
    </row>
    <row r="2836" spans="4:4" x14ac:dyDescent="0.3">
      <c r="D2836" t="str">
        <f t="shared" si="75"/>
        <v/>
      </c>
    </row>
    <row r="2837" spans="4:4" x14ac:dyDescent="0.3">
      <c r="D2837" t="str">
        <f t="shared" si="75"/>
        <v/>
      </c>
    </row>
    <row r="2838" spans="4:4" x14ac:dyDescent="0.3">
      <c r="D2838" t="str">
        <f t="shared" si="75"/>
        <v/>
      </c>
    </row>
    <row r="2839" spans="4:4" x14ac:dyDescent="0.3">
      <c r="D2839" t="str">
        <f t="shared" si="75"/>
        <v/>
      </c>
    </row>
    <row r="2840" spans="4:4" x14ac:dyDescent="0.3">
      <c r="D2840" t="str">
        <f t="shared" si="75"/>
        <v/>
      </c>
    </row>
    <row r="2841" spans="4:4" x14ac:dyDescent="0.3">
      <c r="D2841" t="str">
        <f t="shared" si="75"/>
        <v/>
      </c>
    </row>
    <row r="2842" spans="4:4" x14ac:dyDescent="0.3">
      <c r="D2842" t="str">
        <f t="shared" si="75"/>
        <v/>
      </c>
    </row>
    <row r="2843" spans="4:4" x14ac:dyDescent="0.3">
      <c r="D2843" t="str">
        <f t="shared" si="75"/>
        <v/>
      </c>
    </row>
    <row r="2844" spans="4:4" x14ac:dyDescent="0.3">
      <c r="D2844" t="str">
        <f t="shared" si="75"/>
        <v/>
      </c>
    </row>
    <row r="2845" spans="4:4" x14ac:dyDescent="0.3">
      <c r="D2845" t="str">
        <f t="shared" si="75"/>
        <v/>
      </c>
    </row>
    <row r="2846" spans="4:4" x14ac:dyDescent="0.3">
      <c r="D2846" t="str">
        <f t="shared" si="75"/>
        <v/>
      </c>
    </row>
    <row r="2847" spans="4:4" x14ac:dyDescent="0.3">
      <c r="D2847" t="str">
        <f t="shared" si="75"/>
        <v/>
      </c>
    </row>
    <row r="2848" spans="4:4" x14ac:dyDescent="0.3">
      <c r="D2848" t="str">
        <f t="shared" si="75"/>
        <v/>
      </c>
    </row>
    <row r="2849" spans="4:4" x14ac:dyDescent="0.3">
      <c r="D2849" t="str">
        <f t="shared" si="75"/>
        <v/>
      </c>
    </row>
    <row r="2850" spans="4:4" x14ac:dyDescent="0.3">
      <c r="D2850" t="str">
        <f t="shared" si="75"/>
        <v/>
      </c>
    </row>
    <row r="2851" spans="4:4" x14ac:dyDescent="0.3">
      <c r="D2851" t="str">
        <f t="shared" si="75"/>
        <v/>
      </c>
    </row>
    <row r="2852" spans="4:4" x14ac:dyDescent="0.3">
      <c r="D2852" t="str">
        <f t="shared" si="75"/>
        <v/>
      </c>
    </row>
    <row r="2853" spans="4:4" x14ac:dyDescent="0.3">
      <c r="D2853" t="str">
        <f t="shared" si="75"/>
        <v/>
      </c>
    </row>
    <row r="2854" spans="4:4" x14ac:dyDescent="0.3">
      <c r="D2854" t="str">
        <f t="shared" si="75"/>
        <v/>
      </c>
    </row>
    <row r="2855" spans="4:4" x14ac:dyDescent="0.3">
      <c r="D2855" t="str">
        <f t="shared" si="75"/>
        <v/>
      </c>
    </row>
    <row r="2856" spans="4:4" x14ac:dyDescent="0.3">
      <c r="D2856" t="str">
        <f t="shared" si="75"/>
        <v/>
      </c>
    </row>
    <row r="2857" spans="4:4" x14ac:dyDescent="0.3">
      <c r="D2857" t="str">
        <f t="shared" si="75"/>
        <v/>
      </c>
    </row>
    <row r="2858" spans="4:4" x14ac:dyDescent="0.3">
      <c r="D2858" t="str">
        <f t="shared" si="75"/>
        <v/>
      </c>
    </row>
    <row r="2859" spans="4:4" x14ac:dyDescent="0.3">
      <c r="D2859" t="str">
        <f t="shared" si="75"/>
        <v/>
      </c>
    </row>
    <row r="2860" spans="4:4" x14ac:dyDescent="0.3">
      <c r="D2860" t="str">
        <f t="shared" si="75"/>
        <v/>
      </c>
    </row>
    <row r="2861" spans="4:4" x14ac:dyDescent="0.3">
      <c r="D2861" t="str">
        <f t="shared" si="75"/>
        <v/>
      </c>
    </row>
    <row r="2862" spans="4:4" x14ac:dyDescent="0.3">
      <c r="D2862" t="str">
        <f t="shared" si="75"/>
        <v/>
      </c>
    </row>
    <row r="2863" spans="4:4" x14ac:dyDescent="0.3">
      <c r="D2863" t="str">
        <f t="shared" si="75"/>
        <v/>
      </c>
    </row>
    <row r="2864" spans="4:4" x14ac:dyDescent="0.3">
      <c r="D2864" t="str">
        <f t="shared" si="75"/>
        <v/>
      </c>
    </row>
    <row r="2865" spans="4:4" x14ac:dyDescent="0.3">
      <c r="D2865" t="str">
        <f t="shared" si="75"/>
        <v/>
      </c>
    </row>
    <row r="2866" spans="4:4" x14ac:dyDescent="0.3">
      <c r="D2866" t="str">
        <f t="shared" si="75"/>
        <v/>
      </c>
    </row>
    <row r="2867" spans="4:4" x14ac:dyDescent="0.3">
      <c r="D2867" t="str">
        <f t="shared" si="75"/>
        <v/>
      </c>
    </row>
    <row r="2868" spans="4:4" x14ac:dyDescent="0.3">
      <c r="D2868" t="str">
        <f t="shared" si="75"/>
        <v/>
      </c>
    </row>
    <row r="2869" spans="4:4" x14ac:dyDescent="0.3">
      <c r="D2869" t="str">
        <f t="shared" si="75"/>
        <v/>
      </c>
    </row>
    <row r="2870" spans="4:4" x14ac:dyDescent="0.3">
      <c r="D2870" t="str">
        <f t="shared" ref="D2870:D2933" si="76">IF(LEFT(A2870,2)="SP",MID(A2870,4,4),IF(LEFT(A2870,1)="X",MID(A2870,3,4),""))</f>
        <v/>
      </c>
    </row>
    <row r="2871" spans="4:4" x14ac:dyDescent="0.3">
      <c r="D2871" t="str">
        <f t="shared" si="76"/>
        <v/>
      </c>
    </row>
    <row r="2872" spans="4:4" x14ac:dyDescent="0.3">
      <c r="D2872" t="str">
        <f t="shared" si="76"/>
        <v/>
      </c>
    </row>
    <row r="2873" spans="4:4" x14ac:dyDescent="0.3">
      <c r="D2873" t="str">
        <f t="shared" si="76"/>
        <v/>
      </c>
    </row>
    <row r="2874" spans="4:4" x14ac:dyDescent="0.3">
      <c r="D2874" t="str">
        <f t="shared" si="76"/>
        <v/>
      </c>
    </row>
    <row r="2875" spans="4:4" x14ac:dyDescent="0.3">
      <c r="D2875" t="str">
        <f t="shared" si="76"/>
        <v/>
      </c>
    </row>
    <row r="2876" spans="4:4" x14ac:dyDescent="0.3">
      <c r="D2876" t="str">
        <f t="shared" si="76"/>
        <v/>
      </c>
    </row>
    <row r="2877" spans="4:4" x14ac:dyDescent="0.3">
      <c r="D2877" t="str">
        <f t="shared" si="76"/>
        <v/>
      </c>
    </row>
    <row r="2878" spans="4:4" x14ac:dyDescent="0.3">
      <c r="D2878" t="str">
        <f t="shared" si="76"/>
        <v/>
      </c>
    </row>
    <row r="2879" spans="4:4" x14ac:dyDescent="0.3">
      <c r="D2879" t="str">
        <f t="shared" si="76"/>
        <v/>
      </c>
    </row>
    <row r="2880" spans="4:4" x14ac:dyDescent="0.3">
      <c r="D2880" t="str">
        <f t="shared" si="76"/>
        <v/>
      </c>
    </row>
    <row r="2881" spans="4:4" x14ac:dyDescent="0.3">
      <c r="D2881" t="str">
        <f t="shared" si="76"/>
        <v/>
      </c>
    </row>
    <row r="2882" spans="4:4" x14ac:dyDescent="0.3">
      <c r="D2882" t="str">
        <f t="shared" si="76"/>
        <v/>
      </c>
    </row>
    <row r="2883" spans="4:4" x14ac:dyDescent="0.3">
      <c r="D2883" t="str">
        <f t="shared" si="76"/>
        <v/>
      </c>
    </row>
    <row r="2884" spans="4:4" x14ac:dyDescent="0.3">
      <c r="D2884" t="str">
        <f t="shared" si="76"/>
        <v/>
      </c>
    </row>
    <row r="2885" spans="4:4" x14ac:dyDescent="0.3">
      <c r="D2885" t="str">
        <f t="shared" si="76"/>
        <v/>
      </c>
    </row>
    <row r="2886" spans="4:4" x14ac:dyDescent="0.3">
      <c r="D2886" t="str">
        <f t="shared" si="76"/>
        <v/>
      </c>
    </row>
    <row r="2887" spans="4:4" x14ac:dyDescent="0.3">
      <c r="D2887" t="str">
        <f t="shared" si="76"/>
        <v/>
      </c>
    </row>
    <row r="2888" spans="4:4" x14ac:dyDescent="0.3">
      <c r="D2888" t="str">
        <f t="shared" si="76"/>
        <v/>
      </c>
    </row>
    <row r="2889" spans="4:4" x14ac:dyDescent="0.3">
      <c r="D2889" t="str">
        <f t="shared" si="76"/>
        <v/>
      </c>
    </row>
    <row r="2890" spans="4:4" x14ac:dyDescent="0.3">
      <c r="D2890" t="str">
        <f t="shared" si="76"/>
        <v/>
      </c>
    </row>
    <row r="2891" spans="4:4" x14ac:dyDescent="0.3">
      <c r="D2891" t="str">
        <f t="shared" si="76"/>
        <v/>
      </c>
    </row>
    <row r="2892" spans="4:4" x14ac:dyDescent="0.3">
      <c r="D2892" t="str">
        <f t="shared" si="76"/>
        <v/>
      </c>
    </row>
    <row r="2893" spans="4:4" x14ac:dyDescent="0.3">
      <c r="D2893" t="str">
        <f t="shared" si="76"/>
        <v/>
      </c>
    </row>
    <row r="2894" spans="4:4" x14ac:dyDescent="0.3">
      <c r="D2894" t="str">
        <f t="shared" si="76"/>
        <v/>
      </c>
    </row>
    <row r="2895" spans="4:4" x14ac:dyDescent="0.3">
      <c r="D2895" t="str">
        <f t="shared" si="76"/>
        <v/>
      </c>
    </row>
    <row r="2896" spans="4:4" x14ac:dyDescent="0.3">
      <c r="D2896" t="str">
        <f t="shared" si="76"/>
        <v/>
      </c>
    </row>
    <row r="2897" spans="4:4" x14ac:dyDescent="0.3">
      <c r="D2897" t="str">
        <f t="shared" si="76"/>
        <v/>
      </c>
    </row>
    <row r="2898" spans="4:4" x14ac:dyDescent="0.3">
      <c r="D2898" t="str">
        <f t="shared" si="76"/>
        <v/>
      </c>
    </row>
    <row r="2899" spans="4:4" x14ac:dyDescent="0.3">
      <c r="D2899" t="str">
        <f t="shared" si="76"/>
        <v/>
      </c>
    </row>
    <row r="2900" spans="4:4" x14ac:dyDescent="0.3">
      <c r="D2900" t="str">
        <f t="shared" si="76"/>
        <v/>
      </c>
    </row>
    <row r="2901" spans="4:4" x14ac:dyDescent="0.3">
      <c r="D2901" t="str">
        <f t="shared" si="76"/>
        <v/>
      </c>
    </row>
    <row r="2902" spans="4:4" x14ac:dyDescent="0.3">
      <c r="D2902" t="str">
        <f t="shared" si="76"/>
        <v/>
      </c>
    </row>
    <row r="2903" spans="4:4" x14ac:dyDescent="0.3">
      <c r="D2903" t="str">
        <f t="shared" si="76"/>
        <v/>
      </c>
    </row>
    <row r="2904" spans="4:4" x14ac:dyDescent="0.3">
      <c r="D2904" t="str">
        <f t="shared" si="76"/>
        <v/>
      </c>
    </row>
    <row r="2905" spans="4:4" x14ac:dyDescent="0.3">
      <c r="D2905" t="str">
        <f t="shared" si="76"/>
        <v/>
      </c>
    </row>
    <row r="2906" spans="4:4" x14ac:dyDescent="0.3">
      <c r="D2906" t="str">
        <f t="shared" si="76"/>
        <v/>
      </c>
    </row>
    <row r="2907" spans="4:4" x14ac:dyDescent="0.3">
      <c r="D2907" t="str">
        <f t="shared" si="76"/>
        <v/>
      </c>
    </row>
    <row r="2908" spans="4:4" x14ac:dyDescent="0.3">
      <c r="D2908" t="str">
        <f t="shared" si="76"/>
        <v/>
      </c>
    </row>
    <row r="2909" spans="4:4" x14ac:dyDescent="0.3">
      <c r="D2909" t="str">
        <f t="shared" si="76"/>
        <v/>
      </c>
    </row>
    <row r="2910" spans="4:4" x14ac:dyDescent="0.3">
      <c r="D2910" t="str">
        <f t="shared" si="76"/>
        <v/>
      </c>
    </row>
    <row r="2911" spans="4:4" x14ac:dyDescent="0.3">
      <c r="D2911" t="str">
        <f t="shared" si="76"/>
        <v/>
      </c>
    </row>
    <row r="2912" spans="4:4" x14ac:dyDescent="0.3">
      <c r="D2912" t="str">
        <f t="shared" si="76"/>
        <v/>
      </c>
    </row>
    <row r="2913" spans="4:4" x14ac:dyDescent="0.3">
      <c r="D2913" t="str">
        <f t="shared" si="76"/>
        <v/>
      </c>
    </row>
    <row r="2914" spans="4:4" x14ac:dyDescent="0.3">
      <c r="D2914" t="str">
        <f t="shared" si="76"/>
        <v/>
      </c>
    </row>
    <row r="2915" spans="4:4" x14ac:dyDescent="0.3">
      <c r="D2915" t="str">
        <f t="shared" si="76"/>
        <v/>
      </c>
    </row>
    <row r="2916" spans="4:4" x14ac:dyDescent="0.3">
      <c r="D2916" t="str">
        <f t="shared" si="76"/>
        <v/>
      </c>
    </row>
    <row r="2917" spans="4:4" x14ac:dyDescent="0.3">
      <c r="D2917" t="str">
        <f t="shared" si="76"/>
        <v/>
      </c>
    </row>
    <row r="2918" spans="4:4" x14ac:dyDescent="0.3">
      <c r="D2918" t="str">
        <f t="shared" si="76"/>
        <v/>
      </c>
    </row>
    <row r="2919" spans="4:4" x14ac:dyDescent="0.3">
      <c r="D2919" t="str">
        <f t="shared" si="76"/>
        <v/>
      </c>
    </row>
    <row r="2920" spans="4:4" x14ac:dyDescent="0.3">
      <c r="D2920" t="str">
        <f t="shared" si="76"/>
        <v/>
      </c>
    </row>
    <row r="2921" spans="4:4" x14ac:dyDescent="0.3">
      <c r="D2921" t="str">
        <f t="shared" si="76"/>
        <v/>
      </c>
    </row>
    <row r="2922" spans="4:4" x14ac:dyDescent="0.3">
      <c r="D2922" t="str">
        <f t="shared" si="76"/>
        <v/>
      </c>
    </row>
    <row r="2923" spans="4:4" x14ac:dyDescent="0.3">
      <c r="D2923" t="str">
        <f t="shared" si="76"/>
        <v/>
      </c>
    </row>
    <row r="2924" spans="4:4" x14ac:dyDescent="0.3">
      <c r="D2924" t="str">
        <f t="shared" si="76"/>
        <v/>
      </c>
    </row>
    <row r="2925" spans="4:4" x14ac:dyDescent="0.3">
      <c r="D2925" t="str">
        <f t="shared" si="76"/>
        <v/>
      </c>
    </row>
    <row r="2926" spans="4:4" x14ac:dyDescent="0.3">
      <c r="D2926" t="str">
        <f t="shared" si="76"/>
        <v/>
      </c>
    </row>
    <row r="2927" spans="4:4" x14ac:dyDescent="0.3">
      <c r="D2927" t="str">
        <f t="shared" si="76"/>
        <v/>
      </c>
    </row>
    <row r="2928" spans="4:4" x14ac:dyDescent="0.3">
      <c r="D2928" t="str">
        <f t="shared" si="76"/>
        <v/>
      </c>
    </row>
    <row r="2929" spans="4:4" x14ac:dyDescent="0.3">
      <c r="D2929" t="str">
        <f t="shared" si="76"/>
        <v/>
      </c>
    </row>
    <row r="2930" spans="4:4" x14ac:dyDescent="0.3">
      <c r="D2930" t="str">
        <f t="shared" si="76"/>
        <v/>
      </c>
    </row>
    <row r="2931" spans="4:4" x14ac:dyDescent="0.3">
      <c r="D2931" t="str">
        <f t="shared" si="76"/>
        <v/>
      </c>
    </row>
    <row r="2932" spans="4:4" x14ac:dyDescent="0.3">
      <c r="D2932" t="str">
        <f t="shared" si="76"/>
        <v/>
      </c>
    </row>
    <row r="2933" spans="4:4" x14ac:dyDescent="0.3">
      <c r="D2933" t="str">
        <f t="shared" si="76"/>
        <v/>
      </c>
    </row>
    <row r="2934" spans="4:4" x14ac:dyDescent="0.3">
      <c r="D2934" t="str">
        <f t="shared" ref="D2934:D2997" si="77">IF(LEFT(A2934,2)="SP",MID(A2934,4,4),IF(LEFT(A2934,1)="X",MID(A2934,3,4),""))</f>
        <v/>
      </c>
    </row>
    <row r="2935" spans="4:4" x14ac:dyDescent="0.3">
      <c r="D2935" t="str">
        <f t="shared" si="77"/>
        <v/>
      </c>
    </row>
    <row r="2936" spans="4:4" x14ac:dyDescent="0.3">
      <c r="D2936" t="str">
        <f t="shared" si="77"/>
        <v/>
      </c>
    </row>
    <row r="2937" spans="4:4" x14ac:dyDescent="0.3">
      <c r="D2937" t="str">
        <f t="shared" si="77"/>
        <v/>
      </c>
    </row>
    <row r="2938" spans="4:4" x14ac:dyDescent="0.3">
      <c r="D2938" t="str">
        <f t="shared" si="77"/>
        <v/>
      </c>
    </row>
    <row r="2939" spans="4:4" x14ac:dyDescent="0.3">
      <c r="D2939" t="str">
        <f t="shared" si="77"/>
        <v/>
      </c>
    </row>
    <row r="2940" spans="4:4" x14ac:dyDescent="0.3">
      <c r="D2940" t="str">
        <f t="shared" si="77"/>
        <v/>
      </c>
    </row>
    <row r="2941" spans="4:4" x14ac:dyDescent="0.3">
      <c r="D2941" t="str">
        <f t="shared" si="77"/>
        <v/>
      </c>
    </row>
    <row r="2942" spans="4:4" x14ac:dyDescent="0.3">
      <c r="D2942" t="str">
        <f t="shared" si="77"/>
        <v/>
      </c>
    </row>
    <row r="2943" spans="4:4" x14ac:dyDescent="0.3">
      <c r="D2943" t="str">
        <f t="shared" si="77"/>
        <v/>
      </c>
    </row>
    <row r="2944" spans="4:4" x14ac:dyDescent="0.3">
      <c r="D2944" t="str">
        <f t="shared" si="77"/>
        <v/>
      </c>
    </row>
    <row r="2945" spans="4:4" x14ac:dyDescent="0.3">
      <c r="D2945" t="str">
        <f t="shared" si="77"/>
        <v/>
      </c>
    </row>
    <row r="2946" spans="4:4" x14ac:dyDescent="0.3">
      <c r="D2946" t="str">
        <f t="shared" si="77"/>
        <v/>
      </c>
    </row>
    <row r="2947" spans="4:4" x14ac:dyDescent="0.3">
      <c r="D2947" t="str">
        <f t="shared" si="77"/>
        <v/>
      </c>
    </row>
    <row r="2948" spans="4:4" x14ac:dyDescent="0.3">
      <c r="D2948" t="str">
        <f t="shared" si="77"/>
        <v/>
      </c>
    </row>
    <row r="2949" spans="4:4" x14ac:dyDescent="0.3">
      <c r="D2949" t="str">
        <f t="shared" si="77"/>
        <v/>
      </c>
    </row>
    <row r="2950" spans="4:4" x14ac:dyDescent="0.3">
      <c r="D2950" t="str">
        <f t="shared" si="77"/>
        <v/>
      </c>
    </row>
    <row r="2951" spans="4:4" x14ac:dyDescent="0.3">
      <c r="D2951" t="str">
        <f t="shared" si="77"/>
        <v/>
      </c>
    </row>
    <row r="2952" spans="4:4" x14ac:dyDescent="0.3">
      <c r="D2952" t="str">
        <f t="shared" si="77"/>
        <v/>
      </c>
    </row>
    <row r="2953" spans="4:4" x14ac:dyDescent="0.3">
      <c r="D2953" t="str">
        <f t="shared" si="77"/>
        <v/>
      </c>
    </row>
    <row r="2954" spans="4:4" x14ac:dyDescent="0.3">
      <c r="D2954" t="str">
        <f t="shared" si="77"/>
        <v/>
      </c>
    </row>
    <row r="2955" spans="4:4" x14ac:dyDescent="0.3">
      <c r="D2955" t="str">
        <f t="shared" si="77"/>
        <v/>
      </c>
    </row>
    <row r="2956" spans="4:4" x14ac:dyDescent="0.3">
      <c r="D2956" t="str">
        <f t="shared" si="77"/>
        <v/>
      </c>
    </row>
    <row r="2957" spans="4:4" x14ac:dyDescent="0.3">
      <c r="D2957" t="str">
        <f t="shared" si="77"/>
        <v/>
      </c>
    </row>
    <row r="2958" spans="4:4" x14ac:dyDescent="0.3">
      <c r="D2958" t="str">
        <f t="shared" si="77"/>
        <v/>
      </c>
    </row>
    <row r="2959" spans="4:4" x14ac:dyDescent="0.3">
      <c r="D2959" t="str">
        <f t="shared" si="77"/>
        <v/>
      </c>
    </row>
    <row r="2960" spans="4:4" x14ac:dyDescent="0.3">
      <c r="D2960" t="str">
        <f t="shared" si="77"/>
        <v/>
      </c>
    </row>
    <row r="2961" spans="4:4" x14ac:dyDescent="0.3">
      <c r="D2961" t="str">
        <f t="shared" si="77"/>
        <v/>
      </c>
    </row>
    <row r="2962" spans="4:4" x14ac:dyDescent="0.3">
      <c r="D2962" t="str">
        <f t="shared" si="77"/>
        <v/>
      </c>
    </row>
    <row r="2963" spans="4:4" x14ac:dyDescent="0.3">
      <c r="D2963" t="str">
        <f t="shared" si="77"/>
        <v/>
      </c>
    </row>
    <row r="2964" spans="4:4" x14ac:dyDescent="0.3">
      <c r="D2964" t="str">
        <f t="shared" si="77"/>
        <v/>
      </c>
    </row>
    <row r="2965" spans="4:4" x14ac:dyDescent="0.3">
      <c r="D2965" t="str">
        <f t="shared" si="77"/>
        <v/>
      </c>
    </row>
    <row r="2966" spans="4:4" x14ac:dyDescent="0.3">
      <c r="D2966" t="str">
        <f t="shared" si="77"/>
        <v/>
      </c>
    </row>
    <row r="2967" spans="4:4" x14ac:dyDescent="0.3">
      <c r="D2967" t="str">
        <f t="shared" si="77"/>
        <v/>
      </c>
    </row>
    <row r="2968" spans="4:4" x14ac:dyDescent="0.3">
      <c r="D2968" t="str">
        <f t="shared" si="77"/>
        <v/>
      </c>
    </row>
    <row r="2969" spans="4:4" x14ac:dyDescent="0.3">
      <c r="D2969" t="str">
        <f t="shared" si="77"/>
        <v/>
      </c>
    </row>
    <row r="2970" spans="4:4" x14ac:dyDescent="0.3">
      <c r="D2970" t="str">
        <f t="shared" si="77"/>
        <v/>
      </c>
    </row>
    <row r="2971" spans="4:4" x14ac:dyDescent="0.3">
      <c r="D2971" t="str">
        <f t="shared" si="77"/>
        <v/>
      </c>
    </row>
    <row r="2972" spans="4:4" x14ac:dyDescent="0.3">
      <c r="D2972" t="str">
        <f t="shared" si="77"/>
        <v/>
      </c>
    </row>
    <row r="2973" spans="4:4" x14ac:dyDescent="0.3">
      <c r="D2973" t="str">
        <f t="shared" si="77"/>
        <v/>
      </c>
    </row>
    <row r="2974" spans="4:4" x14ac:dyDescent="0.3">
      <c r="D2974" t="str">
        <f t="shared" si="77"/>
        <v/>
      </c>
    </row>
    <row r="2975" spans="4:4" x14ac:dyDescent="0.3">
      <c r="D2975" t="str">
        <f t="shared" si="77"/>
        <v/>
      </c>
    </row>
    <row r="2976" spans="4:4" x14ac:dyDescent="0.3">
      <c r="D2976" t="str">
        <f t="shared" si="77"/>
        <v/>
      </c>
    </row>
    <row r="2977" spans="4:4" x14ac:dyDescent="0.3">
      <c r="D2977" t="str">
        <f t="shared" si="77"/>
        <v/>
      </c>
    </row>
    <row r="2978" spans="4:4" x14ac:dyDescent="0.3">
      <c r="D2978" t="str">
        <f t="shared" si="77"/>
        <v/>
      </c>
    </row>
    <row r="2979" spans="4:4" x14ac:dyDescent="0.3">
      <c r="D2979" t="str">
        <f t="shared" si="77"/>
        <v/>
      </c>
    </row>
    <row r="2980" spans="4:4" x14ac:dyDescent="0.3">
      <c r="D2980" t="str">
        <f t="shared" si="77"/>
        <v/>
      </c>
    </row>
    <row r="2981" spans="4:4" x14ac:dyDescent="0.3">
      <c r="D2981" t="str">
        <f t="shared" si="77"/>
        <v/>
      </c>
    </row>
    <row r="2982" spans="4:4" x14ac:dyDescent="0.3">
      <c r="D2982" t="str">
        <f t="shared" si="77"/>
        <v/>
      </c>
    </row>
    <row r="2983" spans="4:4" x14ac:dyDescent="0.3">
      <c r="D2983" t="str">
        <f t="shared" si="77"/>
        <v/>
      </c>
    </row>
    <row r="2984" spans="4:4" x14ac:dyDescent="0.3">
      <c r="D2984" t="str">
        <f t="shared" si="77"/>
        <v/>
      </c>
    </row>
    <row r="2985" spans="4:4" x14ac:dyDescent="0.3">
      <c r="D2985" t="str">
        <f t="shared" si="77"/>
        <v/>
      </c>
    </row>
    <row r="2986" spans="4:4" x14ac:dyDescent="0.3">
      <c r="D2986" t="str">
        <f t="shared" si="77"/>
        <v/>
      </c>
    </row>
    <row r="2987" spans="4:4" x14ac:dyDescent="0.3">
      <c r="D2987" t="str">
        <f t="shared" si="77"/>
        <v/>
      </c>
    </row>
    <row r="2988" spans="4:4" x14ac:dyDescent="0.3">
      <c r="D2988" t="str">
        <f t="shared" si="77"/>
        <v/>
      </c>
    </row>
    <row r="2989" spans="4:4" x14ac:dyDescent="0.3">
      <c r="D2989" t="str">
        <f t="shared" si="77"/>
        <v/>
      </c>
    </row>
    <row r="2990" spans="4:4" x14ac:dyDescent="0.3">
      <c r="D2990" t="str">
        <f t="shared" si="77"/>
        <v/>
      </c>
    </row>
    <row r="2991" spans="4:4" x14ac:dyDescent="0.3">
      <c r="D2991" t="str">
        <f t="shared" si="77"/>
        <v/>
      </c>
    </row>
    <row r="2992" spans="4:4" x14ac:dyDescent="0.3">
      <c r="D2992" t="str">
        <f t="shared" si="77"/>
        <v/>
      </c>
    </row>
    <row r="2993" spans="4:4" x14ac:dyDescent="0.3">
      <c r="D2993" t="str">
        <f t="shared" si="77"/>
        <v/>
      </c>
    </row>
    <row r="2994" spans="4:4" x14ac:dyDescent="0.3">
      <c r="D2994" t="str">
        <f t="shared" si="77"/>
        <v/>
      </c>
    </row>
    <row r="2995" spans="4:4" x14ac:dyDescent="0.3">
      <c r="D2995" t="str">
        <f t="shared" si="77"/>
        <v/>
      </c>
    </row>
    <row r="2996" spans="4:4" x14ac:dyDescent="0.3">
      <c r="D2996" t="str">
        <f t="shared" si="77"/>
        <v/>
      </c>
    </row>
    <row r="2997" spans="4:4" x14ac:dyDescent="0.3">
      <c r="D2997" t="str">
        <f t="shared" si="77"/>
        <v/>
      </c>
    </row>
    <row r="2998" spans="4:4" x14ac:dyDescent="0.3">
      <c r="D2998" t="str">
        <f t="shared" ref="D2998:D3061" si="78">IF(LEFT(A2998,2)="SP",MID(A2998,4,4),IF(LEFT(A2998,1)="X",MID(A2998,3,4),""))</f>
        <v/>
      </c>
    </row>
    <row r="2999" spans="4:4" x14ac:dyDescent="0.3">
      <c r="D2999" t="str">
        <f t="shared" si="78"/>
        <v/>
      </c>
    </row>
    <row r="3000" spans="4:4" x14ac:dyDescent="0.3">
      <c r="D3000" t="str">
        <f t="shared" si="78"/>
        <v/>
      </c>
    </row>
    <row r="3001" spans="4:4" x14ac:dyDescent="0.3">
      <c r="D3001" t="str">
        <f t="shared" si="78"/>
        <v/>
      </c>
    </row>
    <row r="3002" spans="4:4" x14ac:dyDescent="0.3">
      <c r="D3002" t="str">
        <f t="shared" si="78"/>
        <v/>
      </c>
    </row>
    <row r="3003" spans="4:4" x14ac:dyDescent="0.3">
      <c r="D3003" t="str">
        <f t="shared" si="78"/>
        <v/>
      </c>
    </row>
    <row r="3004" spans="4:4" x14ac:dyDescent="0.3">
      <c r="D3004" t="str">
        <f t="shared" si="78"/>
        <v/>
      </c>
    </row>
    <row r="3005" spans="4:4" x14ac:dyDescent="0.3">
      <c r="D3005" t="str">
        <f t="shared" si="78"/>
        <v/>
      </c>
    </row>
    <row r="3006" spans="4:4" x14ac:dyDescent="0.3">
      <c r="D3006" t="str">
        <f t="shared" si="78"/>
        <v/>
      </c>
    </row>
    <row r="3007" spans="4:4" x14ac:dyDescent="0.3">
      <c r="D3007" t="str">
        <f t="shared" si="78"/>
        <v/>
      </c>
    </row>
    <row r="3008" spans="4:4" x14ac:dyDescent="0.3">
      <c r="D3008" t="str">
        <f t="shared" si="78"/>
        <v/>
      </c>
    </row>
    <row r="3009" spans="4:4" x14ac:dyDescent="0.3">
      <c r="D3009" t="str">
        <f t="shared" si="78"/>
        <v/>
      </c>
    </row>
    <row r="3010" spans="4:4" x14ac:dyDescent="0.3">
      <c r="D3010" t="str">
        <f t="shared" si="78"/>
        <v/>
      </c>
    </row>
    <row r="3011" spans="4:4" x14ac:dyDescent="0.3">
      <c r="D3011" t="str">
        <f t="shared" si="78"/>
        <v/>
      </c>
    </row>
    <row r="3012" spans="4:4" x14ac:dyDescent="0.3">
      <c r="D3012" t="str">
        <f t="shared" si="78"/>
        <v/>
      </c>
    </row>
    <row r="3013" spans="4:4" x14ac:dyDescent="0.3">
      <c r="D3013" t="str">
        <f t="shared" si="78"/>
        <v/>
      </c>
    </row>
    <row r="3014" spans="4:4" x14ac:dyDescent="0.3">
      <c r="D3014" t="str">
        <f t="shared" si="78"/>
        <v/>
      </c>
    </row>
    <row r="3015" spans="4:4" x14ac:dyDescent="0.3">
      <c r="D3015" t="str">
        <f t="shared" si="78"/>
        <v/>
      </c>
    </row>
    <row r="3016" spans="4:4" x14ac:dyDescent="0.3">
      <c r="D3016" t="str">
        <f t="shared" si="78"/>
        <v/>
      </c>
    </row>
    <row r="3017" spans="4:4" x14ac:dyDescent="0.3">
      <c r="D3017" t="str">
        <f t="shared" si="78"/>
        <v/>
      </c>
    </row>
    <row r="3018" spans="4:4" x14ac:dyDescent="0.3">
      <c r="D3018" t="str">
        <f t="shared" si="78"/>
        <v/>
      </c>
    </row>
    <row r="3019" spans="4:4" x14ac:dyDescent="0.3">
      <c r="D3019" t="str">
        <f t="shared" si="78"/>
        <v/>
      </c>
    </row>
    <row r="3020" spans="4:4" x14ac:dyDescent="0.3">
      <c r="D3020" t="str">
        <f t="shared" si="78"/>
        <v/>
      </c>
    </row>
    <row r="3021" spans="4:4" x14ac:dyDescent="0.3">
      <c r="D3021" t="str">
        <f t="shared" si="78"/>
        <v/>
      </c>
    </row>
    <row r="3022" spans="4:4" x14ac:dyDescent="0.3">
      <c r="D3022" t="str">
        <f t="shared" si="78"/>
        <v/>
      </c>
    </row>
    <row r="3023" spans="4:4" x14ac:dyDescent="0.3">
      <c r="D3023" t="str">
        <f t="shared" si="78"/>
        <v/>
      </c>
    </row>
    <row r="3024" spans="4:4" x14ac:dyDescent="0.3">
      <c r="D3024" t="str">
        <f t="shared" si="78"/>
        <v/>
      </c>
    </row>
    <row r="3025" spans="4:4" x14ac:dyDescent="0.3">
      <c r="D3025" t="str">
        <f t="shared" si="78"/>
        <v/>
      </c>
    </row>
    <row r="3026" spans="4:4" x14ac:dyDescent="0.3">
      <c r="D3026" t="str">
        <f t="shared" si="78"/>
        <v/>
      </c>
    </row>
    <row r="3027" spans="4:4" x14ac:dyDescent="0.3">
      <c r="D3027" t="str">
        <f t="shared" si="78"/>
        <v/>
      </c>
    </row>
    <row r="3028" spans="4:4" x14ac:dyDescent="0.3">
      <c r="D3028" t="str">
        <f t="shared" si="78"/>
        <v/>
      </c>
    </row>
    <row r="3029" spans="4:4" x14ac:dyDescent="0.3">
      <c r="D3029" t="str">
        <f t="shared" si="78"/>
        <v/>
      </c>
    </row>
    <row r="3030" spans="4:4" x14ac:dyDescent="0.3">
      <c r="D3030" t="str">
        <f t="shared" si="78"/>
        <v/>
      </c>
    </row>
    <row r="3031" spans="4:4" x14ac:dyDescent="0.3">
      <c r="D3031" t="str">
        <f t="shared" si="78"/>
        <v/>
      </c>
    </row>
    <row r="3032" spans="4:4" x14ac:dyDescent="0.3">
      <c r="D3032" t="str">
        <f t="shared" si="78"/>
        <v/>
      </c>
    </row>
    <row r="3033" spans="4:4" x14ac:dyDescent="0.3">
      <c r="D3033" t="str">
        <f t="shared" si="78"/>
        <v/>
      </c>
    </row>
    <row r="3034" spans="4:4" x14ac:dyDescent="0.3">
      <c r="D3034" t="str">
        <f t="shared" si="78"/>
        <v/>
      </c>
    </row>
    <row r="3035" spans="4:4" x14ac:dyDescent="0.3">
      <c r="D3035" t="str">
        <f t="shared" si="78"/>
        <v/>
      </c>
    </row>
    <row r="3036" spans="4:4" x14ac:dyDescent="0.3">
      <c r="D3036" t="str">
        <f t="shared" si="78"/>
        <v/>
      </c>
    </row>
    <row r="3037" spans="4:4" x14ac:dyDescent="0.3">
      <c r="D3037" t="str">
        <f t="shared" si="78"/>
        <v/>
      </c>
    </row>
    <row r="3038" spans="4:4" x14ac:dyDescent="0.3">
      <c r="D3038" t="str">
        <f t="shared" si="78"/>
        <v/>
      </c>
    </row>
    <row r="3039" spans="4:4" x14ac:dyDescent="0.3">
      <c r="D3039" t="str">
        <f t="shared" si="78"/>
        <v/>
      </c>
    </row>
    <row r="3040" spans="4:4" x14ac:dyDescent="0.3">
      <c r="D3040" t="str">
        <f t="shared" si="78"/>
        <v/>
      </c>
    </row>
    <row r="3041" spans="4:4" x14ac:dyDescent="0.3">
      <c r="D3041" t="str">
        <f t="shared" si="78"/>
        <v/>
      </c>
    </row>
    <row r="3042" spans="4:4" x14ac:dyDescent="0.3">
      <c r="D3042" t="str">
        <f t="shared" si="78"/>
        <v/>
      </c>
    </row>
    <row r="3043" spans="4:4" x14ac:dyDescent="0.3">
      <c r="D3043" t="str">
        <f t="shared" si="78"/>
        <v/>
      </c>
    </row>
    <row r="3044" spans="4:4" x14ac:dyDescent="0.3">
      <c r="D3044" t="str">
        <f t="shared" si="78"/>
        <v/>
      </c>
    </row>
    <row r="3045" spans="4:4" x14ac:dyDescent="0.3">
      <c r="D3045" t="str">
        <f t="shared" si="78"/>
        <v/>
      </c>
    </row>
    <row r="3046" spans="4:4" x14ac:dyDescent="0.3">
      <c r="D3046" t="str">
        <f t="shared" si="78"/>
        <v/>
      </c>
    </row>
    <row r="3047" spans="4:4" x14ac:dyDescent="0.3">
      <c r="D3047" t="str">
        <f t="shared" si="78"/>
        <v/>
      </c>
    </row>
    <row r="3048" spans="4:4" x14ac:dyDescent="0.3">
      <c r="D3048" t="str">
        <f t="shared" si="78"/>
        <v/>
      </c>
    </row>
    <row r="3049" spans="4:4" x14ac:dyDescent="0.3">
      <c r="D3049" t="str">
        <f t="shared" si="78"/>
        <v/>
      </c>
    </row>
    <row r="3050" spans="4:4" x14ac:dyDescent="0.3">
      <c r="D3050" t="str">
        <f t="shared" si="78"/>
        <v/>
      </c>
    </row>
    <row r="3051" spans="4:4" x14ac:dyDescent="0.3">
      <c r="D3051" t="str">
        <f t="shared" si="78"/>
        <v/>
      </c>
    </row>
    <row r="3052" spans="4:4" x14ac:dyDescent="0.3">
      <c r="D3052" t="str">
        <f t="shared" si="78"/>
        <v/>
      </c>
    </row>
    <row r="3053" spans="4:4" x14ac:dyDescent="0.3">
      <c r="D3053" t="str">
        <f t="shared" si="78"/>
        <v/>
      </c>
    </row>
    <row r="3054" spans="4:4" x14ac:dyDescent="0.3">
      <c r="D3054" t="str">
        <f t="shared" si="78"/>
        <v/>
      </c>
    </row>
    <row r="3055" spans="4:4" x14ac:dyDescent="0.3">
      <c r="D3055" t="str">
        <f t="shared" si="78"/>
        <v/>
      </c>
    </row>
    <row r="3056" spans="4:4" x14ac:dyDescent="0.3">
      <c r="D3056" t="str">
        <f t="shared" si="78"/>
        <v/>
      </c>
    </row>
    <row r="3057" spans="4:4" x14ac:dyDescent="0.3">
      <c r="D3057" t="str">
        <f t="shared" si="78"/>
        <v/>
      </c>
    </row>
    <row r="3058" spans="4:4" x14ac:dyDescent="0.3">
      <c r="D3058" t="str">
        <f t="shared" si="78"/>
        <v/>
      </c>
    </row>
    <row r="3059" spans="4:4" x14ac:dyDescent="0.3">
      <c r="D3059" t="str">
        <f t="shared" si="78"/>
        <v/>
      </c>
    </row>
    <row r="3060" spans="4:4" x14ac:dyDescent="0.3">
      <c r="D3060" t="str">
        <f t="shared" si="78"/>
        <v/>
      </c>
    </row>
    <row r="3061" spans="4:4" x14ac:dyDescent="0.3">
      <c r="D3061" t="str">
        <f t="shared" si="78"/>
        <v/>
      </c>
    </row>
    <row r="3062" spans="4:4" x14ac:dyDescent="0.3">
      <c r="D3062" t="str">
        <f t="shared" ref="D3062:D3125" si="79">IF(LEFT(A3062,2)="SP",MID(A3062,4,4),IF(LEFT(A3062,1)="X",MID(A3062,3,4),""))</f>
        <v/>
      </c>
    </row>
    <row r="3063" spans="4:4" x14ac:dyDescent="0.3">
      <c r="D3063" t="str">
        <f t="shared" si="79"/>
        <v/>
      </c>
    </row>
    <row r="3064" spans="4:4" x14ac:dyDescent="0.3">
      <c r="D3064" t="str">
        <f t="shared" si="79"/>
        <v/>
      </c>
    </row>
    <row r="3065" spans="4:4" x14ac:dyDescent="0.3">
      <c r="D3065" t="str">
        <f t="shared" si="79"/>
        <v/>
      </c>
    </row>
    <row r="3066" spans="4:4" x14ac:dyDescent="0.3">
      <c r="D3066" t="str">
        <f t="shared" si="79"/>
        <v/>
      </c>
    </row>
    <row r="3067" spans="4:4" x14ac:dyDescent="0.3">
      <c r="D3067" t="str">
        <f t="shared" si="79"/>
        <v/>
      </c>
    </row>
    <row r="3068" spans="4:4" x14ac:dyDescent="0.3">
      <c r="D3068" t="str">
        <f t="shared" si="79"/>
        <v/>
      </c>
    </row>
    <row r="3069" spans="4:4" x14ac:dyDescent="0.3">
      <c r="D3069" t="str">
        <f t="shared" si="79"/>
        <v/>
      </c>
    </row>
    <row r="3070" spans="4:4" x14ac:dyDescent="0.3">
      <c r="D3070" t="str">
        <f t="shared" si="79"/>
        <v/>
      </c>
    </row>
    <row r="3071" spans="4:4" x14ac:dyDescent="0.3">
      <c r="D3071" t="str">
        <f t="shared" si="79"/>
        <v/>
      </c>
    </row>
    <row r="3072" spans="4:4" x14ac:dyDescent="0.3">
      <c r="D3072" t="str">
        <f t="shared" si="79"/>
        <v/>
      </c>
    </row>
    <row r="3073" spans="4:4" x14ac:dyDescent="0.3">
      <c r="D3073" t="str">
        <f t="shared" si="79"/>
        <v/>
      </c>
    </row>
    <row r="3074" spans="4:4" x14ac:dyDescent="0.3">
      <c r="D3074" t="str">
        <f t="shared" si="79"/>
        <v/>
      </c>
    </row>
    <row r="3075" spans="4:4" x14ac:dyDescent="0.3">
      <c r="D3075" t="str">
        <f t="shared" si="79"/>
        <v/>
      </c>
    </row>
    <row r="3076" spans="4:4" x14ac:dyDescent="0.3">
      <c r="D3076" t="str">
        <f t="shared" si="79"/>
        <v/>
      </c>
    </row>
    <row r="3077" spans="4:4" x14ac:dyDescent="0.3">
      <c r="D3077" t="str">
        <f t="shared" si="79"/>
        <v/>
      </c>
    </row>
    <row r="3078" spans="4:4" x14ac:dyDescent="0.3">
      <c r="D3078" t="str">
        <f t="shared" si="79"/>
        <v/>
      </c>
    </row>
    <row r="3079" spans="4:4" x14ac:dyDescent="0.3">
      <c r="D3079" t="str">
        <f t="shared" si="79"/>
        <v/>
      </c>
    </row>
    <row r="3080" spans="4:4" x14ac:dyDescent="0.3">
      <c r="D3080" t="str">
        <f t="shared" si="79"/>
        <v/>
      </c>
    </row>
    <row r="3081" spans="4:4" x14ac:dyDescent="0.3">
      <c r="D3081" t="str">
        <f t="shared" si="79"/>
        <v/>
      </c>
    </row>
    <row r="3082" spans="4:4" x14ac:dyDescent="0.3">
      <c r="D3082" t="str">
        <f t="shared" si="79"/>
        <v/>
      </c>
    </row>
    <row r="3083" spans="4:4" x14ac:dyDescent="0.3">
      <c r="D3083" t="str">
        <f t="shared" si="79"/>
        <v/>
      </c>
    </row>
    <row r="3084" spans="4:4" x14ac:dyDescent="0.3">
      <c r="D3084" t="str">
        <f t="shared" si="79"/>
        <v/>
      </c>
    </row>
    <row r="3085" spans="4:4" x14ac:dyDescent="0.3">
      <c r="D3085" t="str">
        <f t="shared" si="79"/>
        <v/>
      </c>
    </row>
    <row r="3086" spans="4:4" x14ac:dyDescent="0.3">
      <c r="D3086" t="str">
        <f t="shared" si="79"/>
        <v/>
      </c>
    </row>
    <row r="3087" spans="4:4" x14ac:dyDescent="0.3">
      <c r="D3087" t="str">
        <f t="shared" si="79"/>
        <v/>
      </c>
    </row>
    <row r="3088" spans="4:4" x14ac:dyDescent="0.3">
      <c r="D3088" t="str">
        <f t="shared" si="79"/>
        <v/>
      </c>
    </row>
    <row r="3089" spans="4:4" x14ac:dyDescent="0.3">
      <c r="D3089" t="str">
        <f t="shared" si="79"/>
        <v/>
      </c>
    </row>
    <row r="3090" spans="4:4" x14ac:dyDescent="0.3">
      <c r="D3090" t="str">
        <f t="shared" si="79"/>
        <v/>
      </c>
    </row>
    <row r="3091" spans="4:4" x14ac:dyDescent="0.3">
      <c r="D3091" t="str">
        <f t="shared" si="79"/>
        <v/>
      </c>
    </row>
    <row r="3092" spans="4:4" x14ac:dyDescent="0.3">
      <c r="D3092" t="str">
        <f t="shared" si="79"/>
        <v/>
      </c>
    </row>
    <row r="3093" spans="4:4" x14ac:dyDescent="0.3">
      <c r="D3093" t="str">
        <f t="shared" si="79"/>
        <v/>
      </c>
    </row>
    <row r="3094" spans="4:4" x14ac:dyDescent="0.3">
      <c r="D3094" t="str">
        <f t="shared" si="79"/>
        <v/>
      </c>
    </row>
    <row r="3095" spans="4:4" x14ac:dyDescent="0.3">
      <c r="D3095" t="str">
        <f t="shared" si="79"/>
        <v/>
      </c>
    </row>
    <row r="3096" spans="4:4" x14ac:dyDescent="0.3">
      <c r="D3096" t="str">
        <f t="shared" si="79"/>
        <v/>
      </c>
    </row>
    <row r="3097" spans="4:4" x14ac:dyDescent="0.3">
      <c r="D3097" t="str">
        <f t="shared" si="79"/>
        <v/>
      </c>
    </row>
    <row r="3098" spans="4:4" x14ac:dyDescent="0.3">
      <c r="D3098" t="str">
        <f t="shared" si="79"/>
        <v/>
      </c>
    </row>
    <row r="3099" spans="4:4" x14ac:dyDescent="0.3">
      <c r="D3099" t="str">
        <f t="shared" si="79"/>
        <v/>
      </c>
    </row>
    <row r="3100" spans="4:4" x14ac:dyDescent="0.3">
      <c r="D3100" t="str">
        <f t="shared" si="79"/>
        <v/>
      </c>
    </row>
    <row r="3101" spans="4:4" x14ac:dyDescent="0.3">
      <c r="D3101" t="str">
        <f t="shared" si="79"/>
        <v/>
      </c>
    </row>
    <row r="3102" spans="4:4" x14ac:dyDescent="0.3">
      <c r="D3102" t="str">
        <f t="shared" si="79"/>
        <v/>
      </c>
    </row>
    <row r="3103" spans="4:4" x14ac:dyDescent="0.3">
      <c r="D3103" t="str">
        <f t="shared" si="79"/>
        <v/>
      </c>
    </row>
    <row r="3104" spans="4:4" x14ac:dyDescent="0.3">
      <c r="D3104" t="str">
        <f t="shared" si="79"/>
        <v/>
      </c>
    </row>
    <row r="3105" spans="4:4" x14ac:dyDescent="0.3">
      <c r="D3105" t="str">
        <f t="shared" si="79"/>
        <v/>
      </c>
    </row>
    <row r="3106" spans="4:4" x14ac:dyDescent="0.3">
      <c r="D3106" t="str">
        <f t="shared" si="79"/>
        <v/>
      </c>
    </row>
    <row r="3107" spans="4:4" x14ac:dyDescent="0.3">
      <c r="D3107" t="str">
        <f t="shared" si="79"/>
        <v/>
      </c>
    </row>
    <row r="3108" spans="4:4" x14ac:dyDescent="0.3">
      <c r="D3108" t="str">
        <f t="shared" si="79"/>
        <v/>
      </c>
    </row>
    <row r="3109" spans="4:4" x14ac:dyDescent="0.3">
      <c r="D3109" t="str">
        <f t="shared" si="79"/>
        <v/>
      </c>
    </row>
    <row r="3110" spans="4:4" x14ac:dyDescent="0.3">
      <c r="D3110" t="str">
        <f t="shared" si="79"/>
        <v/>
      </c>
    </row>
    <row r="3111" spans="4:4" x14ac:dyDescent="0.3">
      <c r="D3111" t="str">
        <f t="shared" si="79"/>
        <v/>
      </c>
    </row>
    <row r="3112" spans="4:4" x14ac:dyDescent="0.3">
      <c r="D3112" t="str">
        <f t="shared" si="79"/>
        <v/>
      </c>
    </row>
    <row r="3113" spans="4:4" x14ac:dyDescent="0.3">
      <c r="D3113" t="str">
        <f t="shared" si="79"/>
        <v/>
      </c>
    </row>
    <row r="3114" spans="4:4" x14ac:dyDescent="0.3">
      <c r="D3114" t="str">
        <f t="shared" si="79"/>
        <v/>
      </c>
    </row>
    <row r="3115" spans="4:4" x14ac:dyDescent="0.3">
      <c r="D3115" t="str">
        <f t="shared" si="79"/>
        <v/>
      </c>
    </row>
    <row r="3116" spans="4:4" x14ac:dyDescent="0.3">
      <c r="D3116" t="str">
        <f t="shared" si="79"/>
        <v/>
      </c>
    </row>
    <row r="3117" spans="4:4" x14ac:dyDescent="0.3">
      <c r="D3117" t="str">
        <f t="shared" si="79"/>
        <v/>
      </c>
    </row>
    <row r="3118" spans="4:4" x14ac:dyDescent="0.3">
      <c r="D3118" t="str">
        <f t="shared" si="79"/>
        <v/>
      </c>
    </row>
    <row r="3119" spans="4:4" x14ac:dyDescent="0.3">
      <c r="D3119" t="str">
        <f t="shared" si="79"/>
        <v/>
      </c>
    </row>
    <row r="3120" spans="4:4" x14ac:dyDescent="0.3">
      <c r="D3120" t="str">
        <f t="shared" si="79"/>
        <v/>
      </c>
    </row>
    <row r="3121" spans="4:4" x14ac:dyDescent="0.3">
      <c r="D3121" t="str">
        <f t="shared" si="79"/>
        <v/>
      </c>
    </row>
    <row r="3122" spans="4:4" x14ac:dyDescent="0.3">
      <c r="D3122" t="str">
        <f t="shared" si="79"/>
        <v/>
      </c>
    </row>
    <row r="3123" spans="4:4" x14ac:dyDescent="0.3">
      <c r="D3123" t="str">
        <f t="shared" si="79"/>
        <v/>
      </c>
    </row>
    <row r="3124" spans="4:4" x14ac:dyDescent="0.3">
      <c r="D3124" t="str">
        <f t="shared" si="79"/>
        <v/>
      </c>
    </row>
    <row r="3125" spans="4:4" x14ac:dyDescent="0.3">
      <c r="D3125" t="str">
        <f t="shared" si="79"/>
        <v/>
      </c>
    </row>
    <row r="3126" spans="4:4" x14ac:dyDescent="0.3">
      <c r="D3126" t="str">
        <f t="shared" ref="D3126:D3189" si="80">IF(LEFT(A3126,2)="SP",MID(A3126,4,4),IF(LEFT(A3126,1)="X",MID(A3126,3,4),""))</f>
        <v/>
      </c>
    </row>
    <row r="3127" spans="4:4" x14ac:dyDescent="0.3">
      <c r="D3127" t="str">
        <f t="shared" si="80"/>
        <v/>
      </c>
    </row>
    <row r="3128" spans="4:4" x14ac:dyDescent="0.3">
      <c r="D3128" t="str">
        <f t="shared" si="80"/>
        <v/>
      </c>
    </row>
    <row r="3129" spans="4:4" x14ac:dyDescent="0.3">
      <c r="D3129" t="str">
        <f t="shared" si="80"/>
        <v/>
      </c>
    </row>
    <row r="3130" spans="4:4" x14ac:dyDescent="0.3">
      <c r="D3130" t="str">
        <f t="shared" si="80"/>
        <v/>
      </c>
    </row>
    <row r="3131" spans="4:4" x14ac:dyDescent="0.3">
      <c r="D3131" t="str">
        <f t="shared" si="80"/>
        <v/>
      </c>
    </row>
    <row r="3132" spans="4:4" x14ac:dyDescent="0.3">
      <c r="D3132" t="str">
        <f t="shared" si="80"/>
        <v/>
      </c>
    </row>
    <row r="3133" spans="4:4" x14ac:dyDescent="0.3">
      <c r="D3133" t="str">
        <f t="shared" si="80"/>
        <v/>
      </c>
    </row>
    <row r="3134" spans="4:4" x14ac:dyDescent="0.3">
      <c r="D3134" t="str">
        <f t="shared" si="80"/>
        <v/>
      </c>
    </row>
    <row r="3135" spans="4:4" x14ac:dyDescent="0.3">
      <c r="D3135" t="str">
        <f t="shared" si="80"/>
        <v/>
      </c>
    </row>
    <row r="3136" spans="4:4" x14ac:dyDescent="0.3">
      <c r="D3136" t="str">
        <f t="shared" si="80"/>
        <v/>
      </c>
    </row>
    <row r="3137" spans="4:4" x14ac:dyDescent="0.3">
      <c r="D3137" t="str">
        <f t="shared" si="80"/>
        <v/>
      </c>
    </row>
    <row r="3138" spans="4:4" x14ac:dyDescent="0.3">
      <c r="D3138" t="str">
        <f t="shared" si="80"/>
        <v/>
      </c>
    </row>
    <row r="3139" spans="4:4" x14ac:dyDescent="0.3">
      <c r="D3139" t="str">
        <f t="shared" si="80"/>
        <v/>
      </c>
    </row>
    <row r="3140" spans="4:4" x14ac:dyDescent="0.3">
      <c r="D3140" t="str">
        <f t="shared" si="80"/>
        <v/>
      </c>
    </row>
    <row r="3141" spans="4:4" x14ac:dyDescent="0.3">
      <c r="D3141" t="str">
        <f t="shared" si="80"/>
        <v/>
      </c>
    </row>
    <row r="3142" spans="4:4" x14ac:dyDescent="0.3">
      <c r="D3142" t="str">
        <f t="shared" si="80"/>
        <v/>
      </c>
    </row>
    <row r="3143" spans="4:4" x14ac:dyDescent="0.3">
      <c r="D3143" t="str">
        <f t="shared" si="80"/>
        <v/>
      </c>
    </row>
    <row r="3144" spans="4:4" x14ac:dyDescent="0.3">
      <c r="D3144" t="str">
        <f t="shared" si="80"/>
        <v/>
      </c>
    </row>
    <row r="3145" spans="4:4" x14ac:dyDescent="0.3">
      <c r="D3145" t="str">
        <f t="shared" si="80"/>
        <v/>
      </c>
    </row>
    <row r="3146" spans="4:4" x14ac:dyDescent="0.3">
      <c r="D3146" t="str">
        <f t="shared" si="80"/>
        <v/>
      </c>
    </row>
    <row r="3147" spans="4:4" x14ac:dyDescent="0.3">
      <c r="D3147" t="str">
        <f t="shared" si="80"/>
        <v/>
      </c>
    </row>
    <row r="3148" spans="4:4" x14ac:dyDescent="0.3">
      <c r="D3148" t="str">
        <f t="shared" si="80"/>
        <v/>
      </c>
    </row>
    <row r="3149" spans="4:4" x14ac:dyDescent="0.3">
      <c r="D3149" t="str">
        <f t="shared" si="80"/>
        <v/>
      </c>
    </row>
    <row r="3150" spans="4:4" x14ac:dyDescent="0.3">
      <c r="D3150" t="str">
        <f t="shared" si="80"/>
        <v/>
      </c>
    </row>
    <row r="3151" spans="4:4" x14ac:dyDescent="0.3">
      <c r="D3151" t="str">
        <f t="shared" si="80"/>
        <v/>
      </c>
    </row>
    <row r="3152" spans="4:4" x14ac:dyDescent="0.3">
      <c r="D3152" t="str">
        <f t="shared" si="80"/>
        <v/>
      </c>
    </row>
    <row r="3153" spans="4:4" x14ac:dyDescent="0.3">
      <c r="D3153" t="str">
        <f t="shared" si="80"/>
        <v/>
      </c>
    </row>
    <row r="3154" spans="4:4" x14ac:dyDescent="0.3">
      <c r="D3154" t="str">
        <f t="shared" si="80"/>
        <v/>
      </c>
    </row>
    <row r="3155" spans="4:4" x14ac:dyDescent="0.3">
      <c r="D3155" t="str">
        <f t="shared" si="80"/>
        <v/>
      </c>
    </row>
    <row r="3156" spans="4:4" x14ac:dyDescent="0.3">
      <c r="D3156" t="str">
        <f t="shared" si="80"/>
        <v/>
      </c>
    </row>
    <row r="3157" spans="4:4" x14ac:dyDescent="0.3">
      <c r="D3157" t="str">
        <f t="shared" si="80"/>
        <v/>
      </c>
    </row>
    <row r="3158" spans="4:4" x14ac:dyDescent="0.3">
      <c r="D3158" t="str">
        <f t="shared" si="80"/>
        <v/>
      </c>
    </row>
    <row r="3159" spans="4:4" x14ac:dyDescent="0.3">
      <c r="D3159" t="str">
        <f t="shared" si="80"/>
        <v/>
      </c>
    </row>
    <row r="3160" spans="4:4" x14ac:dyDescent="0.3">
      <c r="D3160" t="str">
        <f t="shared" si="80"/>
        <v/>
      </c>
    </row>
    <row r="3161" spans="4:4" x14ac:dyDescent="0.3">
      <c r="D3161" t="str">
        <f t="shared" si="80"/>
        <v/>
      </c>
    </row>
    <row r="3162" spans="4:4" x14ac:dyDescent="0.3">
      <c r="D3162" t="str">
        <f t="shared" si="80"/>
        <v/>
      </c>
    </row>
    <row r="3163" spans="4:4" x14ac:dyDescent="0.3">
      <c r="D3163" t="str">
        <f t="shared" si="80"/>
        <v/>
      </c>
    </row>
    <row r="3164" spans="4:4" x14ac:dyDescent="0.3">
      <c r="D3164" t="str">
        <f t="shared" si="80"/>
        <v/>
      </c>
    </row>
    <row r="3165" spans="4:4" x14ac:dyDescent="0.3">
      <c r="D3165" t="str">
        <f t="shared" si="80"/>
        <v/>
      </c>
    </row>
    <row r="3166" spans="4:4" x14ac:dyDescent="0.3">
      <c r="D3166" t="str">
        <f t="shared" si="80"/>
        <v/>
      </c>
    </row>
    <row r="3167" spans="4:4" x14ac:dyDescent="0.3">
      <c r="D3167" t="str">
        <f t="shared" si="80"/>
        <v/>
      </c>
    </row>
    <row r="3168" spans="4:4" x14ac:dyDescent="0.3">
      <c r="D3168" t="str">
        <f t="shared" si="80"/>
        <v/>
      </c>
    </row>
    <row r="3169" spans="4:4" x14ac:dyDescent="0.3">
      <c r="D3169" t="str">
        <f t="shared" si="80"/>
        <v/>
      </c>
    </row>
    <row r="3170" spans="4:4" x14ac:dyDescent="0.3">
      <c r="D3170" t="str">
        <f t="shared" si="80"/>
        <v/>
      </c>
    </row>
    <row r="3171" spans="4:4" x14ac:dyDescent="0.3">
      <c r="D3171" t="str">
        <f t="shared" si="80"/>
        <v/>
      </c>
    </row>
    <row r="3172" spans="4:4" x14ac:dyDescent="0.3">
      <c r="D3172" t="str">
        <f t="shared" si="80"/>
        <v/>
      </c>
    </row>
    <row r="3173" spans="4:4" x14ac:dyDescent="0.3">
      <c r="D3173" t="str">
        <f t="shared" si="80"/>
        <v/>
      </c>
    </row>
    <row r="3174" spans="4:4" x14ac:dyDescent="0.3">
      <c r="D3174" t="str">
        <f t="shared" si="80"/>
        <v/>
      </c>
    </row>
    <row r="3175" spans="4:4" x14ac:dyDescent="0.3">
      <c r="D3175" t="str">
        <f t="shared" si="80"/>
        <v/>
      </c>
    </row>
    <row r="3176" spans="4:4" x14ac:dyDescent="0.3">
      <c r="D3176" t="str">
        <f t="shared" si="80"/>
        <v/>
      </c>
    </row>
    <row r="3177" spans="4:4" x14ac:dyDescent="0.3">
      <c r="D3177" t="str">
        <f t="shared" si="80"/>
        <v/>
      </c>
    </row>
    <row r="3178" spans="4:4" x14ac:dyDescent="0.3">
      <c r="D3178" t="str">
        <f t="shared" si="80"/>
        <v/>
      </c>
    </row>
    <row r="3179" spans="4:4" x14ac:dyDescent="0.3">
      <c r="D3179" t="str">
        <f t="shared" si="80"/>
        <v/>
      </c>
    </row>
    <row r="3180" spans="4:4" x14ac:dyDescent="0.3">
      <c r="D3180" t="str">
        <f t="shared" si="80"/>
        <v/>
      </c>
    </row>
    <row r="3181" spans="4:4" x14ac:dyDescent="0.3">
      <c r="D3181" t="str">
        <f t="shared" si="80"/>
        <v/>
      </c>
    </row>
    <row r="3182" spans="4:4" x14ac:dyDescent="0.3">
      <c r="D3182" t="str">
        <f t="shared" si="80"/>
        <v/>
      </c>
    </row>
    <row r="3183" spans="4:4" x14ac:dyDescent="0.3">
      <c r="D3183" t="str">
        <f t="shared" si="80"/>
        <v/>
      </c>
    </row>
    <row r="3184" spans="4:4" x14ac:dyDescent="0.3">
      <c r="D3184" t="str">
        <f t="shared" si="80"/>
        <v/>
      </c>
    </row>
    <row r="3185" spans="4:4" x14ac:dyDescent="0.3">
      <c r="D3185" t="str">
        <f t="shared" si="80"/>
        <v/>
      </c>
    </row>
    <row r="3186" spans="4:4" x14ac:dyDescent="0.3">
      <c r="D3186" t="str">
        <f t="shared" si="80"/>
        <v/>
      </c>
    </row>
    <row r="3187" spans="4:4" x14ac:dyDescent="0.3">
      <c r="D3187" t="str">
        <f t="shared" si="80"/>
        <v/>
      </c>
    </row>
    <row r="3188" spans="4:4" x14ac:dyDescent="0.3">
      <c r="D3188" t="str">
        <f t="shared" si="80"/>
        <v/>
      </c>
    </row>
    <row r="3189" spans="4:4" x14ac:dyDescent="0.3">
      <c r="D3189" t="str">
        <f t="shared" si="80"/>
        <v/>
      </c>
    </row>
    <row r="3190" spans="4:4" x14ac:dyDescent="0.3">
      <c r="D3190" t="str">
        <f t="shared" ref="D3190:D3253" si="81">IF(LEFT(A3190,2)="SP",MID(A3190,4,4),IF(LEFT(A3190,1)="X",MID(A3190,3,4),""))</f>
        <v/>
      </c>
    </row>
    <row r="3191" spans="4:4" x14ac:dyDescent="0.3">
      <c r="D3191" t="str">
        <f t="shared" si="81"/>
        <v/>
      </c>
    </row>
    <row r="3192" spans="4:4" x14ac:dyDescent="0.3">
      <c r="D3192" t="str">
        <f t="shared" si="81"/>
        <v/>
      </c>
    </row>
    <row r="3193" spans="4:4" x14ac:dyDescent="0.3">
      <c r="D3193" t="str">
        <f t="shared" si="81"/>
        <v/>
      </c>
    </row>
    <row r="3194" spans="4:4" x14ac:dyDescent="0.3">
      <c r="D3194" t="str">
        <f t="shared" si="81"/>
        <v/>
      </c>
    </row>
    <row r="3195" spans="4:4" x14ac:dyDescent="0.3">
      <c r="D3195" t="str">
        <f t="shared" si="81"/>
        <v/>
      </c>
    </row>
    <row r="3196" spans="4:4" x14ac:dyDescent="0.3">
      <c r="D3196" t="str">
        <f t="shared" si="81"/>
        <v/>
      </c>
    </row>
    <row r="3197" spans="4:4" x14ac:dyDescent="0.3">
      <c r="D3197" t="str">
        <f t="shared" si="81"/>
        <v/>
      </c>
    </row>
    <row r="3198" spans="4:4" x14ac:dyDescent="0.3">
      <c r="D3198" t="str">
        <f t="shared" si="81"/>
        <v/>
      </c>
    </row>
    <row r="3199" spans="4:4" x14ac:dyDescent="0.3">
      <c r="D3199" t="str">
        <f t="shared" si="81"/>
        <v/>
      </c>
    </row>
    <row r="3200" spans="4:4" x14ac:dyDescent="0.3">
      <c r="D3200" t="str">
        <f t="shared" si="81"/>
        <v/>
      </c>
    </row>
    <row r="3201" spans="4:4" x14ac:dyDescent="0.3">
      <c r="D3201" t="str">
        <f t="shared" si="81"/>
        <v/>
      </c>
    </row>
    <row r="3202" spans="4:4" x14ac:dyDescent="0.3">
      <c r="D3202" t="str">
        <f t="shared" si="81"/>
        <v/>
      </c>
    </row>
    <row r="3203" spans="4:4" x14ac:dyDescent="0.3">
      <c r="D3203" t="str">
        <f t="shared" si="81"/>
        <v/>
      </c>
    </row>
    <row r="3204" spans="4:4" x14ac:dyDescent="0.3">
      <c r="D3204" t="str">
        <f t="shared" si="81"/>
        <v/>
      </c>
    </row>
    <row r="3205" spans="4:4" x14ac:dyDescent="0.3">
      <c r="D3205" t="str">
        <f t="shared" si="81"/>
        <v/>
      </c>
    </row>
    <row r="3206" spans="4:4" x14ac:dyDescent="0.3">
      <c r="D3206" t="str">
        <f t="shared" si="81"/>
        <v/>
      </c>
    </row>
    <row r="3207" spans="4:4" x14ac:dyDescent="0.3">
      <c r="D3207" t="str">
        <f t="shared" si="81"/>
        <v/>
      </c>
    </row>
    <row r="3208" spans="4:4" x14ac:dyDescent="0.3">
      <c r="D3208" t="str">
        <f t="shared" si="81"/>
        <v/>
      </c>
    </row>
    <row r="3209" spans="4:4" x14ac:dyDescent="0.3">
      <c r="D3209" t="str">
        <f t="shared" si="81"/>
        <v/>
      </c>
    </row>
    <row r="3210" spans="4:4" x14ac:dyDescent="0.3">
      <c r="D3210" t="str">
        <f t="shared" si="81"/>
        <v/>
      </c>
    </row>
    <row r="3211" spans="4:4" x14ac:dyDescent="0.3">
      <c r="D3211" t="str">
        <f t="shared" si="81"/>
        <v/>
      </c>
    </row>
    <row r="3212" spans="4:4" x14ac:dyDescent="0.3">
      <c r="D3212" t="str">
        <f t="shared" si="81"/>
        <v/>
      </c>
    </row>
    <row r="3213" spans="4:4" x14ac:dyDescent="0.3">
      <c r="D3213" t="str">
        <f t="shared" si="81"/>
        <v/>
      </c>
    </row>
    <row r="3214" spans="4:4" x14ac:dyDescent="0.3">
      <c r="D3214" t="str">
        <f t="shared" si="81"/>
        <v/>
      </c>
    </row>
    <row r="3215" spans="4:4" x14ac:dyDescent="0.3">
      <c r="D3215" t="str">
        <f t="shared" si="81"/>
        <v/>
      </c>
    </row>
    <row r="3216" spans="4:4" x14ac:dyDescent="0.3">
      <c r="D3216" t="str">
        <f t="shared" si="81"/>
        <v/>
      </c>
    </row>
    <row r="3217" spans="4:4" x14ac:dyDescent="0.3">
      <c r="D3217" t="str">
        <f t="shared" si="81"/>
        <v/>
      </c>
    </row>
    <row r="3218" spans="4:4" x14ac:dyDescent="0.3">
      <c r="D3218" t="str">
        <f t="shared" si="81"/>
        <v/>
      </c>
    </row>
    <row r="3219" spans="4:4" x14ac:dyDescent="0.3">
      <c r="D3219" t="str">
        <f t="shared" si="81"/>
        <v/>
      </c>
    </row>
    <row r="3220" spans="4:4" x14ac:dyDescent="0.3">
      <c r="D3220" t="str">
        <f t="shared" si="81"/>
        <v/>
      </c>
    </row>
    <row r="3221" spans="4:4" x14ac:dyDescent="0.3">
      <c r="D3221" t="str">
        <f t="shared" si="81"/>
        <v/>
      </c>
    </row>
    <row r="3222" spans="4:4" x14ac:dyDescent="0.3">
      <c r="D3222" t="str">
        <f t="shared" si="81"/>
        <v/>
      </c>
    </row>
    <row r="3223" spans="4:4" x14ac:dyDescent="0.3">
      <c r="D3223" t="str">
        <f t="shared" si="81"/>
        <v/>
      </c>
    </row>
    <row r="3224" spans="4:4" x14ac:dyDescent="0.3">
      <c r="D3224" t="str">
        <f t="shared" si="81"/>
        <v/>
      </c>
    </row>
    <row r="3225" spans="4:4" x14ac:dyDescent="0.3">
      <c r="D3225" t="str">
        <f t="shared" si="81"/>
        <v/>
      </c>
    </row>
    <row r="3226" spans="4:4" x14ac:dyDescent="0.3">
      <c r="D3226" t="str">
        <f t="shared" si="81"/>
        <v/>
      </c>
    </row>
    <row r="3227" spans="4:4" x14ac:dyDescent="0.3">
      <c r="D3227" t="str">
        <f t="shared" si="81"/>
        <v/>
      </c>
    </row>
    <row r="3228" spans="4:4" x14ac:dyDescent="0.3">
      <c r="D3228" t="str">
        <f t="shared" si="81"/>
        <v/>
      </c>
    </row>
    <row r="3229" spans="4:4" x14ac:dyDescent="0.3">
      <c r="D3229" t="str">
        <f t="shared" si="81"/>
        <v/>
      </c>
    </row>
    <row r="3230" spans="4:4" x14ac:dyDescent="0.3">
      <c r="D3230" t="str">
        <f t="shared" si="81"/>
        <v/>
      </c>
    </row>
    <row r="3231" spans="4:4" x14ac:dyDescent="0.3">
      <c r="D3231" t="str">
        <f t="shared" si="81"/>
        <v/>
      </c>
    </row>
    <row r="3232" spans="4:4" x14ac:dyDescent="0.3">
      <c r="D3232" t="str">
        <f t="shared" si="81"/>
        <v/>
      </c>
    </row>
    <row r="3233" spans="4:4" x14ac:dyDescent="0.3">
      <c r="D3233" t="str">
        <f t="shared" si="81"/>
        <v/>
      </c>
    </row>
    <row r="3234" spans="4:4" x14ac:dyDescent="0.3">
      <c r="D3234" t="str">
        <f t="shared" si="81"/>
        <v/>
      </c>
    </row>
    <row r="3235" spans="4:4" x14ac:dyDescent="0.3">
      <c r="D3235" t="str">
        <f t="shared" si="81"/>
        <v/>
      </c>
    </row>
    <row r="3236" spans="4:4" x14ac:dyDescent="0.3">
      <c r="D3236" t="str">
        <f t="shared" si="81"/>
        <v/>
      </c>
    </row>
    <row r="3237" spans="4:4" x14ac:dyDescent="0.3">
      <c r="D3237" t="str">
        <f t="shared" si="81"/>
        <v/>
      </c>
    </row>
    <row r="3238" spans="4:4" x14ac:dyDescent="0.3">
      <c r="D3238" t="str">
        <f t="shared" si="81"/>
        <v/>
      </c>
    </row>
    <row r="3239" spans="4:4" x14ac:dyDescent="0.3">
      <c r="D3239" t="str">
        <f t="shared" si="81"/>
        <v/>
      </c>
    </row>
    <row r="3240" spans="4:4" x14ac:dyDescent="0.3">
      <c r="D3240" t="str">
        <f t="shared" si="81"/>
        <v/>
      </c>
    </row>
    <row r="3241" spans="4:4" x14ac:dyDescent="0.3">
      <c r="D3241" t="str">
        <f t="shared" si="81"/>
        <v/>
      </c>
    </row>
    <row r="3242" spans="4:4" x14ac:dyDescent="0.3">
      <c r="D3242" t="str">
        <f t="shared" si="81"/>
        <v/>
      </c>
    </row>
    <row r="3243" spans="4:4" x14ac:dyDescent="0.3">
      <c r="D3243" t="str">
        <f t="shared" si="81"/>
        <v/>
      </c>
    </row>
    <row r="3244" spans="4:4" x14ac:dyDescent="0.3">
      <c r="D3244" t="str">
        <f t="shared" si="81"/>
        <v/>
      </c>
    </row>
    <row r="3245" spans="4:4" x14ac:dyDescent="0.3">
      <c r="D3245" t="str">
        <f t="shared" si="81"/>
        <v/>
      </c>
    </row>
    <row r="3246" spans="4:4" x14ac:dyDescent="0.3">
      <c r="D3246" t="str">
        <f t="shared" si="81"/>
        <v/>
      </c>
    </row>
    <row r="3247" spans="4:4" x14ac:dyDescent="0.3">
      <c r="D3247" t="str">
        <f t="shared" si="81"/>
        <v/>
      </c>
    </row>
    <row r="3248" spans="4:4" x14ac:dyDescent="0.3">
      <c r="D3248" t="str">
        <f t="shared" si="81"/>
        <v/>
      </c>
    </row>
    <row r="3249" spans="4:4" x14ac:dyDescent="0.3">
      <c r="D3249" t="str">
        <f t="shared" si="81"/>
        <v/>
      </c>
    </row>
    <row r="3250" spans="4:4" x14ac:dyDescent="0.3">
      <c r="D3250" t="str">
        <f t="shared" si="81"/>
        <v/>
      </c>
    </row>
    <row r="3251" spans="4:4" x14ac:dyDescent="0.3">
      <c r="D3251" t="str">
        <f t="shared" si="81"/>
        <v/>
      </c>
    </row>
    <row r="3252" spans="4:4" x14ac:dyDescent="0.3">
      <c r="D3252" t="str">
        <f t="shared" si="81"/>
        <v/>
      </c>
    </row>
    <row r="3253" spans="4:4" x14ac:dyDescent="0.3">
      <c r="D3253" t="str">
        <f t="shared" si="81"/>
        <v/>
      </c>
    </row>
    <row r="3254" spans="4:4" x14ac:dyDescent="0.3">
      <c r="D3254" t="str">
        <f t="shared" ref="D3254:D3317" si="82">IF(LEFT(A3254,2)="SP",MID(A3254,4,4),IF(LEFT(A3254,1)="X",MID(A3254,3,4),""))</f>
        <v/>
      </c>
    </row>
    <row r="3255" spans="4:4" x14ac:dyDescent="0.3">
      <c r="D3255" t="str">
        <f t="shared" si="82"/>
        <v/>
      </c>
    </row>
    <row r="3256" spans="4:4" x14ac:dyDescent="0.3">
      <c r="D3256" t="str">
        <f t="shared" si="82"/>
        <v/>
      </c>
    </row>
    <row r="3257" spans="4:4" x14ac:dyDescent="0.3">
      <c r="D3257" t="str">
        <f t="shared" si="82"/>
        <v/>
      </c>
    </row>
    <row r="3258" spans="4:4" x14ac:dyDescent="0.3">
      <c r="D3258" t="str">
        <f t="shared" si="82"/>
        <v/>
      </c>
    </row>
    <row r="3259" spans="4:4" x14ac:dyDescent="0.3">
      <c r="D3259" t="str">
        <f t="shared" si="82"/>
        <v/>
      </c>
    </row>
    <row r="3260" spans="4:4" x14ac:dyDescent="0.3">
      <c r="D3260" t="str">
        <f t="shared" si="82"/>
        <v/>
      </c>
    </row>
    <row r="3261" spans="4:4" x14ac:dyDescent="0.3">
      <c r="D3261" t="str">
        <f t="shared" si="82"/>
        <v/>
      </c>
    </row>
    <row r="3262" spans="4:4" x14ac:dyDescent="0.3">
      <c r="D3262" t="str">
        <f t="shared" si="82"/>
        <v/>
      </c>
    </row>
    <row r="3263" spans="4:4" x14ac:dyDescent="0.3">
      <c r="D3263" t="str">
        <f t="shared" si="82"/>
        <v/>
      </c>
    </row>
    <row r="3264" spans="4:4" x14ac:dyDescent="0.3">
      <c r="D3264" t="str">
        <f t="shared" si="82"/>
        <v/>
      </c>
    </row>
    <row r="3265" spans="4:4" x14ac:dyDescent="0.3">
      <c r="D3265" t="str">
        <f t="shared" si="82"/>
        <v/>
      </c>
    </row>
    <row r="3266" spans="4:4" x14ac:dyDescent="0.3">
      <c r="D3266" t="str">
        <f t="shared" si="82"/>
        <v/>
      </c>
    </row>
    <row r="3267" spans="4:4" x14ac:dyDescent="0.3">
      <c r="D3267" t="str">
        <f t="shared" si="82"/>
        <v/>
      </c>
    </row>
    <row r="3268" spans="4:4" x14ac:dyDescent="0.3">
      <c r="D3268" t="str">
        <f t="shared" si="82"/>
        <v/>
      </c>
    </row>
    <row r="3269" spans="4:4" x14ac:dyDescent="0.3">
      <c r="D3269" t="str">
        <f t="shared" si="82"/>
        <v/>
      </c>
    </row>
    <row r="3270" spans="4:4" x14ac:dyDescent="0.3">
      <c r="D3270" t="str">
        <f t="shared" si="82"/>
        <v/>
      </c>
    </row>
    <row r="3271" spans="4:4" x14ac:dyDescent="0.3">
      <c r="D3271" t="str">
        <f t="shared" si="82"/>
        <v/>
      </c>
    </row>
    <row r="3272" spans="4:4" x14ac:dyDescent="0.3">
      <c r="D3272" t="str">
        <f t="shared" si="82"/>
        <v/>
      </c>
    </row>
    <row r="3273" spans="4:4" x14ac:dyDescent="0.3">
      <c r="D3273" t="str">
        <f t="shared" si="82"/>
        <v/>
      </c>
    </row>
    <row r="3274" spans="4:4" x14ac:dyDescent="0.3">
      <c r="D3274" t="str">
        <f t="shared" si="82"/>
        <v/>
      </c>
    </row>
    <row r="3275" spans="4:4" x14ac:dyDescent="0.3">
      <c r="D3275" t="str">
        <f t="shared" si="82"/>
        <v/>
      </c>
    </row>
    <row r="3276" spans="4:4" x14ac:dyDescent="0.3">
      <c r="D3276" t="str">
        <f t="shared" si="82"/>
        <v/>
      </c>
    </row>
    <row r="3277" spans="4:4" x14ac:dyDescent="0.3">
      <c r="D3277" t="str">
        <f t="shared" si="82"/>
        <v/>
      </c>
    </row>
    <row r="3278" spans="4:4" x14ac:dyDescent="0.3">
      <c r="D3278" t="str">
        <f t="shared" si="82"/>
        <v/>
      </c>
    </row>
    <row r="3279" spans="4:4" x14ac:dyDescent="0.3">
      <c r="D3279" t="str">
        <f t="shared" si="82"/>
        <v/>
      </c>
    </row>
    <row r="3280" spans="4:4" x14ac:dyDescent="0.3">
      <c r="D3280" t="str">
        <f t="shared" si="82"/>
        <v/>
      </c>
    </row>
    <row r="3281" spans="4:4" x14ac:dyDescent="0.3">
      <c r="D3281" t="str">
        <f t="shared" si="82"/>
        <v/>
      </c>
    </row>
    <row r="3282" spans="4:4" x14ac:dyDescent="0.3">
      <c r="D3282" t="str">
        <f t="shared" si="82"/>
        <v/>
      </c>
    </row>
    <row r="3283" spans="4:4" x14ac:dyDescent="0.3">
      <c r="D3283" t="str">
        <f t="shared" si="82"/>
        <v/>
      </c>
    </row>
    <row r="3284" spans="4:4" x14ac:dyDescent="0.3">
      <c r="D3284" t="str">
        <f t="shared" si="82"/>
        <v/>
      </c>
    </row>
    <row r="3285" spans="4:4" x14ac:dyDescent="0.3">
      <c r="D3285" t="str">
        <f t="shared" si="82"/>
        <v/>
      </c>
    </row>
    <row r="3286" spans="4:4" x14ac:dyDescent="0.3">
      <c r="D3286" t="str">
        <f t="shared" si="82"/>
        <v/>
      </c>
    </row>
    <row r="3287" spans="4:4" x14ac:dyDescent="0.3">
      <c r="D3287" t="str">
        <f t="shared" si="82"/>
        <v/>
      </c>
    </row>
    <row r="3288" spans="4:4" x14ac:dyDescent="0.3">
      <c r="D3288" t="str">
        <f t="shared" si="82"/>
        <v/>
      </c>
    </row>
    <row r="3289" spans="4:4" x14ac:dyDescent="0.3">
      <c r="D3289" t="str">
        <f t="shared" si="82"/>
        <v/>
      </c>
    </row>
    <row r="3290" spans="4:4" x14ac:dyDescent="0.3">
      <c r="D3290" t="str">
        <f t="shared" si="82"/>
        <v/>
      </c>
    </row>
    <row r="3291" spans="4:4" x14ac:dyDescent="0.3">
      <c r="D3291" t="str">
        <f t="shared" si="82"/>
        <v/>
      </c>
    </row>
    <row r="3292" spans="4:4" x14ac:dyDescent="0.3">
      <c r="D3292" t="str">
        <f t="shared" si="82"/>
        <v/>
      </c>
    </row>
    <row r="3293" spans="4:4" x14ac:dyDescent="0.3">
      <c r="D3293" t="str">
        <f t="shared" si="82"/>
        <v/>
      </c>
    </row>
    <row r="3294" spans="4:4" x14ac:dyDescent="0.3">
      <c r="D3294" t="str">
        <f t="shared" si="82"/>
        <v/>
      </c>
    </row>
    <row r="3295" spans="4:4" x14ac:dyDescent="0.3">
      <c r="D3295" t="str">
        <f t="shared" si="82"/>
        <v/>
      </c>
    </row>
    <row r="3296" spans="4:4" x14ac:dyDescent="0.3">
      <c r="D3296" t="str">
        <f t="shared" si="82"/>
        <v/>
      </c>
    </row>
    <row r="3297" spans="4:4" x14ac:dyDescent="0.3">
      <c r="D3297" t="str">
        <f t="shared" si="82"/>
        <v/>
      </c>
    </row>
    <row r="3298" spans="4:4" x14ac:dyDescent="0.3">
      <c r="D3298" t="str">
        <f t="shared" si="82"/>
        <v/>
      </c>
    </row>
    <row r="3299" spans="4:4" x14ac:dyDescent="0.3">
      <c r="D3299" t="str">
        <f t="shared" si="82"/>
        <v/>
      </c>
    </row>
    <row r="3300" spans="4:4" x14ac:dyDescent="0.3">
      <c r="D3300" t="str">
        <f t="shared" si="82"/>
        <v/>
      </c>
    </row>
    <row r="3301" spans="4:4" x14ac:dyDescent="0.3">
      <c r="D3301" t="str">
        <f t="shared" si="82"/>
        <v/>
      </c>
    </row>
    <row r="3302" spans="4:4" x14ac:dyDescent="0.3">
      <c r="D3302" t="str">
        <f t="shared" si="82"/>
        <v/>
      </c>
    </row>
    <row r="3303" spans="4:4" x14ac:dyDescent="0.3">
      <c r="D3303" t="str">
        <f t="shared" si="82"/>
        <v/>
      </c>
    </row>
    <row r="3304" spans="4:4" x14ac:dyDescent="0.3">
      <c r="D3304" t="str">
        <f t="shared" si="82"/>
        <v/>
      </c>
    </row>
    <row r="3305" spans="4:4" x14ac:dyDescent="0.3">
      <c r="D3305" t="str">
        <f t="shared" si="82"/>
        <v/>
      </c>
    </row>
    <row r="3306" spans="4:4" x14ac:dyDescent="0.3">
      <c r="D3306" t="str">
        <f t="shared" si="82"/>
        <v/>
      </c>
    </row>
    <row r="3307" spans="4:4" x14ac:dyDescent="0.3">
      <c r="D3307" t="str">
        <f t="shared" si="82"/>
        <v/>
      </c>
    </row>
    <row r="3308" spans="4:4" x14ac:dyDescent="0.3">
      <c r="D3308" t="str">
        <f t="shared" si="82"/>
        <v/>
      </c>
    </row>
    <row r="3309" spans="4:4" x14ac:dyDescent="0.3">
      <c r="D3309" t="str">
        <f t="shared" si="82"/>
        <v/>
      </c>
    </row>
    <row r="3310" spans="4:4" x14ac:dyDescent="0.3">
      <c r="D3310" t="str">
        <f t="shared" si="82"/>
        <v/>
      </c>
    </row>
    <row r="3311" spans="4:4" x14ac:dyDescent="0.3">
      <c r="D3311" t="str">
        <f t="shared" si="82"/>
        <v/>
      </c>
    </row>
    <row r="3312" spans="4:4" x14ac:dyDescent="0.3">
      <c r="D3312" t="str">
        <f t="shared" si="82"/>
        <v/>
      </c>
    </row>
    <row r="3313" spans="4:4" x14ac:dyDescent="0.3">
      <c r="D3313" t="str">
        <f t="shared" si="82"/>
        <v/>
      </c>
    </row>
    <row r="3314" spans="4:4" x14ac:dyDescent="0.3">
      <c r="D3314" t="str">
        <f t="shared" si="82"/>
        <v/>
      </c>
    </row>
    <row r="3315" spans="4:4" x14ac:dyDescent="0.3">
      <c r="D3315" t="str">
        <f t="shared" si="82"/>
        <v/>
      </c>
    </row>
    <row r="3316" spans="4:4" x14ac:dyDescent="0.3">
      <c r="D3316" t="str">
        <f t="shared" si="82"/>
        <v/>
      </c>
    </row>
    <row r="3317" spans="4:4" x14ac:dyDescent="0.3">
      <c r="D3317" t="str">
        <f t="shared" si="82"/>
        <v/>
      </c>
    </row>
    <row r="3318" spans="4:4" x14ac:dyDescent="0.3">
      <c r="D3318" t="str">
        <f t="shared" ref="D3318:D3381" si="83">IF(LEFT(A3318,2)="SP",MID(A3318,4,4),IF(LEFT(A3318,1)="X",MID(A3318,3,4),""))</f>
        <v/>
      </c>
    </row>
    <row r="3319" spans="4:4" x14ac:dyDescent="0.3">
      <c r="D3319" t="str">
        <f t="shared" si="83"/>
        <v/>
      </c>
    </row>
    <row r="3320" spans="4:4" x14ac:dyDescent="0.3">
      <c r="D3320" t="str">
        <f t="shared" si="83"/>
        <v/>
      </c>
    </row>
    <row r="3321" spans="4:4" x14ac:dyDescent="0.3">
      <c r="D3321" t="str">
        <f t="shared" si="83"/>
        <v/>
      </c>
    </row>
    <row r="3322" spans="4:4" x14ac:dyDescent="0.3">
      <c r="D3322" t="str">
        <f t="shared" si="83"/>
        <v/>
      </c>
    </row>
    <row r="3323" spans="4:4" x14ac:dyDescent="0.3">
      <c r="D3323" t="str">
        <f t="shared" si="83"/>
        <v/>
      </c>
    </row>
    <row r="3324" spans="4:4" x14ac:dyDescent="0.3">
      <c r="D3324" t="str">
        <f t="shared" si="83"/>
        <v/>
      </c>
    </row>
    <row r="3325" spans="4:4" x14ac:dyDescent="0.3">
      <c r="D3325" t="str">
        <f t="shared" si="83"/>
        <v/>
      </c>
    </row>
    <row r="3326" spans="4:4" x14ac:dyDescent="0.3">
      <c r="D3326" t="str">
        <f t="shared" si="83"/>
        <v/>
      </c>
    </row>
    <row r="3327" spans="4:4" x14ac:dyDescent="0.3">
      <c r="D3327" t="str">
        <f t="shared" si="83"/>
        <v/>
      </c>
    </row>
    <row r="3328" spans="4:4" x14ac:dyDescent="0.3">
      <c r="D3328" t="str">
        <f t="shared" si="83"/>
        <v/>
      </c>
    </row>
    <row r="3329" spans="4:4" x14ac:dyDescent="0.3">
      <c r="D3329" t="str">
        <f t="shared" si="83"/>
        <v/>
      </c>
    </row>
    <row r="3330" spans="4:4" x14ac:dyDescent="0.3">
      <c r="D3330" t="str">
        <f t="shared" si="83"/>
        <v/>
      </c>
    </row>
    <row r="3331" spans="4:4" x14ac:dyDescent="0.3">
      <c r="D3331" t="str">
        <f t="shared" si="83"/>
        <v/>
      </c>
    </row>
    <row r="3332" spans="4:4" x14ac:dyDescent="0.3">
      <c r="D3332" t="str">
        <f t="shared" si="83"/>
        <v/>
      </c>
    </row>
    <row r="3333" spans="4:4" x14ac:dyDescent="0.3">
      <c r="D3333" t="str">
        <f t="shared" si="83"/>
        <v/>
      </c>
    </row>
    <row r="3334" spans="4:4" x14ac:dyDescent="0.3">
      <c r="D3334" t="str">
        <f t="shared" si="83"/>
        <v/>
      </c>
    </row>
    <row r="3335" spans="4:4" x14ac:dyDescent="0.3">
      <c r="D3335" t="str">
        <f t="shared" si="83"/>
        <v/>
      </c>
    </row>
    <row r="3336" spans="4:4" x14ac:dyDescent="0.3">
      <c r="D3336" t="str">
        <f t="shared" si="83"/>
        <v/>
      </c>
    </row>
    <row r="3337" spans="4:4" x14ac:dyDescent="0.3">
      <c r="D3337" t="str">
        <f t="shared" si="83"/>
        <v/>
      </c>
    </row>
    <row r="3338" spans="4:4" x14ac:dyDescent="0.3">
      <c r="D3338" t="str">
        <f t="shared" si="83"/>
        <v/>
      </c>
    </row>
    <row r="3339" spans="4:4" x14ac:dyDescent="0.3">
      <c r="D3339" t="str">
        <f t="shared" si="83"/>
        <v/>
      </c>
    </row>
    <row r="3340" spans="4:4" x14ac:dyDescent="0.3">
      <c r="D3340" t="str">
        <f t="shared" si="83"/>
        <v/>
      </c>
    </row>
    <row r="3341" spans="4:4" x14ac:dyDescent="0.3">
      <c r="D3341" t="str">
        <f t="shared" si="83"/>
        <v/>
      </c>
    </row>
    <row r="3342" spans="4:4" x14ac:dyDescent="0.3">
      <c r="D3342" t="str">
        <f t="shared" si="83"/>
        <v/>
      </c>
    </row>
    <row r="3343" spans="4:4" x14ac:dyDescent="0.3">
      <c r="D3343" t="str">
        <f t="shared" si="83"/>
        <v/>
      </c>
    </row>
    <row r="3344" spans="4:4" x14ac:dyDescent="0.3">
      <c r="D3344" t="str">
        <f t="shared" si="83"/>
        <v/>
      </c>
    </row>
    <row r="3345" spans="4:4" x14ac:dyDescent="0.3">
      <c r="D3345" t="str">
        <f t="shared" si="83"/>
        <v/>
      </c>
    </row>
    <row r="3346" spans="4:4" x14ac:dyDescent="0.3">
      <c r="D3346" t="str">
        <f t="shared" si="83"/>
        <v/>
      </c>
    </row>
    <row r="3347" spans="4:4" x14ac:dyDescent="0.3">
      <c r="D3347" t="str">
        <f t="shared" si="83"/>
        <v/>
      </c>
    </row>
    <row r="3348" spans="4:4" x14ac:dyDescent="0.3">
      <c r="D3348" t="str">
        <f t="shared" si="83"/>
        <v/>
      </c>
    </row>
    <row r="3349" spans="4:4" x14ac:dyDescent="0.3">
      <c r="D3349" t="str">
        <f t="shared" si="83"/>
        <v/>
      </c>
    </row>
    <row r="3350" spans="4:4" x14ac:dyDescent="0.3">
      <c r="D3350" t="str">
        <f t="shared" si="83"/>
        <v/>
      </c>
    </row>
    <row r="3351" spans="4:4" x14ac:dyDescent="0.3">
      <c r="D3351" t="str">
        <f t="shared" si="83"/>
        <v/>
      </c>
    </row>
    <row r="3352" spans="4:4" x14ac:dyDescent="0.3">
      <c r="D3352" t="str">
        <f t="shared" si="83"/>
        <v/>
      </c>
    </row>
    <row r="3353" spans="4:4" x14ac:dyDescent="0.3">
      <c r="D3353" t="str">
        <f t="shared" si="83"/>
        <v/>
      </c>
    </row>
    <row r="3354" spans="4:4" x14ac:dyDescent="0.3">
      <c r="D3354" t="str">
        <f t="shared" si="83"/>
        <v/>
      </c>
    </row>
    <row r="3355" spans="4:4" x14ac:dyDescent="0.3">
      <c r="D3355" t="str">
        <f t="shared" si="83"/>
        <v/>
      </c>
    </row>
    <row r="3356" spans="4:4" x14ac:dyDescent="0.3">
      <c r="D3356" t="str">
        <f t="shared" si="83"/>
        <v/>
      </c>
    </row>
    <row r="3357" spans="4:4" x14ac:dyDescent="0.3">
      <c r="D3357" t="str">
        <f t="shared" si="83"/>
        <v/>
      </c>
    </row>
    <row r="3358" spans="4:4" x14ac:dyDescent="0.3">
      <c r="D3358" t="str">
        <f t="shared" si="83"/>
        <v/>
      </c>
    </row>
    <row r="3359" spans="4:4" x14ac:dyDescent="0.3">
      <c r="D3359" t="str">
        <f t="shared" si="83"/>
        <v/>
      </c>
    </row>
    <row r="3360" spans="4:4" x14ac:dyDescent="0.3">
      <c r="D3360" t="str">
        <f t="shared" si="83"/>
        <v/>
      </c>
    </row>
    <row r="3361" spans="4:4" x14ac:dyDescent="0.3">
      <c r="D3361" t="str">
        <f t="shared" si="83"/>
        <v/>
      </c>
    </row>
    <row r="3362" spans="4:4" x14ac:dyDescent="0.3">
      <c r="D3362" t="str">
        <f t="shared" si="83"/>
        <v/>
      </c>
    </row>
    <row r="3363" spans="4:4" x14ac:dyDescent="0.3">
      <c r="D3363" t="str">
        <f t="shared" si="83"/>
        <v/>
      </c>
    </row>
    <row r="3364" spans="4:4" x14ac:dyDescent="0.3">
      <c r="D3364" t="str">
        <f t="shared" si="83"/>
        <v/>
      </c>
    </row>
    <row r="3365" spans="4:4" x14ac:dyDescent="0.3">
      <c r="D3365" t="str">
        <f t="shared" si="83"/>
        <v/>
      </c>
    </row>
    <row r="3366" spans="4:4" x14ac:dyDescent="0.3">
      <c r="D3366" t="str">
        <f t="shared" si="83"/>
        <v/>
      </c>
    </row>
    <row r="3367" spans="4:4" x14ac:dyDescent="0.3">
      <c r="D3367" t="str">
        <f t="shared" si="83"/>
        <v/>
      </c>
    </row>
    <row r="3368" spans="4:4" x14ac:dyDescent="0.3">
      <c r="D3368" t="str">
        <f t="shared" si="83"/>
        <v/>
      </c>
    </row>
    <row r="3369" spans="4:4" x14ac:dyDescent="0.3">
      <c r="D3369" t="str">
        <f t="shared" si="83"/>
        <v/>
      </c>
    </row>
    <row r="3370" spans="4:4" x14ac:dyDescent="0.3">
      <c r="D3370" t="str">
        <f t="shared" si="83"/>
        <v/>
      </c>
    </row>
    <row r="3371" spans="4:4" x14ac:dyDescent="0.3">
      <c r="D3371" t="str">
        <f t="shared" si="83"/>
        <v/>
      </c>
    </row>
    <row r="3372" spans="4:4" x14ac:dyDescent="0.3">
      <c r="D3372" t="str">
        <f t="shared" si="83"/>
        <v/>
      </c>
    </row>
    <row r="3373" spans="4:4" x14ac:dyDescent="0.3">
      <c r="D3373" t="str">
        <f t="shared" si="83"/>
        <v/>
      </c>
    </row>
    <row r="3374" spans="4:4" x14ac:dyDescent="0.3">
      <c r="D3374" t="str">
        <f t="shared" si="83"/>
        <v/>
      </c>
    </row>
    <row r="3375" spans="4:4" x14ac:dyDescent="0.3">
      <c r="D3375" t="str">
        <f t="shared" si="83"/>
        <v/>
      </c>
    </row>
    <row r="3376" spans="4:4" x14ac:dyDescent="0.3">
      <c r="D3376" t="str">
        <f t="shared" si="83"/>
        <v/>
      </c>
    </row>
    <row r="3377" spans="4:4" x14ac:dyDescent="0.3">
      <c r="D3377" t="str">
        <f t="shared" si="83"/>
        <v/>
      </c>
    </row>
    <row r="3378" spans="4:4" x14ac:dyDescent="0.3">
      <c r="D3378" t="str">
        <f t="shared" si="83"/>
        <v/>
      </c>
    </row>
    <row r="3379" spans="4:4" x14ac:dyDescent="0.3">
      <c r="D3379" t="str">
        <f t="shared" si="83"/>
        <v/>
      </c>
    </row>
    <row r="3380" spans="4:4" x14ac:dyDescent="0.3">
      <c r="D3380" t="str">
        <f t="shared" si="83"/>
        <v/>
      </c>
    </row>
    <row r="3381" spans="4:4" x14ac:dyDescent="0.3">
      <c r="D3381" t="str">
        <f t="shared" si="83"/>
        <v/>
      </c>
    </row>
    <row r="3382" spans="4:4" x14ac:dyDescent="0.3">
      <c r="D3382" t="str">
        <f t="shared" ref="D3382:D3445" si="84">IF(LEFT(A3382,2)="SP",MID(A3382,4,4),IF(LEFT(A3382,1)="X",MID(A3382,3,4),""))</f>
        <v/>
      </c>
    </row>
    <row r="3383" spans="4:4" x14ac:dyDescent="0.3">
      <c r="D3383" t="str">
        <f t="shared" si="84"/>
        <v/>
      </c>
    </row>
    <row r="3384" spans="4:4" x14ac:dyDescent="0.3">
      <c r="D3384" t="str">
        <f t="shared" si="84"/>
        <v/>
      </c>
    </row>
    <row r="3385" spans="4:4" x14ac:dyDescent="0.3">
      <c r="D3385" t="str">
        <f t="shared" si="84"/>
        <v/>
      </c>
    </row>
    <row r="3386" spans="4:4" x14ac:dyDescent="0.3">
      <c r="D3386" t="str">
        <f t="shared" si="84"/>
        <v/>
      </c>
    </row>
    <row r="3387" spans="4:4" x14ac:dyDescent="0.3">
      <c r="D3387" t="str">
        <f t="shared" si="84"/>
        <v/>
      </c>
    </row>
    <row r="3388" spans="4:4" x14ac:dyDescent="0.3">
      <c r="D3388" t="str">
        <f t="shared" si="84"/>
        <v/>
      </c>
    </row>
    <row r="3389" spans="4:4" x14ac:dyDescent="0.3">
      <c r="D3389" t="str">
        <f t="shared" si="84"/>
        <v/>
      </c>
    </row>
    <row r="3390" spans="4:4" x14ac:dyDescent="0.3">
      <c r="D3390" t="str">
        <f t="shared" si="84"/>
        <v/>
      </c>
    </row>
    <row r="3391" spans="4:4" x14ac:dyDescent="0.3">
      <c r="D3391" t="str">
        <f t="shared" si="84"/>
        <v/>
      </c>
    </row>
    <row r="3392" spans="4:4" x14ac:dyDescent="0.3">
      <c r="D3392" t="str">
        <f t="shared" si="84"/>
        <v/>
      </c>
    </row>
    <row r="3393" spans="4:4" x14ac:dyDescent="0.3">
      <c r="D3393" t="str">
        <f t="shared" si="84"/>
        <v/>
      </c>
    </row>
    <row r="3394" spans="4:4" x14ac:dyDescent="0.3">
      <c r="D3394" t="str">
        <f t="shared" si="84"/>
        <v/>
      </c>
    </row>
    <row r="3395" spans="4:4" x14ac:dyDescent="0.3">
      <c r="D3395" t="str">
        <f t="shared" si="84"/>
        <v/>
      </c>
    </row>
    <row r="3396" spans="4:4" x14ac:dyDescent="0.3">
      <c r="D3396" t="str">
        <f t="shared" si="84"/>
        <v/>
      </c>
    </row>
    <row r="3397" spans="4:4" x14ac:dyDescent="0.3">
      <c r="D3397" t="str">
        <f t="shared" si="84"/>
        <v/>
      </c>
    </row>
    <row r="3398" spans="4:4" x14ac:dyDescent="0.3">
      <c r="D3398" t="str">
        <f t="shared" si="84"/>
        <v/>
      </c>
    </row>
    <row r="3399" spans="4:4" x14ac:dyDescent="0.3">
      <c r="D3399" t="str">
        <f t="shared" si="84"/>
        <v/>
      </c>
    </row>
    <row r="3400" spans="4:4" x14ac:dyDescent="0.3">
      <c r="D3400" t="str">
        <f t="shared" si="84"/>
        <v/>
      </c>
    </row>
    <row r="3401" spans="4:4" x14ac:dyDescent="0.3">
      <c r="D3401" t="str">
        <f t="shared" si="84"/>
        <v/>
      </c>
    </row>
    <row r="3402" spans="4:4" x14ac:dyDescent="0.3">
      <c r="D3402" t="str">
        <f t="shared" si="84"/>
        <v/>
      </c>
    </row>
    <row r="3403" spans="4:4" x14ac:dyDescent="0.3">
      <c r="D3403" t="str">
        <f t="shared" si="84"/>
        <v/>
      </c>
    </row>
    <row r="3404" spans="4:4" x14ac:dyDescent="0.3">
      <c r="D3404" t="str">
        <f t="shared" si="84"/>
        <v/>
      </c>
    </row>
    <row r="3405" spans="4:4" x14ac:dyDescent="0.3">
      <c r="D3405" t="str">
        <f t="shared" si="84"/>
        <v/>
      </c>
    </row>
    <row r="3406" spans="4:4" x14ac:dyDescent="0.3">
      <c r="D3406" t="str">
        <f t="shared" si="84"/>
        <v/>
      </c>
    </row>
    <row r="3407" spans="4:4" x14ac:dyDescent="0.3">
      <c r="D3407" t="str">
        <f t="shared" si="84"/>
        <v/>
      </c>
    </row>
    <row r="3408" spans="4:4" x14ac:dyDescent="0.3">
      <c r="D3408" t="str">
        <f t="shared" si="84"/>
        <v/>
      </c>
    </row>
    <row r="3409" spans="4:4" x14ac:dyDescent="0.3">
      <c r="D3409" t="str">
        <f t="shared" si="84"/>
        <v/>
      </c>
    </row>
    <row r="3410" spans="4:4" x14ac:dyDescent="0.3">
      <c r="D3410" t="str">
        <f t="shared" si="84"/>
        <v/>
      </c>
    </row>
    <row r="3411" spans="4:4" x14ac:dyDescent="0.3">
      <c r="D3411" t="str">
        <f t="shared" si="84"/>
        <v/>
      </c>
    </row>
    <row r="3412" spans="4:4" x14ac:dyDescent="0.3">
      <c r="D3412" t="str">
        <f t="shared" si="84"/>
        <v/>
      </c>
    </row>
    <row r="3413" spans="4:4" x14ac:dyDescent="0.3">
      <c r="D3413" t="str">
        <f t="shared" si="84"/>
        <v/>
      </c>
    </row>
    <row r="3414" spans="4:4" x14ac:dyDescent="0.3">
      <c r="D3414" t="str">
        <f t="shared" si="84"/>
        <v/>
      </c>
    </row>
    <row r="3415" spans="4:4" x14ac:dyDescent="0.3">
      <c r="D3415" t="str">
        <f t="shared" si="84"/>
        <v/>
      </c>
    </row>
    <row r="3416" spans="4:4" x14ac:dyDescent="0.3">
      <c r="D3416" t="str">
        <f t="shared" si="84"/>
        <v/>
      </c>
    </row>
    <row r="3417" spans="4:4" x14ac:dyDescent="0.3">
      <c r="D3417" t="str">
        <f t="shared" si="84"/>
        <v/>
      </c>
    </row>
    <row r="3418" spans="4:4" x14ac:dyDescent="0.3">
      <c r="D3418" t="str">
        <f t="shared" si="84"/>
        <v/>
      </c>
    </row>
    <row r="3419" spans="4:4" x14ac:dyDescent="0.3">
      <c r="D3419" t="str">
        <f t="shared" si="84"/>
        <v/>
      </c>
    </row>
    <row r="3420" spans="4:4" x14ac:dyDescent="0.3">
      <c r="D3420" t="str">
        <f t="shared" si="84"/>
        <v/>
      </c>
    </row>
    <row r="3421" spans="4:4" x14ac:dyDescent="0.3">
      <c r="D3421" t="str">
        <f t="shared" si="84"/>
        <v/>
      </c>
    </row>
    <row r="3422" spans="4:4" x14ac:dyDescent="0.3">
      <c r="D3422" t="str">
        <f t="shared" si="84"/>
        <v/>
      </c>
    </row>
    <row r="3423" spans="4:4" x14ac:dyDescent="0.3">
      <c r="D3423" t="str">
        <f t="shared" si="84"/>
        <v/>
      </c>
    </row>
    <row r="3424" spans="4:4" x14ac:dyDescent="0.3">
      <c r="D3424" t="str">
        <f t="shared" si="84"/>
        <v/>
      </c>
    </row>
    <row r="3425" spans="4:4" x14ac:dyDescent="0.3">
      <c r="D3425" t="str">
        <f t="shared" si="84"/>
        <v/>
      </c>
    </row>
    <row r="3426" spans="4:4" x14ac:dyDescent="0.3">
      <c r="D3426" t="str">
        <f t="shared" si="84"/>
        <v/>
      </c>
    </row>
    <row r="3427" spans="4:4" x14ac:dyDescent="0.3">
      <c r="D3427" t="str">
        <f t="shared" si="84"/>
        <v/>
      </c>
    </row>
    <row r="3428" spans="4:4" x14ac:dyDescent="0.3">
      <c r="D3428" t="str">
        <f t="shared" si="84"/>
        <v/>
      </c>
    </row>
    <row r="3429" spans="4:4" x14ac:dyDescent="0.3">
      <c r="D3429" t="str">
        <f t="shared" si="84"/>
        <v/>
      </c>
    </row>
    <row r="3430" spans="4:4" x14ac:dyDescent="0.3">
      <c r="D3430" t="str">
        <f t="shared" si="84"/>
        <v/>
      </c>
    </row>
    <row r="3431" spans="4:4" x14ac:dyDescent="0.3">
      <c r="D3431" t="str">
        <f t="shared" si="84"/>
        <v/>
      </c>
    </row>
    <row r="3432" spans="4:4" x14ac:dyDescent="0.3">
      <c r="D3432" t="str">
        <f t="shared" si="84"/>
        <v/>
      </c>
    </row>
    <row r="3433" spans="4:4" x14ac:dyDescent="0.3">
      <c r="D3433" t="str">
        <f t="shared" si="84"/>
        <v/>
      </c>
    </row>
    <row r="3434" spans="4:4" x14ac:dyDescent="0.3">
      <c r="D3434" t="str">
        <f t="shared" si="84"/>
        <v/>
      </c>
    </row>
    <row r="3435" spans="4:4" x14ac:dyDescent="0.3">
      <c r="D3435" t="str">
        <f t="shared" si="84"/>
        <v/>
      </c>
    </row>
    <row r="3436" spans="4:4" x14ac:dyDescent="0.3">
      <c r="D3436" t="str">
        <f t="shared" si="84"/>
        <v/>
      </c>
    </row>
    <row r="3437" spans="4:4" x14ac:dyDescent="0.3">
      <c r="D3437" t="str">
        <f t="shared" si="84"/>
        <v/>
      </c>
    </row>
    <row r="3438" spans="4:4" x14ac:dyDescent="0.3">
      <c r="D3438" t="str">
        <f t="shared" si="84"/>
        <v/>
      </c>
    </row>
    <row r="3439" spans="4:4" x14ac:dyDescent="0.3">
      <c r="D3439" t="str">
        <f t="shared" si="84"/>
        <v/>
      </c>
    </row>
    <row r="3440" spans="4:4" x14ac:dyDescent="0.3">
      <c r="D3440" t="str">
        <f t="shared" si="84"/>
        <v/>
      </c>
    </row>
    <row r="3441" spans="4:4" x14ac:dyDescent="0.3">
      <c r="D3441" t="str">
        <f t="shared" si="84"/>
        <v/>
      </c>
    </row>
    <row r="3442" spans="4:4" x14ac:dyDescent="0.3">
      <c r="D3442" t="str">
        <f t="shared" si="84"/>
        <v/>
      </c>
    </row>
    <row r="3443" spans="4:4" x14ac:dyDescent="0.3">
      <c r="D3443" t="str">
        <f t="shared" si="84"/>
        <v/>
      </c>
    </row>
    <row r="3444" spans="4:4" x14ac:dyDescent="0.3">
      <c r="D3444" t="str">
        <f t="shared" si="84"/>
        <v/>
      </c>
    </row>
    <row r="3445" spans="4:4" x14ac:dyDescent="0.3">
      <c r="D3445" t="str">
        <f t="shared" si="84"/>
        <v/>
      </c>
    </row>
    <row r="3446" spans="4:4" x14ac:dyDescent="0.3">
      <c r="D3446" t="str">
        <f t="shared" ref="D3446:D3509" si="85">IF(LEFT(A3446,2)="SP",MID(A3446,4,4),IF(LEFT(A3446,1)="X",MID(A3446,3,4),""))</f>
        <v/>
      </c>
    </row>
    <row r="3447" spans="4:4" x14ac:dyDescent="0.3">
      <c r="D3447" t="str">
        <f t="shared" si="85"/>
        <v/>
      </c>
    </row>
    <row r="3448" spans="4:4" x14ac:dyDescent="0.3">
      <c r="D3448" t="str">
        <f t="shared" si="85"/>
        <v/>
      </c>
    </row>
    <row r="3449" spans="4:4" x14ac:dyDescent="0.3">
      <c r="D3449" t="str">
        <f t="shared" si="85"/>
        <v/>
      </c>
    </row>
    <row r="3450" spans="4:4" x14ac:dyDescent="0.3">
      <c r="D3450" t="str">
        <f t="shared" si="85"/>
        <v/>
      </c>
    </row>
    <row r="3451" spans="4:4" x14ac:dyDescent="0.3">
      <c r="D3451" t="str">
        <f t="shared" si="85"/>
        <v/>
      </c>
    </row>
    <row r="3452" spans="4:4" x14ac:dyDescent="0.3">
      <c r="D3452" t="str">
        <f t="shared" si="85"/>
        <v/>
      </c>
    </row>
    <row r="3453" spans="4:4" x14ac:dyDescent="0.3">
      <c r="D3453" t="str">
        <f t="shared" si="85"/>
        <v/>
      </c>
    </row>
    <row r="3454" spans="4:4" x14ac:dyDescent="0.3">
      <c r="D3454" t="str">
        <f t="shared" si="85"/>
        <v/>
      </c>
    </row>
    <row r="3455" spans="4:4" x14ac:dyDescent="0.3">
      <c r="D3455" t="str">
        <f t="shared" si="85"/>
        <v/>
      </c>
    </row>
    <row r="3456" spans="4:4" x14ac:dyDescent="0.3">
      <c r="D3456" t="str">
        <f t="shared" si="85"/>
        <v/>
      </c>
    </row>
    <row r="3457" spans="4:4" x14ac:dyDescent="0.3">
      <c r="D3457" t="str">
        <f t="shared" si="85"/>
        <v/>
      </c>
    </row>
    <row r="3458" spans="4:4" x14ac:dyDescent="0.3">
      <c r="D3458" t="str">
        <f t="shared" si="85"/>
        <v/>
      </c>
    </row>
    <row r="3459" spans="4:4" x14ac:dyDescent="0.3">
      <c r="D3459" t="str">
        <f t="shared" si="85"/>
        <v/>
      </c>
    </row>
    <row r="3460" spans="4:4" x14ac:dyDescent="0.3">
      <c r="D3460" t="str">
        <f t="shared" si="85"/>
        <v/>
      </c>
    </row>
    <row r="3461" spans="4:4" x14ac:dyDescent="0.3">
      <c r="D3461" t="str">
        <f t="shared" si="85"/>
        <v/>
      </c>
    </row>
    <row r="3462" spans="4:4" x14ac:dyDescent="0.3">
      <c r="D3462" t="str">
        <f t="shared" si="85"/>
        <v/>
      </c>
    </row>
    <row r="3463" spans="4:4" x14ac:dyDescent="0.3">
      <c r="D3463" t="str">
        <f t="shared" si="85"/>
        <v/>
      </c>
    </row>
    <row r="3464" spans="4:4" x14ac:dyDescent="0.3">
      <c r="D3464" t="str">
        <f t="shared" si="85"/>
        <v/>
      </c>
    </row>
    <row r="3465" spans="4:4" x14ac:dyDescent="0.3">
      <c r="D3465" t="str">
        <f t="shared" si="85"/>
        <v/>
      </c>
    </row>
    <row r="3466" spans="4:4" x14ac:dyDescent="0.3">
      <c r="D3466" t="str">
        <f t="shared" si="85"/>
        <v/>
      </c>
    </row>
    <row r="3467" spans="4:4" x14ac:dyDescent="0.3">
      <c r="D3467" t="str">
        <f t="shared" si="85"/>
        <v/>
      </c>
    </row>
    <row r="3468" spans="4:4" x14ac:dyDescent="0.3">
      <c r="D3468" t="str">
        <f t="shared" si="85"/>
        <v/>
      </c>
    </row>
    <row r="3469" spans="4:4" x14ac:dyDescent="0.3">
      <c r="D3469" t="str">
        <f t="shared" si="85"/>
        <v/>
      </c>
    </row>
    <row r="3470" spans="4:4" x14ac:dyDescent="0.3">
      <c r="D3470" t="str">
        <f t="shared" si="85"/>
        <v/>
      </c>
    </row>
    <row r="3471" spans="4:4" x14ac:dyDescent="0.3">
      <c r="D3471" t="str">
        <f t="shared" si="85"/>
        <v/>
      </c>
    </row>
    <row r="3472" spans="4:4" x14ac:dyDescent="0.3">
      <c r="D3472" t="str">
        <f t="shared" si="85"/>
        <v/>
      </c>
    </row>
    <row r="3473" spans="4:4" x14ac:dyDescent="0.3">
      <c r="D3473" t="str">
        <f t="shared" si="85"/>
        <v/>
      </c>
    </row>
    <row r="3474" spans="4:4" x14ac:dyDescent="0.3">
      <c r="D3474" t="str">
        <f t="shared" si="85"/>
        <v/>
      </c>
    </row>
    <row r="3475" spans="4:4" x14ac:dyDescent="0.3">
      <c r="D3475" t="str">
        <f t="shared" si="85"/>
        <v/>
      </c>
    </row>
    <row r="3476" spans="4:4" x14ac:dyDescent="0.3">
      <c r="D3476" t="str">
        <f t="shared" si="85"/>
        <v/>
      </c>
    </row>
    <row r="3477" spans="4:4" x14ac:dyDescent="0.3">
      <c r="D3477" t="str">
        <f t="shared" si="85"/>
        <v/>
      </c>
    </row>
    <row r="3478" spans="4:4" x14ac:dyDescent="0.3">
      <c r="D3478" t="str">
        <f t="shared" si="85"/>
        <v/>
      </c>
    </row>
    <row r="3479" spans="4:4" x14ac:dyDescent="0.3">
      <c r="D3479" t="str">
        <f t="shared" si="85"/>
        <v/>
      </c>
    </row>
    <row r="3480" spans="4:4" x14ac:dyDescent="0.3">
      <c r="D3480" t="str">
        <f t="shared" si="85"/>
        <v/>
      </c>
    </row>
    <row r="3481" spans="4:4" x14ac:dyDescent="0.3">
      <c r="D3481" t="str">
        <f t="shared" si="85"/>
        <v/>
      </c>
    </row>
    <row r="3482" spans="4:4" x14ac:dyDescent="0.3">
      <c r="D3482" t="str">
        <f t="shared" si="85"/>
        <v/>
      </c>
    </row>
    <row r="3483" spans="4:4" x14ac:dyDescent="0.3">
      <c r="D3483" t="str">
        <f t="shared" si="85"/>
        <v/>
      </c>
    </row>
    <row r="3484" spans="4:4" x14ac:dyDescent="0.3">
      <c r="D3484" t="str">
        <f t="shared" si="85"/>
        <v/>
      </c>
    </row>
    <row r="3485" spans="4:4" x14ac:dyDescent="0.3">
      <c r="D3485" t="str">
        <f t="shared" si="85"/>
        <v/>
      </c>
    </row>
    <row r="3486" spans="4:4" x14ac:dyDescent="0.3">
      <c r="D3486" t="str">
        <f t="shared" si="85"/>
        <v/>
      </c>
    </row>
    <row r="3487" spans="4:4" x14ac:dyDescent="0.3">
      <c r="D3487" t="str">
        <f t="shared" si="85"/>
        <v/>
      </c>
    </row>
    <row r="3488" spans="4:4" x14ac:dyDescent="0.3">
      <c r="D3488" t="str">
        <f t="shared" si="85"/>
        <v/>
      </c>
    </row>
    <row r="3489" spans="4:4" x14ac:dyDescent="0.3">
      <c r="D3489" t="str">
        <f t="shared" si="85"/>
        <v/>
      </c>
    </row>
    <row r="3490" spans="4:4" x14ac:dyDescent="0.3">
      <c r="D3490" t="str">
        <f t="shared" si="85"/>
        <v/>
      </c>
    </row>
    <row r="3491" spans="4:4" x14ac:dyDescent="0.3">
      <c r="D3491" t="str">
        <f t="shared" si="85"/>
        <v/>
      </c>
    </row>
    <row r="3492" spans="4:4" x14ac:dyDescent="0.3">
      <c r="D3492" t="str">
        <f t="shared" si="85"/>
        <v/>
      </c>
    </row>
    <row r="3493" spans="4:4" x14ac:dyDescent="0.3">
      <c r="D3493" t="str">
        <f t="shared" si="85"/>
        <v/>
      </c>
    </row>
    <row r="3494" spans="4:4" x14ac:dyDescent="0.3">
      <c r="D3494" t="str">
        <f t="shared" si="85"/>
        <v/>
      </c>
    </row>
    <row r="3495" spans="4:4" x14ac:dyDescent="0.3">
      <c r="D3495" t="str">
        <f t="shared" si="85"/>
        <v/>
      </c>
    </row>
    <row r="3496" spans="4:4" x14ac:dyDescent="0.3">
      <c r="D3496" t="str">
        <f t="shared" si="85"/>
        <v/>
      </c>
    </row>
    <row r="3497" spans="4:4" x14ac:dyDescent="0.3">
      <c r="D3497" t="str">
        <f t="shared" si="85"/>
        <v/>
      </c>
    </row>
    <row r="3498" spans="4:4" x14ac:dyDescent="0.3">
      <c r="D3498" t="str">
        <f t="shared" si="85"/>
        <v/>
      </c>
    </row>
    <row r="3499" spans="4:4" x14ac:dyDescent="0.3">
      <c r="D3499" t="str">
        <f t="shared" si="85"/>
        <v/>
      </c>
    </row>
    <row r="3500" spans="4:4" x14ac:dyDescent="0.3">
      <c r="D3500" t="str">
        <f t="shared" si="85"/>
        <v/>
      </c>
    </row>
    <row r="3501" spans="4:4" x14ac:dyDescent="0.3">
      <c r="D3501" t="str">
        <f t="shared" si="85"/>
        <v/>
      </c>
    </row>
    <row r="3502" spans="4:4" x14ac:dyDescent="0.3">
      <c r="D3502" t="str">
        <f t="shared" si="85"/>
        <v/>
      </c>
    </row>
    <row r="3503" spans="4:4" x14ac:dyDescent="0.3">
      <c r="D3503" t="str">
        <f t="shared" si="85"/>
        <v/>
      </c>
    </row>
    <row r="3504" spans="4:4" x14ac:dyDescent="0.3">
      <c r="D3504" t="str">
        <f t="shared" si="85"/>
        <v/>
      </c>
    </row>
    <row r="3505" spans="4:4" x14ac:dyDescent="0.3">
      <c r="D3505" t="str">
        <f t="shared" si="85"/>
        <v/>
      </c>
    </row>
    <row r="3506" spans="4:4" x14ac:dyDescent="0.3">
      <c r="D3506" t="str">
        <f t="shared" si="85"/>
        <v/>
      </c>
    </row>
    <row r="3507" spans="4:4" x14ac:dyDescent="0.3">
      <c r="D3507" t="str">
        <f t="shared" si="85"/>
        <v/>
      </c>
    </row>
    <row r="3508" spans="4:4" x14ac:dyDescent="0.3">
      <c r="D3508" t="str">
        <f t="shared" si="85"/>
        <v/>
      </c>
    </row>
    <row r="3509" spans="4:4" x14ac:dyDescent="0.3">
      <c r="D3509" t="str">
        <f t="shared" si="85"/>
        <v/>
      </c>
    </row>
    <row r="3510" spans="4:4" x14ac:dyDescent="0.3">
      <c r="D3510" t="str">
        <f t="shared" ref="D3510:D3573" si="86">IF(LEFT(A3510,2)="SP",MID(A3510,4,4),IF(LEFT(A3510,1)="X",MID(A3510,3,4),""))</f>
        <v/>
      </c>
    </row>
    <row r="3511" spans="4:4" x14ac:dyDescent="0.3">
      <c r="D3511" t="str">
        <f t="shared" si="86"/>
        <v/>
      </c>
    </row>
    <row r="3512" spans="4:4" x14ac:dyDescent="0.3">
      <c r="D3512" t="str">
        <f t="shared" si="86"/>
        <v/>
      </c>
    </row>
    <row r="3513" spans="4:4" x14ac:dyDescent="0.3">
      <c r="D3513" t="str">
        <f t="shared" si="86"/>
        <v/>
      </c>
    </row>
    <row r="3514" spans="4:4" x14ac:dyDescent="0.3">
      <c r="D3514" t="str">
        <f t="shared" si="86"/>
        <v/>
      </c>
    </row>
    <row r="3515" spans="4:4" x14ac:dyDescent="0.3">
      <c r="D3515" t="str">
        <f t="shared" si="86"/>
        <v/>
      </c>
    </row>
    <row r="3516" spans="4:4" x14ac:dyDescent="0.3">
      <c r="D3516" t="str">
        <f t="shared" si="86"/>
        <v/>
      </c>
    </row>
    <row r="3517" spans="4:4" x14ac:dyDescent="0.3">
      <c r="D3517" t="str">
        <f t="shared" si="86"/>
        <v/>
      </c>
    </row>
    <row r="3518" spans="4:4" x14ac:dyDescent="0.3">
      <c r="D3518" t="str">
        <f t="shared" si="86"/>
        <v/>
      </c>
    </row>
    <row r="3519" spans="4:4" x14ac:dyDescent="0.3">
      <c r="D3519" t="str">
        <f t="shared" si="86"/>
        <v/>
      </c>
    </row>
    <row r="3520" spans="4:4" x14ac:dyDescent="0.3">
      <c r="D3520" t="str">
        <f t="shared" si="86"/>
        <v/>
      </c>
    </row>
    <row r="3521" spans="4:4" x14ac:dyDescent="0.3">
      <c r="D3521" t="str">
        <f t="shared" si="86"/>
        <v/>
      </c>
    </row>
    <row r="3522" spans="4:4" x14ac:dyDescent="0.3">
      <c r="D3522" t="str">
        <f t="shared" si="86"/>
        <v/>
      </c>
    </row>
    <row r="3523" spans="4:4" x14ac:dyDescent="0.3">
      <c r="D3523" t="str">
        <f t="shared" si="86"/>
        <v/>
      </c>
    </row>
    <row r="3524" spans="4:4" x14ac:dyDescent="0.3">
      <c r="D3524" t="str">
        <f t="shared" si="86"/>
        <v/>
      </c>
    </row>
    <row r="3525" spans="4:4" x14ac:dyDescent="0.3">
      <c r="D3525" t="str">
        <f t="shared" si="86"/>
        <v/>
      </c>
    </row>
    <row r="3526" spans="4:4" x14ac:dyDescent="0.3">
      <c r="D3526" t="str">
        <f t="shared" si="86"/>
        <v/>
      </c>
    </row>
    <row r="3527" spans="4:4" x14ac:dyDescent="0.3">
      <c r="D3527" t="str">
        <f t="shared" si="86"/>
        <v/>
      </c>
    </row>
    <row r="3528" spans="4:4" x14ac:dyDescent="0.3">
      <c r="D3528" t="str">
        <f t="shared" si="86"/>
        <v/>
      </c>
    </row>
    <row r="3529" spans="4:4" x14ac:dyDescent="0.3">
      <c r="D3529" t="str">
        <f t="shared" si="86"/>
        <v/>
      </c>
    </row>
    <row r="3530" spans="4:4" x14ac:dyDescent="0.3">
      <c r="D3530" t="str">
        <f t="shared" si="86"/>
        <v/>
      </c>
    </row>
    <row r="3531" spans="4:4" x14ac:dyDescent="0.3">
      <c r="D3531" t="str">
        <f t="shared" si="86"/>
        <v/>
      </c>
    </row>
    <row r="3532" spans="4:4" x14ac:dyDescent="0.3">
      <c r="D3532" t="str">
        <f t="shared" si="86"/>
        <v/>
      </c>
    </row>
    <row r="3533" spans="4:4" x14ac:dyDescent="0.3">
      <c r="D3533" t="str">
        <f t="shared" si="86"/>
        <v/>
      </c>
    </row>
    <row r="3534" spans="4:4" x14ac:dyDescent="0.3">
      <c r="D3534" t="str">
        <f t="shared" si="86"/>
        <v/>
      </c>
    </row>
    <row r="3535" spans="4:4" x14ac:dyDescent="0.3">
      <c r="D3535" t="str">
        <f t="shared" si="86"/>
        <v/>
      </c>
    </row>
    <row r="3536" spans="4:4" x14ac:dyDescent="0.3">
      <c r="D3536" t="str">
        <f t="shared" si="86"/>
        <v/>
      </c>
    </row>
    <row r="3537" spans="4:4" x14ac:dyDescent="0.3">
      <c r="D3537" t="str">
        <f t="shared" si="86"/>
        <v/>
      </c>
    </row>
    <row r="3538" spans="4:4" x14ac:dyDescent="0.3">
      <c r="D3538" t="str">
        <f t="shared" si="86"/>
        <v/>
      </c>
    </row>
    <row r="3539" spans="4:4" x14ac:dyDescent="0.3">
      <c r="D3539" t="str">
        <f t="shared" si="86"/>
        <v/>
      </c>
    </row>
    <row r="3540" spans="4:4" x14ac:dyDescent="0.3">
      <c r="D3540" t="str">
        <f t="shared" si="86"/>
        <v/>
      </c>
    </row>
    <row r="3541" spans="4:4" x14ac:dyDescent="0.3">
      <c r="D3541" t="str">
        <f t="shared" si="86"/>
        <v/>
      </c>
    </row>
    <row r="3542" spans="4:4" x14ac:dyDescent="0.3">
      <c r="D3542" t="str">
        <f t="shared" si="86"/>
        <v/>
      </c>
    </row>
    <row r="3543" spans="4:4" x14ac:dyDescent="0.3">
      <c r="D3543" t="str">
        <f t="shared" si="86"/>
        <v/>
      </c>
    </row>
    <row r="3544" spans="4:4" x14ac:dyDescent="0.3">
      <c r="D3544" t="str">
        <f t="shared" si="86"/>
        <v/>
      </c>
    </row>
    <row r="3545" spans="4:4" x14ac:dyDescent="0.3">
      <c r="D3545" t="str">
        <f t="shared" si="86"/>
        <v/>
      </c>
    </row>
    <row r="3546" spans="4:4" x14ac:dyDescent="0.3">
      <c r="D3546" t="str">
        <f t="shared" si="86"/>
        <v/>
      </c>
    </row>
    <row r="3547" spans="4:4" x14ac:dyDescent="0.3">
      <c r="D3547" t="str">
        <f t="shared" si="86"/>
        <v/>
      </c>
    </row>
    <row r="3548" spans="4:4" x14ac:dyDescent="0.3">
      <c r="D3548" t="str">
        <f t="shared" si="86"/>
        <v/>
      </c>
    </row>
    <row r="3549" spans="4:4" x14ac:dyDescent="0.3">
      <c r="D3549" t="str">
        <f t="shared" si="86"/>
        <v/>
      </c>
    </row>
    <row r="3550" spans="4:4" x14ac:dyDescent="0.3">
      <c r="D3550" t="str">
        <f t="shared" si="86"/>
        <v/>
      </c>
    </row>
    <row r="3551" spans="4:4" x14ac:dyDescent="0.3">
      <c r="D3551" t="str">
        <f t="shared" si="86"/>
        <v/>
      </c>
    </row>
    <row r="3552" spans="4:4" x14ac:dyDescent="0.3">
      <c r="D3552" t="str">
        <f t="shared" si="86"/>
        <v/>
      </c>
    </row>
    <row r="3553" spans="4:4" x14ac:dyDescent="0.3">
      <c r="D3553" t="str">
        <f t="shared" si="86"/>
        <v/>
      </c>
    </row>
    <row r="3554" spans="4:4" x14ac:dyDescent="0.3">
      <c r="D3554" t="str">
        <f t="shared" si="86"/>
        <v/>
      </c>
    </row>
    <row r="3555" spans="4:4" x14ac:dyDescent="0.3">
      <c r="D3555" t="str">
        <f t="shared" si="86"/>
        <v/>
      </c>
    </row>
    <row r="3556" spans="4:4" x14ac:dyDescent="0.3">
      <c r="D3556" t="str">
        <f t="shared" si="86"/>
        <v/>
      </c>
    </row>
    <row r="3557" spans="4:4" x14ac:dyDescent="0.3">
      <c r="D3557" t="str">
        <f t="shared" si="86"/>
        <v/>
      </c>
    </row>
    <row r="3558" spans="4:4" x14ac:dyDescent="0.3">
      <c r="D3558" t="str">
        <f t="shared" si="86"/>
        <v/>
      </c>
    </row>
    <row r="3559" spans="4:4" x14ac:dyDescent="0.3">
      <c r="D3559" t="str">
        <f t="shared" si="86"/>
        <v/>
      </c>
    </row>
    <row r="3560" spans="4:4" x14ac:dyDescent="0.3">
      <c r="D3560" t="str">
        <f t="shared" si="86"/>
        <v/>
      </c>
    </row>
    <row r="3561" spans="4:4" x14ac:dyDescent="0.3">
      <c r="D3561" t="str">
        <f t="shared" si="86"/>
        <v/>
      </c>
    </row>
    <row r="3562" spans="4:4" x14ac:dyDescent="0.3">
      <c r="D3562" t="str">
        <f t="shared" si="86"/>
        <v/>
      </c>
    </row>
    <row r="3563" spans="4:4" x14ac:dyDescent="0.3">
      <c r="D3563" t="str">
        <f t="shared" si="86"/>
        <v/>
      </c>
    </row>
    <row r="3564" spans="4:4" x14ac:dyDescent="0.3">
      <c r="D3564" t="str">
        <f t="shared" si="86"/>
        <v/>
      </c>
    </row>
    <row r="3565" spans="4:4" x14ac:dyDescent="0.3">
      <c r="D3565" t="str">
        <f t="shared" si="86"/>
        <v/>
      </c>
    </row>
    <row r="3566" spans="4:4" x14ac:dyDescent="0.3">
      <c r="D3566" t="str">
        <f t="shared" si="86"/>
        <v/>
      </c>
    </row>
    <row r="3567" spans="4:4" x14ac:dyDescent="0.3">
      <c r="D3567" t="str">
        <f t="shared" si="86"/>
        <v/>
      </c>
    </row>
    <row r="3568" spans="4:4" x14ac:dyDescent="0.3">
      <c r="D3568" t="str">
        <f t="shared" si="86"/>
        <v/>
      </c>
    </row>
    <row r="3569" spans="4:4" x14ac:dyDescent="0.3">
      <c r="D3569" t="str">
        <f t="shared" si="86"/>
        <v/>
      </c>
    </row>
    <row r="3570" spans="4:4" x14ac:dyDescent="0.3">
      <c r="D3570" t="str">
        <f t="shared" si="86"/>
        <v/>
      </c>
    </row>
    <row r="3571" spans="4:4" x14ac:dyDescent="0.3">
      <c r="D3571" t="str">
        <f t="shared" si="86"/>
        <v/>
      </c>
    </row>
    <row r="3572" spans="4:4" x14ac:dyDescent="0.3">
      <c r="D3572" t="str">
        <f t="shared" si="86"/>
        <v/>
      </c>
    </row>
    <row r="3573" spans="4:4" x14ac:dyDescent="0.3">
      <c r="D3573" t="str">
        <f t="shared" si="86"/>
        <v/>
      </c>
    </row>
    <row r="3574" spans="4:4" x14ac:dyDescent="0.3">
      <c r="D3574" t="str">
        <f t="shared" ref="D3574:D3637" si="87">IF(LEFT(A3574,2)="SP",MID(A3574,4,4),IF(LEFT(A3574,1)="X",MID(A3574,3,4),""))</f>
        <v/>
      </c>
    </row>
    <row r="3575" spans="4:4" x14ac:dyDescent="0.3">
      <c r="D3575" t="str">
        <f t="shared" si="87"/>
        <v/>
      </c>
    </row>
    <row r="3576" spans="4:4" x14ac:dyDescent="0.3">
      <c r="D3576" t="str">
        <f t="shared" si="87"/>
        <v/>
      </c>
    </row>
    <row r="3577" spans="4:4" x14ac:dyDescent="0.3">
      <c r="D3577" t="str">
        <f t="shared" si="87"/>
        <v/>
      </c>
    </row>
    <row r="3578" spans="4:4" x14ac:dyDescent="0.3">
      <c r="D3578" t="str">
        <f t="shared" si="87"/>
        <v/>
      </c>
    </row>
    <row r="3579" spans="4:4" x14ac:dyDescent="0.3">
      <c r="D3579" t="str">
        <f t="shared" si="87"/>
        <v/>
      </c>
    </row>
    <row r="3580" spans="4:4" x14ac:dyDescent="0.3">
      <c r="D3580" t="str">
        <f t="shared" si="87"/>
        <v/>
      </c>
    </row>
    <row r="3581" spans="4:4" x14ac:dyDescent="0.3">
      <c r="D3581" t="str">
        <f t="shared" si="87"/>
        <v/>
      </c>
    </row>
    <row r="3582" spans="4:4" x14ac:dyDescent="0.3">
      <c r="D3582" t="str">
        <f t="shared" si="87"/>
        <v/>
      </c>
    </row>
    <row r="3583" spans="4:4" x14ac:dyDescent="0.3">
      <c r="D3583" t="str">
        <f t="shared" si="87"/>
        <v/>
      </c>
    </row>
    <row r="3584" spans="4:4" x14ac:dyDescent="0.3">
      <c r="D3584" t="str">
        <f t="shared" si="87"/>
        <v/>
      </c>
    </row>
    <row r="3585" spans="4:4" x14ac:dyDescent="0.3">
      <c r="D3585" t="str">
        <f t="shared" si="87"/>
        <v/>
      </c>
    </row>
    <row r="3586" spans="4:4" x14ac:dyDescent="0.3">
      <c r="D3586" t="str">
        <f t="shared" si="87"/>
        <v/>
      </c>
    </row>
    <row r="3587" spans="4:4" x14ac:dyDescent="0.3">
      <c r="D3587" t="str">
        <f t="shared" si="87"/>
        <v/>
      </c>
    </row>
    <row r="3588" spans="4:4" x14ac:dyDescent="0.3">
      <c r="D3588" t="str">
        <f t="shared" si="87"/>
        <v/>
      </c>
    </row>
    <row r="3589" spans="4:4" x14ac:dyDescent="0.3">
      <c r="D3589" t="str">
        <f t="shared" si="87"/>
        <v/>
      </c>
    </row>
    <row r="3590" spans="4:4" x14ac:dyDescent="0.3">
      <c r="D3590" t="str">
        <f t="shared" si="87"/>
        <v/>
      </c>
    </row>
    <row r="3591" spans="4:4" x14ac:dyDescent="0.3">
      <c r="D3591" t="str">
        <f t="shared" si="87"/>
        <v/>
      </c>
    </row>
    <row r="3592" spans="4:4" x14ac:dyDescent="0.3">
      <c r="D3592" t="str">
        <f t="shared" si="87"/>
        <v/>
      </c>
    </row>
    <row r="3593" spans="4:4" x14ac:dyDescent="0.3">
      <c r="D3593" t="str">
        <f t="shared" si="87"/>
        <v/>
      </c>
    </row>
    <row r="3594" spans="4:4" x14ac:dyDescent="0.3">
      <c r="D3594" t="str">
        <f t="shared" si="87"/>
        <v/>
      </c>
    </row>
    <row r="3595" spans="4:4" x14ac:dyDescent="0.3">
      <c r="D3595" t="str">
        <f t="shared" si="87"/>
        <v/>
      </c>
    </row>
    <row r="3596" spans="4:4" x14ac:dyDescent="0.3">
      <c r="D3596" t="str">
        <f t="shared" si="87"/>
        <v/>
      </c>
    </row>
    <row r="3597" spans="4:4" x14ac:dyDescent="0.3">
      <c r="D3597" t="str">
        <f t="shared" si="87"/>
        <v/>
      </c>
    </row>
    <row r="3598" spans="4:4" x14ac:dyDescent="0.3">
      <c r="D3598" t="str">
        <f t="shared" si="87"/>
        <v/>
      </c>
    </row>
    <row r="3599" spans="4:4" x14ac:dyDescent="0.3">
      <c r="D3599" t="str">
        <f t="shared" si="87"/>
        <v/>
      </c>
    </row>
    <row r="3600" spans="4:4" x14ac:dyDescent="0.3">
      <c r="D3600" t="str">
        <f t="shared" si="87"/>
        <v/>
      </c>
    </row>
    <row r="3601" spans="4:4" x14ac:dyDescent="0.3">
      <c r="D3601" t="str">
        <f t="shared" si="87"/>
        <v/>
      </c>
    </row>
    <row r="3602" spans="4:4" x14ac:dyDescent="0.3">
      <c r="D3602" t="str">
        <f t="shared" si="87"/>
        <v/>
      </c>
    </row>
    <row r="3603" spans="4:4" x14ac:dyDescent="0.3">
      <c r="D3603" t="str">
        <f t="shared" si="87"/>
        <v/>
      </c>
    </row>
    <row r="3604" spans="4:4" x14ac:dyDescent="0.3">
      <c r="D3604" t="str">
        <f t="shared" si="87"/>
        <v/>
      </c>
    </row>
    <row r="3605" spans="4:4" x14ac:dyDescent="0.3">
      <c r="D3605" t="str">
        <f t="shared" si="87"/>
        <v/>
      </c>
    </row>
    <row r="3606" spans="4:4" x14ac:dyDescent="0.3">
      <c r="D3606" t="str">
        <f t="shared" si="87"/>
        <v/>
      </c>
    </row>
    <row r="3607" spans="4:4" x14ac:dyDescent="0.3">
      <c r="D3607" t="str">
        <f t="shared" si="87"/>
        <v/>
      </c>
    </row>
    <row r="3608" spans="4:4" x14ac:dyDescent="0.3">
      <c r="D3608" t="str">
        <f t="shared" si="87"/>
        <v/>
      </c>
    </row>
    <row r="3609" spans="4:4" x14ac:dyDescent="0.3">
      <c r="D3609" t="str">
        <f t="shared" si="87"/>
        <v/>
      </c>
    </row>
    <row r="3610" spans="4:4" x14ac:dyDescent="0.3">
      <c r="D3610" t="str">
        <f t="shared" si="87"/>
        <v/>
      </c>
    </row>
    <row r="3611" spans="4:4" x14ac:dyDescent="0.3">
      <c r="D3611" t="str">
        <f t="shared" si="87"/>
        <v/>
      </c>
    </row>
    <row r="3612" spans="4:4" x14ac:dyDescent="0.3">
      <c r="D3612" t="str">
        <f t="shared" si="87"/>
        <v/>
      </c>
    </row>
    <row r="3613" spans="4:4" x14ac:dyDescent="0.3">
      <c r="D3613" t="str">
        <f t="shared" si="87"/>
        <v/>
      </c>
    </row>
    <row r="3614" spans="4:4" x14ac:dyDescent="0.3">
      <c r="D3614" t="str">
        <f t="shared" si="87"/>
        <v/>
      </c>
    </row>
    <row r="3615" spans="4:4" x14ac:dyDescent="0.3">
      <c r="D3615" t="str">
        <f t="shared" si="87"/>
        <v/>
      </c>
    </row>
    <row r="3616" spans="4:4" x14ac:dyDescent="0.3">
      <c r="D3616" t="str">
        <f t="shared" si="87"/>
        <v/>
      </c>
    </row>
    <row r="3617" spans="4:4" x14ac:dyDescent="0.3">
      <c r="D3617" t="str">
        <f t="shared" si="87"/>
        <v/>
      </c>
    </row>
    <row r="3618" spans="4:4" x14ac:dyDescent="0.3">
      <c r="D3618" t="str">
        <f t="shared" si="87"/>
        <v/>
      </c>
    </row>
    <row r="3619" spans="4:4" x14ac:dyDescent="0.3">
      <c r="D3619" t="str">
        <f t="shared" si="87"/>
        <v/>
      </c>
    </row>
    <row r="3620" spans="4:4" x14ac:dyDescent="0.3">
      <c r="D3620" t="str">
        <f t="shared" si="87"/>
        <v/>
      </c>
    </row>
    <row r="3621" spans="4:4" x14ac:dyDescent="0.3">
      <c r="D3621" t="str">
        <f t="shared" si="87"/>
        <v/>
      </c>
    </row>
    <row r="3622" spans="4:4" x14ac:dyDescent="0.3">
      <c r="D3622" t="str">
        <f t="shared" si="87"/>
        <v/>
      </c>
    </row>
    <row r="3623" spans="4:4" x14ac:dyDescent="0.3">
      <c r="D3623" t="str">
        <f t="shared" si="87"/>
        <v/>
      </c>
    </row>
    <row r="3624" spans="4:4" x14ac:dyDescent="0.3">
      <c r="D3624" t="str">
        <f t="shared" si="87"/>
        <v/>
      </c>
    </row>
    <row r="3625" spans="4:4" x14ac:dyDescent="0.3">
      <c r="D3625" t="str">
        <f t="shared" si="87"/>
        <v/>
      </c>
    </row>
    <row r="3626" spans="4:4" x14ac:dyDescent="0.3">
      <c r="D3626" t="str">
        <f t="shared" si="87"/>
        <v/>
      </c>
    </row>
    <row r="3627" spans="4:4" x14ac:dyDescent="0.3">
      <c r="D3627" t="str">
        <f t="shared" si="87"/>
        <v/>
      </c>
    </row>
    <row r="3628" spans="4:4" x14ac:dyDescent="0.3">
      <c r="D3628" t="str">
        <f t="shared" si="87"/>
        <v/>
      </c>
    </row>
    <row r="3629" spans="4:4" x14ac:dyDescent="0.3">
      <c r="D3629" t="str">
        <f t="shared" si="87"/>
        <v/>
      </c>
    </row>
    <row r="3630" spans="4:4" x14ac:dyDescent="0.3">
      <c r="D3630" t="str">
        <f t="shared" si="87"/>
        <v/>
      </c>
    </row>
    <row r="3631" spans="4:4" x14ac:dyDescent="0.3">
      <c r="D3631" t="str">
        <f t="shared" si="87"/>
        <v/>
      </c>
    </row>
    <row r="3632" spans="4:4" x14ac:dyDescent="0.3">
      <c r="D3632" t="str">
        <f t="shared" si="87"/>
        <v/>
      </c>
    </row>
    <row r="3633" spans="4:4" x14ac:dyDescent="0.3">
      <c r="D3633" t="str">
        <f t="shared" si="87"/>
        <v/>
      </c>
    </row>
    <row r="3634" spans="4:4" x14ac:dyDescent="0.3">
      <c r="D3634" t="str">
        <f t="shared" si="87"/>
        <v/>
      </c>
    </row>
    <row r="3635" spans="4:4" x14ac:dyDescent="0.3">
      <c r="D3635" t="str">
        <f t="shared" si="87"/>
        <v/>
      </c>
    </row>
    <row r="3636" spans="4:4" x14ac:dyDescent="0.3">
      <c r="D3636" t="str">
        <f t="shared" si="87"/>
        <v/>
      </c>
    </row>
    <row r="3637" spans="4:4" x14ac:dyDescent="0.3">
      <c r="D3637" t="str">
        <f t="shared" si="87"/>
        <v/>
      </c>
    </row>
    <row r="3638" spans="4:4" x14ac:dyDescent="0.3">
      <c r="D3638" t="str">
        <f t="shared" ref="D3638:D3701" si="88">IF(LEFT(A3638,2)="SP",MID(A3638,4,4),IF(LEFT(A3638,1)="X",MID(A3638,3,4),""))</f>
        <v/>
      </c>
    </row>
    <row r="3639" spans="4:4" x14ac:dyDescent="0.3">
      <c r="D3639" t="str">
        <f t="shared" si="88"/>
        <v/>
      </c>
    </row>
    <row r="3640" spans="4:4" x14ac:dyDescent="0.3">
      <c r="D3640" t="str">
        <f t="shared" si="88"/>
        <v/>
      </c>
    </row>
    <row r="3641" spans="4:4" x14ac:dyDescent="0.3">
      <c r="D3641" t="str">
        <f t="shared" si="88"/>
        <v/>
      </c>
    </row>
    <row r="3642" spans="4:4" x14ac:dyDescent="0.3">
      <c r="D3642" t="str">
        <f t="shared" si="88"/>
        <v/>
      </c>
    </row>
    <row r="3643" spans="4:4" x14ac:dyDescent="0.3">
      <c r="D3643" t="str">
        <f t="shared" si="88"/>
        <v/>
      </c>
    </row>
    <row r="3644" spans="4:4" x14ac:dyDescent="0.3">
      <c r="D3644" t="str">
        <f t="shared" si="88"/>
        <v/>
      </c>
    </row>
    <row r="3645" spans="4:4" x14ac:dyDescent="0.3">
      <c r="D3645" t="str">
        <f t="shared" si="88"/>
        <v/>
      </c>
    </row>
    <row r="3646" spans="4:4" x14ac:dyDescent="0.3">
      <c r="D3646" t="str">
        <f t="shared" si="88"/>
        <v/>
      </c>
    </row>
    <row r="3647" spans="4:4" x14ac:dyDescent="0.3">
      <c r="D3647" t="str">
        <f t="shared" si="88"/>
        <v/>
      </c>
    </row>
    <row r="3648" spans="4:4" x14ac:dyDescent="0.3">
      <c r="D3648" t="str">
        <f t="shared" si="88"/>
        <v/>
      </c>
    </row>
    <row r="3649" spans="4:4" x14ac:dyDescent="0.3">
      <c r="D3649" t="str">
        <f t="shared" si="88"/>
        <v/>
      </c>
    </row>
    <row r="3650" spans="4:4" x14ac:dyDescent="0.3">
      <c r="D3650" t="str">
        <f t="shared" si="88"/>
        <v/>
      </c>
    </row>
    <row r="3651" spans="4:4" x14ac:dyDescent="0.3">
      <c r="D3651" t="str">
        <f t="shared" si="88"/>
        <v/>
      </c>
    </row>
    <row r="3652" spans="4:4" x14ac:dyDescent="0.3">
      <c r="D3652" t="str">
        <f t="shared" si="88"/>
        <v/>
      </c>
    </row>
    <row r="3653" spans="4:4" x14ac:dyDescent="0.3">
      <c r="D3653" t="str">
        <f t="shared" si="88"/>
        <v/>
      </c>
    </row>
    <row r="3654" spans="4:4" x14ac:dyDescent="0.3">
      <c r="D3654" t="str">
        <f t="shared" si="88"/>
        <v/>
      </c>
    </row>
    <row r="3655" spans="4:4" x14ac:dyDescent="0.3">
      <c r="D3655" t="str">
        <f t="shared" si="88"/>
        <v/>
      </c>
    </row>
    <row r="3656" spans="4:4" x14ac:dyDescent="0.3">
      <c r="D3656" t="str">
        <f t="shared" si="88"/>
        <v/>
      </c>
    </row>
    <row r="3657" spans="4:4" x14ac:dyDescent="0.3">
      <c r="D3657" t="str">
        <f t="shared" si="88"/>
        <v/>
      </c>
    </row>
    <row r="3658" spans="4:4" x14ac:dyDescent="0.3">
      <c r="D3658" t="str">
        <f t="shared" si="88"/>
        <v/>
      </c>
    </row>
    <row r="3659" spans="4:4" x14ac:dyDescent="0.3">
      <c r="D3659" t="str">
        <f t="shared" si="88"/>
        <v/>
      </c>
    </row>
    <row r="3660" spans="4:4" x14ac:dyDescent="0.3">
      <c r="D3660" t="str">
        <f t="shared" si="88"/>
        <v/>
      </c>
    </row>
    <row r="3661" spans="4:4" x14ac:dyDescent="0.3">
      <c r="D3661" t="str">
        <f t="shared" si="88"/>
        <v/>
      </c>
    </row>
    <row r="3662" spans="4:4" x14ac:dyDescent="0.3">
      <c r="D3662" t="str">
        <f t="shared" si="88"/>
        <v/>
      </c>
    </row>
    <row r="3663" spans="4:4" x14ac:dyDescent="0.3">
      <c r="D3663" t="str">
        <f t="shared" si="88"/>
        <v/>
      </c>
    </row>
    <row r="3664" spans="4:4" x14ac:dyDescent="0.3">
      <c r="D3664" t="str">
        <f t="shared" si="88"/>
        <v/>
      </c>
    </row>
    <row r="3665" spans="4:4" x14ac:dyDescent="0.3">
      <c r="D3665" t="str">
        <f t="shared" si="88"/>
        <v/>
      </c>
    </row>
    <row r="3666" spans="4:4" x14ac:dyDescent="0.3">
      <c r="D3666" t="str">
        <f t="shared" si="88"/>
        <v/>
      </c>
    </row>
    <row r="3667" spans="4:4" x14ac:dyDescent="0.3">
      <c r="D3667" t="str">
        <f t="shared" si="88"/>
        <v/>
      </c>
    </row>
    <row r="3668" spans="4:4" x14ac:dyDescent="0.3">
      <c r="D3668" t="str">
        <f t="shared" si="88"/>
        <v/>
      </c>
    </row>
    <row r="3669" spans="4:4" x14ac:dyDescent="0.3">
      <c r="D3669" t="str">
        <f t="shared" si="88"/>
        <v/>
      </c>
    </row>
    <row r="3670" spans="4:4" x14ac:dyDescent="0.3">
      <c r="D3670" t="str">
        <f t="shared" si="88"/>
        <v/>
      </c>
    </row>
    <row r="3671" spans="4:4" x14ac:dyDescent="0.3">
      <c r="D3671" t="str">
        <f t="shared" si="88"/>
        <v/>
      </c>
    </row>
    <row r="3672" spans="4:4" x14ac:dyDescent="0.3">
      <c r="D3672" t="str">
        <f t="shared" si="88"/>
        <v/>
      </c>
    </row>
    <row r="3673" spans="4:4" x14ac:dyDescent="0.3">
      <c r="D3673" t="str">
        <f t="shared" si="88"/>
        <v/>
      </c>
    </row>
    <row r="3674" spans="4:4" x14ac:dyDescent="0.3">
      <c r="D3674" t="str">
        <f t="shared" si="88"/>
        <v/>
      </c>
    </row>
    <row r="3675" spans="4:4" x14ac:dyDescent="0.3">
      <c r="D3675" t="str">
        <f t="shared" si="88"/>
        <v/>
      </c>
    </row>
    <row r="3676" spans="4:4" x14ac:dyDescent="0.3">
      <c r="D3676" t="str">
        <f t="shared" si="88"/>
        <v/>
      </c>
    </row>
    <row r="3677" spans="4:4" x14ac:dyDescent="0.3">
      <c r="D3677" t="str">
        <f t="shared" si="88"/>
        <v/>
      </c>
    </row>
    <row r="3678" spans="4:4" x14ac:dyDescent="0.3">
      <c r="D3678" t="str">
        <f t="shared" si="88"/>
        <v/>
      </c>
    </row>
    <row r="3679" spans="4:4" x14ac:dyDescent="0.3">
      <c r="D3679" t="str">
        <f t="shared" si="88"/>
        <v/>
      </c>
    </row>
    <row r="3680" spans="4:4" x14ac:dyDescent="0.3">
      <c r="D3680" t="str">
        <f t="shared" si="88"/>
        <v/>
      </c>
    </row>
    <row r="3681" spans="4:4" x14ac:dyDescent="0.3">
      <c r="D3681" t="str">
        <f t="shared" si="88"/>
        <v/>
      </c>
    </row>
    <row r="3682" spans="4:4" x14ac:dyDescent="0.3">
      <c r="D3682" t="str">
        <f t="shared" si="88"/>
        <v/>
      </c>
    </row>
    <row r="3683" spans="4:4" x14ac:dyDescent="0.3">
      <c r="D3683" t="str">
        <f t="shared" si="88"/>
        <v/>
      </c>
    </row>
    <row r="3684" spans="4:4" x14ac:dyDescent="0.3">
      <c r="D3684" t="str">
        <f t="shared" si="88"/>
        <v/>
      </c>
    </row>
    <row r="3685" spans="4:4" x14ac:dyDescent="0.3">
      <c r="D3685" t="str">
        <f t="shared" si="88"/>
        <v/>
      </c>
    </row>
    <row r="3686" spans="4:4" x14ac:dyDescent="0.3">
      <c r="D3686" t="str">
        <f t="shared" si="88"/>
        <v/>
      </c>
    </row>
    <row r="3687" spans="4:4" x14ac:dyDescent="0.3">
      <c r="D3687" t="str">
        <f t="shared" si="88"/>
        <v/>
      </c>
    </row>
    <row r="3688" spans="4:4" x14ac:dyDescent="0.3">
      <c r="D3688" t="str">
        <f t="shared" si="88"/>
        <v/>
      </c>
    </row>
    <row r="3689" spans="4:4" x14ac:dyDescent="0.3">
      <c r="D3689" t="str">
        <f t="shared" si="88"/>
        <v/>
      </c>
    </row>
    <row r="3690" spans="4:4" x14ac:dyDescent="0.3">
      <c r="D3690" t="str">
        <f t="shared" si="88"/>
        <v/>
      </c>
    </row>
    <row r="3691" spans="4:4" x14ac:dyDescent="0.3">
      <c r="D3691" t="str">
        <f t="shared" si="88"/>
        <v/>
      </c>
    </row>
    <row r="3692" spans="4:4" x14ac:dyDescent="0.3">
      <c r="D3692" t="str">
        <f t="shared" si="88"/>
        <v/>
      </c>
    </row>
    <row r="3693" spans="4:4" x14ac:dyDescent="0.3">
      <c r="D3693" t="str">
        <f t="shared" si="88"/>
        <v/>
      </c>
    </row>
    <row r="3694" spans="4:4" x14ac:dyDescent="0.3">
      <c r="D3694" t="str">
        <f t="shared" si="88"/>
        <v/>
      </c>
    </row>
    <row r="3695" spans="4:4" x14ac:dyDescent="0.3">
      <c r="D3695" t="str">
        <f t="shared" si="88"/>
        <v/>
      </c>
    </row>
    <row r="3696" spans="4:4" x14ac:dyDescent="0.3">
      <c r="D3696" t="str">
        <f t="shared" si="88"/>
        <v/>
      </c>
    </row>
    <row r="3697" spans="4:4" x14ac:dyDescent="0.3">
      <c r="D3697" t="str">
        <f t="shared" si="88"/>
        <v/>
      </c>
    </row>
    <row r="3698" spans="4:4" x14ac:dyDescent="0.3">
      <c r="D3698" t="str">
        <f t="shared" si="88"/>
        <v/>
      </c>
    </row>
    <row r="3699" spans="4:4" x14ac:dyDescent="0.3">
      <c r="D3699" t="str">
        <f t="shared" si="88"/>
        <v/>
      </c>
    </row>
    <row r="3700" spans="4:4" x14ac:dyDescent="0.3">
      <c r="D3700" t="str">
        <f t="shared" si="88"/>
        <v/>
      </c>
    </row>
    <row r="3701" spans="4:4" x14ac:dyDescent="0.3">
      <c r="D3701" t="str">
        <f t="shared" si="88"/>
        <v/>
      </c>
    </row>
    <row r="3702" spans="4:4" x14ac:dyDescent="0.3">
      <c r="D3702" t="str">
        <f t="shared" ref="D3702:D3765" si="89">IF(LEFT(A3702,2)="SP",MID(A3702,4,4),IF(LEFT(A3702,1)="X",MID(A3702,3,4),""))</f>
        <v/>
      </c>
    </row>
    <row r="3703" spans="4:4" x14ac:dyDescent="0.3">
      <c r="D3703" t="str">
        <f t="shared" si="89"/>
        <v/>
      </c>
    </row>
    <row r="3704" spans="4:4" x14ac:dyDescent="0.3">
      <c r="D3704" t="str">
        <f t="shared" si="89"/>
        <v/>
      </c>
    </row>
    <row r="3705" spans="4:4" x14ac:dyDescent="0.3">
      <c r="D3705" t="str">
        <f t="shared" si="89"/>
        <v/>
      </c>
    </row>
    <row r="3706" spans="4:4" x14ac:dyDescent="0.3">
      <c r="D3706" t="str">
        <f t="shared" si="89"/>
        <v/>
      </c>
    </row>
    <row r="3707" spans="4:4" x14ac:dyDescent="0.3">
      <c r="D3707" t="str">
        <f t="shared" si="89"/>
        <v/>
      </c>
    </row>
    <row r="3708" spans="4:4" x14ac:dyDescent="0.3">
      <c r="D3708" t="str">
        <f t="shared" si="89"/>
        <v/>
      </c>
    </row>
    <row r="3709" spans="4:4" x14ac:dyDescent="0.3">
      <c r="D3709" t="str">
        <f t="shared" si="89"/>
        <v/>
      </c>
    </row>
    <row r="3710" spans="4:4" x14ac:dyDescent="0.3">
      <c r="D3710" t="str">
        <f t="shared" si="89"/>
        <v/>
      </c>
    </row>
    <row r="3711" spans="4:4" x14ac:dyDescent="0.3">
      <c r="D3711" t="str">
        <f t="shared" si="89"/>
        <v/>
      </c>
    </row>
    <row r="3712" spans="4:4" x14ac:dyDescent="0.3">
      <c r="D3712" t="str">
        <f t="shared" si="89"/>
        <v/>
      </c>
    </row>
    <row r="3713" spans="4:4" x14ac:dyDescent="0.3">
      <c r="D3713" t="str">
        <f t="shared" si="89"/>
        <v/>
      </c>
    </row>
    <row r="3714" spans="4:4" x14ac:dyDescent="0.3">
      <c r="D3714" t="str">
        <f t="shared" si="89"/>
        <v/>
      </c>
    </row>
    <row r="3715" spans="4:4" x14ac:dyDescent="0.3">
      <c r="D3715" t="str">
        <f t="shared" si="89"/>
        <v/>
      </c>
    </row>
    <row r="3716" spans="4:4" x14ac:dyDescent="0.3">
      <c r="D3716" t="str">
        <f t="shared" si="89"/>
        <v/>
      </c>
    </row>
    <row r="3717" spans="4:4" x14ac:dyDescent="0.3">
      <c r="D3717" t="str">
        <f t="shared" si="89"/>
        <v/>
      </c>
    </row>
    <row r="3718" spans="4:4" x14ac:dyDescent="0.3">
      <c r="D3718" t="str">
        <f t="shared" si="89"/>
        <v/>
      </c>
    </row>
    <row r="3719" spans="4:4" x14ac:dyDescent="0.3">
      <c r="D3719" t="str">
        <f t="shared" si="89"/>
        <v/>
      </c>
    </row>
    <row r="3720" spans="4:4" x14ac:dyDescent="0.3">
      <c r="D3720" t="str">
        <f t="shared" si="89"/>
        <v/>
      </c>
    </row>
    <row r="3721" spans="4:4" x14ac:dyDescent="0.3">
      <c r="D3721" t="str">
        <f t="shared" si="89"/>
        <v/>
      </c>
    </row>
    <row r="3722" spans="4:4" x14ac:dyDescent="0.3">
      <c r="D3722" t="str">
        <f t="shared" si="89"/>
        <v/>
      </c>
    </row>
    <row r="3723" spans="4:4" x14ac:dyDescent="0.3">
      <c r="D3723" t="str">
        <f t="shared" si="89"/>
        <v/>
      </c>
    </row>
    <row r="3724" spans="4:4" x14ac:dyDescent="0.3">
      <c r="D3724" t="str">
        <f t="shared" si="89"/>
        <v/>
      </c>
    </row>
    <row r="3725" spans="4:4" x14ac:dyDescent="0.3">
      <c r="D3725" t="str">
        <f t="shared" si="89"/>
        <v/>
      </c>
    </row>
    <row r="3726" spans="4:4" x14ac:dyDescent="0.3">
      <c r="D3726" t="str">
        <f t="shared" si="89"/>
        <v/>
      </c>
    </row>
    <row r="3727" spans="4:4" x14ac:dyDescent="0.3">
      <c r="D3727" t="str">
        <f t="shared" si="89"/>
        <v/>
      </c>
    </row>
    <row r="3728" spans="4:4" x14ac:dyDescent="0.3">
      <c r="D3728" t="str">
        <f t="shared" si="89"/>
        <v/>
      </c>
    </row>
    <row r="3729" spans="4:4" x14ac:dyDescent="0.3">
      <c r="D3729" t="str">
        <f t="shared" si="89"/>
        <v/>
      </c>
    </row>
    <row r="3730" spans="4:4" x14ac:dyDescent="0.3">
      <c r="D3730" t="str">
        <f t="shared" si="89"/>
        <v/>
      </c>
    </row>
    <row r="3731" spans="4:4" x14ac:dyDescent="0.3">
      <c r="D3731" t="str">
        <f t="shared" si="89"/>
        <v/>
      </c>
    </row>
    <row r="3732" spans="4:4" x14ac:dyDescent="0.3">
      <c r="D3732" t="str">
        <f t="shared" si="89"/>
        <v/>
      </c>
    </row>
    <row r="3733" spans="4:4" x14ac:dyDescent="0.3">
      <c r="D3733" t="str">
        <f t="shared" si="89"/>
        <v/>
      </c>
    </row>
    <row r="3734" spans="4:4" x14ac:dyDescent="0.3">
      <c r="D3734" t="str">
        <f t="shared" si="89"/>
        <v/>
      </c>
    </row>
    <row r="3735" spans="4:4" x14ac:dyDescent="0.3">
      <c r="D3735" t="str">
        <f t="shared" si="89"/>
        <v/>
      </c>
    </row>
    <row r="3736" spans="4:4" x14ac:dyDescent="0.3">
      <c r="D3736" t="str">
        <f t="shared" si="89"/>
        <v/>
      </c>
    </row>
    <row r="3737" spans="4:4" x14ac:dyDescent="0.3">
      <c r="D3737" t="str">
        <f t="shared" si="89"/>
        <v/>
      </c>
    </row>
    <row r="3738" spans="4:4" x14ac:dyDescent="0.3">
      <c r="D3738" t="str">
        <f t="shared" si="89"/>
        <v/>
      </c>
    </row>
    <row r="3739" spans="4:4" x14ac:dyDescent="0.3">
      <c r="D3739" t="str">
        <f t="shared" si="89"/>
        <v/>
      </c>
    </row>
    <row r="3740" spans="4:4" x14ac:dyDescent="0.3">
      <c r="D3740" t="str">
        <f t="shared" si="89"/>
        <v/>
      </c>
    </row>
    <row r="3741" spans="4:4" x14ac:dyDescent="0.3">
      <c r="D3741" t="str">
        <f t="shared" si="89"/>
        <v/>
      </c>
    </row>
    <row r="3742" spans="4:4" x14ac:dyDescent="0.3">
      <c r="D3742" t="str">
        <f t="shared" si="89"/>
        <v/>
      </c>
    </row>
    <row r="3743" spans="4:4" x14ac:dyDescent="0.3">
      <c r="D3743" t="str">
        <f t="shared" si="89"/>
        <v/>
      </c>
    </row>
    <row r="3744" spans="4:4" x14ac:dyDescent="0.3">
      <c r="D3744" t="str">
        <f t="shared" si="89"/>
        <v/>
      </c>
    </row>
    <row r="3745" spans="4:4" x14ac:dyDescent="0.3">
      <c r="D3745" t="str">
        <f t="shared" si="89"/>
        <v/>
      </c>
    </row>
    <row r="3746" spans="4:4" x14ac:dyDescent="0.3">
      <c r="D3746" t="str">
        <f t="shared" si="89"/>
        <v/>
      </c>
    </row>
    <row r="3747" spans="4:4" x14ac:dyDescent="0.3">
      <c r="D3747" t="str">
        <f t="shared" si="89"/>
        <v/>
      </c>
    </row>
    <row r="3748" spans="4:4" x14ac:dyDescent="0.3">
      <c r="D3748" t="str">
        <f t="shared" si="89"/>
        <v/>
      </c>
    </row>
    <row r="3749" spans="4:4" x14ac:dyDescent="0.3">
      <c r="D3749" t="str">
        <f t="shared" si="89"/>
        <v/>
      </c>
    </row>
    <row r="3750" spans="4:4" x14ac:dyDescent="0.3">
      <c r="D3750" t="str">
        <f t="shared" si="89"/>
        <v/>
      </c>
    </row>
    <row r="3751" spans="4:4" x14ac:dyDescent="0.3">
      <c r="D3751" t="str">
        <f t="shared" si="89"/>
        <v/>
      </c>
    </row>
    <row r="3752" spans="4:4" x14ac:dyDescent="0.3">
      <c r="D3752" t="str">
        <f t="shared" si="89"/>
        <v/>
      </c>
    </row>
    <row r="3753" spans="4:4" x14ac:dyDescent="0.3">
      <c r="D3753" t="str">
        <f t="shared" si="89"/>
        <v/>
      </c>
    </row>
    <row r="3754" spans="4:4" x14ac:dyDescent="0.3">
      <c r="D3754" t="str">
        <f t="shared" si="89"/>
        <v/>
      </c>
    </row>
    <row r="3755" spans="4:4" x14ac:dyDescent="0.3">
      <c r="D3755" t="str">
        <f t="shared" si="89"/>
        <v/>
      </c>
    </row>
    <row r="3756" spans="4:4" x14ac:dyDescent="0.3">
      <c r="D3756" t="str">
        <f t="shared" si="89"/>
        <v/>
      </c>
    </row>
    <row r="3757" spans="4:4" x14ac:dyDescent="0.3">
      <c r="D3757" t="str">
        <f t="shared" si="89"/>
        <v/>
      </c>
    </row>
    <row r="3758" spans="4:4" x14ac:dyDescent="0.3">
      <c r="D3758" t="str">
        <f t="shared" si="89"/>
        <v/>
      </c>
    </row>
    <row r="3759" spans="4:4" x14ac:dyDescent="0.3">
      <c r="D3759" t="str">
        <f t="shared" si="89"/>
        <v/>
      </c>
    </row>
    <row r="3760" spans="4:4" x14ac:dyDescent="0.3">
      <c r="D3760" t="str">
        <f t="shared" si="89"/>
        <v/>
      </c>
    </row>
    <row r="3761" spans="4:4" x14ac:dyDescent="0.3">
      <c r="D3761" t="str">
        <f t="shared" si="89"/>
        <v/>
      </c>
    </row>
    <row r="3762" spans="4:4" x14ac:dyDescent="0.3">
      <c r="D3762" t="str">
        <f t="shared" si="89"/>
        <v/>
      </c>
    </row>
    <row r="3763" spans="4:4" x14ac:dyDescent="0.3">
      <c r="D3763" t="str">
        <f t="shared" si="89"/>
        <v/>
      </c>
    </row>
    <row r="3764" spans="4:4" x14ac:dyDescent="0.3">
      <c r="D3764" t="str">
        <f t="shared" si="89"/>
        <v/>
      </c>
    </row>
    <row r="3765" spans="4:4" x14ac:dyDescent="0.3">
      <c r="D3765" t="str">
        <f t="shared" si="89"/>
        <v/>
      </c>
    </row>
    <row r="3766" spans="4:4" x14ac:dyDescent="0.3">
      <c r="D3766" t="str">
        <f t="shared" ref="D3766:D3829" si="90">IF(LEFT(A3766,2)="SP",MID(A3766,4,4),IF(LEFT(A3766,1)="X",MID(A3766,3,4),""))</f>
        <v/>
      </c>
    </row>
    <row r="3767" spans="4:4" x14ac:dyDescent="0.3">
      <c r="D3767" t="str">
        <f t="shared" si="90"/>
        <v/>
      </c>
    </row>
    <row r="3768" spans="4:4" x14ac:dyDescent="0.3">
      <c r="D3768" t="str">
        <f t="shared" si="90"/>
        <v/>
      </c>
    </row>
    <row r="3769" spans="4:4" x14ac:dyDescent="0.3">
      <c r="D3769" t="str">
        <f t="shared" si="90"/>
        <v/>
      </c>
    </row>
    <row r="3770" spans="4:4" x14ac:dyDescent="0.3">
      <c r="D3770" t="str">
        <f t="shared" si="90"/>
        <v/>
      </c>
    </row>
    <row r="3771" spans="4:4" x14ac:dyDescent="0.3">
      <c r="D3771" t="str">
        <f t="shared" si="90"/>
        <v/>
      </c>
    </row>
    <row r="3772" spans="4:4" x14ac:dyDescent="0.3">
      <c r="D3772" t="str">
        <f t="shared" si="90"/>
        <v/>
      </c>
    </row>
    <row r="3773" spans="4:4" x14ac:dyDescent="0.3">
      <c r="D3773" t="str">
        <f t="shared" si="90"/>
        <v/>
      </c>
    </row>
    <row r="3774" spans="4:4" x14ac:dyDescent="0.3">
      <c r="D3774" t="str">
        <f t="shared" si="90"/>
        <v/>
      </c>
    </row>
    <row r="3775" spans="4:4" x14ac:dyDescent="0.3">
      <c r="D3775" t="str">
        <f t="shared" si="90"/>
        <v/>
      </c>
    </row>
    <row r="3776" spans="4:4" x14ac:dyDescent="0.3">
      <c r="D3776" t="str">
        <f t="shared" si="90"/>
        <v/>
      </c>
    </row>
    <row r="3777" spans="4:4" x14ac:dyDescent="0.3">
      <c r="D3777" t="str">
        <f t="shared" si="90"/>
        <v/>
      </c>
    </row>
    <row r="3778" spans="4:4" x14ac:dyDescent="0.3">
      <c r="D3778" t="str">
        <f t="shared" si="90"/>
        <v/>
      </c>
    </row>
    <row r="3779" spans="4:4" x14ac:dyDescent="0.3">
      <c r="D3779" t="str">
        <f t="shared" si="90"/>
        <v/>
      </c>
    </row>
    <row r="3780" spans="4:4" x14ac:dyDescent="0.3">
      <c r="D3780" t="str">
        <f t="shared" si="90"/>
        <v/>
      </c>
    </row>
    <row r="3781" spans="4:4" x14ac:dyDescent="0.3">
      <c r="D3781" t="str">
        <f t="shared" si="90"/>
        <v/>
      </c>
    </row>
    <row r="3782" spans="4:4" x14ac:dyDescent="0.3">
      <c r="D3782" t="str">
        <f t="shared" si="90"/>
        <v/>
      </c>
    </row>
    <row r="3783" spans="4:4" x14ac:dyDescent="0.3">
      <c r="D3783" t="str">
        <f t="shared" si="90"/>
        <v/>
      </c>
    </row>
    <row r="3784" spans="4:4" x14ac:dyDescent="0.3">
      <c r="D3784" t="str">
        <f t="shared" si="90"/>
        <v/>
      </c>
    </row>
    <row r="3785" spans="4:4" x14ac:dyDescent="0.3">
      <c r="D3785" t="str">
        <f t="shared" si="90"/>
        <v/>
      </c>
    </row>
    <row r="3786" spans="4:4" x14ac:dyDescent="0.3">
      <c r="D3786" t="str">
        <f t="shared" si="90"/>
        <v/>
      </c>
    </row>
    <row r="3787" spans="4:4" x14ac:dyDescent="0.3">
      <c r="D3787" t="str">
        <f t="shared" si="90"/>
        <v/>
      </c>
    </row>
    <row r="3788" spans="4:4" x14ac:dyDescent="0.3">
      <c r="D3788" t="str">
        <f t="shared" si="90"/>
        <v/>
      </c>
    </row>
    <row r="3789" spans="4:4" x14ac:dyDescent="0.3">
      <c r="D3789" t="str">
        <f t="shared" si="90"/>
        <v/>
      </c>
    </row>
    <row r="3790" spans="4:4" x14ac:dyDescent="0.3">
      <c r="D3790" t="str">
        <f t="shared" si="90"/>
        <v/>
      </c>
    </row>
    <row r="3791" spans="4:4" x14ac:dyDescent="0.3">
      <c r="D3791" t="str">
        <f t="shared" si="90"/>
        <v/>
      </c>
    </row>
    <row r="3792" spans="4:4" x14ac:dyDescent="0.3">
      <c r="D3792" t="str">
        <f t="shared" si="90"/>
        <v/>
      </c>
    </row>
    <row r="3793" spans="4:4" x14ac:dyDescent="0.3">
      <c r="D3793" t="str">
        <f t="shared" si="90"/>
        <v/>
      </c>
    </row>
    <row r="3794" spans="4:4" x14ac:dyDescent="0.3">
      <c r="D3794" t="str">
        <f t="shared" si="90"/>
        <v/>
      </c>
    </row>
    <row r="3795" spans="4:4" x14ac:dyDescent="0.3">
      <c r="D3795" t="str">
        <f t="shared" si="90"/>
        <v/>
      </c>
    </row>
    <row r="3796" spans="4:4" x14ac:dyDescent="0.3">
      <c r="D3796" t="str">
        <f t="shared" si="90"/>
        <v/>
      </c>
    </row>
    <row r="3797" spans="4:4" x14ac:dyDescent="0.3">
      <c r="D3797" t="str">
        <f t="shared" si="90"/>
        <v/>
      </c>
    </row>
    <row r="3798" spans="4:4" x14ac:dyDescent="0.3">
      <c r="D3798" t="str">
        <f t="shared" si="90"/>
        <v/>
      </c>
    </row>
    <row r="3799" spans="4:4" x14ac:dyDescent="0.3">
      <c r="D3799" t="str">
        <f t="shared" si="90"/>
        <v/>
      </c>
    </row>
    <row r="3800" spans="4:4" x14ac:dyDescent="0.3">
      <c r="D3800" t="str">
        <f t="shared" si="90"/>
        <v/>
      </c>
    </row>
    <row r="3801" spans="4:4" x14ac:dyDescent="0.3">
      <c r="D3801" t="str">
        <f t="shared" si="90"/>
        <v/>
      </c>
    </row>
    <row r="3802" spans="4:4" x14ac:dyDescent="0.3">
      <c r="D3802" t="str">
        <f t="shared" si="90"/>
        <v/>
      </c>
    </row>
    <row r="3803" spans="4:4" x14ac:dyDescent="0.3">
      <c r="D3803" t="str">
        <f t="shared" si="90"/>
        <v/>
      </c>
    </row>
    <row r="3804" spans="4:4" x14ac:dyDescent="0.3">
      <c r="D3804" t="str">
        <f t="shared" si="90"/>
        <v/>
      </c>
    </row>
    <row r="3805" spans="4:4" x14ac:dyDescent="0.3">
      <c r="D3805" t="str">
        <f t="shared" si="90"/>
        <v/>
      </c>
    </row>
    <row r="3806" spans="4:4" x14ac:dyDescent="0.3">
      <c r="D3806" t="str">
        <f t="shared" si="90"/>
        <v/>
      </c>
    </row>
    <row r="3807" spans="4:4" x14ac:dyDescent="0.3">
      <c r="D3807" t="str">
        <f t="shared" si="90"/>
        <v/>
      </c>
    </row>
    <row r="3808" spans="4:4" x14ac:dyDescent="0.3">
      <c r="D3808" t="str">
        <f t="shared" si="90"/>
        <v/>
      </c>
    </row>
    <row r="3809" spans="4:4" x14ac:dyDescent="0.3">
      <c r="D3809" t="str">
        <f t="shared" si="90"/>
        <v/>
      </c>
    </row>
    <row r="3810" spans="4:4" x14ac:dyDescent="0.3">
      <c r="D3810" t="str">
        <f t="shared" si="90"/>
        <v/>
      </c>
    </row>
    <row r="3811" spans="4:4" x14ac:dyDescent="0.3">
      <c r="D3811" t="str">
        <f t="shared" si="90"/>
        <v/>
      </c>
    </row>
    <row r="3812" spans="4:4" x14ac:dyDescent="0.3">
      <c r="D3812" t="str">
        <f t="shared" si="90"/>
        <v/>
      </c>
    </row>
    <row r="3813" spans="4:4" x14ac:dyDescent="0.3">
      <c r="D3813" t="str">
        <f t="shared" si="90"/>
        <v/>
      </c>
    </row>
    <row r="3814" spans="4:4" x14ac:dyDescent="0.3">
      <c r="D3814" t="str">
        <f t="shared" si="90"/>
        <v/>
      </c>
    </row>
    <row r="3815" spans="4:4" x14ac:dyDescent="0.3">
      <c r="D3815" t="str">
        <f t="shared" si="90"/>
        <v/>
      </c>
    </row>
    <row r="3816" spans="4:4" x14ac:dyDescent="0.3">
      <c r="D3816" t="str">
        <f t="shared" si="90"/>
        <v/>
      </c>
    </row>
    <row r="3817" spans="4:4" x14ac:dyDescent="0.3">
      <c r="D3817" t="str">
        <f t="shared" si="90"/>
        <v/>
      </c>
    </row>
    <row r="3818" spans="4:4" x14ac:dyDescent="0.3">
      <c r="D3818" t="str">
        <f t="shared" si="90"/>
        <v/>
      </c>
    </row>
    <row r="3819" spans="4:4" x14ac:dyDescent="0.3">
      <c r="D3819" t="str">
        <f t="shared" si="90"/>
        <v/>
      </c>
    </row>
    <row r="3820" spans="4:4" x14ac:dyDescent="0.3">
      <c r="D3820" t="str">
        <f t="shared" si="90"/>
        <v/>
      </c>
    </row>
    <row r="3821" spans="4:4" x14ac:dyDescent="0.3">
      <c r="D3821" t="str">
        <f t="shared" si="90"/>
        <v/>
      </c>
    </row>
    <row r="3822" spans="4:4" x14ac:dyDescent="0.3">
      <c r="D3822" t="str">
        <f t="shared" si="90"/>
        <v/>
      </c>
    </row>
    <row r="3823" spans="4:4" x14ac:dyDescent="0.3">
      <c r="D3823" t="str">
        <f t="shared" si="90"/>
        <v/>
      </c>
    </row>
    <row r="3824" spans="4:4" x14ac:dyDescent="0.3">
      <c r="D3824" t="str">
        <f t="shared" si="90"/>
        <v/>
      </c>
    </row>
    <row r="3825" spans="4:4" x14ac:dyDescent="0.3">
      <c r="D3825" t="str">
        <f t="shared" si="90"/>
        <v/>
      </c>
    </row>
    <row r="3826" spans="4:4" x14ac:dyDescent="0.3">
      <c r="D3826" t="str">
        <f t="shared" si="90"/>
        <v/>
      </c>
    </row>
    <row r="3827" spans="4:4" x14ac:dyDescent="0.3">
      <c r="D3827" t="str">
        <f t="shared" si="90"/>
        <v/>
      </c>
    </row>
    <row r="3828" spans="4:4" x14ac:dyDescent="0.3">
      <c r="D3828" t="str">
        <f t="shared" si="90"/>
        <v/>
      </c>
    </row>
    <row r="3829" spans="4:4" x14ac:dyDescent="0.3">
      <c r="D3829" t="str">
        <f t="shared" si="90"/>
        <v/>
      </c>
    </row>
    <row r="3830" spans="4:4" x14ac:dyDescent="0.3">
      <c r="D3830" t="str">
        <f t="shared" ref="D3830:D3893" si="91">IF(LEFT(A3830,2)="SP",MID(A3830,4,4),IF(LEFT(A3830,1)="X",MID(A3830,3,4),""))</f>
        <v/>
      </c>
    </row>
    <row r="3831" spans="4:4" x14ac:dyDescent="0.3">
      <c r="D3831" t="str">
        <f t="shared" si="91"/>
        <v/>
      </c>
    </row>
    <row r="3832" spans="4:4" x14ac:dyDescent="0.3">
      <c r="D3832" t="str">
        <f t="shared" si="91"/>
        <v/>
      </c>
    </row>
    <row r="3833" spans="4:4" x14ac:dyDescent="0.3">
      <c r="D3833" t="str">
        <f t="shared" si="91"/>
        <v/>
      </c>
    </row>
    <row r="3834" spans="4:4" x14ac:dyDescent="0.3">
      <c r="D3834" t="str">
        <f t="shared" si="91"/>
        <v/>
      </c>
    </row>
    <row r="3835" spans="4:4" x14ac:dyDescent="0.3">
      <c r="D3835" t="str">
        <f t="shared" si="91"/>
        <v/>
      </c>
    </row>
    <row r="3836" spans="4:4" x14ac:dyDescent="0.3">
      <c r="D3836" t="str">
        <f t="shared" si="91"/>
        <v/>
      </c>
    </row>
    <row r="3837" spans="4:4" x14ac:dyDescent="0.3">
      <c r="D3837" t="str">
        <f t="shared" si="91"/>
        <v/>
      </c>
    </row>
    <row r="3838" spans="4:4" x14ac:dyDescent="0.3">
      <c r="D3838" t="str">
        <f t="shared" si="91"/>
        <v/>
      </c>
    </row>
    <row r="3839" spans="4:4" x14ac:dyDescent="0.3">
      <c r="D3839" t="str">
        <f t="shared" si="91"/>
        <v/>
      </c>
    </row>
    <row r="3840" spans="4:4" x14ac:dyDescent="0.3">
      <c r="D3840" t="str">
        <f t="shared" si="91"/>
        <v/>
      </c>
    </row>
    <row r="3841" spans="4:4" x14ac:dyDescent="0.3">
      <c r="D3841" t="str">
        <f t="shared" si="91"/>
        <v/>
      </c>
    </row>
    <row r="3842" spans="4:4" x14ac:dyDescent="0.3">
      <c r="D3842" t="str">
        <f t="shared" si="91"/>
        <v/>
      </c>
    </row>
    <row r="3843" spans="4:4" x14ac:dyDescent="0.3">
      <c r="D3843" t="str">
        <f t="shared" si="91"/>
        <v/>
      </c>
    </row>
    <row r="3844" spans="4:4" x14ac:dyDescent="0.3">
      <c r="D3844" t="str">
        <f t="shared" si="91"/>
        <v/>
      </c>
    </row>
    <row r="3845" spans="4:4" x14ac:dyDescent="0.3">
      <c r="D3845" t="str">
        <f t="shared" si="91"/>
        <v/>
      </c>
    </row>
    <row r="3846" spans="4:4" x14ac:dyDescent="0.3">
      <c r="D3846" t="str">
        <f t="shared" si="91"/>
        <v/>
      </c>
    </row>
    <row r="3847" spans="4:4" x14ac:dyDescent="0.3">
      <c r="D3847" t="str">
        <f t="shared" si="91"/>
        <v/>
      </c>
    </row>
    <row r="3848" spans="4:4" x14ac:dyDescent="0.3">
      <c r="D3848" t="str">
        <f t="shared" si="91"/>
        <v/>
      </c>
    </row>
    <row r="3849" spans="4:4" x14ac:dyDescent="0.3">
      <c r="D3849" t="str">
        <f t="shared" si="91"/>
        <v/>
      </c>
    </row>
    <row r="3850" spans="4:4" x14ac:dyDescent="0.3">
      <c r="D3850" t="str">
        <f t="shared" si="91"/>
        <v/>
      </c>
    </row>
    <row r="3851" spans="4:4" x14ac:dyDescent="0.3">
      <c r="D3851" t="str">
        <f t="shared" si="91"/>
        <v/>
      </c>
    </row>
    <row r="3852" spans="4:4" x14ac:dyDescent="0.3">
      <c r="D3852" t="str">
        <f t="shared" si="91"/>
        <v/>
      </c>
    </row>
    <row r="3853" spans="4:4" x14ac:dyDescent="0.3">
      <c r="D3853" t="str">
        <f t="shared" si="91"/>
        <v/>
      </c>
    </row>
    <row r="3854" spans="4:4" x14ac:dyDescent="0.3">
      <c r="D3854" t="str">
        <f t="shared" si="91"/>
        <v/>
      </c>
    </row>
    <row r="3855" spans="4:4" x14ac:dyDescent="0.3">
      <c r="D3855" t="str">
        <f t="shared" si="91"/>
        <v/>
      </c>
    </row>
    <row r="3856" spans="4:4" x14ac:dyDescent="0.3">
      <c r="D3856" t="str">
        <f t="shared" si="91"/>
        <v/>
      </c>
    </row>
    <row r="3857" spans="4:4" x14ac:dyDescent="0.3">
      <c r="D3857" t="str">
        <f t="shared" si="91"/>
        <v/>
      </c>
    </row>
    <row r="3858" spans="4:4" x14ac:dyDescent="0.3">
      <c r="D3858" t="str">
        <f t="shared" si="91"/>
        <v/>
      </c>
    </row>
    <row r="3859" spans="4:4" x14ac:dyDescent="0.3">
      <c r="D3859" t="str">
        <f t="shared" si="91"/>
        <v/>
      </c>
    </row>
    <row r="3860" spans="4:4" x14ac:dyDescent="0.3">
      <c r="D3860" t="str">
        <f t="shared" si="91"/>
        <v/>
      </c>
    </row>
    <row r="3861" spans="4:4" x14ac:dyDescent="0.3">
      <c r="D3861" t="str">
        <f t="shared" si="91"/>
        <v/>
      </c>
    </row>
    <row r="3862" spans="4:4" x14ac:dyDescent="0.3">
      <c r="D3862" t="str">
        <f t="shared" si="91"/>
        <v/>
      </c>
    </row>
    <row r="3863" spans="4:4" x14ac:dyDescent="0.3">
      <c r="D3863" t="str">
        <f t="shared" si="91"/>
        <v/>
      </c>
    </row>
    <row r="3864" spans="4:4" x14ac:dyDescent="0.3">
      <c r="D3864" t="str">
        <f t="shared" si="91"/>
        <v/>
      </c>
    </row>
    <row r="3865" spans="4:4" x14ac:dyDescent="0.3">
      <c r="D3865" t="str">
        <f t="shared" si="91"/>
        <v/>
      </c>
    </row>
    <row r="3866" spans="4:4" x14ac:dyDescent="0.3">
      <c r="D3866" t="str">
        <f t="shared" si="91"/>
        <v/>
      </c>
    </row>
    <row r="3867" spans="4:4" x14ac:dyDescent="0.3">
      <c r="D3867" t="str">
        <f t="shared" si="91"/>
        <v/>
      </c>
    </row>
    <row r="3868" spans="4:4" x14ac:dyDescent="0.3">
      <c r="D3868" t="str">
        <f t="shared" si="91"/>
        <v/>
      </c>
    </row>
    <row r="3869" spans="4:4" x14ac:dyDescent="0.3">
      <c r="D3869" t="str">
        <f t="shared" si="91"/>
        <v/>
      </c>
    </row>
    <row r="3870" spans="4:4" x14ac:dyDescent="0.3">
      <c r="D3870" t="str">
        <f t="shared" si="91"/>
        <v/>
      </c>
    </row>
    <row r="3871" spans="4:4" x14ac:dyDescent="0.3">
      <c r="D3871" t="str">
        <f t="shared" si="91"/>
        <v/>
      </c>
    </row>
    <row r="3872" spans="4:4" x14ac:dyDescent="0.3">
      <c r="D3872" t="str">
        <f t="shared" si="91"/>
        <v/>
      </c>
    </row>
    <row r="3873" spans="4:4" x14ac:dyDescent="0.3">
      <c r="D3873" t="str">
        <f t="shared" si="91"/>
        <v/>
      </c>
    </row>
    <row r="3874" spans="4:4" x14ac:dyDescent="0.3">
      <c r="D3874" t="str">
        <f t="shared" si="91"/>
        <v/>
      </c>
    </row>
    <row r="3875" spans="4:4" x14ac:dyDescent="0.3">
      <c r="D3875" t="str">
        <f t="shared" si="91"/>
        <v/>
      </c>
    </row>
    <row r="3876" spans="4:4" x14ac:dyDescent="0.3">
      <c r="D3876" t="str">
        <f t="shared" si="91"/>
        <v/>
      </c>
    </row>
    <row r="3877" spans="4:4" x14ac:dyDescent="0.3">
      <c r="D3877" t="str">
        <f t="shared" si="91"/>
        <v/>
      </c>
    </row>
    <row r="3878" spans="4:4" x14ac:dyDescent="0.3">
      <c r="D3878" t="str">
        <f t="shared" si="91"/>
        <v/>
      </c>
    </row>
    <row r="3879" spans="4:4" x14ac:dyDescent="0.3">
      <c r="D3879" t="str">
        <f t="shared" si="91"/>
        <v/>
      </c>
    </row>
    <row r="3880" spans="4:4" x14ac:dyDescent="0.3">
      <c r="D3880" t="str">
        <f t="shared" si="91"/>
        <v/>
      </c>
    </row>
    <row r="3881" spans="4:4" x14ac:dyDescent="0.3">
      <c r="D3881" t="str">
        <f t="shared" si="91"/>
        <v/>
      </c>
    </row>
    <row r="3882" spans="4:4" x14ac:dyDescent="0.3">
      <c r="D3882" t="str">
        <f t="shared" si="91"/>
        <v/>
      </c>
    </row>
    <row r="3883" spans="4:4" x14ac:dyDescent="0.3">
      <c r="D3883" t="str">
        <f t="shared" si="91"/>
        <v/>
      </c>
    </row>
    <row r="3884" spans="4:4" x14ac:dyDescent="0.3">
      <c r="D3884" t="str">
        <f t="shared" si="91"/>
        <v/>
      </c>
    </row>
    <row r="3885" spans="4:4" x14ac:dyDescent="0.3">
      <c r="D3885" t="str">
        <f t="shared" si="91"/>
        <v/>
      </c>
    </row>
    <row r="3886" spans="4:4" x14ac:dyDescent="0.3">
      <c r="D3886" t="str">
        <f t="shared" si="91"/>
        <v/>
      </c>
    </row>
    <row r="3887" spans="4:4" x14ac:dyDescent="0.3">
      <c r="D3887" t="str">
        <f t="shared" si="91"/>
        <v/>
      </c>
    </row>
    <row r="3888" spans="4:4" x14ac:dyDescent="0.3">
      <c r="D3888" t="str">
        <f t="shared" si="91"/>
        <v/>
      </c>
    </row>
    <row r="3889" spans="4:4" x14ac:dyDescent="0.3">
      <c r="D3889" t="str">
        <f t="shared" si="91"/>
        <v/>
      </c>
    </row>
    <row r="3890" spans="4:4" x14ac:dyDescent="0.3">
      <c r="D3890" t="str">
        <f t="shared" si="91"/>
        <v/>
      </c>
    </row>
    <row r="3891" spans="4:4" x14ac:dyDescent="0.3">
      <c r="D3891" t="str">
        <f t="shared" si="91"/>
        <v/>
      </c>
    </row>
    <row r="3892" spans="4:4" x14ac:dyDescent="0.3">
      <c r="D3892" t="str">
        <f t="shared" si="91"/>
        <v/>
      </c>
    </row>
    <row r="3893" spans="4:4" x14ac:dyDescent="0.3">
      <c r="D3893" t="str">
        <f t="shared" si="91"/>
        <v/>
      </c>
    </row>
    <row r="3894" spans="4:4" x14ac:dyDescent="0.3">
      <c r="D3894" t="str">
        <f t="shared" ref="D3894:D3957" si="92">IF(LEFT(A3894,2)="SP",MID(A3894,4,4),IF(LEFT(A3894,1)="X",MID(A3894,3,4),""))</f>
        <v/>
      </c>
    </row>
    <row r="3895" spans="4:4" x14ac:dyDescent="0.3">
      <c r="D3895" t="str">
        <f t="shared" si="92"/>
        <v/>
      </c>
    </row>
    <row r="3896" spans="4:4" x14ac:dyDescent="0.3">
      <c r="D3896" t="str">
        <f t="shared" si="92"/>
        <v/>
      </c>
    </row>
    <row r="3897" spans="4:4" x14ac:dyDescent="0.3">
      <c r="D3897" t="str">
        <f t="shared" si="92"/>
        <v/>
      </c>
    </row>
    <row r="3898" spans="4:4" x14ac:dyDescent="0.3">
      <c r="D3898" t="str">
        <f t="shared" si="92"/>
        <v/>
      </c>
    </row>
    <row r="3899" spans="4:4" x14ac:dyDescent="0.3">
      <c r="D3899" t="str">
        <f t="shared" si="92"/>
        <v/>
      </c>
    </row>
    <row r="3900" spans="4:4" x14ac:dyDescent="0.3">
      <c r="D3900" t="str">
        <f t="shared" si="92"/>
        <v/>
      </c>
    </row>
    <row r="3901" spans="4:4" x14ac:dyDescent="0.3">
      <c r="D3901" t="str">
        <f t="shared" si="92"/>
        <v/>
      </c>
    </row>
    <row r="3902" spans="4:4" x14ac:dyDescent="0.3">
      <c r="D3902" t="str">
        <f t="shared" si="92"/>
        <v/>
      </c>
    </row>
    <row r="3903" spans="4:4" x14ac:dyDescent="0.3">
      <c r="D3903" t="str">
        <f t="shared" si="92"/>
        <v/>
      </c>
    </row>
    <row r="3904" spans="4:4" x14ac:dyDescent="0.3">
      <c r="D3904" t="str">
        <f t="shared" si="92"/>
        <v/>
      </c>
    </row>
    <row r="3905" spans="4:4" x14ac:dyDescent="0.3">
      <c r="D3905" t="str">
        <f t="shared" si="92"/>
        <v/>
      </c>
    </row>
    <row r="3906" spans="4:4" x14ac:dyDescent="0.3">
      <c r="D3906" t="str">
        <f t="shared" si="92"/>
        <v/>
      </c>
    </row>
    <row r="3907" spans="4:4" x14ac:dyDescent="0.3">
      <c r="D3907" t="str">
        <f t="shared" si="92"/>
        <v/>
      </c>
    </row>
    <row r="3908" spans="4:4" x14ac:dyDescent="0.3">
      <c r="D3908" t="str">
        <f t="shared" si="92"/>
        <v/>
      </c>
    </row>
    <row r="3909" spans="4:4" x14ac:dyDescent="0.3">
      <c r="D3909" t="str">
        <f t="shared" si="92"/>
        <v/>
      </c>
    </row>
    <row r="3910" spans="4:4" x14ac:dyDescent="0.3">
      <c r="D3910" t="str">
        <f t="shared" si="92"/>
        <v/>
      </c>
    </row>
    <row r="3911" spans="4:4" x14ac:dyDescent="0.3">
      <c r="D3911" t="str">
        <f t="shared" si="92"/>
        <v/>
      </c>
    </row>
    <row r="3912" spans="4:4" x14ac:dyDescent="0.3">
      <c r="D3912" t="str">
        <f t="shared" si="92"/>
        <v/>
      </c>
    </row>
    <row r="3913" spans="4:4" x14ac:dyDescent="0.3">
      <c r="D3913" t="str">
        <f t="shared" si="92"/>
        <v/>
      </c>
    </row>
    <row r="3914" spans="4:4" x14ac:dyDescent="0.3">
      <c r="D3914" t="str">
        <f t="shared" si="92"/>
        <v/>
      </c>
    </row>
    <row r="3915" spans="4:4" x14ac:dyDescent="0.3">
      <c r="D3915" t="str">
        <f t="shared" si="92"/>
        <v/>
      </c>
    </row>
    <row r="3916" spans="4:4" x14ac:dyDescent="0.3">
      <c r="D3916" t="str">
        <f t="shared" si="92"/>
        <v/>
      </c>
    </row>
    <row r="3917" spans="4:4" x14ac:dyDescent="0.3">
      <c r="D3917" t="str">
        <f t="shared" si="92"/>
        <v/>
      </c>
    </row>
    <row r="3918" spans="4:4" x14ac:dyDescent="0.3">
      <c r="D3918" t="str">
        <f t="shared" si="92"/>
        <v/>
      </c>
    </row>
    <row r="3919" spans="4:4" x14ac:dyDescent="0.3">
      <c r="D3919" t="str">
        <f t="shared" si="92"/>
        <v/>
      </c>
    </row>
    <row r="3920" spans="4:4" x14ac:dyDescent="0.3">
      <c r="D3920" t="str">
        <f t="shared" si="92"/>
        <v/>
      </c>
    </row>
    <row r="3921" spans="4:4" x14ac:dyDescent="0.3">
      <c r="D3921" t="str">
        <f t="shared" si="92"/>
        <v/>
      </c>
    </row>
    <row r="3922" spans="4:4" x14ac:dyDescent="0.3">
      <c r="D3922" t="str">
        <f t="shared" si="92"/>
        <v/>
      </c>
    </row>
    <row r="3923" spans="4:4" x14ac:dyDescent="0.3">
      <c r="D3923" t="str">
        <f t="shared" si="92"/>
        <v/>
      </c>
    </row>
    <row r="3924" spans="4:4" x14ac:dyDescent="0.3">
      <c r="D3924" t="str">
        <f t="shared" si="92"/>
        <v/>
      </c>
    </row>
    <row r="3925" spans="4:4" x14ac:dyDescent="0.3">
      <c r="D3925" t="str">
        <f t="shared" si="92"/>
        <v/>
      </c>
    </row>
    <row r="3926" spans="4:4" x14ac:dyDescent="0.3">
      <c r="D3926" t="str">
        <f t="shared" si="92"/>
        <v/>
      </c>
    </row>
    <row r="3927" spans="4:4" x14ac:dyDescent="0.3">
      <c r="D3927" t="str">
        <f t="shared" si="92"/>
        <v/>
      </c>
    </row>
    <row r="3928" spans="4:4" x14ac:dyDescent="0.3">
      <c r="D3928" t="str">
        <f t="shared" si="92"/>
        <v/>
      </c>
    </row>
    <row r="3929" spans="4:4" x14ac:dyDescent="0.3">
      <c r="D3929" t="str">
        <f t="shared" si="92"/>
        <v/>
      </c>
    </row>
    <row r="3930" spans="4:4" x14ac:dyDescent="0.3">
      <c r="D3930" t="str">
        <f t="shared" si="92"/>
        <v/>
      </c>
    </row>
    <row r="3931" spans="4:4" x14ac:dyDescent="0.3">
      <c r="D3931" t="str">
        <f t="shared" si="92"/>
        <v/>
      </c>
    </row>
    <row r="3932" spans="4:4" x14ac:dyDescent="0.3">
      <c r="D3932" t="str">
        <f t="shared" si="92"/>
        <v/>
      </c>
    </row>
    <row r="3933" spans="4:4" x14ac:dyDescent="0.3">
      <c r="D3933" t="str">
        <f t="shared" si="92"/>
        <v/>
      </c>
    </row>
    <row r="3934" spans="4:4" x14ac:dyDescent="0.3">
      <c r="D3934" t="str">
        <f t="shared" si="92"/>
        <v/>
      </c>
    </row>
    <row r="3935" spans="4:4" x14ac:dyDescent="0.3">
      <c r="D3935" t="str">
        <f t="shared" si="92"/>
        <v/>
      </c>
    </row>
    <row r="3936" spans="4:4" x14ac:dyDescent="0.3">
      <c r="D3936" t="str">
        <f t="shared" si="92"/>
        <v/>
      </c>
    </row>
    <row r="3937" spans="4:4" x14ac:dyDescent="0.3">
      <c r="D3937" t="str">
        <f t="shared" si="92"/>
        <v/>
      </c>
    </row>
    <row r="3938" spans="4:4" x14ac:dyDescent="0.3">
      <c r="D3938" t="str">
        <f t="shared" si="92"/>
        <v/>
      </c>
    </row>
    <row r="3939" spans="4:4" x14ac:dyDescent="0.3">
      <c r="D3939" t="str">
        <f t="shared" si="92"/>
        <v/>
      </c>
    </row>
    <row r="3940" spans="4:4" x14ac:dyDescent="0.3">
      <c r="D3940" t="str">
        <f t="shared" si="92"/>
        <v/>
      </c>
    </row>
    <row r="3941" spans="4:4" x14ac:dyDescent="0.3">
      <c r="D3941" t="str">
        <f t="shared" si="92"/>
        <v/>
      </c>
    </row>
    <row r="3942" spans="4:4" x14ac:dyDescent="0.3">
      <c r="D3942" t="str">
        <f t="shared" si="92"/>
        <v/>
      </c>
    </row>
    <row r="3943" spans="4:4" x14ac:dyDescent="0.3">
      <c r="D3943" t="str">
        <f t="shared" si="92"/>
        <v/>
      </c>
    </row>
    <row r="3944" spans="4:4" x14ac:dyDescent="0.3">
      <c r="D3944" t="str">
        <f t="shared" si="92"/>
        <v/>
      </c>
    </row>
    <row r="3945" spans="4:4" x14ac:dyDescent="0.3">
      <c r="D3945" t="str">
        <f t="shared" si="92"/>
        <v/>
      </c>
    </row>
    <row r="3946" spans="4:4" x14ac:dyDescent="0.3">
      <c r="D3946" t="str">
        <f t="shared" si="92"/>
        <v/>
      </c>
    </row>
    <row r="3947" spans="4:4" x14ac:dyDescent="0.3">
      <c r="D3947" t="str">
        <f t="shared" si="92"/>
        <v/>
      </c>
    </row>
    <row r="3948" spans="4:4" x14ac:dyDescent="0.3">
      <c r="D3948" t="str">
        <f t="shared" si="92"/>
        <v/>
      </c>
    </row>
    <row r="3949" spans="4:4" x14ac:dyDescent="0.3">
      <c r="D3949" t="str">
        <f t="shared" si="92"/>
        <v/>
      </c>
    </row>
    <row r="3950" spans="4:4" x14ac:dyDescent="0.3">
      <c r="D3950" t="str">
        <f t="shared" si="92"/>
        <v/>
      </c>
    </row>
    <row r="3951" spans="4:4" x14ac:dyDescent="0.3">
      <c r="D3951" t="str">
        <f t="shared" si="92"/>
        <v/>
      </c>
    </row>
    <row r="3952" spans="4:4" x14ac:dyDescent="0.3">
      <c r="D3952" t="str">
        <f t="shared" si="92"/>
        <v/>
      </c>
    </row>
    <row r="3953" spans="4:4" x14ac:dyDescent="0.3">
      <c r="D3953" t="str">
        <f t="shared" si="92"/>
        <v/>
      </c>
    </row>
    <row r="3954" spans="4:4" x14ac:dyDescent="0.3">
      <c r="D3954" t="str">
        <f t="shared" si="92"/>
        <v/>
      </c>
    </row>
    <row r="3955" spans="4:4" x14ac:dyDescent="0.3">
      <c r="D3955" t="str">
        <f t="shared" si="92"/>
        <v/>
      </c>
    </row>
    <row r="3956" spans="4:4" x14ac:dyDescent="0.3">
      <c r="D3956" t="str">
        <f t="shared" si="92"/>
        <v/>
      </c>
    </row>
    <row r="3957" spans="4:4" x14ac:dyDescent="0.3">
      <c r="D3957" t="str">
        <f t="shared" si="92"/>
        <v/>
      </c>
    </row>
    <row r="3958" spans="4:4" x14ac:dyDescent="0.3">
      <c r="D3958" t="str">
        <f t="shared" ref="D3958:D4021" si="93">IF(LEFT(A3958,2)="SP",MID(A3958,4,4),IF(LEFT(A3958,1)="X",MID(A3958,3,4),""))</f>
        <v/>
      </c>
    </row>
    <row r="3959" spans="4:4" x14ac:dyDescent="0.3">
      <c r="D3959" t="str">
        <f t="shared" si="93"/>
        <v/>
      </c>
    </row>
    <row r="3960" spans="4:4" x14ac:dyDescent="0.3">
      <c r="D3960" t="str">
        <f t="shared" si="93"/>
        <v/>
      </c>
    </row>
    <row r="3961" spans="4:4" x14ac:dyDescent="0.3">
      <c r="D3961" t="str">
        <f t="shared" si="93"/>
        <v/>
      </c>
    </row>
    <row r="3962" spans="4:4" x14ac:dyDescent="0.3">
      <c r="D3962" t="str">
        <f t="shared" si="93"/>
        <v/>
      </c>
    </row>
    <row r="3963" spans="4:4" x14ac:dyDescent="0.3">
      <c r="D3963" t="str">
        <f t="shared" si="93"/>
        <v/>
      </c>
    </row>
    <row r="3964" spans="4:4" x14ac:dyDescent="0.3">
      <c r="D3964" t="str">
        <f t="shared" si="93"/>
        <v/>
      </c>
    </row>
    <row r="3965" spans="4:4" x14ac:dyDescent="0.3">
      <c r="D3965" t="str">
        <f t="shared" si="93"/>
        <v/>
      </c>
    </row>
    <row r="3966" spans="4:4" x14ac:dyDescent="0.3">
      <c r="D3966" t="str">
        <f t="shared" si="93"/>
        <v/>
      </c>
    </row>
    <row r="3967" spans="4:4" x14ac:dyDescent="0.3">
      <c r="D3967" t="str">
        <f t="shared" si="93"/>
        <v/>
      </c>
    </row>
    <row r="3968" spans="4:4" x14ac:dyDescent="0.3">
      <c r="D3968" t="str">
        <f t="shared" si="93"/>
        <v/>
      </c>
    </row>
    <row r="3969" spans="4:4" x14ac:dyDescent="0.3">
      <c r="D3969" t="str">
        <f t="shared" si="93"/>
        <v/>
      </c>
    </row>
    <row r="3970" spans="4:4" x14ac:dyDescent="0.3">
      <c r="D3970" t="str">
        <f t="shared" si="93"/>
        <v/>
      </c>
    </row>
    <row r="3971" spans="4:4" x14ac:dyDescent="0.3">
      <c r="D3971" t="str">
        <f t="shared" si="93"/>
        <v/>
      </c>
    </row>
    <row r="3972" spans="4:4" x14ac:dyDescent="0.3">
      <c r="D3972" t="str">
        <f t="shared" si="93"/>
        <v/>
      </c>
    </row>
    <row r="3973" spans="4:4" x14ac:dyDescent="0.3">
      <c r="D3973" t="str">
        <f t="shared" si="93"/>
        <v/>
      </c>
    </row>
    <row r="3974" spans="4:4" x14ac:dyDescent="0.3">
      <c r="D3974" t="str">
        <f t="shared" si="93"/>
        <v/>
      </c>
    </row>
    <row r="3975" spans="4:4" x14ac:dyDescent="0.3">
      <c r="D3975" t="str">
        <f t="shared" si="93"/>
        <v/>
      </c>
    </row>
    <row r="3976" spans="4:4" x14ac:dyDescent="0.3">
      <c r="D3976" t="str">
        <f t="shared" si="93"/>
        <v/>
      </c>
    </row>
    <row r="3977" spans="4:4" x14ac:dyDescent="0.3">
      <c r="D3977" t="str">
        <f t="shared" si="93"/>
        <v/>
      </c>
    </row>
    <row r="3978" spans="4:4" x14ac:dyDescent="0.3">
      <c r="D3978" t="str">
        <f t="shared" si="93"/>
        <v/>
      </c>
    </row>
    <row r="3979" spans="4:4" x14ac:dyDescent="0.3">
      <c r="D3979" t="str">
        <f t="shared" si="93"/>
        <v/>
      </c>
    </row>
    <row r="3980" spans="4:4" x14ac:dyDescent="0.3">
      <c r="D3980" t="str">
        <f t="shared" si="93"/>
        <v/>
      </c>
    </row>
    <row r="3981" spans="4:4" x14ac:dyDescent="0.3">
      <c r="D3981" t="str">
        <f t="shared" si="93"/>
        <v/>
      </c>
    </row>
    <row r="3982" spans="4:4" x14ac:dyDescent="0.3">
      <c r="D3982" t="str">
        <f t="shared" si="93"/>
        <v/>
      </c>
    </row>
    <row r="3983" spans="4:4" x14ac:dyDescent="0.3">
      <c r="D3983" t="str">
        <f t="shared" si="93"/>
        <v/>
      </c>
    </row>
    <row r="3984" spans="4:4" x14ac:dyDescent="0.3">
      <c r="D3984" t="str">
        <f t="shared" si="93"/>
        <v/>
      </c>
    </row>
    <row r="3985" spans="4:4" x14ac:dyDescent="0.3">
      <c r="D3985" t="str">
        <f t="shared" si="93"/>
        <v/>
      </c>
    </row>
    <row r="3986" spans="4:4" x14ac:dyDescent="0.3">
      <c r="D3986" t="str">
        <f t="shared" si="93"/>
        <v/>
      </c>
    </row>
    <row r="3987" spans="4:4" x14ac:dyDescent="0.3">
      <c r="D3987" t="str">
        <f t="shared" si="93"/>
        <v/>
      </c>
    </row>
    <row r="3988" spans="4:4" x14ac:dyDescent="0.3">
      <c r="D3988" t="str">
        <f t="shared" si="93"/>
        <v/>
      </c>
    </row>
    <row r="3989" spans="4:4" x14ac:dyDescent="0.3">
      <c r="D3989" t="str">
        <f t="shared" si="93"/>
        <v/>
      </c>
    </row>
    <row r="3990" spans="4:4" x14ac:dyDescent="0.3">
      <c r="D3990" t="str">
        <f t="shared" si="93"/>
        <v/>
      </c>
    </row>
    <row r="3991" spans="4:4" x14ac:dyDescent="0.3">
      <c r="D3991" t="str">
        <f t="shared" si="93"/>
        <v/>
      </c>
    </row>
    <row r="3992" spans="4:4" x14ac:dyDescent="0.3">
      <c r="D3992" t="str">
        <f t="shared" si="93"/>
        <v/>
      </c>
    </row>
    <row r="3993" spans="4:4" x14ac:dyDescent="0.3">
      <c r="D3993" t="str">
        <f t="shared" si="93"/>
        <v/>
      </c>
    </row>
    <row r="3994" spans="4:4" x14ac:dyDescent="0.3">
      <c r="D3994" t="str">
        <f t="shared" si="93"/>
        <v/>
      </c>
    </row>
    <row r="3995" spans="4:4" x14ac:dyDescent="0.3">
      <c r="D3995" t="str">
        <f t="shared" si="93"/>
        <v/>
      </c>
    </row>
    <row r="3996" spans="4:4" x14ac:dyDescent="0.3">
      <c r="D3996" t="str">
        <f t="shared" si="93"/>
        <v/>
      </c>
    </row>
    <row r="3997" spans="4:4" x14ac:dyDescent="0.3">
      <c r="D3997" t="str">
        <f t="shared" si="93"/>
        <v/>
      </c>
    </row>
    <row r="3998" spans="4:4" x14ac:dyDescent="0.3">
      <c r="D3998" t="str">
        <f t="shared" si="93"/>
        <v/>
      </c>
    </row>
    <row r="3999" spans="4:4" x14ac:dyDescent="0.3">
      <c r="D3999" t="str">
        <f t="shared" si="93"/>
        <v/>
      </c>
    </row>
    <row r="4000" spans="4:4" x14ac:dyDescent="0.3">
      <c r="D4000" t="str">
        <f t="shared" si="93"/>
        <v/>
      </c>
    </row>
    <row r="4001" spans="4:4" x14ac:dyDescent="0.3">
      <c r="D4001" t="str">
        <f t="shared" si="93"/>
        <v/>
      </c>
    </row>
    <row r="4002" spans="4:4" x14ac:dyDescent="0.3">
      <c r="D4002" t="str">
        <f t="shared" si="93"/>
        <v/>
      </c>
    </row>
    <row r="4003" spans="4:4" x14ac:dyDescent="0.3">
      <c r="D4003" t="str">
        <f t="shared" si="93"/>
        <v/>
      </c>
    </row>
    <row r="4004" spans="4:4" x14ac:dyDescent="0.3">
      <c r="D4004" t="str">
        <f t="shared" si="93"/>
        <v/>
      </c>
    </row>
    <row r="4005" spans="4:4" x14ac:dyDescent="0.3">
      <c r="D4005" t="str">
        <f t="shared" si="93"/>
        <v/>
      </c>
    </row>
    <row r="4006" spans="4:4" x14ac:dyDescent="0.3">
      <c r="D4006" t="str">
        <f t="shared" si="93"/>
        <v/>
      </c>
    </row>
    <row r="4007" spans="4:4" x14ac:dyDescent="0.3">
      <c r="D4007" t="str">
        <f t="shared" si="93"/>
        <v/>
      </c>
    </row>
    <row r="4008" spans="4:4" x14ac:dyDescent="0.3">
      <c r="D4008" t="str">
        <f t="shared" si="93"/>
        <v/>
      </c>
    </row>
    <row r="4009" spans="4:4" x14ac:dyDescent="0.3">
      <c r="D4009" t="str">
        <f t="shared" si="93"/>
        <v/>
      </c>
    </row>
    <row r="4010" spans="4:4" x14ac:dyDescent="0.3">
      <c r="D4010" t="str">
        <f t="shared" si="93"/>
        <v/>
      </c>
    </row>
    <row r="4011" spans="4:4" x14ac:dyDescent="0.3">
      <c r="D4011" t="str">
        <f t="shared" si="93"/>
        <v/>
      </c>
    </row>
    <row r="4012" spans="4:4" x14ac:dyDescent="0.3">
      <c r="D4012" t="str">
        <f t="shared" si="93"/>
        <v/>
      </c>
    </row>
    <row r="4013" spans="4:4" x14ac:dyDescent="0.3">
      <c r="D4013" t="str">
        <f t="shared" si="93"/>
        <v/>
      </c>
    </row>
    <row r="4014" spans="4:4" x14ac:dyDescent="0.3">
      <c r="D4014" t="str">
        <f t="shared" si="93"/>
        <v/>
      </c>
    </row>
    <row r="4015" spans="4:4" x14ac:dyDescent="0.3">
      <c r="D4015" t="str">
        <f t="shared" si="93"/>
        <v/>
      </c>
    </row>
    <row r="4016" spans="4:4" x14ac:dyDescent="0.3">
      <c r="D4016" t="str">
        <f t="shared" si="93"/>
        <v/>
      </c>
    </row>
    <row r="4017" spans="4:4" x14ac:dyDescent="0.3">
      <c r="D4017" t="str">
        <f t="shared" si="93"/>
        <v/>
      </c>
    </row>
    <row r="4018" spans="4:4" x14ac:dyDescent="0.3">
      <c r="D4018" t="str">
        <f t="shared" si="93"/>
        <v/>
      </c>
    </row>
    <row r="4019" spans="4:4" x14ac:dyDescent="0.3">
      <c r="D4019" t="str">
        <f t="shared" si="93"/>
        <v/>
      </c>
    </row>
    <row r="4020" spans="4:4" x14ac:dyDescent="0.3">
      <c r="D4020" t="str">
        <f t="shared" si="93"/>
        <v/>
      </c>
    </row>
    <row r="4021" spans="4:4" x14ac:dyDescent="0.3">
      <c r="D4021" t="str">
        <f t="shared" si="93"/>
        <v/>
      </c>
    </row>
    <row r="4022" spans="4:4" x14ac:dyDescent="0.3">
      <c r="D4022" t="str">
        <f t="shared" ref="D4022:D4085" si="94">IF(LEFT(A4022,2)="SP",MID(A4022,4,4),IF(LEFT(A4022,1)="X",MID(A4022,3,4),""))</f>
        <v/>
      </c>
    </row>
    <row r="4023" spans="4:4" x14ac:dyDescent="0.3">
      <c r="D4023" t="str">
        <f t="shared" si="94"/>
        <v/>
      </c>
    </row>
    <row r="4024" spans="4:4" x14ac:dyDescent="0.3">
      <c r="D4024" t="str">
        <f t="shared" si="94"/>
        <v/>
      </c>
    </row>
    <row r="4025" spans="4:4" x14ac:dyDescent="0.3">
      <c r="D4025" t="str">
        <f t="shared" si="94"/>
        <v/>
      </c>
    </row>
    <row r="4026" spans="4:4" x14ac:dyDescent="0.3">
      <c r="D4026" t="str">
        <f t="shared" si="94"/>
        <v/>
      </c>
    </row>
    <row r="4027" spans="4:4" x14ac:dyDescent="0.3">
      <c r="D4027" t="str">
        <f t="shared" si="94"/>
        <v/>
      </c>
    </row>
    <row r="4028" spans="4:4" x14ac:dyDescent="0.3">
      <c r="D4028" t="str">
        <f t="shared" si="94"/>
        <v/>
      </c>
    </row>
    <row r="4029" spans="4:4" x14ac:dyDescent="0.3">
      <c r="D4029" t="str">
        <f t="shared" si="94"/>
        <v/>
      </c>
    </row>
    <row r="4030" spans="4:4" x14ac:dyDescent="0.3">
      <c r="D4030" t="str">
        <f t="shared" si="94"/>
        <v/>
      </c>
    </row>
    <row r="4031" spans="4:4" x14ac:dyDescent="0.3">
      <c r="D4031" t="str">
        <f t="shared" si="94"/>
        <v/>
      </c>
    </row>
    <row r="4032" spans="4:4" x14ac:dyDescent="0.3">
      <c r="D4032" t="str">
        <f t="shared" si="94"/>
        <v/>
      </c>
    </row>
    <row r="4033" spans="4:4" x14ac:dyDescent="0.3">
      <c r="D4033" t="str">
        <f t="shared" si="94"/>
        <v/>
      </c>
    </row>
    <row r="4034" spans="4:4" x14ac:dyDescent="0.3">
      <c r="D4034" t="str">
        <f t="shared" si="94"/>
        <v/>
      </c>
    </row>
    <row r="4035" spans="4:4" x14ac:dyDescent="0.3">
      <c r="D4035" t="str">
        <f t="shared" si="94"/>
        <v/>
      </c>
    </row>
    <row r="4036" spans="4:4" x14ac:dyDescent="0.3">
      <c r="D4036" t="str">
        <f t="shared" si="94"/>
        <v/>
      </c>
    </row>
    <row r="4037" spans="4:4" x14ac:dyDescent="0.3">
      <c r="D4037" t="str">
        <f t="shared" si="94"/>
        <v/>
      </c>
    </row>
    <row r="4038" spans="4:4" x14ac:dyDescent="0.3">
      <c r="D4038" t="str">
        <f t="shared" si="94"/>
        <v/>
      </c>
    </row>
    <row r="4039" spans="4:4" x14ac:dyDescent="0.3">
      <c r="D4039" t="str">
        <f t="shared" si="94"/>
        <v/>
      </c>
    </row>
    <row r="4040" spans="4:4" x14ac:dyDescent="0.3">
      <c r="D4040" t="str">
        <f t="shared" si="94"/>
        <v/>
      </c>
    </row>
    <row r="4041" spans="4:4" x14ac:dyDescent="0.3">
      <c r="D4041" t="str">
        <f t="shared" si="94"/>
        <v/>
      </c>
    </row>
    <row r="4042" spans="4:4" x14ac:dyDescent="0.3">
      <c r="D4042" t="str">
        <f t="shared" si="94"/>
        <v/>
      </c>
    </row>
    <row r="4043" spans="4:4" x14ac:dyDescent="0.3">
      <c r="D4043" t="str">
        <f t="shared" si="94"/>
        <v/>
      </c>
    </row>
    <row r="4044" spans="4:4" x14ac:dyDescent="0.3">
      <c r="D4044" t="str">
        <f t="shared" si="94"/>
        <v/>
      </c>
    </row>
    <row r="4045" spans="4:4" x14ac:dyDescent="0.3">
      <c r="D4045" t="str">
        <f t="shared" si="94"/>
        <v/>
      </c>
    </row>
    <row r="4046" spans="4:4" x14ac:dyDescent="0.3">
      <c r="D4046" t="str">
        <f t="shared" si="94"/>
        <v/>
      </c>
    </row>
    <row r="4047" spans="4:4" x14ac:dyDescent="0.3">
      <c r="D4047" t="str">
        <f t="shared" si="94"/>
        <v/>
      </c>
    </row>
    <row r="4048" spans="4:4" x14ac:dyDescent="0.3">
      <c r="D4048" t="str">
        <f t="shared" si="94"/>
        <v/>
      </c>
    </row>
    <row r="4049" spans="4:4" x14ac:dyDescent="0.3">
      <c r="D4049" t="str">
        <f t="shared" si="94"/>
        <v/>
      </c>
    </row>
    <row r="4050" spans="4:4" x14ac:dyDescent="0.3">
      <c r="D4050" t="str">
        <f t="shared" si="94"/>
        <v/>
      </c>
    </row>
    <row r="4051" spans="4:4" x14ac:dyDescent="0.3">
      <c r="D4051" t="str">
        <f t="shared" si="94"/>
        <v/>
      </c>
    </row>
    <row r="4052" spans="4:4" x14ac:dyDescent="0.3">
      <c r="D4052" t="str">
        <f t="shared" si="94"/>
        <v/>
      </c>
    </row>
    <row r="4053" spans="4:4" x14ac:dyDescent="0.3">
      <c r="D4053" t="str">
        <f t="shared" si="94"/>
        <v/>
      </c>
    </row>
    <row r="4054" spans="4:4" x14ac:dyDescent="0.3">
      <c r="D4054" t="str">
        <f t="shared" si="94"/>
        <v/>
      </c>
    </row>
    <row r="4055" spans="4:4" x14ac:dyDescent="0.3">
      <c r="D4055" t="str">
        <f t="shared" si="94"/>
        <v/>
      </c>
    </row>
    <row r="4056" spans="4:4" x14ac:dyDescent="0.3">
      <c r="D4056" t="str">
        <f t="shared" si="94"/>
        <v/>
      </c>
    </row>
    <row r="4057" spans="4:4" x14ac:dyDescent="0.3">
      <c r="D4057" t="str">
        <f t="shared" si="94"/>
        <v/>
      </c>
    </row>
    <row r="4058" spans="4:4" x14ac:dyDescent="0.3">
      <c r="D4058" t="str">
        <f t="shared" si="94"/>
        <v/>
      </c>
    </row>
    <row r="4059" spans="4:4" x14ac:dyDescent="0.3">
      <c r="D4059" t="str">
        <f t="shared" si="94"/>
        <v/>
      </c>
    </row>
    <row r="4060" spans="4:4" x14ac:dyDescent="0.3">
      <c r="D4060" t="str">
        <f t="shared" si="94"/>
        <v/>
      </c>
    </row>
    <row r="4061" spans="4:4" x14ac:dyDescent="0.3">
      <c r="D4061" t="str">
        <f t="shared" si="94"/>
        <v/>
      </c>
    </row>
    <row r="4062" spans="4:4" x14ac:dyDescent="0.3">
      <c r="D4062" t="str">
        <f t="shared" si="94"/>
        <v/>
      </c>
    </row>
    <row r="4063" spans="4:4" x14ac:dyDescent="0.3">
      <c r="D4063" t="str">
        <f t="shared" si="94"/>
        <v/>
      </c>
    </row>
    <row r="4064" spans="4:4" x14ac:dyDescent="0.3">
      <c r="D4064" t="str">
        <f t="shared" si="94"/>
        <v/>
      </c>
    </row>
    <row r="4065" spans="4:4" x14ac:dyDescent="0.3">
      <c r="D4065" t="str">
        <f t="shared" si="94"/>
        <v/>
      </c>
    </row>
    <row r="4066" spans="4:4" x14ac:dyDescent="0.3">
      <c r="D4066" t="str">
        <f t="shared" si="94"/>
        <v/>
      </c>
    </row>
    <row r="4067" spans="4:4" x14ac:dyDescent="0.3">
      <c r="D4067" t="str">
        <f t="shared" si="94"/>
        <v/>
      </c>
    </row>
    <row r="4068" spans="4:4" x14ac:dyDescent="0.3">
      <c r="D4068" t="str">
        <f t="shared" si="94"/>
        <v/>
      </c>
    </row>
    <row r="4069" spans="4:4" x14ac:dyDescent="0.3">
      <c r="D4069" t="str">
        <f t="shared" si="94"/>
        <v/>
      </c>
    </row>
    <row r="4070" spans="4:4" x14ac:dyDescent="0.3">
      <c r="D4070" t="str">
        <f t="shared" si="94"/>
        <v/>
      </c>
    </row>
    <row r="4071" spans="4:4" x14ac:dyDescent="0.3">
      <c r="D4071" t="str">
        <f t="shared" si="94"/>
        <v/>
      </c>
    </row>
    <row r="4072" spans="4:4" x14ac:dyDescent="0.3">
      <c r="D4072" t="str">
        <f t="shared" si="94"/>
        <v/>
      </c>
    </row>
    <row r="4073" spans="4:4" x14ac:dyDescent="0.3">
      <c r="D4073" t="str">
        <f t="shared" si="94"/>
        <v/>
      </c>
    </row>
    <row r="4074" spans="4:4" x14ac:dyDescent="0.3">
      <c r="D4074" t="str">
        <f t="shared" si="94"/>
        <v/>
      </c>
    </row>
    <row r="4075" spans="4:4" x14ac:dyDescent="0.3">
      <c r="D4075" t="str">
        <f t="shared" si="94"/>
        <v/>
      </c>
    </row>
    <row r="4076" spans="4:4" x14ac:dyDescent="0.3">
      <c r="D4076" t="str">
        <f t="shared" si="94"/>
        <v/>
      </c>
    </row>
    <row r="4077" spans="4:4" x14ac:dyDescent="0.3">
      <c r="D4077" t="str">
        <f t="shared" si="94"/>
        <v/>
      </c>
    </row>
    <row r="4078" spans="4:4" x14ac:dyDescent="0.3">
      <c r="D4078" t="str">
        <f t="shared" si="94"/>
        <v/>
      </c>
    </row>
    <row r="4079" spans="4:4" x14ac:dyDescent="0.3">
      <c r="D4079" t="str">
        <f t="shared" si="94"/>
        <v/>
      </c>
    </row>
    <row r="4080" spans="4:4" x14ac:dyDescent="0.3">
      <c r="D4080" t="str">
        <f t="shared" si="94"/>
        <v/>
      </c>
    </row>
    <row r="4081" spans="4:4" x14ac:dyDescent="0.3">
      <c r="D4081" t="str">
        <f t="shared" si="94"/>
        <v/>
      </c>
    </row>
    <row r="4082" spans="4:4" x14ac:dyDescent="0.3">
      <c r="D4082" t="str">
        <f t="shared" si="94"/>
        <v/>
      </c>
    </row>
    <row r="4083" spans="4:4" x14ac:dyDescent="0.3">
      <c r="D4083" t="str">
        <f t="shared" si="94"/>
        <v/>
      </c>
    </row>
    <row r="4084" spans="4:4" x14ac:dyDescent="0.3">
      <c r="D4084" t="str">
        <f t="shared" si="94"/>
        <v/>
      </c>
    </row>
    <row r="4085" spans="4:4" x14ac:dyDescent="0.3">
      <c r="D4085" t="str">
        <f t="shared" si="94"/>
        <v/>
      </c>
    </row>
    <row r="4086" spans="4:4" x14ac:dyDescent="0.3">
      <c r="D4086" t="str">
        <f t="shared" ref="D4086:D4149" si="95">IF(LEFT(A4086,2)="SP",MID(A4086,4,4),IF(LEFT(A4086,1)="X",MID(A4086,3,4),""))</f>
        <v/>
      </c>
    </row>
    <row r="4087" spans="4:4" x14ac:dyDescent="0.3">
      <c r="D4087" t="str">
        <f t="shared" si="95"/>
        <v/>
      </c>
    </row>
    <row r="4088" spans="4:4" x14ac:dyDescent="0.3">
      <c r="D4088" t="str">
        <f t="shared" si="95"/>
        <v/>
      </c>
    </row>
    <row r="4089" spans="4:4" x14ac:dyDescent="0.3">
      <c r="D4089" t="str">
        <f t="shared" si="95"/>
        <v/>
      </c>
    </row>
    <row r="4090" spans="4:4" x14ac:dyDescent="0.3">
      <c r="D4090" t="str">
        <f t="shared" si="95"/>
        <v/>
      </c>
    </row>
    <row r="4091" spans="4:4" x14ac:dyDescent="0.3">
      <c r="D4091" t="str">
        <f t="shared" si="95"/>
        <v/>
      </c>
    </row>
    <row r="4092" spans="4:4" x14ac:dyDescent="0.3">
      <c r="D4092" t="str">
        <f t="shared" si="95"/>
        <v/>
      </c>
    </row>
    <row r="4093" spans="4:4" x14ac:dyDescent="0.3">
      <c r="D4093" t="str">
        <f t="shared" si="95"/>
        <v/>
      </c>
    </row>
    <row r="4094" spans="4:4" x14ac:dyDescent="0.3">
      <c r="D4094" t="str">
        <f t="shared" si="95"/>
        <v/>
      </c>
    </row>
    <row r="4095" spans="4:4" x14ac:dyDescent="0.3">
      <c r="D4095" t="str">
        <f t="shared" si="95"/>
        <v/>
      </c>
    </row>
    <row r="4096" spans="4:4" x14ac:dyDescent="0.3">
      <c r="D4096" t="str">
        <f t="shared" si="95"/>
        <v/>
      </c>
    </row>
    <row r="4097" spans="4:4" x14ac:dyDescent="0.3">
      <c r="D4097" t="str">
        <f t="shared" si="95"/>
        <v/>
      </c>
    </row>
    <row r="4098" spans="4:4" x14ac:dyDescent="0.3">
      <c r="D4098" t="str">
        <f t="shared" si="95"/>
        <v/>
      </c>
    </row>
    <row r="4099" spans="4:4" x14ac:dyDescent="0.3">
      <c r="D4099" t="str">
        <f t="shared" si="95"/>
        <v/>
      </c>
    </row>
    <row r="4100" spans="4:4" x14ac:dyDescent="0.3">
      <c r="D4100" t="str">
        <f t="shared" si="95"/>
        <v/>
      </c>
    </row>
    <row r="4101" spans="4:4" x14ac:dyDescent="0.3">
      <c r="D4101" t="str">
        <f t="shared" si="95"/>
        <v/>
      </c>
    </row>
    <row r="4102" spans="4:4" x14ac:dyDescent="0.3">
      <c r="D4102" t="str">
        <f t="shared" si="95"/>
        <v/>
      </c>
    </row>
    <row r="4103" spans="4:4" x14ac:dyDescent="0.3">
      <c r="D4103" t="str">
        <f t="shared" si="95"/>
        <v/>
      </c>
    </row>
    <row r="4104" spans="4:4" x14ac:dyDescent="0.3">
      <c r="D4104" t="str">
        <f t="shared" si="95"/>
        <v/>
      </c>
    </row>
    <row r="4105" spans="4:4" x14ac:dyDescent="0.3">
      <c r="D4105" t="str">
        <f t="shared" si="95"/>
        <v/>
      </c>
    </row>
    <row r="4106" spans="4:4" x14ac:dyDescent="0.3">
      <c r="D4106" t="str">
        <f t="shared" si="95"/>
        <v/>
      </c>
    </row>
    <row r="4107" spans="4:4" x14ac:dyDescent="0.3">
      <c r="D4107" t="str">
        <f t="shared" si="95"/>
        <v/>
      </c>
    </row>
    <row r="4108" spans="4:4" x14ac:dyDescent="0.3">
      <c r="D4108" t="str">
        <f t="shared" si="95"/>
        <v/>
      </c>
    </row>
    <row r="4109" spans="4:4" x14ac:dyDescent="0.3">
      <c r="D4109" t="str">
        <f t="shared" si="95"/>
        <v/>
      </c>
    </row>
    <row r="4110" spans="4:4" x14ac:dyDescent="0.3">
      <c r="D4110" t="str">
        <f t="shared" si="95"/>
        <v/>
      </c>
    </row>
    <row r="4111" spans="4:4" x14ac:dyDescent="0.3">
      <c r="D4111" t="str">
        <f t="shared" si="95"/>
        <v/>
      </c>
    </row>
    <row r="4112" spans="4:4" x14ac:dyDescent="0.3">
      <c r="D4112" t="str">
        <f t="shared" si="95"/>
        <v/>
      </c>
    </row>
    <row r="4113" spans="4:4" x14ac:dyDescent="0.3">
      <c r="D4113" t="str">
        <f t="shared" si="95"/>
        <v/>
      </c>
    </row>
    <row r="4114" spans="4:4" x14ac:dyDescent="0.3">
      <c r="D4114" t="str">
        <f t="shared" si="95"/>
        <v/>
      </c>
    </row>
    <row r="4115" spans="4:4" x14ac:dyDescent="0.3">
      <c r="D4115" t="str">
        <f t="shared" si="95"/>
        <v/>
      </c>
    </row>
    <row r="4116" spans="4:4" x14ac:dyDescent="0.3">
      <c r="D4116" t="str">
        <f t="shared" si="95"/>
        <v/>
      </c>
    </row>
    <row r="4117" spans="4:4" x14ac:dyDescent="0.3">
      <c r="D4117" t="str">
        <f t="shared" si="95"/>
        <v/>
      </c>
    </row>
    <row r="4118" spans="4:4" x14ac:dyDescent="0.3">
      <c r="D4118" t="str">
        <f t="shared" si="95"/>
        <v/>
      </c>
    </row>
    <row r="4119" spans="4:4" x14ac:dyDescent="0.3">
      <c r="D4119" t="str">
        <f t="shared" si="95"/>
        <v/>
      </c>
    </row>
    <row r="4120" spans="4:4" x14ac:dyDescent="0.3">
      <c r="D4120" t="str">
        <f t="shared" si="95"/>
        <v/>
      </c>
    </row>
    <row r="4121" spans="4:4" x14ac:dyDescent="0.3">
      <c r="D4121" t="str">
        <f t="shared" si="95"/>
        <v/>
      </c>
    </row>
    <row r="4122" spans="4:4" x14ac:dyDescent="0.3">
      <c r="D4122" t="str">
        <f t="shared" si="95"/>
        <v/>
      </c>
    </row>
    <row r="4123" spans="4:4" x14ac:dyDescent="0.3">
      <c r="D4123" t="str">
        <f t="shared" si="95"/>
        <v/>
      </c>
    </row>
    <row r="4124" spans="4:4" x14ac:dyDescent="0.3">
      <c r="D4124" t="str">
        <f t="shared" si="95"/>
        <v/>
      </c>
    </row>
    <row r="4125" spans="4:4" x14ac:dyDescent="0.3">
      <c r="D4125" t="str">
        <f t="shared" si="95"/>
        <v/>
      </c>
    </row>
    <row r="4126" spans="4:4" x14ac:dyDescent="0.3">
      <c r="D4126" t="str">
        <f t="shared" si="95"/>
        <v/>
      </c>
    </row>
    <row r="4127" spans="4:4" x14ac:dyDescent="0.3">
      <c r="D4127" t="str">
        <f t="shared" si="95"/>
        <v/>
      </c>
    </row>
    <row r="4128" spans="4:4" x14ac:dyDescent="0.3">
      <c r="D4128" t="str">
        <f t="shared" si="95"/>
        <v/>
      </c>
    </row>
    <row r="4129" spans="4:4" x14ac:dyDescent="0.3">
      <c r="D4129" t="str">
        <f t="shared" si="95"/>
        <v/>
      </c>
    </row>
    <row r="4130" spans="4:4" x14ac:dyDescent="0.3">
      <c r="D4130" t="str">
        <f t="shared" si="95"/>
        <v/>
      </c>
    </row>
    <row r="4131" spans="4:4" x14ac:dyDescent="0.3">
      <c r="D4131" t="str">
        <f t="shared" si="95"/>
        <v/>
      </c>
    </row>
    <row r="4132" spans="4:4" x14ac:dyDescent="0.3">
      <c r="D4132" t="str">
        <f t="shared" si="95"/>
        <v/>
      </c>
    </row>
    <row r="4133" spans="4:4" x14ac:dyDescent="0.3">
      <c r="D4133" t="str">
        <f t="shared" si="95"/>
        <v/>
      </c>
    </row>
    <row r="4134" spans="4:4" x14ac:dyDescent="0.3">
      <c r="D4134" t="str">
        <f t="shared" si="95"/>
        <v/>
      </c>
    </row>
    <row r="4135" spans="4:4" x14ac:dyDescent="0.3">
      <c r="D4135" t="str">
        <f t="shared" si="95"/>
        <v/>
      </c>
    </row>
    <row r="4136" spans="4:4" x14ac:dyDescent="0.3">
      <c r="D4136" t="str">
        <f t="shared" si="95"/>
        <v/>
      </c>
    </row>
    <row r="4137" spans="4:4" x14ac:dyDescent="0.3">
      <c r="D4137" t="str">
        <f t="shared" si="95"/>
        <v/>
      </c>
    </row>
    <row r="4138" spans="4:4" x14ac:dyDescent="0.3">
      <c r="D4138" t="str">
        <f t="shared" si="95"/>
        <v/>
      </c>
    </row>
    <row r="4139" spans="4:4" x14ac:dyDescent="0.3">
      <c r="D4139" t="str">
        <f t="shared" si="95"/>
        <v/>
      </c>
    </row>
    <row r="4140" spans="4:4" x14ac:dyDescent="0.3">
      <c r="D4140" t="str">
        <f t="shared" si="95"/>
        <v/>
      </c>
    </row>
    <row r="4141" spans="4:4" x14ac:dyDescent="0.3">
      <c r="D4141" t="str">
        <f t="shared" si="95"/>
        <v/>
      </c>
    </row>
    <row r="4142" spans="4:4" x14ac:dyDescent="0.3">
      <c r="D4142" t="str">
        <f t="shared" si="95"/>
        <v/>
      </c>
    </row>
    <row r="4143" spans="4:4" x14ac:dyDescent="0.3">
      <c r="D4143" t="str">
        <f t="shared" si="95"/>
        <v/>
      </c>
    </row>
    <row r="4144" spans="4:4" x14ac:dyDescent="0.3">
      <c r="D4144" t="str">
        <f t="shared" si="95"/>
        <v/>
      </c>
    </row>
    <row r="4145" spans="4:4" x14ac:dyDescent="0.3">
      <c r="D4145" t="str">
        <f t="shared" si="95"/>
        <v/>
      </c>
    </row>
    <row r="4146" spans="4:4" x14ac:dyDescent="0.3">
      <c r="D4146" t="str">
        <f t="shared" si="95"/>
        <v/>
      </c>
    </row>
    <row r="4147" spans="4:4" x14ac:dyDescent="0.3">
      <c r="D4147" t="str">
        <f t="shared" si="95"/>
        <v/>
      </c>
    </row>
    <row r="4148" spans="4:4" x14ac:dyDescent="0.3">
      <c r="D4148" t="str">
        <f t="shared" si="95"/>
        <v/>
      </c>
    </row>
    <row r="4149" spans="4:4" x14ac:dyDescent="0.3">
      <c r="D4149" t="str">
        <f t="shared" si="95"/>
        <v/>
      </c>
    </row>
    <row r="4150" spans="4:4" x14ac:dyDescent="0.3">
      <c r="D4150" t="str">
        <f t="shared" ref="D4150:D4213" si="96">IF(LEFT(A4150,2)="SP",MID(A4150,4,4),IF(LEFT(A4150,1)="X",MID(A4150,3,4),""))</f>
        <v/>
      </c>
    </row>
    <row r="4151" spans="4:4" x14ac:dyDescent="0.3">
      <c r="D4151" t="str">
        <f t="shared" si="96"/>
        <v/>
      </c>
    </row>
    <row r="4152" spans="4:4" x14ac:dyDescent="0.3">
      <c r="D4152" t="str">
        <f t="shared" si="96"/>
        <v/>
      </c>
    </row>
    <row r="4153" spans="4:4" x14ac:dyDescent="0.3">
      <c r="D4153" t="str">
        <f t="shared" si="96"/>
        <v/>
      </c>
    </row>
    <row r="4154" spans="4:4" x14ac:dyDescent="0.3">
      <c r="D4154" t="str">
        <f t="shared" si="96"/>
        <v/>
      </c>
    </row>
    <row r="4155" spans="4:4" x14ac:dyDescent="0.3">
      <c r="D4155" t="str">
        <f t="shared" si="96"/>
        <v/>
      </c>
    </row>
    <row r="4156" spans="4:4" x14ac:dyDescent="0.3">
      <c r="D4156" t="str">
        <f t="shared" si="96"/>
        <v/>
      </c>
    </row>
    <row r="4157" spans="4:4" x14ac:dyDescent="0.3">
      <c r="D4157" t="str">
        <f t="shared" si="96"/>
        <v/>
      </c>
    </row>
    <row r="4158" spans="4:4" x14ac:dyDescent="0.3">
      <c r="D4158" t="str">
        <f t="shared" si="96"/>
        <v/>
      </c>
    </row>
    <row r="4159" spans="4:4" x14ac:dyDescent="0.3">
      <c r="D4159" t="str">
        <f t="shared" si="96"/>
        <v/>
      </c>
    </row>
    <row r="4160" spans="4:4" x14ac:dyDescent="0.3">
      <c r="D4160" t="str">
        <f t="shared" si="96"/>
        <v/>
      </c>
    </row>
    <row r="4161" spans="4:4" x14ac:dyDescent="0.3">
      <c r="D4161" t="str">
        <f t="shared" si="96"/>
        <v/>
      </c>
    </row>
    <row r="4162" spans="4:4" x14ac:dyDescent="0.3">
      <c r="D4162" t="str">
        <f t="shared" si="96"/>
        <v/>
      </c>
    </row>
    <row r="4163" spans="4:4" x14ac:dyDescent="0.3">
      <c r="D4163" t="str">
        <f t="shared" si="96"/>
        <v/>
      </c>
    </row>
    <row r="4164" spans="4:4" x14ac:dyDescent="0.3">
      <c r="D4164" t="str">
        <f t="shared" si="96"/>
        <v/>
      </c>
    </row>
    <row r="4165" spans="4:4" x14ac:dyDescent="0.3">
      <c r="D4165" t="str">
        <f t="shared" si="96"/>
        <v/>
      </c>
    </row>
    <row r="4166" spans="4:4" x14ac:dyDescent="0.3">
      <c r="D4166" t="str">
        <f t="shared" si="96"/>
        <v/>
      </c>
    </row>
    <row r="4167" spans="4:4" x14ac:dyDescent="0.3">
      <c r="D4167" t="str">
        <f t="shared" si="96"/>
        <v/>
      </c>
    </row>
    <row r="4168" spans="4:4" x14ac:dyDescent="0.3">
      <c r="D4168" t="str">
        <f t="shared" si="96"/>
        <v/>
      </c>
    </row>
    <row r="4169" spans="4:4" x14ac:dyDescent="0.3">
      <c r="D4169" t="str">
        <f t="shared" si="96"/>
        <v/>
      </c>
    </row>
    <row r="4170" spans="4:4" x14ac:dyDescent="0.3">
      <c r="D4170" t="str">
        <f t="shared" si="96"/>
        <v/>
      </c>
    </row>
    <row r="4171" spans="4:4" x14ac:dyDescent="0.3">
      <c r="D4171" t="str">
        <f t="shared" si="96"/>
        <v/>
      </c>
    </row>
    <row r="4172" spans="4:4" x14ac:dyDescent="0.3">
      <c r="D4172" t="str">
        <f t="shared" si="96"/>
        <v/>
      </c>
    </row>
    <row r="4173" spans="4:4" x14ac:dyDescent="0.3">
      <c r="D4173" t="str">
        <f t="shared" si="96"/>
        <v/>
      </c>
    </row>
    <row r="4174" spans="4:4" x14ac:dyDescent="0.3">
      <c r="D4174" t="str">
        <f t="shared" si="96"/>
        <v/>
      </c>
    </row>
    <row r="4175" spans="4:4" x14ac:dyDescent="0.3">
      <c r="D4175" t="str">
        <f t="shared" si="96"/>
        <v/>
      </c>
    </row>
    <row r="4176" spans="4:4" x14ac:dyDescent="0.3">
      <c r="D4176" t="str">
        <f t="shared" si="96"/>
        <v/>
      </c>
    </row>
    <row r="4177" spans="4:4" x14ac:dyDescent="0.3">
      <c r="D4177" t="str">
        <f t="shared" si="96"/>
        <v/>
      </c>
    </row>
    <row r="4178" spans="4:4" x14ac:dyDescent="0.3">
      <c r="D4178" t="str">
        <f t="shared" si="96"/>
        <v/>
      </c>
    </row>
    <row r="4179" spans="4:4" x14ac:dyDescent="0.3">
      <c r="D4179" t="str">
        <f t="shared" si="96"/>
        <v/>
      </c>
    </row>
    <row r="4180" spans="4:4" x14ac:dyDescent="0.3">
      <c r="D4180" t="str">
        <f t="shared" si="96"/>
        <v/>
      </c>
    </row>
    <row r="4181" spans="4:4" x14ac:dyDescent="0.3">
      <c r="D4181" t="str">
        <f t="shared" si="96"/>
        <v/>
      </c>
    </row>
    <row r="4182" spans="4:4" x14ac:dyDescent="0.3">
      <c r="D4182" t="str">
        <f t="shared" si="96"/>
        <v/>
      </c>
    </row>
    <row r="4183" spans="4:4" x14ac:dyDescent="0.3">
      <c r="D4183" t="str">
        <f t="shared" si="96"/>
        <v/>
      </c>
    </row>
    <row r="4184" spans="4:4" x14ac:dyDescent="0.3">
      <c r="D4184" t="str">
        <f t="shared" si="96"/>
        <v/>
      </c>
    </row>
    <row r="4185" spans="4:4" x14ac:dyDescent="0.3">
      <c r="D4185" t="str">
        <f t="shared" si="96"/>
        <v/>
      </c>
    </row>
    <row r="4186" spans="4:4" x14ac:dyDescent="0.3">
      <c r="D4186" t="str">
        <f t="shared" si="96"/>
        <v/>
      </c>
    </row>
    <row r="4187" spans="4:4" x14ac:dyDescent="0.3">
      <c r="D4187" t="str">
        <f t="shared" si="96"/>
        <v/>
      </c>
    </row>
    <row r="4188" spans="4:4" x14ac:dyDescent="0.3">
      <c r="D4188" t="str">
        <f t="shared" si="96"/>
        <v/>
      </c>
    </row>
    <row r="4189" spans="4:4" x14ac:dyDescent="0.3">
      <c r="D4189" t="str">
        <f t="shared" si="96"/>
        <v/>
      </c>
    </row>
    <row r="4190" spans="4:4" x14ac:dyDescent="0.3">
      <c r="D4190" t="str">
        <f t="shared" si="96"/>
        <v/>
      </c>
    </row>
    <row r="4191" spans="4:4" x14ac:dyDescent="0.3">
      <c r="D4191" t="str">
        <f t="shared" si="96"/>
        <v/>
      </c>
    </row>
    <row r="4192" spans="4:4" x14ac:dyDescent="0.3">
      <c r="D4192" t="str">
        <f t="shared" si="96"/>
        <v/>
      </c>
    </row>
    <row r="4193" spans="4:4" x14ac:dyDescent="0.3">
      <c r="D4193" t="str">
        <f t="shared" si="96"/>
        <v/>
      </c>
    </row>
    <row r="4194" spans="4:4" x14ac:dyDescent="0.3">
      <c r="D4194" t="str">
        <f t="shared" si="96"/>
        <v/>
      </c>
    </row>
    <row r="4195" spans="4:4" x14ac:dyDescent="0.3">
      <c r="D4195" t="str">
        <f t="shared" si="96"/>
        <v/>
      </c>
    </row>
    <row r="4196" spans="4:4" x14ac:dyDescent="0.3">
      <c r="D4196" t="str">
        <f t="shared" si="96"/>
        <v/>
      </c>
    </row>
    <row r="4197" spans="4:4" x14ac:dyDescent="0.3">
      <c r="D4197" t="str">
        <f t="shared" si="96"/>
        <v/>
      </c>
    </row>
    <row r="4198" spans="4:4" x14ac:dyDescent="0.3">
      <c r="D4198" t="str">
        <f t="shared" si="96"/>
        <v/>
      </c>
    </row>
    <row r="4199" spans="4:4" x14ac:dyDescent="0.3">
      <c r="D4199" t="str">
        <f t="shared" si="96"/>
        <v/>
      </c>
    </row>
    <row r="4200" spans="4:4" x14ac:dyDescent="0.3">
      <c r="D4200" t="str">
        <f t="shared" si="96"/>
        <v/>
      </c>
    </row>
    <row r="4201" spans="4:4" x14ac:dyDescent="0.3">
      <c r="D4201" t="str">
        <f t="shared" si="96"/>
        <v/>
      </c>
    </row>
    <row r="4202" spans="4:4" x14ac:dyDescent="0.3">
      <c r="D4202" t="str">
        <f t="shared" si="96"/>
        <v/>
      </c>
    </row>
    <row r="4203" spans="4:4" x14ac:dyDescent="0.3">
      <c r="D4203" t="str">
        <f t="shared" si="96"/>
        <v/>
      </c>
    </row>
    <row r="4204" spans="4:4" x14ac:dyDescent="0.3">
      <c r="D4204" t="str">
        <f t="shared" si="96"/>
        <v/>
      </c>
    </row>
    <row r="4205" spans="4:4" x14ac:dyDescent="0.3">
      <c r="D4205" t="str">
        <f t="shared" si="96"/>
        <v/>
      </c>
    </row>
    <row r="4206" spans="4:4" x14ac:dyDescent="0.3">
      <c r="D4206" t="str">
        <f t="shared" si="96"/>
        <v/>
      </c>
    </row>
    <row r="4207" spans="4:4" x14ac:dyDescent="0.3">
      <c r="D4207" t="str">
        <f t="shared" si="96"/>
        <v/>
      </c>
    </row>
    <row r="4208" spans="4:4" x14ac:dyDescent="0.3">
      <c r="D4208" t="str">
        <f t="shared" si="96"/>
        <v/>
      </c>
    </row>
    <row r="4209" spans="4:4" x14ac:dyDescent="0.3">
      <c r="D4209" t="str">
        <f t="shared" si="96"/>
        <v/>
      </c>
    </row>
    <row r="4210" spans="4:4" x14ac:dyDescent="0.3">
      <c r="D4210" t="str">
        <f t="shared" si="96"/>
        <v/>
      </c>
    </row>
    <row r="4211" spans="4:4" x14ac:dyDescent="0.3">
      <c r="D4211" t="str">
        <f t="shared" si="96"/>
        <v/>
      </c>
    </row>
    <row r="4212" spans="4:4" x14ac:dyDescent="0.3">
      <c r="D4212" t="str">
        <f t="shared" si="96"/>
        <v/>
      </c>
    </row>
    <row r="4213" spans="4:4" x14ac:dyDescent="0.3">
      <c r="D4213" t="str">
        <f t="shared" si="96"/>
        <v/>
      </c>
    </row>
    <row r="4214" spans="4:4" x14ac:dyDescent="0.3">
      <c r="D4214" t="str">
        <f t="shared" ref="D4214:D4277" si="97">IF(LEFT(A4214,2)="SP",MID(A4214,4,4),IF(LEFT(A4214,1)="X",MID(A4214,3,4),""))</f>
        <v/>
      </c>
    </row>
    <row r="4215" spans="4:4" x14ac:dyDescent="0.3">
      <c r="D4215" t="str">
        <f t="shared" si="97"/>
        <v/>
      </c>
    </row>
    <row r="4216" spans="4:4" x14ac:dyDescent="0.3">
      <c r="D4216" t="str">
        <f t="shared" si="97"/>
        <v/>
      </c>
    </row>
    <row r="4217" spans="4:4" x14ac:dyDescent="0.3">
      <c r="D4217" t="str">
        <f t="shared" si="97"/>
        <v/>
      </c>
    </row>
    <row r="4218" spans="4:4" x14ac:dyDescent="0.3">
      <c r="D4218" t="str">
        <f t="shared" si="97"/>
        <v/>
      </c>
    </row>
    <row r="4219" spans="4:4" x14ac:dyDescent="0.3">
      <c r="D4219" t="str">
        <f t="shared" si="97"/>
        <v/>
      </c>
    </row>
    <row r="4220" spans="4:4" x14ac:dyDescent="0.3">
      <c r="D4220" t="str">
        <f t="shared" si="97"/>
        <v/>
      </c>
    </row>
    <row r="4221" spans="4:4" x14ac:dyDescent="0.3">
      <c r="D4221" t="str">
        <f t="shared" si="97"/>
        <v/>
      </c>
    </row>
    <row r="4222" spans="4:4" x14ac:dyDescent="0.3">
      <c r="D4222" t="str">
        <f t="shared" si="97"/>
        <v/>
      </c>
    </row>
    <row r="4223" spans="4:4" x14ac:dyDescent="0.3">
      <c r="D4223" t="str">
        <f t="shared" si="97"/>
        <v/>
      </c>
    </row>
    <row r="4224" spans="4:4" x14ac:dyDescent="0.3">
      <c r="D4224" t="str">
        <f t="shared" si="97"/>
        <v/>
      </c>
    </row>
    <row r="4225" spans="4:4" x14ac:dyDescent="0.3">
      <c r="D4225" t="str">
        <f t="shared" si="97"/>
        <v/>
      </c>
    </row>
    <row r="4226" spans="4:4" x14ac:dyDescent="0.3">
      <c r="D4226" t="str">
        <f t="shared" si="97"/>
        <v/>
      </c>
    </row>
    <row r="4227" spans="4:4" x14ac:dyDescent="0.3">
      <c r="D4227" t="str">
        <f t="shared" si="97"/>
        <v/>
      </c>
    </row>
    <row r="4228" spans="4:4" x14ac:dyDescent="0.3">
      <c r="D4228" t="str">
        <f t="shared" si="97"/>
        <v/>
      </c>
    </row>
    <row r="4229" spans="4:4" x14ac:dyDescent="0.3">
      <c r="D4229" t="str">
        <f t="shared" si="97"/>
        <v/>
      </c>
    </row>
    <row r="4230" spans="4:4" x14ac:dyDescent="0.3">
      <c r="D4230" t="str">
        <f t="shared" si="97"/>
        <v/>
      </c>
    </row>
    <row r="4231" spans="4:4" x14ac:dyDescent="0.3">
      <c r="D4231" t="str">
        <f t="shared" si="97"/>
        <v/>
      </c>
    </row>
    <row r="4232" spans="4:4" x14ac:dyDescent="0.3">
      <c r="D4232" t="str">
        <f t="shared" si="97"/>
        <v/>
      </c>
    </row>
    <row r="4233" spans="4:4" x14ac:dyDescent="0.3">
      <c r="D4233" t="str">
        <f t="shared" si="97"/>
        <v/>
      </c>
    </row>
    <row r="4234" spans="4:4" x14ac:dyDescent="0.3">
      <c r="D4234" t="str">
        <f t="shared" si="97"/>
        <v/>
      </c>
    </row>
    <row r="4235" spans="4:4" x14ac:dyDescent="0.3">
      <c r="D4235" t="str">
        <f t="shared" si="97"/>
        <v/>
      </c>
    </row>
    <row r="4236" spans="4:4" x14ac:dyDescent="0.3">
      <c r="D4236" t="str">
        <f t="shared" si="97"/>
        <v/>
      </c>
    </row>
    <row r="4237" spans="4:4" x14ac:dyDescent="0.3">
      <c r="D4237" t="str">
        <f t="shared" si="97"/>
        <v/>
      </c>
    </row>
    <row r="4238" spans="4:4" x14ac:dyDescent="0.3">
      <c r="D4238" t="str">
        <f t="shared" si="97"/>
        <v/>
      </c>
    </row>
    <row r="4239" spans="4:4" x14ac:dyDescent="0.3">
      <c r="D4239" t="str">
        <f t="shared" si="97"/>
        <v/>
      </c>
    </row>
    <row r="4240" spans="4:4" x14ac:dyDescent="0.3">
      <c r="D4240" t="str">
        <f t="shared" si="97"/>
        <v/>
      </c>
    </row>
    <row r="4241" spans="4:4" x14ac:dyDescent="0.3">
      <c r="D4241" t="str">
        <f t="shared" si="97"/>
        <v/>
      </c>
    </row>
    <row r="4242" spans="4:4" x14ac:dyDescent="0.3">
      <c r="D4242" t="str">
        <f t="shared" si="97"/>
        <v/>
      </c>
    </row>
    <row r="4243" spans="4:4" x14ac:dyDescent="0.3">
      <c r="D4243" t="str">
        <f t="shared" si="97"/>
        <v/>
      </c>
    </row>
    <row r="4244" spans="4:4" x14ac:dyDescent="0.3">
      <c r="D4244" t="str">
        <f t="shared" si="97"/>
        <v/>
      </c>
    </row>
    <row r="4245" spans="4:4" x14ac:dyDescent="0.3">
      <c r="D4245" t="str">
        <f t="shared" si="97"/>
        <v/>
      </c>
    </row>
    <row r="4246" spans="4:4" x14ac:dyDescent="0.3">
      <c r="D4246" t="str">
        <f t="shared" si="97"/>
        <v/>
      </c>
    </row>
    <row r="4247" spans="4:4" x14ac:dyDescent="0.3">
      <c r="D4247" t="str">
        <f t="shared" si="97"/>
        <v/>
      </c>
    </row>
    <row r="4248" spans="4:4" x14ac:dyDescent="0.3">
      <c r="D4248" t="str">
        <f t="shared" si="97"/>
        <v/>
      </c>
    </row>
    <row r="4249" spans="4:4" x14ac:dyDescent="0.3">
      <c r="D4249" t="str">
        <f t="shared" si="97"/>
        <v/>
      </c>
    </row>
    <row r="4250" spans="4:4" x14ac:dyDescent="0.3">
      <c r="D4250" t="str">
        <f t="shared" si="97"/>
        <v/>
      </c>
    </row>
    <row r="4251" spans="4:4" x14ac:dyDescent="0.3">
      <c r="D4251" t="str">
        <f t="shared" si="97"/>
        <v/>
      </c>
    </row>
    <row r="4252" spans="4:4" x14ac:dyDescent="0.3">
      <c r="D4252" t="str">
        <f t="shared" si="97"/>
        <v/>
      </c>
    </row>
    <row r="4253" spans="4:4" x14ac:dyDescent="0.3">
      <c r="D4253" t="str">
        <f t="shared" si="97"/>
        <v/>
      </c>
    </row>
    <row r="4254" spans="4:4" x14ac:dyDescent="0.3">
      <c r="D4254" t="str">
        <f t="shared" si="97"/>
        <v/>
      </c>
    </row>
    <row r="4255" spans="4:4" x14ac:dyDescent="0.3">
      <c r="D4255" t="str">
        <f t="shared" si="97"/>
        <v/>
      </c>
    </row>
    <row r="4256" spans="4:4" x14ac:dyDescent="0.3">
      <c r="D4256" t="str">
        <f t="shared" si="97"/>
        <v/>
      </c>
    </row>
    <row r="4257" spans="4:4" x14ac:dyDescent="0.3">
      <c r="D4257" t="str">
        <f t="shared" si="97"/>
        <v/>
      </c>
    </row>
    <row r="4258" spans="4:4" x14ac:dyDescent="0.3">
      <c r="D4258" t="str">
        <f t="shared" si="97"/>
        <v/>
      </c>
    </row>
    <row r="4259" spans="4:4" x14ac:dyDescent="0.3">
      <c r="D4259" t="str">
        <f t="shared" si="97"/>
        <v/>
      </c>
    </row>
    <row r="4260" spans="4:4" x14ac:dyDescent="0.3">
      <c r="D4260" t="str">
        <f t="shared" si="97"/>
        <v/>
      </c>
    </row>
    <row r="4261" spans="4:4" x14ac:dyDescent="0.3">
      <c r="D4261" t="str">
        <f t="shared" si="97"/>
        <v/>
      </c>
    </row>
    <row r="4262" spans="4:4" x14ac:dyDescent="0.3">
      <c r="D4262" t="str">
        <f t="shared" si="97"/>
        <v/>
      </c>
    </row>
    <row r="4263" spans="4:4" x14ac:dyDescent="0.3">
      <c r="D4263" t="str">
        <f t="shared" si="97"/>
        <v/>
      </c>
    </row>
    <row r="4264" spans="4:4" x14ac:dyDescent="0.3">
      <c r="D4264" t="str">
        <f t="shared" si="97"/>
        <v/>
      </c>
    </row>
    <row r="4265" spans="4:4" x14ac:dyDescent="0.3">
      <c r="D4265" t="str">
        <f t="shared" si="97"/>
        <v/>
      </c>
    </row>
    <row r="4266" spans="4:4" x14ac:dyDescent="0.3">
      <c r="D4266" t="str">
        <f t="shared" si="97"/>
        <v/>
      </c>
    </row>
    <row r="4267" spans="4:4" x14ac:dyDescent="0.3">
      <c r="D4267" t="str">
        <f t="shared" si="97"/>
        <v/>
      </c>
    </row>
    <row r="4268" spans="4:4" x14ac:dyDescent="0.3">
      <c r="D4268" t="str">
        <f t="shared" si="97"/>
        <v/>
      </c>
    </row>
    <row r="4269" spans="4:4" x14ac:dyDescent="0.3">
      <c r="D4269" t="str">
        <f t="shared" si="97"/>
        <v/>
      </c>
    </row>
    <row r="4270" spans="4:4" x14ac:dyDescent="0.3">
      <c r="D4270" t="str">
        <f t="shared" si="97"/>
        <v/>
      </c>
    </row>
    <row r="4271" spans="4:4" x14ac:dyDescent="0.3">
      <c r="D4271" t="str">
        <f t="shared" si="97"/>
        <v/>
      </c>
    </row>
    <row r="4272" spans="4:4" x14ac:dyDescent="0.3">
      <c r="D4272" t="str">
        <f t="shared" si="97"/>
        <v/>
      </c>
    </row>
    <row r="4273" spans="4:4" x14ac:dyDescent="0.3">
      <c r="D4273" t="str">
        <f t="shared" si="97"/>
        <v/>
      </c>
    </row>
    <row r="4274" spans="4:4" x14ac:dyDescent="0.3">
      <c r="D4274" t="str">
        <f t="shared" si="97"/>
        <v/>
      </c>
    </row>
    <row r="4275" spans="4:4" x14ac:dyDescent="0.3">
      <c r="D4275" t="str">
        <f t="shared" si="97"/>
        <v/>
      </c>
    </row>
    <row r="4276" spans="4:4" x14ac:dyDescent="0.3">
      <c r="D4276" t="str">
        <f t="shared" si="97"/>
        <v/>
      </c>
    </row>
    <row r="4277" spans="4:4" x14ac:dyDescent="0.3">
      <c r="D4277" t="str">
        <f t="shared" si="97"/>
        <v/>
      </c>
    </row>
    <row r="4278" spans="4:4" x14ac:dyDescent="0.3">
      <c r="D4278" t="str">
        <f t="shared" ref="D4278:D4341" si="98">IF(LEFT(A4278,2)="SP",MID(A4278,4,4),IF(LEFT(A4278,1)="X",MID(A4278,3,4),""))</f>
        <v/>
      </c>
    </row>
    <row r="4279" spans="4:4" x14ac:dyDescent="0.3">
      <c r="D4279" t="str">
        <f t="shared" si="98"/>
        <v/>
      </c>
    </row>
    <row r="4280" spans="4:4" x14ac:dyDescent="0.3">
      <c r="D4280" t="str">
        <f t="shared" si="98"/>
        <v/>
      </c>
    </row>
    <row r="4281" spans="4:4" x14ac:dyDescent="0.3">
      <c r="D4281" t="str">
        <f t="shared" si="98"/>
        <v/>
      </c>
    </row>
    <row r="4282" spans="4:4" x14ac:dyDescent="0.3">
      <c r="D4282" t="str">
        <f t="shared" si="98"/>
        <v/>
      </c>
    </row>
    <row r="4283" spans="4:4" x14ac:dyDescent="0.3">
      <c r="D4283" t="str">
        <f t="shared" si="98"/>
        <v/>
      </c>
    </row>
    <row r="4284" spans="4:4" x14ac:dyDescent="0.3">
      <c r="D4284" t="str">
        <f t="shared" si="98"/>
        <v/>
      </c>
    </row>
    <row r="4285" spans="4:4" x14ac:dyDescent="0.3">
      <c r="D4285" t="str">
        <f t="shared" si="98"/>
        <v/>
      </c>
    </row>
    <row r="4286" spans="4:4" x14ac:dyDescent="0.3">
      <c r="D4286" t="str">
        <f t="shared" si="98"/>
        <v/>
      </c>
    </row>
    <row r="4287" spans="4:4" x14ac:dyDescent="0.3">
      <c r="D4287" t="str">
        <f t="shared" si="98"/>
        <v/>
      </c>
    </row>
    <row r="4288" spans="4:4" x14ac:dyDescent="0.3">
      <c r="D4288" t="str">
        <f t="shared" si="98"/>
        <v/>
      </c>
    </row>
    <row r="4289" spans="4:4" x14ac:dyDescent="0.3">
      <c r="D4289" t="str">
        <f t="shared" si="98"/>
        <v/>
      </c>
    </row>
    <row r="4290" spans="4:4" x14ac:dyDescent="0.3">
      <c r="D4290" t="str">
        <f t="shared" si="98"/>
        <v/>
      </c>
    </row>
    <row r="4291" spans="4:4" x14ac:dyDescent="0.3">
      <c r="D4291" t="str">
        <f t="shared" si="98"/>
        <v/>
      </c>
    </row>
    <row r="4292" spans="4:4" x14ac:dyDescent="0.3">
      <c r="D4292" t="str">
        <f t="shared" si="98"/>
        <v/>
      </c>
    </row>
    <row r="4293" spans="4:4" x14ac:dyDescent="0.3">
      <c r="D4293" t="str">
        <f t="shared" si="98"/>
        <v/>
      </c>
    </row>
    <row r="4294" spans="4:4" x14ac:dyDescent="0.3">
      <c r="D4294" t="str">
        <f t="shared" si="98"/>
        <v/>
      </c>
    </row>
    <row r="4295" spans="4:4" x14ac:dyDescent="0.3">
      <c r="D4295" t="str">
        <f t="shared" si="98"/>
        <v/>
      </c>
    </row>
    <row r="4296" spans="4:4" x14ac:dyDescent="0.3">
      <c r="D4296" t="str">
        <f t="shared" si="98"/>
        <v/>
      </c>
    </row>
    <row r="4297" spans="4:4" x14ac:dyDescent="0.3">
      <c r="D4297" t="str">
        <f t="shared" si="98"/>
        <v/>
      </c>
    </row>
    <row r="4298" spans="4:4" x14ac:dyDescent="0.3">
      <c r="D4298" t="str">
        <f t="shared" si="98"/>
        <v/>
      </c>
    </row>
    <row r="4299" spans="4:4" x14ac:dyDescent="0.3">
      <c r="D4299" t="str">
        <f t="shared" si="98"/>
        <v/>
      </c>
    </row>
    <row r="4300" spans="4:4" x14ac:dyDescent="0.3">
      <c r="D4300" t="str">
        <f t="shared" si="98"/>
        <v/>
      </c>
    </row>
    <row r="4301" spans="4:4" x14ac:dyDescent="0.3">
      <c r="D4301" t="str">
        <f t="shared" si="98"/>
        <v/>
      </c>
    </row>
    <row r="4302" spans="4:4" x14ac:dyDescent="0.3">
      <c r="D4302" t="str">
        <f t="shared" si="98"/>
        <v/>
      </c>
    </row>
    <row r="4303" spans="4:4" x14ac:dyDescent="0.3">
      <c r="D4303" t="str">
        <f t="shared" si="98"/>
        <v/>
      </c>
    </row>
    <row r="4304" spans="4:4" x14ac:dyDescent="0.3">
      <c r="D4304" t="str">
        <f t="shared" si="98"/>
        <v/>
      </c>
    </row>
    <row r="4305" spans="4:4" x14ac:dyDescent="0.3">
      <c r="D4305" t="str">
        <f t="shared" si="98"/>
        <v/>
      </c>
    </row>
    <row r="4306" spans="4:4" x14ac:dyDescent="0.3">
      <c r="D4306" t="str">
        <f t="shared" si="98"/>
        <v/>
      </c>
    </row>
    <row r="4307" spans="4:4" x14ac:dyDescent="0.3">
      <c r="D4307" t="str">
        <f t="shared" si="98"/>
        <v/>
      </c>
    </row>
    <row r="4308" spans="4:4" x14ac:dyDescent="0.3">
      <c r="D4308" t="str">
        <f t="shared" si="98"/>
        <v/>
      </c>
    </row>
    <row r="4309" spans="4:4" x14ac:dyDescent="0.3">
      <c r="D4309" t="str">
        <f t="shared" si="98"/>
        <v/>
      </c>
    </row>
    <row r="4310" spans="4:4" x14ac:dyDescent="0.3">
      <c r="D4310" t="str">
        <f t="shared" si="98"/>
        <v/>
      </c>
    </row>
    <row r="4311" spans="4:4" x14ac:dyDescent="0.3">
      <c r="D4311" t="str">
        <f t="shared" si="98"/>
        <v/>
      </c>
    </row>
    <row r="4312" spans="4:4" x14ac:dyDescent="0.3">
      <c r="D4312" t="str">
        <f t="shared" si="98"/>
        <v/>
      </c>
    </row>
    <row r="4313" spans="4:4" x14ac:dyDescent="0.3">
      <c r="D4313" t="str">
        <f t="shared" si="98"/>
        <v/>
      </c>
    </row>
    <row r="4314" spans="4:4" x14ac:dyDescent="0.3">
      <c r="D4314" t="str">
        <f t="shared" si="98"/>
        <v/>
      </c>
    </row>
    <row r="4315" spans="4:4" x14ac:dyDescent="0.3">
      <c r="D4315" t="str">
        <f t="shared" si="98"/>
        <v/>
      </c>
    </row>
    <row r="4316" spans="4:4" x14ac:dyDescent="0.3">
      <c r="D4316" t="str">
        <f t="shared" si="98"/>
        <v/>
      </c>
    </row>
    <row r="4317" spans="4:4" x14ac:dyDescent="0.3">
      <c r="D4317" t="str">
        <f t="shared" si="98"/>
        <v/>
      </c>
    </row>
    <row r="4318" spans="4:4" x14ac:dyDescent="0.3">
      <c r="D4318" t="str">
        <f t="shared" si="98"/>
        <v/>
      </c>
    </row>
    <row r="4319" spans="4:4" x14ac:dyDescent="0.3">
      <c r="D4319" t="str">
        <f t="shared" si="98"/>
        <v/>
      </c>
    </row>
    <row r="4320" spans="4:4" x14ac:dyDescent="0.3">
      <c r="D4320" t="str">
        <f t="shared" si="98"/>
        <v/>
      </c>
    </row>
    <row r="4321" spans="4:4" x14ac:dyDescent="0.3">
      <c r="D4321" t="str">
        <f t="shared" si="98"/>
        <v/>
      </c>
    </row>
    <row r="4322" spans="4:4" x14ac:dyDescent="0.3">
      <c r="D4322" t="str">
        <f t="shared" si="98"/>
        <v/>
      </c>
    </row>
    <row r="4323" spans="4:4" x14ac:dyDescent="0.3">
      <c r="D4323" t="str">
        <f t="shared" si="98"/>
        <v/>
      </c>
    </row>
    <row r="4324" spans="4:4" x14ac:dyDescent="0.3">
      <c r="D4324" t="str">
        <f t="shared" si="98"/>
        <v/>
      </c>
    </row>
    <row r="4325" spans="4:4" x14ac:dyDescent="0.3">
      <c r="D4325" t="str">
        <f t="shared" si="98"/>
        <v/>
      </c>
    </row>
    <row r="4326" spans="4:4" x14ac:dyDescent="0.3">
      <c r="D4326" t="str">
        <f t="shared" si="98"/>
        <v/>
      </c>
    </row>
    <row r="4327" spans="4:4" x14ac:dyDescent="0.3">
      <c r="D4327" t="str">
        <f t="shared" si="98"/>
        <v/>
      </c>
    </row>
    <row r="4328" spans="4:4" x14ac:dyDescent="0.3">
      <c r="D4328" t="str">
        <f t="shared" si="98"/>
        <v/>
      </c>
    </row>
    <row r="4329" spans="4:4" x14ac:dyDescent="0.3">
      <c r="D4329" t="str">
        <f t="shared" si="98"/>
        <v/>
      </c>
    </row>
    <row r="4330" spans="4:4" x14ac:dyDescent="0.3">
      <c r="D4330" t="str">
        <f t="shared" si="98"/>
        <v/>
      </c>
    </row>
    <row r="4331" spans="4:4" x14ac:dyDescent="0.3">
      <c r="D4331" t="str">
        <f t="shared" si="98"/>
        <v/>
      </c>
    </row>
    <row r="4332" spans="4:4" x14ac:dyDescent="0.3">
      <c r="D4332" t="str">
        <f t="shared" si="98"/>
        <v/>
      </c>
    </row>
    <row r="4333" spans="4:4" x14ac:dyDescent="0.3">
      <c r="D4333" t="str">
        <f t="shared" si="98"/>
        <v/>
      </c>
    </row>
    <row r="4334" spans="4:4" x14ac:dyDescent="0.3">
      <c r="D4334" t="str">
        <f t="shared" si="98"/>
        <v/>
      </c>
    </row>
    <row r="4335" spans="4:4" x14ac:dyDescent="0.3">
      <c r="D4335" t="str">
        <f t="shared" si="98"/>
        <v/>
      </c>
    </row>
    <row r="4336" spans="4:4" x14ac:dyDescent="0.3">
      <c r="D4336" t="str">
        <f t="shared" si="98"/>
        <v/>
      </c>
    </row>
    <row r="4337" spans="4:4" x14ac:dyDescent="0.3">
      <c r="D4337" t="str">
        <f t="shared" si="98"/>
        <v/>
      </c>
    </row>
    <row r="4338" spans="4:4" x14ac:dyDescent="0.3">
      <c r="D4338" t="str">
        <f t="shared" si="98"/>
        <v/>
      </c>
    </row>
    <row r="4339" spans="4:4" x14ac:dyDescent="0.3">
      <c r="D4339" t="str">
        <f t="shared" si="98"/>
        <v/>
      </c>
    </row>
    <row r="4340" spans="4:4" x14ac:dyDescent="0.3">
      <c r="D4340" t="str">
        <f t="shared" si="98"/>
        <v/>
      </c>
    </row>
    <row r="4341" spans="4:4" x14ac:dyDescent="0.3">
      <c r="D4341" t="str">
        <f t="shared" si="98"/>
        <v/>
      </c>
    </row>
    <row r="4342" spans="4:4" x14ac:dyDescent="0.3">
      <c r="D4342" t="str">
        <f t="shared" ref="D4342:D4405" si="99">IF(LEFT(A4342,2)="SP",MID(A4342,4,4),IF(LEFT(A4342,1)="X",MID(A4342,3,4),""))</f>
        <v/>
      </c>
    </row>
    <row r="4343" spans="4:4" x14ac:dyDescent="0.3">
      <c r="D4343" t="str">
        <f t="shared" si="99"/>
        <v/>
      </c>
    </row>
    <row r="4344" spans="4:4" x14ac:dyDescent="0.3">
      <c r="D4344" t="str">
        <f t="shared" si="99"/>
        <v/>
      </c>
    </row>
    <row r="4345" spans="4:4" x14ac:dyDescent="0.3">
      <c r="D4345" t="str">
        <f t="shared" si="99"/>
        <v/>
      </c>
    </row>
    <row r="4346" spans="4:4" x14ac:dyDescent="0.3">
      <c r="D4346" t="str">
        <f t="shared" si="99"/>
        <v/>
      </c>
    </row>
    <row r="4347" spans="4:4" x14ac:dyDescent="0.3">
      <c r="D4347" t="str">
        <f t="shared" si="99"/>
        <v/>
      </c>
    </row>
    <row r="4348" spans="4:4" x14ac:dyDescent="0.3">
      <c r="D4348" t="str">
        <f t="shared" si="99"/>
        <v/>
      </c>
    </row>
    <row r="4349" spans="4:4" x14ac:dyDescent="0.3">
      <c r="D4349" t="str">
        <f t="shared" si="99"/>
        <v/>
      </c>
    </row>
    <row r="4350" spans="4:4" x14ac:dyDescent="0.3">
      <c r="D4350" t="str">
        <f t="shared" si="99"/>
        <v/>
      </c>
    </row>
    <row r="4351" spans="4:4" x14ac:dyDescent="0.3">
      <c r="D4351" t="str">
        <f t="shared" si="99"/>
        <v/>
      </c>
    </row>
    <row r="4352" spans="4:4" x14ac:dyDescent="0.3">
      <c r="D4352" t="str">
        <f t="shared" si="99"/>
        <v/>
      </c>
    </row>
    <row r="4353" spans="4:4" x14ac:dyDescent="0.3">
      <c r="D4353" t="str">
        <f t="shared" si="99"/>
        <v/>
      </c>
    </row>
    <row r="4354" spans="4:4" x14ac:dyDescent="0.3">
      <c r="D4354" t="str">
        <f t="shared" si="99"/>
        <v/>
      </c>
    </row>
    <row r="4355" spans="4:4" x14ac:dyDescent="0.3">
      <c r="D4355" t="str">
        <f t="shared" si="99"/>
        <v/>
      </c>
    </row>
    <row r="4356" spans="4:4" x14ac:dyDescent="0.3">
      <c r="D4356" t="str">
        <f t="shared" si="99"/>
        <v/>
      </c>
    </row>
    <row r="4357" spans="4:4" x14ac:dyDescent="0.3">
      <c r="D4357" t="str">
        <f t="shared" si="99"/>
        <v/>
      </c>
    </row>
    <row r="4358" spans="4:4" x14ac:dyDescent="0.3">
      <c r="D4358" t="str">
        <f t="shared" si="99"/>
        <v/>
      </c>
    </row>
    <row r="4359" spans="4:4" x14ac:dyDescent="0.3">
      <c r="D4359" t="str">
        <f t="shared" si="99"/>
        <v/>
      </c>
    </row>
    <row r="4360" spans="4:4" x14ac:dyDescent="0.3">
      <c r="D4360" t="str">
        <f t="shared" si="99"/>
        <v/>
      </c>
    </row>
    <row r="4361" spans="4:4" x14ac:dyDescent="0.3">
      <c r="D4361" t="str">
        <f t="shared" si="99"/>
        <v/>
      </c>
    </row>
    <row r="4362" spans="4:4" x14ac:dyDescent="0.3">
      <c r="D4362" t="str">
        <f t="shared" si="99"/>
        <v/>
      </c>
    </row>
    <row r="4363" spans="4:4" x14ac:dyDescent="0.3">
      <c r="D4363" t="str">
        <f t="shared" si="99"/>
        <v/>
      </c>
    </row>
    <row r="4364" spans="4:4" x14ac:dyDescent="0.3">
      <c r="D4364" t="str">
        <f t="shared" si="99"/>
        <v/>
      </c>
    </row>
    <row r="4365" spans="4:4" x14ac:dyDescent="0.3">
      <c r="D4365" t="str">
        <f t="shared" si="99"/>
        <v/>
      </c>
    </row>
    <row r="4366" spans="4:4" x14ac:dyDescent="0.3">
      <c r="D4366" t="str">
        <f t="shared" si="99"/>
        <v/>
      </c>
    </row>
    <row r="4367" spans="4:4" x14ac:dyDescent="0.3">
      <c r="D4367" t="str">
        <f t="shared" si="99"/>
        <v/>
      </c>
    </row>
    <row r="4368" spans="4:4" x14ac:dyDescent="0.3">
      <c r="D4368" t="str">
        <f t="shared" si="99"/>
        <v/>
      </c>
    </row>
    <row r="4369" spans="4:4" x14ac:dyDescent="0.3">
      <c r="D4369" t="str">
        <f t="shared" si="99"/>
        <v/>
      </c>
    </row>
    <row r="4370" spans="4:4" x14ac:dyDescent="0.3">
      <c r="D4370" t="str">
        <f t="shared" si="99"/>
        <v/>
      </c>
    </row>
    <row r="4371" spans="4:4" x14ac:dyDescent="0.3">
      <c r="D4371" t="str">
        <f t="shared" si="99"/>
        <v/>
      </c>
    </row>
    <row r="4372" spans="4:4" x14ac:dyDescent="0.3">
      <c r="D4372" t="str">
        <f t="shared" si="99"/>
        <v/>
      </c>
    </row>
    <row r="4373" spans="4:4" x14ac:dyDescent="0.3">
      <c r="D4373" t="str">
        <f t="shared" si="99"/>
        <v/>
      </c>
    </row>
    <row r="4374" spans="4:4" x14ac:dyDescent="0.3">
      <c r="D4374" t="str">
        <f t="shared" si="99"/>
        <v/>
      </c>
    </row>
    <row r="4375" spans="4:4" x14ac:dyDescent="0.3">
      <c r="D4375" t="str">
        <f t="shared" si="99"/>
        <v/>
      </c>
    </row>
    <row r="4376" spans="4:4" x14ac:dyDescent="0.3">
      <c r="D4376" t="str">
        <f t="shared" si="99"/>
        <v/>
      </c>
    </row>
    <row r="4377" spans="4:4" x14ac:dyDescent="0.3">
      <c r="D4377" t="str">
        <f t="shared" si="99"/>
        <v/>
      </c>
    </row>
    <row r="4378" spans="4:4" x14ac:dyDescent="0.3">
      <c r="D4378" t="str">
        <f t="shared" si="99"/>
        <v/>
      </c>
    </row>
    <row r="4379" spans="4:4" x14ac:dyDescent="0.3">
      <c r="D4379" t="str">
        <f t="shared" si="99"/>
        <v/>
      </c>
    </row>
    <row r="4380" spans="4:4" x14ac:dyDescent="0.3">
      <c r="D4380" t="str">
        <f t="shared" si="99"/>
        <v/>
      </c>
    </row>
    <row r="4381" spans="4:4" x14ac:dyDescent="0.3">
      <c r="D4381" t="str">
        <f t="shared" si="99"/>
        <v/>
      </c>
    </row>
    <row r="4382" spans="4:4" x14ac:dyDescent="0.3">
      <c r="D4382" t="str">
        <f t="shared" si="99"/>
        <v/>
      </c>
    </row>
    <row r="4383" spans="4:4" x14ac:dyDescent="0.3">
      <c r="D4383" t="str">
        <f t="shared" si="99"/>
        <v/>
      </c>
    </row>
    <row r="4384" spans="4:4" x14ac:dyDescent="0.3">
      <c r="D4384" t="str">
        <f t="shared" si="99"/>
        <v/>
      </c>
    </row>
    <row r="4385" spans="4:4" x14ac:dyDescent="0.3">
      <c r="D4385" t="str">
        <f t="shared" si="99"/>
        <v/>
      </c>
    </row>
    <row r="4386" spans="4:4" x14ac:dyDescent="0.3">
      <c r="D4386" t="str">
        <f t="shared" si="99"/>
        <v/>
      </c>
    </row>
    <row r="4387" spans="4:4" x14ac:dyDescent="0.3">
      <c r="D4387" t="str">
        <f t="shared" si="99"/>
        <v/>
      </c>
    </row>
    <row r="4388" spans="4:4" x14ac:dyDescent="0.3">
      <c r="D4388" t="str">
        <f t="shared" si="99"/>
        <v/>
      </c>
    </row>
    <row r="4389" spans="4:4" x14ac:dyDescent="0.3">
      <c r="D4389" t="str">
        <f t="shared" si="99"/>
        <v/>
      </c>
    </row>
    <row r="4390" spans="4:4" x14ac:dyDescent="0.3">
      <c r="D4390" t="str">
        <f t="shared" si="99"/>
        <v/>
      </c>
    </row>
    <row r="4391" spans="4:4" x14ac:dyDescent="0.3">
      <c r="D4391" t="str">
        <f t="shared" si="99"/>
        <v/>
      </c>
    </row>
    <row r="4392" spans="4:4" x14ac:dyDescent="0.3">
      <c r="D4392" t="str">
        <f t="shared" si="99"/>
        <v/>
      </c>
    </row>
    <row r="4393" spans="4:4" x14ac:dyDescent="0.3">
      <c r="D4393" t="str">
        <f t="shared" si="99"/>
        <v/>
      </c>
    </row>
    <row r="4394" spans="4:4" x14ac:dyDescent="0.3">
      <c r="D4394" t="str">
        <f t="shared" si="99"/>
        <v/>
      </c>
    </row>
    <row r="4395" spans="4:4" x14ac:dyDescent="0.3">
      <c r="D4395" t="str">
        <f t="shared" si="99"/>
        <v/>
      </c>
    </row>
    <row r="4396" spans="4:4" x14ac:dyDescent="0.3">
      <c r="D4396" t="str">
        <f t="shared" si="99"/>
        <v/>
      </c>
    </row>
    <row r="4397" spans="4:4" x14ac:dyDescent="0.3">
      <c r="D4397" t="str">
        <f t="shared" si="99"/>
        <v/>
      </c>
    </row>
    <row r="4398" spans="4:4" x14ac:dyDescent="0.3">
      <c r="D4398" t="str">
        <f t="shared" si="99"/>
        <v/>
      </c>
    </row>
    <row r="4399" spans="4:4" x14ac:dyDescent="0.3">
      <c r="D4399" t="str">
        <f t="shared" si="99"/>
        <v/>
      </c>
    </row>
    <row r="4400" spans="4:4" x14ac:dyDescent="0.3">
      <c r="D4400" t="str">
        <f t="shared" si="99"/>
        <v/>
      </c>
    </row>
    <row r="4401" spans="4:4" x14ac:dyDescent="0.3">
      <c r="D4401" t="str">
        <f t="shared" si="99"/>
        <v/>
      </c>
    </row>
    <row r="4402" spans="4:4" x14ac:dyDescent="0.3">
      <c r="D4402" t="str">
        <f t="shared" si="99"/>
        <v/>
      </c>
    </row>
    <row r="4403" spans="4:4" x14ac:dyDescent="0.3">
      <c r="D4403" t="str">
        <f t="shared" si="99"/>
        <v/>
      </c>
    </row>
    <row r="4404" spans="4:4" x14ac:dyDescent="0.3">
      <c r="D4404" t="str">
        <f t="shared" si="99"/>
        <v/>
      </c>
    </row>
    <row r="4405" spans="4:4" x14ac:dyDescent="0.3">
      <c r="D4405" t="str">
        <f t="shared" si="99"/>
        <v/>
      </c>
    </row>
    <row r="4406" spans="4:4" x14ac:dyDescent="0.3">
      <c r="D4406" t="str">
        <f t="shared" ref="D4406:D4469" si="100">IF(LEFT(A4406,2)="SP",MID(A4406,4,4),IF(LEFT(A4406,1)="X",MID(A4406,3,4),""))</f>
        <v/>
      </c>
    </row>
    <row r="4407" spans="4:4" x14ac:dyDescent="0.3">
      <c r="D4407" t="str">
        <f t="shared" si="100"/>
        <v/>
      </c>
    </row>
    <row r="4408" spans="4:4" x14ac:dyDescent="0.3">
      <c r="D4408" t="str">
        <f t="shared" si="100"/>
        <v/>
      </c>
    </row>
    <row r="4409" spans="4:4" x14ac:dyDescent="0.3">
      <c r="D4409" t="str">
        <f t="shared" si="100"/>
        <v/>
      </c>
    </row>
    <row r="4410" spans="4:4" x14ac:dyDescent="0.3">
      <c r="D4410" t="str">
        <f t="shared" si="100"/>
        <v/>
      </c>
    </row>
    <row r="4411" spans="4:4" x14ac:dyDescent="0.3">
      <c r="D4411" t="str">
        <f t="shared" si="100"/>
        <v/>
      </c>
    </row>
    <row r="4412" spans="4:4" x14ac:dyDescent="0.3">
      <c r="D4412" t="str">
        <f t="shared" si="100"/>
        <v/>
      </c>
    </row>
    <row r="4413" spans="4:4" x14ac:dyDescent="0.3">
      <c r="D4413" t="str">
        <f t="shared" si="100"/>
        <v/>
      </c>
    </row>
    <row r="4414" spans="4:4" x14ac:dyDescent="0.3">
      <c r="D4414" t="str">
        <f t="shared" si="100"/>
        <v/>
      </c>
    </row>
    <row r="4415" spans="4:4" x14ac:dyDescent="0.3">
      <c r="D4415" t="str">
        <f t="shared" si="100"/>
        <v/>
      </c>
    </row>
    <row r="4416" spans="4:4" x14ac:dyDescent="0.3">
      <c r="D4416" t="str">
        <f t="shared" si="100"/>
        <v/>
      </c>
    </row>
    <row r="4417" spans="4:4" x14ac:dyDescent="0.3">
      <c r="D4417" t="str">
        <f t="shared" si="100"/>
        <v/>
      </c>
    </row>
    <row r="4418" spans="4:4" x14ac:dyDescent="0.3">
      <c r="D4418" t="str">
        <f t="shared" si="100"/>
        <v/>
      </c>
    </row>
    <row r="4419" spans="4:4" x14ac:dyDescent="0.3">
      <c r="D4419" t="str">
        <f t="shared" si="100"/>
        <v/>
      </c>
    </row>
    <row r="4420" spans="4:4" x14ac:dyDescent="0.3">
      <c r="D4420" t="str">
        <f t="shared" si="100"/>
        <v/>
      </c>
    </row>
    <row r="4421" spans="4:4" x14ac:dyDescent="0.3">
      <c r="D4421" t="str">
        <f t="shared" si="100"/>
        <v/>
      </c>
    </row>
    <row r="4422" spans="4:4" x14ac:dyDescent="0.3">
      <c r="D4422" t="str">
        <f t="shared" si="100"/>
        <v/>
      </c>
    </row>
    <row r="4423" spans="4:4" x14ac:dyDescent="0.3">
      <c r="D4423" t="str">
        <f t="shared" si="100"/>
        <v/>
      </c>
    </row>
    <row r="4424" spans="4:4" x14ac:dyDescent="0.3">
      <c r="D4424" t="str">
        <f t="shared" si="100"/>
        <v/>
      </c>
    </row>
    <row r="4425" spans="4:4" x14ac:dyDescent="0.3">
      <c r="D4425" t="str">
        <f t="shared" si="100"/>
        <v/>
      </c>
    </row>
    <row r="4426" spans="4:4" x14ac:dyDescent="0.3">
      <c r="D4426" t="str">
        <f t="shared" si="100"/>
        <v/>
      </c>
    </row>
    <row r="4427" spans="4:4" x14ac:dyDescent="0.3">
      <c r="D4427" t="str">
        <f t="shared" si="100"/>
        <v/>
      </c>
    </row>
    <row r="4428" spans="4:4" x14ac:dyDescent="0.3">
      <c r="D4428" t="str">
        <f t="shared" si="100"/>
        <v/>
      </c>
    </row>
    <row r="4429" spans="4:4" x14ac:dyDescent="0.3">
      <c r="D4429" t="str">
        <f t="shared" si="100"/>
        <v/>
      </c>
    </row>
    <row r="4430" spans="4:4" x14ac:dyDescent="0.3">
      <c r="D4430" t="str">
        <f t="shared" si="100"/>
        <v/>
      </c>
    </row>
    <row r="4431" spans="4:4" x14ac:dyDescent="0.3">
      <c r="D4431" t="str">
        <f t="shared" si="100"/>
        <v/>
      </c>
    </row>
    <row r="4432" spans="4:4" x14ac:dyDescent="0.3">
      <c r="D4432" t="str">
        <f t="shared" si="100"/>
        <v/>
      </c>
    </row>
    <row r="4433" spans="4:4" x14ac:dyDescent="0.3">
      <c r="D4433" t="str">
        <f t="shared" si="100"/>
        <v/>
      </c>
    </row>
    <row r="4434" spans="4:4" x14ac:dyDescent="0.3">
      <c r="D4434" t="str">
        <f t="shared" si="100"/>
        <v/>
      </c>
    </row>
    <row r="4435" spans="4:4" x14ac:dyDescent="0.3">
      <c r="D4435" t="str">
        <f t="shared" si="100"/>
        <v/>
      </c>
    </row>
    <row r="4436" spans="4:4" x14ac:dyDescent="0.3">
      <c r="D4436" t="str">
        <f t="shared" si="100"/>
        <v/>
      </c>
    </row>
    <row r="4437" spans="4:4" x14ac:dyDescent="0.3">
      <c r="D4437" t="str">
        <f t="shared" si="100"/>
        <v/>
      </c>
    </row>
    <row r="4438" spans="4:4" x14ac:dyDescent="0.3">
      <c r="D4438" t="str">
        <f t="shared" si="100"/>
        <v/>
      </c>
    </row>
    <row r="4439" spans="4:4" x14ac:dyDescent="0.3">
      <c r="D4439" t="str">
        <f t="shared" si="100"/>
        <v/>
      </c>
    </row>
    <row r="4440" spans="4:4" x14ac:dyDescent="0.3">
      <c r="D4440" t="str">
        <f t="shared" si="100"/>
        <v/>
      </c>
    </row>
    <row r="4441" spans="4:4" x14ac:dyDescent="0.3">
      <c r="D4441" t="str">
        <f t="shared" si="100"/>
        <v/>
      </c>
    </row>
    <row r="4442" spans="4:4" x14ac:dyDescent="0.3">
      <c r="D4442" t="str">
        <f t="shared" si="100"/>
        <v/>
      </c>
    </row>
    <row r="4443" spans="4:4" x14ac:dyDescent="0.3">
      <c r="D4443" t="str">
        <f t="shared" si="100"/>
        <v/>
      </c>
    </row>
    <row r="4444" spans="4:4" x14ac:dyDescent="0.3">
      <c r="D4444" t="str">
        <f t="shared" si="100"/>
        <v/>
      </c>
    </row>
    <row r="4445" spans="4:4" x14ac:dyDescent="0.3">
      <c r="D4445" t="str">
        <f t="shared" si="100"/>
        <v/>
      </c>
    </row>
    <row r="4446" spans="4:4" x14ac:dyDescent="0.3">
      <c r="D4446" t="str">
        <f t="shared" si="100"/>
        <v/>
      </c>
    </row>
    <row r="4447" spans="4:4" x14ac:dyDescent="0.3">
      <c r="D4447" t="str">
        <f t="shared" si="100"/>
        <v/>
      </c>
    </row>
    <row r="4448" spans="4:4" x14ac:dyDescent="0.3">
      <c r="D4448" t="str">
        <f t="shared" si="100"/>
        <v/>
      </c>
    </row>
    <row r="4449" spans="4:4" x14ac:dyDescent="0.3">
      <c r="D4449" t="str">
        <f t="shared" si="100"/>
        <v/>
      </c>
    </row>
    <row r="4450" spans="4:4" x14ac:dyDescent="0.3">
      <c r="D4450" t="str">
        <f t="shared" si="100"/>
        <v/>
      </c>
    </row>
    <row r="4451" spans="4:4" x14ac:dyDescent="0.3">
      <c r="D4451" t="str">
        <f t="shared" si="100"/>
        <v/>
      </c>
    </row>
    <row r="4452" spans="4:4" x14ac:dyDescent="0.3">
      <c r="D4452" t="str">
        <f t="shared" si="100"/>
        <v/>
      </c>
    </row>
    <row r="4453" spans="4:4" x14ac:dyDescent="0.3">
      <c r="D4453" t="str">
        <f t="shared" si="100"/>
        <v/>
      </c>
    </row>
    <row r="4454" spans="4:4" x14ac:dyDescent="0.3">
      <c r="D4454" t="str">
        <f t="shared" si="100"/>
        <v/>
      </c>
    </row>
    <row r="4455" spans="4:4" x14ac:dyDescent="0.3">
      <c r="D4455" t="str">
        <f t="shared" si="100"/>
        <v/>
      </c>
    </row>
    <row r="4456" spans="4:4" x14ac:dyDescent="0.3">
      <c r="D4456" t="str">
        <f t="shared" si="100"/>
        <v/>
      </c>
    </row>
    <row r="4457" spans="4:4" x14ac:dyDescent="0.3">
      <c r="D4457" t="str">
        <f t="shared" si="100"/>
        <v/>
      </c>
    </row>
    <row r="4458" spans="4:4" x14ac:dyDescent="0.3">
      <c r="D4458" t="str">
        <f t="shared" si="100"/>
        <v/>
      </c>
    </row>
    <row r="4459" spans="4:4" x14ac:dyDescent="0.3">
      <c r="D4459" t="str">
        <f t="shared" si="100"/>
        <v/>
      </c>
    </row>
    <row r="4460" spans="4:4" x14ac:dyDescent="0.3">
      <c r="D4460" t="str">
        <f t="shared" si="100"/>
        <v/>
      </c>
    </row>
    <row r="4461" spans="4:4" x14ac:dyDescent="0.3">
      <c r="D4461" t="str">
        <f t="shared" si="100"/>
        <v/>
      </c>
    </row>
    <row r="4462" spans="4:4" x14ac:dyDescent="0.3">
      <c r="D4462" t="str">
        <f t="shared" si="100"/>
        <v/>
      </c>
    </row>
    <row r="4463" spans="4:4" x14ac:dyDescent="0.3">
      <c r="D4463" t="str">
        <f t="shared" si="100"/>
        <v/>
      </c>
    </row>
    <row r="4464" spans="4:4" x14ac:dyDescent="0.3">
      <c r="D4464" t="str">
        <f t="shared" si="100"/>
        <v/>
      </c>
    </row>
    <row r="4465" spans="4:4" x14ac:dyDescent="0.3">
      <c r="D4465" t="str">
        <f t="shared" si="100"/>
        <v/>
      </c>
    </row>
    <row r="4466" spans="4:4" x14ac:dyDescent="0.3">
      <c r="D4466" t="str">
        <f t="shared" si="100"/>
        <v/>
      </c>
    </row>
    <row r="4467" spans="4:4" x14ac:dyDescent="0.3">
      <c r="D4467" t="str">
        <f t="shared" si="100"/>
        <v/>
      </c>
    </row>
    <row r="4468" spans="4:4" x14ac:dyDescent="0.3">
      <c r="D4468" t="str">
        <f t="shared" si="100"/>
        <v/>
      </c>
    </row>
    <row r="4469" spans="4:4" x14ac:dyDescent="0.3">
      <c r="D4469" t="str">
        <f t="shared" si="100"/>
        <v/>
      </c>
    </row>
    <row r="4470" spans="4:4" x14ac:dyDescent="0.3">
      <c r="D4470" t="str">
        <f t="shared" ref="D4470:D4533" si="101">IF(LEFT(A4470,2)="SP",MID(A4470,4,4),IF(LEFT(A4470,1)="X",MID(A4470,3,4),""))</f>
        <v/>
      </c>
    </row>
    <row r="4471" spans="4:4" x14ac:dyDescent="0.3">
      <c r="D4471" t="str">
        <f t="shared" si="101"/>
        <v/>
      </c>
    </row>
    <row r="4472" spans="4:4" x14ac:dyDescent="0.3">
      <c r="D4472" t="str">
        <f t="shared" si="101"/>
        <v/>
      </c>
    </row>
    <row r="4473" spans="4:4" x14ac:dyDescent="0.3">
      <c r="D4473" t="str">
        <f t="shared" si="101"/>
        <v/>
      </c>
    </row>
    <row r="4474" spans="4:4" x14ac:dyDescent="0.3">
      <c r="D4474" t="str">
        <f t="shared" si="101"/>
        <v/>
      </c>
    </row>
    <row r="4475" spans="4:4" x14ac:dyDescent="0.3">
      <c r="D4475" t="str">
        <f t="shared" si="101"/>
        <v/>
      </c>
    </row>
    <row r="4476" spans="4:4" x14ac:dyDescent="0.3">
      <c r="D4476" t="str">
        <f t="shared" si="101"/>
        <v/>
      </c>
    </row>
    <row r="4477" spans="4:4" x14ac:dyDescent="0.3">
      <c r="D4477" t="str">
        <f t="shared" si="101"/>
        <v/>
      </c>
    </row>
    <row r="4478" spans="4:4" x14ac:dyDescent="0.3">
      <c r="D4478" t="str">
        <f t="shared" si="101"/>
        <v/>
      </c>
    </row>
    <row r="4479" spans="4:4" x14ac:dyDescent="0.3">
      <c r="D4479" t="str">
        <f t="shared" si="101"/>
        <v/>
      </c>
    </row>
    <row r="4480" spans="4:4" x14ac:dyDescent="0.3">
      <c r="D4480" t="str">
        <f t="shared" si="101"/>
        <v/>
      </c>
    </row>
    <row r="4481" spans="4:4" x14ac:dyDescent="0.3">
      <c r="D4481" t="str">
        <f t="shared" si="101"/>
        <v/>
      </c>
    </row>
    <row r="4482" spans="4:4" x14ac:dyDescent="0.3">
      <c r="D4482" t="str">
        <f t="shared" si="101"/>
        <v/>
      </c>
    </row>
    <row r="4483" spans="4:4" x14ac:dyDescent="0.3">
      <c r="D4483" t="str">
        <f t="shared" si="101"/>
        <v/>
      </c>
    </row>
    <row r="4484" spans="4:4" x14ac:dyDescent="0.3">
      <c r="D4484" t="str">
        <f t="shared" si="101"/>
        <v/>
      </c>
    </row>
    <row r="4485" spans="4:4" x14ac:dyDescent="0.3">
      <c r="D4485" t="str">
        <f t="shared" si="101"/>
        <v/>
      </c>
    </row>
    <row r="4486" spans="4:4" x14ac:dyDescent="0.3">
      <c r="D4486" t="str">
        <f t="shared" si="101"/>
        <v/>
      </c>
    </row>
    <row r="4487" spans="4:4" x14ac:dyDescent="0.3">
      <c r="D4487" t="str">
        <f t="shared" si="101"/>
        <v/>
      </c>
    </row>
    <row r="4488" spans="4:4" x14ac:dyDescent="0.3">
      <c r="D4488" t="str">
        <f t="shared" si="101"/>
        <v/>
      </c>
    </row>
    <row r="4489" spans="4:4" x14ac:dyDescent="0.3">
      <c r="D4489" t="str">
        <f t="shared" si="101"/>
        <v/>
      </c>
    </row>
    <row r="4490" spans="4:4" x14ac:dyDescent="0.3">
      <c r="D4490" t="str">
        <f t="shared" si="101"/>
        <v/>
      </c>
    </row>
    <row r="4491" spans="4:4" x14ac:dyDescent="0.3">
      <c r="D4491" t="str">
        <f t="shared" si="101"/>
        <v/>
      </c>
    </row>
    <row r="4492" spans="4:4" x14ac:dyDescent="0.3">
      <c r="D4492" t="str">
        <f t="shared" si="101"/>
        <v/>
      </c>
    </row>
    <row r="4493" spans="4:4" x14ac:dyDescent="0.3">
      <c r="D4493" t="str">
        <f t="shared" si="101"/>
        <v/>
      </c>
    </row>
    <row r="4494" spans="4:4" x14ac:dyDescent="0.3">
      <c r="D4494" t="str">
        <f t="shared" si="101"/>
        <v/>
      </c>
    </row>
    <row r="4495" spans="4:4" x14ac:dyDescent="0.3">
      <c r="D4495" t="str">
        <f t="shared" si="101"/>
        <v/>
      </c>
    </row>
    <row r="4496" spans="4:4" x14ac:dyDescent="0.3">
      <c r="D4496" t="str">
        <f t="shared" si="101"/>
        <v/>
      </c>
    </row>
    <row r="4497" spans="4:4" x14ac:dyDescent="0.3">
      <c r="D4497" t="str">
        <f t="shared" si="101"/>
        <v/>
      </c>
    </row>
    <row r="4498" spans="4:4" x14ac:dyDescent="0.3">
      <c r="D4498" t="str">
        <f t="shared" si="101"/>
        <v/>
      </c>
    </row>
    <row r="4499" spans="4:4" x14ac:dyDescent="0.3">
      <c r="D4499" t="str">
        <f t="shared" si="101"/>
        <v/>
      </c>
    </row>
    <row r="4500" spans="4:4" x14ac:dyDescent="0.3">
      <c r="D4500" t="str">
        <f t="shared" si="101"/>
        <v/>
      </c>
    </row>
    <row r="4501" spans="4:4" x14ac:dyDescent="0.3">
      <c r="D4501" t="str">
        <f t="shared" si="101"/>
        <v/>
      </c>
    </row>
    <row r="4502" spans="4:4" x14ac:dyDescent="0.3">
      <c r="D4502" t="str">
        <f t="shared" si="101"/>
        <v/>
      </c>
    </row>
    <row r="4503" spans="4:4" x14ac:dyDescent="0.3">
      <c r="D4503" t="str">
        <f t="shared" si="101"/>
        <v/>
      </c>
    </row>
    <row r="4504" spans="4:4" x14ac:dyDescent="0.3">
      <c r="D4504" t="str">
        <f t="shared" si="101"/>
        <v/>
      </c>
    </row>
    <row r="4505" spans="4:4" x14ac:dyDescent="0.3">
      <c r="D4505" t="str">
        <f t="shared" si="101"/>
        <v/>
      </c>
    </row>
    <row r="4506" spans="4:4" x14ac:dyDescent="0.3">
      <c r="D4506" t="str">
        <f t="shared" si="101"/>
        <v/>
      </c>
    </row>
    <row r="4507" spans="4:4" x14ac:dyDescent="0.3">
      <c r="D4507" t="str">
        <f t="shared" si="101"/>
        <v/>
      </c>
    </row>
    <row r="4508" spans="4:4" x14ac:dyDescent="0.3">
      <c r="D4508" t="str">
        <f t="shared" si="101"/>
        <v/>
      </c>
    </row>
    <row r="4509" spans="4:4" x14ac:dyDescent="0.3">
      <c r="D4509" t="str">
        <f t="shared" si="101"/>
        <v/>
      </c>
    </row>
    <row r="4510" spans="4:4" x14ac:dyDescent="0.3">
      <c r="D4510" t="str">
        <f t="shared" si="101"/>
        <v/>
      </c>
    </row>
    <row r="4511" spans="4:4" x14ac:dyDescent="0.3">
      <c r="D4511" t="str">
        <f t="shared" si="101"/>
        <v/>
      </c>
    </row>
    <row r="4512" spans="4:4" x14ac:dyDescent="0.3">
      <c r="D4512" t="str">
        <f t="shared" si="101"/>
        <v/>
      </c>
    </row>
    <row r="4513" spans="4:4" x14ac:dyDescent="0.3">
      <c r="D4513" t="str">
        <f t="shared" si="101"/>
        <v/>
      </c>
    </row>
    <row r="4514" spans="4:4" x14ac:dyDescent="0.3">
      <c r="D4514" t="str">
        <f t="shared" si="101"/>
        <v/>
      </c>
    </row>
    <row r="4515" spans="4:4" x14ac:dyDescent="0.3">
      <c r="D4515" t="str">
        <f t="shared" si="101"/>
        <v/>
      </c>
    </row>
    <row r="4516" spans="4:4" x14ac:dyDescent="0.3">
      <c r="D4516" t="str">
        <f t="shared" si="101"/>
        <v/>
      </c>
    </row>
    <row r="4517" spans="4:4" x14ac:dyDescent="0.3">
      <c r="D4517" t="str">
        <f t="shared" si="101"/>
        <v/>
      </c>
    </row>
    <row r="4518" spans="4:4" x14ac:dyDescent="0.3">
      <c r="D4518" t="str">
        <f t="shared" si="101"/>
        <v/>
      </c>
    </row>
    <row r="4519" spans="4:4" x14ac:dyDescent="0.3">
      <c r="D4519" t="str">
        <f t="shared" si="101"/>
        <v/>
      </c>
    </row>
    <row r="4520" spans="4:4" x14ac:dyDescent="0.3">
      <c r="D4520" t="str">
        <f t="shared" si="101"/>
        <v/>
      </c>
    </row>
    <row r="4521" spans="4:4" x14ac:dyDescent="0.3">
      <c r="D4521" t="str">
        <f t="shared" si="101"/>
        <v/>
      </c>
    </row>
    <row r="4522" spans="4:4" x14ac:dyDescent="0.3">
      <c r="D4522" t="str">
        <f t="shared" si="101"/>
        <v/>
      </c>
    </row>
    <row r="4523" spans="4:4" x14ac:dyDescent="0.3">
      <c r="D4523" t="str">
        <f t="shared" si="101"/>
        <v/>
      </c>
    </row>
    <row r="4524" spans="4:4" x14ac:dyDescent="0.3">
      <c r="D4524" t="str">
        <f t="shared" si="101"/>
        <v/>
      </c>
    </row>
    <row r="4525" spans="4:4" x14ac:dyDescent="0.3">
      <c r="D4525" t="str">
        <f t="shared" si="101"/>
        <v/>
      </c>
    </row>
    <row r="4526" spans="4:4" x14ac:dyDescent="0.3">
      <c r="D4526" t="str">
        <f t="shared" si="101"/>
        <v/>
      </c>
    </row>
    <row r="4527" spans="4:4" x14ac:dyDescent="0.3">
      <c r="D4527" t="str">
        <f t="shared" si="101"/>
        <v/>
      </c>
    </row>
    <row r="4528" spans="4:4" x14ac:dyDescent="0.3">
      <c r="D4528" t="str">
        <f t="shared" si="101"/>
        <v/>
      </c>
    </row>
    <row r="4529" spans="4:4" x14ac:dyDescent="0.3">
      <c r="D4529" t="str">
        <f t="shared" si="101"/>
        <v/>
      </c>
    </row>
    <row r="4530" spans="4:4" x14ac:dyDescent="0.3">
      <c r="D4530" t="str">
        <f t="shared" si="101"/>
        <v/>
      </c>
    </row>
    <row r="4531" spans="4:4" x14ac:dyDescent="0.3">
      <c r="D4531" t="str">
        <f t="shared" si="101"/>
        <v/>
      </c>
    </row>
    <row r="4532" spans="4:4" x14ac:dyDescent="0.3">
      <c r="D4532" t="str">
        <f t="shared" si="101"/>
        <v/>
      </c>
    </row>
    <row r="4533" spans="4:4" x14ac:dyDescent="0.3">
      <c r="D4533" t="str">
        <f t="shared" si="101"/>
        <v/>
      </c>
    </row>
    <row r="4534" spans="4:4" x14ac:dyDescent="0.3">
      <c r="D4534" t="str">
        <f t="shared" ref="D4534:D4597" si="102">IF(LEFT(A4534,2)="SP",MID(A4534,4,4),IF(LEFT(A4534,1)="X",MID(A4534,3,4),""))</f>
        <v/>
      </c>
    </row>
    <row r="4535" spans="4:4" x14ac:dyDescent="0.3">
      <c r="D4535" t="str">
        <f t="shared" si="102"/>
        <v/>
      </c>
    </row>
    <row r="4536" spans="4:4" x14ac:dyDescent="0.3">
      <c r="D4536" t="str">
        <f t="shared" si="102"/>
        <v/>
      </c>
    </row>
    <row r="4537" spans="4:4" x14ac:dyDescent="0.3">
      <c r="D4537" t="str">
        <f t="shared" si="102"/>
        <v/>
      </c>
    </row>
    <row r="4538" spans="4:4" x14ac:dyDescent="0.3">
      <c r="D4538" t="str">
        <f t="shared" si="102"/>
        <v/>
      </c>
    </row>
    <row r="4539" spans="4:4" x14ac:dyDescent="0.3">
      <c r="D4539" t="str">
        <f t="shared" si="102"/>
        <v/>
      </c>
    </row>
    <row r="4540" spans="4:4" x14ac:dyDescent="0.3">
      <c r="D4540" t="str">
        <f t="shared" si="102"/>
        <v/>
      </c>
    </row>
    <row r="4541" spans="4:4" x14ac:dyDescent="0.3">
      <c r="D4541" t="str">
        <f t="shared" si="102"/>
        <v/>
      </c>
    </row>
    <row r="4542" spans="4:4" x14ac:dyDescent="0.3">
      <c r="D4542" t="str">
        <f t="shared" si="102"/>
        <v/>
      </c>
    </row>
    <row r="4543" spans="4:4" x14ac:dyDescent="0.3">
      <c r="D4543" t="str">
        <f t="shared" si="102"/>
        <v/>
      </c>
    </row>
    <row r="4544" spans="4:4" x14ac:dyDescent="0.3">
      <c r="D4544" t="str">
        <f t="shared" si="102"/>
        <v/>
      </c>
    </row>
    <row r="4545" spans="4:4" x14ac:dyDescent="0.3">
      <c r="D4545" t="str">
        <f t="shared" si="102"/>
        <v/>
      </c>
    </row>
    <row r="4546" spans="4:4" x14ac:dyDescent="0.3">
      <c r="D4546" t="str">
        <f t="shared" si="102"/>
        <v/>
      </c>
    </row>
    <row r="4547" spans="4:4" x14ac:dyDescent="0.3">
      <c r="D4547" t="str">
        <f t="shared" si="102"/>
        <v/>
      </c>
    </row>
    <row r="4548" spans="4:4" x14ac:dyDescent="0.3">
      <c r="D4548" t="str">
        <f t="shared" si="102"/>
        <v/>
      </c>
    </row>
    <row r="4549" spans="4:4" x14ac:dyDescent="0.3">
      <c r="D4549" t="str">
        <f t="shared" si="102"/>
        <v/>
      </c>
    </row>
    <row r="4550" spans="4:4" x14ac:dyDescent="0.3">
      <c r="D4550" t="str">
        <f t="shared" si="102"/>
        <v/>
      </c>
    </row>
    <row r="4551" spans="4:4" x14ac:dyDescent="0.3">
      <c r="D4551" t="str">
        <f t="shared" si="102"/>
        <v/>
      </c>
    </row>
    <row r="4552" spans="4:4" x14ac:dyDescent="0.3">
      <c r="D4552" t="str">
        <f t="shared" si="102"/>
        <v/>
      </c>
    </row>
    <row r="4553" spans="4:4" x14ac:dyDescent="0.3">
      <c r="D4553" t="str">
        <f t="shared" si="102"/>
        <v/>
      </c>
    </row>
    <row r="4554" spans="4:4" x14ac:dyDescent="0.3">
      <c r="D4554" t="str">
        <f t="shared" si="102"/>
        <v/>
      </c>
    </row>
    <row r="4555" spans="4:4" x14ac:dyDescent="0.3">
      <c r="D4555" t="str">
        <f t="shared" si="102"/>
        <v/>
      </c>
    </row>
    <row r="4556" spans="4:4" x14ac:dyDescent="0.3">
      <c r="D4556" t="str">
        <f t="shared" si="102"/>
        <v/>
      </c>
    </row>
    <row r="4557" spans="4:4" x14ac:dyDescent="0.3">
      <c r="D4557" t="str">
        <f t="shared" si="102"/>
        <v/>
      </c>
    </row>
    <row r="4558" spans="4:4" x14ac:dyDescent="0.3">
      <c r="D4558" t="str">
        <f t="shared" si="102"/>
        <v/>
      </c>
    </row>
    <row r="4559" spans="4:4" x14ac:dyDescent="0.3">
      <c r="D4559" t="str">
        <f t="shared" si="102"/>
        <v/>
      </c>
    </row>
    <row r="4560" spans="4:4" x14ac:dyDescent="0.3">
      <c r="D4560" t="str">
        <f t="shared" si="102"/>
        <v/>
      </c>
    </row>
    <row r="4561" spans="4:4" x14ac:dyDescent="0.3">
      <c r="D4561" t="str">
        <f t="shared" si="102"/>
        <v/>
      </c>
    </row>
    <row r="4562" spans="4:4" x14ac:dyDescent="0.3">
      <c r="D4562" t="str">
        <f t="shared" si="102"/>
        <v/>
      </c>
    </row>
    <row r="4563" spans="4:4" x14ac:dyDescent="0.3">
      <c r="D4563" t="str">
        <f t="shared" si="102"/>
        <v/>
      </c>
    </row>
    <row r="4564" spans="4:4" x14ac:dyDescent="0.3">
      <c r="D4564" t="str">
        <f t="shared" si="102"/>
        <v/>
      </c>
    </row>
    <row r="4565" spans="4:4" x14ac:dyDescent="0.3">
      <c r="D4565" t="str">
        <f t="shared" si="102"/>
        <v/>
      </c>
    </row>
    <row r="4566" spans="4:4" x14ac:dyDescent="0.3">
      <c r="D4566" t="str">
        <f t="shared" si="102"/>
        <v/>
      </c>
    </row>
    <row r="4567" spans="4:4" x14ac:dyDescent="0.3">
      <c r="D4567" t="str">
        <f t="shared" si="102"/>
        <v/>
      </c>
    </row>
    <row r="4568" spans="4:4" x14ac:dyDescent="0.3">
      <c r="D4568" t="str">
        <f t="shared" si="102"/>
        <v/>
      </c>
    </row>
    <row r="4569" spans="4:4" x14ac:dyDescent="0.3">
      <c r="D4569" t="str">
        <f t="shared" si="102"/>
        <v/>
      </c>
    </row>
    <row r="4570" spans="4:4" x14ac:dyDescent="0.3">
      <c r="D4570" t="str">
        <f t="shared" si="102"/>
        <v/>
      </c>
    </row>
    <row r="4571" spans="4:4" x14ac:dyDescent="0.3">
      <c r="D4571" t="str">
        <f t="shared" si="102"/>
        <v/>
      </c>
    </row>
    <row r="4572" spans="4:4" x14ac:dyDescent="0.3">
      <c r="D4572" t="str">
        <f t="shared" si="102"/>
        <v/>
      </c>
    </row>
    <row r="4573" spans="4:4" x14ac:dyDescent="0.3">
      <c r="D4573" t="str">
        <f t="shared" si="102"/>
        <v/>
      </c>
    </row>
    <row r="4574" spans="4:4" x14ac:dyDescent="0.3">
      <c r="D4574" t="str">
        <f t="shared" si="102"/>
        <v/>
      </c>
    </row>
    <row r="4575" spans="4:4" x14ac:dyDescent="0.3">
      <c r="D4575" t="str">
        <f t="shared" si="102"/>
        <v/>
      </c>
    </row>
    <row r="4576" spans="4:4" x14ac:dyDescent="0.3">
      <c r="D4576" t="str">
        <f t="shared" si="102"/>
        <v/>
      </c>
    </row>
    <row r="4577" spans="4:4" x14ac:dyDescent="0.3">
      <c r="D4577" t="str">
        <f t="shared" si="102"/>
        <v/>
      </c>
    </row>
    <row r="4578" spans="4:4" x14ac:dyDescent="0.3">
      <c r="D4578" t="str">
        <f t="shared" si="102"/>
        <v/>
      </c>
    </row>
    <row r="4579" spans="4:4" x14ac:dyDescent="0.3">
      <c r="D4579" t="str">
        <f t="shared" si="102"/>
        <v/>
      </c>
    </row>
    <row r="4580" spans="4:4" x14ac:dyDescent="0.3">
      <c r="D4580" t="str">
        <f t="shared" si="102"/>
        <v/>
      </c>
    </row>
    <row r="4581" spans="4:4" x14ac:dyDescent="0.3">
      <c r="D4581" t="str">
        <f t="shared" si="102"/>
        <v/>
      </c>
    </row>
    <row r="4582" spans="4:4" x14ac:dyDescent="0.3">
      <c r="D4582" t="str">
        <f t="shared" si="102"/>
        <v/>
      </c>
    </row>
    <row r="4583" spans="4:4" x14ac:dyDescent="0.3">
      <c r="D4583" t="str">
        <f t="shared" si="102"/>
        <v/>
      </c>
    </row>
    <row r="4584" spans="4:4" x14ac:dyDescent="0.3">
      <c r="D4584" t="str">
        <f t="shared" si="102"/>
        <v/>
      </c>
    </row>
    <row r="4585" spans="4:4" x14ac:dyDescent="0.3">
      <c r="D4585" t="str">
        <f t="shared" si="102"/>
        <v/>
      </c>
    </row>
    <row r="4586" spans="4:4" x14ac:dyDescent="0.3">
      <c r="D4586" t="str">
        <f t="shared" si="102"/>
        <v/>
      </c>
    </row>
    <row r="4587" spans="4:4" x14ac:dyDescent="0.3">
      <c r="D4587" t="str">
        <f t="shared" si="102"/>
        <v/>
      </c>
    </row>
    <row r="4588" spans="4:4" x14ac:dyDescent="0.3">
      <c r="D4588" t="str">
        <f t="shared" si="102"/>
        <v/>
      </c>
    </row>
    <row r="4589" spans="4:4" x14ac:dyDescent="0.3">
      <c r="D4589" t="str">
        <f t="shared" si="102"/>
        <v/>
      </c>
    </row>
    <row r="4590" spans="4:4" x14ac:dyDescent="0.3">
      <c r="D4590" t="str">
        <f t="shared" si="102"/>
        <v/>
      </c>
    </row>
    <row r="4591" spans="4:4" x14ac:dyDescent="0.3">
      <c r="D4591" t="str">
        <f t="shared" si="102"/>
        <v/>
      </c>
    </row>
    <row r="4592" spans="4:4" x14ac:dyDescent="0.3">
      <c r="D4592" t="str">
        <f t="shared" si="102"/>
        <v/>
      </c>
    </row>
    <row r="4593" spans="4:4" x14ac:dyDescent="0.3">
      <c r="D4593" t="str">
        <f t="shared" si="102"/>
        <v/>
      </c>
    </row>
    <row r="4594" spans="4:4" x14ac:dyDescent="0.3">
      <c r="D4594" t="str">
        <f t="shared" si="102"/>
        <v/>
      </c>
    </row>
    <row r="4595" spans="4:4" x14ac:dyDescent="0.3">
      <c r="D4595" t="str">
        <f t="shared" si="102"/>
        <v/>
      </c>
    </row>
    <row r="4596" spans="4:4" x14ac:dyDescent="0.3">
      <c r="D4596" t="str">
        <f t="shared" si="102"/>
        <v/>
      </c>
    </row>
    <row r="4597" spans="4:4" x14ac:dyDescent="0.3">
      <c r="D4597" t="str">
        <f t="shared" si="102"/>
        <v/>
      </c>
    </row>
    <row r="4598" spans="4:4" x14ac:dyDescent="0.3">
      <c r="D4598" t="str">
        <f t="shared" ref="D4598:D4661" si="103">IF(LEFT(A4598,2)="SP",MID(A4598,4,4),IF(LEFT(A4598,1)="X",MID(A4598,3,4),""))</f>
        <v/>
      </c>
    </row>
    <row r="4599" spans="4:4" x14ac:dyDescent="0.3">
      <c r="D4599" t="str">
        <f t="shared" si="103"/>
        <v/>
      </c>
    </row>
    <row r="4600" spans="4:4" x14ac:dyDescent="0.3">
      <c r="D4600" t="str">
        <f t="shared" si="103"/>
        <v/>
      </c>
    </row>
    <row r="4601" spans="4:4" x14ac:dyDescent="0.3">
      <c r="D4601" t="str">
        <f t="shared" si="103"/>
        <v/>
      </c>
    </row>
    <row r="4602" spans="4:4" x14ac:dyDescent="0.3">
      <c r="D4602" t="str">
        <f t="shared" si="103"/>
        <v/>
      </c>
    </row>
    <row r="4603" spans="4:4" x14ac:dyDescent="0.3">
      <c r="D4603" t="str">
        <f t="shared" si="103"/>
        <v/>
      </c>
    </row>
    <row r="4604" spans="4:4" x14ac:dyDescent="0.3">
      <c r="D4604" t="str">
        <f t="shared" si="103"/>
        <v/>
      </c>
    </row>
    <row r="4605" spans="4:4" x14ac:dyDescent="0.3">
      <c r="D4605" t="str">
        <f t="shared" si="103"/>
        <v/>
      </c>
    </row>
    <row r="4606" spans="4:4" x14ac:dyDescent="0.3">
      <c r="D4606" t="str">
        <f t="shared" si="103"/>
        <v/>
      </c>
    </row>
    <row r="4607" spans="4:4" x14ac:dyDescent="0.3">
      <c r="D4607" t="str">
        <f t="shared" si="103"/>
        <v/>
      </c>
    </row>
    <row r="4608" spans="4:4" x14ac:dyDescent="0.3">
      <c r="D4608" t="str">
        <f t="shared" si="103"/>
        <v/>
      </c>
    </row>
    <row r="4609" spans="4:4" x14ac:dyDescent="0.3">
      <c r="D4609" t="str">
        <f t="shared" si="103"/>
        <v/>
      </c>
    </row>
    <row r="4610" spans="4:4" x14ac:dyDescent="0.3">
      <c r="D4610" t="str">
        <f t="shared" si="103"/>
        <v/>
      </c>
    </row>
    <row r="4611" spans="4:4" x14ac:dyDescent="0.3">
      <c r="D4611" t="str">
        <f t="shared" si="103"/>
        <v/>
      </c>
    </row>
    <row r="4612" spans="4:4" x14ac:dyDescent="0.3">
      <c r="D4612" t="str">
        <f t="shared" si="103"/>
        <v/>
      </c>
    </row>
    <row r="4613" spans="4:4" x14ac:dyDescent="0.3">
      <c r="D4613" t="str">
        <f t="shared" si="103"/>
        <v/>
      </c>
    </row>
    <row r="4614" spans="4:4" x14ac:dyDescent="0.3">
      <c r="D4614" t="str">
        <f t="shared" si="103"/>
        <v/>
      </c>
    </row>
    <row r="4615" spans="4:4" x14ac:dyDescent="0.3">
      <c r="D4615" t="str">
        <f t="shared" si="103"/>
        <v/>
      </c>
    </row>
    <row r="4616" spans="4:4" x14ac:dyDescent="0.3">
      <c r="D4616" t="str">
        <f t="shared" si="103"/>
        <v/>
      </c>
    </row>
    <row r="4617" spans="4:4" x14ac:dyDescent="0.3">
      <c r="D4617" t="str">
        <f t="shared" si="103"/>
        <v/>
      </c>
    </row>
    <row r="4618" spans="4:4" x14ac:dyDescent="0.3">
      <c r="D4618" t="str">
        <f t="shared" si="103"/>
        <v/>
      </c>
    </row>
    <row r="4619" spans="4:4" x14ac:dyDescent="0.3">
      <c r="D4619" t="str">
        <f t="shared" si="103"/>
        <v/>
      </c>
    </row>
    <row r="4620" spans="4:4" x14ac:dyDescent="0.3">
      <c r="D4620" t="str">
        <f t="shared" si="103"/>
        <v/>
      </c>
    </row>
    <row r="4621" spans="4:4" x14ac:dyDescent="0.3">
      <c r="D4621" t="str">
        <f t="shared" si="103"/>
        <v/>
      </c>
    </row>
    <row r="4622" spans="4:4" x14ac:dyDescent="0.3">
      <c r="D4622" t="str">
        <f t="shared" si="103"/>
        <v/>
      </c>
    </row>
    <row r="4623" spans="4:4" x14ac:dyDescent="0.3">
      <c r="D4623" t="str">
        <f t="shared" si="103"/>
        <v/>
      </c>
    </row>
    <row r="4624" spans="4:4" x14ac:dyDescent="0.3">
      <c r="D4624" t="str">
        <f t="shared" si="103"/>
        <v/>
      </c>
    </row>
    <row r="4625" spans="4:4" x14ac:dyDescent="0.3">
      <c r="D4625" t="str">
        <f t="shared" si="103"/>
        <v/>
      </c>
    </row>
    <row r="4626" spans="4:4" x14ac:dyDescent="0.3">
      <c r="D4626" t="str">
        <f t="shared" si="103"/>
        <v/>
      </c>
    </row>
    <row r="4627" spans="4:4" x14ac:dyDescent="0.3">
      <c r="D4627" t="str">
        <f t="shared" si="103"/>
        <v/>
      </c>
    </row>
    <row r="4628" spans="4:4" x14ac:dyDescent="0.3">
      <c r="D4628" t="str">
        <f t="shared" si="103"/>
        <v/>
      </c>
    </row>
    <row r="4629" spans="4:4" x14ac:dyDescent="0.3">
      <c r="D4629" t="str">
        <f t="shared" si="103"/>
        <v/>
      </c>
    </row>
    <row r="4630" spans="4:4" x14ac:dyDescent="0.3">
      <c r="D4630" t="str">
        <f t="shared" si="103"/>
        <v/>
      </c>
    </row>
    <row r="4631" spans="4:4" x14ac:dyDescent="0.3">
      <c r="D4631" t="str">
        <f t="shared" si="103"/>
        <v/>
      </c>
    </row>
    <row r="4632" spans="4:4" x14ac:dyDescent="0.3">
      <c r="D4632" t="str">
        <f t="shared" si="103"/>
        <v/>
      </c>
    </row>
    <row r="4633" spans="4:4" x14ac:dyDescent="0.3">
      <c r="D4633" t="str">
        <f t="shared" si="103"/>
        <v/>
      </c>
    </row>
    <row r="4634" spans="4:4" x14ac:dyDescent="0.3">
      <c r="D4634" t="str">
        <f t="shared" si="103"/>
        <v/>
      </c>
    </row>
    <row r="4635" spans="4:4" x14ac:dyDescent="0.3">
      <c r="D4635" t="str">
        <f t="shared" si="103"/>
        <v/>
      </c>
    </row>
    <row r="4636" spans="4:4" x14ac:dyDescent="0.3">
      <c r="D4636" t="str">
        <f t="shared" si="103"/>
        <v/>
      </c>
    </row>
    <row r="4637" spans="4:4" x14ac:dyDescent="0.3">
      <c r="D4637" t="str">
        <f t="shared" si="103"/>
        <v/>
      </c>
    </row>
    <row r="4638" spans="4:4" x14ac:dyDescent="0.3">
      <c r="D4638" t="str">
        <f t="shared" si="103"/>
        <v/>
      </c>
    </row>
    <row r="4639" spans="4:4" x14ac:dyDescent="0.3">
      <c r="D4639" t="str">
        <f t="shared" si="103"/>
        <v/>
      </c>
    </row>
    <row r="4640" spans="4:4" x14ac:dyDescent="0.3">
      <c r="D4640" t="str">
        <f t="shared" si="103"/>
        <v/>
      </c>
    </row>
    <row r="4641" spans="4:4" x14ac:dyDescent="0.3">
      <c r="D4641" t="str">
        <f t="shared" si="103"/>
        <v/>
      </c>
    </row>
    <row r="4642" spans="4:4" x14ac:dyDescent="0.3">
      <c r="D4642" t="str">
        <f t="shared" si="103"/>
        <v/>
      </c>
    </row>
    <row r="4643" spans="4:4" x14ac:dyDescent="0.3">
      <c r="D4643" t="str">
        <f t="shared" si="103"/>
        <v/>
      </c>
    </row>
    <row r="4644" spans="4:4" x14ac:dyDescent="0.3">
      <c r="D4644" t="str">
        <f t="shared" si="103"/>
        <v/>
      </c>
    </row>
    <row r="4645" spans="4:4" x14ac:dyDescent="0.3">
      <c r="D4645" t="str">
        <f t="shared" si="103"/>
        <v/>
      </c>
    </row>
    <row r="4646" spans="4:4" x14ac:dyDescent="0.3">
      <c r="D4646" t="str">
        <f t="shared" si="103"/>
        <v/>
      </c>
    </row>
    <row r="4647" spans="4:4" x14ac:dyDescent="0.3">
      <c r="D4647" t="str">
        <f t="shared" si="103"/>
        <v/>
      </c>
    </row>
    <row r="4648" spans="4:4" x14ac:dyDescent="0.3">
      <c r="D4648" t="str">
        <f t="shared" si="103"/>
        <v/>
      </c>
    </row>
    <row r="4649" spans="4:4" x14ac:dyDescent="0.3">
      <c r="D4649" t="str">
        <f t="shared" si="103"/>
        <v/>
      </c>
    </row>
    <row r="4650" spans="4:4" x14ac:dyDescent="0.3">
      <c r="D4650" t="str">
        <f t="shared" si="103"/>
        <v/>
      </c>
    </row>
    <row r="4651" spans="4:4" x14ac:dyDescent="0.3">
      <c r="D4651" t="str">
        <f t="shared" si="103"/>
        <v/>
      </c>
    </row>
    <row r="4652" spans="4:4" x14ac:dyDescent="0.3">
      <c r="D4652" t="str">
        <f t="shared" si="103"/>
        <v/>
      </c>
    </row>
    <row r="4653" spans="4:4" x14ac:dyDescent="0.3">
      <c r="D4653" t="str">
        <f t="shared" si="103"/>
        <v/>
      </c>
    </row>
    <row r="4654" spans="4:4" x14ac:dyDescent="0.3">
      <c r="D4654" t="str">
        <f t="shared" si="103"/>
        <v/>
      </c>
    </row>
    <row r="4655" spans="4:4" x14ac:dyDescent="0.3">
      <c r="D4655" t="str">
        <f t="shared" si="103"/>
        <v/>
      </c>
    </row>
    <row r="4656" spans="4:4" x14ac:dyDescent="0.3">
      <c r="D4656" t="str">
        <f t="shared" si="103"/>
        <v/>
      </c>
    </row>
    <row r="4657" spans="4:4" x14ac:dyDescent="0.3">
      <c r="D4657" t="str">
        <f t="shared" si="103"/>
        <v/>
      </c>
    </row>
    <row r="4658" spans="4:4" x14ac:dyDescent="0.3">
      <c r="D4658" t="str">
        <f t="shared" si="103"/>
        <v/>
      </c>
    </row>
    <row r="4659" spans="4:4" x14ac:dyDescent="0.3">
      <c r="D4659" t="str">
        <f t="shared" si="103"/>
        <v/>
      </c>
    </row>
    <row r="4660" spans="4:4" x14ac:dyDescent="0.3">
      <c r="D4660" t="str">
        <f t="shared" si="103"/>
        <v/>
      </c>
    </row>
    <row r="4661" spans="4:4" x14ac:dyDescent="0.3">
      <c r="D4661" t="str">
        <f t="shared" si="103"/>
        <v/>
      </c>
    </row>
    <row r="4662" spans="4:4" x14ac:dyDescent="0.3">
      <c r="D4662" t="str">
        <f t="shared" ref="D4662:D4725" si="104">IF(LEFT(A4662,2)="SP",MID(A4662,4,4),IF(LEFT(A4662,1)="X",MID(A4662,3,4),""))</f>
        <v/>
      </c>
    </row>
    <row r="4663" spans="4:4" x14ac:dyDescent="0.3">
      <c r="D4663" t="str">
        <f t="shared" si="104"/>
        <v/>
      </c>
    </row>
    <row r="4664" spans="4:4" x14ac:dyDescent="0.3">
      <c r="D4664" t="str">
        <f t="shared" si="104"/>
        <v/>
      </c>
    </row>
    <row r="4665" spans="4:4" x14ac:dyDescent="0.3">
      <c r="D4665" t="str">
        <f t="shared" si="104"/>
        <v/>
      </c>
    </row>
    <row r="4666" spans="4:4" x14ac:dyDescent="0.3">
      <c r="D4666" t="str">
        <f t="shared" si="104"/>
        <v/>
      </c>
    </row>
    <row r="4667" spans="4:4" x14ac:dyDescent="0.3">
      <c r="D4667" t="str">
        <f t="shared" si="104"/>
        <v/>
      </c>
    </row>
    <row r="4668" spans="4:4" x14ac:dyDescent="0.3">
      <c r="D4668" t="str">
        <f t="shared" si="104"/>
        <v/>
      </c>
    </row>
    <row r="4669" spans="4:4" x14ac:dyDescent="0.3">
      <c r="D4669" t="str">
        <f t="shared" si="104"/>
        <v/>
      </c>
    </row>
    <row r="4670" spans="4:4" x14ac:dyDescent="0.3">
      <c r="D4670" t="str">
        <f t="shared" si="104"/>
        <v/>
      </c>
    </row>
    <row r="4671" spans="4:4" x14ac:dyDescent="0.3">
      <c r="D4671" t="str">
        <f t="shared" si="104"/>
        <v/>
      </c>
    </row>
    <row r="4672" spans="4:4" x14ac:dyDescent="0.3">
      <c r="D4672" t="str">
        <f t="shared" si="104"/>
        <v/>
      </c>
    </row>
    <row r="4673" spans="4:4" x14ac:dyDescent="0.3">
      <c r="D4673" t="str">
        <f t="shared" si="104"/>
        <v/>
      </c>
    </row>
    <row r="4674" spans="4:4" x14ac:dyDescent="0.3">
      <c r="D4674" t="str">
        <f t="shared" si="104"/>
        <v/>
      </c>
    </row>
    <row r="4675" spans="4:4" x14ac:dyDescent="0.3">
      <c r="D4675" t="str">
        <f t="shared" si="104"/>
        <v/>
      </c>
    </row>
    <row r="4676" spans="4:4" x14ac:dyDescent="0.3">
      <c r="D4676" t="str">
        <f t="shared" si="104"/>
        <v/>
      </c>
    </row>
    <row r="4677" spans="4:4" x14ac:dyDescent="0.3">
      <c r="D4677" t="str">
        <f t="shared" si="104"/>
        <v/>
      </c>
    </row>
    <row r="4678" spans="4:4" x14ac:dyDescent="0.3">
      <c r="D4678" t="str">
        <f t="shared" si="104"/>
        <v/>
      </c>
    </row>
    <row r="4679" spans="4:4" x14ac:dyDescent="0.3">
      <c r="D4679" t="str">
        <f t="shared" si="104"/>
        <v/>
      </c>
    </row>
    <row r="4680" spans="4:4" x14ac:dyDescent="0.3">
      <c r="D4680" t="str">
        <f t="shared" si="104"/>
        <v/>
      </c>
    </row>
    <row r="4681" spans="4:4" x14ac:dyDescent="0.3">
      <c r="D4681" t="str">
        <f t="shared" si="104"/>
        <v/>
      </c>
    </row>
    <row r="4682" spans="4:4" x14ac:dyDescent="0.3">
      <c r="D4682" t="str">
        <f t="shared" si="104"/>
        <v/>
      </c>
    </row>
    <row r="4683" spans="4:4" x14ac:dyDescent="0.3">
      <c r="D4683" t="str">
        <f t="shared" si="104"/>
        <v/>
      </c>
    </row>
    <row r="4684" spans="4:4" x14ac:dyDescent="0.3">
      <c r="D4684" t="str">
        <f t="shared" si="104"/>
        <v/>
      </c>
    </row>
    <row r="4685" spans="4:4" x14ac:dyDescent="0.3">
      <c r="D4685" t="str">
        <f t="shared" si="104"/>
        <v/>
      </c>
    </row>
    <row r="4686" spans="4:4" x14ac:dyDescent="0.3">
      <c r="D4686" t="str">
        <f t="shared" si="104"/>
        <v/>
      </c>
    </row>
    <row r="4687" spans="4:4" x14ac:dyDescent="0.3">
      <c r="D4687" t="str">
        <f t="shared" si="104"/>
        <v/>
      </c>
    </row>
    <row r="4688" spans="4:4" x14ac:dyDescent="0.3">
      <c r="D4688" t="str">
        <f t="shared" si="104"/>
        <v/>
      </c>
    </row>
    <row r="4689" spans="4:4" x14ac:dyDescent="0.3">
      <c r="D4689" t="str">
        <f t="shared" si="104"/>
        <v/>
      </c>
    </row>
    <row r="4690" spans="4:4" x14ac:dyDescent="0.3">
      <c r="D4690" t="str">
        <f t="shared" si="104"/>
        <v/>
      </c>
    </row>
    <row r="4691" spans="4:4" x14ac:dyDescent="0.3">
      <c r="D4691" t="str">
        <f t="shared" si="104"/>
        <v/>
      </c>
    </row>
    <row r="4692" spans="4:4" x14ac:dyDescent="0.3">
      <c r="D4692" t="str">
        <f t="shared" si="104"/>
        <v/>
      </c>
    </row>
    <row r="4693" spans="4:4" x14ac:dyDescent="0.3">
      <c r="D4693" t="str">
        <f t="shared" si="104"/>
        <v/>
      </c>
    </row>
    <row r="4694" spans="4:4" x14ac:dyDescent="0.3">
      <c r="D4694" t="str">
        <f t="shared" si="104"/>
        <v/>
      </c>
    </row>
    <row r="4695" spans="4:4" x14ac:dyDescent="0.3">
      <c r="D4695" t="str">
        <f t="shared" si="104"/>
        <v/>
      </c>
    </row>
    <row r="4696" spans="4:4" x14ac:dyDescent="0.3">
      <c r="D4696" t="str">
        <f t="shared" si="104"/>
        <v/>
      </c>
    </row>
    <row r="4697" spans="4:4" x14ac:dyDescent="0.3">
      <c r="D4697" t="str">
        <f t="shared" si="104"/>
        <v/>
      </c>
    </row>
    <row r="4698" spans="4:4" x14ac:dyDescent="0.3">
      <c r="D4698" t="str">
        <f t="shared" si="104"/>
        <v/>
      </c>
    </row>
    <row r="4699" spans="4:4" x14ac:dyDescent="0.3">
      <c r="D4699" t="str">
        <f t="shared" si="104"/>
        <v/>
      </c>
    </row>
    <row r="4700" spans="4:4" x14ac:dyDescent="0.3">
      <c r="D4700" t="str">
        <f t="shared" si="104"/>
        <v/>
      </c>
    </row>
    <row r="4701" spans="4:4" x14ac:dyDescent="0.3">
      <c r="D4701" t="str">
        <f t="shared" si="104"/>
        <v/>
      </c>
    </row>
    <row r="4702" spans="4:4" x14ac:dyDescent="0.3">
      <c r="D4702" t="str">
        <f t="shared" si="104"/>
        <v/>
      </c>
    </row>
    <row r="4703" spans="4:4" x14ac:dyDescent="0.3">
      <c r="D4703" t="str">
        <f t="shared" si="104"/>
        <v/>
      </c>
    </row>
    <row r="4704" spans="4:4" x14ac:dyDescent="0.3">
      <c r="D4704" t="str">
        <f t="shared" si="104"/>
        <v/>
      </c>
    </row>
    <row r="4705" spans="4:4" x14ac:dyDescent="0.3">
      <c r="D4705" t="str">
        <f t="shared" si="104"/>
        <v/>
      </c>
    </row>
    <row r="4706" spans="4:4" x14ac:dyDescent="0.3">
      <c r="D4706" t="str">
        <f t="shared" si="104"/>
        <v/>
      </c>
    </row>
    <row r="4707" spans="4:4" x14ac:dyDescent="0.3">
      <c r="D4707" t="str">
        <f t="shared" si="104"/>
        <v/>
      </c>
    </row>
    <row r="4708" spans="4:4" x14ac:dyDescent="0.3">
      <c r="D4708" t="str">
        <f t="shared" si="104"/>
        <v/>
      </c>
    </row>
    <row r="4709" spans="4:4" x14ac:dyDescent="0.3">
      <c r="D4709" t="str">
        <f t="shared" si="104"/>
        <v/>
      </c>
    </row>
    <row r="4710" spans="4:4" x14ac:dyDescent="0.3">
      <c r="D4710" t="str">
        <f t="shared" si="104"/>
        <v/>
      </c>
    </row>
    <row r="4711" spans="4:4" x14ac:dyDescent="0.3">
      <c r="D4711" t="str">
        <f t="shared" si="104"/>
        <v/>
      </c>
    </row>
    <row r="4712" spans="4:4" x14ac:dyDescent="0.3">
      <c r="D4712" t="str">
        <f t="shared" si="104"/>
        <v/>
      </c>
    </row>
    <row r="4713" spans="4:4" x14ac:dyDescent="0.3">
      <c r="D4713" t="str">
        <f t="shared" si="104"/>
        <v/>
      </c>
    </row>
    <row r="4714" spans="4:4" x14ac:dyDescent="0.3">
      <c r="D4714" t="str">
        <f t="shared" si="104"/>
        <v/>
      </c>
    </row>
    <row r="4715" spans="4:4" x14ac:dyDescent="0.3">
      <c r="D4715" t="str">
        <f t="shared" si="104"/>
        <v/>
      </c>
    </row>
    <row r="4716" spans="4:4" x14ac:dyDescent="0.3">
      <c r="D4716" t="str">
        <f t="shared" si="104"/>
        <v/>
      </c>
    </row>
    <row r="4717" spans="4:4" x14ac:dyDescent="0.3">
      <c r="D4717" t="str">
        <f t="shared" si="104"/>
        <v/>
      </c>
    </row>
    <row r="4718" spans="4:4" x14ac:dyDescent="0.3">
      <c r="D4718" t="str">
        <f t="shared" si="104"/>
        <v/>
      </c>
    </row>
    <row r="4719" spans="4:4" x14ac:dyDescent="0.3">
      <c r="D4719" t="str">
        <f t="shared" si="104"/>
        <v/>
      </c>
    </row>
    <row r="4720" spans="4:4" x14ac:dyDescent="0.3">
      <c r="D4720" t="str">
        <f t="shared" si="104"/>
        <v/>
      </c>
    </row>
    <row r="4721" spans="4:4" x14ac:dyDescent="0.3">
      <c r="D4721" t="str">
        <f t="shared" si="104"/>
        <v/>
      </c>
    </row>
    <row r="4722" spans="4:4" x14ac:dyDescent="0.3">
      <c r="D4722" t="str">
        <f t="shared" si="104"/>
        <v/>
      </c>
    </row>
    <row r="4723" spans="4:4" x14ac:dyDescent="0.3">
      <c r="D4723" t="str">
        <f t="shared" si="104"/>
        <v/>
      </c>
    </row>
    <row r="4724" spans="4:4" x14ac:dyDescent="0.3">
      <c r="D4724" t="str">
        <f t="shared" si="104"/>
        <v/>
      </c>
    </row>
    <row r="4725" spans="4:4" x14ac:dyDescent="0.3">
      <c r="D4725" t="str">
        <f t="shared" si="104"/>
        <v/>
      </c>
    </row>
    <row r="4726" spans="4:4" x14ac:dyDescent="0.3">
      <c r="D4726" t="str">
        <f t="shared" ref="D4726:D4789" si="105">IF(LEFT(A4726,2)="SP",MID(A4726,4,4),IF(LEFT(A4726,1)="X",MID(A4726,3,4),""))</f>
        <v/>
      </c>
    </row>
    <row r="4727" spans="4:4" x14ac:dyDescent="0.3">
      <c r="D4727" t="str">
        <f t="shared" si="105"/>
        <v/>
      </c>
    </row>
    <row r="4728" spans="4:4" x14ac:dyDescent="0.3">
      <c r="D4728" t="str">
        <f t="shared" si="105"/>
        <v/>
      </c>
    </row>
    <row r="4729" spans="4:4" x14ac:dyDescent="0.3">
      <c r="D4729" t="str">
        <f t="shared" si="105"/>
        <v/>
      </c>
    </row>
    <row r="4730" spans="4:4" x14ac:dyDescent="0.3">
      <c r="D4730" t="str">
        <f t="shared" si="105"/>
        <v/>
      </c>
    </row>
    <row r="4731" spans="4:4" x14ac:dyDescent="0.3">
      <c r="D4731" t="str">
        <f t="shared" si="105"/>
        <v/>
      </c>
    </row>
    <row r="4732" spans="4:4" x14ac:dyDescent="0.3">
      <c r="D4732" t="str">
        <f t="shared" si="105"/>
        <v/>
      </c>
    </row>
    <row r="4733" spans="4:4" x14ac:dyDescent="0.3">
      <c r="D4733" t="str">
        <f t="shared" si="105"/>
        <v/>
      </c>
    </row>
    <row r="4734" spans="4:4" x14ac:dyDescent="0.3">
      <c r="D4734" t="str">
        <f t="shared" si="105"/>
        <v/>
      </c>
    </row>
    <row r="4735" spans="4:4" x14ac:dyDescent="0.3">
      <c r="D4735" t="str">
        <f t="shared" si="105"/>
        <v/>
      </c>
    </row>
    <row r="4736" spans="4:4" x14ac:dyDescent="0.3">
      <c r="D4736" t="str">
        <f t="shared" si="105"/>
        <v/>
      </c>
    </row>
    <row r="4737" spans="4:4" x14ac:dyDescent="0.3">
      <c r="D4737" t="str">
        <f t="shared" si="105"/>
        <v/>
      </c>
    </row>
    <row r="4738" spans="4:4" x14ac:dyDescent="0.3">
      <c r="D4738" t="str">
        <f t="shared" si="105"/>
        <v/>
      </c>
    </row>
    <row r="4739" spans="4:4" x14ac:dyDescent="0.3">
      <c r="D4739" t="str">
        <f t="shared" si="105"/>
        <v/>
      </c>
    </row>
    <row r="4740" spans="4:4" x14ac:dyDescent="0.3">
      <c r="D4740" t="str">
        <f t="shared" si="105"/>
        <v/>
      </c>
    </row>
    <row r="4741" spans="4:4" x14ac:dyDescent="0.3">
      <c r="D4741" t="str">
        <f t="shared" si="105"/>
        <v/>
      </c>
    </row>
    <row r="4742" spans="4:4" x14ac:dyDescent="0.3">
      <c r="D4742" t="str">
        <f t="shared" si="105"/>
        <v/>
      </c>
    </row>
    <row r="4743" spans="4:4" x14ac:dyDescent="0.3">
      <c r="D4743" t="str">
        <f t="shared" si="105"/>
        <v/>
      </c>
    </row>
    <row r="4744" spans="4:4" x14ac:dyDescent="0.3">
      <c r="D4744" t="str">
        <f t="shared" si="105"/>
        <v/>
      </c>
    </row>
    <row r="4745" spans="4:4" x14ac:dyDescent="0.3">
      <c r="D4745" t="str">
        <f t="shared" si="105"/>
        <v/>
      </c>
    </row>
    <row r="4746" spans="4:4" x14ac:dyDescent="0.3">
      <c r="D4746" t="str">
        <f t="shared" si="105"/>
        <v/>
      </c>
    </row>
    <row r="4747" spans="4:4" x14ac:dyDescent="0.3">
      <c r="D4747" t="str">
        <f t="shared" si="105"/>
        <v/>
      </c>
    </row>
    <row r="4748" spans="4:4" x14ac:dyDescent="0.3">
      <c r="D4748" t="str">
        <f t="shared" si="105"/>
        <v/>
      </c>
    </row>
    <row r="4749" spans="4:4" x14ac:dyDescent="0.3">
      <c r="D4749" t="str">
        <f t="shared" si="105"/>
        <v/>
      </c>
    </row>
    <row r="4750" spans="4:4" x14ac:dyDescent="0.3">
      <c r="D4750" t="str">
        <f t="shared" si="105"/>
        <v/>
      </c>
    </row>
    <row r="4751" spans="4:4" x14ac:dyDescent="0.3">
      <c r="D4751" t="str">
        <f t="shared" si="105"/>
        <v/>
      </c>
    </row>
    <row r="4752" spans="4:4" x14ac:dyDescent="0.3">
      <c r="D4752" t="str">
        <f t="shared" si="105"/>
        <v/>
      </c>
    </row>
    <row r="4753" spans="4:4" x14ac:dyDescent="0.3">
      <c r="D4753" t="str">
        <f t="shared" si="105"/>
        <v/>
      </c>
    </row>
    <row r="4754" spans="4:4" x14ac:dyDescent="0.3">
      <c r="D4754" t="str">
        <f t="shared" si="105"/>
        <v/>
      </c>
    </row>
    <row r="4755" spans="4:4" x14ac:dyDescent="0.3">
      <c r="D4755" t="str">
        <f t="shared" si="105"/>
        <v/>
      </c>
    </row>
    <row r="4756" spans="4:4" x14ac:dyDescent="0.3">
      <c r="D4756" t="str">
        <f t="shared" si="105"/>
        <v/>
      </c>
    </row>
    <row r="4757" spans="4:4" x14ac:dyDescent="0.3">
      <c r="D4757" t="str">
        <f t="shared" si="105"/>
        <v/>
      </c>
    </row>
    <row r="4758" spans="4:4" x14ac:dyDescent="0.3">
      <c r="D4758" t="str">
        <f t="shared" si="105"/>
        <v/>
      </c>
    </row>
    <row r="4759" spans="4:4" x14ac:dyDescent="0.3">
      <c r="D4759" t="str">
        <f t="shared" si="105"/>
        <v/>
      </c>
    </row>
    <row r="4760" spans="4:4" x14ac:dyDescent="0.3">
      <c r="D4760" t="str">
        <f t="shared" si="105"/>
        <v/>
      </c>
    </row>
    <row r="4761" spans="4:4" x14ac:dyDescent="0.3">
      <c r="D4761" t="str">
        <f t="shared" si="105"/>
        <v/>
      </c>
    </row>
    <row r="4762" spans="4:4" x14ac:dyDescent="0.3">
      <c r="D4762" t="str">
        <f t="shared" si="105"/>
        <v/>
      </c>
    </row>
    <row r="4763" spans="4:4" x14ac:dyDescent="0.3">
      <c r="D4763" t="str">
        <f t="shared" si="105"/>
        <v/>
      </c>
    </row>
    <row r="4764" spans="4:4" x14ac:dyDescent="0.3">
      <c r="D4764" t="str">
        <f t="shared" si="105"/>
        <v/>
      </c>
    </row>
    <row r="4765" spans="4:4" x14ac:dyDescent="0.3">
      <c r="D4765" t="str">
        <f t="shared" si="105"/>
        <v/>
      </c>
    </row>
    <row r="4766" spans="4:4" x14ac:dyDescent="0.3">
      <c r="D4766" t="str">
        <f t="shared" si="105"/>
        <v/>
      </c>
    </row>
    <row r="4767" spans="4:4" x14ac:dyDescent="0.3">
      <c r="D4767" t="str">
        <f t="shared" si="105"/>
        <v/>
      </c>
    </row>
    <row r="4768" spans="4:4" x14ac:dyDescent="0.3">
      <c r="D4768" t="str">
        <f t="shared" si="105"/>
        <v/>
      </c>
    </row>
    <row r="4769" spans="4:4" x14ac:dyDescent="0.3">
      <c r="D4769" t="str">
        <f t="shared" si="105"/>
        <v/>
      </c>
    </row>
    <row r="4770" spans="4:4" x14ac:dyDescent="0.3">
      <c r="D4770" t="str">
        <f t="shared" si="105"/>
        <v/>
      </c>
    </row>
    <row r="4771" spans="4:4" x14ac:dyDescent="0.3">
      <c r="D4771" t="str">
        <f t="shared" si="105"/>
        <v/>
      </c>
    </row>
    <row r="4772" spans="4:4" x14ac:dyDescent="0.3">
      <c r="D4772" t="str">
        <f t="shared" si="105"/>
        <v/>
      </c>
    </row>
    <row r="4773" spans="4:4" x14ac:dyDescent="0.3">
      <c r="D4773" t="str">
        <f t="shared" si="105"/>
        <v/>
      </c>
    </row>
    <row r="4774" spans="4:4" x14ac:dyDescent="0.3">
      <c r="D4774" t="str">
        <f t="shared" si="105"/>
        <v/>
      </c>
    </row>
    <row r="4775" spans="4:4" x14ac:dyDescent="0.3">
      <c r="D4775" t="str">
        <f t="shared" si="105"/>
        <v/>
      </c>
    </row>
    <row r="4776" spans="4:4" x14ac:dyDescent="0.3">
      <c r="D4776" t="str">
        <f t="shared" si="105"/>
        <v/>
      </c>
    </row>
    <row r="4777" spans="4:4" x14ac:dyDescent="0.3">
      <c r="D4777" t="str">
        <f t="shared" si="105"/>
        <v/>
      </c>
    </row>
    <row r="4778" spans="4:4" x14ac:dyDescent="0.3">
      <c r="D4778" t="str">
        <f t="shared" si="105"/>
        <v/>
      </c>
    </row>
    <row r="4779" spans="4:4" x14ac:dyDescent="0.3">
      <c r="D4779" t="str">
        <f t="shared" si="105"/>
        <v/>
      </c>
    </row>
    <row r="4780" spans="4:4" x14ac:dyDescent="0.3">
      <c r="D4780" t="str">
        <f t="shared" si="105"/>
        <v/>
      </c>
    </row>
    <row r="4781" spans="4:4" x14ac:dyDescent="0.3">
      <c r="D4781" t="str">
        <f t="shared" si="105"/>
        <v/>
      </c>
    </row>
    <row r="4782" spans="4:4" x14ac:dyDescent="0.3">
      <c r="D4782" t="str">
        <f t="shared" si="105"/>
        <v/>
      </c>
    </row>
    <row r="4783" spans="4:4" x14ac:dyDescent="0.3">
      <c r="D4783" t="str">
        <f t="shared" si="105"/>
        <v/>
      </c>
    </row>
    <row r="4784" spans="4:4" x14ac:dyDescent="0.3">
      <c r="D4784" t="str">
        <f t="shared" si="105"/>
        <v/>
      </c>
    </row>
    <row r="4785" spans="4:4" x14ac:dyDescent="0.3">
      <c r="D4785" t="str">
        <f t="shared" si="105"/>
        <v/>
      </c>
    </row>
    <row r="4786" spans="4:4" x14ac:dyDescent="0.3">
      <c r="D4786" t="str">
        <f t="shared" si="105"/>
        <v/>
      </c>
    </row>
    <row r="4787" spans="4:4" x14ac:dyDescent="0.3">
      <c r="D4787" t="str">
        <f t="shared" si="105"/>
        <v/>
      </c>
    </row>
    <row r="4788" spans="4:4" x14ac:dyDescent="0.3">
      <c r="D4788" t="str">
        <f t="shared" si="105"/>
        <v/>
      </c>
    </row>
    <row r="4789" spans="4:4" x14ac:dyDescent="0.3">
      <c r="D4789" t="str">
        <f t="shared" si="105"/>
        <v/>
      </c>
    </row>
    <row r="4790" spans="4:4" x14ac:dyDescent="0.3">
      <c r="D4790" t="str">
        <f t="shared" ref="D4790:D4853" si="106">IF(LEFT(A4790,2)="SP",MID(A4790,4,4),IF(LEFT(A4790,1)="X",MID(A4790,3,4),""))</f>
        <v/>
      </c>
    </row>
    <row r="4791" spans="4:4" x14ac:dyDescent="0.3">
      <c r="D4791" t="str">
        <f t="shared" si="106"/>
        <v/>
      </c>
    </row>
    <row r="4792" spans="4:4" x14ac:dyDescent="0.3">
      <c r="D4792" t="str">
        <f t="shared" si="106"/>
        <v/>
      </c>
    </row>
    <row r="4793" spans="4:4" x14ac:dyDescent="0.3">
      <c r="D4793" t="str">
        <f t="shared" si="106"/>
        <v/>
      </c>
    </row>
    <row r="4794" spans="4:4" x14ac:dyDescent="0.3">
      <c r="D4794" t="str">
        <f t="shared" si="106"/>
        <v/>
      </c>
    </row>
    <row r="4795" spans="4:4" x14ac:dyDescent="0.3">
      <c r="D4795" t="str">
        <f t="shared" si="106"/>
        <v/>
      </c>
    </row>
    <row r="4796" spans="4:4" x14ac:dyDescent="0.3">
      <c r="D4796" t="str">
        <f t="shared" si="106"/>
        <v/>
      </c>
    </row>
    <row r="4797" spans="4:4" x14ac:dyDescent="0.3">
      <c r="D4797" t="str">
        <f t="shared" si="106"/>
        <v/>
      </c>
    </row>
    <row r="4798" spans="4:4" x14ac:dyDescent="0.3">
      <c r="D4798" t="str">
        <f t="shared" si="106"/>
        <v/>
      </c>
    </row>
    <row r="4799" spans="4:4" x14ac:dyDescent="0.3">
      <c r="D4799" t="str">
        <f t="shared" si="106"/>
        <v/>
      </c>
    </row>
    <row r="4800" spans="4:4" x14ac:dyDescent="0.3">
      <c r="D4800" t="str">
        <f t="shared" si="106"/>
        <v/>
      </c>
    </row>
    <row r="4801" spans="4:4" x14ac:dyDescent="0.3">
      <c r="D4801" t="str">
        <f t="shared" si="106"/>
        <v/>
      </c>
    </row>
    <row r="4802" spans="4:4" x14ac:dyDescent="0.3">
      <c r="D4802" t="str">
        <f t="shared" si="106"/>
        <v/>
      </c>
    </row>
    <row r="4803" spans="4:4" x14ac:dyDescent="0.3">
      <c r="D4803" t="str">
        <f t="shared" si="106"/>
        <v/>
      </c>
    </row>
    <row r="4804" spans="4:4" x14ac:dyDescent="0.3">
      <c r="D4804" t="str">
        <f t="shared" si="106"/>
        <v/>
      </c>
    </row>
    <row r="4805" spans="4:4" x14ac:dyDescent="0.3">
      <c r="D4805" t="str">
        <f t="shared" si="106"/>
        <v/>
      </c>
    </row>
    <row r="4806" spans="4:4" x14ac:dyDescent="0.3">
      <c r="D4806" t="str">
        <f t="shared" si="106"/>
        <v/>
      </c>
    </row>
    <row r="4807" spans="4:4" x14ac:dyDescent="0.3">
      <c r="D4807" t="str">
        <f t="shared" si="106"/>
        <v/>
      </c>
    </row>
    <row r="4808" spans="4:4" x14ac:dyDescent="0.3">
      <c r="D4808" t="str">
        <f t="shared" si="106"/>
        <v/>
      </c>
    </row>
    <row r="4809" spans="4:4" x14ac:dyDescent="0.3">
      <c r="D4809" t="str">
        <f t="shared" si="106"/>
        <v/>
      </c>
    </row>
    <row r="4810" spans="4:4" x14ac:dyDescent="0.3">
      <c r="D4810" t="str">
        <f t="shared" si="106"/>
        <v/>
      </c>
    </row>
    <row r="4811" spans="4:4" x14ac:dyDescent="0.3">
      <c r="D4811" t="str">
        <f t="shared" si="106"/>
        <v/>
      </c>
    </row>
    <row r="4812" spans="4:4" x14ac:dyDescent="0.3">
      <c r="D4812" t="str">
        <f t="shared" si="106"/>
        <v/>
      </c>
    </row>
    <row r="4813" spans="4:4" x14ac:dyDescent="0.3">
      <c r="D4813" t="str">
        <f t="shared" si="106"/>
        <v/>
      </c>
    </row>
    <row r="4814" spans="4:4" x14ac:dyDescent="0.3">
      <c r="D4814" t="str">
        <f t="shared" si="106"/>
        <v/>
      </c>
    </row>
    <row r="4815" spans="4:4" x14ac:dyDescent="0.3">
      <c r="D4815" t="str">
        <f t="shared" si="106"/>
        <v/>
      </c>
    </row>
    <row r="4816" spans="4:4" x14ac:dyDescent="0.3">
      <c r="D4816" t="str">
        <f t="shared" si="106"/>
        <v/>
      </c>
    </row>
    <row r="4817" spans="4:4" x14ac:dyDescent="0.3">
      <c r="D4817" t="str">
        <f t="shared" si="106"/>
        <v/>
      </c>
    </row>
    <row r="4818" spans="4:4" x14ac:dyDescent="0.3">
      <c r="D4818" t="str">
        <f t="shared" si="106"/>
        <v/>
      </c>
    </row>
    <row r="4819" spans="4:4" x14ac:dyDescent="0.3">
      <c r="D4819" t="str">
        <f t="shared" si="106"/>
        <v/>
      </c>
    </row>
    <row r="4820" spans="4:4" x14ac:dyDescent="0.3">
      <c r="D4820" t="str">
        <f t="shared" si="106"/>
        <v/>
      </c>
    </row>
    <row r="4821" spans="4:4" x14ac:dyDescent="0.3">
      <c r="D4821" t="str">
        <f t="shared" si="106"/>
        <v/>
      </c>
    </row>
    <row r="4822" spans="4:4" x14ac:dyDescent="0.3">
      <c r="D4822" t="str">
        <f t="shared" si="106"/>
        <v/>
      </c>
    </row>
    <row r="4823" spans="4:4" x14ac:dyDescent="0.3">
      <c r="D4823" t="str">
        <f t="shared" si="106"/>
        <v/>
      </c>
    </row>
    <row r="4824" spans="4:4" x14ac:dyDescent="0.3">
      <c r="D4824" t="str">
        <f t="shared" si="106"/>
        <v/>
      </c>
    </row>
    <row r="4825" spans="4:4" x14ac:dyDescent="0.3">
      <c r="D4825" t="str">
        <f t="shared" si="106"/>
        <v/>
      </c>
    </row>
    <row r="4826" spans="4:4" x14ac:dyDescent="0.3">
      <c r="D4826" t="str">
        <f t="shared" si="106"/>
        <v/>
      </c>
    </row>
    <row r="4827" spans="4:4" x14ac:dyDescent="0.3">
      <c r="D4827" t="str">
        <f t="shared" si="106"/>
        <v/>
      </c>
    </row>
    <row r="4828" spans="4:4" x14ac:dyDescent="0.3">
      <c r="D4828" t="str">
        <f t="shared" si="106"/>
        <v/>
      </c>
    </row>
    <row r="4829" spans="4:4" x14ac:dyDescent="0.3">
      <c r="D4829" t="str">
        <f t="shared" si="106"/>
        <v/>
      </c>
    </row>
    <row r="4830" spans="4:4" x14ac:dyDescent="0.3">
      <c r="D4830" t="str">
        <f t="shared" si="106"/>
        <v/>
      </c>
    </row>
    <row r="4831" spans="4:4" x14ac:dyDescent="0.3">
      <c r="D4831" t="str">
        <f t="shared" si="106"/>
        <v/>
      </c>
    </row>
    <row r="4832" spans="4:4" x14ac:dyDescent="0.3">
      <c r="D4832" t="str">
        <f t="shared" si="106"/>
        <v/>
      </c>
    </row>
    <row r="4833" spans="4:4" x14ac:dyDescent="0.3">
      <c r="D4833" t="str">
        <f t="shared" si="106"/>
        <v/>
      </c>
    </row>
    <row r="4834" spans="4:4" x14ac:dyDescent="0.3">
      <c r="D4834" t="str">
        <f t="shared" si="106"/>
        <v/>
      </c>
    </row>
    <row r="4835" spans="4:4" x14ac:dyDescent="0.3">
      <c r="D4835" t="str">
        <f t="shared" si="106"/>
        <v/>
      </c>
    </row>
    <row r="4836" spans="4:4" x14ac:dyDescent="0.3">
      <c r="D4836" t="str">
        <f t="shared" si="106"/>
        <v/>
      </c>
    </row>
    <row r="4837" spans="4:4" x14ac:dyDescent="0.3">
      <c r="D4837" t="str">
        <f t="shared" si="106"/>
        <v/>
      </c>
    </row>
    <row r="4838" spans="4:4" x14ac:dyDescent="0.3">
      <c r="D4838" t="str">
        <f t="shared" si="106"/>
        <v/>
      </c>
    </row>
    <row r="4839" spans="4:4" x14ac:dyDescent="0.3">
      <c r="D4839" t="str">
        <f t="shared" si="106"/>
        <v/>
      </c>
    </row>
    <row r="4840" spans="4:4" x14ac:dyDescent="0.3">
      <c r="D4840" t="str">
        <f t="shared" si="106"/>
        <v/>
      </c>
    </row>
    <row r="4841" spans="4:4" x14ac:dyDescent="0.3">
      <c r="D4841" t="str">
        <f t="shared" si="106"/>
        <v/>
      </c>
    </row>
    <row r="4842" spans="4:4" x14ac:dyDescent="0.3">
      <c r="D4842" t="str">
        <f t="shared" si="106"/>
        <v/>
      </c>
    </row>
    <row r="4843" spans="4:4" x14ac:dyDescent="0.3">
      <c r="D4843" t="str">
        <f t="shared" si="106"/>
        <v/>
      </c>
    </row>
    <row r="4844" spans="4:4" x14ac:dyDescent="0.3">
      <c r="D4844" t="str">
        <f t="shared" si="106"/>
        <v/>
      </c>
    </row>
    <row r="4845" spans="4:4" x14ac:dyDescent="0.3">
      <c r="D4845" t="str">
        <f t="shared" si="106"/>
        <v/>
      </c>
    </row>
    <row r="4846" spans="4:4" x14ac:dyDescent="0.3">
      <c r="D4846" t="str">
        <f t="shared" si="106"/>
        <v/>
      </c>
    </row>
    <row r="4847" spans="4:4" x14ac:dyDescent="0.3">
      <c r="D4847" t="str">
        <f t="shared" si="106"/>
        <v/>
      </c>
    </row>
    <row r="4848" spans="4:4" x14ac:dyDescent="0.3">
      <c r="D4848" t="str">
        <f t="shared" si="106"/>
        <v/>
      </c>
    </row>
    <row r="4849" spans="4:4" x14ac:dyDescent="0.3">
      <c r="D4849" t="str">
        <f t="shared" si="106"/>
        <v/>
      </c>
    </row>
    <row r="4850" spans="4:4" x14ac:dyDescent="0.3">
      <c r="D4850" t="str">
        <f t="shared" si="106"/>
        <v/>
      </c>
    </row>
    <row r="4851" spans="4:4" x14ac:dyDescent="0.3">
      <c r="D4851" t="str">
        <f t="shared" si="106"/>
        <v/>
      </c>
    </row>
    <row r="4852" spans="4:4" x14ac:dyDescent="0.3">
      <c r="D4852" t="str">
        <f t="shared" si="106"/>
        <v/>
      </c>
    </row>
    <row r="4853" spans="4:4" x14ac:dyDescent="0.3">
      <c r="D4853" t="str">
        <f t="shared" si="106"/>
        <v/>
      </c>
    </row>
    <row r="4854" spans="4:4" x14ac:dyDescent="0.3">
      <c r="D4854" t="str">
        <f t="shared" ref="D4854:D4917" si="107">IF(LEFT(A4854,2)="SP",MID(A4854,4,4),IF(LEFT(A4854,1)="X",MID(A4854,3,4),""))</f>
        <v/>
      </c>
    </row>
    <row r="4855" spans="4:4" x14ac:dyDescent="0.3">
      <c r="D4855" t="str">
        <f t="shared" si="107"/>
        <v/>
      </c>
    </row>
    <row r="4856" spans="4:4" x14ac:dyDescent="0.3">
      <c r="D4856" t="str">
        <f t="shared" si="107"/>
        <v/>
      </c>
    </row>
    <row r="4857" spans="4:4" x14ac:dyDescent="0.3">
      <c r="D4857" t="str">
        <f t="shared" si="107"/>
        <v/>
      </c>
    </row>
    <row r="4858" spans="4:4" x14ac:dyDescent="0.3">
      <c r="D4858" t="str">
        <f t="shared" si="107"/>
        <v/>
      </c>
    </row>
    <row r="4859" spans="4:4" x14ac:dyDescent="0.3">
      <c r="D4859" t="str">
        <f t="shared" si="107"/>
        <v/>
      </c>
    </row>
    <row r="4860" spans="4:4" x14ac:dyDescent="0.3">
      <c r="D4860" t="str">
        <f t="shared" si="107"/>
        <v/>
      </c>
    </row>
    <row r="4861" spans="4:4" x14ac:dyDescent="0.3">
      <c r="D4861" t="str">
        <f t="shared" si="107"/>
        <v/>
      </c>
    </row>
    <row r="4862" spans="4:4" x14ac:dyDescent="0.3">
      <c r="D4862" t="str">
        <f t="shared" si="107"/>
        <v/>
      </c>
    </row>
    <row r="4863" spans="4:4" x14ac:dyDescent="0.3">
      <c r="D4863" t="str">
        <f t="shared" si="107"/>
        <v/>
      </c>
    </row>
    <row r="4864" spans="4:4" x14ac:dyDescent="0.3">
      <c r="D4864" t="str">
        <f t="shared" si="107"/>
        <v/>
      </c>
    </row>
    <row r="4865" spans="4:4" x14ac:dyDescent="0.3">
      <c r="D4865" t="str">
        <f t="shared" si="107"/>
        <v/>
      </c>
    </row>
    <row r="4866" spans="4:4" x14ac:dyDescent="0.3">
      <c r="D4866" t="str">
        <f t="shared" si="107"/>
        <v/>
      </c>
    </row>
    <row r="4867" spans="4:4" x14ac:dyDescent="0.3">
      <c r="D4867" t="str">
        <f t="shared" si="107"/>
        <v/>
      </c>
    </row>
    <row r="4868" spans="4:4" x14ac:dyDescent="0.3">
      <c r="D4868" t="str">
        <f t="shared" si="107"/>
        <v/>
      </c>
    </row>
    <row r="4869" spans="4:4" x14ac:dyDescent="0.3">
      <c r="D4869" t="str">
        <f t="shared" si="107"/>
        <v/>
      </c>
    </row>
    <row r="4870" spans="4:4" x14ac:dyDescent="0.3">
      <c r="D4870" t="str">
        <f t="shared" si="107"/>
        <v/>
      </c>
    </row>
    <row r="4871" spans="4:4" x14ac:dyDescent="0.3">
      <c r="D4871" t="str">
        <f t="shared" si="107"/>
        <v/>
      </c>
    </row>
    <row r="4872" spans="4:4" x14ac:dyDescent="0.3">
      <c r="D4872" t="str">
        <f t="shared" si="107"/>
        <v/>
      </c>
    </row>
    <row r="4873" spans="4:4" x14ac:dyDescent="0.3">
      <c r="D4873" t="str">
        <f t="shared" si="107"/>
        <v/>
      </c>
    </row>
    <row r="4874" spans="4:4" x14ac:dyDescent="0.3">
      <c r="D4874" t="str">
        <f t="shared" si="107"/>
        <v/>
      </c>
    </row>
    <row r="4875" spans="4:4" x14ac:dyDescent="0.3">
      <c r="D4875" t="str">
        <f t="shared" si="107"/>
        <v/>
      </c>
    </row>
    <row r="4876" spans="4:4" x14ac:dyDescent="0.3">
      <c r="D4876" t="str">
        <f t="shared" si="107"/>
        <v/>
      </c>
    </row>
    <row r="4877" spans="4:4" x14ac:dyDescent="0.3">
      <c r="D4877" t="str">
        <f t="shared" si="107"/>
        <v/>
      </c>
    </row>
    <row r="4878" spans="4:4" x14ac:dyDescent="0.3">
      <c r="D4878" t="str">
        <f t="shared" si="107"/>
        <v/>
      </c>
    </row>
    <row r="4879" spans="4:4" x14ac:dyDescent="0.3">
      <c r="D4879" t="str">
        <f t="shared" si="107"/>
        <v/>
      </c>
    </row>
    <row r="4880" spans="4:4" x14ac:dyDescent="0.3">
      <c r="D4880" t="str">
        <f t="shared" si="107"/>
        <v/>
      </c>
    </row>
    <row r="4881" spans="4:4" x14ac:dyDescent="0.3">
      <c r="D4881" t="str">
        <f t="shared" si="107"/>
        <v/>
      </c>
    </row>
    <row r="4882" spans="4:4" x14ac:dyDescent="0.3">
      <c r="D4882" t="str">
        <f t="shared" si="107"/>
        <v/>
      </c>
    </row>
    <row r="4883" spans="4:4" x14ac:dyDescent="0.3">
      <c r="D4883" t="str">
        <f t="shared" si="107"/>
        <v/>
      </c>
    </row>
    <row r="4884" spans="4:4" x14ac:dyDescent="0.3">
      <c r="D4884" t="str">
        <f t="shared" si="107"/>
        <v/>
      </c>
    </row>
    <row r="4885" spans="4:4" x14ac:dyDescent="0.3">
      <c r="D4885" t="str">
        <f t="shared" si="107"/>
        <v/>
      </c>
    </row>
    <row r="4886" spans="4:4" x14ac:dyDescent="0.3">
      <c r="D4886" t="str">
        <f t="shared" si="107"/>
        <v/>
      </c>
    </row>
    <row r="4887" spans="4:4" x14ac:dyDescent="0.3">
      <c r="D4887" t="str">
        <f t="shared" si="107"/>
        <v/>
      </c>
    </row>
    <row r="4888" spans="4:4" x14ac:dyDescent="0.3">
      <c r="D4888" t="str">
        <f t="shared" si="107"/>
        <v/>
      </c>
    </row>
    <row r="4889" spans="4:4" x14ac:dyDescent="0.3">
      <c r="D4889" t="str">
        <f t="shared" si="107"/>
        <v/>
      </c>
    </row>
    <row r="4890" spans="4:4" x14ac:dyDescent="0.3">
      <c r="D4890" t="str">
        <f t="shared" si="107"/>
        <v/>
      </c>
    </row>
    <row r="4891" spans="4:4" x14ac:dyDescent="0.3">
      <c r="D4891" t="str">
        <f t="shared" si="107"/>
        <v/>
      </c>
    </row>
    <row r="4892" spans="4:4" x14ac:dyDescent="0.3">
      <c r="D4892" t="str">
        <f t="shared" si="107"/>
        <v/>
      </c>
    </row>
    <row r="4893" spans="4:4" x14ac:dyDescent="0.3">
      <c r="D4893" t="str">
        <f t="shared" si="107"/>
        <v/>
      </c>
    </row>
    <row r="4894" spans="4:4" x14ac:dyDescent="0.3">
      <c r="D4894" t="str">
        <f t="shared" si="107"/>
        <v/>
      </c>
    </row>
    <row r="4895" spans="4:4" x14ac:dyDescent="0.3">
      <c r="D4895" t="str">
        <f t="shared" si="107"/>
        <v/>
      </c>
    </row>
    <row r="4896" spans="4:4" x14ac:dyDescent="0.3">
      <c r="D4896" t="str">
        <f t="shared" si="107"/>
        <v/>
      </c>
    </row>
    <row r="4897" spans="4:4" x14ac:dyDescent="0.3">
      <c r="D4897" t="str">
        <f t="shared" si="107"/>
        <v/>
      </c>
    </row>
    <row r="4898" spans="4:4" x14ac:dyDescent="0.3">
      <c r="D4898" t="str">
        <f t="shared" si="107"/>
        <v/>
      </c>
    </row>
    <row r="4899" spans="4:4" x14ac:dyDescent="0.3">
      <c r="D4899" t="str">
        <f t="shared" si="107"/>
        <v/>
      </c>
    </row>
    <row r="4900" spans="4:4" x14ac:dyDescent="0.3">
      <c r="D4900" t="str">
        <f t="shared" si="107"/>
        <v/>
      </c>
    </row>
    <row r="4901" spans="4:4" x14ac:dyDescent="0.3">
      <c r="D4901" t="str">
        <f t="shared" si="107"/>
        <v/>
      </c>
    </row>
    <row r="4902" spans="4:4" x14ac:dyDescent="0.3">
      <c r="D4902" t="str">
        <f t="shared" si="107"/>
        <v/>
      </c>
    </row>
    <row r="4903" spans="4:4" x14ac:dyDescent="0.3">
      <c r="D4903" t="str">
        <f t="shared" si="107"/>
        <v/>
      </c>
    </row>
    <row r="4904" spans="4:4" x14ac:dyDescent="0.3">
      <c r="D4904" t="str">
        <f t="shared" si="107"/>
        <v/>
      </c>
    </row>
    <row r="4905" spans="4:4" x14ac:dyDescent="0.3">
      <c r="D4905" t="str">
        <f t="shared" si="107"/>
        <v/>
      </c>
    </row>
    <row r="4906" spans="4:4" x14ac:dyDescent="0.3">
      <c r="D4906" t="str">
        <f t="shared" si="107"/>
        <v/>
      </c>
    </row>
    <row r="4907" spans="4:4" x14ac:dyDescent="0.3">
      <c r="D4907" t="str">
        <f t="shared" si="107"/>
        <v/>
      </c>
    </row>
    <row r="4908" spans="4:4" x14ac:dyDescent="0.3">
      <c r="D4908" t="str">
        <f t="shared" si="107"/>
        <v/>
      </c>
    </row>
    <row r="4909" spans="4:4" x14ac:dyDescent="0.3">
      <c r="D4909" t="str">
        <f t="shared" si="107"/>
        <v/>
      </c>
    </row>
    <row r="4910" spans="4:4" x14ac:dyDescent="0.3">
      <c r="D4910" t="str">
        <f t="shared" si="107"/>
        <v/>
      </c>
    </row>
    <row r="4911" spans="4:4" x14ac:dyDescent="0.3">
      <c r="D4911" t="str">
        <f t="shared" si="107"/>
        <v/>
      </c>
    </row>
    <row r="4912" spans="4:4" x14ac:dyDescent="0.3">
      <c r="D4912" t="str">
        <f t="shared" si="107"/>
        <v/>
      </c>
    </row>
    <row r="4913" spans="4:4" x14ac:dyDescent="0.3">
      <c r="D4913" t="str">
        <f t="shared" si="107"/>
        <v/>
      </c>
    </row>
    <row r="4914" spans="4:4" x14ac:dyDescent="0.3">
      <c r="D4914" t="str">
        <f t="shared" si="107"/>
        <v/>
      </c>
    </row>
    <row r="4915" spans="4:4" x14ac:dyDescent="0.3">
      <c r="D4915" t="str">
        <f t="shared" si="107"/>
        <v/>
      </c>
    </row>
    <row r="4916" spans="4:4" x14ac:dyDescent="0.3">
      <c r="D4916" t="str">
        <f t="shared" si="107"/>
        <v/>
      </c>
    </row>
    <row r="4917" spans="4:4" x14ac:dyDescent="0.3">
      <c r="D4917" t="str">
        <f t="shared" si="107"/>
        <v/>
      </c>
    </row>
    <row r="4918" spans="4:4" x14ac:dyDescent="0.3">
      <c r="D4918" t="str">
        <f t="shared" ref="D4918:D4981" si="108">IF(LEFT(A4918,2)="SP",MID(A4918,4,4),IF(LEFT(A4918,1)="X",MID(A4918,3,4),""))</f>
        <v/>
      </c>
    </row>
    <row r="4919" spans="4:4" x14ac:dyDescent="0.3">
      <c r="D4919" t="str">
        <f t="shared" si="108"/>
        <v/>
      </c>
    </row>
    <row r="4920" spans="4:4" x14ac:dyDescent="0.3">
      <c r="D4920" t="str">
        <f t="shared" si="108"/>
        <v/>
      </c>
    </row>
    <row r="4921" spans="4:4" x14ac:dyDescent="0.3">
      <c r="D4921" t="str">
        <f t="shared" si="108"/>
        <v/>
      </c>
    </row>
    <row r="4922" spans="4:4" x14ac:dyDescent="0.3">
      <c r="D4922" t="str">
        <f t="shared" si="108"/>
        <v/>
      </c>
    </row>
    <row r="4923" spans="4:4" x14ac:dyDescent="0.3">
      <c r="D4923" t="str">
        <f t="shared" si="108"/>
        <v/>
      </c>
    </row>
    <row r="4924" spans="4:4" x14ac:dyDescent="0.3">
      <c r="D4924" t="str">
        <f t="shared" si="108"/>
        <v/>
      </c>
    </row>
    <row r="4925" spans="4:4" x14ac:dyDescent="0.3">
      <c r="D4925" t="str">
        <f t="shared" si="108"/>
        <v/>
      </c>
    </row>
    <row r="4926" spans="4:4" x14ac:dyDescent="0.3">
      <c r="D4926" t="str">
        <f t="shared" si="108"/>
        <v/>
      </c>
    </row>
    <row r="4927" spans="4:4" x14ac:dyDescent="0.3">
      <c r="D4927" t="str">
        <f t="shared" si="108"/>
        <v/>
      </c>
    </row>
    <row r="4928" spans="4:4" x14ac:dyDescent="0.3">
      <c r="D4928" t="str">
        <f t="shared" si="108"/>
        <v/>
      </c>
    </row>
    <row r="4929" spans="4:4" x14ac:dyDescent="0.3">
      <c r="D4929" t="str">
        <f t="shared" si="108"/>
        <v/>
      </c>
    </row>
    <row r="4930" spans="4:4" x14ac:dyDescent="0.3">
      <c r="D4930" t="str">
        <f t="shared" si="108"/>
        <v/>
      </c>
    </row>
    <row r="4931" spans="4:4" x14ac:dyDescent="0.3">
      <c r="D4931" t="str">
        <f t="shared" si="108"/>
        <v/>
      </c>
    </row>
    <row r="4932" spans="4:4" x14ac:dyDescent="0.3">
      <c r="D4932" t="str">
        <f t="shared" si="108"/>
        <v/>
      </c>
    </row>
    <row r="4933" spans="4:4" x14ac:dyDescent="0.3">
      <c r="D4933" t="str">
        <f t="shared" si="108"/>
        <v/>
      </c>
    </row>
    <row r="4934" spans="4:4" x14ac:dyDescent="0.3">
      <c r="D4934" t="str">
        <f t="shared" si="108"/>
        <v/>
      </c>
    </row>
    <row r="4935" spans="4:4" x14ac:dyDescent="0.3">
      <c r="D4935" t="str">
        <f t="shared" si="108"/>
        <v/>
      </c>
    </row>
    <row r="4936" spans="4:4" x14ac:dyDescent="0.3">
      <c r="D4936" t="str">
        <f t="shared" si="108"/>
        <v/>
      </c>
    </row>
    <row r="4937" spans="4:4" x14ac:dyDescent="0.3">
      <c r="D4937" t="str">
        <f t="shared" si="108"/>
        <v/>
      </c>
    </row>
    <row r="4938" spans="4:4" x14ac:dyDescent="0.3">
      <c r="D4938" t="str">
        <f t="shared" si="108"/>
        <v/>
      </c>
    </row>
    <row r="4939" spans="4:4" x14ac:dyDescent="0.3">
      <c r="D4939" t="str">
        <f t="shared" si="108"/>
        <v/>
      </c>
    </row>
    <row r="4940" spans="4:4" x14ac:dyDescent="0.3">
      <c r="D4940" t="str">
        <f t="shared" si="108"/>
        <v/>
      </c>
    </row>
    <row r="4941" spans="4:4" x14ac:dyDescent="0.3">
      <c r="D4941" t="str">
        <f t="shared" si="108"/>
        <v/>
      </c>
    </row>
    <row r="4942" spans="4:4" x14ac:dyDescent="0.3">
      <c r="D4942" t="str">
        <f t="shared" si="108"/>
        <v/>
      </c>
    </row>
    <row r="4943" spans="4:4" x14ac:dyDescent="0.3">
      <c r="D4943" t="str">
        <f t="shared" si="108"/>
        <v/>
      </c>
    </row>
    <row r="4944" spans="4:4" x14ac:dyDescent="0.3">
      <c r="D4944" t="str">
        <f t="shared" si="108"/>
        <v/>
      </c>
    </row>
    <row r="4945" spans="4:4" x14ac:dyDescent="0.3">
      <c r="D4945" t="str">
        <f t="shared" si="108"/>
        <v/>
      </c>
    </row>
    <row r="4946" spans="4:4" x14ac:dyDescent="0.3">
      <c r="D4946" t="str">
        <f t="shared" si="108"/>
        <v/>
      </c>
    </row>
    <row r="4947" spans="4:4" x14ac:dyDescent="0.3">
      <c r="D4947" t="str">
        <f t="shared" si="108"/>
        <v/>
      </c>
    </row>
    <row r="4948" spans="4:4" x14ac:dyDescent="0.3">
      <c r="D4948" t="str">
        <f t="shared" si="108"/>
        <v/>
      </c>
    </row>
    <row r="4949" spans="4:4" x14ac:dyDescent="0.3">
      <c r="D4949" t="str">
        <f t="shared" si="108"/>
        <v/>
      </c>
    </row>
    <row r="4950" spans="4:4" x14ac:dyDescent="0.3">
      <c r="D4950" t="str">
        <f t="shared" si="108"/>
        <v/>
      </c>
    </row>
    <row r="4951" spans="4:4" x14ac:dyDescent="0.3">
      <c r="D4951" t="str">
        <f t="shared" si="108"/>
        <v/>
      </c>
    </row>
    <row r="4952" spans="4:4" x14ac:dyDescent="0.3">
      <c r="D4952" t="str">
        <f t="shared" si="108"/>
        <v/>
      </c>
    </row>
    <row r="4953" spans="4:4" x14ac:dyDescent="0.3">
      <c r="D4953" t="str">
        <f t="shared" si="108"/>
        <v/>
      </c>
    </row>
    <row r="4954" spans="4:4" x14ac:dyDescent="0.3">
      <c r="D4954" t="str">
        <f t="shared" si="108"/>
        <v/>
      </c>
    </row>
    <row r="4955" spans="4:4" x14ac:dyDescent="0.3">
      <c r="D4955" t="str">
        <f t="shared" si="108"/>
        <v/>
      </c>
    </row>
    <row r="4956" spans="4:4" x14ac:dyDescent="0.3">
      <c r="D4956" t="str">
        <f t="shared" si="108"/>
        <v/>
      </c>
    </row>
    <row r="4957" spans="4:4" x14ac:dyDescent="0.3">
      <c r="D4957" t="str">
        <f t="shared" si="108"/>
        <v/>
      </c>
    </row>
    <row r="4958" spans="4:4" x14ac:dyDescent="0.3">
      <c r="D4958" t="str">
        <f t="shared" si="108"/>
        <v/>
      </c>
    </row>
    <row r="4959" spans="4:4" x14ac:dyDescent="0.3">
      <c r="D4959" t="str">
        <f t="shared" si="108"/>
        <v/>
      </c>
    </row>
    <row r="4960" spans="4:4" x14ac:dyDescent="0.3">
      <c r="D4960" t="str">
        <f t="shared" si="108"/>
        <v/>
      </c>
    </row>
    <row r="4961" spans="4:4" x14ac:dyDescent="0.3">
      <c r="D4961" t="str">
        <f t="shared" si="108"/>
        <v/>
      </c>
    </row>
    <row r="4962" spans="4:4" x14ac:dyDescent="0.3">
      <c r="D4962" t="str">
        <f t="shared" si="108"/>
        <v/>
      </c>
    </row>
    <row r="4963" spans="4:4" x14ac:dyDescent="0.3">
      <c r="D4963" t="str">
        <f t="shared" si="108"/>
        <v/>
      </c>
    </row>
    <row r="4964" spans="4:4" x14ac:dyDescent="0.3">
      <c r="D4964" t="str">
        <f t="shared" si="108"/>
        <v/>
      </c>
    </row>
    <row r="4965" spans="4:4" x14ac:dyDescent="0.3">
      <c r="D4965" t="str">
        <f t="shared" si="108"/>
        <v/>
      </c>
    </row>
    <row r="4966" spans="4:4" x14ac:dyDescent="0.3">
      <c r="D4966" t="str">
        <f t="shared" si="108"/>
        <v/>
      </c>
    </row>
    <row r="4967" spans="4:4" x14ac:dyDescent="0.3">
      <c r="D4967" t="str">
        <f t="shared" si="108"/>
        <v/>
      </c>
    </row>
    <row r="4968" spans="4:4" x14ac:dyDescent="0.3">
      <c r="D4968" t="str">
        <f t="shared" si="108"/>
        <v/>
      </c>
    </row>
    <row r="4969" spans="4:4" x14ac:dyDescent="0.3">
      <c r="D4969" t="str">
        <f t="shared" si="108"/>
        <v/>
      </c>
    </row>
    <row r="4970" spans="4:4" x14ac:dyDescent="0.3">
      <c r="D4970" t="str">
        <f t="shared" si="108"/>
        <v/>
      </c>
    </row>
    <row r="4971" spans="4:4" x14ac:dyDescent="0.3">
      <c r="D4971" t="str">
        <f t="shared" si="108"/>
        <v/>
      </c>
    </row>
    <row r="4972" spans="4:4" x14ac:dyDescent="0.3">
      <c r="D4972" t="str">
        <f t="shared" si="108"/>
        <v/>
      </c>
    </row>
    <row r="4973" spans="4:4" x14ac:dyDescent="0.3">
      <c r="D4973" t="str">
        <f t="shared" si="108"/>
        <v/>
      </c>
    </row>
    <row r="4974" spans="4:4" x14ac:dyDescent="0.3">
      <c r="D4974" t="str">
        <f t="shared" si="108"/>
        <v/>
      </c>
    </row>
    <row r="4975" spans="4:4" x14ac:dyDescent="0.3">
      <c r="D4975" t="str">
        <f t="shared" si="108"/>
        <v/>
      </c>
    </row>
    <row r="4976" spans="4:4" x14ac:dyDescent="0.3">
      <c r="D4976" t="str">
        <f t="shared" si="108"/>
        <v/>
      </c>
    </row>
    <row r="4977" spans="4:4" x14ac:dyDescent="0.3">
      <c r="D4977" t="str">
        <f t="shared" si="108"/>
        <v/>
      </c>
    </row>
    <row r="4978" spans="4:4" x14ac:dyDescent="0.3">
      <c r="D4978" t="str">
        <f t="shared" si="108"/>
        <v/>
      </c>
    </row>
    <row r="4979" spans="4:4" x14ac:dyDescent="0.3">
      <c r="D4979" t="str">
        <f t="shared" si="108"/>
        <v/>
      </c>
    </row>
    <row r="4980" spans="4:4" x14ac:dyDescent="0.3">
      <c r="D4980" t="str">
        <f t="shared" si="108"/>
        <v/>
      </c>
    </row>
    <row r="4981" spans="4:4" x14ac:dyDescent="0.3">
      <c r="D4981" t="str">
        <f t="shared" si="108"/>
        <v/>
      </c>
    </row>
    <row r="4982" spans="4:4" x14ac:dyDescent="0.3">
      <c r="D4982" t="str">
        <f t="shared" ref="D4982:D5045" si="109">IF(LEFT(A4982,2)="SP",MID(A4982,4,4),IF(LEFT(A4982,1)="X",MID(A4982,3,4),""))</f>
        <v/>
      </c>
    </row>
    <row r="4983" spans="4:4" x14ac:dyDescent="0.3">
      <c r="D4983" t="str">
        <f t="shared" si="109"/>
        <v/>
      </c>
    </row>
    <row r="4984" spans="4:4" x14ac:dyDescent="0.3">
      <c r="D4984" t="str">
        <f t="shared" si="109"/>
        <v/>
      </c>
    </row>
    <row r="4985" spans="4:4" x14ac:dyDescent="0.3">
      <c r="D4985" t="str">
        <f t="shared" si="109"/>
        <v/>
      </c>
    </row>
    <row r="4986" spans="4:4" x14ac:dyDescent="0.3">
      <c r="D4986" t="str">
        <f t="shared" si="109"/>
        <v/>
      </c>
    </row>
    <row r="4987" spans="4:4" x14ac:dyDescent="0.3">
      <c r="D4987" t="str">
        <f t="shared" si="109"/>
        <v/>
      </c>
    </row>
    <row r="4988" spans="4:4" x14ac:dyDescent="0.3">
      <c r="D4988" t="str">
        <f t="shared" si="109"/>
        <v/>
      </c>
    </row>
    <row r="4989" spans="4:4" x14ac:dyDescent="0.3">
      <c r="D4989" t="str">
        <f t="shared" si="109"/>
        <v/>
      </c>
    </row>
    <row r="4990" spans="4:4" x14ac:dyDescent="0.3">
      <c r="D4990" t="str">
        <f t="shared" si="109"/>
        <v/>
      </c>
    </row>
    <row r="4991" spans="4:4" x14ac:dyDescent="0.3">
      <c r="D4991" t="str">
        <f t="shared" si="109"/>
        <v/>
      </c>
    </row>
    <row r="4992" spans="4:4" x14ac:dyDescent="0.3">
      <c r="D4992" t="str">
        <f t="shared" si="109"/>
        <v/>
      </c>
    </row>
    <row r="4993" spans="4:4" x14ac:dyDescent="0.3">
      <c r="D4993" t="str">
        <f t="shared" si="109"/>
        <v/>
      </c>
    </row>
    <row r="4994" spans="4:4" x14ac:dyDescent="0.3">
      <c r="D4994" t="str">
        <f t="shared" si="109"/>
        <v/>
      </c>
    </row>
    <row r="4995" spans="4:4" x14ac:dyDescent="0.3">
      <c r="D4995" t="str">
        <f t="shared" si="109"/>
        <v/>
      </c>
    </row>
    <row r="4996" spans="4:4" x14ac:dyDescent="0.3">
      <c r="D4996" t="str">
        <f t="shared" si="109"/>
        <v/>
      </c>
    </row>
    <row r="4997" spans="4:4" x14ac:dyDescent="0.3">
      <c r="D4997" t="str">
        <f t="shared" si="109"/>
        <v/>
      </c>
    </row>
    <row r="4998" spans="4:4" x14ac:dyDescent="0.3">
      <c r="D4998" t="str">
        <f t="shared" si="109"/>
        <v/>
      </c>
    </row>
    <row r="4999" spans="4:4" x14ac:dyDescent="0.3">
      <c r="D4999" t="str">
        <f t="shared" si="109"/>
        <v/>
      </c>
    </row>
    <row r="5000" spans="4:4" x14ac:dyDescent="0.3">
      <c r="D5000" t="str">
        <f t="shared" si="109"/>
        <v/>
      </c>
    </row>
    <row r="5001" spans="4:4" x14ac:dyDescent="0.3">
      <c r="D5001" t="str">
        <f t="shared" si="109"/>
        <v/>
      </c>
    </row>
    <row r="5002" spans="4:4" x14ac:dyDescent="0.3">
      <c r="D5002" t="str">
        <f t="shared" si="109"/>
        <v/>
      </c>
    </row>
    <row r="5003" spans="4:4" x14ac:dyDescent="0.3">
      <c r="D5003" t="str">
        <f t="shared" si="109"/>
        <v/>
      </c>
    </row>
    <row r="5004" spans="4:4" x14ac:dyDescent="0.3">
      <c r="D5004" t="str">
        <f t="shared" si="109"/>
        <v/>
      </c>
    </row>
    <row r="5005" spans="4:4" x14ac:dyDescent="0.3">
      <c r="D5005" t="str">
        <f t="shared" si="109"/>
        <v/>
      </c>
    </row>
    <row r="5006" spans="4:4" x14ac:dyDescent="0.3">
      <c r="D5006" t="str">
        <f t="shared" si="109"/>
        <v/>
      </c>
    </row>
    <row r="5007" spans="4:4" x14ac:dyDescent="0.3">
      <c r="D5007" t="str">
        <f t="shared" si="109"/>
        <v/>
      </c>
    </row>
    <row r="5008" spans="4:4" x14ac:dyDescent="0.3">
      <c r="D5008" t="str">
        <f t="shared" si="109"/>
        <v/>
      </c>
    </row>
    <row r="5009" spans="4:4" x14ac:dyDescent="0.3">
      <c r="D5009" t="str">
        <f t="shared" si="109"/>
        <v/>
      </c>
    </row>
    <row r="5010" spans="4:4" x14ac:dyDescent="0.3">
      <c r="D5010" t="str">
        <f t="shared" si="109"/>
        <v/>
      </c>
    </row>
    <row r="5011" spans="4:4" x14ac:dyDescent="0.3">
      <c r="D5011" t="str">
        <f t="shared" si="109"/>
        <v/>
      </c>
    </row>
    <row r="5012" spans="4:4" x14ac:dyDescent="0.3">
      <c r="D5012" t="str">
        <f t="shared" si="109"/>
        <v/>
      </c>
    </row>
    <row r="5013" spans="4:4" x14ac:dyDescent="0.3">
      <c r="D5013" t="str">
        <f t="shared" si="109"/>
        <v/>
      </c>
    </row>
    <row r="5014" spans="4:4" x14ac:dyDescent="0.3">
      <c r="D5014" t="str">
        <f t="shared" si="109"/>
        <v/>
      </c>
    </row>
    <row r="5015" spans="4:4" x14ac:dyDescent="0.3">
      <c r="D5015" t="str">
        <f t="shared" si="109"/>
        <v/>
      </c>
    </row>
    <row r="5016" spans="4:4" x14ac:dyDescent="0.3">
      <c r="D5016" t="str">
        <f t="shared" si="109"/>
        <v/>
      </c>
    </row>
    <row r="5017" spans="4:4" x14ac:dyDescent="0.3">
      <c r="D5017" t="str">
        <f t="shared" si="109"/>
        <v/>
      </c>
    </row>
    <row r="5018" spans="4:4" x14ac:dyDescent="0.3">
      <c r="D5018" t="str">
        <f t="shared" si="109"/>
        <v/>
      </c>
    </row>
    <row r="5019" spans="4:4" x14ac:dyDescent="0.3">
      <c r="D5019" t="str">
        <f t="shared" si="109"/>
        <v/>
      </c>
    </row>
    <row r="5020" spans="4:4" x14ac:dyDescent="0.3">
      <c r="D5020" t="str">
        <f t="shared" si="109"/>
        <v/>
      </c>
    </row>
    <row r="5021" spans="4:4" x14ac:dyDescent="0.3">
      <c r="D5021" t="str">
        <f t="shared" si="109"/>
        <v/>
      </c>
    </row>
    <row r="5022" spans="4:4" x14ac:dyDescent="0.3">
      <c r="D5022" t="str">
        <f t="shared" si="109"/>
        <v/>
      </c>
    </row>
    <row r="5023" spans="4:4" x14ac:dyDescent="0.3">
      <c r="D5023" t="str">
        <f t="shared" si="109"/>
        <v/>
      </c>
    </row>
    <row r="5024" spans="4:4" x14ac:dyDescent="0.3">
      <c r="D5024" t="str">
        <f t="shared" si="109"/>
        <v/>
      </c>
    </row>
    <row r="5025" spans="4:4" x14ac:dyDescent="0.3">
      <c r="D5025" t="str">
        <f t="shared" si="109"/>
        <v/>
      </c>
    </row>
    <row r="5026" spans="4:4" x14ac:dyDescent="0.3">
      <c r="D5026" t="str">
        <f t="shared" si="109"/>
        <v/>
      </c>
    </row>
    <row r="5027" spans="4:4" x14ac:dyDescent="0.3">
      <c r="D5027" t="str">
        <f t="shared" si="109"/>
        <v/>
      </c>
    </row>
    <row r="5028" spans="4:4" x14ac:dyDescent="0.3">
      <c r="D5028" t="str">
        <f t="shared" si="109"/>
        <v/>
      </c>
    </row>
    <row r="5029" spans="4:4" x14ac:dyDescent="0.3">
      <c r="D5029" t="str">
        <f t="shared" si="109"/>
        <v/>
      </c>
    </row>
    <row r="5030" spans="4:4" x14ac:dyDescent="0.3">
      <c r="D5030" t="str">
        <f t="shared" si="109"/>
        <v/>
      </c>
    </row>
    <row r="5031" spans="4:4" x14ac:dyDescent="0.3">
      <c r="D5031" t="str">
        <f t="shared" si="109"/>
        <v/>
      </c>
    </row>
    <row r="5032" spans="4:4" x14ac:dyDescent="0.3">
      <c r="D5032" t="str">
        <f t="shared" si="109"/>
        <v/>
      </c>
    </row>
    <row r="5033" spans="4:4" x14ac:dyDescent="0.3">
      <c r="D5033" t="str">
        <f t="shared" si="109"/>
        <v/>
      </c>
    </row>
    <row r="5034" spans="4:4" x14ac:dyDescent="0.3">
      <c r="D5034" t="str">
        <f t="shared" si="109"/>
        <v/>
      </c>
    </row>
    <row r="5035" spans="4:4" x14ac:dyDescent="0.3">
      <c r="D5035" t="str">
        <f t="shared" si="109"/>
        <v/>
      </c>
    </row>
    <row r="5036" spans="4:4" x14ac:dyDescent="0.3">
      <c r="D5036" t="str">
        <f t="shared" si="109"/>
        <v/>
      </c>
    </row>
    <row r="5037" spans="4:4" x14ac:dyDescent="0.3">
      <c r="D5037" t="str">
        <f t="shared" si="109"/>
        <v/>
      </c>
    </row>
    <row r="5038" spans="4:4" x14ac:dyDescent="0.3">
      <c r="D5038" t="str">
        <f t="shared" si="109"/>
        <v/>
      </c>
    </row>
    <row r="5039" spans="4:4" x14ac:dyDescent="0.3">
      <c r="D5039" t="str">
        <f t="shared" si="109"/>
        <v/>
      </c>
    </row>
    <row r="5040" spans="4:4" x14ac:dyDescent="0.3">
      <c r="D5040" t="str">
        <f t="shared" si="109"/>
        <v/>
      </c>
    </row>
    <row r="5041" spans="4:4" x14ac:dyDescent="0.3">
      <c r="D5041" t="str">
        <f t="shared" si="109"/>
        <v/>
      </c>
    </row>
    <row r="5042" spans="4:4" x14ac:dyDescent="0.3">
      <c r="D5042" t="str">
        <f t="shared" si="109"/>
        <v/>
      </c>
    </row>
    <row r="5043" spans="4:4" x14ac:dyDescent="0.3">
      <c r="D5043" t="str">
        <f t="shared" si="109"/>
        <v/>
      </c>
    </row>
    <row r="5044" spans="4:4" x14ac:dyDescent="0.3">
      <c r="D5044" t="str">
        <f t="shared" si="109"/>
        <v/>
      </c>
    </row>
    <row r="5045" spans="4:4" x14ac:dyDescent="0.3">
      <c r="D5045" t="str">
        <f t="shared" si="109"/>
        <v/>
      </c>
    </row>
    <row r="5046" spans="4:4" x14ac:dyDescent="0.3">
      <c r="D5046" t="str">
        <f t="shared" ref="D5046:D5109" si="110">IF(LEFT(A5046,2)="SP",MID(A5046,4,4),IF(LEFT(A5046,1)="X",MID(A5046,3,4),""))</f>
        <v/>
      </c>
    </row>
    <row r="5047" spans="4:4" x14ac:dyDescent="0.3">
      <c r="D5047" t="str">
        <f t="shared" si="110"/>
        <v/>
      </c>
    </row>
    <row r="5048" spans="4:4" x14ac:dyDescent="0.3">
      <c r="D5048" t="str">
        <f t="shared" si="110"/>
        <v/>
      </c>
    </row>
    <row r="5049" spans="4:4" x14ac:dyDescent="0.3">
      <c r="D5049" t="str">
        <f t="shared" si="110"/>
        <v/>
      </c>
    </row>
    <row r="5050" spans="4:4" x14ac:dyDescent="0.3">
      <c r="D5050" t="str">
        <f t="shared" si="110"/>
        <v/>
      </c>
    </row>
    <row r="5051" spans="4:4" x14ac:dyDescent="0.3">
      <c r="D5051" t="str">
        <f t="shared" si="110"/>
        <v/>
      </c>
    </row>
    <row r="5052" spans="4:4" x14ac:dyDescent="0.3">
      <c r="D5052" t="str">
        <f t="shared" si="110"/>
        <v/>
      </c>
    </row>
    <row r="5053" spans="4:4" x14ac:dyDescent="0.3">
      <c r="D5053" t="str">
        <f t="shared" si="110"/>
        <v/>
      </c>
    </row>
    <row r="5054" spans="4:4" x14ac:dyDescent="0.3">
      <c r="D5054" t="str">
        <f t="shared" si="110"/>
        <v/>
      </c>
    </row>
    <row r="5055" spans="4:4" x14ac:dyDescent="0.3">
      <c r="D5055" t="str">
        <f t="shared" si="110"/>
        <v/>
      </c>
    </row>
    <row r="5056" spans="4:4" x14ac:dyDescent="0.3">
      <c r="D5056" t="str">
        <f t="shared" si="110"/>
        <v/>
      </c>
    </row>
    <row r="5057" spans="4:4" x14ac:dyDescent="0.3">
      <c r="D5057" t="str">
        <f t="shared" si="110"/>
        <v/>
      </c>
    </row>
    <row r="5058" spans="4:4" x14ac:dyDescent="0.3">
      <c r="D5058" t="str">
        <f t="shared" si="110"/>
        <v/>
      </c>
    </row>
    <row r="5059" spans="4:4" x14ac:dyDescent="0.3">
      <c r="D5059" t="str">
        <f t="shared" si="110"/>
        <v/>
      </c>
    </row>
    <row r="5060" spans="4:4" x14ac:dyDescent="0.3">
      <c r="D5060" t="str">
        <f t="shared" si="110"/>
        <v/>
      </c>
    </row>
    <row r="5061" spans="4:4" x14ac:dyDescent="0.3">
      <c r="D5061" t="str">
        <f t="shared" si="110"/>
        <v/>
      </c>
    </row>
    <row r="5062" spans="4:4" x14ac:dyDescent="0.3">
      <c r="D5062" t="str">
        <f t="shared" si="110"/>
        <v/>
      </c>
    </row>
    <row r="5063" spans="4:4" x14ac:dyDescent="0.3">
      <c r="D5063" t="str">
        <f t="shared" si="110"/>
        <v/>
      </c>
    </row>
    <row r="5064" spans="4:4" x14ac:dyDescent="0.3">
      <c r="D5064" t="str">
        <f t="shared" si="110"/>
        <v/>
      </c>
    </row>
    <row r="5065" spans="4:4" x14ac:dyDescent="0.3">
      <c r="D5065" t="str">
        <f t="shared" si="110"/>
        <v/>
      </c>
    </row>
    <row r="5066" spans="4:4" x14ac:dyDescent="0.3">
      <c r="D5066" t="str">
        <f t="shared" si="110"/>
        <v/>
      </c>
    </row>
    <row r="5067" spans="4:4" x14ac:dyDescent="0.3">
      <c r="D5067" t="str">
        <f t="shared" si="110"/>
        <v/>
      </c>
    </row>
    <row r="5068" spans="4:4" x14ac:dyDescent="0.3">
      <c r="D5068" t="str">
        <f t="shared" si="110"/>
        <v/>
      </c>
    </row>
    <row r="5069" spans="4:4" x14ac:dyDescent="0.3">
      <c r="D5069" t="str">
        <f t="shared" si="110"/>
        <v/>
      </c>
    </row>
    <row r="5070" spans="4:4" x14ac:dyDescent="0.3">
      <c r="D5070" t="str">
        <f t="shared" si="110"/>
        <v/>
      </c>
    </row>
    <row r="5071" spans="4:4" x14ac:dyDescent="0.3">
      <c r="D5071" t="str">
        <f t="shared" si="110"/>
        <v/>
      </c>
    </row>
    <row r="5072" spans="4:4" x14ac:dyDescent="0.3">
      <c r="D5072" t="str">
        <f t="shared" si="110"/>
        <v/>
      </c>
    </row>
    <row r="5073" spans="4:4" x14ac:dyDescent="0.3">
      <c r="D5073" t="str">
        <f t="shared" si="110"/>
        <v/>
      </c>
    </row>
    <row r="5074" spans="4:4" x14ac:dyDescent="0.3">
      <c r="D5074" t="str">
        <f t="shared" si="110"/>
        <v/>
      </c>
    </row>
    <row r="5075" spans="4:4" x14ac:dyDescent="0.3">
      <c r="D5075" t="str">
        <f t="shared" si="110"/>
        <v/>
      </c>
    </row>
    <row r="5076" spans="4:4" x14ac:dyDescent="0.3">
      <c r="D5076" t="str">
        <f t="shared" si="110"/>
        <v/>
      </c>
    </row>
    <row r="5077" spans="4:4" x14ac:dyDescent="0.3">
      <c r="D5077" t="str">
        <f t="shared" si="110"/>
        <v/>
      </c>
    </row>
    <row r="5078" spans="4:4" x14ac:dyDescent="0.3">
      <c r="D5078" t="str">
        <f t="shared" si="110"/>
        <v/>
      </c>
    </row>
    <row r="5079" spans="4:4" x14ac:dyDescent="0.3">
      <c r="D5079" t="str">
        <f t="shared" si="110"/>
        <v/>
      </c>
    </row>
    <row r="5080" spans="4:4" x14ac:dyDescent="0.3">
      <c r="D5080" t="str">
        <f t="shared" si="110"/>
        <v/>
      </c>
    </row>
    <row r="5081" spans="4:4" x14ac:dyDescent="0.3">
      <c r="D5081" t="str">
        <f t="shared" si="110"/>
        <v/>
      </c>
    </row>
    <row r="5082" spans="4:4" x14ac:dyDescent="0.3">
      <c r="D5082" t="str">
        <f t="shared" si="110"/>
        <v/>
      </c>
    </row>
    <row r="5083" spans="4:4" x14ac:dyDescent="0.3">
      <c r="D5083" t="str">
        <f t="shared" si="110"/>
        <v/>
      </c>
    </row>
    <row r="5084" spans="4:4" x14ac:dyDescent="0.3">
      <c r="D5084" t="str">
        <f t="shared" si="110"/>
        <v/>
      </c>
    </row>
    <row r="5085" spans="4:4" x14ac:dyDescent="0.3">
      <c r="D5085" t="str">
        <f t="shared" si="110"/>
        <v/>
      </c>
    </row>
    <row r="5086" spans="4:4" x14ac:dyDescent="0.3">
      <c r="D5086" t="str">
        <f t="shared" si="110"/>
        <v/>
      </c>
    </row>
    <row r="5087" spans="4:4" x14ac:dyDescent="0.3">
      <c r="D5087" t="str">
        <f t="shared" si="110"/>
        <v/>
      </c>
    </row>
    <row r="5088" spans="4:4" x14ac:dyDescent="0.3">
      <c r="D5088" t="str">
        <f t="shared" si="110"/>
        <v/>
      </c>
    </row>
    <row r="5089" spans="4:4" x14ac:dyDescent="0.3">
      <c r="D5089" t="str">
        <f t="shared" si="110"/>
        <v/>
      </c>
    </row>
    <row r="5090" spans="4:4" x14ac:dyDescent="0.3">
      <c r="D5090" t="str">
        <f t="shared" si="110"/>
        <v/>
      </c>
    </row>
    <row r="5091" spans="4:4" x14ac:dyDescent="0.3">
      <c r="D5091" t="str">
        <f t="shared" si="110"/>
        <v/>
      </c>
    </row>
    <row r="5092" spans="4:4" x14ac:dyDescent="0.3">
      <c r="D5092" t="str">
        <f t="shared" si="110"/>
        <v/>
      </c>
    </row>
    <row r="5093" spans="4:4" x14ac:dyDescent="0.3">
      <c r="D5093" t="str">
        <f t="shared" si="110"/>
        <v/>
      </c>
    </row>
    <row r="5094" spans="4:4" x14ac:dyDescent="0.3">
      <c r="D5094" t="str">
        <f t="shared" si="110"/>
        <v/>
      </c>
    </row>
    <row r="5095" spans="4:4" x14ac:dyDescent="0.3">
      <c r="D5095" t="str">
        <f t="shared" si="110"/>
        <v/>
      </c>
    </row>
    <row r="5096" spans="4:4" x14ac:dyDescent="0.3">
      <c r="D5096" t="str">
        <f t="shared" si="110"/>
        <v/>
      </c>
    </row>
    <row r="5097" spans="4:4" x14ac:dyDescent="0.3">
      <c r="D5097" t="str">
        <f t="shared" si="110"/>
        <v/>
      </c>
    </row>
    <row r="5098" spans="4:4" x14ac:dyDescent="0.3">
      <c r="D5098" t="str">
        <f t="shared" si="110"/>
        <v/>
      </c>
    </row>
    <row r="5099" spans="4:4" x14ac:dyDescent="0.3">
      <c r="D5099" t="str">
        <f t="shared" si="110"/>
        <v/>
      </c>
    </row>
    <row r="5100" spans="4:4" x14ac:dyDescent="0.3">
      <c r="D5100" t="str">
        <f t="shared" si="110"/>
        <v/>
      </c>
    </row>
    <row r="5101" spans="4:4" x14ac:dyDescent="0.3">
      <c r="D5101" t="str">
        <f t="shared" si="110"/>
        <v/>
      </c>
    </row>
    <row r="5102" spans="4:4" x14ac:dyDescent="0.3">
      <c r="D5102" t="str">
        <f t="shared" si="110"/>
        <v/>
      </c>
    </row>
    <row r="5103" spans="4:4" x14ac:dyDescent="0.3">
      <c r="D5103" t="str">
        <f t="shared" si="110"/>
        <v/>
      </c>
    </row>
    <row r="5104" spans="4:4" x14ac:dyDescent="0.3">
      <c r="D5104" t="str">
        <f t="shared" si="110"/>
        <v/>
      </c>
    </row>
    <row r="5105" spans="4:4" x14ac:dyDescent="0.3">
      <c r="D5105" t="str">
        <f t="shared" si="110"/>
        <v/>
      </c>
    </row>
    <row r="5106" spans="4:4" x14ac:dyDescent="0.3">
      <c r="D5106" t="str">
        <f t="shared" si="110"/>
        <v/>
      </c>
    </row>
    <row r="5107" spans="4:4" x14ac:dyDescent="0.3">
      <c r="D5107" t="str">
        <f t="shared" si="110"/>
        <v/>
      </c>
    </row>
    <row r="5108" spans="4:4" x14ac:dyDescent="0.3">
      <c r="D5108" t="str">
        <f t="shared" si="110"/>
        <v/>
      </c>
    </row>
    <row r="5109" spans="4:4" x14ac:dyDescent="0.3">
      <c r="D5109" t="str">
        <f t="shared" si="110"/>
        <v/>
      </c>
    </row>
    <row r="5110" spans="4:4" x14ac:dyDescent="0.3">
      <c r="D5110" t="str">
        <f t="shared" ref="D5110:D5173" si="111">IF(LEFT(A5110,2)="SP",MID(A5110,4,4),IF(LEFT(A5110,1)="X",MID(A5110,3,4),""))</f>
        <v/>
      </c>
    </row>
    <row r="5111" spans="4:4" x14ac:dyDescent="0.3">
      <c r="D5111" t="str">
        <f t="shared" si="111"/>
        <v/>
      </c>
    </row>
    <row r="5112" spans="4:4" x14ac:dyDescent="0.3">
      <c r="D5112" t="str">
        <f t="shared" si="111"/>
        <v/>
      </c>
    </row>
    <row r="5113" spans="4:4" x14ac:dyDescent="0.3">
      <c r="D5113" t="str">
        <f t="shared" si="111"/>
        <v/>
      </c>
    </row>
    <row r="5114" spans="4:4" x14ac:dyDescent="0.3">
      <c r="D5114" t="str">
        <f t="shared" si="111"/>
        <v/>
      </c>
    </row>
    <row r="5115" spans="4:4" x14ac:dyDescent="0.3">
      <c r="D5115" t="str">
        <f t="shared" si="111"/>
        <v/>
      </c>
    </row>
    <row r="5116" spans="4:4" x14ac:dyDescent="0.3">
      <c r="D5116" t="str">
        <f t="shared" si="111"/>
        <v/>
      </c>
    </row>
    <row r="5117" spans="4:4" x14ac:dyDescent="0.3">
      <c r="D5117" t="str">
        <f t="shared" si="111"/>
        <v/>
      </c>
    </row>
    <row r="5118" spans="4:4" x14ac:dyDescent="0.3">
      <c r="D5118" t="str">
        <f t="shared" si="111"/>
        <v/>
      </c>
    </row>
    <row r="5119" spans="4:4" x14ac:dyDescent="0.3">
      <c r="D5119" t="str">
        <f t="shared" si="111"/>
        <v/>
      </c>
    </row>
    <row r="5120" spans="4:4" x14ac:dyDescent="0.3">
      <c r="D5120" t="str">
        <f t="shared" si="111"/>
        <v/>
      </c>
    </row>
    <row r="5121" spans="4:4" x14ac:dyDescent="0.3">
      <c r="D5121" t="str">
        <f t="shared" si="111"/>
        <v/>
      </c>
    </row>
    <row r="5122" spans="4:4" x14ac:dyDescent="0.3">
      <c r="D5122" t="str">
        <f t="shared" si="111"/>
        <v/>
      </c>
    </row>
    <row r="5123" spans="4:4" x14ac:dyDescent="0.3">
      <c r="D5123" t="str">
        <f t="shared" si="111"/>
        <v/>
      </c>
    </row>
    <row r="5124" spans="4:4" x14ac:dyDescent="0.3">
      <c r="D5124" t="str">
        <f t="shared" si="111"/>
        <v/>
      </c>
    </row>
    <row r="5125" spans="4:4" x14ac:dyDescent="0.3">
      <c r="D5125" t="str">
        <f t="shared" si="111"/>
        <v/>
      </c>
    </row>
    <row r="5126" spans="4:4" x14ac:dyDescent="0.3">
      <c r="D5126" t="str">
        <f t="shared" si="111"/>
        <v/>
      </c>
    </row>
    <row r="5127" spans="4:4" x14ac:dyDescent="0.3">
      <c r="D5127" t="str">
        <f t="shared" si="111"/>
        <v/>
      </c>
    </row>
    <row r="5128" spans="4:4" x14ac:dyDescent="0.3">
      <c r="D5128" t="str">
        <f t="shared" si="111"/>
        <v/>
      </c>
    </row>
    <row r="5129" spans="4:4" x14ac:dyDescent="0.3">
      <c r="D5129" t="str">
        <f t="shared" si="111"/>
        <v/>
      </c>
    </row>
    <row r="5130" spans="4:4" x14ac:dyDescent="0.3">
      <c r="D5130" t="str">
        <f t="shared" si="111"/>
        <v/>
      </c>
    </row>
    <row r="5131" spans="4:4" x14ac:dyDescent="0.3">
      <c r="D5131" t="str">
        <f t="shared" si="111"/>
        <v/>
      </c>
    </row>
    <row r="5132" spans="4:4" x14ac:dyDescent="0.3">
      <c r="D5132" t="str">
        <f t="shared" si="111"/>
        <v/>
      </c>
    </row>
    <row r="5133" spans="4:4" x14ac:dyDescent="0.3">
      <c r="D5133" t="str">
        <f t="shared" si="111"/>
        <v/>
      </c>
    </row>
    <row r="5134" spans="4:4" x14ac:dyDescent="0.3">
      <c r="D5134" t="str">
        <f t="shared" si="111"/>
        <v/>
      </c>
    </row>
    <row r="5135" spans="4:4" x14ac:dyDescent="0.3">
      <c r="D5135" t="str">
        <f t="shared" si="111"/>
        <v/>
      </c>
    </row>
    <row r="5136" spans="4:4" x14ac:dyDescent="0.3">
      <c r="D5136" t="str">
        <f t="shared" si="111"/>
        <v/>
      </c>
    </row>
    <row r="5137" spans="4:4" x14ac:dyDescent="0.3">
      <c r="D5137" t="str">
        <f t="shared" si="111"/>
        <v/>
      </c>
    </row>
    <row r="5138" spans="4:4" x14ac:dyDescent="0.3">
      <c r="D5138" t="str">
        <f t="shared" si="111"/>
        <v/>
      </c>
    </row>
    <row r="5139" spans="4:4" x14ac:dyDescent="0.3">
      <c r="D5139" t="str">
        <f t="shared" si="111"/>
        <v/>
      </c>
    </row>
    <row r="5140" spans="4:4" x14ac:dyDescent="0.3">
      <c r="D5140" t="str">
        <f t="shared" si="111"/>
        <v/>
      </c>
    </row>
    <row r="5141" spans="4:4" x14ac:dyDescent="0.3">
      <c r="D5141" t="str">
        <f t="shared" si="111"/>
        <v/>
      </c>
    </row>
    <row r="5142" spans="4:4" x14ac:dyDescent="0.3">
      <c r="D5142" t="str">
        <f t="shared" si="111"/>
        <v/>
      </c>
    </row>
    <row r="5143" spans="4:4" x14ac:dyDescent="0.3">
      <c r="D5143" t="str">
        <f t="shared" si="111"/>
        <v/>
      </c>
    </row>
    <row r="5144" spans="4:4" x14ac:dyDescent="0.3">
      <c r="D5144" t="str">
        <f t="shared" si="111"/>
        <v/>
      </c>
    </row>
    <row r="5145" spans="4:4" x14ac:dyDescent="0.3">
      <c r="D5145" t="str">
        <f t="shared" si="111"/>
        <v/>
      </c>
    </row>
    <row r="5146" spans="4:4" x14ac:dyDescent="0.3">
      <c r="D5146" t="str">
        <f t="shared" si="111"/>
        <v/>
      </c>
    </row>
    <row r="5147" spans="4:4" x14ac:dyDescent="0.3">
      <c r="D5147" t="str">
        <f t="shared" si="111"/>
        <v/>
      </c>
    </row>
    <row r="5148" spans="4:4" x14ac:dyDescent="0.3">
      <c r="D5148" t="str">
        <f t="shared" si="111"/>
        <v/>
      </c>
    </row>
    <row r="5149" spans="4:4" x14ac:dyDescent="0.3">
      <c r="D5149" t="str">
        <f t="shared" si="111"/>
        <v/>
      </c>
    </row>
    <row r="5150" spans="4:4" x14ac:dyDescent="0.3">
      <c r="D5150" t="str">
        <f t="shared" si="111"/>
        <v/>
      </c>
    </row>
    <row r="5151" spans="4:4" x14ac:dyDescent="0.3">
      <c r="D5151" t="str">
        <f t="shared" si="111"/>
        <v/>
      </c>
    </row>
    <row r="5152" spans="4:4" x14ac:dyDescent="0.3">
      <c r="D5152" t="str">
        <f t="shared" si="111"/>
        <v/>
      </c>
    </row>
    <row r="5153" spans="4:4" x14ac:dyDescent="0.3">
      <c r="D5153" t="str">
        <f t="shared" si="111"/>
        <v/>
      </c>
    </row>
    <row r="5154" spans="4:4" x14ac:dyDescent="0.3">
      <c r="D5154" t="str">
        <f t="shared" si="111"/>
        <v/>
      </c>
    </row>
    <row r="5155" spans="4:4" x14ac:dyDescent="0.3">
      <c r="D5155" t="str">
        <f t="shared" si="111"/>
        <v/>
      </c>
    </row>
    <row r="5156" spans="4:4" x14ac:dyDescent="0.3">
      <c r="D5156" t="str">
        <f t="shared" si="111"/>
        <v/>
      </c>
    </row>
    <row r="5157" spans="4:4" x14ac:dyDescent="0.3">
      <c r="D5157" t="str">
        <f t="shared" si="111"/>
        <v/>
      </c>
    </row>
    <row r="5158" spans="4:4" x14ac:dyDescent="0.3">
      <c r="D5158" t="str">
        <f t="shared" si="111"/>
        <v/>
      </c>
    </row>
    <row r="5159" spans="4:4" x14ac:dyDescent="0.3">
      <c r="D5159" t="str">
        <f t="shared" si="111"/>
        <v/>
      </c>
    </row>
    <row r="5160" spans="4:4" x14ac:dyDescent="0.3">
      <c r="D5160" t="str">
        <f t="shared" si="111"/>
        <v/>
      </c>
    </row>
    <row r="5161" spans="4:4" x14ac:dyDescent="0.3">
      <c r="D5161" t="str">
        <f t="shared" si="111"/>
        <v/>
      </c>
    </row>
    <row r="5162" spans="4:4" x14ac:dyDescent="0.3">
      <c r="D5162" t="str">
        <f t="shared" si="111"/>
        <v/>
      </c>
    </row>
    <row r="5163" spans="4:4" x14ac:dyDescent="0.3">
      <c r="D5163" t="str">
        <f t="shared" si="111"/>
        <v/>
      </c>
    </row>
    <row r="5164" spans="4:4" x14ac:dyDescent="0.3">
      <c r="D5164" t="str">
        <f t="shared" si="111"/>
        <v/>
      </c>
    </row>
    <row r="5165" spans="4:4" x14ac:dyDescent="0.3">
      <c r="D5165" t="str">
        <f t="shared" si="111"/>
        <v/>
      </c>
    </row>
    <row r="5166" spans="4:4" x14ac:dyDescent="0.3">
      <c r="D5166" t="str">
        <f t="shared" si="111"/>
        <v/>
      </c>
    </row>
    <row r="5167" spans="4:4" x14ac:dyDescent="0.3">
      <c r="D5167" t="str">
        <f t="shared" si="111"/>
        <v/>
      </c>
    </row>
    <row r="5168" spans="4:4" x14ac:dyDescent="0.3">
      <c r="D5168" t="str">
        <f t="shared" si="111"/>
        <v/>
      </c>
    </row>
    <row r="5169" spans="4:4" x14ac:dyDescent="0.3">
      <c r="D5169" t="str">
        <f t="shared" si="111"/>
        <v/>
      </c>
    </row>
    <row r="5170" spans="4:4" x14ac:dyDescent="0.3">
      <c r="D5170" t="str">
        <f t="shared" si="111"/>
        <v/>
      </c>
    </row>
    <row r="5171" spans="4:4" x14ac:dyDescent="0.3">
      <c r="D5171" t="str">
        <f t="shared" si="111"/>
        <v/>
      </c>
    </row>
    <row r="5172" spans="4:4" x14ac:dyDescent="0.3">
      <c r="D5172" t="str">
        <f t="shared" si="111"/>
        <v/>
      </c>
    </row>
    <row r="5173" spans="4:4" x14ac:dyDescent="0.3">
      <c r="D5173" t="str">
        <f t="shared" si="111"/>
        <v/>
      </c>
    </row>
    <row r="5174" spans="4:4" x14ac:dyDescent="0.3">
      <c r="D5174" t="str">
        <f t="shared" ref="D5174:D5237" si="112">IF(LEFT(A5174,2)="SP",MID(A5174,4,4),IF(LEFT(A5174,1)="X",MID(A5174,3,4),""))</f>
        <v/>
      </c>
    </row>
    <row r="5175" spans="4:4" x14ac:dyDescent="0.3">
      <c r="D5175" t="str">
        <f t="shared" si="112"/>
        <v/>
      </c>
    </row>
    <row r="5176" spans="4:4" x14ac:dyDescent="0.3">
      <c r="D5176" t="str">
        <f t="shared" si="112"/>
        <v/>
      </c>
    </row>
    <row r="5177" spans="4:4" x14ac:dyDescent="0.3">
      <c r="D5177" t="str">
        <f t="shared" si="112"/>
        <v/>
      </c>
    </row>
    <row r="5178" spans="4:4" x14ac:dyDescent="0.3">
      <c r="D5178" t="str">
        <f t="shared" si="112"/>
        <v/>
      </c>
    </row>
    <row r="5179" spans="4:4" x14ac:dyDescent="0.3">
      <c r="D5179" t="str">
        <f t="shared" si="112"/>
        <v/>
      </c>
    </row>
    <row r="5180" spans="4:4" x14ac:dyDescent="0.3">
      <c r="D5180" t="str">
        <f t="shared" si="112"/>
        <v/>
      </c>
    </row>
    <row r="5181" spans="4:4" x14ac:dyDescent="0.3">
      <c r="D5181" t="str">
        <f t="shared" si="112"/>
        <v/>
      </c>
    </row>
    <row r="5182" spans="4:4" x14ac:dyDescent="0.3">
      <c r="D5182" t="str">
        <f t="shared" si="112"/>
        <v/>
      </c>
    </row>
    <row r="5183" spans="4:4" x14ac:dyDescent="0.3">
      <c r="D5183" t="str">
        <f t="shared" si="112"/>
        <v/>
      </c>
    </row>
    <row r="5184" spans="4:4" x14ac:dyDescent="0.3">
      <c r="D5184" t="str">
        <f t="shared" si="112"/>
        <v/>
      </c>
    </row>
    <row r="5185" spans="4:4" x14ac:dyDescent="0.3">
      <c r="D5185" t="str">
        <f t="shared" si="112"/>
        <v/>
      </c>
    </row>
    <row r="5186" spans="4:4" x14ac:dyDescent="0.3">
      <c r="D5186" t="str">
        <f t="shared" si="112"/>
        <v/>
      </c>
    </row>
    <row r="5187" spans="4:4" x14ac:dyDescent="0.3">
      <c r="D5187" t="str">
        <f t="shared" si="112"/>
        <v/>
      </c>
    </row>
    <row r="5188" spans="4:4" x14ac:dyDescent="0.3">
      <c r="D5188" t="str">
        <f t="shared" si="112"/>
        <v/>
      </c>
    </row>
    <row r="5189" spans="4:4" x14ac:dyDescent="0.3">
      <c r="D5189" t="str">
        <f t="shared" si="112"/>
        <v/>
      </c>
    </row>
    <row r="5190" spans="4:4" x14ac:dyDescent="0.3">
      <c r="D5190" t="str">
        <f t="shared" si="112"/>
        <v/>
      </c>
    </row>
    <row r="5191" spans="4:4" x14ac:dyDescent="0.3">
      <c r="D5191" t="str">
        <f t="shared" si="112"/>
        <v/>
      </c>
    </row>
    <row r="5192" spans="4:4" x14ac:dyDescent="0.3">
      <c r="D5192" t="str">
        <f t="shared" si="112"/>
        <v/>
      </c>
    </row>
    <row r="5193" spans="4:4" x14ac:dyDescent="0.3">
      <c r="D5193" t="str">
        <f t="shared" si="112"/>
        <v/>
      </c>
    </row>
    <row r="5194" spans="4:4" x14ac:dyDescent="0.3">
      <c r="D5194" t="str">
        <f t="shared" si="112"/>
        <v/>
      </c>
    </row>
    <row r="5195" spans="4:4" x14ac:dyDescent="0.3">
      <c r="D5195" t="str">
        <f t="shared" si="112"/>
        <v/>
      </c>
    </row>
    <row r="5196" spans="4:4" x14ac:dyDescent="0.3">
      <c r="D5196" t="str">
        <f t="shared" si="112"/>
        <v/>
      </c>
    </row>
    <row r="5197" spans="4:4" x14ac:dyDescent="0.3">
      <c r="D5197" t="str">
        <f t="shared" si="112"/>
        <v/>
      </c>
    </row>
    <row r="5198" spans="4:4" x14ac:dyDescent="0.3">
      <c r="D5198" t="str">
        <f t="shared" si="112"/>
        <v/>
      </c>
    </row>
    <row r="5199" spans="4:4" x14ac:dyDescent="0.3">
      <c r="D5199" t="str">
        <f t="shared" si="112"/>
        <v/>
      </c>
    </row>
    <row r="5200" spans="4:4" x14ac:dyDescent="0.3">
      <c r="D5200" t="str">
        <f t="shared" si="112"/>
        <v/>
      </c>
    </row>
    <row r="5201" spans="4:4" x14ac:dyDescent="0.3">
      <c r="D5201" t="str">
        <f t="shared" si="112"/>
        <v/>
      </c>
    </row>
    <row r="5202" spans="4:4" x14ac:dyDescent="0.3">
      <c r="D5202" t="str">
        <f t="shared" si="112"/>
        <v/>
      </c>
    </row>
    <row r="5203" spans="4:4" x14ac:dyDescent="0.3">
      <c r="D5203" t="str">
        <f t="shared" si="112"/>
        <v/>
      </c>
    </row>
    <row r="5204" spans="4:4" x14ac:dyDescent="0.3">
      <c r="D5204" t="str">
        <f t="shared" si="112"/>
        <v/>
      </c>
    </row>
    <row r="5205" spans="4:4" x14ac:dyDescent="0.3">
      <c r="D5205" t="str">
        <f t="shared" si="112"/>
        <v/>
      </c>
    </row>
    <row r="5206" spans="4:4" x14ac:dyDescent="0.3">
      <c r="D5206" t="str">
        <f t="shared" si="112"/>
        <v/>
      </c>
    </row>
    <row r="5207" spans="4:4" x14ac:dyDescent="0.3">
      <c r="D5207" t="str">
        <f t="shared" si="112"/>
        <v/>
      </c>
    </row>
    <row r="5208" spans="4:4" x14ac:dyDescent="0.3">
      <c r="D5208" t="str">
        <f t="shared" si="112"/>
        <v/>
      </c>
    </row>
    <row r="5209" spans="4:4" x14ac:dyDescent="0.3">
      <c r="D5209" t="str">
        <f t="shared" si="112"/>
        <v/>
      </c>
    </row>
    <row r="5210" spans="4:4" x14ac:dyDescent="0.3">
      <c r="D5210" t="str">
        <f t="shared" si="112"/>
        <v/>
      </c>
    </row>
    <row r="5211" spans="4:4" x14ac:dyDescent="0.3">
      <c r="D5211" t="str">
        <f t="shared" si="112"/>
        <v/>
      </c>
    </row>
    <row r="5212" spans="4:4" x14ac:dyDescent="0.3">
      <c r="D5212" t="str">
        <f t="shared" si="112"/>
        <v/>
      </c>
    </row>
    <row r="5213" spans="4:4" x14ac:dyDescent="0.3">
      <c r="D5213" t="str">
        <f t="shared" si="112"/>
        <v/>
      </c>
    </row>
    <row r="5214" spans="4:4" x14ac:dyDescent="0.3">
      <c r="D5214" t="str">
        <f t="shared" si="112"/>
        <v/>
      </c>
    </row>
    <row r="5215" spans="4:4" x14ac:dyDescent="0.3">
      <c r="D5215" t="str">
        <f t="shared" si="112"/>
        <v/>
      </c>
    </row>
    <row r="5216" spans="4:4" x14ac:dyDescent="0.3">
      <c r="D5216" t="str">
        <f t="shared" si="112"/>
        <v/>
      </c>
    </row>
    <row r="5217" spans="4:4" x14ac:dyDescent="0.3">
      <c r="D5217" t="str">
        <f t="shared" si="112"/>
        <v/>
      </c>
    </row>
    <row r="5218" spans="4:4" x14ac:dyDescent="0.3">
      <c r="D5218" t="str">
        <f t="shared" si="112"/>
        <v/>
      </c>
    </row>
    <row r="5219" spans="4:4" x14ac:dyDescent="0.3">
      <c r="D5219" t="str">
        <f t="shared" si="112"/>
        <v/>
      </c>
    </row>
    <row r="5220" spans="4:4" x14ac:dyDescent="0.3">
      <c r="D5220" t="str">
        <f t="shared" si="112"/>
        <v/>
      </c>
    </row>
    <row r="5221" spans="4:4" x14ac:dyDescent="0.3">
      <c r="D5221" t="str">
        <f t="shared" si="112"/>
        <v/>
      </c>
    </row>
    <row r="5222" spans="4:4" x14ac:dyDescent="0.3">
      <c r="D5222" t="str">
        <f t="shared" si="112"/>
        <v/>
      </c>
    </row>
    <row r="5223" spans="4:4" x14ac:dyDescent="0.3">
      <c r="D5223" t="str">
        <f t="shared" si="112"/>
        <v/>
      </c>
    </row>
    <row r="5224" spans="4:4" x14ac:dyDescent="0.3">
      <c r="D5224" t="str">
        <f t="shared" si="112"/>
        <v/>
      </c>
    </row>
    <row r="5225" spans="4:4" x14ac:dyDescent="0.3">
      <c r="D5225" t="str">
        <f t="shared" si="112"/>
        <v/>
      </c>
    </row>
    <row r="5226" spans="4:4" x14ac:dyDescent="0.3">
      <c r="D5226" t="str">
        <f t="shared" si="112"/>
        <v/>
      </c>
    </row>
    <row r="5227" spans="4:4" x14ac:dyDescent="0.3">
      <c r="D5227" t="str">
        <f t="shared" si="112"/>
        <v/>
      </c>
    </row>
    <row r="5228" spans="4:4" x14ac:dyDescent="0.3">
      <c r="D5228" t="str">
        <f t="shared" si="112"/>
        <v/>
      </c>
    </row>
    <row r="5229" spans="4:4" x14ac:dyDescent="0.3">
      <c r="D5229" t="str">
        <f t="shared" si="112"/>
        <v/>
      </c>
    </row>
    <row r="5230" spans="4:4" x14ac:dyDescent="0.3">
      <c r="D5230" t="str">
        <f t="shared" si="112"/>
        <v/>
      </c>
    </row>
    <row r="5231" spans="4:4" x14ac:dyDescent="0.3">
      <c r="D5231" t="str">
        <f t="shared" si="112"/>
        <v/>
      </c>
    </row>
    <row r="5232" spans="4:4" x14ac:dyDescent="0.3">
      <c r="D5232" t="str">
        <f t="shared" si="112"/>
        <v/>
      </c>
    </row>
    <row r="5233" spans="4:4" x14ac:dyDescent="0.3">
      <c r="D5233" t="str">
        <f t="shared" si="112"/>
        <v/>
      </c>
    </row>
    <row r="5234" spans="4:4" x14ac:dyDescent="0.3">
      <c r="D5234" t="str">
        <f t="shared" si="112"/>
        <v/>
      </c>
    </row>
    <row r="5235" spans="4:4" x14ac:dyDescent="0.3">
      <c r="D5235" t="str">
        <f t="shared" si="112"/>
        <v/>
      </c>
    </row>
    <row r="5236" spans="4:4" x14ac:dyDescent="0.3">
      <c r="D5236" t="str">
        <f t="shared" si="112"/>
        <v/>
      </c>
    </row>
    <row r="5237" spans="4:4" x14ac:dyDescent="0.3">
      <c r="D5237" t="str">
        <f t="shared" si="112"/>
        <v/>
      </c>
    </row>
    <row r="5238" spans="4:4" x14ac:dyDescent="0.3">
      <c r="D5238" t="str">
        <f t="shared" ref="D5238:D5301" si="113">IF(LEFT(A5238,2)="SP",MID(A5238,4,4),IF(LEFT(A5238,1)="X",MID(A5238,3,4),""))</f>
        <v/>
      </c>
    </row>
    <row r="5239" spans="4:4" x14ac:dyDescent="0.3">
      <c r="D5239" t="str">
        <f t="shared" si="113"/>
        <v/>
      </c>
    </row>
    <row r="5240" spans="4:4" x14ac:dyDescent="0.3">
      <c r="D5240" t="str">
        <f t="shared" si="113"/>
        <v/>
      </c>
    </row>
    <row r="5241" spans="4:4" x14ac:dyDescent="0.3">
      <c r="D5241" t="str">
        <f t="shared" si="113"/>
        <v/>
      </c>
    </row>
    <row r="5242" spans="4:4" x14ac:dyDescent="0.3">
      <c r="D5242" t="str">
        <f t="shared" si="113"/>
        <v/>
      </c>
    </row>
    <row r="5243" spans="4:4" x14ac:dyDescent="0.3">
      <c r="D5243" t="str">
        <f t="shared" si="113"/>
        <v/>
      </c>
    </row>
    <row r="5244" spans="4:4" x14ac:dyDescent="0.3">
      <c r="D5244" t="str">
        <f t="shared" si="113"/>
        <v/>
      </c>
    </row>
    <row r="5245" spans="4:4" x14ac:dyDescent="0.3">
      <c r="D5245" t="str">
        <f t="shared" si="113"/>
        <v/>
      </c>
    </row>
    <row r="5246" spans="4:4" x14ac:dyDescent="0.3">
      <c r="D5246" t="str">
        <f t="shared" si="113"/>
        <v/>
      </c>
    </row>
    <row r="5247" spans="4:4" x14ac:dyDescent="0.3">
      <c r="D5247" t="str">
        <f t="shared" si="113"/>
        <v/>
      </c>
    </row>
    <row r="5248" spans="4:4" x14ac:dyDescent="0.3">
      <c r="D5248" t="str">
        <f t="shared" si="113"/>
        <v/>
      </c>
    </row>
    <row r="5249" spans="4:4" x14ac:dyDescent="0.3">
      <c r="D5249" t="str">
        <f t="shared" si="113"/>
        <v/>
      </c>
    </row>
    <row r="5250" spans="4:4" x14ac:dyDescent="0.3">
      <c r="D5250" t="str">
        <f t="shared" si="113"/>
        <v/>
      </c>
    </row>
    <row r="5251" spans="4:4" x14ac:dyDescent="0.3">
      <c r="D5251" t="str">
        <f t="shared" si="113"/>
        <v/>
      </c>
    </row>
    <row r="5252" spans="4:4" x14ac:dyDescent="0.3">
      <c r="D5252" t="str">
        <f t="shared" si="113"/>
        <v/>
      </c>
    </row>
    <row r="5253" spans="4:4" x14ac:dyDescent="0.3">
      <c r="D5253" t="str">
        <f t="shared" si="113"/>
        <v/>
      </c>
    </row>
    <row r="5254" spans="4:4" x14ac:dyDescent="0.3">
      <c r="D5254" t="str">
        <f t="shared" si="113"/>
        <v/>
      </c>
    </row>
    <row r="5255" spans="4:4" x14ac:dyDescent="0.3">
      <c r="D5255" t="str">
        <f t="shared" si="113"/>
        <v/>
      </c>
    </row>
    <row r="5256" spans="4:4" x14ac:dyDescent="0.3">
      <c r="D5256" t="str">
        <f t="shared" si="113"/>
        <v/>
      </c>
    </row>
    <row r="5257" spans="4:4" x14ac:dyDescent="0.3">
      <c r="D5257" t="str">
        <f t="shared" si="113"/>
        <v/>
      </c>
    </row>
    <row r="5258" spans="4:4" x14ac:dyDescent="0.3">
      <c r="D5258" t="str">
        <f t="shared" si="113"/>
        <v/>
      </c>
    </row>
    <row r="5259" spans="4:4" x14ac:dyDescent="0.3">
      <c r="D5259" t="str">
        <f t="shared" si="113"/>
        <v/>
      </c>
    </row>
    <row r="5260" spans="4:4" x14ac:dyDescent="0.3">
      <c r="D5260" t="str">
        <f t="shared" si="113"/>
        <v/>
      </c>
    </row>
    <row r="5261" spans="4:4" x14ac:dyDescent="0.3">
      <c r="D5261" t="str">
        <f t="shared" si="113"/>
        <v/>
      </c>
    </row>
    <row r="5262" spans="4:4" x14ac:dyDescent="0.3">
      <c r="D5262" t="str">
        <f t="shared" si="113"/>
        <v/>
      </c>
    </row>
    <row r="5263" spans="4:4" x14ac:dyDescent="0.3">
      <c r="D5263" t="str">
        <f t="shared" si="113"/>
        <v/>
      </c>
    </row>
    <row r="5264" spans="4:4" x14ac:dyDescent="0.3">
      <c r="D5264" t="str">
        <f t="shared" si="113"/>
        <v/>
      </c>
    </row>
    <row r="5265" spans="4:4" x14ac:dyDescent="0.3">
      <c r="D5265" t="str">
        <f t="shared" si="113"/>
        <v/>
      </c>
    </row>
    <row r="5266" spans="4:4" x14ac:dyDescent="0.3">
      <c r="D5266" t="str">
        <f t="shared" si="113"/>
        <v/>
      </c>
    </row>
    <row r="5267" spans="4:4" x14ac:dyDescent="0.3">
      <c r="D5267" t="str">
        <f t="shared" si="113"/>
        <v/>
      </c>
    </row>
    <row r="5268" spans="4:4" x14ac:dyDescent="0.3">
      <c r="D5268" t="str">
        <f t="shared" si="113"/>
        <v/>
      </c>
    </row>
    <row r="5269" spans="4:4" x14ac:dyDescent="0.3">
      <c r="D5269" t="str">
        <f t="shared" si="113"/>
        <v/>
      </c>
    </row>
    <row r="5270" spans="4:4" x14ac:dyDescent="0.3">
      <c r="D5270" t="str">
        <f t="shared" si="113"/>
        <v/>
      </c>
    </row>
    <row r="5271" spans="4:4" x14ac:dyDescent="0.3">
      <c r="D5271" t="str">
        <f t="shared" si="113"/>
        <v/>
      </c>
    </row>
    <row r="5272" spans="4:4" x14ac:dyDescent="0.3">
      <c r="D5272" t="str">
        <f t="shared" si="113"/>
        <v/>
      </c>
    </row>
    <row r="5273" spans="4:4" x14ac:dyDescent="0.3">
      <c r="D5273" t="str">
        <f t="shared" si="113"/>
        <v/>
      </c>
    </row>
    <row r="5274" spans="4:4" x14ac:dyDescent="0.3">
      <c r="D5274" t="str">
        <f t="shared" si="113"/>
        <v/>
      </c>
    </row>
    <row r="5275" spans="4:4" x14ac:dyDescent="0.3">
      <c r="D5275" t="str">
        <f t="shared" si="113"/>
        <v/>
      </c>
    </row>
    <row r="5276" spans="4:4" x14ac:dyDescent="0.3">
      <c r="D5276" t="str">
        <f t="shared" si="113"/>
        <v/>
      </c>
    </row>
    <row r="5277" spans="4:4" x14ac:dyDescent="0.3">
      <c r="D5277" t="str">
        <f t="shared" si="113"/>
        <v/>
      </c>
    </row>
    <row r="5278" spans="4:4" x14ac:dyDescent="0.3">
      <c r="D5278" t="str">
        <f t="shared" si="113"/>
        <v/>
      </c>
    </row>
    <row r="5279" spans="4:4" x14ac:dyDescent="0.3">
      <c r="D5279" t="str">
        <f t="shared" si="113"/>
        <v/>
      </c>
    </row>
    <row r="5280" spans="4:4" x14ac:dyDescent="0.3">
      <c r="D5280" t="str">
        <f t="shared" si="113"/>
        <v/>
      </c>
    </row>
    <row r="5281" spans="4:4" x14ac:dyDescent="0.3">
      <c r="D5281" t="str">
        <f t="shared" si="113"/>
        <v/>
      </c>
    </row>
    <row r="5282" spans="4:4" x14ac:dyDescent="0.3">
      <c r="D5282" t="str">
        <f t="shared" si="113"/>
        <v/>
      </c>
    </row>
    <row r="5283" spans="4:4" x14ac:dyDescent="0.3">
      <c r="D5283" t="str">
        <f t="shared" si="113"/>
        <v/>
      </c>
    </row>
    <row r="5284" spans="4:4" x14ac:dyDescent="0.3">
      <c r="D5284" t="str">
        <f t="shared" si="113"/>
        <v/>
      </c>
    </row>
    <row r="5285" spans="4:4" x14ac:dyDescent="0.3">
      <c r="D5285" t="str">
        <f t="shared" si="113"/>
        <v/>
      </c>
    </row>
    <row r="5286" spans="4:4" x14ac:dyDescent="0.3">
      <c r="D5286" t="str">
        <f t="shared" si="113"/>
        <v/>
      </c>
    </row>
    <row r="5287" spans="4:4" x14ac:dyDescent="0.3">
      <c r="D5287" t="str">
        <f t="shared" si="113"/>
        <v/>
      </c>
    </row>
    <row r="5288" spans="4:4" x14ac:dyDescent="0.3">
      <c r="D5288" t="str">
        <f t="shared" si="113"/>
        <v/>
      </c>
    </row>
    <row r="5289" spans="4:4" x14ac:dyDescent="0.3">
      <c r="D5289" t="str">
        <f t="shared" si="113"/>
        <v/>
      </c>
    </row>
    <row r="5290" spans="4:4" x14ac:dyDescent="0.3">
      <c r="D5290" t="str">
        <f t="shared" si="113"/>
        <v/>
      </c>
    </row>
    <row r="5291" spans="4:4" x14ac:dyDescent="0.3">
      <c r="D5291" t="str">
        <f t="shared" si="113"/>
        <v/>
      </c>
    </row>
    <row r="5292" spans="4:4" x14ac:dyDescent="0.3">
      <c r="D5292" t="str">
        <f t="shared" si="113"/>
        <v/>
      </c>
    </row>
    <row r="5293" spans="4:4" x14ac:dyDescent="0.3">
      <c r="D5293" t="str">
        <f t="shared" si="113"/>
        <v/>
      </c>
    </row>
    <row r="5294" spans="4:4" x14ac:dyDescent="0.3">
      <c r="D5294" t="str">
        <f t="shared" si="113"/>
        <v/>
      </c>
    </row>
    <row r="5295" spans="4:4" x14ac:dyDescent="0.3">
      <c r="D5295" t="str">
        <f t="shared" si="113"/>
        <v/>
      </c>
    </row>
    <row r="5296" spans="4:4" x14ac:dyDescent="0.3">
      <c r="D5296" t="str">
        <f t="shared" si="113"/>
        <v/>
      </c>
    </row>
    <row r="5297" spans="4:4" x14ac:dyDescent="0.3">
      <c r="D5297" t="str">
        <f t="shared" si="113"/>
        <v/>
      </c>
    </row>
    <row r="5298" spans="4:4" x14ac:dyDescent="0.3">
      <c r="D5298" t="str">
        <f t="shared" si="113"/>
        <v/>
      </c>
    </row>
    <row r="5299" spans="4:4" x14ac:dyDescent="0.3">
      <c r="D5299" t="str">
        <f t="shared" si="113"/>
        <v/>
      </c>
    </row>
    <row r="5300" spans="4:4" x14ac:dyDescent="0.3">
      <c r="D5300" t="str">
        <f t="shared" si="113"/>
        <v/>
      </c>
    </row>
    <row r="5301" spans="4:4" x14ac:dyDescent="0.3">
      <c r="D5301" t="str">
        <f t="shared" si="113"/>
        <v/>
      </c>
    </row>
    <row r="5302" spans="4:4" x14ac:dyDescent="0.3">
      <c r="D5302" t="str">
        <f t="shared" ref="D5302:D5365" si="114">IF(LEFT(A5302,2)="SP",MID(A5302,4,4),IF(LEFT(A5302,1)="X",MID(A5302,3,4),""))</f>
        <v/>
      </c>
    </row>
    <row r="5303" spans="4:4" x14ac:dyDescent="0.3">
      <c r="D5303" t="str">
        <f t="shared" si="114"/>
        <v/>
      </c>
    </row>
    <row r="5304" spans="4:4" x14ac:dyDescent="0.3">
      <c r="D5304" t="str">
        <f t="shared" si="114"/>
        <v/>
      </c>
    </row>
    <row r="5305" spans="4:4" x14ac:dyDescent="0.3">
      <c r="D5305" t="str">
        <f t="shared" si="114"/>
        <v/>
      </c>
    </row>
    <row r="5306" spans="4:4" x14ac:dyDescent="0.3">
      <c r="D5306" t="str">
        <f t="shared" si="114"/>
        <v/>
      </c>
    </row>
    <row r="5307" spans="4:4" x14ac:dyDescent="0.3">
      <c r="D5307" t="str">
        <f t="shared" si="114"/>
        <v/>
      </c>
    </row>
    <row r="5308" spans="4:4" x14ac:dyDescent="0.3">
      <c r="D5308" t="str">
        <f t="shared" si="114"/>
        <v/>
      </c>
    </row>
    <row r="5309" spans="4:4" x14ac:dyDescent="0.3">
      <c r="D5309" t="str">
        <f t="shared" si="114"/>
        <v/>
      </c>
    </row>
    <row r="5310" spans="4:4" x14ac:dyDescent="0.3">
      <c r="D5310" t="str">
        <f t="shared" si="114"/>
        <v/>
      </c>
    </row>
    <row r="5311" spans="4:4" x14ac:dyDescent="0.3">
      <c r="D5311" t="str">
        <f t="shared" si="114"/>
        <v/>
      </c>
    </row>
    <row r="5312" spans="4:4" x14ac:dyDescent="0.3">
      <c r="D5312" t="str">
        <f t="shared" si="114"/>
        <v/>
      </c>
    </row>
    <row r="5313" spans="4:4" x14ac:dyDescent="0.3">
      <c r="D5313" t="str">
        <f t="shared" si="114"/>
        <v/>
      </c>
    </row>
    <row r="5314" spans="4:4" x14ac:dyDescent="0.3">
      <c r="D5314" t="str">
        <f t="shared" si="114"/>
        <v/>
      </c>
    </row>
    <row r="5315" spans="4:4" x14ac:dyDescent="0.3">
      <c r="D5315" t="str">
        <f t="shared" si="114"/>
        <v/>
      </c>
    </row>
    <row r="5316" spans="4:4" x14ac:dyDescent="0.3">
      <c r="D5316" t="str">
        <f t="shared" si="114"/>
        <v/>
      </c>
    </row>
    <row r="5317" spans="4:4" x14ac:dyDescent="0.3">
      <c r="D5317" t="str">
        <f t="shared" si="114"/>
        <v/>
      </c>
    </row>
    <row r="5318" spans="4:4" x14ac:dyDescent="0.3">
      <c r="D5318" t="str">
        <f t="shared" si="114"/>
        <v/>
      </c>
    </row>
    <row r="5319" spans="4:4" x14ac:dyDescent="0.3">
      <c r="D5319" t="str">
        <f t="shared" si="114"/>
        <v/>
      </c>
    </row>
    <row r="5320" spans="4:4" x14ac:dyDescent="0.3">
      <c r="D5320" t="str">
        <f t="shared" si="114"/>
        <v/>
      </c>
    </row>
    <row r="5321" spans="4:4" x14ac:dyDescent="0.3">
      <c r="D5321" t="str">
        <f t="shared" si="114"/>
        <v/>
      </c>
    </row>
    <row r="5322" spans="4:4" x14ac:dyDescent="0.3">
      <c r="D5322" t="str">
        <f t="shared" si="114"/>
        <v/>
      </c>
    </row>
    <row r="5323" spans="4:4" x14ac:dyDescent="0.3">
      <c r="D5323" t="str">
        <f t="shared" si="114"/>
        <v/>
      </c>
    </row>
    <row r="5324" spans="4:4" x14ac:dyDescent="0.3">
      <c r="D5324" t="str">
        <f t="shared" si="114"/>
        <v/>
      </c>
    </row>
    <row r="5325" spans="4:4" x14ac:dyDescent="0.3">
      <c r="D5325" t="str">
        <f t="shared" si="114"/>
        <v/>
      </c>
    </row>
    <row r="5326" spans="4:4" x14ac:dyDescent="0.3">
      <c r="D5326" t="str">
        <f t="shared" si="114"/>
        <v/>
      </c>
    </row>
    <row r="5327" spans="4:4" x14ac:dyDescent="0.3">
      <c r="D5327" t="str">
        <f t="shared" si="114"/>
        <v/>
      </c>
    </row>
    <row r="5328" spans="4:4" x14ac:dyDescent="0.3">
      <c r="D5328" t="str">
        <f t="shared" si="114"/>
        <v/>
      </c>
    </row>
    <row r="5329" spans="4:4" x14ac:dyDescent="0.3">
      <c r="D5329" t="str">
        <f t="shared" si="114"/>
        <v/>
      </c>
    </row>
    <row r="5330" spans="4:4" x14ac:dyDescent="0.3">
      <c r="D5330" t="str">
        <f t="shared" si="114"/>
        <v/>
      </c>
    </row>
    <row r="5331" spans="4:4" x14ac:dyDescent="0.3">
      <c r="D5331" t="str">
        <f t="shared" si="114"/>
        <v/>
      </c>
    </row>
    <row r="5332" spans="4:4" x14ac:dyDescent="0.3">
      <c r="D5332" t="str">
        <f t="shared" si="114"/>
        <v/>
      </c>
    </row>
    <row r="5333" spans="4:4" x14ac:dyDescent="0.3">
      <c r="D5333" t="str">
        <f t="shared" si="114"/>
        <v/>
      </c>
    </row>
    <row r="5334" spans="4:4" x14ac:dyDescent="0.3">
      <c r="D5334" t="str">
        <f t="shared" si="114"/>
        <v/>
      </c>
    </row>
    <row r="5335" spans="4:4" x14ac:dyDescent="0.3">
      <c r="D5335" t="str">
        <f t="shared" si="114"/>
        <v/>
      </c>
    </row>
    <row r="5336" spans="4:4" x14ac:dyDescent="0.3">
      <c r="D5336" t="str">
        <f t="shared" si="114"/>
        <v/>
      </c>
    </row>
    <row r="5337" spans="4:4" x14ac:dyDescent="0.3">
      <c r="D5337" t="str">
        <f t="shared" si="114"/>
        <v/>
      </c>
    </row>
    <row r="5338" spans="4:4" x14ac:dyDescent="0.3">
      <c r="D5338" t="str">
        <f t="shared" si="114"/>
        <v/>
      </c>
    </row>
    <row r="5339" spans="4:4" x14ac:dyDescent="0.3">
      <c r="D5339" t="str">
        <f t="shared" si="114"/>
        <v/>
      </c>
    </row>
    <row r="5340" spans="4:4" x14ac:dyDescent="0.3">
      <c r="D5340" t="str">
        <f t="shared" si="114"/>
        <v/>
      </c>
    </row>
    <row r="5341" spans="4:4" x14ac:dyDescent="0.3">
      <c r="D5341" t="str">
        <f t="shared" si="114"/>
        <v/>
      </c>
    </row>
    <row r="5342" spans="4:4" x14ac:dyDescent="0.3">
      <c r="D5342" t="str">
        <f t="shared" si="114"/>
        <v/>
      </c>
    </row>
    <row r="5343" spans="4:4" x14ac:dyDescent="0.3">
      <c r="D5343" t="str">
        <f t="shared" si="114"/>
        <v/>
      </c>
    </row>
    <row r="5344" spans="4:4" x14ac:dyDescent="0.3">
      <c r="D5344" t="str">
        <f t="shared" si="114"/>
        <v/>
      </c>
    </row>
    <row r="5345" spans="4:4" x14ac:dyDescent="0.3">
      <c r="D5345" t="str">
        <f t="shared" si="114"/>
        <v/>
      </c>
    </row>
    <row r="5346" spans="4:4" x14ac:dyDescent="0.3">
      <c r="D5346" t="str">
        <f t="shared" si="114"/>
        <v/>
      </c>
    </row>
    <row r="5347" spans="4:4" x14ac:dyDescent="0.3">
      <c r="D5347" t="str">
        <f t="shared" si="114"/>
        <v/>
      </c>
    </row>
    <row r="5348" spans="4:4" x14ac:dyDescent="0.3">
      <c r="D5348" t="str">
        <f t="shared" si="114"/>
        <v/>
      </c>
    </row>
    <row r="5349" spans="4:4" x14ac:dyDescent="0.3">
      <c r="D5349" t="str">
        <f t="shared" si="114"/>
        <v/>
      </c>
    </row>
    <row r="5350" spans="4:4" x14ac:dyDescent="0.3">
      <c r="D5350" t="str">
        <f t="shared" si="114"/>
        <v/>
      </c>
    </row>
    <row r="5351" spans="4:4" x14ac:dyDescent="0.3">
      <c r="D5351" t="str">
        <f t="shared" si="114"/>
        <v/>
      </c>
    </row>
    <row r="5352" spans="4:4" x14ac:dyDescent="0.3">
      <c r="D5352" t="str">
        <f t="shared" si="114"/>
        <v/>
      </c>
    </row>
    <row r="5353" spans="4:4" x14ac:dyDescent="0.3">
      <c r="D5353" t="str">
        <f t="shared" si="114"/>
        <v/>
      </c>
    </row>
    <row r="5354" spans="4:4" x14ac:dyDescent="0.3">
      <c r="D5354" t="str">
        <f t="shared" si="114"/>
        <v/>
      </c>
    </row>
    <row r="5355" spans="4:4" x14ac:dyDescent="0.3">
      <c r="D5355" t="str">
        <f t="shared" si="114"/>
        <v/>
      </c>
    </row>
    <row r="5356" spans="4:4" x14ac:dyDescent="0.3">
      <c r="D5356" t="str">
        <f t="shared" si="114"/>
        <v/>
      </c>
    </row>
    <row r="5357" spans="4:4" x14ac:dyDescent="0.3">
      <c r="D5357" t="str">
        <f t="shared" si="114"/>
        <v/>
      </c>
    </row>
    <row r="5358" spans="4:4" x14ac:dyDescent="0.3">
      <c r="D5358" t="str">
        <f t="shared" si="114"/>
        <v/>
      </c>
    </row>
    <row r="5359" spans="4:4" x14ac:dyDescent="0.3">
      <c r="D5359" t="str">
        <f t="shared" si="114"/>
        <v/>
      </c>
    </row>
    <row r="5360" spans="4:4" x14ac:dyDescent="0.3">
      <c r="D5360" t="str">
        <f t="shared" si="114"/>
        <v/>
      </c>
    </row>
    <row r="5361" spans="4:4" x14ac:dyDescent="0.3">
      <c r="D5361" t="str">
        <f t="shared" si="114"/>
        <v/>
      </c>
    </row>
    <row r="5362" spans="4:4" x14ac:dyDescent="0.3">
      <c r="D5362" t="str">
        <f t="shared" si="114"/>
        <v/>
      </c>
    </row>
    <row r="5363" spans="4:4" x14ac:dyDescent="0.3">
      <c r="D5363" t="str">
        <f t="shared" si="114"/>
        <v/>
      </c>
    </row>
    <row r="5364" spans="4:4" x14ac:dyDescent="0.3">
      <c r="D5364" t="str">
        <f t="shared" si="114"/>
        <v/>
      </c>
    </row>
    <row r="5365" spans="4:4" x14ac:dyDescent="0.3">
      <c r="D5365" t="str">
        <f t="shared" si="114"/>
        <v/>
      </c>
    </row>
    <row r="5366" spans="4:4" x14ac:dyDescent="0.3">
      <c r="D5366" t="str">
        <f t="shared" ref="D5366:D5429" si="115">IF(LEFT(A5366,2)="SP",MID(A5366,4,4),IF(LEFT(A5366,1)="X",MID(A5366,3,4),""))</f>
        <v/>
      </c>
    </row>
    <row r="5367" spans="4:4" x14ac:dyDescent="0.3">
      <c r="D5367" t="str">
        <f t="shared" si="115"/>
        <v/>
      </c>
    </row>
    <row r="5368" spans="4:4" x14ac:dyDescent="0.3">
      <c r="D5368" t="str">
        <f t="shared" si="115"/>
        <v/>
      </c>
    </row>
    <row r="5369" spans="4:4" x14ac:dyDescent="0.3">
      <c r="D5369" t="str">
        <f t="shared" si="115"/>
        <v/>
      </c>
    </row>
    <row r="5370" spans="4:4" x14ac:dyDescent="0.3">
      <c r="D5370" t="str">
        <f t="shared" si="115"/>
        <v/>
      </c>
    </row>
    <row r="5371" spans="4:4" x14ac:dyDescent="0.3">
      <c r="D5371" t="str">
        <f t="shared" si="115"/>
        <v/>
      </c>
    </row>
    <row r="5372" spans="4:4" x14ac:dyDescent="0.3">
      <c r="D5372" t="str">
        <f t="shared" si="115"/>
        <v/>
      </c>
    </row>
    <row r="5373" spans="4:4" x14ac:dyDescent="0.3">
      <c r="D5373" t="str">
        <f t="shared" si="115"/>
        <v/>
      </c>
    </row>
    <row r="5374" spans="4:4" x14ac:dyDescent="0.3">
      <c r="D5374" t="str">
        <f t="shared" si="115"/>
        <v/>
      </c>
    </row>
    <row r="5375" spans="4:4" x14ac:dyDescent="0.3">
      <c r="D5375" t="str">
        <f t="shared" si="115"/>
        <v/>
      </c>
    </row>
    <row r="5376" spans="4:4" x14ac:dyDescent="0.3">
      <c r="D5376" t="str">
        <f t="shared" si="115"/>
        <v/>
      </c>
    </row>
    <row r="5377" spans="4:4" x14ac:dyDescent="0.3">
      <c r="D5377" t="str">
        <f t="shared" si="115"/>
        <v/>
      </c>
    </row>
    <row r="5378" spans="4:4" x14ac:dyDescent="0.3">
      <c r="D5378" t="str">
        <f t="shared" si="115"/>
        <v/>
      </c>
    </row>
    <row r="5379" spans="4:4" x14ac:dyDescent="0.3">
      <c r="D5379" t="str">
        <f t="shared" si="115"/>
        <v/>
      </c>
    </row>
    <row r="5380" spans="4:4" x14ac:dyDescent="0.3">
      <c r="D5380" t="str">
        <f t="shared" si="115"/>
        <v/>
      </c>
    </row>
    <row r="5381" spans="4:4" x14ac:dyDescent="0.3">
      <c r="D5381" t="str">
        <f t="shared" si="115"/>
        <v/>
      </c>
    </row>
    <row r="5382" spans="4:4" x14ac:dyDescent="0.3">
      <c r="D5382" t="str">
        <f t="shared" si="115"/>
        <v/>
      </c>
    </row>
    <row r="5383" spans="4:4" x14ac:dyDescent="0.3">
      <c r="D5383" t="str">
        <f t="shared" si="115"/>
        <v/>
      </c>
    </row>
    <row r="5384" spans="4:4" x14ac:dyDescent="0.3">
      <c r="D5384" t="str">
        <f t="shared" si="115"/>
        <v/>
      </c>
    </row>
    <row r="5385" spans="4:4" x14ac:dyDescent="0.3">
      <c r="D5385" t="str">
        <f t="shared" si="115"/>
        <v/>
      </c>
    </row>
    <row r="5386" spans="4:4" x14ac:dyDescent="0.3">
      <c r="D5386" t="str">
        <f t="shared" si="115"/>
        <v/>
      </c>
    </row>
    <row r="5387" spans="4:4" x14ac:dyDescent="0.3">
      <c r="D5387" t="str">
        <f t="shared" si="115"/>
        <v/>
      </c>
    </row>
    <row r="5388" spans="4:4" x14ac:dyDescent="0.3">
      <c r="D5388" t="str">
        <f t="shared" si="115"/>
        <v/>
      </c>
    </row>
    <row r="5389" spans="4:4" x14ac:dyDescent="0.3">
      <c r="D5389" t="str">
        <f t="shared" si="115"/>
        <v/>
      </c>
    </row>
    <row r="5390" spans="4:4" x14ac:dyDescent="0.3">
      <c r="D5390" t="str">
        <f t="shared" si="115"/>
        <v/>
      </c>
    </row>
    <row r="5391" spans="4:4" x14ac:dyDescent="0.3">
      <c r="D5391" t="str">
        <f t="shared" si="115"/>
        <v/>
      </c>
    </row>
    <row r="5392" spans="4:4" x14ac:dyDescent="0.3">
      <c r="D5392" t="str">
        <f t="shared" si="115"/>
        <v/>
      </c>
    </row>
    <row r="5393" spans="4:4" x14ac:dyDescent="0.3">
      <c r="D5393" t="str">
        <f t="shared" si="115"/>
        <v/>
      </c>
    </row>
    <row r="5394" spans="4:4" x14ac:dyDescent="0.3">
      <c r="D5394" t="str">
        <f t="shared" si="115"/>
        <v/>
      </c>
    </row>
    <row r="5395" spans="4:4" x14ac:dyDescent="0.3">
      <c r="D5395" t="str">
        <f t="shared" si="115"/>
        <v/>
      </c>
    </row>
    <row r="5396" spans="4:4" x14ac:dyDescent="0.3">
      <c r="D5396" t="str">
        <f t="shared" si="115"/>
        <v/>
      </c>
    </row>
    <row r="5397" spans="4:4" x14ac:dyDescent="0.3">
      <c r="D5397" t="str">
        <f t="shared" si="115"/>
        <v/>
      </c>
    </row>
    <row r="5398" spans="4:4" x14ac:dyDescent="0.3">
      <c r="D5398" t="str">
        <f t="shared" si="115"/>
        <v/>
      </c>
    </row>
    <row r="5399" spans="4:4" x14ac:dyDescent="0.3">
      <c r="D5399" t="str">
        <f t="shared" si="115"/>
        <v/>
      </c>
    </row>
    <row r="5400" spans="4:4" x14ac:dyDescent="0.3">
      <c r="D5400" t="str">
        <f t="shared" si="115"/>
        <v/>
      </c>
    </row>
    <row r="5401" spans="4:4" x14ac:dyDescent="0.3">
      <c r="D5401" t="str">
        <f t="shared" si="115"/>
        <v/>
      </c>
    </row>
    <row r="5402" spans="4:4" x14ac:dyDescent="0.3">
      <c r="D5402" t="str">
        <f t="shared" si="115"/>
        <v/>
      </c>
    </row>
    <row r="5403" spans="4:4" x14ac:dyDescent="0.3">
      <c r="D5403" t="str">
        <f t="shared" si="115"/>
        <v/>
      </c>
    </row>
    <row r="5404" spans="4:4" x14ac:dyDescent="0.3">
      <c r="D5404" t="str">
        <f t="shared" si="115"/>
        <v/>
      </c>
    </row>
    <row r="5405" spans="4:4" x14ac:dyDescent="0.3">
      <c r="D5405" t="str">
        <f t="shared" si="115"/>
        <v/>
      </c>
    </row>
    <row r="5406" spans="4:4" x14ac:dyDescent="0.3">
      <c r="D5406" t="str">
        <f t="shared" si="115"/>
        <v/>
      </c>
    </row>
    <row r="5407" spans="4:4" x14ac:dyDescent="0.3">
      <c r="D5407" t="str">
        <f t="shared" si="115"/>
        <v/>
      </c>
    </row>
    <row r="5408" spans="4:4" x14ac:dyDescent="0.3">
      <c r="D5408" t="str">
        <f t="shared" si="115"/>
        <v/>
      </c>
    </row>
    <row r="5409" spans="4:4" x14ac:dyDescent="0.3">
      <c r="D5409" t="str">
        <f t="shared" si="115"/>
        <v/>
      </c>
    </row>
    <row r="5410" spans="4:4" x14ac:dyDescent="0.3">
      <c r="D5410" t="str">
        <f t="shared" si="115"/>
        <v/>
      </c>
    </row>
    <row r="5411" spans="4:4" x14ac:dyDescent="0.3">
      <c r="D5411" t="str">
        <f t="shared" si="115"/>
        <v/>
      </c>
    </row>
    <row r="5412" spans="4:4" x14ac:dyDescent="0.3">
      <c r="D5412" t="str">
        <f t="shared" si="115"/>
        <v/>
      </c>
    </row>
    <row r="5413" spans="4:4" x14ac:dyDescent="0.3">
      <c r="D5413" t="str">
        <f t="shared" si="115"/>
        <v/>
      </c>
    </row>
    <row r="5414" spans="4:4" x14ac:dyDescent="0.3">
      <c r="D5414" t="str">
        <f t="shared" si="115"/>
        <v/>
      </c>
    </row>
    <row r="5415" spans="4:4" x14ac:dyDescent="0.3">
      <c r="D5415" t="str">
        <f t="shared" si="115"/>
        <v/>
      </c>
    </row>
    <row r="5416" spans="4:4" x14ac:dyDescent="0.3">
      <c r="D5416" t="str">
        <f t="shared" si="115"/>
        <v/>
      </c>
    </row>
    <row r="5417" spans="4:4" x14ac:dyDescent="0.3">
      <c r="D5417" t="str">
        <f t="shared" si="115"/>
        <v/>
      </c>
    </row>
    <row r="5418" spans="4:4" x14ac:dyDescent="0.3">
      <c r="D5418" t="str">
        <f t="shared" si="115"/>
        <v/>
      </c>
    </row>
    <row r="5419" spans="4:4" x14ac:dyDescent="0.3">
      <c r="D5419" t="str">
        <f t="shared" si="115"/>
        <v/>
      </c>
    </row>
    <row r="5420" spans="4:4" x14ac:dyDescent="0.3">
      <c r="D5420" t="str">
        <f t="shared" si="115"/>
        <v/>
      </c>
    </row>
    <row r="5421" spans="4:4" x14ac:dyDescent="0.3">
      <c r="D5421" t="str">
        <f t="shared" si="115"/>
        <v/>
      </c>
    </row>
    <row r="5422" spans="4:4" x14ac:dyDescent="0.3">
      <c r="D5422" t="str">
        <f t="shared" si="115"/>
        <v/>
      </c>
    </row>
    <row r="5423" spans="4:4" x14ac:dyDescent="0.3">
      <c r="D5423" t="str">
        <f t="shared" si="115"/>
        <v/>
      </c>
    </row>
    <row r="5424" spans="4:4" x14ac:dyDescent="0.3">
      <c r="D5424" t="str">
        <f t="shared" si="115"/>
        <v/>
      </c>
    </row>
    <row r="5425" spans="4:4" x14ac:dyDescent="0.3">
      <c r="D5425" t="str">
        <f t="shared" si="115"/>
        <v/>
      </c>
    </row>
    <row r="5426" spans="4:4" x14ac:dyDescent="0.3">
      <c r="D5426" t="str">
        <f t="shared" si="115"/>
        <v/>
      </c>
    </row>
    <row r="5427" spans="4:4" x14ac:dyDescent="0.3">
      <c r="D5427" t="str">
        <f t="shared" si="115"/>
        <v/>
      </c>
    </row>
    <row r="5428" spans="4:4" x14ac:dyDescent="0.3">
      <c r="D5428" t="str">
        <f t="shared" si="115"/>
        <v/>
      </c>
    </row>
    <row r="5429" spans="4:4" x14ac:dyDescent="0.3">
      <c r="D5429" t="str">
        <f t="shared" si="115"/>
        <v/>
      </c>
    </row>
    <row r="5430" spans="4:4" x14ac:dyDescent="0.3">
      <c r="D5430" t="str">
        <f t="shared" ref="D5430:D5493" si="116">IF(LEFT(A5430,2)="SP",MID(A5430,4,4),IF(LEFT(A5430,1)="X",MID(A5430,3,4),""))</f>
        <v/>
      </c>
    </row>
    <row r="5431" spans="4:4" x14ac:dyDescent="0.3">
      <c r="D5431" t="str">
        <f t="shared" si="116"/>
        <v/>
      </c>
    </row>
    <row r="5432" spans="4:4" x14ac:dyDescent="0.3">
      <c r="D5432" t="str">
        <f t="shared" si="116"/>
        <v/>
      </c>
    </row>
    <row r="5433" spans="4:4" x14ac:dyDescent="0.3">
      <c r="D5433" t="str">
        <f t="shared" si="116"/>
        <v/>
      </c>
    </row>
    <row r="5434" spans="4:4" x14ac:dyDescent="0.3">
      <c r="D5434" t="str">
        <f t="shared" si="116"/>
        <v/>
      </c>
    </row>
    <row r="5435" spans="4:4" x14ac:dyDescent="0.3">
      <c r="D5435" t="str">
        <f t="shared" si="116"/>
        <v/>
      </c>
    </row>
    <row r="5436" spans="4:4" x14ac:dyDescent="0.3">
      <c r="D5436" t="str">
        <f t="shared" si="116"/>
        <v/>
      </c>
    </row>
    <row r="5437" spans="4:4" x14ac:dyDescent="0.3">
      <c r="D5437" t="str">
        <f t="shared" si="116"/>
        <v/>
      </c>
    </row>
    <row r="5438" spans="4:4" x14ac:dyDescent="0.3">
      <c r="D5438" t="str">
        <f t="shared" si="116"/>
        <v/>
      </c>
    </row>
    <row r="5439" spans="4:4" x14ac:dyDescent="0.3">
      <c r="D5439" t="str">
        <f t="shared" si="116"/>
        <v/>
      </c>
    </row>
    <row r="5440" spans="4:4" x14ac:dyDescent="0.3">
      <c r="D5440" t="str">
        <f t="shared" si="116"/>
        <v/>
      </c>
    </row>
    <row r="5441" spans="4:4" x14ac:dyDescent="0.3">
      <c r="D5441" t="str">
        <f t="shared" si="116"/>
        <v/>
      </c>
    </row>
    <row r="5442" spans="4:4" x14ac:dyDescent="0.3">
      <c r="D5442" t="str">
        <f t="shared" si="116"/>
        <v/>
      </c>
    </row>
    <row r="5443" spans="4:4" x14ac:dyDescent="0.3">
      <c r="D5443" t="str">
        <f t="shared" si="116"/>
        <v/>
      </c>
    </row>
    <row r="5444" spans="4:4" x14ac:dyDescent="0.3">
      <c r="D5444" t="str">
        <f t="shared" si="116"/>
        <v/>
      </c>
    </row>
    <row r="5445" spans="4:4" x14ac:dyDescent="0.3">
      <c r="D5445" t="str">
        <f t="shared" si="116"/>
        <v/>
      </c>
    </row>
    <row r="5446" spans="4:4" x14ac:dyDescent="0.3">
      <c r="D5446" t="str">
        <f t="shared" si="116"/>
        <v/>
      </c>
    </row>
    <row r="5447" spans="4:4" x14ac:dyDescent="0.3">
      <c r="D5447" t="str">
        <f t="shared" si="116"/>
        <v/>
      </c>
    </row>
    <row r="5448" spans="4:4" x14ac:dyDescent="0.3">
      <c r="D5448" t="str">
        <f t="shared" si="116"/>
        <v/>
      </c>
    </row>
    <row r="5449" spans="4:4" x14ac:dyDescent="0.3">
      <c r="D5449" t="str">
        <f t="shared" si="116"/>
        <v/>
      </c>
    </row>
    <row r="5450" spans="4:4" x14ac:dyDescent="0.3">
      <c r="D5450" t="str">
        <f t="shared" si="116"/>
        <v/>
      </c>
    </row>
    <row r="5451" spans="4:4" x14ac:dyDescent="0.3">
      <c r="D5451" t="str">
        <f t="shared" si="116"/>
        <v/>
      </c>
    </row>
    <row r="5452" spans="4:4" x14ac:dyDescent="0.3">
      <c r="D5452" t="str">
        <f t="shared" si="116"/>
        <v/>
      </c>
    </row>
    <row r="5453" spans="4:4" x14ac:dyDescent="0.3">
      <c r="D5453" t="str">
        <f t="shared" si="116"/>
        <v/>
      </c>
    </row>
    <row r="5454" spans="4:4" x14ac:dyDescent="0.3">
      <c r="D5454" t="str">
        <f t="shared" si="116"/>
        <v/>
      </c>
    </row>
    <row r="5455" spans="4:4" x14ac:dyDescent="0.3">
      <c r="D5455" t="str">
        <f t="shared" si="116"/>
        <v/>
      </c>
    </row>
    <row r="5456" spans="4:4" x14ac:dyDescent="0.3">
      <c r="D5456" t="str">
        <f t="shared" si="116"/>
        <v/>
      </c>
    </row>
    <row r="5457" spans="4:4" x14ac:dyDescent="0.3">
      <c r="D5457" t="str">
        <f t="shared" si="116"/>
        <v/>
      </c>
    </row>
    <row r="5458" spans="4:4" x14ac:dyDescent="0.3">
      <c r="D5458" t="str">
        <f t="shared" si="116"/>
        <v/>
      </c>
    </row>
    <row r="5459" spans="4:4" x14ac:dyDescent="0.3">
      <c r="D5459" t="str">
        <f t="shared" si="116"/>
        <v/>
      </c>
    </row>
    <row r="5460" spans="4:4" x14ac:dyDescent="0.3">
      <c r="D5460" t="str">
        <f t="shared" si="116"/>
        <v/>
      </c>
    </row>
    <row r="5461" spans="4:4" x14ac:dyDescent="0.3">
      <c r="D5461" t="str">
        <f t="shared" si="116"/>
        <v/>
      </c>
    </row>
    <row r="5462" spans="4:4" x14ac:dyDescent="0.3">
      <c r="D5462" t="str">
        <f t="shared" si="116"/>
        <v/>
      </c>
    </row>
    <row r="5463" spans="4:4" x14ac:dyDescent="0.3">
      <c r="D5463" t="str">
        <f t="shared" si="116"/>
        <v/>
      </c>
    </row>
    <row r="5464" spans="4:4" x14ac:dyDescent="0.3">
      <c r="D5464" t="str">
        <f t="shared" si="116"/>
        <v/>
      </c>
    </row>
    <row r="5465" spans="4:4" x14ac:dyDescent="0.3">
      <c r="D5465" t="str">
        <f t="shared" si="116"/>
        <v/>
      </c>
    </row>
    <row r="5466" spans="4:4" x14ac:dyDescent="0.3">
      <c r="D5466" t="str">
        <f t="shared" si="116"/>
        <v/>
      </c>
    </row>
    <row r="5467" spans="4:4" x14ac:dyDescent="0.3">
      <c r="D5467" t="str">
        <f t="shared" si="116"/>
        <v/>
      </c>
    </row>
    <row r="5468" spans="4:4" x14ac:dyDescent="0.3">
      <c r="D5468" t="str">
        <f t="shared" si="116"/>
        <v/>
      </c>
    </row>
    <row r="5469" spans="4:4" x14ac:dyDescent="0.3">
      <c r="D5469" t="str">
        <f t="shared" si="116"/>
        <v/>
      </c>
    </row>
    <row r="5470" spans="4:4" x14ac:dyDescent="0.3">
      <c r="D5470" t="str">
        <f t="shared" si="116"/>
        <v/>
      </c>
    </row>
    <row r="5471" spans="4:4" x14ac:dyDescent="0.3">
      <c r="D5471" t="str">
        <f t="shared" si="116"/>
        <v/>
      </c>
    </row>
    <row r="5472" spans="4:4" x14ac:dyDescent="0.3">
      <c r="D5472" t="str">
        <f t="shared" si="116"/>
        <v/>
      </c>
    </row>
    <row r="5473" spans="4:4" x14ac:dyDescent="0.3">
      <c r="D5473" t="str">
        <f t="shared" si="116"/>
        <v/>
      </c>
    </row>
    <row r="5474" spans="4:4" x14ac:dyDescent="0.3">
      <c r="D5474" t="str">
        <f t="shared" si="116"/>
        <v/>
      </c>
    </row>
    <row r="5475" spans="4:4" x14ac:dyDescent="0.3">
      <c r="D5475" t="str">
        <f t="shared" si="116"/>
        <v/>
      </c>
    </row>
    <row r="5476" spans="4:4" x14ac:dyDescent="0.3">
      <c r="D5476" t="str">
        <f t="shared" si="116"/>
        <v/>
      </c>
    </row>
    <row r="5477" spans="4:4" x14ac:dyDescent="0.3">
      <c r="D5477" t="str">
        <f t="shared" si="116"/>
        <v/>
      </c>
    </row>
    <row r="5478" spans="4:4" x14ac:dyDescent="0.3">
      <c r="D5478" t="str">
        <f t="shared" si="116"/>
        <v/>
      </c>
    </row>
    <row r="5479" spans="4:4" x14ac:dyDescent="0.3">
      <c r="D5479" t="str">
        <f t="shared" si="116"/>
        <v/>
      </c>
    </row>
    <row r="5480" spans="4:4" x14ac:dyDescent="0.3">
      <c r="D5480" t="str">
        <f t="shared" si="116"/>
        <v/>
      </c>
    </row>
    <row r="5481" spans="4:4" x14ac:dyDescent="0.3">
      <c r="D5481" t="str">
        <f t="shared" si="116"/>
        <v/>
      </c>
    </row>
    <row r="5482" spans="4:4" x14ac:dyDescent="0.3">
      <c r="D5482" t="str">
        <f t="shared" si="116"/>
        <v/>
      </c>
    </row>
    <row r="5483" spans="4:4" x14ac:dyDescent="0.3">
      <c r="D5483" t="str">
        <f t="shared" si="116"/>
        <v/>
      </c>
    </row>
    <row r="5484" spans="4:4" x14ac:dyDescent="0.3">
      <c r="D5484" t="str">
        <f t="shared" si="116"/>
        <v/>
      </c>
    </row>
    <row r="5485" spans="4:4" x14ac:dyDescent="0.3">
      <c r="D5485" t="str">
        <f t="shared" si="116"/>
        <v/>
      </c>
    </row>
    <row r="5486" spans="4:4" x14ac:dyDescent="0.3">
      <c r="D5486" t="str">
        <f t="shared" si="116"/>
        <v/>
      </c>
    </row>
    <row r="5487" spans="4:4" x14ac:dyDescent="0.3">
      <c r="D5487" t="str">
        <f t="shared" si="116"/>
        <v/>
      </c>
    </row>
    <row r="5488" spans="4:4" x14ac:dyDescent="0.3">
      <c r="D5488" t="str">
        <f t="shared" si="116"/>
        <v/>
      </c>
    </row>
    <row r="5489" spans="4:4" x14ac:dyDescent="0.3">
      <c r="D5489" t="str">
        <f t="shared" si="116"/>
        <v/>
      </c>
    </row>
    <row r="5490" spans="4:4" x14ac:dyDescent="0.3">
      <c r="D5490" t="str">
        <f t="shared" si="116"/>
        <v/>
      </c>
    </row>
    <row r="5491" spans="4:4" x14ac:dyDescent="0.3">
      <c r="D5491" t="str">
        <f t="shared" si="116"/>
        <v/>
      </c>
    </row>
    <row r="5492" spans="4:4" x14ac:dyDescent="0.3">
      <c r="D5492" t="str">
        <f t="shared" si="116"/>
        <v/>
      </c>
    </row>
    <row r="5493" spans="4:4" x14ac:dyDescent="0.3">
      <c r="D5493" t="str">
        <f t="shared" si="116"/>
        <v/>
      </c>
    </row>
    <row r="5494" spans="4:4" x14ac:dyDescent="0.3">
      <c r="D5494" t="str">
        <f t="shared" ref="D5494:D5557" si="117">IF(LEFT(A5494,2)="SP",MID(A5494,4,4),IF(LEFT(A5494,1)="X",MID(A5494,3,4),""))</f>
        <v/>
      </c>
    </row>
    <row r="5495" spans="4:4" x14ac:dyDescent="0.3">
      <c r="D5495" t="str">
        <f t="shared" si="117"/>
        <v/>
      </c>
    </row>
    <row r="5496" spans="4:4" x14ac:dyDescent="0.3">
      <c r="D5496" t="str">
        <f t="shared" si="117"/>
        <v/>
      </c>
    </row>
    <row r="5497" spans="4:4" x14ac:dyDescent="0.3">
      <c r="D5497" t="str">
        <f t="shared" si="117"/>
        <v/>
      </c>
    </row>
    <row r="5498" spans="4:4" x14ac:dyDescent="0.3">
      <c r="D5498" t="str">
        <f t="shared" si="117"/>
        <v/>
      </c>
    </row>
    <row r="5499" spans="4:4" x14ac:dyDescent="0.3">
      <c r="D5499" t="str">
        <f t="shared" si="117"/>
        <v/>
      </c>
    </row>
    <row r="5500" spans="4:4" x14ac:dyDescent="0.3">
      <c r="D5500" t="str">
        <f t="shared" si="117"/>
        <v/>
      </c>
    </row>
    <row r="5501" spans="4:4" x14ac:dyDescent="0.3">
      <c r="D5501" t="str">
        <f t="shared" si="117"/>
        <v/>
      </c>
    </row>
    <row r="5502" spans="4:4" x14ac:dyDescent="0.3">
      <c r="D5502" t="str">
        <f t="shared" si="117"/>
        <v/>
      </c>
    </row>
    <row r="5503" spans="4:4" x14ac:dyDescent="0.3">
      <c r="D5503" t="str">
        <f t="shared" si="117"/>
        <v/>
      </c>
    </row>
    <row r="5504" spans="4:4" x14ac:dyDescent="0.3">
      <c r="D5504" t="str">
        <f t="shared" si="117"/>
        <v/>
      </c>
    </row>
    <row r="5505" spans="4:4" x14ac:dyDescent="0.3">
      <c r="D5505" t="str">
        <f t="shared" si="117"/>
        <v/>
      </c>
    </row>
    <row r="5506" spans="4:4" x14ac:dyDescent="0.3">
      <c r="D5506" t="str">
        <f t="shared" si="117"/>
        <v/>
      </c>
    </row>
    <row r="5507" spans="4:4" x14ac:dyDescent="0.3">
      <c r="D5507" t="str">
        <f t="shared" si="117"/>
        <v/>
      </c>
    </row>
    <row r="5508" spans="4:4" x14ac:dyDescent="0.3">
      <c r="D5508" t="str">
        <f t="shared" si="117"/>
        <v/>
      </c>
    </row>
    <row r="5509" spans="4:4" x14ac:dyDescent="0.3">
      <c r="D5509" t="str">
        <f t="shared" si="117"/>
        <v/>
      </c>
    </row>
    <row r="5510" spans="4:4" x14ac:dyDescent="0.3">
      <c r="D5510" t="str">
        <f t="shared" si="117"/>
        <v/>
      </c>
    </row>
    <row r="5511" spans="4:4" x14ac:dyDescent="0.3">
      <c r="D5511" t="str">
        <f t="shared" si="117"/>
        <v/>
      </c>
    </row>
    <row r="5512" spans="4:4" x14ac:dyDescent="0.3">
      <c r="D5512" t="str">
        <f t="shared" si="117"/>
        <v/>
      </c>
    </row>
    <row r="5513" spans="4:4" x14ac:dyDescent="0.3">
      <c r="D5513" t="str">
        <f t="shared" si="117"/>
        <v/>
      </c>
    </row>
    <row r="5514" spans="4:4" x14ac:dyDescent="0.3">
      <c r="D5514" t="str">
        <f t="shared" si="117"/>
        <v/>
      </c>
    </row>
    <row r="5515" spans="4:4" x14ac:dyDescent="0.3">
      <c r="D5515" t="str">
        <f t="shared" si="117"/>
        <v/>
      </c>
    </row>
    <row r="5516" spans="4:4" x14ac:dyDescent="0.3">
      <c r="D5516" t="str">
        <f t="shared" si="117"/>
        <v/>
      </c>
    </row>
    <row r="5517" spans="4:4" x14ac:dyDescent="0.3">
      <c r="D5517" t="str">
        <f t="shared" si="117"/>
        <v/>
      </c>
    </row>
    <row r="5518" spans="4:4" x14ac:dyDescent="0.3">
      <c r="D5518" t="str">
        <f t="shared" si="117"/>
        <v/>
      </c>
    </row>
    <row r="5519" spans="4:4" x14ac:dyDescent="0.3">
      <c r="D5519" t="str">
        <f t="shared" si="117"/>
        <v/>
      </c>
    </row>
    <row r="5520" spans="4:4" x14ac:dyDescent="0.3">
      <c r="D5520" t="str">
        <f t="shared" si="117"/>
        <v/>
      </c>
    </row>
    <row r="5521" spans="4:4" x14ac:dyDescent="0.3">
      <c r="D5521" t="str">
        <f t="shared" si="117"/>
        <v/>
      </c>
    </row>
    <row r="5522" spans="4:4" x14ac:dyDescent="0.3">
      <c r="D5522" t="str">
        <f t="shared" si="117"/>
        <v/>
      </c>
    </row>
    <row r="5523" spans="4:4" x14ac:dyDescent="0.3">
      <c r="D5523" t="str">
        <f t="shared" si="117"/>
        <v/>
      </c>
    </row>
    <row r="5524" spans="4:4" x14ac:dyDescent="0.3">
      <c r="D5524" t="str">
        <f t="shared" si="117"/>
        <v/>
      </c>
    </row>
    <row r="5525" spans="4:4" x14ac:dyDescent="0.3">
      <c r="D5525" t="str">
        <f t="shared" si="117"/>
        <v/>
      </c>
    </row>
    <row r="5526" spans="4:4" x14ac:dyDescent="0.3">
      <c r="D5526" t="str">
        <f t="shared" si="117"/>
        <v/>
      </c>
    </row>
    <row r="5527" spans="4:4" x14ac:dyDescent="0.3">
      <c r="D5527" t="str">
        <f t="shared" si="117"/>
        <v/>
      </c>
    </row>
    <row r="5528" spans="4:4" x14ac:dyDescent="0.3">
      <c r="D5528" t="str">
        <f t="shared" si="117"/>
        <v/>
      </c>
    </row>
    <row r="5529" spans="4:4" x14ac:dyDescent="0.3">
      <c r="D5529" t="str">
        <f t="shared" si="117"/>
        <v/>
      </c>
    </row>
    <row r="5530" spans="4:4" x14ac:dyDescent="0.3">
      <c r="D5530" t="str">
        <f t="shared" si="117"/>
        <v/>
      </c>
    </row>
    <row r="5531" spans="4:4" x14ac:dyDescent="0.3">
      <c r="D5531" t="str">
        <f t="shared" si="117"/>
        <v/>
      </c>
    </row>
    <row r="5532" spans="4:4" x14ac:dyDescent="0.3">
      <c r="D5532" t="str">
        <f t="shared" si="117"/>
        <v/>
      </c>
    </row>
    <row r="5533" spans="4:4" x14ac:dyDescent="0.3">
      <c r="D5533" t="str">
        <f t="shared" si="117"/>
        <v/>
      </c>
    </row>
    <row r="5534" spans="4:4" x14ac:dyDescent="0.3">
      <c r="D5534" t="str">
        <f t="shared" si="117"/>
        <v/>
      </c>
    </row>
    <row r="5535" spans="4:4" x14ac:dyDescent="0.3">
      <c r="D5535" t="str">
        <f t="shared" si="117"/>
        <v/>
      </c>
    </row>
    <row r="5536" spans="4:4" x14ac:dyDescent="0.3">
      <c r="D5536" t="str">
        <f t="shared" si="117"/>
        <v/>
      </c>
    </row>
    <row r="5537" spans="4:4" x14ac:dyDescent="0.3">
      <c r="D5537" t="str">
        <f t="shared" si="117"/>
        <v/>
      </c>
    </row>
    <row r="5538" spans="4:4" x14ac:dyDescent="0.3">
      <c r="D5538" t="str">
        <f t="shared" si="117"/>
        <v/>
      </c>
    </row>
    <row r="5539" spans="4:4" x14ac:dyDescent="0.3">
      <c r="D5539" t="str">
        <f t="shared" si="117"/>
        <v/>
      </c>
    </row>
    <row r="5540" spans="4:4" x14ac:dyDescent="0.3">
      <c r="D5540" t="str">
        <f t="shared" si="117"/>
        <v/>
      </c>
    </row>
    <row r="5541" spans="4:4" x14ac:dyDescent="0.3">
      <c r="D5541" t="str">
        <f t="shared" si="117"/>
        <v/>
      </c>
    </row>
    <row r="5542" spans="4:4" x14ac:dyDescent="0.3">
      <c r="D5542" t="str">
        <f t="shared" si="117"/>
        <v/>
      </c>
    </row>
    <row r="5543" spans="4:4" x14ac:dyDescent="0.3">
      <c r="D5543" t="str">
        <f t="shared" si="117"/>
        <v/>
      </c>
    </row>
    <row r="5544" spans="4:4" x14ac:dyDescent="0.3">
      <c r="D5544" t="str">
        <f t="shared" si="117"/>
        <v/>
      </c>
    </row>
    <row r="5545" spans="4:4" x14ac:dyDescent="0.3">
      <c r="D5545" t="str">
        <f t="shared" si="117"/>
        <v/>
      </c>
    </row>
    <row r="5546" spans="4:4" x14ac:dyDescent="0.3">
      <c r="D5546" t="str">
        <f t="shared" si="117"/>
        <v/>
      </c>
    </row>
    <row r="5547" spans="4:4" x14ac:dyDescent="0.3">
      <c r="D5547" t="str">
        <f t="shared" si="117"/>
        <v/>
      </c>
    </row>
    <row r="5548" spans="4:4" x14ac:dyDescent="0.3">
      <c r="D5548" t="str">
        <f t="shared" si="117"/>
        <v/>
      </c>
    </row>
    <row r="5549" spans="4:4" x14ac:dyDescent="0.3">
      <c r="D5549" t="str">
        <f t="shared" si="117"/>
        <v/>
      </c>
    </row>
    <row r="5550" spans="4:4" x14ac:dyDescent="0.3">
      <c r="D5550" t="str">
        <f t="shared" si="117"/>
        <v/>
      </c>
    </row>
    <row r="5551" spans="4:4" x14ac:dyDescent="0.3">
      <c r="D5551" t="str">
        <f t="shared" si="117"/>
        <v/>
      </c>
    </row>
    <row r="5552" spans="4:4" x14ac:dyDescent="0.3">
      <c r="D5552" t="str">
        <f t="shared" si="117"/>
        <v/>
      </c>
    </row>
    <row r="5553" spans="4:4" x14ac:dyDescent="0.3">
      <c r="D5553" t="str">
        <f t="shared" si="117"/>
        <v/>
      </c>
    </row>
    <row r="5554" spans="4:4" x14ac:dyDescent="0.3">
      <c r="D5554" t="str">
        <f t="shared" si="117"/>
        <v/>
      </c>
    </row>
    <row r="5555" spans="4:4" x14ac:dyDescent="0.3">
      <c r="D5555" t="str">
        <f t="shared" si="117"/>
        <v/>
      </c>
    </row>
    <row r="5556" spans="4:4" x14ac:dyDescent="0.3">
      <c r="D5556" t="str">
        <f t="shared" si="117"/>
        <v/>
      </c>
    </row>
    <row r="5557" spans="4:4" x14ac:dyDescent="0.3">
      <c r="D5557" t="str">
        <f t="shared" si="117"/>
        <v/>
      </c>
    </row>
    <row r="5558" spans="4:4" x14ac:dyDescent="0.3">
      <c r="D5558" t="str">
        <f t="shared" ref="D5558:D5621" si="118">IF(LEFT(A5558,2)="SP",MID(A5558,4,4),IF(LEFT(A5558,1)="X",MID(A5558,3,4),""))</f>
        <v/>
      </c>
    </row>
    <row r="5559" spans="4:4" x14ac:dyDescent="0.3">
      <c r="D5559" t="str">
        <f t="shared" si="118"/>
        <v/>
      </c>
    </row>
    <row r="5560" spans="4:4" x14ac:dyDescent="0.3">
      <c r="D5560" t="str">
        <f t="shared" si="118"/>
        <v/>
      </c>
    </row>
    <row r="5561" spans="4:4" x14ac:dyDescent="0.3">
      <c r="D5561" t="str">
        <f t="shared" si="118"/>
        <v/>
      </c>
    </row>
    <row r="5562" spans="4:4" x14ac:dyDescent="0.3">
      <c r="D5562" t="str">
        <f t="shared" si="118"/>
        <v/>
      </c>
    </row>
    <row r="5563" spans="4:4" x14ac:dyDescent="0.3">
      <c r="D5563" t="str">
        <f t="shared" si="118"/>
        <v/>
      </c>
    </row>
    <row r="5564" spans="4:4" x14ac:dyDescent="0.3">
      <c r="D5564" t="str">
        <f t="shared" si="118"/>
        <v/>
      </c>
    </row>
    <row r="5565" spans="4:4" x14ac:dyDescent="0.3">
      <c r="D5565" t="str">
        <f t="shared" si="118"/>
        <v/>
      </c>
    </row>
    <row r="5566" spans="4:4" x14ac:dyDescent="0.3">
      <c r="D5566" t="str">
        <f t="shared" si="118"/>
        <v/>
      </c>
    </row>
    <row r="5567" spans="4:4" x14ac:dyDescent="0.3">
      <c r="D5567" t="str">
        <f t="shared" si="118"/>
        <v/>
      </c>
    </row>
    <row r="5568" spans="4:4" x14ac:dyDescent="0.3">
      <c r="D5568" t="str">
        <f t="shared" si="118"/>
        <v/>
      </c>
    </row>
    <row r="5569" spans="4:4" x14ac:dyDescent="0.3">
      <c r="D5569" t="str">
        <f t="shared" si="118"/>
        <v/>
      </c>
    </row>
    <row r="5570" spans="4:4" x14ac:dyDescent="0.3">
      <c r="D5570" t="str">
        <f t="shared" si="118"/>
        <v/>
      </c>
    </row>
    <row r="5571" spans="4:4" x14ac:dyDescent="0.3">
      <c r="D5571" t="str">
        <f t="shared" si="118"/>
        <v/>
      </c>
    </row>
    <row r="5572" spans="4:4" x14ac:dyDescent="0.3">
      <c r="D5572" t="str">
        <f t="shared" si="118"/>
        <v/>
      </c>
    </row>
    <row r="5573" spans="4:4" x14ac:dyDescent="0.3">
      <c r="D5573" t="str">
        <f t="shared" si="118"/>
        <v/>
      </c>
    </row>
    <row r="5574" spans="4:4" x14ac:dyDescent="0.3">
      <c r="D5574" t="str">
        <f t="shared" si="118"/>
        <v/>
      </c>
    </row>
    <row r="5575" spans="4:4" x14ac:dyDescent="0.3">
      <c r="D5575" t="str">
        <f t="shared" si="118"/>
        <v/>
      </c>
    </row>
    <row r="5576" spans="4:4" x14ac:dyDescent="0.3">
      <c r="D5576" t="str">
        <f t="shared" si="118"/>
        <v/>
      </c>
    </row>
    <row r="5577" spans="4:4" x14ac:dyDescent="0.3">
      <c r="D5577" t="str">
        <f t="shared" si="118"/>
        <v/>
      </c>
    </row>
    <row r="5578" spans="4:4" x14ac:dyDescent="0.3">
      <c r="D5578" t="str">
        <f t="shared" si="118"/>
        <v/>
      </c>
    </row>
    <row r="5579" spans="4:4" x14ac:dyDescent="0.3">
      <c r="D5579" t="str">
        <f t="shared" si="118"/>
        <v/>
      </c>
    </row>
    <row r="5580" spans="4:4" x14ac:dyDescent="0.3">
      <c r="D5580" t="str">
        <f t="shared" si="118"/>
        <v/>
      </c>
    </row>
    <row r="5581" spans="4:4" x14ac:dyDescent="0.3">
      <c r="D5581" t="str">
        <f t="shared" si="118"/>
        <v/>
      </c>
    </row>
    <row r="5582" spans="4:4" x14ac:dyDescent="0.3">
      <c r="D5582" t="str">
        <f t="shared" si="118"/>
        <v/>
      </c>
    </row>
    <row r="5583" spans="4:4" x14ac:dyDescent="0.3">
      <c r="D5583" t="str">
        <f t="shared" si="118"/>
        <v/>
      </c>
    </row>
    <row r="5584" spans="4:4" x14ac:dyDescent="0.3">
      <c r="D5584" t="str">
        <f t="shared" si="118"/>
        <v/>
      </c>
    </row>
    <row r="5585" spans="4:4" x14ac:dyDescent="0.3">
      <c r="D5585" t="str">
        <f t="shared" si="118"/>
        <v/>
      </c>
    </row>
    <row r="5586" spans="4:4" x14ac:dyDescent="0.3">
      <c r="D5586" t="str">
        <f t="shared" si="118"/>
        <v/>
      </c>
    </row>
    <row r="5587" spans="4:4" x14ac:dyDescent="0.3">
      <c r="D5587" t="str">
        <f t="shared" si="118"/>
        <v/>
      </c>
    </row>
    <row r="5588" spans="4:4" x14ac:dyDescent="0.3">
      <c r="D5588" t="str">
        <f t="shared" si="118"/>
        <v/>
      </c>
    </row>
    <row r="5589" spans="4:4" x14ac:dyDescent="0.3">
      <c r="D5589" t="str">
        <f t="shared" si="118"/>
        <v/>
      </c>
    </row>
    <row r="5590" spans="4:4" x14ac:dyDescent="0.3">
      <c r="D5590" t="str">
        <f t="shared" si="118"/>
        <v/>
      </c>
    </row>
    <row r="5591" spans="4:4" x14ac:dyDescent="0.3">
      <c r="D5591" t="str">
        <f t="shared" si="118"/>
        <v/>
      </c>
    </row>
    <row r="5592" spans="4:4" x14ac:dyDescent="0.3">
      <c r="D5592" t="str">
        <f t="shared" si="118"/>
        <v/>
      </c>
    </row>
    <row r="5593" spans="4:4" x14ac:dyDescent="0.3">
      <c r="D5593" t="str">
        <f t="shared" si="118"/>
        <v/>
      </c>
    </row>
    <row r="5594" spans="4:4" x14ac:dyDescent="0.3">
      <c r="D5594" t="str">
        <f t="shared" si="118"/>
        <v/>
      </c>
    </row>
    <row r="5595" spans="4:4" x14ac:dyDescent="0.3">
      <c r="D5595" t="str">
        <f t="shared" si="118"/>
        <v/>
      </c>
    </row>
    <row r="5596" spans="4:4" x14ac:dyDescent="0.3">
      <c r="D5596" t="str">
        <f t="shared" si="118"/>
        <v/>
      </c>
    </row>
    <row r="5597" spans="4:4" x14ac:dyDescent="0.3">
      <c r="D5597" t="str">
        <f t="shared" si="118"/>
        <v/>
      </c>
    </row>
    <row r="5598" spans="4:4" x14ac:dyDescent="0.3">
      <c r="D5598" t="str">
        <f t="shared" si="118"/>
        <v/>
      </c>
    </row>
    <row r="5599" spans="4:4" x14ac:dyDescent="0.3">
      <c r="D5599" t="str">
        <f t="shared" si="118"/>
        <v/>
      </c>
    </row>
    <row r="5600" spans="4:4" x14ac:dyDescent="0.3">
      <c r="D5600" t="str">
        <f t="shared" si="118"/>
        <v/>
      </c>
    </row>
    <row r="5601" spans="4:4" x14ac:dyDescent="0.3">
      <c r="D5601" t="str">
        <f t="shared" si="118"/>
        <v/>
      </c>
    </row>
    <row r="5602" spans="4:4" x14ac:dyDescent="0.3">
      <c r="D5602" t="str">
        <f t="shared" si="118"/>
        <v/>
      </c>
    </row>
    <row r="5603" spans="4:4" x14ac:dyDescent="0.3">
      <c r="D5603" t="str">
        <f t="shared" si="118"/>
        <v/>
      </c>
    </row>
    <row r="5604" spans="4:4" x14ac:dyDescent="0.3">
      <c r="D5604" t="str">
        <f t="shared" si="118"/>
        <v/>
      </c>
    </row>
    <row r="5605" spans="4:4" x14ac:dyDescent="0.3">
      <c r="D5605" t="str">
        <f t="shared" si="118"/>
        <v/>
      </c>
    </row>
    <row r="5606" spans="4:4" x14ac:dyDescent="0.3">
      <c r="D5606" t="str">
        <f t="shared" si="118"/>
        <v/>
      </c>
    </row>
    <row r="5607" spans="4:4" x14ac:dyDescent="0.3">
      <c r="D5607" t="str">
        <f t="shared" si="118"/>
        <v/>
      </c>
    </row>
    <row r="5608" spans="4:4" x14ac:dyDescent="0.3">
      <c r="D5608" t="str">
        <f t="shared" si="118"/>
        <v/>
      </c>
    </row>
    <row r="5609" spans="4:4" x14ac:dyDescent="0.3">
      <c r="D5609" t="str">
        <f t="shared" si="118"/>
        <v/>
      </c>
    </row>
    <row r="5610" spans="4:4" x14ac:dyDescent="0.3">
      <c r="D5610" t="str">
        <f t="shared" si="118"/>
        <v/>
      </c>
    </row>
    <row r="5611" spans="4:4" x14ac:dyDescent="0.3">
      <c r="D5611" t="str">
        <f t="shared" si="118"/>
        <v/>
      </c>
    </row>
    <row r="5612" spans="4:4" x14ac:dyDescent="0.3">
      <c r="D5612" t="str">
        <f t="shared" si="118"/>
        <v/>
      </c>
    </row>
    <row r="5613" spans="4:4" x14ac:dyDescent="0.3">
      <c r="D5613" t="str">
        <f t="shared" si="118"/>
        <v/>
      </c>
    </row>
    <row r="5614" spans="4:4" x14ac:dyDescent="0.3">
      <c r="D5614" t="str">
        <f t="shared" si="118"/>
        <v/>
      </c>
    </row>
    <row r="5615" spans="4:4" x14ac:dyDescent="0.3">
      <c r="D5615" t="str">
        <f t="shared" si="118"/>
        <v/>
      </c>
    </row>
    <row r="5616" spans="4:4" x14ac:dyDescent="0.3">
      <c r="D5616" t="str">
        <f t="shared" si="118"/>
        <v/>
      </c>
    </row>
    <row r="5617" spans="4:4" x14ac:dyDescent="0.3">
      <c r="D5617" t="str">
        <f t="shared" si="118"/>
        <v/>
      </c>
    </row>
    <row r="5618" spans="4:4" x14ac:dyDescent="0.3">
      <c r="D5618" t="str">
        <f t="shared" si="118"/>
        <v/>
      </c>
    </row>
    <row r="5619" spans="4:4" x14ac:dyDescent="0.3">
      <c r="D5619" t="str">
        <f t="shared" si="118"/>
        <v/>
      </c>
    </row>
    <row r="5620" spans="4:4" x14ac:dyDescent="0.3">
      <c r="D5620" t="str">
        <f t="shared" si="118"/>
        <v/>
      </c>
    </row>
    <row r="5621" spans="4:4" x14ac:dyDescent="0.3">
      <c r="D5621" t="str">
        <f t="shared" si="118"/>
        <v/>
      </c>
    </row>
    <row r="5622" spans="4:4" x14ac:dyDescent="0.3">
      <c r="D5622" t="str">
        <f t="shared" ref="D5622:D5685" si="119">IF(LEFT(A5622,2)="SP",MID(A5622,4,4),IF(LEFT(A5622,1)="X",MID(A5622,3,4),""))</f>
        <v/>
      </c>
    </row>
    <row r="5623" spans="4:4" x14ac:dyDescent="0.3">
      <c r="D5623" t="str">
        <f t="shared" si="119"/>
        <v/>
      </c>
    </row>
    <row r="5624" spans="4:4" x14ac:dyDescent="0.3">
      <c r="D5624" t="str">
        <f t="shared" si="119"/>
        <v/>
      </c>
    </row>
    <row r="5625" spans="4:4" x14ac:dyDescent="0.3">
      <c r="D5625" t="str">
        <f t="shared" si="119"/>
        <v/>
      </c>
    </row>
    <row r="5626" spans="4:4" x14ac:dyDescent="0.3">
      <c r="D5626" t="str">
        <f t="shared" si="119"/>
        <v/>
      </c>
    </row>
    <row r="5627" spans="4:4" x14ac:dyDescent="0.3">
      <c r="D5627" t="str">
        <f t="shared" si="119"/>
        <v/>
      </c>
    </row>
    <row r="5628" spans="4:4" x14ac:dyDescent="0.3">
      <c r="D5628" t="str">
        <f t="shared" si="119"/>
        <v/>
      </c>
    </row>
    <row r="5629" spans="4:4" x14ac:dyDescent="0.3">
      <c r="D5629" t="str">
        <f t="shared" si="119"/>
        <v/>
      </c>
    </row>
    <row r="5630" spans="4:4" x14ac:dyDescent="0.3">
      <c r="D5630" t="str">
        <f t="shared" si="119"/>
        <v/>
      </c>
    </row>
    <row r="5631" spans="4:4" x14ac:dyDescent="0.3">
      <c r="D5631" t="str">
        <f t="shared" si="119"/>
        <v/>
      </c>
    </row>
    <row r="5632" spans="4:4" x14ac:dyDescent="0.3">
      <c r="D5632" t="str">
        <f t="shared" si="119"/>
        <v/>
      </c>
    </row>
    <row r="5633" spans="4:4" x14ac:dyDescent="0.3">
      <c r="D5633" t="str">
        <f t="shared" si="119"/>
        <v/>
      </c>
    </row>
    <row r="5634" spans="4:4" x14ac:dyDescent="0.3">
      <c r="D5634" t="str">
        <f t="shared" si="119"/>
        <v/>
      </c>
    </row>
    <row r="5635" spans="4:4" x14ac:dyDescent="0.3">
      <c r="D5635" t="str">
        <f t="shared" si="119"/>
        <v/>
      </c>
    </row>
    <row r="5636" spans="4:4" x14ac:dyDescent="0.3">
      <c r="D5636" t="str">
        <f t="shared" si="119"/>
        <v/>
      </c>
    </row>
    <row r="5637" spans="4:4" x14ac:dyDescent="0.3">
      <c r="D5637" t="str">
        <f t="shared" si="119"/>
        <v/>
      </c>
    </row>
    <row r="5638" spans="4:4" x14ac:dyDescent="0.3">
      <c r="D5638" t="str">
        <f t="shared" si="119"/>
        <v/>
      </c>
    </row>
    <row r="5639" spans="4:4" x14ac:dyDescent="0.3">
      <c r="D5639" t="str">
        <f t="shared" si="119"/>
        <v/>
      </c>
    </row>
    <row r="5640" spans="4:4" x14ac:dyDescent="0.3">
      <c r="D5640" t="str">
        <f t="shared" si="119"/>
        <v/>
      </c>
    </row>
    <row r="5641" spans="4:4" x14ac:dyDescent="0.3">
      <c r="D5641" t="str">
        <f t="shared" si="119"/>
        <v/>
      </c>
    </row>
    <row r="5642" spans="4:4" x14ac:dyDescent="0.3">
      <c r="D5642" t="str">
        <f t="shared" si="119"/>
        <v/>
      </c>
    </row>
    <row r="5643" spans="4:4" x14ac:dyDescent="0.3">
      <c r="D5643" t="str">
        <f t="shared" si="119"/>
        <v/>
      </c>
    </row>
    <row r="5644" spans="4:4" x14ac:dyDescent="0.3">
      <c r="D5644" t="str">
        <f t="shared" si="119"/>
        <v/>
      </c>
    </row>
    <row r="5645" spans="4:4" x14ac:dyDescent="0.3">
      <c r="D5645" t="str">
        <f t="shared" si="119"/>
        <v/>
      </c>
    </row>
    <row r="5646" spans="4:4" x14ac:dyDescent="0.3">
      <c r="D5646" t="str">
        <f t="shared" si="119"/>
        <v/>
      </c>
    </row>
    <row r="5647" spans="4:4" x14ac:dyDescent="0.3">
      <c r="D5647" t="str">
        <f t="shared" si="119"/>
        <v/>
      </c>
    </row>
    <row r="5648" spans="4:4" x14ac:dyDescent="0.3">
      <c r="D5648" t="str">
        <f t="shared" si="119"/>
        <v/>
      </c>
    </row>
    <row r="5649" spans="4:4" x14ac:dyDescent="0.3">
      <c r="D5649" t="str">
        <f t="shared" si="119"/>
        <v/>
      </c>
    </row>
    <row r="5650" spans="4:4" x14ac:dyDescent="0.3">
      <c r="D5650" t="str">
        <f t="shared" si="119"/>
        <v/>
      </c>
    </row>
    <row r="5651" spans="4:4" x14ac:dyDescent="0.3">
      <c r="D5651" t="str">
        <f t="shared" si="119"/>
        <v/>
      </c>
    </row>
    <row r="5652" spans="4:4" x14ac:dyDescent="0.3">
      <c r="D5652" t="str">
        <f t="shared" si="119"/>
        <v/>
      </c>
    </row>
    <row r="5653" spans="4:4" x14ac:dyDescent="0.3">
      <c r="D5653" t="str">
        <f t="shared" si="119"/>
        <v/>
      </c>
    </row>
    <row r="5654" spans="4:4" x14ac:dyDescent="0.3">
      <c r="D5654" t="str">
        <f t="shared" si="119"/>
        <v/>
      </c>
    </row>
    <row r="5655" spans="4:4" x14ac:dyDescent="0.3">
      <c r="D5655" t="str">
        <f t="shared" si="119"/>
        <v/>
      </c>
    </row>
    <row r="5656" spans="4:4" x14ac:dyDescent="0.3">
      <c r="D5656" t="str">
        <f t="shared" si="119"/>
        <v/>
      </c>
    </row>
    <row r="5657" spans="4:4" x14ac:dyDescent="0.3">
      <c r="D5657" t="str">
        <f t="shared" si="119"/>
        <v/>
      </c>
    </row>
    <row r="5658" spans="4:4" x14ac:dyDescent="0.3">
      <c r="D5658" t="str">
        <f t="shared" si="119"/>
        <v/>
      </c>
    </row>
    <row r="5659" spans="4:4" x14ac:dyDescent="0.3">
      <c r="D5659" t="str">
        <f t="shared" si="119"/>
        <v/>
      </c>
    </row>
    <row r="5660" spans="4:4" x14ac:dyDescent="0.3">
      <c r="D5660" t="str">
        <f t="shared" si="119"/>
        <v/>
      </c>
    </row>
    <row r="5661" spans="4:4" x14ac:dyDescent="0.3">
      <c r="D5661" t="str">
        <f t="shared" si="119"/>
        <v/>
      </c>
    </row>
    <row r="5662" spans="4:4" x14ac:dyDescent="0.3">
      <c r="D5662" t="str">
        <f t="shared" si="119"/>
        <v/>
      </c>
    </row>
    <row r="5663" spans="4:4" x14ac:dyDescent="0.3">
      <c r="D5663" t="str">
        <f t="shared" si="119"/>
        <v/>
      </c>
    </row>
    <row r="5664" spans="4:4" x14ac:dyDescent="0.3">
      <c r="D5664" t="str">
        <f t="shared" si="119"/>
        <v/>
      </c>
    </row>
    <row r="5665" spans="4:4" x14ac:dyDescent="0.3">
      <c r="D5665" t="str">
        <f t="shared" si="119"/>
        <v/>
      </c>
    </row>
    <row r="5666" spans="4:4" x14ac:dyDescent="0.3">
      <c r="D5666" t="str">
        <f t="shared" si="119"/>
        <v/>
      </c>
    </row>
    <row r="5667" spans="4:4" x14ac:dyDescent="0.3">
      <c r="D5667" t="str">
        <f t="shared" si="119"/>
        <v/>
      </c>
    </row>
    <row r="5668" spans="4:4" x14ac:dyDescent="0.3">
      <c r="D5668" t="str">
        <f t="shared" si="119"/>
        <v/>
      </c>
    </row>
    <row r="5669" spans="4:4" x14ac:dyDescent="0.3">
      <c r="D5669" t="str">
        <f t="shared" si="119"/>
        <v/>
      </c>
    </row>
    <row r="5670" spans="4:4" x14ac:dyDescent="0.3">
      <c r="D5670" t="str">
        <f t="shared" si="119"/>
        <v/>
      </c>
    </row>
    <row r="5671" spans="4:4" x14ac:dyDescent="0.3">
      <c r="D5671" t="str">
        <f t="shared" si="119"/>
        <v/>
      </c>
    </row>
    <row r="5672" spans="4:4" x14ac:dyDescent="0.3">
      <c r="D5672" t="str">
        <f t="shared" si="119"/>
        <v/>
      </c>
    </row>
    <row r="5673" spans="4:4" x14ac:dyDescent="0.3">
      <c r="D5673" t="str">
        <f t="shared" si="119"/>
        <v/>
      </c>
    </row>
    <row r="5674" spans="4:4" x14ac:dyDescent="0.3">
      <c r="D5674" t="str">
        <f t="shared" si="119"/>
        <v/>
      </c>
    </row>
    <row r="5675" spans="4:4" x14ac:dyDescent="0.3">
      <c r="D5675" t="str">
        <f t="shared" si="119"/>
        <v/>
      </c>
    </row>
    <row r="5676" spans="4:4" x14ac:dyDescent="0.3">
      <c r="D5676" t="str">
        <f t="shared" si="119"/>
        <v/>
      </c>
    </row>
    <row r="5677" spans="4:4" x14ac:dyDescent="0.3">
      <c r="D5677" t="str">
        <f t="shared" si="119"/>
        <v/>
      </c>
    </row>
    <row r="5678" spans="4:4" x14ac:dyDescent="0.3">
      <c r="D5678" t="str">
        <f t="shared" si="119"/>
        <v/>
      </c>
    </row>
    <row r="5679" spans="4:4" x14ac:dyDescent="0.3">
      <c r="D5679" t="str">
        <f t="shared" si="119"/>
        <v/>
      </c>
    </row>
    <row r="5680" spans="4:4" x14ac:dyDescent="0.3">
      <c r="D5680" t="str">
        <f t="shared" si="119"/>
        <v/>
      </c>
    </row>
    <row r="5681" spans="4:4" x14ac:dyDescent="0.3">
      <c r="D5681" t="str">
        <f t="shared" si="119"/>
        <v/>
      </c>
    </row>
    <row r="5682" spans="4:4" x14ac:dyDescent="0.3">
      <c r="D5682" t="str">
        <f t="shared" si="119"/>
        <v/>
      </c>
    </row>
    <row r="5683" spans="4:4" x14ac:dyDescent="0.3">
      <c r="D5683" t="str">
        <f t="shared" si="119"/>
        <v/>
      </c>
    </row>
    <row r="5684" spans="4:4" x14ac:dyDescent="0.3">
      <c r="D5684" t="str">
        <f t="shared" si="119"/>
        <v/>
      </c>
    </row>
    <row r="5685" spans="4:4" x14ac:dyDescent="0.3">
      <c r="D5685" t="str">
        <f t="shared" si="119"/>
        <v/>
      </c>
    </row>
    <row r="5686" spans="4:4" x14ac:dyDescent="0.3">
      <c r="D5686" t="str">
        <f t="shared" ref="D5686:D5749" si="120">IF(LEFT(A5686,2)="SP",MID(A5686,4,4),IF(LEFT(A5686,1)="X",MID(A5686,3,4),""))</f>
        <v/>
      </c>
    </row>
    <row r="5687" spans="4:4" x14ac:dyDescent="0.3">
      <c r="D5687" t="str">
        <f t="shared" si="120"/>
        <v/>
      </c>
    </row>
    <row r="5688" spans="4:4" x14ac:dyDescent="0.3">
      <c r="D5688" t="str">
        <f t="shared" si="120"/>
        <v/>
      </c>
    </row>
    <row r="5689" spans="4:4" x14ac:dyDescent="0.3">
      <c r="D5689" t="str">
        <f t="shared" si="120"/>
        <v/>
      </c>
    </row>
    <row r="5690" spans="4:4" x14ac:dyDescent="0.3">
      <c r="D5690" t="str">
        <f t="shared" si="120"/>
        <v/>
      </c>
    </row>
    <row r="5691" spans="4:4" x14ac:dyDescent="0.3">
      <c r="D5691" t="str">
        <f t="shared" si="120"/>
        <v/>
      </c>
    </row>
    <row r="5692" spans="4:4" x14ac:dyDescent="0.3">
      <c r="D5692" t="str">
        <f t="shared" si="120"/>
        <v/>
      </c>
    </row>
    <row r="5693" spans="4:4" x14ac:dyDescent="0.3">
      <c r="D5693" t="str">
        <f t="shared" si="120"/>
        <v/>
      </c>
    </row>
    <row r="5694" spans="4:4" x14ac:dyDescent="0.3">
      <c r="D5694" t="str">
        <f t="shared" si="120"/>
        <v/>
      </c>
    </row>
    <row r="5695" spans="4:4" x14ac:dyDescent="0.3">
      <c r="D5695" t="str">
        <f t="shared" si="120"/>
        <v/>
      </c>
    </row>
    <row r="5696" spans="4:4" x14ac:dyDescent="0.3">
      <c r="D5696" t="str">
        <f t="shared" si="120"/>
        <v/>
      </c>
    </row>
    <row r="5697" spans="4:4" x14ac:dyDescent="0.3">
      <c r="D5697" t="str">
        <f t="shared" si="120"/>
        <v/>
      </c>
    </row>
    <row r="5698" spans="4:4" x14ac:dyDescent="0.3">
      <c r="D5698" t="str">
        <f t="shared" si="120"/>
        <v/>
      </c>
    </row>
    <row r="5699" spans="4:4" x14ac:dyDescent="0.3">
      <c r="D5699" t="str">
        <f t="shared" si="120"/>
        <v/>
      </c>
    </row>
    <row r="5700" spans="4:4" x14ac:dyDescent="0.3">
      <c r="D5700" t="str">
        <f t="shared" si="120"/>
        <v/>
      </c>
    </row>
    <row r="5701" spans="4:4" x14ac:dyDescent="0.3">
      <c r="D5701" t="str">
        <f t="shared" si="120"/>
        <v/>
      </c>
    </row>
    <row r="5702" spans="4:4" x14ac:dyDescent="0.3">
      <c r="D5702" t="str">
        <f t="shared" si="120"/>
        <v/>
      </c>
    </row>
    <row r="5703" spans="4:4" x14ac:dyDescent="0.3">
      <c r="D5703" t="str">
        <f t="shared" si="120"/>
        <v/>
      </c>
    </row>
    <row r="5704" spans="4:4" x14ac:dyDescent="0.3">
      <c r="D5704" t="str">
        <f t="shared" si="120"/>
        <v/>
      </c>
    </row>
    <row r="5705" spans="4:4" x14ac:dyDescent="0.3">
      <c r="D5705" t="str">
        <f t="shared" si="120"/>
        <v/>
      </c>
    </row>
    <row r="5706" spans="4:4" x14ac:dyDescent="0.3">
      <c r="D5706" t="str">
        <f t="shared" si="120"/>
        <v/>
      </c>
    </row>
    <row r="5707" spans="4:4" x14ac:dyDescent="0.3">
      <c r="D5707" t="str">
        <f t="shared" si="120"/>
        <v/>
      </c>
    </row>
    <row r="5708" spans="4:4" x14ac:dyDescent="0.3">
      <c r="D5708" t="str">
        <f t="shared" si="120"/>
        <v/>
      </c>
    </row>
    <row r="5709" spans="4:4" x14ac:dyDescent="0.3">
      <c r="D5709" t="str">
        <f t="shared" si="120"/>
        <v/>
      </c>
    </row>
    <row r="5710" spans="4:4" x14ac:dyDescent="0.3">
      <c r="D5710" t="str">
        <f t="shared" si="120"/>
        <v/>
      </c>
    </row>
    <row r="5711" spans="4:4" x14ac:dyDescent="0.3">
      <c r="D5711" t="str">
        <f t="shared" si="120"/>
        <v/>
      </c>
    </row>
    <row r="5712" spans="4:4" x14ac:dyDescent="0.3">
      <c r="D5712" t="str">
        <f t="shared" si="120"/>
        <v/>
      </c>
    </row>
    <row r="5713" spans="4:4" x14ac:dyDescent="0.3">
      <c r="D5713" t="str">
        <f t="shared" si="120"/>
        <v/>
      </c>
    </row>
    <row r="5714" spans="4:4" x14ac:dyDescent="0.3">
      <c r="D5714" t="str">
        <f t="shared" si="120"/>
        <v/>
      </c>
    </row>
    <row r="5715" spans="4:4" x14ac:dyDescent="0.3">
      <c r="D5715" t="str">
        <f t="shared" si="120"/>
        <v/>
      </c>
    </row>
    <row r="5716" spans="4:4" x14ac:dyDescent="0.3">
      <c r="D5716" t="str">
        <f t="shared" si="120"/>
        <v/>
      </c>
    </row>
    <row r="5717" spans="4:4" x14ac:dyDescent="0.3">
      <c r="D5717" t="str">
        <f t="shared" si="120"/>
        <v/>
      </c>
    </row>
    <row r="5718" spans="4:4" x14ac:dyDescent="0.3">
      <c r="D5718" t="str">
        <f t="shared" si="120"/>
        <v/>
      </c>
    </row>
    <row r="5719" spans="4:4" x14ac:dyDescent="0.3">
      <c r="D5719" t="str">
        <f t="shared" si="120"/>
        <v/>
      </c>
    </row>
    <row r="5720" spans="4:4" x14ac:dyDescent="0.3">
      <c r="D5720" t="str">
        <f t="shared" si="120"/>
        <v/>
      </c>
    </row>
    <row r="5721" spans="4:4" x14ac:dyDescent="0.3">
      <c r="D5721" t="str">
        <f t="shared" si="120"/>
        <v/>
      </c>
    </row>
    <row r="5722" spans="4:4" x14ac:dyDescent="0.3">
      <c r="D5722" t="str">
        <f t="shared" si="120"/>
        <v/>
      </c>
    </row>
    <row r="5723" spans="4:4" x14ac:dyDescent="0.3">
      <c r="D5723" t="str">
        <f t="shared" si="120"/>
        <v/>
      </c>
    </row>
    <row r="5724" spans="4:4" x14ac:dyDescent="0.3">
      <c r="D5724" t="str">
        <f t="shared" si="120"/>
        <v/>
      </c>
    </row>
    <row r="5725" spans="4:4" x14ac:dyDescent="0.3">
      <c r="D5725" t="str">
        <f t="shared" si="120"/>
        <v/>
      </c>
    </row>
    <row r="5726" spans="4:4" x14ac:dyDescent="0.3">
      <c r="D5726" t="str">
        <f t="shared" si="120"/>
        <v/>
      </c>
    </row>
    <row r="5727" spans="4:4" x14ac:dyDescent="0.3">
      <c r="D5727" t="str">
        <f t="shared" si="120"/>
        <v/>
      </c>
    </row>
    <row r="5728" spans="4:4" x14ac:dyDescent="0.3">
      <c r="D5728" t="str">
        <f t="shared" si="120"/>
        <v/>
      </c>
    </row>
    <row r="5729" spans="4:4" x14ac:dyDescent="0.3">
      <c r="D5729" t="str">
        <f t="shared" si="120"/>
        <v/>
      </c>
    </row>
    <row r="5730" spans="4:4" x14ac:dyDescent="0.3">
      <c r="D5730" t="str">
        <f t="shared" si="120"/>
        <v/>
      </c>
    </row>
    <row r="5731" spans="4:4" x14ac:dyDescent="0.3">
      <c r="D5731" t="str">
        <f t="shared" si="120"/>
        <v/>
      </c>
    </row>
    <row r="5732" spans="4:4" x14ac:dyDescent="0.3">
      <c r="D5732" t="str">
        <f t="shared" si="120"/>
        <v/>
      </c>
    </row>
    <row r="5733" spans="4:4" x14ac:dyDescent="0.3">
      <c r="D5733" t="str">
        <f t="shared" si="120"/>
        <v/>
      </c>
    </row>
    <row r="5734" spans="4:4" x14ac:dyDescent="0.3">
      <c r="D5734" t="str">
        <f t="shared" si="120"/>
        <v/>
      </c>
    </row>
    <row r="5735" spans="4:4" x14ac:dyDescent="0.3">
      <c r="D5735" t="str">
        <f t="shared" si="120"/>
        <v/>
      </c>
    </row>
    <row r="5736" spans="4:4" x14ac:dyDescent="0.3">
      <c r="D5736" t="str">
        <f t="shared" si="120"/>
        <v/>
      </c>
    </row>
    <row r="5737" spans="4:4" x14ac:dyDescent="0.3">
      <c r="D5737" t="str">
        <f t="shared" si="120"/>
        <v/>
      </c>
    </row>
    <row r="5738" spans="4:4" x14ac:dyDescent="0.3">
      <c r="D5738" t="str">
        <f t="shared" si="120"/>
        <v/>
      </c>
    </row>
    <row r="5739" spans="4:4" x14ac:dyDescent="0.3">
      <c r="D5739" t="str">
        <f t="shared" si="120"/>
        <v/>
      </c>
    </row>
    <row r="5740" spans="4:4" x14ac:dyDescent="0.3">
      <c r="D5740" t="str">
        <f t="shared" si="120"/>
        <v/>
      </c>
    </row>
    <row r="5741" spans="4:4" x14ac:dyDescent="0.3">
      <c r="D5741" t="str">
        <f t="shared" si="120"/>
        <v/>
      </c>
    </row>
    <row r="5742" spans="4:4" x14ac:dyDescent="0.3">
      <c r="D5742" t="str">
        <f t="shared" si="120"/>
        <v/>
      </c>
    </row>
    <row r="5743" spans="4:4" x14ac:dyDescent="0.3">
      <c r="D5743" t="str">
        <f t="shared" si="120"/>
        <v/>
      </c>
    </row>
    <row r="5744" spans="4:4" x14ac:dyDescent="0.3">
      <c r="D5744" t="str">
        <f t="shared" si="120"/>
        <v/>
      </c>
    </row>
    <row r="5745" spans="4:4" x14ac:dyDescent="0.3">
      <c r="D5745" t="str">
        <f t="shared" si="120"/>
        <v/>
      </c>
    </row>
    <row r="5746" spans="4:4" x14ac:dyDescent="0.3">
      <c r="D5746" t="str">
        <f t="shared" si="120"/>
        <v/>
      </c>
    </row>
    <row r="5747" spans="4:4" x14ac:dyDescent="0.3">
      <c r="D5747" t="str">
        <f t="shared" si="120"/>
        <v/>
      </c>
    </row>
    <row r="5748" spans="4:4" x14ac:dyDescent="0.3">
      <c r="D5748" t="str">
        <f t="shared" si="120"/>
        <v/>
      </c>
    </row>
    <row r="5749" spans="4:4" x14ac:dyDescent="0.3">
      <c r="D5749" t="str">
        <f t="shared" si="120"/>
        <v/>
      </c>
    </row>
    <row r="5750" spans="4:4" x14ac:dyDescent="0.3">
      <c r="D5750" t="str">
        <f t="shared" ref="D5750:D5813" si="121">IF(LEFT(A5750,2)="SP",MID(A5750,4,4),IF(LEFT(A5750,1)="X",MID(A5750,3,4),""))</f>
        <v/>
      </c>
    </row>
    <row r="5751" spans="4:4" x14ac:dyDescent="0.3">
      <c r="D5751" t="str">
        <f t="shared" si="121"/>
        <v/>
      </c>
    </row>
    <row r="5752" spans="4:4" x14ac:dyDescent="0.3">
      <c r="D5752" t="str">
        <f t="shared" si="121"/>
        <v/>
      </c>
    </row>
    <row r="5753" spans="4:4" x14ac:dyDescent="0.3">
      <c r="D5753" t="str">
        <f t="shared" si="121"/>
        <v/>
      </c>
    </row>
    <row r="5754" spans="4:4" x14ac:dyDescent="0.3">
      <c r="D5754" t="str">
        <f t="shared" si="121"/>
        <v/>
      </c>
    </row>
    <row r="5755" spans="4:4" x14ac:dyDescent="0.3">
      <c r="D5755" t="str">
        <f t="shared" si="121"/>
        <v/>
      </c>
    </row>
    <row r="5756" spans="4:4" x14ac:dyDescent="0.3">
      <c r="D5756" t="str">
        <f t="shared" si="121"/>
        <v/>
      </c>
    </row>
    <row r="5757" spans="4:4" x14ac:dyDescent="0.3">
      <c r="D5757" t="str">
        <f t="shared" si="121"/>
        <v/>
      </c>
    </row>
    <row r="5758" spans="4:4" x14ac:dyDescent="0.3">
      <c r="D5758" t="str">
        <f t="shared" si="121"/>
        <v/>
      </c>
    </row>
    <row r="5759" spans="4:4" x14ac:dyDescent="0.3">
      <c r="D5759" t="str">
        <f t="shared" si="121"/>
        <v/>
      </c>
    </row>
    <row r="5760" spans="4:4" x14ac:dyDescent="0.3">
      <c r="D5760" t="str">
        <f t="shared" si="121"/>
        <v/>
      </c>
    </row>
    <row r="5761" spans="4:4" x14ac:dyDescent="0.3">
      <c r="D5761" t="str">
        <f t="shared" si="121"/>
        <v/>
      </c>
    </row>
    <row r="5762" spans="4:4" x14ac:dyDescent="0.3">
      <c r="D5762" t="str">
        <f t="shared" si="121"/>
        <v/>
      </c>
    </row>
    <row r="5763" spans="4:4" x14ac:dyDescent="0.3">
      <c r="D5763" t="str">
        <f t="shared" si="121"/>
        <v/>
      </c>
    </row>
    <row r="5764" spans="4:4" x14ac:dyDescent="0.3">
      <c r="D5764" t="str">
        <f t="shared" si="121"/>
        <v/>
      </c>
    </row>
    <row r="5765" spans="4:4" x14ac:dyDescent="0.3">
      <c r="D5765" t="str">
        <f t="shared" si="121"/>
        <v/>
      </c>
    </row>
    <row r="5766" spans="4:4" x14ac:dyDescent="0.3">
      <c r="D5766" t="str">
        <f t="shared" si="121"/>
        <v/>
      </c>
    </row>
    <row r="5767" spans="4:4" x14ac:dyDescent="0.3">
      <c r="D5767" t="str">
        <f t="shared" si="121"/>
        <v/>
      </c>
    </row>
    <row r="5768" spans="4:4" x14ac:dyDescent="0.3">
      <c r="D5768" t="str">
        <f t="shared" si="121"/>
        <v/>
      </c>
    </row>
    <row r="5769" spans="4:4" x14ac:dyDescent="0.3">
      <c r="D5769" t="str">
        <f t="shared" si="121"/>
        <v/>
      </c>
    </row>
    <row r="5770" spans="4:4" x14ac:dyDescent="0.3">
      <c r="D5770" t="str">
        <f t="shared" si="121"/>
        <v/>
      </c>
    </row>
    <row r="5771" spans="4:4" x14ac:dyDescent="0.3">
      <c r="D5771" t="str">
        <f t="shared" si="121"/>
        <v/>
      </c>
    </row>
    <row r="5772" spans="4:4" x14ac:dyDescent="0.3">
      <c r="D5772" t="str">
        <f t="shared" si="121"/>
        <v/>
      </c>
    </row>
    <row r="5773" spans="4:4" x14ac:dyDescent="0.3">
      <c r="D5773" t="str">
        <f t="shared" si="121"/>
        <v/>
      </c>
    </row>
    <row r="5774" spans="4:4" x14ac:dyDescent="0.3">
      <c r="D5774" t="str">
        <f t="shared" si="121"/>
        <v/>
      </c>
    </row>
    <row r="5775" spans="4:4" x14ac:dyDescent="0.3">
      <c r="D5775" t="str">
        <f t="shared" si="121"/>
        <v/>
      </c>
    </row>
    <row r="5776" spans="4:4" x14ac:dyDescent="0.3">
      <c r="D5776" t="str">
        <f t="shared" si="121"/>
        <v/>
      </c>
    </row>
    <row r="5777" spans="4:4" x14ac:dyDescent="0.3">
      <c r="D5777" t="str">
        <f t="shared" si="121"/>
        <v/>
      </c>
    </row>
    <row r="5778" spans="4:4" x14ac:dyDescent="0.3">
      <c r="D5778" t="str">
        <f t="shared" si="121"/>
        <v/>
      </c>
    </row>
    <row r="5779" spans="4:4" x14ac:dyDescent="0.3">
      <c r="D5779" t="str">
        <f t="shared" si="121"/>
        <v/>
      </c>
    </row>
    <row r="5780" spans="4:4" x14ac:dyDescent="0.3">
      <c r="D5780" t="str">
        <f t="shared" si="121"/>
        <v/>
      </c>
    </row>
    <row r="5781" spans="4:4" x14ac:dyDescent="0.3">
      <c r="D5781" t="str">
        <f t="shared" si="121"/>
        <v/>
      </c>
    </row>
    <row r="5782" spans="4:4" x14ac:dyDescent="0.3">
      <c r="D5782" t="str">
        <f t="shared" si="121"/>
        <v/>
      </c>
    </row>
    <row r="5783" spans="4:4" x14ac:dyDescent="0.3">
      <c r="D5783" t="str">
        <f t="shared" si="121"/>
        <v/>
      </c>
    </row>
    <row r="5784" spans="4:4" x14ac:dyDescent="0.3">
      <c r="D5784" t="str">
        <f t="shared" si="121"/>
        <v/>
      </c>
    </row>
    <row r="5785" spans="4:4" x14ac:dyDescent="0.3">
      <c r="D5785" t="str">
        <f t="shared" si="121"/>
        <v/>
      </c>
    </row>
    <row r="5786" spans="4:4" x14ac:dyDescent="0.3">
      <c r="D5786" t="str">
        <f t="shared" si="121"/>
        <v/>
      </c>
    </row>
    <row r="5787" spans="4:4" x14ac:dyDescent="0.3">
      <c r="D5787" t="str">
        <f t="shared" si="121"/>
        <v/>
      </c>
    </row>
    <row r="5788" spans="4:4" x14ac:dyDescent="0.3">
      <c r="D5788" t="str">
        <f t="shared" si="121"/>
        <v/>
      </c>
    </row>
    <row r="5789" spans="4:4" x14ac:dyDescent="0.3">
      <c r="D5789" t="str">
        <f t="shared" si="121"/>
        <v/>
      </c>
    </row>
    <row r="5790" spans="4:4" x14ac:dyDescent="0.3">
      <c r="D5790" t="str">
        <f t="shared" si="121"/>
        <v/>
      </c>
    </row>
    <row r="5791" spans="4:4" x14ac:dyDescent="0.3">
      <c r="D5791" t="str">
        <f t="shared" si="121"/>
        <v/>
      </c>
    </row>
    <row r="5792" spans="4:4" x14ac:dyDescent="0.3">
      <c r="D5792" t="str">
        <f t="shared" si="121"/>
        <v/>
      </c>
    </row>
    <row r="5793" spans="4:4" x14ac:dyDescent="0.3">
      <c r="D5793" t="str">
        <f t="shared" si="121"/>
        <v/>
      </c>
    </row>
    <row r="5794" spans="4:4" x14ac:dyDescent="0.3">
      <c r="D5794" t="str">
        <f t="shared" si="121"/>
        <v/>
      </c>
    </row>
    <row r="5795" spans="4:4" x14ac:dyDescent="0.3">
      <c r="D5795" t="str">
        <f t="shared" si="121"/>
        <v/>
      </c>
    </row>
    <row r="5796" spans="4:4" x14ac:dyDescent="0.3">
      <c r="D5796" t="str">
        <f t="shared" si="121"/>
        <v/>
      </c>
    </row>
    <row r="5797" spans="4:4" x14ac:dyDescent="0.3">
      <c r="D5797" t="str">
        <f t="shared" si="121"/>
        <v/>
      </c>
    </row>
    <row r="5798" spans="4:4" x14ac:dyDescent="0.3">
      <c r="D5798" t="str">
        <f t="shared" si="121"/>
        <v/>
      </c>
    </row>
    <row r="5799" spans="4:4" x14ac:dyDescent="0.3">
      <c r="D5799" t="str">
        <f t="shared" si="121"/>
        <v/>
      </c>
    </row>
    <row r="5800" spans="4:4" x14ac:dyDescent="0.3">
      <c r="D5800" t="str">
        <f t="shared" si="121"/>
        <v/>
      </c>
    </row>
    <row r="5801" spans="4:4" x14ac:dyDescent="0.3">
      <c r="D5801" t="str">
        <f t="shared" si="121"/>
        <v/>
      </c>
    </row>
    <row r="5802" spans="4:4" x14ac:dyDescent="0.3">
      <c r="D5802" t="str">
        <f t="shared" si="121"/>
        <v/>
      </c>
    </row>
    <row r="5803" spans="4:4" x14ac:dyDescent="0.3">
      <c r="D5803" t="str">
        <f t="shared" si="121"/>
        <v/>
      </c>
    </row>
    <row r="5804" spans="4:4" x14ac:dyDescent="0.3">
      <c r="D5804" t="str">
        <f t="shared" si="121"/>
        <v/>
      </c>
    </row>
    <row r="5805" spans="4:4" x14ac:dyDescent="0.3">
      <c r="D5805" t="str">
        <f t="shared" si="121"/>
        <v/>
      </c>
    </row>
    <row r="5806" spans="4:4" x14ac:dyDescent="0.3">
      <c r="D5806" t="str">
        <f t="shared" si="121"/>
        <v/>
      </c>
    </row>
    <row r="5807" spans="4:4" x14ac:dyDescent="0.3">
      <c r="D5807" t="str">
        <f t="shared" si="121"/>
        <v/>
      </c>
    </row>
    <row r="5808" spans="4:4" x14ac:dyDescent="0.3">
      <c r="D5808" t="str">
        <f t="shared" si="121"/>
        <v/>
      </c>
    </row>
    <row r="5809" spans="4:4" x14ac:dyDescent="0.3">
      <c r="D5809" t="str">
        <f t="shared" si="121"/>
        <v/>
      </c>
    </row>
    <row r="5810" spans="4:4" x14ac:dyDescent="0.3">
      <c r="D5810" t="str">
        <f t="shared" si="121"/>
        <v/>
      </c>
    </row>
    <row r="5811" spans="4:4" x14ac:dyDescent="0.3">
      <c r="D5811" t="str">
        <f t="shared" si="121"/>
        <v/>
      </c>
    </row>
    <row r="5812" spans="4:4" x14ac:dyDescent="0.3">
      <c r="D5812" t="str">
        <f t="shared" si="121"/>
        <v/>
      </c>
    </row>
    <row r="5813" spans="4:4" x14ac:dyDescent="0.3">
      <c r="D5813" t="str">
        <f t="shared" si="121"/>
        <v/>
      </c>
    </row>
    <row r="5814" spans="4:4" x14ac:dyDescent="0.3">
      <c r="D5814" t="str">
        <f t="shared" ref="D5814:D5877" si="122">IF(LEFT(A5814,2)="SP",MID(A5814,4,4),IF(LEFT(A5814,1)="X",MID(A5814,3,4),""))</f>
        <v/>
      </c>
    </row>
    <row r="5815" spans="4:4" x14ac:dyDescent="0.3">
      <c r="D5815" t="str">
        <f t="shared" si="122"/>
        <v/>
      </c>
    </row>
    <row r="5816" spans="4:4" x14ac:dyDescent="0.3">
      <c r="D5816" t="str">
        <f t="shared" si="122"/>
        <v/>
      </c>
    </row>
    <row r="5817" spans="4:4" x14ac:dyDescent="0.3">
      <c r="D5817" t="str">
        <f t="shared" si="122"/>
        <v/>
      </c>
    </row>
    <row r="5818" spans="4:4" x14ac:dyDescent="0.3">
      <c r="D5818" t="str">
        <f t="shared" si="122"/>
        <v/>
      </c>
    </row>
    <row r="5819" spans="4:4" x14ac:dyDescent="0.3">
      <c r="D5819" t="str">
        <f t="shared" si="122"/>
        <v/>
      </c>
    </row>
    <row r="5820" spans="4:4" x14ac:dyDescent="0.3">
      <c r="D5820" t="str">
        <f t="shared" si="122"/>
        <v/>
      </c>
    </row>
    <row r="5821" spans="4:4" x14ac:dyDescent="0.3">
      <c r="D5821" t="str">
        <f t="shared" si="122"/>
        <v/>
      </c>
    </row>
    <row r="5822" spans="4:4" x14ac:dyDescent="0.3">
      <c r="D5822" t="str">
        <f t="shared" si="122"/>
        <v/>
      </c>
    </row>
    <row r="5823" spans="4:4" x14ac:dyDescent="0.3">
      <c r="D5823" t="str">
        <f t="shared" si="122"/>
        <v/>
      </c>
    </row>
    <row r="5824" spans="4:4" x14ac:dyDescent="0.3">
      <c r="D5824" t="str">
        <f t="shared" si="122"/>
        <v/>
      </c>
    </row>
    <row r="5825" spans="4:4" x14ac:dyDescent="0.3">
      <c r="D5825" t="str">
        <f t="shared" si="122"/>
        <v/>
      </c>
    </row>
    <row r="5826" spans="4:4" x14ac:dyDescent="0.3">
      <c r="D5826" t="str">
        <f t="shared" si="122"/>
        <v/>
      </c>
    </row>
    <row r="5827" spans="4:4" x14ac:dyDescent="0.3">
      <c r="D5827" t="str">
        <f t="shared" si="122"/>
        <v/>
      </c>
    </row>
    <row r="5828" spans="4:4" x14ac:dyDescent="0.3">
      <c r="D5828" t="str">
        <f t="shared" si="122"/>
        <v/>
      </c>
    </row>
    <row r="5829" spans="4:4" x14ac:dyDescent="0.3">
      <c r="D5829" t="str">
        <f t="shared" si="122"/>
        <v/>
      </c>
    </row>
    <row r="5830" spans="4:4" x14ac:dyDescent="0.3">
      <c r="D5830" t="str">
        <f t="shared" si="122"/>
        <v/>
      </c>
    </row>
    <row r="5831" spans="4:4" x14ac:dyDescent="0.3">
      <c r="D5831" t="str">
        <f t="shared" si="122"/>
        <v/>
      </c>
    </row>
    <row r="5832" spans="4:4" x14ac:dyDescent="0.3">
      <c r="D5832" t="str">
        <f t="shared" si="122"/>
        <v/>
      </c>
    </row>
    <row r="5833" spans="4:4" x14ac:dyDescent="0.3">
      <c r="D5833" t="str">
        <f t="shared" si="122"/>
        <v/>
      </c>
    </row>
    <row r="5834" spans="4:4" x14ac:dyDescent="0.3">
      <c r="D5834" t="str">
        <f t="shared" si="122"/>
        <v/>
      </c>
    </row>
    <row r="5835" spans="4:4" x14ac:dyDescent="0.3">
      <c r="D5835" t="str">
        <f t="shared" si="122"/>
        <v/>
      </c>
    </row>
    <row r="5836" spans="4:4" x14ac:dyDescent="0.3">
      <c r="D5836" t="str">
        <f t="shared" si="122"/>
        <v/>
      </c>
    </row>
    <row r="5837" spans="4:4" x14ac:dyDescent="0.3">
      <c r="D5837" t="str">
        <f t="shared" si="122"/>
        <v/>
      </c>
    </row>
    <row r="5838" spans="4:4" x14ac:dyDescent="0.3">
      <c r="D5838" t="str">
        <f t="shared" si="122"/>
        <v/>
      </c>
    </row>
    <row r="5839" spans="4:4" x14ac:dyDescent="0.3">
      <c r="D5839" t="str">
        <f t="shared" si="122"/>
        <v/>
      </c>
    </row>
    <row r="5840" spans="4:4" x14ac:dyDescent="0.3">
      <c r="D5840" t="str">
        <f t="shared" si="122"/>
        <v/>
      </c>
    </row>
    <row r="5841" spans="4:4" x14ac:dyDescent="0.3">
      <c r="D5841" t="str">
        <f t="shared" si="122"/>
        <v/>
      </c>
    </row>
    <row r="5842" spans="4:4" x14ac:dyDescent="0.3">
      <c r="D5842" t="str">
        <f t="shared" si="122"/>
        <v/>
      </c>
    </row>
    <row r="5843" spans="4:4" x14ac:dyDescent="0.3">
      <c r="D5843" t="str">
        <f t="shared" si="122"/>
        <v/>
      </c>
    </row>
    <row r="5844" spans="4:4" x14ac:dyDescent="0.3">
      <c r="D5844" t="str">
        <f t="shared" si="122"/>
        <v/>
      </c>
    </row>
    <row r="5845" spans="4:4" x14ac:dyDescent="0.3">
      <c r="D5845" t="str">
        <f t="shared" si="122"/>
        <v/>
      </c>
    </row>
    <row r="5846" spans="4:4" x14ac:dyDescent="0.3">
      <c r="D5846" t="str">
        <f t="shared" si="122"/>
        <v/>
      </c>
    </row>
    <row r="5847" spans="4:4" x14ac:dyDescent="0.3">
      <c r="D5847" t="str">
        <f t="shared" si="122"/>
        <v/>
      </c>
    </row>
    <row r="5848" spans="4:4" x14ac:dyDescent="0.3">
      <c r="D5848" t="str">
        <f t="shared" si="122"/>
        <v/>
      </c>
    </row>
    <row r="5849" spans="4:4" x14ac:dyDescent="0.3">
      <c r="D5849" t="str">
        <f t="shared" si="122"/>
        <v/>
      </c>
    </row>
    <row r="5850" spans="4:4" x14ac:dyDescent="0.3">
      <c r="D5850" t="str">
        <f t="shared" si="122"/>
        <v/>
      </c>
    </row>
    <row r="5851" spans="4:4" x14ac:dyDescent="0.3">
      <c r="D5851" t="str">
        <f t="shared" si="122"/>
        <v/>
      </c>
    </row>
    <row r="5852" spans="4:4" x14ac:dyDescent="0.3">
      <c r="D5852" t="str">
        <f t="shared" si="122"/>
        <v/>
      </c>
    </row>
    <row r="5853" spans="4:4" x14ac:dyDescent="0.3">
      <c r="D5853" t="str">
        <f t="shared" si="122"/>
        <v/>
      </c>
    </row>
    <row r="5854" spans="4:4" x14ac:dyDescent="0.3">
      <c r="D5854" t="str">
        <f t="shared" si="122"/>
        <v/>
      </c>
    </row>
    <row r="5855" spans="4:4" x14ac:dyDescent="0.3">
      <c r="D5855" t="str">
        <f t="shared" si="122"/>
        <v/>
      </c>
    </row>
    <row r="5856" spans="4:4" x14ac:dyDescent="0.3">
      <c r="D5856" t="str">
        <f t="shared" si="122"/>
        <v/>
      </c>
    </row>
    <row r="5857" spans="4:4" x14ac:dyDescent="0.3">
      <c r="D5857" t="str">
        <f t="shared" si="122"/>
        <v/>
      </c>
    </row>
    <row r="5858" spans="4:4" x14ac:dyDescent="0.3">
      <c r="D5858" t="str">
        <f t="shared" si="122"/>
        <v/>
      </c>
    </row>
    <row r="5859" spans="4:4" x14ac:dyDescent="0.3">
      <c r="D5859" t="str">
        <f t="shared" si="122"/>
        <v/>
      </c>
    </row>
    <row r="5860" spans="4:4" x14ac:dyDescent="0.3">
      <c r="D5860" t="str">
        <f t="shared" si="122"/>
        <v/>
      </c>
    </row>
    <row r="5861" spans="4:4" x14ac:dyDescent="0.3">
      <c r="D5861" t="str">
        <f t="shared" si="122"/>
        <v/>
      </c>
    </row>
    <row r="5862" spans="4:4" x14ac:dyDescent="0.3">
      <c r="D5862" t="str">
        <f t="shared" si="122"/>
        <v/>
      </c>
    </row>
    <row r="5863" spans="4:4" x14ac:dyDescent="0.3">
      <c r="D5863" t="str">
        <f t="shared" si="122"/>
        <v/>
      </c>
    </row>
    <row r="5864" spans="4:4" x14ac:dyDescent="0.3">
      <c r="D5864" t="str">
        <f t="shared" si="122"/>
        <v/>
      </c>
    </row>
    <row r="5865" spans="4:4" x14ac:dyDescent="0.3">
      <c r="D5865" t="str">
        <f t="shared" si="122"/>
        <v/>
      </c>
    </row>
    <row r="5866" spans="4:4" x14ac:dyDescent="0.3">
      <c r="D5866" t="str">
        <f t="shared" si="122"/>
        <v/>
      </c>
    </row>
    <row r="5867" spans="4:4" x14ac:dyDescent="0.3">
      <c r="D5867" t="str">
        <f t="shared" si="122"/>
        <v/>
      </c>
    </row>
    <row r="5868" spans="4:4" x14ac:dyDescent="0.3">
      <c r="D5868" t="str">
        <f t="shared" si="122"/>
        <v/>
      </c>
    </row>
    <row r="5869" spans="4:4" x14ac:dyDescent="0.3">
      <c r="D5869" t="str">
        <f t="shared" si="122"/>
        <v/>
      </c>
    </row>
    <row r="5870" spans="4:4" x14ac:dyDescent="0.3">
      <c r="D5870" t="str">
        <f t="shared" si="122"/>
        <v/>
      </c>
    </row>
    <row r="5871" spans="4:4" x14ac:dyDescent="0.3">
      <c r="D5871" t="str">
        <f t="shared" si="122"/>
        <v/>
      </c>
    </row>
    <row r="5872" spans="4:4" x14ac:dyDescent="0.3">
      <c r="D5872" t="str">
        <f t="shared" si="122"/>
        <v/>
      </c>
    </row>
    <row r="5873" spans="4:4" x14ac:dyDescent="0.3">
      <c r="D5873" t="str">
        <f t="shared" si="122"/>
        <v/>
      </c>
    </row>
    <row r="5874" spans="4:4" x14ac:dyDescent="0.3">
      <c r="D5874" t="str">
        <f t="shared" si="122"/>
        <v/>
      </c>
    </row>
    <row r="5875" spans="4:4" x14ac:dyDescent="0.3">
      <c r="D5875" t="str">
        <f t="shared" si="122"/>
        <v/>
      </c>
    </row>
    <row r="5876" spans="4:4" x14ac:dyDescent="0.3">
      <c r="D5876" t="str">
        <f t="shared" si="122"/>
        <v/>
      </c>
    </row>
    <row r="5877" spans="4:4" x14ac:dyDescent="0.3">
      <c r="D5877" t="str">
        <f t="shared" si="122"/>
        <v/>
      </c>
    </row>
    <row r="5878" spans="4:4" x14ac:dyDescent="0.3">
      <c r="D5878" t="str">
        <f t="shared" ref="D5878:D5941" si="123">IF(LEFT(A5878,2)="SP",MID(A5878,4,4),IF(LEFT(A5878,1)="X",MID(A5878,3,4),""))</f>
        <v/>
      </c>
    </row>
    <row r="5879" spans="4:4" x14ac:dyDescent="0.3">
      <c r="D5879" t="str">
        <f t="shared" si="123"/>
        <v/>
      </c>
    </row>
    <row r="5880" spans="4:4" x14ac:dyDescent="0.3">
      <c r="D5880" t="str">
        <f t="shared" si="123"/>
        <v/>
      </c>
    </row>
    <row r="5881" spans="4:4" x14ac:dyDescent="0.3">
      <c r="D5881" t="str">
        <f t="shared" si="123"/>
        <v/>
      </c>
    </row>
    <row r="5882" spans="4:4" x14ac:dyDescent="0.3">
      <c r="D5882" t="str">
        <f t="shared" si="123"/>
        <v/>
      </c>
    </row>
    <row r="5883" spans="4:4" x14ac:dyDescent="0.3">
      <c r="D5883" t="str">
        <f t="shared" si="123"/>
        <v/>
      </c>
    </row>
    <row r="5884" spans="4:4" x14ac:dyDescent="0.3">
      <c r="D5884" t="str">
        <f t="shared" si="123"/>
        <v/>
      </c>
    </row>
    <row r="5885" spans="4:4" x14ac:dyDescent="0.3">
      <c r="D5885" t="str">
        <f t="shared" si="123"/>
        <v/>
      </c>
    </row>
    <row r="5886" spans="4:4" x14ac:dyDescent="0.3">
      <c r="D5886" t="str">
        <f t="shared" si="123"/>
        <v/>
      </c>
    </row>
    <row r="5887" spans="4:4" x14ac:dyDescent="0.3">
      <c r="D5887" t="str">
        <f t="shared" si="123"/>
        <v/>
      </c>
    </row>
    <row r="5888" spans="4:4" x14ac:dyDescent="0.3">
      <c r="D5888" t="str">
        <f t="shared" si="123"/>
        <v/>
      </c>
    </row>
    <row r="5889" spans="4:4" x14ac:dyDescent="0.3">
      <c r="D5889" t="str">
        <f t="shared" si="123"/>
        <v/>
      </c>
    </row>
    <row r="5890" spans="4:4" x14ac:dyDescent="0.3">
      <c r="D5890" t="str">
        <f t="shared" si="123"/>
        <v/>
      </c>
    </row>
    <row r="5891" spans="4:4" x14ac:dyDescent="0.3">
      <c r="D5891" t="str">
        <f t="shared" si="123"/>
        <v/>
      </c>
    </row>
    <row r="5892" spans="4:4" x14ac:dyDescent="0.3">
      <c r="D5892" t="str">
        <f t="shared" si="123"/>
        <v/>
      </c>
    </row>
    <row r="5893" spans="4:4" x14ac:dyDescent="0.3">
      <c r="D5893" t="str">
        <f t="shared" si="123"/>
        <v/>
      </c>
    </row>
    <row r="5894" spans="4:4" x14ac:dyDescent="0.3">
      <c r="D5894" t="str">
        <f t="shared" si="123"/>
        <v/>
      </c>
    </row>
    <row r="5895" spans="4:4" x14ac:dyDescent="0.3">
      <c r="D5895" t="str">
        <f t="shared" si="123"/>
        <v/>
      </c>
    </row>
    <row r="5896" spans="4:4" x14ac:dyDescent="0.3">
      <c r="D5896" t="str">
        <f t="shared" si="123"/>
        <v/>
      </c>
    </row>
    <row r="5897" spans="4:4" x14ac:dyDescent="0.3">
      <c r="D5897" t="str">
        <f t="shared" si="123"/>
        <v/>
      </c>
    </row>
    <row r="5898" spans="4:4" x14ac:dyDescent="0.3">
      <c r="D5898" t="str">
        <f t="shared" si="123"/>
        <v/>
      </c>
    </row>
    <row r="5899" spans="4:4" x14ac:dyDescent="0.3">
      <c r="D5899" t="str">
        <f t="shared" si="123"/>
        <v/>
      </c>
    </row>
    <row r="5900" spans="4:4" x14ac:dyDescent="0.3">
      <c r="D5900" t="str">
        <f t="shared" si="123"/>
        <v/>
      </c>
    </row>
    <row r="5901" spans="4:4" x14ac:dyDescent="0.3">
      <c r="D5901" t="str">
        <f t="shared" si="123"/>
        <v/>
      </c>
    </row>
    <row r="5902" spans="4:4" x14ac:dyDescent="0.3">
      <c r="D5902" t="str">
        <f t="shared" si="123"/>
        <v/>
      </c>
    </row>
    <row r="5903" spans="4:4" x14ac:dyDescent="0.3">
      <c r="D5903" t="str">
        <f t="shared" si="123"/>
        <v/>
      </c>
    </row>
    <row r="5904" spans="4:4" x14ac:dyDescent="0.3">
      <c r="D5904" t="str">
        <f t="shared" si="123"/>
        <v/>
      </c>
    </row>
    <row r="5905" spans="4:4" x14ac:dyDescent="0.3">
      <c r="D5905" t="str">
        <f t="shared" si="123"/>
        <v/>
      </c>
    </row>
    <row r="5906" spans="4:4" x14ac:dyDescent="0.3">
      <c r="D5906" t="str">
        <f t="shared" si="123"/>
        <v/>
      </c>
    </row>
    <row r="5907" spans="4:4" x14ac:dyDescent="0.3">
      <c r="D5907" t="str">
        <f t="shared" si="123"/>
        <v/>
      </c>
    </row>
    <row r="5908" spans="4:4" x14ac:dyDescent="0.3">
      <c r="D5908" t="str">
        <f t="shared" si="123"/>
        <v/>
      </c>
    </row>
    <row r="5909" spans="4:4" x14ac:dyDescent="0.3">
      <c r="D5909" t="str">
        <f t="shared" si="123"/>
        <v/>
      </c>
    </row>
    <row r="5910" spans="4:4" x14ac:dyDescent="0.3">
      <c r="D5910" t="str">
        <f t="shared" si="123"/>
        <v/>
      </c>
    </row>
    <row r="5911" spans="4:4" x14ac:dyDescent="0.3">
      <c r="D5911" t="str">
        <f t="shared" si="123"/>
        <v/>
      </c>
    </row>
    <row r="5912" spans="4:4" x14ac:dyDescent="0.3">
      <c r="D5912" t="str">
        <f t="shared" si="123"/>
        <v/>
      </c>
    </row>
    <row r="5913" spans="4:4" x14ac:dyDescent="0.3">
      <c r="D5913" t="str">
        <f t="shared" si="123"/>
        <v/>
      </c>
    </row>
    <row r="5914" spans="4:4" x14ac:dyDescent="0.3">
      <c r="D5914" t="str">
        <f t="shared" si="123"/>
        <v/>
      </c>
    </row>
    <row r="5915" spans="4:4" x14ac:dyDescent="0.3">
      <c r="D5915" t="str">
        <f t="shared" si="123"/>
        <v/>
      </c>
    </row>
    <row r="5916" spans="4:4" x14ac:dyDescent="0.3">
      <c r="D5916" t="str">
        <f t="shared" si="123"/>
        <v/>
      </c>
    </row>
    <row r="5917" spans="4:4" x14ac:dyDescent="0.3">
      <c r="D5917" t="str">
        <f t="shared" si="123"/>
        <v/>
      </c>
    </row>
    <row r="5918" spans="4:4" x14ac:dyDescent="0.3">
      <c r="D5918" t="str">
        <f t="shared" si="123"/>
        <v/>
      </c>
    </row>
    <row r="5919" spans="4:4" x14ac:dyDescent="0.3">
      <c r="D5919" t="str">
        <f t="shared" si="123"/>
        <v/>
      </c>
    </row>
    <row r="5920" spans="4:4" x14ac:dyDescent="0.3">
      <c r="D5920" t="str">
        <f t="shared" si="123"/>
        <v/>
      </c>
    </row>
    <row r="5921" spans="4:4" x14ac:dyDescent="0.3">
      <c r="D5921" t="str">
        <f t="shared" si="123"/>
        <v/>
      </c>
    </row>
    <row r="5922" spans="4:4" x14ac:dyDescent="0.3">
      <c r="D5922" t="str">
        <f t="shared" si="123"/>
        <v/>
      </c>
    </row>
    <row r="5923" spans="4:4" x14ac:dyDescent="0.3">
      <c r="D5923" t="str">
        <f t="shared" si="123"/>
        <v/>
      </c>
    </row>
    <row r="5924" spans="4:4" x14ac:dyDescent="0.3">
      <c r="D5924" t="str">
        <f t="shared" si="123"/>
        <v/>
      </c>
    </row>
    <row r="5925" spans="4:4" x14ac:dyDescent="0.3">
      <c r="D5925" t="str">
        <f t="shared" si="123"/>
        <v/>
      </c>
    </row>
    <row r="5926" spans="4:4" x14ac:dyDescent="0.3">
      <c r="D5926" t="str">
        <f t="shared" si="123"/>
        <v/>
      </c>
    </row>
    <row r="5927" spans="4:4" x14ac:dyDescent="0.3">
      <c r="D5927" t="str">
        <f t="shared" si="123"/>
        <v/>
      </c>
    </row>
    <row r="5928" spans="4:4" x14ac:dyDescent="0.3">
      <c r="D5928" t="str">
        <f t="shared" si="123"/>
        <v/>
      </c>
    </row>
    <row r="5929" spans="4:4" x14ac:dyDescent="0.3">
      <c r="D5929" t="str">
        <f t="shared" si="123"/>
        <v/>
      </c>
    </row>
    <row r="5930" spans="4:4" x14ac:dyDescent="0.3">
      <c r="D5930" t="str">
        <f t="shared" si="123"/>
        <v/>
      </c>
    </row>
    <row r="5931" spans="4:4" x14ac:dyDescent="0.3">
      <c r="D5931" t="str">
        <f t="shared" si="123"/>
        <v/>
      </c>
    </row>
    <row r="5932" spans="4:4" x14ac:dyDescent="0.3">
      <c r="D5932" t="str">
        <f t="shared" si="123"/>
        <v/>
      </c>
    </row>
    <row r="5933" spans="4:4" x14ac:dyDescent="0.3">
      <c r="D5933" t="str">
        <f t="shared" si="123"/>
        <v/>
      </c>
    </row>
    <row r="5934" spans="4:4" x14ac:dyDescent="0.3">
      <c r="D5934" t="str">
        <f t="shared" si="123"/>
        <v/>
      </c>
    </row>
    <row r="5935" spans="4:4" x14ac:dyDescent="0.3">
      <c r="D5935" t="str">
        <f t="shared" si="123"/>
        <v/>
      </c>
    </row>
    <row r="5936" spans="4:4" x14ac:dyDescent="0.3">
      <c r="D5936" t="str">
        <f t="shared" si="123"/>
        <v/>
      </c>
    </row>
    <row r="5937" spans="4:4" x14ac:dyDescent="0.3">
      <c r="D5937" t="str">
        <f t="shared" si="123"/>
        <v/>
      </c>
    </row>
    <row r="5938" spans="4:4" x14ac:dyDescent="0.3">
      <c r="D5938" t="str">
        <f t="shared" si="123"/>
        <v/>
      </c>
    </row>
    <row r="5939" spans="4:4" x14ac:dyDescent="0.3">
      <c r="D5939" t="str">
        <f t="shared" si="123"/>
        <v/>
      </c>
    </row>
    <row r="5940" spans="4:4" x14ac:dyDescent="0.3">
      <c r="D5940" t="str">
        <f t="shared" si="123"/>
        <v/>
      </c>
    </row>
    <row r="5941" spans="4:4" x14ac:dyDescent="0.3">
      <c r="D5941" t="str">
        <f t="shared" si="123"/>
        <v/>
      </c>
    </row>
    <row r="5942" spans="4:4" x14ac:dyDescent="0.3">
      <c r="D5942" t="str">
        <f t="shared" ref="D5942:D6005" si="124">IF(LEFT(A5942,2)="SP",MID(A5942,4,4),IF(LEFT(A5942,1)="X",MID(A5942,3,4),""))</f>
        <v/>
      </c>
    </row>
    <row r="5943" spans="4:4" x14ac:dyDescent="0.3">
      <c r="D5943" t="str">
        <f t="shared" si="124"/>
        <v/>
      </c>
    </row>
    <row r="5944" spans="4:4" x14ac:dyDescent="0.3">
      <c r="D5944" t="str">
        <f t="shared" si="124"/>
        <v/>
      </c>
    </row>
    <row r="5945" spans="4:4" x14ac:dyDescent="0.3">
      <c r="D5945" t="str">
        <f t="shared" si="124"/>
        <v/>
      </c>
    </row>
    <row r="5946" spans="4:4" x14ac:dyDescent="0.3">
      <c r="D5946" t="str">
        <f t="shared" si="124"/>
        <v/>
      </c>
    </row>
    <row r="5947" spans="4:4" x14ac:dyDescent="0.3">
      <c r="D5947" t="str">
        <f t="shared" si="124"/>
        <v/>
      </c>
    </row>
    <row r="5948" spans="4:4" x14ac:dyDescent="0.3">
      <c r="D5948" t="str">
        <f t="shared" si="124"/>
        <v/>
      </c>
    </row>
    <row r="5949" spans="4:4" x14ac:dyDescent="0.3">
      <c r="D5949" t="str">
        <f t="shared" si="124"/>
        <v/>
      </c>
    </row>
    <row r="5950" spans="4:4" x14ac:dyDescent="0.3">
      <c r="D5950" t="str">
        <f t="shared" si="124"/>
        <v/>
      </c>
    </row>
    <row r="5951" spans="4:4" x14ac:dyDescent="0.3">
      <c r="D5951" t="str">
        <f t="shared" si="124"/>
        <v/>
      </c>
    </row>
    <row r="5952" spans="4:4" x14ac:dyDescent="0.3">
      <c r="D5952" t="str">
        <f t="shared" si="124"/>
        <v/>
      </c>
    </row>
    <row r="5953" spans="4:4" x14ac:dyDescent="0.3">
      <c r="D5953" t="str">
        <f t="shared" si="124"/>
        <v/>
      </c>
    </row>
    <row r="5954" spans="4:4" x14ac:dyDescent="0.3">
      <c r="D5954" t="str">
        <f t="shared" si="124"/>
        <v/>
      </c>
    </row>
    <row r="5955" spans="4:4" x14ac:dyDescent="0.3">
      <c r="D5955" t="str">
        <f t="shared" si="124"/>
        <v/>
      </c>
    </row>
    <row r="5956" spans="4:4" x14ac:dyDescent="0.3">
      <c r="D5956" t="str">
        <f t="shared" si="124"/>
        <v/>
      </c>
    </row>
    <row r="5957" spans="4:4" x14ac:dyDescent="0.3">
      <c r="D5957" t="str">
        <f t="shared" si="124"/>
        <v/>
      </c>
    </row>
    <row r="5958" spans="4:4" x14ac:dyDescent="0.3">
      <c r="D5958" t="str">
        <f t="shared" si="124"/>
        <v/>
      </c>
    </row>
    <row r="5959" spans="4:4" x14ac:dyDescent="0.3">
      <c r="D5959" t="str">
        <f t="shared" si="124"/>
        <v/>
      </c>
    </row>
    <row r="5960" spans="4:4" x14ac:dyDescent="0.3">
      <c r="D5960" t="str">
        <f t="shared" si="124"/>
        <v/>
      </c>
    </row>
    <row r="5961" spans="4:4" x14ac:dyDescent="0.3">
      <c r="D5961" t="str">
        <f t="shared" si="124"/>
        <v/>
      </c>
    </row>
    <row r="5962" spans="4:4" x14ac:dyDescent="0.3">
      <c r="D5962" t="str">
        <f t="shared" si="124"/>
        <v/>
      </c>
    </row>
    <row r="5963" spans="4:4" x14ac:dyDescent="0.3">
      <c r="D5963" t="str">
        <f t="shared" si="124"/>
        <v/>
      </c>
    </row>
    <row r="5964" spans="4:4" x14ac:dyDescent="0.3">
      <c r="D5964" t="str">
        <f t="shared" si="124"/>
        <v/>
      </c>
    </row>
    <row r="5965" spans="4:4" x14ac:dyDescent="0.3">
      <c r="D5965" t="str">
        <f t="shared" si="124"/>
        <v/>
      </c>
    </row>
    <row r="5966" spans="4:4" x14ac:dyDescent="0.3">
      <c r="D5966" t="str">
        <f t="shared" si="124"/>
        <v/>
      </c>
    </row>
    <row r="5967" spans="4:4" x14ac:dyDescent="0.3">
      <c r="D5967" t="str">
        <f t="shared" si="124"/>
        <v/>
      </c>
    </row>
    <row r="5968" spans="4:4" x14ac:dyDescent="0.3">
      <c r="D5968" t="str">
        <f t="shared" si="124"/>
        <v/>
      </c>
    </row>
    <row r="5969" spans="4:4" x14ac:dyDescent="0.3">
      <c r="D5969" t="str">
        <f t="shared" si="124"/>
        <v/>
      </c>
    </row>
    <row r="5970" spans="4:4" x14ac:dyDescent="0.3">
      <c r="D5970" t="str">
        <f t="shared" si="124"/>
        <v/>
      </c>
    </row>
    <row r="5971" spans="4:4" x14ac:dyDescent="0.3">
      <c r="D5971" t="str">
        <f t="shared" si="124"/>
        <v/>
      </c>
    </row>
    <row r="5972" spans="4:4" x14ac:dyDescent="0.3">
      <c r="D5972" t="str">
        <f t="shared" si="124"/>
        <v/>
      </c>
    </row>
    <row r="5973" spans="4:4" x14ac:dyDescent="0.3">
      <c r="D5973" t="str">
        <f t="shared" si="124"/>
        <v/>
      </c>
    </row>
    <row r="5974" spans="4:4" x14ac:dyDescent="0.3">
      <c r="D5974" t="str">
        <f t="shared" si="124"/>
        <v/>
      </c>
    </row>
    <row r="5975" spans="4:4" x14ac:dyDescent="0.3">
      <c r="D5975" t="str">
        <f t="shared" si="124"/>
        <v/>
      </c>
    </row>
    <row r="5976" spans="4:4" x14ac:dyDescent="0.3">
      <c r="D5976" t="str">
        <f t="shared" si="124"/>
        <v/>
      </c>
    </row>
    <row r="5977" spans="4:4" x14ac:dyDescent="0.3">
      <c r="D5977" t="str">
        <f t="shared" si="124"/>
        <v/>
      </c>
    </row>
    <row r="5978" spans="4:4" x14ac:dyDescent="0.3">
      <c r="D5978" t="str">
        <f t="shared" si="124"/>
        <v/>
      </c>
    </row>
    <row r="5979" spans="4:4" x14ac:dyDescent="0.3">
      <c r="D5979" t="str">
        <f t="shared" si="124"/>
        <v/>
      </c>
    </row>
    <row r="5980" spans="4:4" x14ac:dyDescent="0.3">
      <c r="D5980" t="str">
        <f t="shared" si="124"/>
        <v/>
      </c>
    </row>
    <row r="5981" spans="4:4" x14ac:dyDescent="0.3">
      <c r="D5981" t="str">
        <f t="shared" si="124"/>
        <v/>
      </c>
    </row>
    <row r="5982" spans="4:4" x14ac:dyDescent="0.3">
      <c r="D5982" t="str">
        <f t="shared" si="124"/>
        <v/>
      </c>
    </row>
    <row r="5983" spans="4:4" x14ac:dyDescent="0.3">
      <c r="D5983" t="str">
        <f t="shared" si="124"/>
        <v/>
      </c>
    </row>
    <row r="5984" spans="4:4" x14ac:dyDescent="0.3">
      <c r="D5984" t="str">
        <f t="shared" si="124"/>
        <v/>
      </c>
    </row>
    <row r="5985" spans="4:4" x14ac:dyDescent="0.3">
      <c r="D5985" t="str">
        <f t="shared" si="124"/>
        <v/>
      </c>
    </row>
    <row r="5986" spans="4:4" x14ac:dyDescent="0.3">
      <c r="D5986" t="str">
        <f t="shared" si="124"/>
        <v/>
      </c>
    </row>
    <row r="5987" spans="4:4" x14ac:dyDescent="0.3">
      <c r="D5987" t="str">
        <f t="shared" si="124"/>
        <v/>
      </c>
    </row>
    <row r="5988" spans="4:4" x14ac:dyDescent="0.3">
      <c r="D5988" t="str">
        <f t="shared" si="124"/>
        <v/>
      </c>
    </row>
    <row r="5989" spans="4:4" x14ac:dyDescent="0.3">
      <c r="D5989" t="str">
        <f t="shared" si="124"/>
        <v/>
      </c>
    </row>
    <row r="5990" spans="4:4" x14ac:dyDescent="0.3">
      <c r="D5990" t="str">
        <f t="shared" si="124"/>
        <v/>
      </c>
    </row>
    <row r="5991" spans="4:4" x14ac:dyDescent="0.3">
      <c r="D5991" t="str">
        <f t="shared" si="124"/>
        <v/>
      </c>
    </row>
    <row r="5992" spans="4:4" x14ac:dyDescent="0.3">
      <c r="D5992" t="str">
        <f t="shared" si="124"/>
        <v/>
      </c>
    </row>
    <row r="5993" spans="4:4" x14ac:dyDescent="0.3">
      <c r="D5993" t="str">
        <f t="shared" si="124"/>
        <v/>
      </c>
    </row>
    <row r="5994" spans="4:4" x14ac:dyDescent="0.3">
      <c r="D5994" t="str">
        <f t="shared" si="124"/>
        <v/>
      </c>
    </row>
    <row r="5995" spans="4:4" x14ac:dyDescent="0.3">
      <c r="D5995" t="str">
        <f t="shared" si="124"/>
        <v/>
      </c>
    </row>
    <row r="5996" spans="4:4" x14ac:dyDescent="0.3">
      <c r="D5996" t="str">
        <f t="shared" si="124"/>
        <v/>
      </c>
    </row>
    <row r="5997" spans="4:4" x14ac:dyDescent="0.3">
      <c r="D5997" t="str">
        <f t="shared" si="124"/>
        <v/>
      </c>
    </row>
    <row r="5998" spans="4:4" x14ac:dyDescent="0.3">
      <c r="D5998" t="str">
        <f t="shared" si="124"/>
        <v/>
      </c>
    </row>
    <row r="5999" spans="4:4" x14ac:dyDescent="0.3">
      <c r="D5999" t="str">
        <f t="shared" si="124"/>
        <v/>
      </c>
    </row>
    <row r="6000" spans="4:4" x14ac:dyDescent="0.3">
      <c r="D6000" t="str">
        <f t="shared" si="124"/>
        <v/>
      </c>
    </row>
    <row r="6001" spans="4:4" x14ac:dyDescent="0.3">
      <c r="D6001" t="str">
        <f t="shared" si="124"/>
        <v/>
      </c>
    </row>
    <row r="6002" spans="4:4" x14ac:dyDescent="0.3">
      <c r="D6002" t="str">
        <f t="shared" si="124"/>
        <v/>
      </c>
    </row>
    <row r="6003" spans="4:4" x14ac:dyDescent="0.3">
      <c r="D6003" t="str">
        <f t="shared" si="124"/>
        <v/>
      </c>
    </row>
    <row r="6004" spans="4:4" x14ac:dyDescent="0.3">
      <c r="D6004" t="str">
        <f t="shared" si="124"/>
        <v/>
      </c>
    </row>
    <row r="6005" spans="4:4" x14ac:dyDescent="0.3">
      <c r="D6005" t="str">
        <f t="shared" si="124"/>
        <v/>
      </c>
    </row>
    <row r="6006" spans="4:4" x14ac:dyDescent="0.3">
      <c r="D6006" t="str">
        <f t="shared" ref="D6006:D6069" si="125">IF(LEFT(A6006,2)="SP",MID(A6006,4,4),IF(LEFT(A6006,1)="X",MID(A6006,3,4),""))</f>
        <v/>
      </c>
    </row>
    <row r="6007" spans="4:4" x14ac:dyDescent="0.3">
      <c r="D6007" t="str">
        <f t="shared" si="125"/>
        <v/>
      </c>
    </row>
    <row r="6008" spans="4:4" x14ac:dyDescent="0.3">
      <c r="D6008" t="str">
        <f t="shared" si="125"/>
        <v/>
      </c>
    </row>
    <row r="6009" spans="4:4" x14ac:dyDescent="0.3">
      <c r="D6009" t="str">
        <f t="shared" si="125"/>
        <v/>
      </c>
    </row>
    <row r="6010" spans="4:4" x14ac:dyDescent="0.3">
      <c r="D6010" t="str">
        <f t="shared" si="125"/>
        <v/>
      </c>
    </row>
    <row r="6011" spans="4:4" x14ac:dyDescent="0.3">
      <c r="D6011" t="str">
        <f t="shared" si="125"/>
        <v/>
      </c>
    </row>
    <row r="6012" spans="4:4" x14ac:dyDescent="0.3">
      <c r="D6012" t="str">
        <f t="shared" si="125"/>
        <v/>
      </c>
    </row>
    <row r="6013" spans="4:4" x14ac:dyDescent="0.3">
      <c r="D6013" t="str">
        <f t="shared" si="125"/>
        <v/>
      </c>
    </row>
    <row r="6014" spans="4:4" x14ac:dyDescent="0.3">
      <c r="D6014" t="str">
        <f t="shared" si="125"/>
        <v/>
      </c>
    </row>
    <row r="6015" spans="4:4" x14ac:dyDescent="0.3">
      <c r="D6015" t="str">
        <f t="shared" si="125"/>
        <v/>
      </c>
    </row>
    <row r="6016" spans="4:4" x14ac:dyDescent="0.3">
      <c r="D6016" t="str">
        <f t="shared" si="125"/>
        <v/>
      </c>
    </row>
    <row r="6017" spans="4:4" x14ac:dyDescent="0.3">
      <c r="D6017" t="str">
        <f t="shared" si="125"/>
        <v/>
      </c>
    </row>
    <row r="6018" spans="4:4" x14ac:dyDescent="0.3">
      <c r="D6018" t="str">
        <f t="shared" si="125"/>
        <v/>
      </c>
    </row>
    <row r="6019" spans="4:4" x14ac:dyDescent="0.3">
      <c r="D6019" t="str">
        <f t="shared" si="125"/>
        <v/>
      </c>
    </row>
    <row r="6020" spans="4:4" x14ac:dyDescent="0.3">
      <c r="D6020" t="str">
        <f t="shared" si="125"/>
        <v/>
      </c>
    </row>
    <row r="6021" spans="4:4" x14ac:dyDescent="0.3">
      <c r="D6021" t="str">
        <f t="shared" si="125"/>
        <v/>
      </c>
    </row>
    <row r="6022" spans="4:4" x14ac:dyDescent="0.3">
      <c r="D6022" t="str">
        <f t="shared" si="125"/>
        <v/>
      </c>
    </row>
    <row r="6023" spans="4:4" x14ac:dyDescent="0.3">
      <c r="D6023" t="str">
        <f t="shared" si="125"/>
        <v/>
      </c>
    </row>
    <row r="6024" spans="4:4" x14ac:dyDescent="0.3">
      <c r="D6024" t="str">
        <f t="shared" si="125"/>
        <v/>
      </c>
    </row>
    <row r="6025" spans="4:4" x14ac:dyDescent="0.3">
      <c r="D6025" t="str">
        <f t="shared" si="125"/>
        <v/>
      </c>
    </row>
    <row r="6026" spans="4:4" x14ac:dyDescent="0.3">
      <c r="D6026" t="str">
        <f t="shared" si="125"/>
        <v/>
      </c>
    </row>
    <row r="6027" spans="4:4" x14ac:dyDescent="0.3">
      <c r="D6027" t="str">
        <f t="shared" si="125"/>
        <v/>
      </c>
    </row>
    <row r="6028" spans="4:4" x14ac:dyDescent="0.3">
      <c r="D6028" t="str">
        <f t="shared" si="125"/>
        <v/>
      </c>
    </row>
    <row r="6029" spans="4:4" x14ac:dyDescent="0.3">
      <c r="D6029" t="str">
        <f t="shared" si="125"/>
        <v/>
      </c>
    </row>
    <row r="6030" spans="4:4" x14ac:dyDescent="0.3">
      <c r="D6030" t="str">
        <f t="shared" si="125"/>
        <v/>
      </c>
    </row>
    <row r="6031" spans="4:4" x14ac:dyDescent="0.3">
      <c r="D6031" t="str">
        <f t="shared" si="125"/>
        <v/>
      </c>
    </row>
    <row r="6032" spans="4:4" x14ac:dyDescent="0.3">
      <c r="D6032" t="str">
        <f t="shared" si="125"/>
        <v/>
      </c>
    </row>
    <row r="6033" spans="4:4" x14ac:dyDescent="0.3">
      <c r="D6033" t="str">
        <f t="shared" si="125"/>
        <v/>
      </c>
    </row>
    <row r="6034" spans="4:4" x14ac:dyDescent="0.3">
      <c r="D6034" t="str">
        <f t="shared" si="125"/>
        <v/>
      </c>
    </row>
    <row r="6035" spans="4:4" x14ac:dyDescent="0.3">
      <c r="D6035" t="str">
        <f t="shared" si="125"/>
        <v/>
      </c>
    </row>
    <row r="6036" spans="4:4" x14ac:dyDescent="0.3">
      <c r="D6036" t="str">
        <f t="shared" si="125"/>
        <v/>
      </c>
    </row>
    <row r="6037" spans="4:4" x14ac:dyDescent="0.3">
      <c r="D6037" t="str">
        <f t="shared" si="125"/>
        <v/>
      </c>
    </row>
    <row r="6038" spans="4:4" x14ac:dyDescent="0.3">
      <c r="D6038" t="str">
        <f t="shared" si="125"/>
        <v/>
      </c>
    </row>
    <row r="6039" spans="4:4" x14ac:dyDescent="0.3">
      <c r="D6039" t="str">
        <f t="shared" si="125"/>
        <v/>
      </c>
    </row>
    <row r="6040" spans="4:4" x14ac:dyDescent="0.3">
      <c r="D6040" t="str">
        <f t="shared" si="125"/>
        <v/>
      </c>
    </row>
    <row r="6041" spans="4:4" x14ac:dyDescent="0.3">
      <c r="D6041" t="str">
        <f t="shared" si="125"/>
        <v/>
      </c>
    </row>
    <row r="6042" spans="4:4" x14ac:dyDescent="0.3">
      <c r="D6042" t="str">
        <f t="shared" si="125"/>
        <v/>
      </c>
    </row>
    <row r="6043" spans="4:4" x14ac:dyDescent="0.3">
      <c r="D6043" t="str">
        <f t="shared" si="125"/>
        <v/>
      </c>
    </row>
    <row r="6044" spans="4:4" x14ac:dyDescent="0.3">
      <c r="D6044" t="str">
        <f t="shared" si="125"/>
        <v/>
      </c>
    </row>
    <row r="6045" spans="4:4" x14ac:dyDescent="0.3">
      <c r="D6045" t="str">
        <f t="shared" si="125"/>
        <v/>
      </c>
    </row>
    <row r="6046" spans="4:4" x14ac:dyDescent="0.3">
      <c r="D6046" t="str">
        <f t="shared" si="125"/>
        <v/>
      </c>
    </row>
    <row r="6047" spans="4:4" x14ac:dyDescent="0.3">
      <c r="D6047" t="str">
        <f t="shared" si="125"/>
        <v/>
      </c>
    </row>
    <row r="6048" spans="4:4" x14ac:dyDescent="0.3">
      <c r="D6048" t="str">
        <f t="shared" si="125"/>
        <v/>
      </c>
    </row>
    <row r="6049" spans="4:4" x14ac:dyDescent="0.3">
      <c r="D6049" t="str">
        <f t="shared" si="125"/>
        <v/>
      </c>
    </row>
    <row r="6050" spans="4:4" x14ac:dyDescent="0.3">
      <c r="D6050" t="str">
        <f t="shared" si="125"/>
        <v/>
      </c>
    </row>
    <row r="6051" spans="4:4" x14ac:dyDescent="0.3">
      <c r="D6051" t="str">
        <f t="shared" si="125"/>
        <v/>
      </c>
    </row>
    <row r="6052" spans="4:4" x14ac:dyDescent="0.3">
      <c r="D6052" t="str">
        <f t="shared" si="125"/>
        <v/>
      </c>
    </row>
    <row r="6053" spans="4:4" x14ac:dyDescent="0.3">
      <c r="D6053" t="str">
        <f t="shared" si="125"/>
        <v/>
      </c>
    </row>
    <row r="6054" spans="4:4" x14ac:dyDescent="0.3">
      <c r="D6054" t="str">
        <f t="shared" si="125"/>
        <v/>
      </c>
    </row>
    <row r="6055" spans="4:4" x14ac:dyDescent="0.3">
      <c r="D6055" t="str">
        <f t="shared" si="125"/>
        <v/>
      </c>
    </row>
    <row r="6056" spans="4:4" x14ac:dyDescent="0.3">
      <c r="D6056" t="str">
        <f t="shared" si="125"/>
        <v/>
      </c>
    </row>
    <row r="6057" spans="4:4" x14ac:dyDescent="0.3">
      <c r="D6057" t="str">
        <f t="shared" si="125"/>
        <v/>
      </c>
    </row>
    <row r="6058" spans="4:4" x14ac:dyDescent="0.3">
      <c r="D6058" t="str">
        <f t="shared" si="125"/>
        <v/>
      </c>
    </row>
    <row r="6059" spans="4:4" x14ac:dyDescent="0.3">
      <c r="D6059" t="str">
        <f t="shared" si="125"/>
        <v/>
      </c>
    </row>
    <row r="6060" spans="4:4" x14ac:dyDescent="0.3">
      <c r="D6060" t="str">
        <f t="shared" si="125"/>
        <v/>
      </c>
    </row>
    <row r="6061" spans="4:4" x14ac:dyDescent="0.3">
      <c r="D6061" t="str">
        <f t="shared" si="125"/>
        <v/>
      </c>
    </row>
    <row r="6062" spans="4:4" x14ac:dyDescent="0.3">
      <c r="D6062" t="str">
        <f t="shared" si="125"/>
        <v/>
      </c>
    </row>
    <row r="6063" spans="4:4" x14ac:dyDescent="0.3">
      <c r="D6063" t="str">
        <f t="shared" si="125"/>
        <v/>
      </c>
    </row>
    <row r="6064" spans="4:4" x14ac:dyDescent="0.3">
      <c r="D6064" t="str">
        <f t="shared" si="125"/>
        <v/>
      </c>
    </row>
    <row r="6065" spans="4:4" x14ac:dyDescent="0.3">
      <c r="D6065" t="str">
        <f t="shared" si="125"/>
        <v/>
      </c>
    </row>
    <row r="6066" spans="4:4" x14ac:dyDescent="0.3">
      <c r="D6066" t="str">
        <f t="shared" si="125"/>
        <v/>
      </c>
    </row>
    <row r="6067" spans="4:4" x14ac:dyDescent="0.3">
      <c r="D6067" t="str">
        <f t="shared" si="125"/>
        <v/>
      </c>
    </row>
    <row r="6068" spans="4:4" x14ac:dyDescent="0.3">
      <c r="D6068" t="str">
        <f t="shared" si="125"/>
        <v/>
      </c>
    </row>
    <row r="6069" spans="4:4" x14ac:dyDescent="0.3">
      <c r="D6069" t="str">
        <f t="shared" si="125"/>
        <v/>
      </c>
    </row>
    <row r="6070" spans="4:4" x14ac:dyDescent="0.3">
      <c r="D6070" t="str">
        <f t="shared" ref="D6070:D6133" si="126">IF(LEFT(A6070,2)="SP",MID(A6070,4,4),IF(LEFT(A6070,1)="X",MID(A6070,3,4),""))</f>
        <v/>
      </c>
    </row>
    <row r="6071" spans="4:4" x14ac:dyDescent="0.3">
      <c r="D6071" t="str">
        <f t="shared" si="126"/>
        <v/>
      </c>
    </row>
    <row r="6072" spans="4:4" x14ac:dyDescent="0.3">
      <c r="D6072" t="str">
        <f t="shared" si="126"/>
        <v/>
      </c>
    </row>
    <row r="6073" spans="4:4" x14ac:dyDescent="0.3">
      <c r="D6073" t="str">
        <f t="shared" si="126"/>
        <v/>
      </c>
    </row>
    <row r="6074" spans="4:4" x14ac:dyDescent="0.3">
      <c r="D6074" t="str">
        <f t="shared" si="126"/>
        <v/>
      </c>
    </row>
    <row r="6075" spans="4:4" x14ac:dyDescent="0.3">
      <c r="D6075" t="str">
        <f t="shared" si="126"/>
        <v/>
      </c>
    </row>
    <row r="6076" spans="4:4" x14ac:dyDescent="0.3">
      <c r="D6076" t="str">
        <f t="shared" si="126"/>
        <v/>
      </c>
    </row>
    <row r="6077" spans="4:4" x14ac:dyDescent="0.3">
      <c r="D6077" t="str">
        <f t="shared" si="126"/>
        <v/>
      </c>
    </row>
    <row r="6078" spans="4:4" x14ac:dyDescent="0.3">
      <c r="D6078" t="str">
        <f t="shared" si="126"/>
        <v/>
      </c>
    </row>
    <row r="6079" spans="4:4" x14ac:dyDescent="0.3">
      <c r="D6079" t="str">
        <f t="shared" si="126"/>
        <v/>
      </c>
    </row>
    <row r="6080" spans="4:4" x14ac:dyDescent="0.3">
      <c r="D6080" t="str">
        <f t="shared" si="126"/>
        <v/>
      </c>
    </row>
    <row r="6081" spans="4:4" x14ac:dyDescent="0.3">
      <c r="D6081" t="str">
        <f t="shared" si="126"/>
        <v/>
      </c>
    </row>
    <row r="6082" spans="4:4" x14ac:dyDescent="0.3">
      <c r="D6082" t="str">
        <f t="shared" si="126"/>
        <v/>
      </c>
    </row>
    <row r="6083" spans="4:4" x14ac:dyDescent="0.3">
      <c r="D6083" t="str">
        <f t="shared" si="126"/>
        <v/>
      </c>
    </row>
    <row r="6084" spans="4:4" x14ac:dyDescent="0.3">
      <c r="D6084" t="str">
        <f t="shared" si="126"/>
        <v/>
      </c>
    </row>
    <row r="6085" spans="4:4" x14ac:dyDescent="0.3">
      <c r="D6085" t="str">
        <f t="shared" si="126"/>
        <v/>
      </c>
    </row>
    <row r="6086" spans="4:4" x14ac:dyDescent="0.3">
      <c r="D6086" t="str">
        <f t="shared" si="126"/>
        <v/>
      </c>
    </row>
    <row r="6087" spans="4:4" x14ac:dyDescent="0.3">
      <c r="D6087" t="str">
        <f t="shared" si="126"/>
        <v/>
      </c>
    </row>
    <row r="6088" spans="4:4" x14ac:dyDescent="0.3">
      <c r="D6088" t="str">
        <f t="shared" si="126"/>
        <v/>
      </c>
    </row>
    <row r="6089" spans="4:4" x14ac:dyDescent="0.3">
      <c r="D6089" t="str">
        <f t="shared" si="126"/>
        <v/>
      </c>
    </row>
    <row r="6090" spans="4:4" x14ac:dyDescent="0.3">
      <c r="D6090" t="str">
        <f t="shared" si="126"/>
        <v/>
      </c>
    </row>
    <row r="6091" spans="4:4" x14ac:dyDescent="0.3">
      <c r="D6091" t="str">
        <f t="shared" si="126"/>
        <v/>
      </c>
    </row>
    <row r="6092" spans="4:4" x14ac:dyDescent="0.3">
      <c r="D6092" t="str">
        <f t="shared" si="126"/>
        <v/>
      </c>
    </row>
    <row r="6093" spans="4:4" x14ac:dyDescent="0.3">
      <c r="D6093" t="str">
        <f t="shared" si="126"/>
        <v/>
      </c>
    </row>
    <row r="6094" spans="4:4" x14ac:dyDescent="0.3">
      <c r="D6094" t="str">
        <f t="shared" si="126"/>
        <v/>
      </c>
    </row>
    <row r="6095" spans="4:4" x14ac:dyDescent="0.3">
      <c r="D6095" t="str">
        <f t="shared" si="126"/>
        <v/>
      </c>
    </row>
    <row r="6096" spans="4:4" x14ac:dyDescent="0.3">
      <c r="D6096" t="str">
        <f t="shared" si="126"/>
        <v/>
      </c>
    </row>
    <row r="6097" spans="4:4" x14ac:dyDescent="0.3">
      <c r="D6097" t="str">
        <f t="shared" si="126"/>
        <v/>
      </c>
    </row>
    <row r="6098" spans="4:4" x14ac:dyDescent="0.3">
      <c r="D6098" t="str">
        <f t="shared" si="126"/>
        <v/>
      </c>
    </row>
    <row r="6099" spans="4:4" x14ac:dyDescent="0.3">
      <c r="D6099" t="str">
        <f t="shared" si="126"/>
        <v/>
      </c>
    </row>
    <row r="6100" spans="4:4" x14ac:dyDescent="0.3">
      <c r="D6100" t="str">
        <f t="shared" si="126"/>
        <v/>
      </c>
    </row>
    <row r="6101" spans="4:4" x14ac:dyDescent="0.3">
      <c r="D6101" t="str">
        <f t="shared" si="126"/>
        <v/>
      </c>
    </row>
    <row r="6102" spans="4:4" x14ac:dyDescent="0.3">
      <c r="D6102" t="str">
        <f t="shared" si="126"/>
        <v/>
      </c>
    </row>
    <row r="6103" spans="4:4" x14ac:dyDescent="0.3">
      <c r="D6103" t="str">
        <f t="shared" si="126"/>
        <v/>
      </c>
    </row>
    <row r="6104" spans="4:4" x14ac:dyDescent="0.3">
      <c r="D6104" t="str">
        <f t="shared" si="126"/>
        <v/>
      </c>
    </row>
    <row r="6105" spans="4:4" x14ac:dyDescent="0.3">
      <c r="D6105" t="str">
        <f t="shared" si="126"/>
        <v/>
      </c>
    </row>
    <row r="6106" spans="4:4" x14ac:dyDescent="0.3">
      <c r="D6106" t="str">
        <f t="shared" si="126"/>
        <v/>
      </c>
    </row>
    <row r="6107" spans="4:4" x14ac:dyDescent="0.3">
      <c r="D6107" t="str">
        <f t="shared" si="126"/>
        <v/>
      </c>
    </row>
    <row r="6108" spans="4:4" x14ac:dyDescent="0.3">
      <c r="D6108" t="str">
        <f t="shared" si="126"/>
        <v/>
      </c>
    </row>
    <row r="6109" spans="4:4" x14ac:dyDescent="0.3">
      <c r="D6109" t="str">
        <f t="shared" si="126"/>
        <v/>
      </c>
    </row>
    <row r="6110" spans="4:4" x14ac:dyDescent="0.3">
      <c r="D6110" t="str">
        <f t="shared" si="126"/>
        <v/>
      </c>
    </row>
    <row r="6111" spans="4:4" x14ac:dyDescent="0.3">
      <c r="D6111" t="str">
        <f t="shared" si="126"/>
        <v/>
      </c>
    </row>
    <row r="6112" spans="4:4" x14ac:dyDescent="0.3">
      <c r="D6112" t="str">
        <f t="shared" si="126"/>
        <v/>
      </c>
    </row>
    <row r="6113" spans="4:4" x14ac:dyDescent="0.3">
      <c r="D6113" t="str">
        <f t="shared" si="126"/>
        <v/>
      </c>
    </row>
    <row r="6114" spans="4:4" x14ac:dyDescent="0.3">
      <c r="D6114" t="str">
        <f t="shared" si="126"/>
        <v/>
      </c>
    </row>
    <row r="6115" spans="4:4" x14ac:dyDescent="0.3">
      <c r="D6115" t="str">
        <f t="shared" si="126"/>
        <v/>
      </c>
    </row>
    <row r="6116" spans="4:4" x14ac:dyDescent="0.3">
      <c r="D6116" t="str">
        <f t="shared" si="126"/>
        <v/>
      </c>
    </row>
    <row r="6117" spans="4:4" x14ac:dyDescent="0.3">
      <c r="D6117" t="str">
        <f t="shared" si="126"/>
        <v/>
      </c>
    </row>
    <row r="6118" spans="4:4" x14ac:dyDescent="0.3">
      <c r="D6118" t="str">
        <f t="shared" si="126"/>
        <v/>
      </c>
    </row>
    <row r="6119" spans="4:4" x14ac:dyDescent="0.3">
      <c r="D6119" t="str">
        <f t="shared" si="126"/>
        <v/>
      </c>
    </row>
    <row r="6120" spans="4:4" x14ac:dyDescent="0.3">
      <c r="D6120" t="str">
        <f t="shared" si="126"/>
        <v/>
      </c>
    </row>
    <row r="6121" spans="4:4" x14ac:dyDescent="0.3">
      <c r="D6121" t="str">
        <f t="shared" si="126"/>
        <v/>
      </c>
    </row>
    <row r="6122" spans="4:4" x14ac:dyDescent="0.3">
      <c r="D6122" t="str">
        <f t="shared" si="126"/>
        <v/>
      </c>
    </row>
    <row r="6123" spans="4:4" x14ac:dyDescent="0.3">
      <c r="D6123" t="str">
        <f t="shared" si="126"/>
        <v/>
      </c>
    </row>
    <row r="6124" spans="4:4" x14ac:dyDescent="0.3">
      <c r="D6124" t="str">
        <f t="shared" si="126"/>
        <v/>
      </c>
    </row>
    <row r="6125" spans="4:4" x14ac:dyDescent="0.3">
      <c r="D6125" t="str">
        <f t="shared" si="126"/>
        <v/>
      </c>
    </row>
    <row r="6126" spans="4:4" x14ac:dyDescent="0.3">
      <c r="D6126" t="str">
        <f t="shared" si="126"/>
        <v/>
      </c>
    </row>
    <row r="6127" spans="4:4" x14ac:dyDescent="0.3">
      <c r="D6127" t="str">
        <f t="shared" si="126"/>
        <v/>
      </c>
    </row>
    <row r="6128" spans="4:4" x14ac:dyDescent="0.3">
      <c r="D6128" t="str">
        <f t="shared" si="126"/>
        <v/>
      </c>
    </row>
    <row r="6129" spans="4:4" x14ac:dyDescent="0.3">
      <c r="D6129" t="str">
        <f t="shared" si="126"/>
        <v/>
      </c>
    </row>
    <row r="6130" spans="4:4" x14ac:dyDescent="0.3">
      <c r="D6130" t="str">
        <f t="shared" si="126"/>
        <v/>
      </c>
    </row>
    <row r="6131" spans="4:4" x14ac:dyDescent="0.3">
      <c r="D6131" t="str">
        <f t="shared" si="126"/>
        <v/>
      </c>
    </row>
    <row r="6132" spans="4:4" x14ac:dyDescent="0.3">
      <c r="D6132" t="str">
        <f t="shared" si="126"/>
        <v/>
      </c>
    </row>
    <row r="6133" spans="4:4" x14ac:dyDescent="0.3">
      <c r="D6133" t="str">
        <f t="shared" si="126"/>
        <v/>
      </c>
    </row>
    <row r="6134" spans="4:4" x14ac:dyDescent="0.3">
      <c r="D6134" t="str">
        <f t="shared" ref="D6134:D6197" si="127">IF(LEFT(A6134,2)="SP",MID(A6134,4,4),IF(LEFT(A6134,1)="X",MID(A6134,3,4),""))</f>
        <v/>
      </c>
    </row>
    <row r="6135" spans="4:4" x14ac:dyDescent="0.3">
      <c r="D6135" t="str">
        <f t="shared" si="127"/>
        <v/>
      </c>
    </row>
    <row r="6136" spans="4:4" x14ac:dyDescent="0.3">
      <c r="D6136" t="str">
        <f t="shared" si="127"/>
        <v/>
      </c>
    </row>
    <row r="6137" spans="4:4" x14ac:dyDescent="0.3">
      <c r="D6137" t="str">
        <f t="shared" si="127"/>
        <v/>
      </c>
    </row>
    <row r="6138" spans="4:4" x14ac:dyDescent="0.3">
      <c r="D6138" t="str">
        <f t="shared" si="127"/>
        <v/>
      </c>
    </row>
    <row r="6139" spans="4:4" x14ac:dyDescent="0.3">
      <c r="D6139" t="str">
        <f t="shared" si="127"/>
        <v/>
      </c>
    </row>
    <row r="6140" spans="4:4" x14ac:dyDescent="0.3">
      <c r="D6140" t="str">
        <f t="shared" si="127"/>
        <v/>
      </c>
    </row>
    <row r="6141" spans="4:4" x14ac:dyDescent="0.3">
      <c r="D6141" t="str">
        <f t="shared" si="127"/>
        <v/>
      </c>
    </row>
    <row r="6142" spans="4:4" x14ac:dyDescent="0.3">
      <c r="D6142" t="str">
        <f t="shared" si="127"/>
        <v/>
      </c>
    </row>
    <row r="6143" spans="4:4" x14ac:dyDescent="0.3">
      <c r="D6143" t="str">
        <f t="shared" si="127"/>
        <v/>
      </c>
    </row>
    <row r="6144" spans="4:4" x14ac:dyDescent="0.3">
      <c r="D6144" t="str">
        <f t="shared" si="127"/>
        <v/>
      </c>
    </row>
    <row r="6145" spans="4:4" x14ac:dyDescent="0.3">
      <c r="D6145" t="str">
        <f t="shared" si="127"/>
        <v/>
      </c>
    </row>
    <row r="6146" spans="4:4" x14ac:dyDescent="0.3">
      <c r="D6146" t="str">
        <f t="shared" si="127"/>
        <v/>
      </c>
    </row>
    <row r="6147" spans="4:4" x14ac:dyDescent="0.3">
      <c r="D6147" t="str">
        <f t="shared" si="127"/>
        <v/>
      </c>
    </row>
    <row r="6148" spans="4:4" x14ac:dyDescent="0.3">
      <c r="D6148" t="str">
        <f t="shared" si="127"/>
        <v/>
      </c>
    </row>
    <row r="6149" spans="4:4" x14ac:dyDescent="0.3">
      <c r="D6149" t="str">
        <f t="shared" si="127"/>
        <v/>
      </c>
    </row>
    <row r="6150" spans="4:4" x14ac:dyDescent="0.3">
      <c r="D6150" t="str">
        <f t="shared" si="127"/>
        <v/>
      </c>
    </row>
    <row r="6151" spans="4:4" x14ac:dyDescent="0.3">
      <c r="D6151" t="str">
        <f t="shared" si="127"/>
        <v/>
      </c>
    </row>
    <row r="6152" spans="4:4" x14ac:dyDescent="0.3">
      <c r="D6152" t="str">
        <f t="shared" si="127"/>
        <v/>
      </c>
    </row>
    <row r="6153" spans="4:4" x14ac:dyDescent="0.3">
      <c r="D6153" t="str">
        <f t="shared" si="127"/>
        <v/>
      </c>
    </row>
    <row r="6154" spans="4:4" x14ac:dyDescent="0.3">
      <c r="D6154" t="str">
        <f t="shared" si="127"/>
        <v/>
      </c>
    </row>
    <row r="6155" spans="4:4" x14ac:dyDescent="0.3">
      <c r="D6155" t="str">
        <f t="shared" si="127"/>
        <v/>
      </c>
    </row>
    <row r="6156" spans="4:4" x14ac:dyDescent="0.3">
      <c r="D6156" t="str">
        <f t="shared" si="127"/>
        <v/>
      </c>
    </row>
    <row r="6157" spans="4:4" x14ac:dyDescent="0.3">
      <c r="D6157" t="str">
        <f t="shared" si="127"/>
        <v/>
      </c>
    </row>
    <row r="6158" spans="4:4" x14ac:dyDescent="0.3">
      <c r="D6158" t="str">
        <f t="shared" si="127"/>
        <v/>
      </c>
    </row>
    <row r="6159" spans="4:4" x14ac:dyDescent="0.3">
      <c r="D6159" t="str">
        <f t="shared" si="127"/>
        <v/>
      </c>
    </row>
    <row r="6160" spans="4:4" x14ac:dyDescent="0.3">
      <c r="D6160" t="str">
        <f t="shared" si="127"/>
        <v/>
      </c>
    </row>
    <row r="6161" spans="4:4" x14ac:dyDescent="0.3">
      <c r="D6161" t="str">
        <f t="shared" si="127"/>
        <v/>
      </c>
    </row>
    <row r="6162" spans="4:4" x14ac:dyDescent="0.3">
      <c r="D6162" t="str">
        <f t="shared" si="127"/>
        <v/>
      </c>
    </row>
    <row r="6163" spans="4:4" x14ac:dyDescent="0.3">
      <c r="D6163" t="str">
        <f t="shared" si="127"/>
        <v/>
      </c>
    </row>
    <row r="6164" spans="4:4" x14ac:dyDescent="0.3">
      <c r="D6164" t="str">
        <f t="shared" si="127"/>
        <v/>
      </c>
    </row>
    <row r="6165" spans="4:4" x14ac:dyDescent="0.3">
      <c r="D6165" t="str">
        <f t="shared" si="127"/>
        <v/>
      </c>
    </row>
    <row r="6166" spans="4:4" x14ac:dyDescent="0.3">
      <c r="D6166" t="str">
        <f t="shared" si="127"/>
        <v/>
      </c>
    </row>
    <row r="6167" spans="4:4" x14ac:dyDescent="0.3">
      <c r="D6167" t="str">
        <f t="shared" si="127"/>
        <v/>
      </c>
    </row>
    <row r="6168" spans="4:4" x14ac:dyDescent="0.3">
      <c r="D6168" t="str">
        <f t="shared" si="127"/>
        <v/>
      </c>
    </row>
    <row r="6169" spans="4:4" x14ac:dyDescent="0.3">
      <c r="D6169" t="str">
        <f t="shared" si="127"/>
        <v/>
      </c>
    </row>
    <row r="6170" spans="4:4" x14ac:dyDescent="0.3">
      <c r="D6170" t="str">
        <f t="shared" si="127"/>
        <v/>
      </c>
    </row>
    <row r="6171" spans="4:4" x14ac:dyDescent="0.3">
      <c r="D6171" t="str">
        <f t="shared" si="127"/>
        <v/>
      </c>
    </row>
    <row r="6172" spans="4:4" x14ac:dyDescent="0.3">
      <c r="D6172" t="str">
        <f t="shared" si="127"/>
        <v/>
      </c>
    </row>
    <row r="6173" spans="4:4" x14ac:dyDescent="0.3">
      <c r="D6173" t="str">
        <f t="shared" si="127"/>
        <v/>
      </c>
    </row>
    <row r="6174" spans="4:4" x14ac:dyDescent="0.3">
      <c r="D6174" t="str">
        <f t="shared" si="127"/>
        <v/>
      </c>
    </row>
    <row r="6175" spans="4:4" x14ac:dyDescent="0.3">
      <c r="D6175" t="str">
        <f t="shared" si="127"/>
        <v/>
      </c>
    </row>
    <row r="6176" spans="4:4" x14ac:dyDescent="0.3">
      <c r="D6176" t="str">
        <f t="shared" si="127"/>
        <v/>
      </c>
    </row>
    <row r="6177" spans="4:4" x14ac:dyDescent="0.3">
      <c r="D6177" t="str">
        <f t="shared" si="127"/>
        <v/>
      </c>
    </row>
    <row r="6178" spans="4:4" x14ac:dyDescent="0.3">
      <c r="D6178" t="str">
        <f t="shared" si="127"/>
        <v/>
      </c>
    </row>
    <row r="6179" spans="4:4" x14ac:dyDescent="0.3">
      <c r="D6179" t="str">
        <f t="shared" si="127"/>
        <v/>
      </c>
    </row>
    <row r="6180" spans="4:4" x14ac:dyDescent="0.3">
      <c r="D6180" t="str">
        <f t="shared" si="127"/>
        <v/>
      </c>
    </row>
    <row r="6181" spans="4:4" x14ac:dyDescent="0.3">
      <c r="D6181" t="str">
        <f t="shared" si="127"/>
        <v/>
      </c>
    </row>
    <row r="6182" spans="4:4" x14ac:dyDescent="0.3">
      <c r="D6182" t="str">
        <f t="shared" si="127"/>
        <v/>
      </c>
    </row>
    <row r="6183" spans="4:4" x14ac:dyDescent="0.3">
      <c r="D6183" t="str">
        <f t="shared" si="127"/>
        <v/>
      </c>
    </row>
    <row r="6184" spans="4:4" x14ac:dyDescent="0.3">
      <c r="D6184" t="str">
        <f t="shared" si="127"/>
        <v/>
      </c>
    </row>
    <row r="6185" spans="4:4" x14ac:dyDescent="0.3">
      <c r="D6185" t="str">
        <f t="shared" si="127"/>
        <v/>
      </c>
    </row>
    <row r="6186" spans="4:4" x14ac:dyDescent="0.3">
      <c r="D6186" t="str">
        <f t="shared" si="127"/>
        <v/>
      </c>
    </row>
    <row r="6187" spans="4:4" x14ac:dyDescent="0.3">
      <c r="D6187" t="str">
        <f t="shared" si="127"/>
        <v/>
      </c>
    </row>
    <row r="6188" spans="4:4" x14ac:dyDescent="0.3">
      <c r="D6188" t="str">
        <f t="shared" si="127"/>
        <v/>
      </c>
    </row>
    <row r="6189" spans="4:4" x14ac:dyDescent="0.3">
      <c r="D6189" t="str">
        <f t="shared" si="127"/>
        <v/>
      </c>
    </row>
    <row r="6190" spans="4:4" x14ac:dyDescent="0.3">
      <c r="D6190" t="str">
        <f t="shared" si="127"/>
        <v/>
      </c>
    </row>
    <row r="6191" spans="4:4" x14ac:dyDescent="0.3">
      <c r="D6191" t="str">
        <f t="shared" si="127"/>
        <v/>
      </c>
    </row>
    <row r="6192" spans="4:4" x14ac:dyDescent="0.3">
      <c r="D6192" t="str">
        <f t="shared" si="127"/>
        <v/>
      </c>
    </row>
    <row r="6193" spans="4:4" x14ac:dyDescent="0.3">
      <c r="D6193" t="str">
        <f t="shared" si="127"/>
        <v/>
      </c>
    </row>
    <row r="6194" spans="4:4" x14ac:dyDescent="0.3">
      <c r="D6194" t="str">
        <f t="shared" si="127"/>
        <v/>
      </c>
    </row>
    <row r="6195" spans="4:4" x14ac:dyDescent="0.3">
      <c r="D6195" t="str">
        <f t="shared" si="127"/>
        <v/>
      </c>
    </row>
    <row r="6196" spans="4:4" x14ac:dyDescent="0.3">
      <c r="D6196" t="str">
        <f t="shared" si="127"/>
        <v/>
      </c>
    </row>
    <row r="6197" spans="4:4" x14ac:dyDescent="0.3">
      <c r="D6197" t="str">
        <f t="shared" si="127"/>
        <v/>
      </c>
    </row>
    <row r="6198" spans="4:4" x14ac:dyDescent="0.3">
      <c r="D6198" t="str">
        <f t="shared" ref="D6198:D6261" si="128">IF(LEFT(A6198,2)="SP",MID(A6198,4,4),IF(LEFT(A6198,1)="X",MID(A6198,3,4),""))</f>
        <v/>
      </c>
    </row>
    <row r="6199" spans="4:4" x14ac:dyDescent="0.3">
      <c r="D6199" t="str">
        <f t="shared" si="128"/>
        <v/>
      </c>
    </row>
    <row r="6200" spans="4:4" x14ac:dyDescent="0.3">
      <c r="D6200" t="str">
        <f t="shared" si="128"/>
        <v/>
      </c>
    </row>
    <row r="6201" spans="4:4" x14ac:dyDescent="0.3">
      <c r="D6201" t="str">
        <f t="shared" si="128"/>
        <v/>
      </c>
    </row>
    <row r="6202" spans="4:4" x14ac:dyDescent="0.3">
      <c r="D6202" t="str">
        <f t="shared" si="128"/>
        <v/>
      </c>
    </row>
    <row r="6203" spans="4:4" x14ac:dyDescent="0.3">
      <c r="D6203" t="str">
        <f t="shared" si="128"/>
        <v/>
      </c>
    </row>
    <row r="6204" spans="4:4" x14ac:dyDescent="0.3">
      <c r="D6204" t="str">
        <f t="shared" si="128"/>
        <v/>
      </c>
    </row>
    <row r="6205" spans="4:4" x14ac:dyDescent="0.3">
      <c r="D6205" t="str">
        <f t="shared" si="128"/>
        <v/>
      </c>
    </row>
    <row r="6206" spans="4:4" x14ac:dyDescent="0.3">
      <c r="D6206" t="str">
        <f t="shared" si="128"/>
        <v/>
      </c>
    </row>
    <row r="6207" spans="4:4" x14ac:dyDescent="0.3">
      <c r="D6207" t="str">
        <f t="shared" si="128"/>
        <v/>
      </c>
    </row>
    <row r="6208" spans="4:4" x14ac:dyDescent="0.3">
      <c r="D6208" t="str">
        <f t="shared" si="128"/>
        <v/>
      </c>
    </row>
    <row r="6209" spans="4:4" x14ac:dyDescent="0.3">
      <c r="D6209" t="str">
        <f t="shared" si="128"/>
        <v/>
      </c>
    </row>
    <row r="6210" spans="4:4" x14ac:dyDescent="0.3">
      <c r="D6210" t="str">
        <f t="shared" si="128"/>
        <v/>
      </c>
    </row>
    <row r="6211" spans="4:4" x14ac:dyDescent="0.3">
      <c r="D6211" t="str">
        <f t="shared" si="128"/>
        <v/>
      </c>
    </row>
    <row r="6212" spans="4:4" x14ac:dyDescent="0.3">
      <c r="D6212" t="str">
        <f t="shared" si="128"/>
        <v/>
      </c>
    </row>
    <row r="6213" spans="4:4" x14ac:dyDescent="0.3">
      <c r="D6213" t="str">
        <f t="shared" si="128"/>
        <v/>
      </c>
    </row>
    <row r="6214" spans="4:4" x14ac:dyDescent="0.3">
      <c r="D6214" t="str">
        <f t="shared" si="128"/>
        <v/>
      </c>
    </row>
    <row r="6215" spans="4:4" x14ac:dyDescent="0.3">
      <c r="D6215" t="str">
        <f t="shared" si="128"/>
        <v/>
      </c>
    </row>
    <row r="6216" spans="4:4" x14ac:dyDescent="0.3">
      <c r="D6216" t="str">
        <f t="shared" si="128"/>
        <v/>
      </c>
    </row>
    <row r="6217" spans="4:4" x14ac:dyDescent="0.3">
      <c r="D6217" t="str">
        <f t="shared" si="128"/>
        <v/>
      </c>
    </row>
    <row r="6218" spans="4:4" x14ac:dyDescent="0.3">
      <c r="D6218" t="str">
        <f t="shared" si="128"/>
        <v/>
      </c>
    </row>
    <row r="6219" spans="4:4" x14ac:dyDescent="0.3">
      <c r="D6219" t="str">
        <f t="shared" si="128"/>
        <v/>
      </c>
    </row>
    <row r="6220" spans="4:4" x14ac:dyDescent="0.3">
      <c r="D6220" t="str">
        <f t="shared" si="128"/>
        <v/>
      </c>
    </row>
    <row r="6221" spans="4:4" x14ac:dyDescent="0.3">
      <c r="D6221" t="str">
        <f t="shared" si="128"/>
        <v/>
      </c>
    </row>
    <row r="6222" spans="4:4" x14ac:dyDescent="0.3">
      <c r="D6222" t="str">
        <f t="shared" si="128"/>
        <v/>
      </c>
    </row>
    <row r="6223" spans="4:4" x14ac:dyDescent="0.3">
      <c r="D6223" t="str">
        <f t="shared" si="128"/>
        <v/>
      </c>
    </row>
    <row r="6224" spans="4:4" x14ac:dyDescent="0.3">
      <c r="D6224" t="str">
        <f t="shared" si="128"/>
        <v/>
      </c>
    </row>
    <row r="6225" spans="4:4" x14ac:dyDescent="0.3">
      <c r="D6225" t="str">
        <f t="shared" si="128"/>
        <v/>
      </c>
    </row>
    <row r="6226" spans="4:4" x14ac:dyDescent="0.3">
      <c r="D6226" t="str">
        <f t="shared" si="128"/>
        <v/>
      </c>
    </row>
    <row r="6227" spans="4:4" x14ac:dyDescent="0.3">
      <c r="D6227" t="str">
        <f t="shared" si="128"/>
        <v/>
      </c>
    </row>
    <row r="6228" spans="4:4" x14ac:dyDescent="0.3">
      <c r="D6228" t="str">
        <f t="shared" si="128"/>
        <v/>
      </c>
    </row>
    <row r="6229" spans="4:4" x14ac:dyDescent="0.3">
      <c r="D6229" t="str">
        <f t="shared" si="128"/>
        <v/>
      </c>
    </row>
    <row r="6230" spans="4:4" x14ac:dyDescent="0.3">
      <c r="D6230" t="str">
        <f t="shared" si="128"/>
        <v/>
      </c>
    </row>
    <row r="6231" spans="4:4" x14ac:dyDescent="0.3">
      <c r="D6231" t="str">
        <f t="shared" si="128"/>
        <v/>
      </c>
    </row>
    <row r="6232" spans="4:4" x14ac:dyDescent="0.3">
      <c r="D6232" t="str">
        <f t="shared" si="128"/>
        <v/>
      </c>
    </row>
    <row r="6233" spans="4:4" x14ac:dyDescent="0.3">
      <c r="D6233" t="str">
        <f t="shared" si="128"/>
        <v/>
      </c>
    </row>
    <row r="6234" spans="4:4" x14ac:dyDescent="0.3">
      <c r="D6234" t="str">
        <f t="shared" si="128"/>
        <v/>
      </c>
    </row>
    <row r="6235" spans="4:4" x14ac:dyDescent="0.3">
      <c r="D6235" t="str">
        <f t="shared" si="128"/>
        <v/>
      </c>
    </row>
    <row r="6236" spans="4:4" x14ac:dyDescent="0.3">
      <c r="D6236" t="str">
        <f t="shared" si="128"/>
        <v/>
      </c>
    </row>
    <row r="6237" spans="4:4" x14ac:dyDescent="0.3">
      <c r="D6237" t="str">
        <f t="shared" si="128"/>
        <v/>
      </c>
    </row>
    <row r="6238" spans="4:4" x14ac:dyDescent="0.3">
      <c r="D6238" t="str">
        <f t="shared" si="128"/>
        <v/>
      </c>
    </row>
    <row r="6239" spans="4:4" x14ac:dyDescent="0.3">
      <c r="D6239" t="str">
        <f t="shared" si="128"/>
        <v/>
      </c>
    </row>
    <row r="6240" spans="4:4" x14ac:dyDescent="0.3">
      <c r="D6240" t="str">
        <f t="shared" si="128"/>
        <v/>
      </c>
    </row>
    <row r="6241" spans="4:4" x14ac:dyDescent="0.3">
      <c r="D6241" t="str">
        <f t="shared" si="128"/>
        <v/>
      </c>
    </row>
    <row r="6242" spans="4:4" x14ac:dyDescent="0.3">
      <c r="D6242" t="str">
        <f t="shared" si="128"/>
        <v/>
      </c>
    </row>
    <row r="6243" spans="4:4" x14ac:dyDescent="0.3">
      <c r="D6243" t="str">
        <f t="shared" si="128"/>
        <v/>
      </c>
    </row>
    <row r="6244" spans="4:4" x14ac:dyDescent="0.3">
      <c r="D6244" t="str">
        <f t="shared" si="128"/>
        <v/>
      </c>
    </row>
    <row r="6245" spans="4:4" x14ac:dyDescent="0.3">
      <c r="D6245" t="str">
        <f t="shared" si="128"/>
        <v/>
      </c>
    </row>
    <row r="6246" spans="4:4" x14ac:dyDescent="0.3">
      <c r="D6246" t="str">
        <f t="shared" si="128"/>
        <v/>
      </c>
    </row>
    <row r="6247" spans="4:4" x14ac:dyDescent="0.3">
      <c r="D6247" t="str">
        <f t="shared" si="128"/>
        <v/>
      </c>
    </row>
    <row r="6248" spans="4:4" x14ac:dyDescent="0.3">
      <c r="D6248" t="str">
        <f t="shared" si="128"/>
        <v/>
      </c>
    </row>
    <row r="6249" spans="4:4" x14ac:dyDescent="0.3">
      <c r="D6249" t="str">
        <f t="shared" si="128"/>
        <v/>
      </c>
    </row>
    <row r="6250" spans="4:4" x14ac:dyDescent="0.3">
      <c r="D6250" t="str">
        <f t="shared" si="128"/>
        <v/>
      </c>
    </row>
    <row r="6251" spans="4:4" x14ac:dyDescent="0.3">
      <c r="D6251" t="str">
        <f t="shared" si="128"/>
        <v/>
      </c>
    </row>
    <row r="6252" spans="4:4" x14ac:dyDescent="0.3">
      <c r="D6252" t="str">
        <f t="shared" si="128"/>
        <v/>
      </c>
    </row>
    <row r="6253" spans="4:4" x14ac:dyDescent="0.3">
      <c r="D6253" t="str">
        <f t="shared" si="128"/>
        <v/>
      </c>
    </row>
    <row r="6254" spans="4:4" x14ac:dyDescent="0.3">
      <c r="D6254" t="str">
        <f t="shared" si="128"/>
        <v/>
      </c>
    </row>
    <row r="6255" spans="4:4" x14ac:dyDescent="0.3">
      <c r="D6255" t="str">
        <f t="shared" si="128"/>
        <v/>
      </c>
    </row>
    <row r="6256" spans="4:4" x14ac:dyDescent="0.3">
      <c r="D6256" t="str">
        <f t="shared" si="128"/>
        <v/>
      </c>
    </row>
    <row r="6257" spans="4:4" x14ac:dyDescent="0.3">
      <c r="D6257" t="str">
        <f t="shared" si="128"/>
        <v/>
      </c>
    </row>
    <row r="6258" spans="4:4" x14ac:dyDescent="0.3">
      <c r="D6258" t="str">
        <f t="shared" si="128"/>
        <v/>
      </c>
    </row>
    <row r="6259" spans="4:4" x14ac:dyDescent="0.3">
      <c r="D6259" t="str">
        <f t="shared" si="128"/>
        <v/>
      </c>
    </row>
    <row r="6260" spans="4:4" x14ac:dyDescent="0.3">
      <c r="D6260" t="str">
        <f t="shared" si="128"/>
        <v/>
      </c>
    </row>
    <row r="6261" spans="4:4" x14ac:dyDescent="0.3">
      <c r="D6261" t="str">
        <f t="shared" si="128"/>
        <v/>
      </c>
    </row>
    <row r="6262" spans="4:4" x14ac:dyDescent="0.3">
      <c r="D6262" t="str">
        <f t="shared" ref="D6262:D6325" si="129">IF(LEFT(A6262,2)="SP",MID(A6262,4,4),IF(LEFT(A6262,1)="X",MID(A6262,3,4),""))</f>
        <v/>
      </c>
    </row>
    <row r="6263" spans="4:4" x14ac:dyDescent="0.3">
      <c r="D6263" t="str">
        <f t="shared" si="129"/>
        <v/>
      </c>
    </row>
    <row r="6264" spans="4:4" x14ac:dyDescent="0.3">
      <c r="D6264" t="str">
        <f t="shared" si="129"/>
        <v/>
      </c>
    </row>
    <row r="6265" spans="4:4" x14ac:dyDescent="0.3">
      <c r="D6265" t="str">
        <f t="shared" si="129"/>
        <v/>
      </c>
    </row>
    <row r="6266" spans="4:4" x14ac:dyDescent="0.3">
      <c r="D6266" t="str">
        <f t="shared" si="129"/>
        <v/>
      </c>
    </row>
    <row r="6267" spans="4:4" x14ac:dyDescent="0.3">
      <c r="D6267" t="str">
        <f t="shared" si="129"/>
        <v/>
      </c>
    </row>
    <row r="6268" spans="4:4" x14ac:dyDescent="0.3">
      <c r="D6268" t="str">
        <f t="shared" si="129"/>
        <v/>
      </c>
    </row>
    <row r="6269" spans="4:4" x14ac:dyDescent="0.3">
      <c r="D6269" t="str">
        <f t="shared" si="129"/>
        <v/>
      </c>
    </row>
    <row r="6270" spans="4:4" x14ac:dyDescent="0.3">
      <c r="D6270" t="str">
        <f t="shared" si="129"/>
        <v/>
      </c>
    </row>
    <row r="6271" spans="4:4" x14ac:dyDescent="0.3">
      <c r="D6271" t="str">
        <f t="shared" si="129"/>
        <v/>
      </c>
    </row>
    <row r="6272" spans="4:4" x14ac:dyDescent="0.3">
      <c r="D6272" t="str">
        <f t="shared" si="129"/>
        <v/>
      </c>
    </row>
    <row r="6273" spans="4:4" x14ac:dyDescent="0.3">
      <c r="D6273" t="str">
        <f t="shared" si="129"/>
        <v/>
      </c>
    </row>
    <row r="6274" spans="4:4" x14ac:dyDescent="0.3">
      <c r="D6274" t="str">
        <f t="shared" si="129"/>
        <v/>
      </c>
    </row>
    <row r="6275" spans="4:4" x14ac:dyDescent="0.3">
      <c r="D6275" t="str">
        <f t="shared" si="129"/>
        <v/>
      </c>
    </row>
    <row r="6276" spans="4:4" x14ac:dyDescent="0.3">
      <c r="D6276" t="str">
        <f t="shared" si="129"/>
        <v/>
      </c>
    </row>
    <row r="6277" spans="4:4" x14ac:dyDescent="0.3">
      <c r="D6277" t="str">
        <f t="shared" si="129"/>
        <v/>
      </c>
    </row>
    <row r="6278" spans="4:4" x14ac:dyDescent="0.3">
      <c r="D6278" t="str">
        <f t="shared" si="129"/>
        <v/>
      </c>
    </row>
    <row r="6279" spans="4:4" x14ac:dyDescent="0.3">
      <c r="D6279" t="str">
        <f t="shared" si="129"/>
        <v/>
      </c>
    </row>
    <row r="6280" spans="4:4" x14ac:dyDescent="0.3">
      <c r="D6280" t="str">
        <f t="shared" si="129"/>
        <v/>
      </c>
    </row>
    <row r="6281" spans="4:4" x14ac:dyDescent="0.3">
      <c r="D6281" t="str">
        <f t="shared" si="129"/>
        <v/>
      </c>
    </row>
    <row r="6282" spans="4:4" x14ac:dyDescent="0.3">
      <c r="D6282" t="str">
        <f t="shared" si="129"/>
        <v/>
      </c>
    </row>
    <row r="6283" spans="4:4" x14ac:dyDescent="0.3">
      <c r="D6283" t="str">
        <f t="shared" si="129"/>
        <v/>
      </c>
    </row>
    <row r="6284" spans="4:4" x14ac:dyDescent="0.3">
      <c r="D6284" t="str">
        <f t="shared" si="129"/>
        <v/>
      </c>
    </row>
    <row r="6285" spans="4:4" x14ac:dyDescent="0.3">
      <c r="D6285" t="str">
        <f t="shared" si="129"/>
        <v/>
      </c>
    </row>
    <row r="6286" spans="4:4" x14ac:dyDescent="0.3">
      <c r="D6286" t="str">
        <f t="shared" si="129"/>
        <v/>
      </c>
    </row>
    <row r="6287" spans="4:4" x14ac:dyDescent="0.3">
      <c r="D6287" t="str">
        <f t="shared" si="129"/>
        <v/>
      </c>
    </row>
    <row r="6288" spans="4:4" x14ac:dyDescent="0.3">
      <c r="D6288" t="str">
        <f t="shared" si="129"/>
        <v/>
      </c>
    </row>
    <row r="6289" spans="4:4" x14ac:dyDescent="0.3">
      <c r="D6289" t="str">
        <f t="shared" si="129"/>
        <v/>
      </c>
    </row>
    <row r="6290" spans="4:4" x14ac:dyDescent="0.3">
      <c r="D6290" t="str">
        <f t="shared" si="129"/>
        <v/>
      </c>
    </row>
    <row r="6291" spans="4:4" x14ac:dyDescent="0.3">
      <c r="D6291" t="str">
        <f t="shared" si="129"/>
        <v/>
      </c>
    </row>
    <row r="6292" spans="4:4" x14ac:dyDescent="0.3">
      <c r="D6292" t="str">
        <f t="shared" si="129"/>
        <v/>
      </c>
    </row>
    <row r="6293" spans="4:4" x14ac:dyDescent="0.3">
      <c r="D6293" t="str">
        <f t="shared" si="129"/>
        <v/>
      </c>
    </row>
    <row r="6294" spans="4:4" x14ac:dyDescent="0.3">
      <c r="D6294" t="str">
        <f t="shared" si="129"/>
        <v/>
      </c>
    </row>
    <row r="6295" spans="4:4" x14ac:dyDescent="0.3">
      <c r="D6295" t="str">
        <f t="shared" si="129"/>
        <v/>
      </c>
    </row>
    <row r="6296" spans="4:4" x14ac:dyDescent="0.3">
      <c r="D6296" t="str">
        <f t="shared" si="129"/>
        <v/>
      </c>
    </row>
    <row r="6297" spans="4:4" x14ac:dyDescent="0.3">
      <c r="D6297" t="str">
        <f t="shared" si="129"/>
        <v/>
      </c>
    </row>
    <row r="6298" spans="4:4" x14ac:dyDescent="0.3">
      <c r="D6298" t="str">
        <f t="shared" si="129"/>
        <v/>
      </c>
    </row>
    <row r="6299" spans="4:4" x14ac:dyDescent="0.3">
      <c r="D6299" t="str">
        <f t="shared" si="129"/>
        <v/>
      </c>
    </row>
    <row r="6300" spans="4:4" x14ac:dyDescent="0.3">
      <c r="D6300" t="str">
        <f t="shared" si="129"/>
        <v/>
      </c>
    </row>
    <row r="6301" spans="4:4" x14ac:dyDescent="0.3">
      <c r="D6301" t="str">
        <f t="shared" si="129"/>
        <v/>
      </c>
    </row>
    <row r="6302" spans="4:4" x14ac:dyDescent="0.3">
      <c r="D6302" t="str">
        <f t="shared" si="129"/>
        <v/>
      </c>
    </row>
    <row r="6303" spans="4:4" x14ac:dyDescent="0.3">
      <c r="D6303" t="str">
        <f t="shared" si="129"/>
        <v/>
      </c>
    </row>
    <row r="6304" spans="4:4" x14ac:dyDescent="0.3">
      <c r="D6304" t="str">
        <f t="shared" si="129"/>
        <v/>
      </c>
    </row>
    <row r="6305" spans="4:4" x14ac:dyDescent="0.3">
      <c r="D6305" t="str">
        <f t="shared" si="129"/>
        <v/>
      </c>
    </row>
    <row r="6306" spans="4:4" x14ac:dyDescent="0.3">
      <c r="D6306" t="str">
        <f t="shared" si="129"/>
        <v/>
      </c>
    </row>
    <row r="6307" spans="4:4" x14ac:dyDescent="0.3">
      <c r="D6307" t="str">
        <f t="shared" si="129"/>
        <v/>
      </c>
    </row>
    <row r="6308" spans="4:4" x14ac:dyDescent="0.3">
      <c r="D6308" t="str">
        <f t="shared" si="129"/>
        <v/>
      </c>
    </row>
    <row r="6309" spans="4:4" x14ac:dyDescent="0.3">
      <c r="D6309" t="str">
        <f t="shared" si="129"/>
        <v/>
      </c>
    </row>
    <row r="6310" spans="4:4" x14ac:dyDescent="0.3">
      <c r="D6310" t="str">
        <f t="shared" si="129"/>
        <v/>
      </c>
    </row>
    <row r="6311" spans="4:4" x14ac:dyDescent="0.3">
      <c r="D6311" t="str">
        <f t="shared" si="129"/>
        <v/>
      </c>
    </row>
    <row r="6312" spans="4:4" x14ac:dyDescent="0.3">
      <c r="D6312" t="str">
        <f t="shared" si="129"/>
        <v/>
      </c>
    </row>
    <row r="6313" spans="4:4" x14ac:dyDescent="0.3">
      <c r="D6313" t="str">
        <f t="shared" si="129"/>
        <v/>
      </c>
    </row>
    <row r="6314" spans="4:4" x14ac:dyDescent="0.3">
      <c r="D6314" t="str">
        <f t="shared" si="129"/>
        <v/>
      </c>
    </row>
    <row r="6315" spans="4:4" x14ac:dyDescent="0.3">
      <c r="D6315" t="str">
        <f t="shared" si="129"/>
        <v/>
      </c>
    </row>
    <row r="6316" spans="4:4" x14ac:dyDescent="0.3">
      <c r="D6316" t="str">
        <f t="shared" si="129"/>
        <v/>
      </c>
    </row>
    <row r="6317" spans="4:4" x14ac:dyDescent="0.3">
      <c r="D6317" t="str">
        <f t="shared" si="129"/>
        <v/>
      </c>
    </row>
    <row r="6318" spans="4:4" x14ac:dyDescent="0.3">
      <c r="D6318" t="str">
        <f t="shared" si="129"/>
        <v/>
      </c>
    </row>
    <row r="6319" spans="4:4" x14ac:dyDescent="0.3">
      <c r="D6319" t="str">
        <f t="shared" si="129"/>
        <v/>
      </c>
    </row>
    <row r="6320" spans="4:4" x14ac:dyDescent="0.3">
      <c r="D6320" t="str">
        <f t="shared" si="129"/>
        <v/>
      </c>
    </row>
    <row r="6321" spans="4:4" x14ac:dyDescent="0.3">
      <c r="D6321" t="str">
        <f t="shared" si="129"/>
        <v/>
      </c>
    </row>
    <row r="6322" spans="4:4" x14ac:dyDescent="0.3">
      <c r="D6322" t="str">
        <f t="shared" si="129"/>
        <v/>
      </c>
    </row>
    <row r="6323" spans="4:4" x14ac:dyDescent="0.3">
      <c r="D6323" t="str">
        <f t="shared" si="129"/>
        <v/>
      </c>
    </row>
    <row r="6324" spans="4:4" x14ac:dyDescent="0.3">
      <c r="D6324" t="str">
        <f t="shared" si="129"/>
        <v/>
      </c>
    </row>
    <row r="6325" spans="4:4" x14ac:dyDescent="0.3">
      <c r="D6325" t="str">
        <f t="shared" si="129"/>
        <v/>
      </c>
    </row>
    <row r="6326" spans="4:4" x14ac:dyDescent="0.3">
      <c r="D6326" t="str">
        <f t="shared" ref="D6326:D6389" si="130">IF(LEFT(A6326,2)="SP",MID(A6326,4,4),IF(LEFT(A6326,1)="X",MID(A6326,3,4),""))</f>
        <v/>
      </c>
    </row>
    <row r="6327" spans="4:4" x14ac:dyDescent="0.3">
      <c r="D6327" t="str">
        <f t="shared" si="130"/>
        <v/>
      </c>
    </row>
    <row r="6328" spans="4:4" x14ac:dyDescent="0.3">
      <c r="D6328" t="str">
        <f t="shared" si="130"/>
        <v/>
      </c>
    </row>
    <row r="6329" spans="4:4" x14ac:dyDescent="0.3">
      <c r="D6329" t="str">
        <f t="shared" si="130"/>
        <v/>
      </c>
    </row>
    <row r="6330" spans="4:4" x14ac:dyDescent="0.3">
      <c r="D6330" t="str">
        <f t="shared" si="130"/>
        <v/>
      </c>
    </row>
    <row r="6331" spans="4:4" x14ac:dyDescent="0.3">
      <c r="D6331" t="str">
        <f t="shared" si="130"/>
        <v/>
      </c>
    </row>
    <row r="6332" spans="4:4" x14ac:dyDescent="0.3">
      <c r="D6332" t="str">
        <f t="shared" si="130"/>
        <v/>
      </c>
    </row>
    <row r="6333" spans="4:4" x14ac:dyDescent="0.3">
      <c r="D6333" t="str">
        <f t="shared" si="130"/>
        <v/>
      </c>
    </row>
    <row r="6334" spans="4:4" x14ac:dyDescent="0.3">
      <c r="D6334" t="str">
        <f t="shared" si="130"/>
        <v/>
      </c>
    </row>
    <row r="6335" spans="4:4" x14ac:dyDescent="0.3">
      <c r="D6335" t="str">
        <f t="shared" si="130"/>
        <v/>
      </c>
    </row>
    <row r="6336" spans="4:4" x14ac:dyDescent="0.3">
      <c r="D6336" t="str">
        <f t="shared" si="130"/>
        <v/>
      </c>
    </row>
    <row r="6337" spans="4:4" x14ac:dyDescent="0.3">
      <c r="D6337" t="str">
        <f t="shared" si="130"/>
        <v/>
      </c>
    </row>
    <row r="6338" spans="4:4" x14ac:dyDescent="0.3">
      <c r="D6338" t="str">
        <f t="shared" si="130"/>
        <v/>
      </c>
    </row>
    <row r="6339" spans="4:4" x14ac:dyDescent="0.3">
      <c r="D6339" t="str">
        <f t="shared" si="130"/>
        <v/>
      </c>
    </row>
    <row r="6340" spans="4:4" x14ac:dyDescent="0.3">
      <c r="D6340" t="str">
        <f t="shared" si="130"/>
        <v/>
      </c>
    </row>
    <row r="6341" spans="4:4" x14ac:dyDescent="0.3">
      <c r="D6341" t="str">
        <f t="shared" si="130"/>
        <v/>
      </c>
    </row>
    <row r="6342" spans="4:4" x14ac:dyDescent="0.3">
      <c r="D6342" t="str">
        <f t="shared" si="130"/>
        <v/>
      </c>
    </row>
    <row r="6343" spans="4:4" x14ac:dyDescent="0.3">
      <c r="D6343" t="str">
        <f t="shared" si="130"/>
        <v/>
      </c>
    </row>
    <row r="6344" spans="4:4" x14ac:dyDescent="0.3">
      <c r="D6344" t="str">
        <f t="shared" si="130"/>
        <v/>
      </c>
    </row>
    <row r="6345" spans="4:4" x14ac:dyDescent="0.3">
      <c r="D6345" t="str">
        <f t="shared" si="130"/>
        <v/>
      </c>
    </row>
    <row r="6346" spans="4:4" x14ac:dyDescent="0.3">
      <c r="D6346" t="str">
        <f t="shared" si="130"/>
        <v/>
      </c>
    </row>
    <row r="6347" spans="4:4" x14ac:dyDescent="0.3">
      <c r="D6347" t="str">
        <f t="shared" si="130"/>
        <v/>
      </c>
    </row>
    <row r="6348" spans="4:4" x14ac:dyDescent="0.3">
      <c r="D6348" t="str">
        <f t="shared" si="130"/>
        <v/>
      </c>
    </row>
    <row r="6349" spans="4:4" x14ac:dyDescent="0.3">
      <c r="D6349" t="str">
        <f t="shared" si="130"/>
        <v/>
      </c>
    </row>
    <row r="6350" spans="4:4" x14ac:dyDescent="0.3">
      <c r="D6350" t="str">
        <f t="shared" si="130"/>
        <v/>
      </c>
    </row>
    <row r="6351" spans="4:4" x14ac:dyDescent="0.3">
      <c r="D6351" t="str">
        <f t="shared" si="130"/>
        <v/>
      </c>
    </row>
    <row r="6352" spans="4:4" x14ac:dyDescent="0.3">
      <c r="D6352" t="str">
        <f t="shared" si="130"/>
        <v/>
      </c>
    </row>
    <row r="6353" spans="4:4" x14ac:dyDescent="0.3">
      <c r="D6353" t="str">
        <f t="shared" si="130"/>
        <v/>
      </c>
    </row>
    <row r="6354" spans="4:4" x14ac:dyDescent="0.3">
      <c r="D6354" t="str">
        <f t="shared" si="130"/>
        <v/>
      </c>
    </row>
    <row r="6355" spans="4:4" x14ac:dyDescent="0.3">
      <c r="D6355" t="str">
        <f t="shared" si="130"/>
        <v/>
      </c>
    </row>
    <row r="6356" spans="4:4" x14ac:dyDescent="0.3">
      <c r="D6356" t="str">
        <f t="shared" si="130"/>
        <v/>
      </c>
    </row>
    <row r="6357" spans="4:4" x14ac:dyDescent="0.3">
      <c r="D6357" t="str">
        <f t="shared" si="130"/>
        <v/>
      </c>
    </row>
    <row r="6358" spans="4:4" x14ac:dyDescent="0.3">
      <c r="D6358" t="str">
        <f t="shared" si="130"/>
        <v/>
      </c>
    </row>
    <row r="6359" spans="4:4" x14ac:dyDescent="0.3">
      <c r="D6359" t="str">
        <f t="shared" si="130"/>
        <v/>
      </c>
    </row>
    <row r="6360" spans="4:4" x14ac:dyDescent="0.3">
      <c r="D6360" t="str">
        <f t="shared" si="130"/>
        <v/>
      </c>
    </row>
    <row r="6361" spans="4:4" x14ac:dyDescent="0.3">
      <c r="D6361" t="str">
        <f t="shared" si="130"/>
        <v/>
      </c>
    </row>
    <row r="6362" spans="4:4" x14ac:dyDescent="0.3">
      <c r="D6362" t="str">
        <f t="shared" si="130"/>
        <v/>
      </c>
    </row>
    <row r="6363" spans="4:4" x14ac:dyDescent="0.3">
      <c r="D6363" t="str">
        <f t="shared" si="130"/>
        <v/>
      </c>
    </row>
    <row r="6364" spans="4:4" x14ac:dyDescent="0.3">
      <c r="D6364" t="str">
        <f t="shared" si="130"/>
        <v/>
      </c>
    </row>
    <row r="6365" spans="4:4" x14ac:dyDescent="0.3">
      <c r="D6365" t="str">
        <f t="shared" si="130"/>
        <v/>
      </c>
    </row>
    <row r="6366" spans="4:4" x14ac:dyDescent="0.3">
      <c r="D6366" t="str">
        <f t="shared" si="130"/>
        <v/>
      </c>
    </row>
    <row r="6367" spans="4:4" x14ac:dyDescent="0.3">
      <c r="D6367" t="str">
        <f t="shared" si="130"/>
        <v/>
      </c>
    </row>
    <row r="6368" spans="4:4" x14ac:dyDescent="0.3">
      <c r="D6368" t="str">
        <f t="shared" si="130"/>
        <v/>
      </c>
    </row>
    <row r="6369" spans="4:4" x14ac:dyDescent="0.3">
      <c r="D6369" t="str">
        <f t="shared" si="130"/>
        <v/>
      </c>
    </row>
    <row r="6370" spans="4:4" x14ac:dyDescent="0.3">
      <c r="D6370" t="str">
        <f t="shared" si="130"/>
        <v/>
      </c>
    </row>
    <row r="6371" spans="4:4" x14ac:dyDescent="0.3">
      <c r="D6371" t="str">
        <f t="shared" si="130"/>
        <v/>
      </c>
    </row>
    <row r="6372" spans="4:4" x14ac:dyDescent="0.3">
      <c r="D6372" t="str">
        <f t="shared" si="130"/>
        <v/>
      </c>
    </row>
    <row r="6373" spans="4:4" x14ac:dyDescent="0.3">
      <c r="D6373" t="str">
        <f t="shared" si="130"/>
        <v/>
      </c>
    </row>
    <row r="6374" spans="4:4" x14ac:dyDescent="0.3">
      <c r="D6374" t="str">
        <f t="shared" si="130"/>
        <v/>
      </c>
    </row>
    <row r="6375" spans="4:4" x14ac:dyDescent="0.3">
      <c r="D6375" t="str">
        <f t="shared" si="130"/>
        <v/>
      </c>
    </row>
    <row r="6376" spans="4:4" x14ac:dyDescent="0.3">
      <c r="D6376" t="str">
        <f t="shared" si="130"/>
        <v/>
      </c>
    </row>
    <row r="6377" spans="4:4" x14ac:dyDescent="0.3">
      <c r="D6377" t="str">
        <f t="shared" si="130"/>
        <v/>
      </c>
    </row>
    <row r="6378" spans="4:4" x14ac:dyDescent="0.3">
      <c r="D6378" t="str">
        <f t="shared" si="130"/>
        <v/>
      </c>
    </row>
    <row r="6379" spans="4:4" x14ac:dyDescent="0.3">
      <c r="D6379" t="str">
        <f t="shared" si="130"/>
        <v/>
      </c>
    </row>
    <row r="6380" spans="4:4" x14ac:dyDescent="0.3">
      <c r="D6380" t="str">
        <f t="shared" si="130"/>
        <v/>
      </c>
    </row>
    <row r="6381" spans="4:4" x14ac:dyDescent="0.3">
      <c r="D6381" t="str">
        <f t="shared" si="130"/>
        <v/>
      </c>
    </row>
    <row r="6382" spans="4:4" x14ac:dyDescent="0.3">
      <c r="D6382" t="str">
        <f t="shared" si="130"/>
        <v/>
      </c>
    </row>
    <row r="6383" spans="4:4" x14ac:dyDescent="0.3">
      <c r="D6383" t="str">
        <f t="shared" si="130"/>
        <v/>
      </c>
    </row>
    <row r="6384" spans="4:4" x14ac:dyDescent="0.3">
      <c r="D6384" t="str">
        <f t="shared" si="130"/>
        <v/>
      </c>
    </row>
    <row r="6385" spans="4:4" x14ac:dyDescent="0.3">
      <c r="D6385" t="str">
        <f t="shared" si="130"/>
        <v/>
      </c>
    </row>
    <row r="6386" spans="4:4" x14ac:dyDescent="0.3">
      <c r="D6386" t="str">
        <f t="shared" si="130"/>
        <v/>
      </c>
    </row>
    <row r="6387" spans="4:4" x14ac:dyDescent="0.3">
      <c r="D6387" t="str">
        <f t="shared" si="130"/>
        <v/>
      </c>
    </row>
    <row r="6388" spans="4:4" x14ac:dyDescent="0.3">
      <c r="D6388" t="str">
        <f t="shared" si="130"/>
        <v/>
      </c>
    </row>
    <row r="6389" spans="4:4" x14ac:dyDescent="0.3">
      <c r="D6389" t="str">
        <f t="shared" si="130"/>
        <v/>
      </c>
    </row>
    <row r="6390" spans="4:4" x14ac:dyDescent="0.3">
      <c r="D6390" t="str">
        <f t="shared" ref="D6390:D6434" si="131">IF(LEFT(A6390,2)="SP",MID(A6390,4,4),IF(LEFT(A6390,1)="X",MID(A6390,3,4),""))</f>
        <v/>
      </c>
    </row>
    <row r="6391" spans="4:4" x14ac:dyDescent="0.3">
      <c r="D6391" t="str">
        <f t="shared" si="131"/>
        <v/>
      </c>
    </row>
    <row r="6392" spans="4:4" x14ac:dyDescent="0.3">
      <c r="D6392" t="str">
        <f t="shared" si="131"/>
        <v/>
      </c>
    </row>
    <row r="6393" spans="4:4" x14ac:dyDescent="0.3">
      <c r="D6393" t="str">
        <f t="shared" si="131"/>
        <v/>
      </c>
    </row>
    <row r="6394" spans="4:4" x14ac:dyDescent="0.3">
      <c r="D6394" t="str">
        <f t="shared" si="131"/>
        <v/>
      </c>
    </row>
    <row r="6395" spans="4:4" x14ac:dyDescent="0.3">
      <c r="D6395" t="str">
        <f t="shared" si="131"/>
        <v/>
      </c>
    </row>
    <row r="6396" spans="4:4" x14ac:dyDescent="0.3">
      <c r="D6396" t="str">
        <f t="shared" si="131"/>
        <v/>
      </c>
    </row>
    <row r="6397" spans="4:4" x14ac:dyDescent="0.3">
      <c r="D6397" t="str">
        <f t="shared" si="131"/>
        <v/>
      </c>
    </row>
    <row r="6398" spans="4:4" x14ac:dyDescent="0.3">
      <c r="D6398" t="str">
        <f t="shared" si="131"/>
        <v/>
      </c>
    </row>
    <row r="6399" spans="4:4" x14ac:dyDescent="0.3">
      <c r="D6399" t="str">
        <f t="shared" si="131"/>
        <v/>
      </c>
    </row>
    <row r="6400" spans="4:4" x14ac:dyDescent="0.3">
      <c r="D6400" t="str">
        <f t="shared" si="131"/>
        <v/>
      </c>
    </row>
    <row r="6401" spans="4:4" x14ac:dyDescent="0.3">
      <c r="D6401" t="str">
        <f t="shared" si="131"/>
        <v/>
      </c>
    </row>
    <row r="6402" spans="4:4" x14ac:dyDescent="0.3">
      <c r="D6402" t="str">
        <f t="shared" si="131"/>
        <v/>
      </c>
    </row>
    <row r="6403" spans="4:4" x14ac:dyDescent="0.3">
      <c r="D6403" t="str">
        <f t="shared" si="131"/>
        <v/>
      </c>
    </row>
    <row r="6404" spans="4:4" x14ac:dyDescent="0.3">
      <c r="D6404" t="str">
        <f t="shared" si="131"/>
        <v/>
      </c>
    </row>
    <row r="6405" spans="4:4" x14ac:dyDescent="0.3">
      <c r="D6405" t="str">
        <f t="shared" si="131"/>
        <v/>
      </c>
    </row>
    <row r="6406" spans="4:4" x14ac:dyDescent="0.3">
      <c r="D6406" t="str">
        <f t="shared" si="131"/>
        <v/>
      </c>
    </row>
    <row r="6407" spans="4:4" x14ac:dyDescent="0.3">
      <c r="D6407" t="str">
        <f t="shared" si="131"/>
        <v/>
      </c>
    </row>
    <row r="6408" spans="4:4" x14ac:dyDescent="0.3">
      <c r="D6408" t="str">
        <f t="shared" si="131"/>
        <v/>
      </c>
    </row>
    <row r="6409" spans="4:4" x14ac:dyDescent="0.3">
      <c r="D6409" t="str">
        <f t="shared" si="131"/>
        <v/>
      </c>
    </row>
    <row r="6410" spans="4:4" x14ac:dyDescent="0.3">
      <c r="D6410" t="str">
        <f t="shared" si="131"/>
        <v/>
      </c>
    </row>
    <row r="6411" spans="4:4" x14ac:dyDescent="0.3">
      <c r="D6411" t="str">
        <f t="shared" si="131"/>
        <v/>
      </c>
    </row>
    <row r="6412" spans="4:4" x14ac:dyDescent="0.3">
      <c r="D6412" t="str">
        <f t="shared" si="131"/>
        <v/>
      </c>
    </row>
    <row r="6413" spans="4:4" x14ac:dyDescent="0.3">
      <c r="D6413" t="str">
        <f t="shared" si="131"/>
        <v/>
      </c>
    </row>
    <row r="6414" spans="4:4" x14ac:dyDescent="0.3">
      <c r="D6414" t="str">
        <f t="shared" si="131"/>
        <v/>
      </c>
    </row>
    <row r="6415" spans="4:4" x14ac:dyDescent="0.3">
      <c r="D6415" t="str">
        <f t="shared" si="131"/>
        <v/>
      </c>
    </row>
    <row r="6416" spans="4:4" x14ac:dyDescent="0.3">
      <c r="D6416" t="str">
        <f t="shared" si="131"/>
        <v/>
      </c>
    </row>
    <row r="6417" spans="4:4" x14ac:dyDescent="0.3">
      <c r="D6417" t="str">
        <f t="shared" si="131"/>
        <v/>
      </c>
    </row>
    <row r="6418" spans="4:4" x14ac:dyDescent="0.3">
      <c r="D6418" t="str">
        <f t="shared" si="131"/>
        <v/>
      </c>
    </row>
    <row r="6419" spans="4:4" x14ac:dyDescent="0.3">
      <c r="D6419" t="str">
        <f t="shared" si="131"/>
        <v/>
      </c>
    </row>
    <row r="6420" spans="4:4" x14ac:dyDescent="0.3">
      <c r="D6420" t="str">
        <f t="shared" si="131"/>
        <v/>
      </c>
    </row>
    <row r="6421" spans="4:4" x14ac:dyDescent="0.3">
      <c r="D6421" t="str">
        <f t="shared" si="131"/>
        <v/>
      </c>
    </row>
    <row r="6422" spans="4:4" x14ac:dyDescent="0.3">
      <c r="D6422" t="str">
        <f t="shared" si="131"/>
        <v/>
      </c>
    </row>
    <row r="6423" spans="4:4" x14ac:dyDescent="0.3">
      <c r="D6423" t="str">
        <f t="shared" si="131"/>
        <v/>
      </c>
    </row>
    <row r="6424" spans="4:4" x14ac:dyDescent="0.3">
      <c r="D6424" t="str">
        <f t="shared" si="131"/>
        <v/>
      </c>
    </row>
    <row r="6425" spans="4:4" x14ac:dyDescent="0.3">
      <c r="D6425" t="str">
        <f t="shared" si="131"/>
        <v/>
      </c>
    </row>
    <row r="6426" spans="4:4" x14ac:dyDescent="0.3">
      <c r="D6426" t="str">
        <f t="shared" si="131"/>
        <v/>
      </c>
    </row>
    <row r="6427" spans="4:4" x14ac:dyDescent="0.3">
      <c r="D6427" t="str">
        <f t="shared" si="131"/>
        <v/>
      </c>
    </row>
    <row r="6428" spans="4:4" x14ac:dyDescent="0.3">
      <c r="D6428" t="str">
        <f t="shared" si="131"/>
        <v/>
      </c>
    </row>
    <row r="6429" spans="4:4" x14ac:dyDescent="0.3">
      <c r="D6429" t="str">
        <f t="shared" si="131"/>
        <v/>
      </c>
    </row>
    <row r="6430" spans="4:4" x14ac:dyDescent="0.3">
      <c r="D6430" t="str">
        <f t="shared" si="131"/>
        <v/>
      </c>
    </row>
    <row r="6431" spans="4:4" x14ac:dyDescent="0.3">
      <c r="D6431" t="str">
        <f t="shared" si="131"/>
        <v/>
      </c>
    </row>
    <row r="6432" spans="4:4" x14ac:dyDescent="0.3">
      <c r="D6432" t="str">
        <f t="shared" si="131"/>
        <v/>
      </c>
    </row>
    <row r="6433" spans="4:4" x14ac:dyDescent="0.3">
      <c r="D6433" t="str">
        <f t="shared" si="131"/>
        <v/>
      </c>
    </row>
    <row r="6434" spans="4:4" x14ac:dyDescent="0.3">
      <c r="D6434" t="str">
        <f t="shared" si="131"/>
        <v/>
      </c>
    </row>
  </sheetData>
  <autoFilter ref="A1:F6434" xr:uid="{00000000-0009-0000-0000-00000C000000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F6434"/>
  <sheetViews>
    <sheetView workbookViewId="0">
      <selection activeCell="E13" sqref="E13"/>
    </sheetView>
  </sheetViews>
  <sheetFormatPr defaultRowHeight="14.4" x14ac:dyDescent="0.3"/>
  <cols>
    <col min="1" max="1" width="10.88671875" bestFit="1" customWidth="1"/>
    <col min="2" max="2" width="11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14698.9999955</v>
      </c>
      <c r="D2" t="str">
        <f t="shared" ref="D2" si="0">IF(LEFT(A2,2)="SP",MID(A2,4,4),IF(LEFT(A2,1)="X",MID(A2,3,4),""))</f>
        <v/>
      </c>
      <c r="E2" t="str">
        <f t="shared" ref="E2" si="1">IF(OR(LEFT(A2,2)="SP",AND(LEFT(A2,1)="X",LEN(A2)&gt;9)),RIGHT(A2,1),"")</f>
        <v/>
      </c>
      <c r="F2" t="str">
        <f t="shared" ref="F2" si="2">IF(LEFT(A2,1)="X",MID(A2,8,2),"")</f>
        <v/>
      </c>
    </row>
    <row r="3" spans="1:6" x14ac:dyDescent="0.3">
      <c r="A3" t="s">
        <v>934</v>
      </c>
      <c r="B3">
        <v>28</v>
      </c>
      <c r="D3" t="str">
        <f t="shared" ref="D3:D66" si="3">IF(LEFT(A3,2)="SP",MID(A3,4,4),IF(LEFT(A3,1)="X",MID(A3,3,4),""))</f>
        <v/>
      </c>
      <c r="E3" t="str">
        <f t="shared" ref="E3:E66" si="4">IF(OR(LEFT(A3,2)="SP",AND(LEFT(A3,1)="X",LEN(A3)&gt;9)),RIGHT(A3,1),"")</f>
        <v/>
      </c>
      <c r="F3" t="str">
        <f t="shared" ref="F3:F66" si="5">IF(LEFT(A3,1)="X",MID(A3,8,2),"")</f>
        <v/>
      </c>
    </row>
    <row r="4" spans="1:6" x14ac:dyDescent="0.3">
      <c r="A4" t="s">
        <v>944</v>
      </c>
      <c r="B4">
        <v>34</v>
      </c>
      <c r="D4" t="str">
        <f t="shared" si="3"/>
        <v/>
      </c>
      <c r="E4" t="str">
        <f t="shared" si="4"/>
        <v/>
      </c>
      <c r="F4" t="str">
        <f t="shared" si="5"/>
        <v/>
      </c>
    </row>
    <row r="5" spans="1:6" x14ac:dyDescent="0.3">
      <c r="A5" t="s">
        <v>938</v>
      </c>
      <c r="B5">
        <v>6</v>
      </c>
      <c r="D5" t="str">
        <f t="shared" si="3"/>
        <v/>
      </c>
      <c r="E5" t="str">
        <f t="shared" si="4"/>
        <v/>
      </c>
      <c r="F5" t="str">
        <f t="shared" si="5"/>
        <v/>
      </c>
    </row>
    <row r="6" spans="1:6" x14ac:dyDescent="0.3">
      <c r="A6" t="s">
        <v>2552</v>
      </c>
      <c r="B6">
        <v>10099.9999955</v>
      </c>
      <c r="D6" t="str">
        <f t="shared" si="3"/>
        <v/>
      </c>
      <c r="E6" t="str">
        <f t="shared" si="4"/>
        <v/>
      </c>
      <c r="F6" t="str">
        <f t="shared" si="5"/>
        <v/>
      </c>
    </row>
    <row r="7" spans="1:6" x14ac:dyDescent="0.3">
      <c r="A7" t="s">
        <v>2550</v>
      </c>
      <c r="B7">
        <v>4599</v>
      </c>
      <c r="D7" t="str">
        <f t="shared" si="3"/>
        <v/>
      </c>
      <c r="E7" t="str">
        <f t="shared" si="4"/>
        <v/>
      </c>
      <c r="F7" t="str">
        <f t="shared" si="5"/>
        <v/>
      </c>
    </row>
    <row r="8" spans="1:6" x14ac:dyDescent="0.3">
      <c r="A8" t="s">
        <v>935</v>
      </c>
      <c r="B8">
        <v>2</v>
      </c>
      <c r="D8" t="str">
        <f t="shared" si="3"/>
        <v/>
      </c>
      <c r="E8" t="str">
        <f t="shared" si="4"/>
        <v/>
      </c>
      <c r="F8" t="str">
        <f t="shared" si="5"/>
        <v/>
      </c>
    </row>
    <row r="9" spans="1:6" x14ac:dyDescent="0.3">
      <c r="A9" t="s">
        <v>945</v>
      </c>
      <c r="B9">
        <v>3.99999984999998</v>
      </c>
      <c r="D9" t="str">
        <f t="shared" si="3"/>
        <v/>
      </c>
      <c r="E9" t="str">
        <f t="shared" si="4"/>
        <v/>
      </c>
      <c r="F9" t="str">
        <f t="shared" si="5"/>
        <v/>
      </c>
    </row>
    <row r="10" spans="1:6" x14ac:dyDescent="0.3">
      <c r="A10" t="s">
        <v>942</v>
      </c>
      <c r="B10">
        <v>2</v>
      </c>
      <c r="D10" t="str">
        <f t="shared" si="3"/>
        <v/>
      </c>
      <c r="E10" t="str">
        <f t="shared" si="4"/>
        <v/>
      </c>
      <c r="F10" t="str">
        <f t="shared" si="5"/>
        <v/>
      </c>
    </row>
    <row r="11" spans="1:6" x14ac:dyDescent="0.3">
      <c r="A11" t="s">
        <v>950</v>
      </c>
      <c r="B11">
        <v>1</v>
      </c>
      <c r="D11" t="str">
        <f t="shared" si="3"/>
        <v/>
      </c>
      <c r="E11" t="str">
        <f t="shared" si="4"/>
        <v/>
      </c>
      <c r="F11" t="str">
        <f t="shared" si="5"/>
        <v/>
      </c>
    </row>
    <row r="12" spans="1:6" x14ac:dyDescent="0.3">
      <c r="A12" t="s">
        <v>2553</v>
      </c>
      <c r="B12">
        <v>1</v>
      </c>
      <c r="D12" t="str">
        <f t="shared" si="3"/>
        <v/>
      </c>
      <c r="E12" t="str">
        <f t="shared" si="4"/>
        <v/>
      </c>
      <c r="F12" t="str">
        <f t="shared" si="5"/>
        <v/>
      </c>
    </row>
    <row r="13" spans="1:6" x14ac:dyDescent="0.3">
      <c r="A13" t="s">
        <v>975</v>
      </c>
      <c r="B13">
        <v>1</v>
      </c>
      <c r="D13" t="str">
        <f t="shared" si="3"/>
        <v>0007</v>
      </c>
      <c r="E13" t="str">
        <f t="shared" si="4"/>
        <v>0</v>
      </c>
      <c r="F13" t="str">
        <f t="shared" si="5"/>
        <v/>
      </c>
    </row>
    <row r="14" spans="1:6" x14ac:dyDescent="0.3">
      <c r="A14" t="s">
        <v>977</v>
      </c>
      <c r="B14">
        <v>1</v>
      </c>
      <c r="D14" t="str">
        <f t="shared" si="3"/>
        <v>0008</v>
      </c>
      <c r="E14" t="str">
        <f t="shared" si="4"/>
        <v>0</v>
      </c>
      <c r="F14" t="str">
        <f t="shared" si="5"/>
        <v/>
      </c>
    </row>
    <row r="15" spans="1:6" x14ac:dyDescent="0.3">
      <c r="A15" t="s">
        <v>979</v>
      </c>
      <c r="B15">
        <v>1</v>
      </c>
      <c r="D15" t="str">
        <f t="shared" si="3"/>
        <v>0009</v>
      </c>
      <c r="E15" t="str">
        <f t="shared" si="4"/>
        <v>0</v>
      </c>
      <c r="F15" t="str">
        <f t="shared" si="5"/>
        <v/>
      </c>
    </row>
    <row r="16" spans="1:6" x14ac:dyDescent="0.3">
      <c r="A16" t="s">
        <v>980</v>
      </c>
      <c r="B16">
        <v>1</v>
      </c>
      <c r="D16" t="str">
        <f t="shared" si="3"/>
        <v>0010</v>
      </c>
      <c r="E16" t="str">
        <f t="shared" si="4"/>
        <v>0</v>
      </c>
      <c r="F16" t="str">
        <f t="shared" si="5"/>
        <v/>
      </c>
    </row>
    <row r="17" spans="1:6" x14ac:dyDescent="0.3">
      <c r="A17" t="s">
        <v>982</v>
      </c>
      <c r="B17">
        <v>1</v>
      </c>
      <c r="D17" t="str">
        <f t="shared" si="3"/>
        <v>0015</v>
      </c>
      <c r="E17" t="str">
        <f t="shared" si="4"/>
        <v>0</v>
      </c>
      <c r="F17" t="str">
        <f t="shared" si="5"/>
        <v/>
      </c>
    </row>
    <row r="18" spans="1:6" x14ac:dyDescent="0.3">
      <c r="A18" t="s">
        <v>984</v>
      </c>
      <c r="B18">
        <v>1</v>
      </c>
      <c r="D18" t="str">
        <f t="shared" si="3"/>
        <v>0019</v>
      </c>
      <c r="E18" t="str">
        <f t="shared" si="4"/>
        <v>0</v>
      </c>
      <c r="F18" t="str">
        <f t="shared" si="5"/>
        <v/>
      </c>
    </row>
    <row r="19" spans="1:6" x14ac:dyDescent="0.3">
      <c r="A19" t="s">
        <v>986</v>
      </c>
      <c r="B19">
        <v>1</v>
      </c>
      <c r="D19" t="str">
        <f t="shared" si="3"/>
        <v>0020</v>
      </c>
      <c r="E19" t="str">
        <f t="shared" si="4"/>
        <v>0</v>
      </c>
      <c r="F19" t="str">
        <f t="shared" si="5"/>
        <v/>
      </c>
    </row>
    <row r="20" spans="1:6" x14ac:dyDescent="0.3">
      <c r="A20" t="s">
        <v>987</v>
      </c>
      <c r="B20">
        <v>1</v>
      </c>
      <c r="D20" t="str">
        <f t="shared" si="3"/>
        <v>0021</v>
      </c>
      <c r="E20" t="str">
        <f t="shared" si="4"/>
        <v>0</v>
      </c>
      <c r="F20" t="str">
        <f t="shared" si="5"/>
        <v/>
      </c>
    </row>
    <row r="21" spans="1:6" x14ac:dyDescent="0.3">
      <c r="A21" t="s">
        <v>989</v>
      </c>
      <c r="B21">
        <v>1</v>
      </c>
      <c r="D21" t="str">
        <f t="shared" si="3"/>
        <v>0022</v>
      </c>
      <c r="E21" t="str">
        <f t="shared" si="4"/>
        <v>0</v>
      </c>
      <c r="F21" t="str">
        <f t="shared" si="5"/>
        <v/>
      </c>
    </row>
    <row r="22" spans="1:6" x14ac:dyDescent="0.3">
      <c r="A22" t="s">
        <v>991</v>
      </c>
      <c r="B22">
        <v>1</v>
      </c>
      <c r="D22" t="str">
        <f t="shared" si="3"/>
        <v>0023</v>
      </c>
      <c r="E22" t="str">
        <f t="shared" si="4"/>
        <v>0</v>
      </c>
      <c r="F22" t="str">
        <f t="shared" si="5"/>
        <v/>
      </c>
    </row>
    <row r="23" spans="1:6" x14ac:dyDescent="0.3">
      <c r="A23" t="s">
        <v>993</v>
      </c>
      <c r="B23">
        <v>1</v>
      </c>
      <c r="D23" t="str">
        <f t="shared" si="3"/>
        <v>0024</v>
      </c>
      <c r="E23" t="str">
        <f t="shared" si="4"/>
        <v>0</v>
      </c>
      <c r="F23" t="str">
        <f t="shared" si="5"/>
        <v/>
      </c>
    </row>
    <row r="24" spans="1:6" x14ac:dyDescent="0.3">
      <c r="A24" t="s">
        <v>995</v>
      </c>
      <c r="B24">
        <v>1</v>
      </c>
      <c r="D24" t="str">
        <f t="shared" si="3"/>
        <v>0030</v>
      </c>
      <c r="E24" t="str">
        <f t="shared" si="4"/>
        <v>0</v>
      </c>
      <c r="F24" t="str">
        <f t="shared" si="5"/>
        <v/>
      </c>
    </row>
    <row r="25" spans="1:6" x14ac:dyDescent="0.3">
      <c r="A25" t="s">
        <v>997</v>
      </c>
      <c r="B25">
        <v>1</v>
      </c>
      <c r="D25" t="str">
        <f t="shared" si="3"/>
        <v>0031</v>
      </c>
      <c r="E25" t="str">
        <f t="shared" si="4"/>
        <v>0</v>
      </c>
      <c r="F25" t="str">
        <f t="shared" si="5"/>
        <v/>
      </c>
    </row>
    <row r="26" spans="1:6" x14ac:dyDescent="0.3">
      <c r="A26" t="s">
        <v>999</v>
      </c>
      <c r="B26">
        <v>1</v>
      </c>
      <c r="D26" t="str">
        <f t="shared" si="3"/>
        <v>0032</v>
      </c>
      <c r="E26" t="str">
        <f t="shared" si="4"/>
        <v>0</v>
      </c>
      <c r="F26" t="str">
        <f t="shared" si="5"/>
        <v/>
      </c>
    </row>
    <row r="27" spans="1:6" x14ac:dyDescent="0.3">
      <c r="A27" t="s">
        <v>1000</v>
      </c>
      <c r="B27">
        <v>1</v>
      </c>
      <c r="D27" t="str">
        <f t="shared" si="3"/>
        <v>0033</v>
      </c>
      <c r="E27" t="str">
        <f t="shared" si="4"/>
        <v>0</v>
      </c>
      <c r="F27" t="str">
        <f t="shared" si="5"/>
        <v/>
      </c>
    </row>
    <row r="28" spans="1:6" x14ac:dyDescent="0.3">
      <c r="A28" t="s">
        <v>1001</v>
      </c>
      <c r="B28">
        <v>1</v>
      </c>
      <c r="D28" t="str">
        <f t="shared" si="3"/>
        <v>0034</v>
      </c>
      <c r="E28" t="str">
        <f t="shared" si="4"/>
        <v>0</v>
      </c>
      <c r="F28" t="str">
        <f t="shared" si="5"/>
        <v/>
      </c>
    </row>
    <row r="29" spans="1:6" x14ac:dyDescent="0.3">
      <c r="A29" t="s">
        <v>1002</v>
      </c>
      <c r="B29">
        <v>1</v>
      </c>
      <c r="D29" t="str">
        <f t="shared" si="3"/>
        <v>0046</v>
      </c>
      <c r="E29" t="str">
        <f t="shared" si="4"/>
        <v>0</v>
      </c>
      <c r="F29" t="str">
        <f t="shared" si="5"/>
        <v/>
      </c>
    </row>
    <row r="30" spans="1:6" x14ac:dyDescent="0.3">
      <c r="A30" t="s">
        <v>1004</v>
      </c>
      <c r="B30">
        <v>1</v>
      </c>
      <c r="D30" t="str">
        <f t="shared" si="3"/>
        <v>0047</v>
      </c>
      <c r="E30" t="str">
        <f t="shared" si="4"/>
        <v>0</v>
      </c>
      <c r="F30" t="str">
        <f t="shared" si="5"/>
        <v/>
      </c>
    </row>
    <row r="31" spans="1:6" x14ac:dyDescent="0.3">
      <c r="A31" t="s">
        <v>1006</v>
      </c>
      <c r="B31">
        <v>1</v>
      </c>
      <c r="D31" t="str">
        <f t="shared" si="3"/>
        <v>0048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1008</v>
      </c>
      <c r="B32">
        <v>1</v>
      </c>
      <c r="D32" t="str">
        <f t="shared" si="3"/>
        <v>0049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1009</v>
      </c>
      <c r="B33">
        <v>1</v>
      </c>
      <c r="D33" t="str">
        <f t="shared" si="3"/>
        <v>0050</v>
      </c>
      <c r="E33" t="str">
        <f t="shared" si="4"/>
        <v>0</v>
      </c>
      <c r="F33" t="str">
        <f t="shared" si="5"/>
        <v/>
      </c>
    </row>
    <row r="34" spans="1:6" x14ac:dyDescent="0.3">
      <c r="A34" t="s">
        <v>1010</v>
      </c>
      <c r="B34">
        <v>1</v>
      </c>
      <c r="D34" t="str">
        <f t="shared" si="3"/>
        <v>0059</v>
      </c>
      <c r="E34" t="str">
        <f t="shared" si="4"/>
        <v>0</v>
      </c>
      <c r="F34" t="str">
        <f t="shared" si="5"/>
        <v/>
      </c>
    </row>
    <row r="35" spans="1:6" x14ac:dyDescent="0.3">
      <c r="A35" t="s">
        <v>1011</v>
      </c>
      <c r="B35">
        <v>1</v>
      </c>
      <c r="D35" t="str">
        <f t="shared" si="3"/>
        <v>0060</v>
      </c>
      <c r="E35" t="str">
        <f t="shared" si="4"/>
        <v>0</v>
      </c>
      <c r="F35" t="str">
        <f t="shared" si="5"/>
        <v/>
      </c>
    </row>
    <row r="36" spans="1:6" x14ac:dyDescent="0.3">
      <c r="A36" t="s">
        <v>1012</v>
      </c>
      <c r="B36">
        <v>1</v>
      </c>
      <c r="D36" t="str">
        <f t="shared" si="3"/>
        <v>0063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1013</v>
      </c>
      <c r="B37">
        <v>1</v>
      </c>
      <c r="D37" t="str">
        <f t="shared" si="3"/>
        <v>0064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1014</v>
      </c>
      <c r="B38">
        <v>1</v>
      </c>
      <c r="D38" t="str">
        <f t="shared" si="3"/>
        <v>0074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1016</v>
      </c>
      <c r="B39">
        <v>1</v>
      </c>
      <c r="D39" t="str">
        <f t="shared" si="3"/>
        <v>0075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1018</v>
      </c>
      <c r="B40">
        <v>1</v>
      </c>
      <c r="D40" t="str">
        <f t="shared" si="3"/>
        <v>0076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1020</v>
      </c>
      <c r="B41">
        <v>1</v>
      </c>
      <c r="D41" t="str">
        <f t="shared" si="3"/>
        <v>0077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1021</v>
      </c>
      <c r="B42">
        <v>1</v>
      </c>
      <c r="D42" t="str">
        <f t="shared" si="3"/>
        <v>0078</v>
      </c>
      <c r="E42" t="str">
        <f t="shared" si="4"/>
        <v>0</v>
      </c>
      <c r="F42" t="str">
        <f t="shared" si="5"/>
        <v/>
      </c>
    </row>
    <row r="43" spans="1:6" x14ac:dyDescent="0.3">
      <c r="A43" t="s">
        <v>1022</v>
      </c>
      <c r="B43">
        <v>1</v>
      </c>
      <c r="D43" t="str">
        <f t="shared" si="3"/>
        <v>0079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1023</v>
      </c>
      <c r="B44">
        <v>1</v>
      </c>
      <c r="D44" t="str">
        <f t="shared" si="3"/>
        <v>0080</v>
      </c>
      <c r="E44" t="str">
        <f t="shared" si="4"/>
        <v>0</v>
      </c>
      <c r="F44" t="str">
        <f t="shared" si="5"/>
        <v/>
      </c>
    </row>
    <row r="45" spans="1:6" x14ac:dyDescent="0.3">
      <c r="A45" t="s">
        <v>1025</v>
      </c>
      <c r="B45">
        <v>1</v>
      </c>
      <c r="D45" t="str">
        <f t="shared" si="3"/>
        <v>0081</v>
      </c>
      <c r="E45" t="str">
        <f t="shared" si="4"/>
        <v>0</v>
      </c>
      <c r="F45" t="str">
        <f t="shared" si="5"/>
        <v/>
      </c>
    </row>
    <row r="46" spans="1:6" x14ac:dyDescent="0.3">
      <c r="A46" t="s">
        <v>1027</v>
      </c>
      <c r="B46">
        <v>1</v>
      </c>
      <c r="D46" t="str">
        <f t="shared" si="3"/>
        <v>0082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1029</v>
      </c>
      <c r="B47">
        <v>1</v>
      </c>
      <c r="D47" t="str">
        <f t="shared" si="3"/>
        <v>0083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1031</v>
      </c>
      <c r="B48">
        <v>1</v>
      </c>
      <c r="D48" t="str">
        <f t="shared" si="3"/>
        <v>0087</v>
      </c>
      <c r="E48" t="str">
        <f t="shared" si="4"/>
        <v>0</v>
      </c>
      <c r="F48" t="str">
        <f t="shared" si="5"/>
        <v/>
      </c>
    </row>
    <row r="49" spans="1:6" x14ac:dyDescent="0.3">
      <c r="A49" t="s">
        <v>1033</v>
      </c>
      <c r="B49">
        <v>1</v>
      </c>
      <c r="D49" t="str">
        <f t="shared" si="3"/>
        <v>0088</v>
      </c>
      <c r="E49" t="str">
        <f t="shared" si="4"/>
        <v>0</v>
      </c>
      <c r="F49" t="str">
        <f t="shared" si="5"/>
        <v/>
      </c>
    </row>
    <row r="50" spans="1:6" x14ac:dyDescent="0.3">
      <c r="A50" t="s">
        <v>1034</v>
      </c>
      <c r="B50">
        <v>1</v>
      </c>
      <c r="D50" t="str">
        <f t="shared" si="3"/>
        <v>0089</v>
      </c>
      <c r="E50" t="str">
        <f t="shared" si="4"/>
        <v>0</v>
      </c>
      <c r="F50" t="str">
        <f t="shared" si="5"/>
        <v/>
      </c>
    </row>
    <row r="51" spans="1:6" x14ac:dyDescent="0.3">
      <c r="A51" t="s">
        <v>1036</v>
      </c>
      <c r="B51">
        <v>1</v>
      </c>
      <c r="D51" t="str">
        <f t="shared" si="3"/>
        <v>0090</v>
      </c>
      <c r="E51" t="str">
        <f t="shared" si="4"/>
        <v>0</v>
      </c>
      <c r="F51" t="str">
        <f t="shared" si="5"/>
        <v/>
      </c>
    </row>
    <row r="52" spans="1:6" x14ac:dyDescent="0.3">
      <c r="A52" t="s">
        <v>1037</v>
      </c>
      <c r="B52">
        <v>1</v>
      </c>
      <c r="D52" t="str">
        <f t="shared" si="3"/>
        <v>0091</v>
      </c>
      <c r="E52" t="str">
        <f t="shared" si="4"/>
        <v>0</v>
      </c>
      <c r="F52" t="str">
        <f t="shared" si="5"/>
        <v/>
      </c>
    </row>
    <row r="53" spans="1:6" x14ac:dyDescent="0.3">
      <c r="A53" t="s">
        <v>1039</v>
      </c>
      <c r="B53">
        <v>1</v>
      </c>
      <c r="D53" t="str">
        <f t="shared" si="3"/>
        <v>0100</v>
      </c>
      <c r="E53" t="str">
        <f t="shared" si="4"/>
        <v>0</v>
      </c>
      <c r="F53" t="str">
        <f t="shared" si="5"/>
        <v/>
      </c>
    </row>
    <row r="54" spans="1:6" x14ac:dyDescent="0.3">
      <c r="A54" t="s">
        <v>1040</v>
      </c>
      <c r="B54">
        <v>1</v>
      </c>
      <c r="D54" t="str">
        <f t="shared" si="3"/>
        <v>0103</v>
      </c>
      <c r="E54" t="str">
        <f t="shared" si="4"/>
        <v>0</v>
      </c>
      <c r="F54" t="str">
        <f t="shared" si="5"/>
        <v/>
      </c>
    </row>
    <row r="55" spans="1:6" x14ac:dyDescent="0.3">
      <c r="A55" t="s">
        <v>1042</v>
      </c>
      <c r="B55">
        <v>1</v>
      </c>
      <c r="D55" t="str">
        <f t="shared" si="3"/>
        <v>0104</v>
      </c>
      <c r="E55" t="str">
        <f t="shared" si="4"/>
        <v>0</v>
      </c>
      <c r="F55" t="str">
        <f t="shared" si="5"/>
        <v/>
      </c>
    </row>
    <row r="56" spans="1:6" x14ac:dyDescent="0.3">
      <c r="A56" t="s">
        <v>1043</v>
      </c>
      <c r="B56">
        <v>1</v>
      </c>
      <c r="D56" t="str">
        <f t="shared" si="3"/>
        <v>0105</v>
      </c>
      <c r="E56" t="str">
        <f t="shared" si="4"/>
        <v>0</v>
      </c>
      <c r="F56" t="str">
        <f t="shared" si="5"/>
        <v/>
      </c>
    </row>
    <row r="57" spans="1:6" x14ac:dyDescent="0.3">
      <c r="A57" t="s">
        <v>1044</v>
      </c>
      <c r="B57">
        <v>1</v>
      </c>
      <c r="D57" t="str">
        <f t="shared" si="3"/>
        <v>0106</v>
      </c>
      <c r="E57" t="str">
        <f t="shared" si="4"/>
        <v>0</v>
      </c>
      <c r="F57" t="str">
        <f t="shared" si="5"/>
        <v/>
      </c>
    </row>
    <row r="58" spans="1:6" x14ac:dyDescent="0.3">
      <c r="A58" t="s">
        <v>1045</v>
      </c>
      <c r="B58">
        <v>1</v>
      </c>
      <c r="D58" t="str">
        <f t="shared" si="3"/>
        <v>0107</v>
      </c>
      <c r="E58" t="str">
        <f t="shared" si="4"/>
        <v>0</v>
      </c>
      <c r="F58" t="str">
        <f t="shared" si="5"/>
        <v/>
      </c>
    </row>
    <row r="59" spans="1:6" x14ac:dyDescent="0.3">
      <c r="A59" t="s">
        <v>1047</v>
      </c>
      <c r="B59">
        <v>1</v>
      </c>
      <c r="D59" t="str">
        <f t="shared" si="3"/>
        <v>0108</v>
      </c>
      <c r="E59" t="str">
        <f t="shared" si="4"/>
        <v>0</v>
      </c>
      <c r="F59" t="str">
        <f t="shared" si="5"/>
        <v/>
      </c>
    </row>
    <row r="60" spans="1:6" x14ac:dyDescent="0.3">
      <c r="A60" t="s">
        <v>1049</v>
      </c>
      <c r="B60">
        <v>1</v>
      </c>
      <c r="D60" t="str">
        <f t="shared" si="3"/>
        <v>0109</v>
      </c>
      <c r="E60" t="str">
        <f t="shared" si="4"/>
        <v>0</v>
      </c>
      <c r="F60" t="str">
        <f t="shared" si="5"/>
        <v/>
      </c>
    </row>
    <row r="61" spans="1:6" x14ac:dyDescent="0.3">
      <c r="A61" t="s">
        <v>1051</v>
      </c>
      <c r="B61">
        <v>1</v>
      </c>
      <c r="D61" t="str">
        <f t="shared" si="3"/>
        <v>0110</v>
      </c>
      <c r="E61" t="str">
        <f t="shared" si="4"/>
        <v>0</v>
      </c>
      <c r="F61" t="str">
        <f t="shared" si="5"/>
        <v/>
      </c>
    </row>
    <row r="62" spans="1:6" x14ac:dyDescent="0.3">
      <c r="A62" t="s">
        <v>1053</v>
      </c>
      <c r="B62">
        <v>1</v>
      </c>
      <c r="D62" t="str">
        <f t="shared" si="3"/>
        <v>0111</v>
      </c>
      <c r="E62" t="str">
        <f t="shared" si="4"/>
        <v>0</v>
      </c>
      <c r="F62" t="str">
        <f t="shared" si="5"/>
        <v/>
      </c>
    </row>
    <row r="63" spans="1:6" x14ac:dyDescent="0.3">
      <c r="A63" t="s">
        <v>1054</v>
      </c>
      <c r="B63">
        <v>1</v>
      </c>
      <c r="D63" t="str">
        <f t="shared" si="3"/>
        <v>0112</v>
      </c>
      <c r="E63" t="str">
        <f t="shared" si="4"/>
        <v>0</v>
      </c>
      <c r="F63" t="str">
        <f t="shared" si="5"/>
        <v/>
      </c>
    </row>
    <row r="64" spans="1:6" x14ac:dyDescent="0.3">
      <c r="A64" t="s">
        <v>1055</v>
      </c>
      <c r="B64">
        <v>1</v>
      </c>
      <c r="D64" t="str">
        <f t="shared" si="3"/>
        <v>0113</v>
      </c>
      <c r="E64" t="str">
        <f t="shared" si="4"/>
        <v>0</v>
      </c>
      <c r="F64" t="str">
        <f t="shared" si="5"/>
        <v/>
      </c>
    </row>
    <row r="65" spans="1:6" x14ac:dyDescent="0.3">
      <c r="A65" t="s">
        <v>1057</v>
      </c>
      <c r="B65">
        <v>1</v>
      </c>
      <c r="D65" t="str">
        <f t="shared" si="3"/>
        <v>0114</v>
      </c>
      <c r="E65" t="str">
        <f t="shared" si="4"/>
        <v>0</v>
      </c>
      <c r="F65" t="str">
        <f t="shared" si="5"/>
        <v/>
      </c>
    </row>
    <row r="66" spans="1:6" x14ac:dyDescent="0.3">
      <c r="A66" t="s">
        <v>1058</v>
      </c>
      <c r="B66">
        <v>1</v>
      </c>
      <c r="D66" t="str">
        <f t="shared" si="3"/>
        <v>0121</v>
      </c>
      <c r="E66" t="str">
        <f t="shared" si="4"/>
        <v>0</v>
      </c>
      <c r="F66" t="str">
        <f t="shared" si="5"/>
        <v/>
      </c>
    </row>
    <row r="67" spans="1:6" x14ac:dyDescent="0.3">
      <c r="A67" t="s">
        <v>1059</v>
      </c>
      <c r="B67">
        <v>1</v>
      </c>
      <c r="D67" t="str">
        <f t="shared" ref="D67:D130" si="6">IF(LEFT(A67,2)="SP",MID(A67,4,4),IF(LEFT(A67,1)="X",MID(A67,3,4),""))</f>
        <v>0130</v>
      </c>
      <c r="E67" t="str">
        <f t="shared" ref="E67:E130" si="7">IF(OR(LEFT(A67,2)="SP",AND(LEFT(A67,1)="X",LEN(A67)&gt;9)),RIGHT(A67,1),"")</f>
        <v>0</v>
      </c>
      <c r="F67" t="str">
        <f t="shared" ref="F67:F130" si="8">IF(LEFT(A67,1)="X",MID(A67,8,2),"")</f>
        <v/>
      </c>
    </row>
    <row r="68" spans="1:6" x14ac:dyDescent="0.3">
      <c r="A68" t="s">
        <v>1060</v>
      </c>
      <c r="B68">
        <v>1</v>
      </c>
      <c r="D68" t="str">
        <f t="shared" si="6"/>
        <v>0132</v>
      </c>
      <c r="E68" t="str">
        <f t="shared" si="7"/>
        <v>0</v>
      </c>
      <c r="F68" t="str">
        <f t="shared" si="8"/>
        <v/>
      </c>
    </row>
    <row r="69" spans="1:6" x14ac:dyDescent="0.3">
      <c r="A69" t="s">
        <v>1061</v>
      </c>
      <c r="B69">
        <v>1</v>
      </c>
      <c r="D69" t="str">
        <f t="shared" si="6"/>
        <v>0133</v>
      </c>
      <c r="E69" t="str">
        <f t="shared" si="7"/>
        <v>0</v>
      </c>
      <c r="F69" t="str">
        <f t="shared" si="8"/>
        <v/>
      </c>
    </row>
    <row r="70" spans="1:6" x14ac:dyDescent="0.3">
      <c r="A70" t="s">
        <v>1062</v>
      </c>
      <c r="B70">
        <v>1</v>
      </c>
      <c r="D70" t="str">
        <f t="shared" si="6"/>
        <v>0134</v>
      </c>
      <c r="E70" t="str">
        <f t="shared" si="7"/>
        <v>0</v>
      </c>
      <c r="F70" t="str">
        <f t="shared" si="8"/>
        <v/>
      </c>
    </row>
    <row r="71" spans="1:6" x14ac:dyDescent="0.3">
      <c r="A71" t="s">
        <v>1064</v>
      </c>
      <c r="B71">
        <v>1</v>
      </c>
      <c r="D71" t="str">
        <f t="shared" si="6"/>
        <v>0135</v>
      </c>
      <c r="E71" t="str">
        <f t="shared" si="7"/>
        <v>0</v>
      </c>
      <c r="F71" t="str">
        <f t="shared" si="8"/>
        <v/>
      </c>
    </row>
    <row r="72" spans="1:6" x14ac:dyDescent="0.3">
      <c r="A72" t="s">
        <v>1066</v>
      </c>
      <c r="B72">
        <v>1</v>
      </c>
      <c r="D72" t="str">
        <f t="shared" si="6"/>
        <v>0265</v>
      </c>
      <c r="E72" t="str">
        <f t="shared" si="7"/>
        <v>0</v>
      </c>
      <c r="F72" t="str">
        <f t="shared" si="8"/>
        <v/>
      </c>
    </row>
    <row r="73" spans="1:6" x14ac:dyDescent="0.3">
      <c r="A73" t="s">
        <v>1068</v>
      </c>
      <c r="B73">
        <v>1</v>
      </c>
      <c r="D73" t="str">
        <f t="shared" si="6"/>
        <v>0268</v>
      </c>
      <c r="E73" t="str">
        <f t="shared" si="7"/>
        <v>0</v>
      </c>
      <c r="F73" t="str">
        <f t="shared" si="8"/>
        <v/>
      </c>
    </row>
    <row r="74" spans="1:6" x14ac:dyDescent="0.3">
      <c r="A74" t="s">
        <v>1070</v>
      </c>
      <c r="B74">
        <v>1</v>
      </c>
      <c r="D74" t="str">
        <f t="shared" si="6"/>
        <v>0269</v>
      </c>
      <c r="E74" t="str">
        <f t="shared" si="7"/>
        <v>0</v>
      </c>
      <c r="F74" t="str">
        <f t="shared" si="8"/>
        <v/>
      </c>
    </row>
    <row r="75" spans="1:6" x14ac:dyDescent="0.3">
      <c r="A75" t="s">
        <v>1072</v>
      </c>
      <c r="B75">
        <v>1</v>
      </c>
      <c r="D75" t="str">
        <f t="shared" si="6"/>
        <v>0270</v>
      </c>
      <c r="E75" t="str">
        <f t="shared" si="7"/>
        <v>0</v>
      </c>
      <c r="F75" t="str">
        <f t="shared" si="8"/>
        <v/>
      </c>
    </row>
    <row r="76" spans="1:6" x14ac:dyDescent="0.3">
      <c r="A76" t="s">
        <v>1074</v>
      </c>
      <c r="B76">
        <v>1</v>
      </c>
      <c r="D76" t="str">
        <f t="shared" si="6"/>
        <v>0271</v>
      </c>
      <c r="E76" t="str">
        <f t="shared" si="7"/>
        <v>0</v>
      </c>
      <c r="F76" t="str">
        <f t="shared" si="8"/>
        <v/>
      </c>
    </row>
    <row r="77" spans="1:6" x14ac:dyDescent="0.3">
      <c r="A77" t="s">
        <v>1076</v>
      </c>
      <c r="B77">
        <v>1</v>
      </c>
      <c r="D77" t="str">
        <f t="shared" si="6"/>
        <v>0272</v>
      </c>
      <c r="E77" t="str">
        <f t="shared" si="7"/>
        <v>0</v>
      </c>
      <c r="F77" t="str">
        <f t="shared" si="8"/>
        <v/>
      </c>
    </row>
    <row r="78" spans="1:6" x14ac:dyDescent="0.3">
      <c r="A78" t="s">
        <v>1078</v>
      </c>
      <c r="B78">
        <v>1</v>
      </c>
      <c r="D78" t="str">
        <f t="shared" si="6"/>
        <v>0275</v>
      </c>
      <c r="E78" t="str">
        <f t="shared" si="7"/>
        <v>0</v>
      </c>
      <c r="F78" t="str">
        <f t="shared" si="8"/>
        <v/>
      </c>
    </row>
    <row r="79" spans="1:6" x14ac:dyDescent="0.3">
      <c r="A79" t="s">
        <v>1079</v>
      </c>
      <c r="B79">
        <v>1</v>
      </c>
      <c r="D79" t="str">
        <f t="shared" si="6"/>
        <v>0313</v>
      </c>
      <c r="E79" t="str">
        <f t="shared" si="7"/>
        <v>0</v>
      </c>
      <c r="F79" t="str">
        <f t="shared" si="8"/>
        <v/>
      </c>
    </row>
    <row r="80" spans="1:6" x14ac:dyDescent="0.3">
      <c r="A80" t="s">
        <v>1081</v>
      </c>
      <c r="B80">
        <v>1</v>
      </c>
      <c r="D80" t="str">
        <f t="shared" si="6"/>
        <v>0314</v>
      </c>
      <c r="E80" t="str">
        <f t="shared" si="7"/>
        <v>0</v>
      </c>
      <c r="F80" t="str">
        <f t="shared" si="8"/>
        <v/>
      </c>
    </row>
    <row r="81" spans="1:6" x14ac:dyDescent="0.3">
      <c r="A81" t="s">
        <v>1083</v>
      </c>
      <c r="B81">
        <v>1</v>
      </c>
      <c r="D81" t="str">
        <f t="shared" si="6"/>
        <v>0315</v>
      </c>
      <c r="E81" t="str">
        <f t="shared" si="7"/>
        <v>0</v>
      </c>
      <c r="F81" t="str">
        <f t="shared" si="8"/>
        <v/>
      </c>
    </row>
    <row r="82" spans="1:6" x14ac:dyDescent="0.3">
      <c r="A82" t="s">
        <v>1085</v>
      </c>
      <c r="B82">
        <v>1</v>
      </c>
      <c r="D82" t="str">
        <f t="shared" si="6"/>
        <v>0316</v>
      </c>
      <c r="E82" t="str">
        <f t="shared" si="7"/>
        <v>0</v>
      </c>
      <c r="F82" t="str">
        <f t="shared" si="8"/>
        <v/>
      </c>
    </row>
    <row r="83" spans="1:6" x14ac:dyDescent="0.3">
      <c r="A83" t="s">
        <v>1087</v>
      </c>
      <c r="B83">
        <v>1</v>
      </c>
      <c r="D83" t="str">
        <f t="shared" si="6"/>
        <v>0319</v>
      </c>
      <c r="E83" t="str">
        <f t="shared" si="7"/>
        <v>0</v>
      </c>
      <c r="F83" t="str">
        <f t="shared" si="8"/>
        <v/>
      </c>
    </row>
    <row r="84" spans="1:6" x14ac:dyDescent="0.3">
      <c r="A84" t="s">
        <v>1088</v>
      </c>
      <c r="B84">
        <v>1</v>
      </c>
      <c r="D84" t="str">
        <f t="shared" si="6"/>
        <v>0323</v>
      </c>
      <c r="E84" t="str">
        <f t="shared" si="7"/>
        <v>0</v>
      </c>
      <c r="F84" t="str">
        <f t="shared" si="8"/>
        <v/>
      </c>
    </row>
    <row r="85" spans="1:6" x14ac:dyDescent="0.3">
      <c r="A85" t="s">
        <v>1090</v>
      </c>
      <c r="B85">
        <v>1</v>
      </c>
      <c r="D85" t="str">
        <f t="shared" si="6"/>
        <v>0328</v>
      </c>
      <c r="E85" t="str">
        <f t="shared" si="7"/>
        <v>0</v>
      </c>
      <c r="F85" t="str">
        <f t="shared" si="8"/>
        <v/>
      </c>
    </row>
    <row r="86" spans="1:6" x14ac:dyDescent="0.3">
      <c r="A86" t="s">
        <v>1092</v>
      </c>
      <c r="B86">
        <v>1</v>
      </c>
      <c r="D86" t="str">
        <f t="shared" si="6"/>
        <v>0335</v>
      </c>
      <c r="E86" t="str">
        <f t="shared" si="7"/>
        <v>0</v>
      </c>
      <c r="F86" t="str">
        <f t="shared" si="8"/>
        <v/>
      </c>
    </row>
    <row r="87" spans="1:6" x14ac:dyDescent="0.3">
      <c r="A87" t="s">
        <v>1093</v>
      </c>
      <c r="B87">
        <v>1</v>
      </c>
      <c r="D87" t="str">
        <f t="shared" si="6"/>
        <v>0336</v>
      </c>
      <c r="E87" t="str">
        <f t="shared" si="7"/>
        <v>0</v>
      </c>
      <c r="F87" t="str">
        <f t="shared" si="8"/>
        <v/>
      </c>
    </row>
    <row r="88" spans="1:6" x14ac:dyDescent="0.3">
      <c r="A88" t="s">
        <v>1095</v>
      </c>
      <c r="B88">
        <v>1</v>
      </c>
      <c r="D88" t="str">
        <f t="shared" si="6"/>
        <v>0341</v>
      </c>
      <c r="E88" t="str">
        <f t="shared" si="7"/>
        <v>0</v>
      </c>
      <c r="F88" t="str">
        <f t="shared" si="8"/>
        <v/>
      </c>
    </row>
    <row r="89" spans="1:6" x14ac:dyDescent="0.3">
      <c r="A89" t="s">
        <v>1097</v>
      </c>
      <c r="B89">
        <v>1</v>
      </c>
      <c r="D89" t="str">
        <f t="shared" si="6"/>
        <v>0347</v>
      </c>
      <c r="E89" t="str">
        <f t="shared" si="7"/>
        <v>0</v>
      </c>
      <c r="F89" t="str">
        <f t="shared" si="8"/>
        <v/>
      </c>
    </row>
    <row r="90" spans="1:6" x14ac:dyDescent="0.3">
      <c r="A90" t="s">
        <v>1099</v>
      </c>
      <c r="B90">
        <v>1</v>
      </c>
      <c r="D90" t="str">
        <f t="shared" si="6"/>
        <v>0348</v>
      </c>
      <c r="E90" t="str">
        <f t="shared" si="7"/>
        <v>0</v>
      </c>
      <c r="F90" t="str">
        <f t="shared" si="8"/>
        <v/>
      </c>
    </row>
    <row r="91" spans="1:6" x14ac:dyDescent="0.3">
      <c r="A91" t="s">
        <v>1100</v>
      </c>
      <c r="B91">
        <v>1</v>
      </c>
      <c r="D91" t="str">
        <f t="shared" si="6"/>
        <v>0349</v>
      </c>
      <c r="E91" t="str">
        <f t="shared" si="7"/>
        <v>0</v>
      </c>
      <c r="F91" t="str">
        <f t="shared" si="8"/>
        <v/>
      </c>
    </row>
    <row r="92" spans="1:6" x14ac:dyDescent="0.3">
      <c r="A92" t="s">
        <v>1102</v>
      </c>
      <c r="B92">
        <v>1</v>
      </c>
      <c r="D92" t="str">
        <f t="shared" si="6"/>
        <v>0350</v>
      </c>
      <c r="E92" t="str">
        <f t="shared" si="7"/>
        <v>0</v>
      </c>
      <c r="F92" t="str">
        <f t="shared" si="8"/>
        <v/>
      </c>
    </row>
    <row r="93" spans="1:6" x14ac:dyDescent="0.3">
      <c r="A93" t="s">
        <v>1104</v>
      </c>
      <c r="B93">
        <v>1</v>
      </c>
      <c r="D93" t="str">
        <f t="shared" si="6"/>
        <v>0351</v>
      </c>
      <c r="E93" t="str">
        <f t="shared" si="7"/>
        <v>0</v>
      </c>
      <c r="F93" t="str">
        <f t="shared" si="8"/>
        <v/>
      </c>
    </row>
    <row r="94" spans="1:6" x14ac:dyDescent="0.3">
      <c r="A94" t="s">
        <v>1105</v>
      </c>
      <c r="B94">
        <v>1</v>
      </c>
      <c r="D94" t="str">
        <f t="shared" si="6"/>
        <v>0353</v>
      </c>
      <c r="E94" t="str">
        <f t="shared" si="7"/>
        <v>0</v>
      </c>
      <c r="F94" t="str">
        <f t="shared" si="8"/>
        <v/>
      </c>
    </row>
    <row r="95" spans="1:6" x14ac:dyDescent="0.3">
      <c r="A95" t="s">
        <v>1107</v>
      </c>
      <c r="B95">
        <v>1</v>
      </c>
      <c r="D95" t="str">
        <f t="shared" si="6"/>
        <v>0359</v>
      </c>
      <c r="E95" t="str">
        <f t="shared" si="7"/>
        <v>0</v>
      </c>
      <c r="F95" t="str">
        <f t="shared" si="8"/>
        <v/>
      </c>
    </row>
    <row r="96" spans="1:6" x14ac:dyDescent="0.3">
      <c r="A96" t="s">
        <v>1109</v>
      </c>
      <c r="B96">
        <v>1</v>
      </c>
      <c r="D96" t="str">
        <f t="shared" si="6"/>
        <v>0364</v>
      </c>
      <c r="E96" t="str">
        <f t="shared" si="7"/>
        <v>0</v>
      </c>
      <c r="F96" t="str">
        <f t="shared" si="8"/>
        <v/>
      </c>
    </row>
    <row r="97" spans="1:6" x14ac:dyDescent="0.3">
      <c r="A97" t="s">
        <v>1110</v>
      </c>
      <c r="B97">
        <v>1</v>
      </c>
      <c r="D97" t="str">
        <f t="shared" si="6"/>
        <v>0366</v>
      </c>
      <c r="E97" t="str">
        <f t="shared" si="7"/>
        <v>0</v>
      </c>
      <c r="F97" t="str">
        <f t="shared" si="8"/>
        <v/>
      </c>
    </row>
    <row r="98" spans="1:6" x14ac:dyDescent="0.3">
      <c r="A98" t="s">
        <v>1112</v>
      </c>
      <c r="B98">
        <v>1</v>
      </c>
      <c r="D98" t="str">
        <f t="shared" si="6"/>
        <v>0367</v>
      </c>
      <c r="E98" t="str">
        <f t="shared" si="7"/>
        <v>0</v>
      </c>
      <c r="F98" t="str">
        <f t="shared" si="8"/>
        <v/>
      </c>
    </row>
    <row r="99" spans="1:6" x14ac:dyDescent="0.3">
      <c r="A99" t="s">
        <v>1114</v>
      </c>
      <c r="B99">
        <v>1</v>
      </c>
      <c r="D99" t="str">
        <f t="shared" si="6"/>
        <v>0369</v>
      </c>
      <c r="E99" t="str">
        <f t="shared" si="7"/>
        <v>0</v>
      </c>
      <c r="F99" t="str">
        <f t="shared" si="8"/>
        <v/>
      </c>
    </row>
    <row r="100" spans="1:6" x14ac:dyDescent="0.3">
      <c r="A100" t="s">
        <v>1116</v>
      </c>
      <c r="B100">
        <v>1</v>
      </c>
      <c r="D100" t="str">
        <f t="shared" si="6"/>
        <v>0375</v>
      </c>
      <c r="E100" t="str">
        <f t="shared" si="7"/>
        <v>0</v>
      </c>
      <c r="F100" t="str">
        <f t="shared" si="8"/>
        <v/>
      </c>
    </row>
    <row r="101" spans="1:6" x14ac:dyDescent="0.3">
      <c r="A101" t="s">
        <v>1117</v>
      </c>
      <c r="B101">
        <v>1</v>
      </c>
      <c r="D101" t="str">
        <f t="shared" si="6"/>
        <v>0377</v>
      </c>
      <c r="E101" t="str">
        <f t="shared" si="7"/>
        <v>0</v>
      </c>
      <c r="F101" t="str">
        <f t="shared" si="8"/>
        <v/>
      </c>
    </row>
    <row r="102" spans="1:6" x14ac:dyDescent="0.3">
      <c r="A102" t="s">
        <v>1119</v>
      </c>
      <c r="B102">
        <v>1</v>
      </c>
      <c r="D102" t="str">
        <f t="shared" si="6"/>
        <v>0378</v>
      </c>
      <c r="E102" t="str">
        <f t="shared" si="7"/>
        <v>0</v>
      </c>
      <c r="F102" t="str">
        <f t="shared" si="8"/>
        <v/>
      </c>
    </row>
    <row r="103" spans="1:6" x14ac:dyDescent="0.3">
      <c r="A103" t="s">
        <v>1120</v>
      </c>
      <c r="B103">
        <v>1</v>
      </c>
      <c r="D103" t="str">
        <f t="shared" si="6"/>
        <v>0380</v>
      </c>
      <c r="E103" t="str">
        <f t="shared" si="7"/>
        <v>0</v>
      </c>
      <c r="F103" t="str">
        <f t="shared" si="8"/>
        <v/>
      </c>
    </row>
    <row r="104" spans="1:6" x14ac:dyDescent="0.3">
      <c r="A104" t="s">
        <v>1122</v>
      </c>
      <c r="B104">
        <v>1</v>
      </c>
      <c r="D104" t="str">
        <f t="shared" si="6"/>
        <v>0385</v>
      </c>
      <c r="E104" t="str">
        <f t="shared" si="7"/>
        <v>0</v>
      </c>
      <c r="F104" t="str">
        <f t="shared" si="8"/>
        <v/>
      </c>
    </row>
    <row r="105" spans="1:6" x14ac:dyDescent="0.3">
      <c r="A105" t="s">
        <v>1124</v>
      </c>
      <c r="B105">
        <v>1</v>
      </c>
      <c r="D105" t="str">
        <f t="shared" si="6"/>
        <v>0387</v>
      </c>
      <c r="E105" t="str">
        <f t="shared" si="7"/>
        <v>0</v>
      </c>
      <c r="F105" t="str">
        <f t="shared" si="8"/>
        <v/>
      </c>
    </row>
    <row r="106" spans="1:6" x14ac:dyDescent="0.3">
      <c r="A106" t="s">
        <v>1126</v>
      </c>
      <c r="B106">
        <v>1</v>
      </c>
      <c r="D106" t="str">
        <f t="shared" si="6"/>
        <v>0391</v>
      </c>
      <c r="E106" t="str">
        <f t="shared" si="7"/>
        <v>0</v>
      </c>
      <c r="F106" t="str">
        <f t="shared" si="8"/>
        <v/>
      </c>
    </row>
    <row r="107" spans="1:6" x14ac:dyDescent="0.3">
      <c r="A107" t="s">
        <v>1128</v>
      </c>
      <c r="B107">
        <v>1</v>
      </c>
      <c r="D107" t="str">
        <f t="shared" si="6"/>
        <v>0392</v>
      </c>
      <c r="E107" t="str">
        <f t="shared" si="7"/>
        <v>0</v>
      </c>
      <c r="F107" t="str">
        <f t="shared" si="8"/>
        <v/>
      </c>
    </row>
    <row r="108" spans="1:6" x14ac:dyDescent="0.3">
      <c r="A108" t="s">
        <v>1130</v>
      </c>
      <c r="B108">
        <v>1</v>
      </c>
      <c r="D108" t="str">
        <f t="shared" si="6"/>
        <v>0393</v>
      </c>
      <c r="E108" t="str">
        <f t="shared" si="7"/>
        <v>0</v>
      </c>
      <c r="F108" t="str">
        <f t="shared" si="8"/>
        <v/>
      </c>
    </row>
    <row r="109" spans="1:6" x14ac:dyDescent="0.3">
      <c r="A109" t="s">
        <v>1132</v>
      </c>
      <c r="B109">
        <v>1</v>
      </c>
      <c r="D109" t="str">
        <f t="shared" si="6"/>
        <v>0397</v>
      </c>
      <c r="E109" t="str">
        <f t="shared" si="7"/>
        <v>0</v>
      </c>
      <c r="F109" t="str">
        <f t="shared" si="8"/>
        <v/>
      </c>
    </row>
    <row r="110" spans="1:6" x14ac:dyDescent="0.3">
      <c r="A110" t="s">
        <v>1134</v>
      </c>
      <c r="B110">
        <v>1</v>
      </c>
      <c r="D110" t="str">
        <f t="shared" si="6"/>
        <v>0398</v>
      </c>
      <c r="E110" t="str">
        <f t="shared" si="7"/>
        <v>0</v>
      </c>
      <c r="F110" t="str">
        <f t="shared" si="8"/>
        <v/>
      </c>
    </row>
    <row r="111" spans="1:6" x14ac:dyDescent="0.3">
      <c r="A111" t="s">
        <v>1136</v>
      </c>
      <c r="B111">
        <v>1</v>
      </c>
      <c r="D111" t="str">
        <f t="shared" si="6"/>
        <v>0399</v>
      </c>
      <c r="E111" t="str">
        <f t="shared" si="7"/>
        <v>0</v>
      </c>
      <c r="F111" t="str">
        <f t="shared" si="8"/>
        <v/>
      </c>
    </row>
    <row r="112" spans="1:6" x14ac:dyDescent="0.3">
      <c r="A112" t="s">
        <v>1138</v>
      </c>
      <c r="B112">
        <v>1</v>
      </c>
      <c r="D112" t="str">
        <f t="shared" si="6"/>
        <v>0400</v>
      </c>
      <c r="E112" t="str">
        <f t="shared" si="7"/>
        <v>0</v>
      </c>
      <c r="F112" t="str">
        <f t="shared" si="8"/>
        <v/>
      </c>
    </row>
    <row r="113" spans="1:6" x14ac:dyDescent="0.3">
      <c r="A113" t="s">
        <v>1139</v>
      </c>
      <c r="B113">
        <v>1</v>
      </c>
      <c r="D113" t="str">
        <f t="shared" si="6"/>
        <v>0404</v>
      </c>
      <c r="E113" t="str">
        <f t="shared" si="7"/>
        <v>0</v>
      </c>
      <c r="F113" t="str">
        <f t="shared" si="8"/>
        <v/>
      </c>
    </row>
    <row r="114" spans="1:6" x14ac:dyDescent="0.3">
      <c r="A114" t="s">
        <v>1140</v>
      </c>
      <c r="B114">
        <v>1</v>
      </c>
      <c r="D114" t="str">
        <f t="shared" si="6"/>
        <v>0405</v>
      </c>
      <c r="E114" t="str">
        <f t="shared" si="7"/>
        <v>0</v>
      </c>
      <c r="F114" t="str">
        <f t="shared" si="8"/>
        <v/>
      </c>
    </row>
    <row r="115" spans="1:6" x14ac:dyDescent="0.3">
      <c r="A115" t="s">
        <v>1141</v>
      </c>
      <c r="B115">
        <v>1</v>
      </c>
      <c r="D115" t="str">
        <f t="shared" si="6"/>
        <v>0412</v>
      </c>
      <c r="E115" t="str">
        <f t="shared" si="7"/>
        <v>0</v>
      </c>
      <c r="F115" t="str">
        <f t="shared" si="8"/>
        <v/>
      </c>
    </row>
    <row r="116" spans="1:6" x14ac:dyDescent="0.3">
      <c r="A116" t="s">
        <v>1142</v>
      </c>
      <c r="B116">
        <v>1</v>
      </c>
      <c r="D116" t="str">
        <f t="shared" si="6"/>
        <v>0420</v>
      </c>
      <c r="E116" t="str">
        <f t="shared" si="7"/>
        <v>0</v>
      </c>
      <c r="F116" t="str">
        <f t="shared" si="8"/>
        <v/>
      </c>
    </row>
    <row r="117" spans="1:6" x14ac:dyDescent="0.3">
      <c r="A117" t="s">
        <v>1144</v>
      </c>
      <c r="B117">
        <v>1</v>
      </c>
      <c r="D117" t="str">
        <f t="shared" si="6"/>
        <v>0421</v>
      </c>
      <c r="E117" t="str">
        <f t="shared" si="7"/>
        <v>0</v>
      </c>
      <c r="F117" t="str">
        <f t="shared" si="8"/>
        <v/>
      </c>
    </row>
    <row r="118" spans="1:6" x14ac:dyDescent="0.3">
      <c r="A118" t="s">
        <v>1146</v>
      </c>
      <c r="B118">
        <v>1</v>
      </c>
      <c r="D118" t="str">
        <f t="shared" si="6"/>
        <v>0425</v>
      </c>
      <c r="E118" t="str">
        <f t="shared" si="7"/>
        <v>0</v>
      </c>
      <c r="F118" t="str">
        <f t="shared" si="8"/>
        <v/>
      </c>
    </row>
    <row r="119" spans="1:6" x14ac:dyDescent="0.3">
      <c r="A119" t="s">
        <v>1148</v>
      </c>
      <c r="B119">
        <v>1</v>
      </c>
      <c r="D119" t="str">
        <f t="shared" si="6"/>
        <v>0434</v>
      </c>
      <c r="E119" t="str">
        <f t="shared" si="7"/>
        <v>0</v>
      </c>
      <c r="F119" t="str">
        <f t="shared" si="8"/>
        <v/>
      </c>
    </row>
    <row r="120" spans="1:6" x14ac:dyDescent="0.3">
      <c r="A120" t="s">
        <v>1150</v>
      </c>
      <c r="B120">
        <v>1</v>
      </c>
      <c r="D120" t="str">
        <f t="shared" si="6"/>
        <v>0435</v>
      </c>
      <c r="E120" t="str">
        <f t="shared" si="7"/>
        <v>0</v>
      </c>
      <c r="F120" t="str">
        <f t="shared" si="8"/>
        <v/>
      </c>
    </row>
    <row r="121" spans="1:6" x14ac:dyDescent="0.3">
      <c r="A121" t="s">
        <v>1152</v>
      </c>
      <c r="B121">
        <v>1</v>
      </c>
      <c r="D121" t="str">
        <f t="shared" si="6"/>
        <v>0436</v>
      </c>
      <c r="E121" t="str">
        <f t="shared" si="7"/>
        <v>0</v>
      </c>
      <c r="F121" t="str">
        <f t="shared" si="8"/>
        <v/>
      </c>
    </row>
    <row r="122" spans="1:6" x14ac:dyDescent="0.3">
      <c r="A122" t="s">
        <v>1153</v>
      </c>
      <c r="B122">
        <v>1</v>
      </c>
      <c r="D122" t="str">
        <f t="shared" si="6"/>
        <v>0437</v>
      </c>
      <c r="E122" t="str">
        <f t="shared" si="7"/>
        <v>0</v>
      </c>
      <c r="F122" t="str">
        <f t="shared" si="8"/>
        <v/>
      </c>
    </row>
    <row r="123" spans="1:6" x14ac:dyDescent="0.3">
      <c r="A123" t="s">
        <v>1155</v>
      </c>
      <c r="B123">
        <v>1</v>
      </c>
      <c r="D123" t="str">
        <f t="shared" si="6"/>
        <v>0438</v>
      </c>
      <c r="E123" t="str">
        <f t="shared" si="7"/>
        <v>0</v>
      </c>
      <c r="F123" t="str">
        <f t="shared" si="8"/>
        <v/>
      </c>
    </row>
    <row r="124" spans="1:6" x14ac:dyDescent="0.3">
      <c r="A124" t="s">
        <v>1157</v>
      </c>
      <c r="B124">
        <v>1</v>
      </c>
      <c r="D124" t="str">
        <f t="shared" si="6"/>
        <v>0439</v>
      </c>
      <c r="E124" t="str">
        <f t="shared" si="7"/>
        <v>0</v>
      </c>
      <c r="F124" t="str">
        <f t="shared" si="8"/>
        <v/>
      </c>
    </row>
    <row r="125" spans="1:6" x14ac:dyDescent="0.3">
      <c r="A125" t="s">
        <v>1159</v>
      </c>
      <c r="B125">
        <v>1</v>
      </c>
      <c r="D125" t="str">
        <f t="shared" si="6"/>
        <v>0458</v>
      </c>
      <c r="E125" t="str">
        <f t="shared" si="7"/>
        <v>0</v>
      </c>
      <c r="F125" t="str">
        <f t="shared" si="8"/>
        <v/>
      </c>
    </row>
    <row r="126" spans="1:6" x14ac:dyDescent="0.3">
      <c r="A126" t="s">
        <v>1161</v>
      </c>
      <c r="B126">
        <v>1</v>
      </c>
      <c r="D126" t="str">
        <f t="shared" si="6"/>
        <v>0459</v>
      </c>
      <c r="E126" t="str">
        <f t="shared" si="7"/>
        <v>0</v>
      </c>
      <c r="F126" t="str">
        <f t="shared" si="8"/>
        <v/>
      </c>
    </row>
    <row r="127" spans="1:6" x14ac:dyDescent="0.3">
      <c r="A127" t="s">
        <v>1162</v>
      </c>
      <c r="B127">
        <v>1</v>
      </c>
      <c r="D127" t="str">
        <f t="shared" si="6"/>
        <v>0461</v>
      </c>
      <c r="E127" t="str">
        <f t="shared" si="7"/>
        <v>0</v>
      </c>
      <c r="F127" t="str">
        <f t="shared" si="8"/>
        <v/>
      </c>
    </row>
    <row r="128" spans="1:6" x14ac:dyDescent="0.3">
      <c r="A128" t="s">
        <v>1164</v>
      </c>
      <c r="B128">
        <v>1</v>
      </c>
      <c r="D128" t="str">
        <f t="shared" si="6"/>
        <v>0485</v>
      </c>
      <c r="E128" t="str">
        <f t="shared" si="7"/>
        <v>0</v>
      </c>
      <c r="F128" t="str">
        <f t="shared" si="8"/>
        <v/>
      </c>
    </row>
    <row r="129" spans="1:6" x14ac:dyDescent="0.3">
      <c r="A129" t="s">
        <v>1166</v>
      </c>
      <c r="B129">
        <v>1</v>
      </c>
      <c r="D129" t="str">
        <f t="shared" si="6"/>
        <v>0486</v>
      </c>
      <c r="E129" t="str">
        <f t="shared" si="7"/>
        <v>0</v>
      </c>
      <c r="F129" t="str">
        <f t="shared" si="8"/>
        <v/>
      </c>
    </row>
    <row r="130" spans="1:6" x14ac:dyDescent="0.3">
      <c r="A130" t="s">
        <v>1168</v>
      </c>
      <c r="B130">
        <v>1</v>
      </c>
      <c r="D130" t="str">
        <f t="shared" si="6"/>
        <v>0487</v>
      </c>
      <c r="E130" t="str">
        <f t="shared" si="7"/>
        <v>0</v>
      </c>
      <c r="F130" t="str">
        <f t="shared" si="8"/>
        <v/>
      </c>
    </row>
    <row r="131" spans="1:6" x14ac:dyDescent="0.3">
      <c r="A131" t="s">
        <v>1170</v>
      </c>
      <c r="B131">
        <v>1</v>
      </c>
      <c r="D131" t="str">
        <f t="shared" ref="D131:D194" si="9">IF(LEFT(A131,2)="SP",MID(A131,4,4),IF(LEFT(A131,1)="X",MID(A131,3,4),""))</f>
        <v>0488</v>
      </c>
      <c r="E131" t="str">
        <f t="shared" ref="E131:E194" si="10">IF(OR(LEFT(A131,2)="SP",AND(LEFT(A131,1)="X",LEN(A131)&gt;9)),RIGHT(A131,1),"")</f>
        <v>0</v>
      </c>
      <c r="F131" t="str">
        <f t="shared" ref="F131:F194" si="11">IF(LEFT(A131,1)="X",MID(A131,8,2),"")</f>
        <v/>
      </c>
    </row>
    <row r="132" spans="1:6" x14ac:dyDescent="0.3">
      <c r="A132" t="s">
        <v>1172</v>
      </c>
      <c r="B132">
        <v>1</v>
      </c>
      <c r="D132" t="str">
        <f t="shared" si="9"/>
        <v>0489</v>
      </c>
      <c r="E132" t="str">
        <f t="shared" si="10"/>
        <v>0</v>
      </c>
      <c r="F132" t="str">
        <f t="shared" si="11"/>
        <v/>
      </c>
    </row>
    <row r="133" spans="1:6" x14ac:dyDescent="0.3">
      <c r="A133" t="s">
        <v>1174</v>
      </c>
      <c r="B133">
        <v>1</v>
      </c>
      <c r="D133" t="str">
        <f t="shared" si="9"/>
        <v>0498</v>
      </c>
      <c r="E133" t="str">
        <f t="shared" si="10"/>
        <v>0</v>
      </c>
      <c r="F133" t="str">
        <f t="shared" si="11"/>
        <v/>
      </c>
    </row>
    <row r="134" spans="1:6" x14ac:dyDescent="0.3">
      <c r="A134" t="s">
        <v>1176</v>
      </c>
      <c r="B134">
        <v>1</v>
      </c>
      <c r="D134" t="str">
        <f t="shared" si="9"/>
        <v>0499</v>
      </c>
      <c r="E134" t="str">
        <f t="shared" si="10"/>
        <v>0</v>
      </c>
      <c r="F134" t="str">
        <f t="shared" si="11"/>
        <v/>
      </c>
    </row>
    <row r="135" spans="1:6" x14ac:dyDescent="0.3">
      <c r="A135" t="s">
        <v>2569</v>
      </c>
      <c r="B135">
        <v>1</v>
      </c>
      <c r="D135" t="str">
        <f t="shared" si="9"/>
        <v>0001</v>
      </c>
      <c r="E135" t="str">
        <f t="shared" si="10"/>
        <v/>
      </c>
      <c r="F135" t="str">
        <f t="shared" si="11"/>
        <v>FR</v>
      </c>
    </row>
    <row r="136" spans="1:6" x14ac:dyDescent="0.3">
      <c r="A136" t="s">
        <v>1181</v>
      </c>
      <c r="B136">
        <v>1</v>
      </c>
      <c r="D136" t="str">
        <f t="shared" si="9"/>
        <v>0002</v>
      </c>
      <c r="E136" t="str">
        <f t="shared" si="10"/>
        <v/>
      </c>
      <c r="F136" t="str">
        <f t="shared" si="11"/>
        <v>CR</v>
      </c>
    </row>
    <row r="137" spans="1:6" x14ac:dyDescent="0.3">
      <c r="A137" t="s">
        <v>2651</v>
      </c>
      <c r="B137">
        <v>1</v>
      </c>
      <c r="D137" t="str">
        <f t="shared" si="9"/>
        <v>0003</v>
      </c>
      <c r="E137" t="str">
        <f t="shared" si="10"/>
        <v/>
      </c>
      <c r="F137" t="str">
        <f t="shared" si="11"/>
        <v>MS</v>
      </c>
    </row>
    <row r="138" spans="1:6" x14ac:dyDescent="0.3">
      <c r="A138" t="s">
        <v>1187</v>
      </c>
      <c r="B138">
        <v>1</v>
      </c>
      <c r="D138" t="str">
        <f t="shared" si="9"/>
        <v>0004</v>
      </c>
      <c r="E138" t="str">
        <f t="shared" si="10"/>
        <v/>
      </c>
      <c r="F138" t="str">
        <f t="shared" si="11"/>
        <v>CS</v>
      </c>
    </row>
    <row r="139" spans="1:6" x14ac:dyDescent="0.3">
      <c r="A139" t="s">
        <v>1190</v>
      </c>
      <c r="B139">
        <v>1</v>
      </c>
      <c r="D139" t="str">
        <f t="shared" si="9"/>
        <v>0005</v>
      </c>
      <c r="E139" t="str">
        <f t="shared" si="10"/>
        <v/>
      </c>
      <c r="F139" t="str">
        <f t="shared" si="11"/>
        <v>CS</v>
      </c>
    </row>
    <row r="140" spans="1:6" x14ac:dyDescent="0.3">
      <c r="A140" t="s">
        <v>1191</v>
      </c>
      <c r="B140">
        <v>1</v>
      </c>
      <c r="D140" t="str">
        <f t="shared" si="9"/>
        <v>0006</v>
      </c>
      <c r="E140" t="str">
        <f t="shared" si="10"/>
        <v/>
      </c>
      <c r="F140" t="str">
        <f t="shared" si="11"/>
        <v>CN</v>
      </c>
    </row>
    <row r="141" spans="1:6" x14ac:dyDescent="0.3">
      <c r="A141" t="s">
        <v>1193</v>
      </c>
      <c r="B141">
        <v>1</v>
      </c>
      <c r="D141" t="str">
        <f t="shared" si="9"/>
        <v>0007</v>
      </c>
      <c r="E141" t="str">
        <f t="shared" si="10"/>
        <v/>
      </c>
      <c r="F141" t="str">
        <f t="shared" si="11"/>
        <v>CN</v>
      </c>
    </row>
    <row r="142" spans="1:6" x14ac:dyDescent="0.3">
      <c r="A142" t="s">
        <v>1202</v>
      </c>
      <c r="B142">
        <v>1</v>
      </c>
      <c r="D142" t="str">
        <f t="shared" si="9"/>
        <v>0008</v>
      </c>
      <c r="E142" t="str">
        <f t="shared" si="10"/>
        <v/>
      </c>
      <c r="F142" t="str">
        <f t="shared" si="11"/>
        <v>CS</v>
      </c>
    </row>
    <row r="143" spans="1:6" x14ac:dyDescent="0.3">
      <c r="A143" t="s">
        <v>1204</v>
      </c>
      <c r="B143">
        <v>1</v>
      </c>
      <c r="D143" t="str">
        <f t="shared" si="9"/>
        <v>0009</v>
      </c>
      <c r="E143" t="str">
        <f t="shared" si="10"/>
        <v/>
      </c>
      <c r="F143" t="str">
        <f t="shared" si="11"/>
        <v>CN</v>
      </c>
    </row>
    <row r="144" spans="1:6" x14ac:dyDescent="0.3">
      <c r="A144" t="s">
        <v>1206</v>
      </c>
      <c r="B144">
        <v>1</v>
      </c>
      <c r="D144" t="str">
        <f t="shared" si="9"/>
        <v>0010</v>
      </c>
      <c r="E144" t="str">
        <f t="shared" si="10"/>
        <v/>
      </c>
      <c r="F144" t="str">
        <f t="shared" si="11"/>
        <v>CN</v>
      </c>
    </row>
    <row r="145" spans="1:6" x14ac:dyDescent="0.3">
      <c r="A145" t="s">
        <v>1214</v>
      </c>
      <c r="B145">
        <v>1</v>
      </c>
      <c r="D145" t="str">
        <f t="shared" si="9"/>
        <v>0011</v>
      </c>
      <c r="E145" t="str">
        <f t="shared" si="10"/>
        <v/>
      </c>
      <c r="F145" t="str">
        <f t="shared" si="11"/>
        <v>DN</v>
      </c>
    </row>
    <row r="146" spans="1:6" x14ac:dyDescent="0.3">
      <c r="A146" t="s">
        <v>1215</v>
      </c>
      <c r="B146">
        <v>1</v>
      </c>
      <c r="D146" t="str">
        <f t="shared" si="9"/>
        <v>0012</v>
      </c>
      <c r="E146" t="str">
        <f t="shared" si="10"/>
        <v/>
      </c>
      <c r="F146" t="str">
        <f t="shared" si="11"/>
        <v>CN</v>
      </c>
    </row>
    <row r="147" spans="1:6" x14ac:dyDescent="0.3">
      <c r="A147" t="s">
        <v>1218</v>
      </c>
      <c r="B147">
        <v>1</v>
      </c>
      <c r="D147" t="str">
        <f t="shared" si="9"/>
        <v>0013</v>
      </c>
      <c r="E147" t="str">
        <f t="shared" si="10"/>
        <v/>
      </c>
      <c r="F147" t="str">
        <f t="shared" si="11"/>
        <v>CN</v>
      </c>
    </row>
    <row r="148" spans="1:6" x14ac:dyDescent="0.3">
      <c r="A148" t="s">
        <v>1220</v>
      </c>
      <c r="B148">
        <v>1</v>
      </c>
      <c r="D148" t="str">
        <f t="shared" si="9"/>
        <v>0014</v>
      </c>
      <c r="E148" t="str">
        <f t="shared" si="10"/>
        <v/>
      </c>
      <c r="F148" t="str">
        <f t="shared" si="11"/>
        <v>CN</v>
      </c>
    </row>
    <row r="149" spans="1:6" x14ac:dyDescent="0.3">
      <c r="A149" t="s">
        <v>1223</v>
      </c>
      <c r="B149">
        <v>1</v>
      </c>
      <c r="D149" t="str">
        <f t="shared" si="9"/>
        <v>0015</v>
      </c>
      <c r="E149" t="str">
        <f t="shared" si="10"/>
        <v/>
      </c>
      <c r="F149" t="str">
        <f t="shared" si="11"/>
        <v>CR</v>
      </c>
    </row>
    <row r="150" spans="1:6" x14ac:dyDescent="0.3">
      <c r="A150" t="s">
        <v>1227</v>
      </c>
      <c r="B150">
        <v>1</v>
      </c>
      <c r="D150" t="str">
        <f t="shared" si="9"/>
        <v>0016</v>
      </c>
      <c r="E150" t="str">
        <f t="shared" si="10"/>
        <v/>
      </c>
      <c r="F150" t="str">
        <f t="shared" si="11"/>
        <v>CS</v>
      </c>
    </row>
    <row r="151" spans="1:6" x14ac:dyDescent="0.3">
      <c r="A151" t="s">
        <v>1229</v>
      </c>
      <c r="B151">
        <v>1</v>
      </c>
      <c r="D151" t="str">
        <f t="shared" si="9"/>
        <v>0017</v>
      </c>
      <c r="E151" t="str">
        <f t="shared" si="10"/>
        <v/>
      </c>
      <c r="F151" t="str">
        <f t="shared" si="11"/>
        <v>CN</v>
      </c>
    </row>
    <row r="152" spans="1:6" x14ac:dyDescent="0.3">
      <c r="A152" t="s">
        <v>1232</v>
      </c>
      <c r="B152">
        <v>1</v>
      </c>
      <c r="D152" t="str">
        <f t="shared" si="9"/>
        <v>0018</v>
      </c>
      <c r="E152" t="str">
        <f t="shared" si="10"/>
        <v/>
      </c>
      <c r="F152" t="str">
        <f t="shared" si="11"/>
        <v>CN</v>
      </c>
    </row>
    <row r="153" spans="1:6" x14ac:dyDescent="0.3">
      <c r="A153" t="s">
        <v>1234</v>
      </c>
      <c r="B153">
        <v>1</v>
      </c>
      <c r="D153" t="str">
        <f t="shared" si="9"/>
        <v>0019</v>
      </c>
      <c r="E153" t="str">
        <f t="shared" si="10"/>
        <v/>
      </c>
      <c r="F153" t="str">
        <f t="shared" si="11"/>
        <v>CN</v>
      </c>
    </row>
    <row r="154" spans="1:6" x14ac:dyDescent="0.3">
      <c r="A154" t="s">
        <v>1241</v>
      </c>
      <c r="B154">
        <v>1</v>
      </c>
      <c r="D154" t="str">
        <f t="shared" si="9"/>
        <v>0020</v>
      </c>
      <c r="E154" t="str">
        <f t="shared" si="10"/>
        <v/>
      </c>
      <c r="F154" t="str">
        <f t="shared" si="11"/>
        <v>CR</v>
      </c>
    </row>
    <row r="155" spans="1:6" x14ac:dyDescent="0.3">
      <c r="A155" t="s">
        <v>1244</v>
      </c>
      <c r="B155">
        <v>1</v>
      </c>
      <c r="D155" t="str">
        <f t="shared" si="9"/>
        <v>0021</v>
      </c>
      <c r="E155" t="str">
        <f t="shared" si="10"/>
        <v/>
      </c>
      <c r="F155" t="str">
        <f t="shared" si="11"/>
        <v>CR</v>
      </c>
    </row>
    <row r="156" spans="1:6" x14ac:dyDescent="0.3">
      <c r="A156" t="s">
        <v>1248</v>
      </c>
      <c r="B156">
        <v>1</v>
      </c>
      <c r="D156" t="str">
        <f t="shared" si="9"/>
        <v>0022</v>
      </c>
      <c r="E156" t="str">
        <f t="shared" si="10"/>
        <v/>
      </c>
      <c r="F156" t="str">
        <f t="shared" si="11"/>
        <v>CR</v>
      </c>
    </row>
    <row r="157" spans="1:6" x14ac:dyDescent="0.3">
      <c r="A157" t="s">
        <v>1253</v>
      </c>
      <c r="B157">
        <v>1</v>
      </c>
      <c r="D157" t="str">
        <f t="shared" si="9"/>
        <v>0023</v>
      </c>
      <c r="E157" t="str">
        <f t="shared" si="10"/>
        <v/>
      </c>
      <c r="F157" t="str">
        <f t="shared" si="11"/>
        <v>CR</v>
      </c>
    </row>
    <row r="158" spans="1:6" x14ac:dyDescent="0.3">
      <c r="A158" t="s">
        <v>1255</v>
      </c>
      <c r="B158">
        <v>1</v>
      </c>
      <c r="D158" t="str">
        <f t="shared" si="9"/>
        <v>0024</v>
      </c>
      <c r="E158" t="str">
        <f t="shared" si="10"/>
        <v/>
      </c>
      <c r="F158" t="str">
        <f t="shared" si="11"/>
        <v>CR</v>
      </c>
    </row>
    <row r="159" spans="1:6" x14ac:dyDescent="0.3">
      <c r="A159" t="s">
        <v>1261</v>
      </c>
      <c r="B159">
        <v>1</v>
      </c>
      <c r="D159" t="str">
        <f t="shared" si="9"/>
        <v>0025</v>
      </c>
      <c r="E159" t="str">
        <f t="shared" si="10"/>
        <v/>
      </c>
      <c r="F159" t="str">
        <f t="shared" si="11"/>
        <v>CS</v>
      </c>
    </row>
    <row r="160" spans="1:6" x14ac:dyDescent="0.3">
      <c r="A160" t="s">
        <v>1264</v>
      </c>
      <c r="B160">
        <v>1</v>
      </c>
      <c r="D160" t="str">
        <f t="shared" si="9"/>
        <v>0026</v>
      </c>
      <c r="E160" t="str">
        <f t="shared" si="10"/>
        <v/>
      </c>
      <c r="F160" t="str">
        <f t="shared" si="11"/>
        <v>CS</v>
      </c>
    </row>
    <row r="161" spans="1:6" x14ac:dyDescent="0.3">
      <c r="A161" t="s">
        <v>1266</v>
      </c>
      <c r="B161">
        <v>1</v>
      </c>
      <c r="D161" t="str">
        <f t="shared" si="9"/>
        <v>0027</v>
      </c>
      <c r="E161" t="str">
        <f t="shared" si="10"/>
        <v/>
      </c>
      <c r="F161" t="str">
        <f t="shared" si="11"/>
        <v>CS</v>
      </c>
    </row>
    <row r="162" spans="1:6" x14ac:dyDescent="0.3">
      <c r="A162" t="s">
        <v>2555</v>
      </c>
      <c r="B162">
        <v>1</v>
      </c>
      <c r="D162" t="str">
        <f t="shared" si="9"/>
        <v>0028</v>
      </c>
      <c r="E162" t="str">
        <f t="shared" si="10"/>
        <v/>
      </c>
      <c r="F162" t="str">
        <f t="shared" si="11"/>
        <v>MS</v>
      </c>
    </row>
    <row r="163" spans="1:6" x14ac:dyDescent="0.3">
      <c r="A163" t="s">
        <v>1271</v>
      </c>
      <c r="B163">
        <v>1</v>
      </c>
      <c r="D163" t="str">
        <f t="shared" si="9"/>
        <v>0029</v>
      </c>
      <c r="E163" t="str">
        <f t="shared" si="10"/>
        <v/>
      </c>
      <c r="F163" t="str">
        <f t="shared" si="11"/>
        <v>CS</v>
      </c>
    </row>
    <row r="164" spans="1:6" x14ac:dyDescent="0.3">
      <c r="A164" t="s">
        <v>2570</v>
      </c>
      <c r="B164">
        <v>1</v>
      </c>
      <c r="D164" t="str">
        <f t="shared" si="9"/>
        <v>0030</v>
      </c>
      <c r="E164" t="str">
        <f t="shared" si="10"/>
        <v/>
      </c>
      <c r="F164" t="str">
        <f t="shared" si="11"/>
        <v>FR</v>
      </c>
    </row>
    <row r="165" spans="1:6" x14ac:dyDescent="0.3">
      <c r="A165" t="s">
        <v>1279</v>
      </c>
      <c r="B165">
        <v>1</v>
      </c>
      <c r="D165" t="str">
        <f t="shared" si="9"/>
        <v>0031</v>
      </c>
      <c r="E165" t="str">
        <f t="shared" si="10"/>
        <v/>
      </c>
      <c r="F165" t="str">
        <f t="shared" si="11"/>
        <v>DN</v>
      </c>
    </row>
    <row r="166" spans="1:6" x14ac:dyDescent="0.3">
      <c r="A166" t="s">
        <v>1280</v>
      </c>
      <c r="B166">
        <v>1</v>
      </c>
      <c r="D166" t="str">
        <f t="shared" si="9"/>
        <v>0032</v>
      </c>
      <c r="E166" t="str">
        <f t="shared" si="10"/>
        <v/>
      </c>
      <c r="F166" t="str">
        <f t="shared" si="11"/>
        <v>CN</v>
      </c>
    </row>
    <row r="167" spans="1:6" x14ac:dyDescent="0.3">
      <c r="A167" t="s">
        <v>1282</v>
      </c>
      <c r="B167">
        <v>1</v>
      </c>
      <c r="D167" t="str">
        <f t="shared" si="9"/>
        <v>0033</v>
      </c>
      <c r="E167" t="str">
        <f t="shared" si="10"/>
        <v/>
      </c>
      <c r="F167" t="str">
        <f t="shared" si="11"/>
        <v>CN</v>
      </c>
    </row>
    <row r="168" spans="1:6" x14ac:dyDescent="0.3">
      <c r="A168" t="s">
        <v>1284</v>
      </c>
      <c r="B168">
        <v>1</v>
      </c>
      <c r="D168" t="str">
        <f t="shared" si="9"/>
        <v>0034</v>
      </c>
      <c r="E168" t="str">
        <f t="shared" si="10"/>
        <v/>
      </c>
      <c r="F168" t="str">
        <f t="shared" si="11"/>
        <v>CN</v>
      </c>
    </row>
    <row r="169" spans="1:6" x14ac:dyDescent="0.3">
      <c r="A169" t="s">
        <v>1286</v>
      </c>
      <c r="B169">
        <v>1</v>
      </c>
      <c r="D169" t="str">
        <f t="shared" si="9"/>
        <v>0035</v>
      </c>
      <c r="E169" t="str">
        <f t="shared" si="10"/>
        <v/>
      </c>
      <c r="F169" t="str">
        <f t="shared" si="11"/>
        <v>CN</v>
      </c>
    </row>
    <row r="170" spans="1:6" x14ac:dyDescent="0.3">
      <c r="A170" t="s">
        <v>1289</v>
      </c>
      <c r="B170">
        <v>1</v>
      </c>
      <c r="D170" t="str">
        <f t="shared" si="9"/>
        <v>0036</v>
      </c>
      <c r="E170" t="str">
        <f t="shared" si="10"/>
        <v/>
      </c>
      <c r="F170" t="str">
        <f t="shared" si="11"/>
        <v>CS</v>
      </c>
    </row>
    <row r="171" spans="1:6" x14ac:dyDescent="0.3">
      <c r="A171" t="s">
        <v>1290</v>
      </c>
      <c r="B171">
        <v>1</v>
      </c>
      <c r="D171" t="str">
        <f t="shared" si="9"/>
        <v>0037</v>
      </c>
      <c r="E171" t="str">
        <f t="shared" si="10"/>
        <v/>
      </c>
      <c r="F171" t="str">
        <f t="shared" si="11"/>
        <v>CN</v>
      </c>
    </row>
    <row r="172" spans="1:6" x14ac:dyDescent="0.3">
      <c r="A172" t="s">
        <v>1292</v>
      </c>
      <c r="B172">
        <v>1</v>
      </c>
      <c r="D172" t="str">
        <f t="shared" si="9"/>
        <v>0038</v>
      </c>
      <c r="E172" t="str">
        <f t="shared" si="10"/>
        <v/>
      </c>
      <c r="F172" t="str">
        <f t="shared" si="11"/>
        <v>CN</v>
      </c>
    </row>
    <row r="173" spans="1:6" x14ac:dyDescent="0.3">
      <c r="A173" t="s">
        <v>1294</v>
      </c>
      <c r="B173">
        <v>1</v>
      </c>
      <c r="D173" t="str">
        <f t="shared" si="9"/>
        <v>0039</v>
      </c>
      <c r="E173" t="str">
        <f t="shared" si="10"/>
        <v/>
      </c>
      <c r="F173" t="str">
        <f t="shared" si="11"/>
        <v>CN</v>
      </c>
    </row>
    <row r="174" spans="1:6" x14ac:dyDescent="0.3">
      <c r="A174" t="s">
        <v>1296</v>
      </c>
      <c r="B174">
        <v>1</v>
      </c>
      <c r="D174" t="str">
        <f t="shared" si="9"/>
        <v>0040</v>
      </c>
      <c r="E174" t="str">
        <f t="shared" si="10"/>
        <v/>
      </c>
      <c r="F174" t="str">
        <f t="shared" si="11"/>
        <v>CN</v>
      </c>
    </row>
    <row r="175" spans="1:6" x14ac:dyDescent="0.3">
      <c r="A175" t="s">
        <v>1298</v>
      </c>
      <c r="B175">
        <v>1</v>
      </c>
      <c r="D175" t="str">
        <f t="shared" si="9"/>
        <v>0041</v>
      </c>
      <c r="E175" t="str">
        <f t="shared" si="10"/>
        <v/>
      </c>
      <c r="F175" t="str">
        <f t="shared" si="11"/>
        <v>CN</v>
      </c>
    </row>
    <row r="176" spans="1:6" x14ac:dyDescent="0.3">
      <c r="A176" t="s">
        <v>1300</v>
      </c>
      <c r="B176">
        <v>1</v>
      </c>
      <c r="D176" t="str">
        <f t="shared" si="9"/>
        <v>0042</v>
      </c>
      <c r="E176" t="str">
        <f t="shared" si="10"/>
        <v/>
      </c>
      <c r="F176" t="str">
        <f t="shared" si="11"/>
        <v>CN</v>
      </c>
    </row>
    <row r="177" spans="1:6" x14ac:dyDescent="0.3">
      <c r="A177" t="s">
        <v>1304</v>
      </c>
      <c r="B177">
        <v>1</v>
      </c>
      <c r="D177" t="str">
        <f t="shared" si="9"/>
        <v>0043</v>
      </c>
      <c r="E177" t="str">
        <f t="shared" si="10"/>
        <v/>
      </c>
      <c r="F177" t="str">
        <f t="shared" si="11"/>
        <v>DN</v>
      </c>
    </row>
    <row r="178" spans="1:6" x14ac:dyDescent="0.3">
      <c r="A178" t="s">
        <v>1305</v>
      </c>
      <c r="B178">
        <v>1</v>
      </c>
      <c r="D178" t="str">
        <f t="shared" si="9"/>
        <v>0044</v>
      </c>
      <c r="E178" t="str">
        <f t="shared" si="10"/>
        <v/>
      </c>
      <c r="F178" t="str">
        <f t="shared" si="11"/>
        <v>CN</v>
      </c>
    </row>
    <row r="179" spans="1:6" x14ac:dyDescent="0.3">
      <c r="A179" t="s">
        <v>1308</v>
      </c>
      <c r="B179">
        <v>1</v>
      </c>
      <c r="D179" t="str">
        <f t="shared" si="9"/>
        <v>0045</v>
      </c>
      <c r="E179" t="str">
        <f t="shared" si="10"/>
        <v/>
      </c>
      <c r="F179" t="str">
        <f t="shared" si="11"/>
        <v>CN</v>
      </c>
    </row>
    <row r="180" spans="1:6" x14ac:dyDescent="0.3">
      <c r="A180" t="s">
        <v>1310</v>
      </c>
      <c r="B180">
        <v>1</v>
      </c>
      <c r="D180" t="str">
        <f t="shared" si="9"/>
        <v>0046</v>
      </c>
      <c r="E180" t="str">
        <f t="shared" si="10"/>
        <v/>
      </c>
      <c r="F180" t="str">
        <f t="shared" si="11"/>
        <v>CN</v>
      </c>
    </row>
    <row r="181" spans="1:6" x14ac:dyDescent="0.3">
      <c r="A181" t="s">
        <v>1316</v>
      </c>
      <c r="B181">
        <v>1</v>
      </c>
      <c r="D181" t="str">
        <f t="shared" si="9"/>
        <v>0047</v>
      </c>
      <c r="E181" t="str">
        <f t="shared" si="10"/>
        <v/>
      </c>
      <c r="F181" t="str">
        <f t="shared" si="11"/>
        <v>CN</v>
      </c>
    </row>
    <row r="182" spans="1:6" x14ac:dyDescent="0.3">
      <c r="A182" t="s">
        <v>1321</v>
      </c>
      <c r="B182">
        <v>1</v>
      </c>
      <c r="D182" t="str">
        <f t="shared" si="9"/>
        <v>0048</v>
      </c>
      <c r="E182" t="str">
        <f t="shared" si="10"/>
        <v/>
      </c>
      <c r="F182" t="str">
        <f t="shared" si="11"/>
        <v>CN</v>
      </c>
    </row>
    <row r="183" spans="1:6" x14ac:dyDescent="0.3">
      <c r="A183" t="s">
        <v>1326</v>
      </c>
      <c r="B183">
        <v>1</v>
      </c>
      <c r="D183" t="str">
        <f t="shared" si="9"/>
        <v>0049</v>
      </c>
      <c r="E183" t="str">
        <f t="shared" si="10"/>
        <v/>
      </c>
      <c r="F183" t="str">
        <f t="shared" si="11"/>
        <v>CN</v>
      </c>
    </row>
    <row r="184" spans="1:6" x14ac:dyDescent="0.3">
      <c r="A184" t="s">
        <v>1330</v>
      </c>
      <c r="B184">
        <v>1</v>
      </c>
      <c r="D184" t="str">
        <f t="shared" si="9"/>
        <v>0050</v>
      </c>
      <c r="E184" t="str">
        <f t="shared" si="10"/>
        <v/>
      </c>
      <c r="F184" t="str">
        <f t="shared" si="11"/>
        <v>DN</v>
      </c>
    </row>
    <row r="185" spans="1:6" x14ac:dyDescent="0.3">
      <c r="A185" t="s">
        <v>1332</v>
      </c>
      <c r="B185">
        <v>1</v>
      </c>
      <c r="D185" t="str">
        <f t="shared" si="9"/>
        <v>0051</v>
      </c>
      <c r="E185" t="str">
        <f t="shared" si="10"/>
        <v/>
      </c>
      <c r="F185" t="str">
        <f t="shared" si="11"/>
        <v>CS</v>
      </c>
    </row>
    <row r="186" spans="1:6" x14ac:dyDescent="0.3">
      <c r="A186" t="s">
        <v>1333</v>
      </c>
      <c r="B186">
        <v>1</v>
      </c>
      <c r="D186" t="str">
        <f t="shared" si="9"/>
        <v>0052</v>
      </c>
      <c r="E186" t="str">
        <f t="shared" si="10"/>
        <v/>
      </c>
      <c r="F186" t="str">
        <f t="shared" si="11"/>
        <v>CN</v>
      </c>
    </row>
    <row r="187" spans="1:6" x14ac:dyDescent="0.3">
      <c r="A187" t="s">
        <v>1335</v>
      </c>
      <c r="B187">
        <v>1</v>
      </c>
      <c r="D187" t="str">
        <f t="shared" si="9"/>
        <v>0053</v>
      </c>
      <c r="E187" t="str">
        <f t="shared" si="10"/>
        <v/>
      </c>
      <c r="F187" t="str">
        <f t="shared" si="11"/>
        <v>CN</v>
      </c>
    </row>
    <row r="188" spans="1:6" x14ac:dyDescent="0.3">
      <c r="A188" t="s">
        <v>1337</v>
      </c>
      <c r="B188">
        <v>1</v>
      </c>
      <c r="D188" t="str">
        <f t="shared" si="9"/>
        <v>0054</v>
      </c>
      <c r="E188" t="str">
        <f t="shared" si="10"/>
        <v/>
      </c>
      <c r="F188" t="str">
        <f t="shared" si="11"/>
        <v>CN</v>
      </c>
    </row>
    <row r="189" spans="1:6" x14ac:dyDescent="0.3">
      <c r="A189" t="s">
        <v>1339</v>
      </c>
      <c r="B189">
        <v>1</v>
      </c>
      <c r="D189" t="str">
        <f t="shared" si="9"/>
        <v>0055</v>
      </c>
      <c r="E189" t="str">
        <f t="shared" si="10"/>
        <v/>
      </c>
      <c r="F189" t="str">
        <f t="shared" si="11"/>
        <v>CN</v>
      </c>
    </row>
    <row r="190" spans="1:6" x14ac:dyDescent="0.3">
      <c r="A190" t="s">
        <v>1341</v>
      </c>
      <c r="B190">
        <v>1</v>
      </c>
      <c r="D190" t="str">
        <f t="shared" si="9"/>
        <v>0056</v>
      </c>
      <c r="E190" t="str">
        <f t="shared" si="10"/>
        <v/>
      </c>
      <c r="F190" t="str">
        <f t="shared" si="11"/>
        <v>CN</v>
      </c>
    </row>
    <row r="191" spans="1:6" x14ac:dyDescent="0.3">
      <c r="A191" t="s">
        <v>1343</v>
      </c>
      <c r="B191">
        <v>1</v>
      </c>
      <c r="D191" t="str">
        <f t="shared" si="9"/>
        <v>0057</v>
      </c>
      <c r="E191" t="str">
        <f t="shared" si="10"/>
        <v/>
      </c>
      <c r="F191" t="str">
        <f t="shared" si="11"/>
        <v>CN</v>
      </c>
    </row>
    <row r="192" spans="1:6" x14ac:dyDescent="0.3">
      <c r="A192" t="s">
        <v>1347</v>
      </c>
      <c r="B192">
        <v>1</v>
      </c>
      <c r="D192" t="str">
        <f t="shared" si="9"/>
        <v>0058</v>
      </c>
      <c r="E192" t="str">
        <f t="shared" si="10"/>
        <v/>
      </c>
      <c r="F192" t="str">
        <f t="shared" si="11"/>
        <v>DN</v>
      </c>
    </row>
    <row r="193" spans="1:6" x14ac:dyDescent="0.3">
      <c r="A193" t="s">
        <v>1348</v>
      </c>
      <c r="B193">
        <v>1</v>
      </c>
      <c r="D193" t="str">
        <f t="shared" si="9"/>
        <v>0059</v>
      </c>
      <c r="E193" t="str">
        <f t="shared" si="10"/>
        <v/>
      </c>
      <c r="F193" t="str">
        <f t="shared" si="11"/>
        <v>CN</v>
      </c>
    </row>
    <row r="194" spans="1:6" x14ac:dyDescent="0.3">
      <c r="A194" t="s">
        <v>1350</v>
      </c>
      <c r="B194">
        <v>1</v>
      </c>
      <c r="D194" t="str">
        <f t="shared" si="9"/>
        <v>0060</v>
      </c>
      <c r="E194" t="str">
        <f t="shared" si="10"/>
        <v/>
      </c>
      <c r="F194" t="str">
        <f t="shared" si="11"/>
        <v>CN</v>
      </c>
    </row>
    <row r="195" spans="1:6" x14ac:dyDescent="0.3">
      <c r="A195" t="s">
        <v>1352</v>
      </c>
      <c r="B195">
        <v>1</v>
      </c>
      <c r="D195" t="str">
        <f t="shared" ref="D195:D258" si="12">IF(LEFT(A195,2)="SP",MID(A195,4,4),IF(LEFT(A195,1)="X",MID(A195,3,4),""))</f>
        <v>0061</v>
      </c>
      <c r="E195" t="str">
        <f t="shared" ref="E195:E258" si="13">IF(OR(LEFT(A195,2)="SP",AND(LEFT(A195,1)="X",LEN(A195)&gt;9)),RIGHT(A195,1),"")</f>
        <v/>
      </c>
      <c r="F195" t="str">
        <f t="shared" ref="F195:F258" si="14">IF(LEFT(A195,1)="X",MID(A195,8,2),"")</f>
        <v>CN</v>
      </c>
    </row>
    <row r="196" spans="1:6" x14ac:dyDescent="0.3">
      <c r="A196" t="s">
        <v>2652</v>
      </c>
      <c r="B196">
        <v>1</v>
      </c>
      <c r="D196" t="str">
        <f t="shared" si="12"/>
        <v>0062</v>
      </c>
      <c r="E196" t="str">
        <f t="shared" si="13"/>
        <v/>
      </c>
      <c r="F196" t="str">
        <f t="shared" si="14"/>
        <v>MS</v>
      </c>
    </row>
    <row r="197" spans="1:6" x14ac:dyDescent="0.3">
      <c r="A197" t="s">
        <v>1356</v>
      </c>
      <c r="B197">
        <v>1</v>
      </c>
      <c r="D197" t="str">
        <f t="shared" si="12"/>
        <v>0063</v>
      </c>
      <c r="E197" t="str">
        <f t="shared" si="13"/>
        <v/>
      </c>
      <c r="F197" t="str">
        <f t="shared" si="14"/>
        <v>CN</v>
      </c>
    </row>
    <row r="198" spans="1:6" x14ac:dyDescent="0.3">
      <c r="A198" t="s">
        <v>1358</v>
      </c>
      <c r="B198">
        <v>1</v>
      </c>
      <c r="D198" t="str">
        <f t="shared" si="12"/>
        <v>0064</v>
      </c>
      <c r="E198" t="str">
        <f t="shared" si="13"/>
        <v/>
      </c>
      <c r="F198" t="str">
        <f t="shared" si="14"/>
        <v>CN</v>
      </c>
    </row>
    <row r="199" spans="1:6" x14ac:dyDescent="0.3">
      <c r="A199" t="s">
        <v>1360</v>
      </c>
      <c r="B199">
        <v>1</v>
      </c>
      <c r="D199" t="str">
        <f t="shared" si="12"/>
        <v>0065</v>
      </c>
      <c r="E199" t="str">
        <f t="shared" si="13"/>
        <v/>
      </c>
      <c r="F199" t="str">
        <f t="shared" si="14"/>
        <v>CN</v>
      </c>
    </row>
    <row r="200" spans="1:6" x14ac:dyDescent="0.3">
      <c r="A200" t="s">
        <v>1362</v>
      </c>
      <c r="B200">
        <v>1</v>
      </c>
      <c r="D200" t="str">
        <f t="shared" si="12"/>
        <v>0066</v>
      </c>
      <c r="E200" t="str">
        <f t="shared" si="13"/>
        <v/>
      </c>
      <c r="F200" t="str">
        <f t="shared" si="14"/>
        <v>CN</v>
      </c>
    </row>
    <row r="201" spans="1:6" x14ac:dyDescent="0.3">
      <c r="A201" t="s">
        <v>1364</v>
      </c>
      <c r="B201">
        <v>1</v>
      </c>
      <c r="D201" t="str">
        <f t="shared" si="12"/>
        <v>0067</v>
      </c>
      <c r="E201" t="str">
        <f t="shared" si="13"/>
        <v/>
      </c>
      <c r="F201" t="str">
        <f t="shared" si="14"/>
        <v>CN</v>
      </c>
    </row>
    <row r="202" spans="1:6" x14ac:dyDescent="0.3">
      <c r="A202" t="s">
        <v>1367</v>
      </c>
      <c r="B202">
        <v>1</v>
      </c>
      <c r="D202" t="str">
        <f t="shared" si="12"/>
        <v>0068</v>
      </c>
      <c r="E202" t="str">
        <f t="shared" si="13"/>
        <v/>
      </c>
      <c r="F202" t="str">
        <f t="shared" si="14"/>
        <v>CN</v>
      </c>
    </row>
    <row r="203" spans="1:6" x14ac:dyDescent="0.3">
      <c r="A203" t="s">
        <v>1369</v>
      </c>
      <c r="B203">
        <v>1</v>
      </c>
      <c r="D203" t="str">
        <f t="shared" si="12"/>
        <v>0069</v>
      </c>
      <c r="E203" t="str">
        <f t="shared" si="13"/>
        <v/>
      </c>
      <c r="F203" t="str">
        <f t="shared" si="14"/>
        <v>CN</v>
      </c>
    </row>
    <row r="204" spans="1:6" x14ac:dyDescent="0.3">
      <c r="A204" t="s">
        <v>2653</v>
      </c>
      <c r="B204">
        <v>1</v>
      </c>
      <c r="D204" t="str">
        <f t="shared" si="12"/>
        <v>0070</v>
      </c>
      <c r="E204" t="str">
        <f t="shared" si="13"/>
        <v/>
      </c>
      <c r="F204" t="str">
        <f t="shared" si="14"/>
        <v>MS</v>
      </c>
    </row>
    <row r="205" spans="1:6" x14ac:dyDescent="0.3">
      <c r="A205" t="s">
        <v>1374</v>
      </c>
      <c r="B205">
        <v>1</v>
      </c>
      <c r="D205" t="str">
        <f t="shared" si="12"/>
        <v>0071</v>
      </c>
      <c r="E205" t="str">
        <f t="shared" si="13"/>
        <v/>
      </c>
      <c r="F205" t="str">
        <f t="shared" si="14"/>
        <v>CN</v>
      </c>
    </row>
    <row r="206" spans="1:6" x14ac:dyDescent="0.3">
      <c r="A206" t="s">
        <v>1376</v>
      </c>
      <c r="B206">
        <v>1</v>
      </c>
      <c r="D206" t="str">
        <f t="shared" si="12"/>
        <v>0072</v>
      </c>
      <c r="E206" t="str">
        <f t="shared" si="13"/>
        <v/>
      </c>
      <c r="F206" t="str">
        <f t="shared" si="14"/>
        <v>CN</v>
      </c>
    </row>
    <row r="207" spans="1:6" x14ac:dyDescent="0.3">
      <c r="A207" t="s">
        <v>1380</v>
      </c>
      <c r="B207">
        <v>1</v>
      </c>
      <c r="D207" t="str">
        <f t="shared" si="12"/>
        <v>0073</v>
      </c>
      <c r="E207" t="str">
        <f t="shared" si="13"/>
        <v/>
      </c>
      <c r="F207" t="str">
        <f t="shared" si="14"/>
        <v>DN</v>
      </c>
    </row>
    <row r="208" spans="1:6" x14ac:dyDescent="0.3">
      <c r="A208" t="s">
        <v>1381</v>
      </c>
      <c r="B208">
        <v>1</v>
      </c>
      <c r="D208" t="str">
        <f t="shared" si="12"/>
        <v>0074</v>
      </c>
      <c r="E208" t="str">
        <f t="shared" si="13"/>
        <v/>
      </c>
      <c r="F208" t="str">
        <f t="shared" si="14"/>
        <v>CN</v>
      </c>
    </row>
    <row r="209" spans="1:6" x14ac:dyDescent="0.3">
      <c r="A209" t="s">
        <v>1386</v>
      </c>
      <c r="B209">
        <v>1</v>
      </c>
      <c r="D209" t="str">
        <f t="shared" si="12"/>
        <v>0075</v>
      </c>
      <c r="E209" t="str">
        <f t="shared" si="13"/>
        <v/>
      </c>
      <c r="F209" t="str">
        <f t="shared" si="14"/>
        <v>CN</v>
      </c>
    </row>
    <row r="210" spans="1:6" x14ac:dyDescent="0.3">
      <c r="A210" t="s">
        <v>1390</v>
      </c>
      <c r="B210">
        <v>1</v>
      </c>
      <c r="D210" t="str">
        <f t="shared" si="12"/>
        <v>0076</v>
      </c>
      <c r="E210" t="str">
        <f t="shared" si="13"/>
        <v/>
      </c>
      <c r="F210" t="str">
        <f t="shared" si="14"/>
        <v>CN</v>
      </c>
    </row>
    <row r="211" spans="1:6" x14ac:dyDescent="0.3">
      <c r="A211" t="s">
        <v>1397</v>
      </c>
      <c r="B211">
        <v>1</v>
      </c>
      <c r="D211" t="str">
        <f t="shared" si="12"/>
        <v>0077</v>
      </c>
      <c r="E211" t="str">
        <f t="shared" si="13"/>
        <v/>
      </c>
      <c r="F211" t="str">
        <f t="shared" si="14"/>
        <v>CR</v>
      </c>
    </row>
    <row r="212" spans="1:6" x14ac:dyDescent="0.3">
      <c r="A212" t="s">
        <v>1399</v>
      </c>
      <c r="B212">
        <v>1</v>
      </c>
      <c r="D212" t="str">
        <f t="shared" si="12"/>
        <v>0078</v>
      </c>
      <c r="E212" t="str">
        <f t="shared" si="13"/>
        <v/>
      </c>
      <c r="F212" t="str">
        <f t="shared" si="14"/>
        <v>CR</v>
      </c>
    </row>
    <row r="213" spans="1:6" x14ac:dyDescent="0.3">
      <c r="A213" t="s">
        <v>1402</v>
      </c>
      <c r="B213">
        <v>1</v>
      </c>
      <c r="D213" t="str">
        <f t="shared" si="12"/>
        <v>0079</v>
      </c>
      <c r="E213" t="str">
        <f t="shared" si="13"/>
        <v/>
      </c>
      <c r="F213" t="str">
        <f t="shared" si="14"/>
        <v>CS</v>
      </c>
    </row>
    <row r="214" spans="1:6" x14ac:dyDescent="0.3">
      <c r="A214" t="s">
        <v>1403</v>
      </c>
      <c r="B214">
        <v>1</v>
      </c>
      <c r="D214" t="str">
        <f t="shared" si="12"/>
        <v>0080</v>
      </c>
      <c r="E214" t="str">
        <f t="shared" si="13"/>
        <v/>
      </c>
      <c r="F214" t="str">
        <f t="shared" si="14"/>
        <v>CN</v>
      </c>
    </row>
    <row r="215" spans="1:6" x14ac:dyDescent="0.3">
      <c r="A215" t="s">
        <v>1409</v>
      </c>
      <c r="B215">
        <v>1</v>
      </c>
      <c r="D215" t="str">
        <f t="shared" si="12"/>
        <v>0081</v>
      </c>
      <c r="E215" t="str">
        <f t="shared" si="13"/>
        <v/>
      </c>
      <c r="F215" t="str">
        <f t="shared" si="14"/>
        <v>CN</v>
      </c>
    </row>
    <row r="216" spans="1:6" x14ac:dyDescent="0.3">
      <c r="A216" t="s">
        <v>1418</v>
      </c>
      <c r="B216">
        <v>1</v>
      </c>
      <c r="D216" t="str">
        <f t="shared" si="12"/>
        <v>0082</v>
      </c>
      <c r="E216" t="str">
        <f t="shared" si="13"/>
        <v/>
      </c>
      <c r="F216" t="str">
        <f t="shared" si="14"/>
        <v>CS</v>
      </c>
    </row>
    <row r="217" spans="1:6" x14ac:dyDescent="0.3">
      <c r="A217" t="s">
        <v>1422</v>
      </c>
      <c r="B217">
        <v>1</v>
      </c>
      <c r="D217" t="str">
        <f t="shared" si="12"/>
        <v>0083</v>
      </c>
      <c r="E217" t="str">
        <f t="shared" si="13"/>
        <v/>
      </c>
      <c r="F217" t="str">
        <f t="shared" si="14"/>
        <v>CR</v>
      </c>
    </row>
    <row r="218" spans="1:6" x14ac:dyDescent="0.3">
      <c r="A218" t="s">
        <v>1425</v>
      </c>
      <c r="B218">
        <v>1</v>
      </c>
      <c r="D218" t="str">
        <f t="shared" si="12"/>
        <v>0084</v>
      </c>
      <c r="E218" t="str">
        <f t="shared" si="13"/>
        <v/>
      </c>
      <c r="F218" t="str">
        <f t="shared" si="14"/>
        <v>CN</v>
      </c>
    </row>
    <row r="219" spans="1:6" x14ac:dyDescent="0.3">
      <c r="A219" t="s">
        <v>1427</v>
      </c>
      <c r="B219">
        <v>1</v>
      </c>
      <c r="D219" t="str">
        <f t="shared" si="12"/>
        <v>0085</v>
      </c>
      <c r="E219" t="str">
        <f t="shared" si="13"/>
        <v/>
      </c>
      <c r="F219" t="str">
        <f t="shared" si="14"/>
        <v>CN</v>
      </c>
    </row>
    <row r="220" spans="1:6" x14ac:dyDescent="0.3">
      <c r="A220" t="s">
        <v>1429</v>
      </c>
      <c r="B220">
        <v>1</v>
      </c>
      <c r="D220" t="str">
        <f t="shared" si="12"/>
        <v>0086</v>
      </c>
      <c r="E220" t="str">
        <f t="shared" si="13"/>
        <v/>
      </c>
      <c r="F220" t="str">
        <f t="shared" si="14"/>
        <v>CN</v>
      </c>
    </row>
    <row r="221" spans="1:6" x14ac:dyDescent="0.3">
      <c r="A221" t="s">
        <v>1432</v>
      </c>
      <c r="B221">
        <v>1</v>
      </c>
      <c r="D221" t="str">
        <f t="shared" si="12"/>
        <v>0087</v>
      </c>
      <c r="E221" t="str">
        <f t="shared" si="13"/>
        <v/>
      </c>
      <c r="F221" t="str">
        <f t="shared" si="14"/>
        <v>CN</v>
      </c>
    </row>
    <row r="222" spans="1:6" x14ac:dyDescent="0.3">
      <c r="A222" t="s">
        <v>1437</v>
      </c>
      <c r="B222">
        <v>1</v>
      </c>
      <c r="D222" t="str">
        <f t="shared" si="12"/>
        <v>0088</v>
      </c>
      <c r="E222" t="str">
        <f t="shared" si="13"/>
        <v/>
      </c>
      <c r="F222" t="str">
        <f t="shared" si="14"/>
        <v>CN</v>
      </c>
    </row>
    <row r="223" spans="1:6" x14ac:dyDescent="0.3">
      <c r="A223" t="s">
        <v>1439</v>
      </c>
      <c r="B223">
        <v>1</v>
      </c>
      <c r="D223" t="str">
        <f t="shared" si="12"/>
        <v>0089</v>
      </c>
      <c r="E223" t="str">
        <f t="shared" si="13"/>
        <v/>
      </c>
      <c r="F223" t="str">
        <f t="shared" si="14"/>
        <v>CN</v>
      </c>
    </row>
    <row r="224" spans="1:6" x14ac:dyDescent="0.3">
      <c r="A224" t="s">
        <v>1445</v>
      </c>
      <c r="B224">
        <v>1</v>
      </c>
      <c r="D224" t="str">
        <f t="shared" si="12"/>
        <v>0090</v>
      </c>
      <c r="E224" t="str">
        <f t="shared" si="13"/>
        <v/>
      </c>
      <c r="F224" t="str">
        <f t="shared" si="14"/>
        <v>CS</v>
      </c>
    </row>
    <row r="225" spans="1:6" x14ac:dyDescent="0.3">
      <c r="A225" t="s">
        <v>1446</v>
      </c>
      <c r="B225">
        <v>1</v>
      </c>
      <c r="D225" t="str">
        <f t="shared" si="12"/>
        <v>0091</v>
      </c>
      <c r="E225" t="str">
        <f t="shared" si="13"/>
        <v/>
      </c>
      <c r="F225" t="str">
        <f t="shared" si="14"/>
        <v>CN</v>
      </c>
    </row>
    <row r="226" spans="1:6" x14ac:dyDescent="0.3">
      <c r="A226" t="s">
        <v>1451</v>
      </c>
      <c r="B226">
        <v>1</v>
      </c>
      <c r="D226" t="str">
        <f t="shared" si="12"/>
        <v>0092</v>
      </c>
      <c r="E226" t="str">
        <f t="shared" si="13"/>
        <v/>
      </c>
      <c r="F226" t="str">
        <f t="shared" si="14"/>
        <v>CN</v>
      </c>
    </row>
    <row r="227" spans="1:6" x14ac:dyDescent="0.3">
      <c r="A227" t="s">
        <v>1453</v>
      </c>
      <c r="B227">
        <v>1</v>
      </c>
      <c r="D227" t="str">
        <f t="shared" si="12"/>
        <v>0093</v>
      </c>
      <c r="E227" t="str">
        <f t="shared" si="13"/>
        <v/>
      </c>
      <c r="F227" t="str">
        <f t="shared" si="14"/>
        <v>CN</v>
      </c>
    </row>
    <row r="228" spans="1:6" x14ac:dyDescent="0.3">
      <c r="A228" t="s">
        <v>1455</v>
      </c>
      <c r="B228">
        <v>1</v>
      </c>
      <c r="D228" t="str">
        <f t="shared" si="12"/>
        <v>0094</v>
      </c>
      <c r="E228" t="str">
        <f t="shared" si="13"/>
        <v/>
      </c>
      <c r="F228" t="str">
        <f t="shared" si="14"/>
        <v>CN</v>
      </c>
    </row>
    <row r="229" spans="1:6" x14ac:dyDescent="0.3">
      <c r="A229" t="s">
        <v>1457</v>
      </c>
      <c r="B229">
        <v>1</v>
      </c>
      <c r="D229" t="str">
        <f t="shared" si="12"/>
        <v>0095</v>
      </c>
      <c r="E229" t="str">
        <f t="shared" si="13"/>
        <v/>
      </c>
      <c r="F229" t="str">
        <f t="shared" si="14"/>
        <v>CN</v>
      </c>
    </row>
    <row r="230" spans="1:6" x14ac:dyDescent="0.3">
      <c r="A230" t="s">
        <v>1459</v>
      </c>
      <c r="B230">
        <v>1</v>
      </c>
      <c r="D230" t="str">
        <f t="shared" si="12"/>
        <v>0096</v>
      </c>
      <c r="E230" t="str">
        <f t="shared" si="13"/>
        <v/>
      </c>
      <c r="F230" t="str">
        <f t="shared" si="14"/>
        <v>CN</v>
      </c>
    </row>
    <row r="231" spans="1:6" x14ac:dyDescent="0.3">
      <c r="A231" t="s">
        <v>1461</v>
      </c>
      <c r="B231">
        <v>1</v>
      </c>
      <c r="D231" t="str">
        <f t="shared" si="12"/>
        <v>0097</v>
      </c>
      <c r="E231" t="str">
        <f t="shared" si="13"/>
        <v/>
      </c>
      <c r="F231" t="str">
        <f t="shared" si="14"/>
        <v>CN</v>
      </c>
    </row>
    <row r="232" spans="1:6" x14ac:dyDescent="0.3">
      <c r="A232" t="s">
        <v>1463</v>
      </c>
      <c r="B232">
        <v>1</v>
      </c>
      <c r="D232" t="str">
        <f t="shared" si="12"/>
        <v>0098</v>
      </c>
      <c r="E232" t="str">
        <f t="shared" si="13"/>
        <v/>
      </c>
      <c r="F232" t="str">
        <f t="shared" si="14"/>
        <v>CN</v>
      </c>
    </row>
    <row r="233" spans="1:6" x14ac:dyDescent="0.3">
      <c r="A233" t="s">
        <v>1467</v>
      </c>
      <c r="B233">
        <v>1</v>
      </c>
      <c r="D233" t="str">
        <f t="shared" si="12"/>
        <v>0099</v>
      </c>
      <c r="E233" t="str">
        <f t="shared" si="13"/>
        <v/>
      </c>
      <c r="F233" t="str">
        <f t="shared" si="14"/>
        <v>CN</v>
      </c>
    </row>
    <row r="234" spans="1:6" x14ac:dyDescent="0.3">
      <c r="A234" t="s">
        <v>1470</v>
      </c>
      <c r="B234">
        <v>1</v>
      </c>
      <c r="D234" t="str">
        <f t="shared" si="12"/>
        <v>0100</v>
      </c>
      <c r="E234" t="str">
        <f t="shared" si="13"/>
        <v/>
      </c>
      <c r="F234" t="str">
        <f t="shared" si="14"/>
        <v>CN</v>
      </c>
    </row>
    <row r="235" spans="1:6" x14ac:dyDescent="0.3">
      <c r="A235" t="s">
        <v>1474</v>
      </c>
      <c r="B235">
        <v>1</v>
      </c>
      <c r="D235" t="str">
        <f t="shared" si="12"/>
        <v>0101</v>
      </c>
      <c r="E235" t="str">
        <f t="shared" si="13"/>
        <v/>
      </c>
      <c r="F235" t="str">
        <f t="shared" si="14"/>
        <v>CS</v>
      </c>
    </row>
    <row r="236" spans="1:6" x14ac:dyDescent="0.3">
      <c r="A236" t="s">
        <v>1476</v>
      </c>
      <c r="B236">
        <v>1</v>
      </c>
      <c r="D236" t="str">
        <f t="shared" si="12"/>
        <v>0102</v>
      </c>
      <c r="E236" t="str">
        <f t="shared" si="13"/>
        <v/>
      </c>
      <c r="F236" t="str">
        <f t="shared" si="14"/>
        <v>CS</v>
      </c>
    </row>
    <row r="237" spans="1:6" x14ac:dyDescent="0.3">
      <c r="A237" t="s">
        <v>1477</v>
      </c>
      <c r="B237">
        <v>1</v>
      </c>
      <c r="D237" t="str">
        <f t="shared" si="12"/>
        <v>0103</v>
      </c>
      <c r="E237" t="str">
        <f t="shared" si="13"/>
        <v/>
      </c>
      <c r="F237" t="str">
        <f t="shared" si="14"/>
        <v>CN</v>
      </c>
    </row>
    <row r="238" spans="1:6" x14ac:dyDescent="0.3">
      <c r="A238" t="s">
        <v>1482</v>
      </c>
      <c r="B238">
        <v>1</v>
      </c>
      <c r="D238" t="str">
        <f t="shared" si="12"/>
        <v>0104</v>
      </c>
      <c r="E238" t="str">
        <f t="shared" si="13"/>
        <v/>
      </c>
      <c r="F238" t="str">
        <f t="shared" si="14"/>
        <v>CN</v>
      </c>
    </row>
    <row r="239" spans="1:6" x14ac:dyDescent="0.3">
      <c r="A239" t="s">
        <v>1486</v>
      </c>
      <c r="B239">
        <v>1</v>
      </c>
      <c r="D239" t="str">
        <f t="shared" si="12"/>
        <v>0105</v>
      </c>
      <c r="E239" t="str">
        <f t="shared" si="13"/>
        <v/>
      </c>
      <c r="F239" t="str">
        <f t="shared" si="14"/>
        <v>CS</v>
      </c>
    </row>
    <row r="240" spans="1:6" x14ac:dyDescent="0.3">
      <c r="A240" t="s">
        <v>1489</v>
      </c>
      <c r="B240">
        <v>1</v>
      </c>
      <c r="D240" t="str">
        <f t="shared" si="12"/>
        <v>0106</v>
      </c>
      <c r="E240" t="str">
        <f t="shared" si="13"/>
        <v/>
      </c>
      <c r="F240" t="str">
        <f t="shared" si="14"/>
        <v>CS</v>
      </c>
    </row>
    <row r="241" spans="1:6" x14ac:dyDescent="0.3">
      <c r="A241" t="s">
        <v>1490</v>
      </c>
      <c r="B241">
        <v>1</v>
      </c>
      <c r="D241" t="str">
        <f t="shared" si="12"/>
        <v>0107</v>
      </c>
      <c r="E241" t="str">
        <f t="shared" si="13"/>
        <v/>
      </c>
      <c r="F241" t="str">
        <f t="shared" si="14"/>
        <v>CN</v>
      </c>
    </row>
    <row r="242" spans="1:6" x14ac:dyDescent="0.3">
      <c r="A242" t="s">
        <v>1499</v>
      </c>
      <c r="B242">
        <v>1</v>
      </c>
      <c r="D242" t="str">
        <f t="shared" si="12"/>
        <v>0108</v>
      </c>
      <c r="E242" t="str">
        <f t="shared" si="13"/>
        <v/>
      </c>
      <c r="F242" t="str">
        <f t="shared" si="14"/>
        <v>CS</v>
      </c>
    </row>
    <row r="243" spans="1:6" x14ac:dyDescent="0.3">
      <c r="A243" t="s">
        <v>1500</v>
      </c>
      <c r="B243">
        <v>1</v>
      </c>
      <c r="D243" t="str">
        <f t="shared" si="12"/>
        <v>0109</v>
      </c>
      <c r="E243" t="str">
        <f t="shared" si="13"/>
        <v/>
      </c>
      <c r="F243" t="str">
        <f t="shared" si="14"/>
        <v>CN</v>
      </c>
    </row>
    <row r="244" spans="1:6" x14ac:dyDescent="0.3">
      <c r="A244" t="s">
        <v>1505</v>
      </c>
      <c r="B244">
        <v>1</v>
      </c>
      <c r="D244" t="str">
        <f t="shared" si="12"/>
        <v>0110</v>
      </c>
      <c r="E244" t="str">
        <f t="shared" si="13"/>
        <v/>
      </c>
      <c r="F244" t="str">
        <f t="shared" si="14"/>
        <v>CN</v>
      </c>
    </row>
    <row r="245" spans="1:6" x14ac:dyDescent="0.3">
      <c r="A245" t="s">
        <v>1512</v>
      </c>
      <c r="B245">
        <v>1</v>
      </c>
      <c r="D245" t="str">
        <f t="shared" si="12"/>
        <v>0111</v>
      </c>
      <c r="E245" t="str">
        <f t="shared" si="13"/>
        <v/>
      </c>
      <c r="F245" t="str">
        <f t="shared" si="14"/>
        <v>CR</v>
      </c>
    </row>
    <row r="246" spans="1:6" x14ac:dyDescent="0.3">
      <c r="A246" t="s">
        <v>1513</v>
      </c>
      <c r="B246">
        <v>1</v>
      </c>
      <c r="D246" t="str">
        <f t="shared" si="12"/>
        <v>0112</v>
      </c>
      <c r="E246" t="str">
        <f t="shared" si="13"/>
        <v/>
      </c>
      <c r="F246" t="str">
        <f t="shared" si="14"/>
        <v>CN</v>
      </c>
    </row>
    <row r="247" spans="1:6" x14ac:dyDescent="0.3">
      <c r="A247" t="s">
        <v>2605</v>
      </c>
      <c r="B247">
        <v>1</v>
      </c>
      <c r="D247" t="str">
        <f t="shared" si="12"/>
        <v>0113</v>
      </c>
      <c r="E247" t="str">
        <f t="shared" si="13"/>
        <v/>
      </c>
      <c r="F247" t="str">
        <f t="shared" si="14"/>
        <v>MS</v>
      </c>
    </row>
    <row r="248" spans="1:6" x14ac:dyDescent="0.3">
      <c r="A248" t="s">
        <v>1517</v>
      </c>
      <c r="B248">
        <v>1</v>
      </c>
      <c r="D248" t="str">
        <f t="shared" si="12"/>
        <v>0114</v>
      </c>
      <c r="E248" t="str">
        <f t="shared" si="13"/>
        <v/>
      </c>
      <c r="F248" t="str">
        <f t="shared" si="14"/>
        <v>CN</v>
      </c>
    </row>
    <row r="249" spans="1:6" x14ac:dyDescent="0.3">
      <c r="A249" t="s">
        <v>1519</v>
      </c>
      <c r="B249">
        <v>1</v>
      </c>
      <c r="D249" t="str">
        <f t="shared" si="12"/>
        <v>0115</v>
      </c>
      <c r="E249" t="str">
        <f t="shared" si="13"/>
        <v/>
      </c>
      <c r="F249" t="str">
        <f t="shared" si="14"/>
        <v>CN</v>
      </c>
    </row>
    <row r="250" spans="1:6" x14ac:dyDescent="0.3">
      <c r="A250" t="s">
        <v>1521</v>
      </c>
      <c r="B250">
        <v>1</v>
      </c>
      <c r="D250" t="str">
        <f t="shared" si="12"/>
        <v>0116</v>
      </c>
      <c r="E250" t="str">
        <f t="shared" si="13"/>
        <v/>
      </c>
      <c r="F250" t="str">
        <f t="shared" si="14"/>
        <v>CN</v>
      </c>
    </row>
    <row r="251" spans="1:6" x14ac:dyDescent="0.3">
      <c r="A251" t="s">
        <v>1525</v>
      </c>
      <c r="B251">
        <v>1</v>
      </c>
      <c r="D251" t="str">
        <f t="shared" si="12"/>
        <v>0117</v>
      </c>
      <c r="E251" t="str">
        <f t="shared" si="13"/>
        <v/>
      </c>
      <c r="F251" t="str">
        <f t="shared" si="14"/>
        <v>DN</v>
      </c>
    </row>
    <row r="252" spans="1:6" x14ac:dyDescent="0.3">
      <c r="A252" t="s">
        <v>1526</v>
      </c>
      <c r="B252">
        <v>1</v>
      </c>
      <c r="D252" t="str">
        <f t="shared" si="12"/>
        <v>0118</v>
      </c>
      <c r="E252" t="str">
        <f t="shared" si="13"/>
        <v/>
      </c>
      <c r="F252" t="str">
        <f t="shared" si="14"/>
        <v>CN</v>
      </c>
    </row>
    <row r="253" spans="1:6" x14ac:dyDescent="0.3">
      <c r="A253" t="s">
        <v>1528</v>
      </c>
      <c r="B253">
        <v>1</v>
      </c>
      <c r="D253" t="str">
        <f t="shared" si="12"/>
        <v>0119</v>
      </c>
      <c r="E253" t="str">
        <f t="shared" si="13"/>
        <v/>
      </c>
      <c r="F253" t="str">
        <f t="shared" si="14"/>
        <v>CN</v>
      </c>
    </row>
    <row r="254" spans="1:6" x14ac:dyDescent="0.3">
      <c r="A254" t="s">
        <v>1530</v>
      </c>
      <c r="B254">
        <v>1</v>
      </c>
      <c r="D254" t="str">
        <f t="shared" si="12"/>
        <v>0120</v>
      </c>
      <c r="E254" t="str">
        <f t="shared" si="13"/>
        <v/>
      </c>
      <c r="F254" t="str">
        <f t="shared" si="14"/>
        <v>CN</v>
      </c>
    </row>
    <row r="255" spans="1:6" x14ac:dyDescent="0.3">
      <c r="A255" t="s">
        <v>1532</v>
      </c>
      <c r="B255">
        <v>1</v>
      </c>
      <c r="D255" t="str">
        <f t="shared" si="12"/>
        <v>0121</v>
      </c>
      <c r="E255" t="str">
        <f t="shared" si="13"/>
        <v/>
      </c>
      <c r="F255" t="str">
        <f t="shared" si="14"/>
        <v>CN</v>
      </c>
    </row>
    <row r="256" spans="1:6" x14ac:dyDescent="0.3">
      <c r="A256" t="s">
        <v>1534</v>
      </c>
      <c r="B256">
        <v>1</v>
      </c>
      <c r="D256" t="str">
        <f t="shared" si="12"/>
        <v>0122</v>
      </c>
      <c r="E256" t="str">
        <f t="shared" si="13"/>
        <v/>
      </c>
      <c r="F256" t="str">
        <f t="shared" si="14"/>
        <v>CN</v>
      </c>
    </row>
    <row r="257" spans="1:6" x14ac:dyDescent="0.3">
      <c r="A257" t="s">
        <v>1536</v>
      </c>
      <c r="B257">
        <v>1</v>
      </c>
      <c r="D257" t="str">
        <f t="shared" si="12"/>
        <v>0123</v>
      </c>
      <c r="E257" t="str">
        <f t="shared" si="13"/>
        <v/>
      </c>
      <c r="F257" t="str">
        <f t="shared" si="14"/>
        <v>CN</v>
      </c>
    </row>
    <row r="258" spans="1:6" x14ac:dyDescent="0.3">
      <c r="A258" t="s">
        <v>1538</v>
      </c>
      <c r="B258">
        <v>1</v>
      </c>
      <c r="D258" t="str">
        <f t="shared" si="12"/>
        <v>0124</v>
      </c>
      <c r="E258" t="str">
        <f t="shared" si="13"/>
        <v/>
      </c>
      <c r="F258" t="str">
        <f t="shared" si="14"/>
        <v>CN</v>
      </c>
    </row>
    <row r="259" spans="1:6" x14ac:dyDescent="0.3">
      <c r="A259" t="s">
        <v>1541</v>
      </c>
      <c r="B259">
        <v>1</v>
      </c>
      <c r="D259" t="str">
        <f t="shared" ref="D259:D322" si="15">IF(LEFT(A259,2)="SP",MID(A259,4,4),IF(LEFT(A259,1)="X",MID(A259,3,4),""))</f>
        <v>0125</v>
      </c>
      <c r="E259" t="str">
        <f t="shared" ref="E259:E322" si="16">IF(OR(LEFT(A259,2)="SP",AND(LEFT(A259,1)="X",LEN(A259)&gt;9)),RIGHT(A259,1),"")</f>
        <v/>
      </c>
      <c r="F259" t="str">
        <f t="shared" ref="F259:F322" si="17">IF(LEFT(A259,1)="X",MID(A259,8,2),"")</f>
        <v>CN</v>
      </c>
    </row>
    <row r="260" spans="1:6" x14ac:dyDescent="0.3">
      <c r="A260" t="s">
        <v>1543</v>
      </c>
      <c r="B260">
        <v>1</v>
      </c>
      <c r="D260" t="str">
        <f t="shared" si="15"/>
        <v>0126</v>
      </c>
      <c r="E260" t="str">
        <f t="shared" si="16"/>
        <v/>
      </c>
      <c r="F260" t="str">
        <f t="shared" si="17"/>
        <v>CN</v>
      </c>
    </row>
    <row r="261" spans="1:6" x14ac:dyDescent="0.3">
      <c r="A261" t="s">
        <v>1545</v>
      </c>
      <c r="B261">
        <v>1</v>
      </c>
      <c r="D261" t="str">
        <f t="shared" si="15"/>
        <v>0127</v>
      </c>
      <c r="E261" t="str">
        <f t="shared" si="16"/>
        <v/>
      </c>
      <c r="F261" t="str">
        <f t="shared" si="17"/>
        <v>CN</v>
      </c>
    </row>
    <row r="262" spans="1:6" x14ac:dyDescent="0.3">
      <c r="A262" t="s">
        <v>1548</v>
      </c>
      <c r="B262">
        <v>1</v>
      </c>
      <c r="D262" t="str">
        <f t="shared" si="15"/>
        <v>0128</v>
      </c>
      <c r="E262" t="str">
        <f t="shared" si="16"/>
        <v/>
      </c>
      <c r="F262" t="str">
        <f t="shared" si="17"/>
        <v>CN</v>
      </c>
    </row>
    <row r="263" spans="1:6" x14ac:dyDescent="0.3">
      <c r="A263" t="s">
        <v>1550</v>
      </c>
      <c r="B263">
        <v>1</v>
      </c>
      <c r="D263" t="str">
        <f t="shared" si="15"/>
        <v>0129</v>
      </c>
      <c r="E263" t="str">
        <f t="shared" si="16"/>
        <v/>
      </c>
      <c r="F263" t="str">
        <f t="shared" si="17"/>
        <v>CN</v>
      </c>
    </row>
    <row r="264" spans="1:6" x14ac:dyDescent="0.3">
      <c r="A264" t="s">
        <v>1555</v>
      </c>
      <c r="B264">
        <v>1</v>
      </c>
      <c r="D264" t="str">
        <f t="shared" si="15"/>
        <v>0130</v>
      </c>
      <c r="E264" t="str">
        <f t="shared" si="16"/>
        <v/>
      </c>
      <c r="F264" t="str">
        <f t="shared" si="17"/>
        <v>CS</v>
      </c>
    </row>
    <row r="265" spans="1:6" x14ac:dyDescent="0.3">
      <c r="A265" t="s">
        <v>1556</v>
      </c>
      <c r="B265">
        <v>1</v>
      </c>
      <c r="D265" t="str">
        <f t="shared" si="15"/>
        <v>0131</v>
      </c>
      <c r="E265" t="str">
        <f t="shared" si="16"/>
        <v/>
      </c>
      <c r="F265" t="str">
        <f t="shared" si="17"/>
        <v>CN</v>
      </c>
    </row>
    <row r="266" spans="1:6" x14ac:dyDescent="0.3">
      <c r="A266" t="s">
        <v>1559</v>
      </c>
      <c r="B266">
        <v>1</v>
      </c>
      <c r="D266" t="str">
        <f t="shared" si="15"/>
        <v>0132</v>
      </c>
      <c r="E266" t="str">
        <f t="shared" si="16"/>
        <v/>
      </c>
      <c r="F266" t="str">
        <f t="shared" si="17"/>
        <v>CR</v>
      </c>
    </row>
    <row r="267" spans="1:6" x14ac:dyDescent="0.3">
      <c r="A267" t="s">
        <v>1562</v>
      </c>
      <c r="B267">
        <v>1</v>
      </c>
      <c r="D267" t="str">
        <f t="shared" si="15"/>
        <v>0133</v>
      </c>
      <c r="E267" t="str">
        <f t="shared" si="16"/>
        <v/>
      </c>
      <c r="F267" t="str">
        <f t="shared" si="17"/>
        <v>CR</v>
      </c>
    </row>
    <row r="268" spans="1:6" x14ac:dyDescent="0.3">
      <c r="A268" t="s">
        <v>1566</v>
      </c>
      <c r="B268">
        <v>1</v>
      </c>
      <c r="D268" t="str">
        <f t="shared" si="15"/>
        <v>0134</v>
      </c>
      <c r="E268" t="str">
        <f t="shared" si="16"/>
        <v/>
      </c>
      <c r="F268" t="str">
        <f t="shared" si="17"/>
        <v>CR</v>
      </c>
    </row>
    <row r="269" spans="1:6" x14ac:dyDescent="0.3">
      <c r="A269" t="s">
        <v>1568</v>
      </c>
      <c r="B269">
        <v>1</v>
      </c>
      <c r="D269" t="str">
        <f t="shared" si="15"/>
        <v>0135</v>
      </c>
      <c r="E269" t="str">
        <f t="shared" si="16"/>
        <v/>
      </c>
      <c r="F269" t="str">
        <f t="shared" si="17"/>
        <v>CN</v>
      </c>
    </row>
    <row r="270" spans="1:6" x14ac:dyDescent="0.3">
      <c r="A270" t="s">
        <v>1574</v>
      </c>
      <c r="B270">
        <v>1</v>
      </c>
      <c r="D270" t="str">
        <f t="shared" si="15"/>
        <v>0136</v>
      </c>
      <c r="E270" t="str">
        <f t="shared" si="16"/>
        <v/>
      </c>
      <c r="F270" t="str">
        <f t="shared" si="17"/>
        <v>CN</v>
      </c>
    </row>
    <row r="271" spans="1:6" x14ac:dyDescent="0.3">
      <c r="A271" t="s">
        <v>1576</v>
      </c>
      <c r="B271">
        <v>1</v>
      </c>
      <c r="D271" t="str">
        <f t="shared" si="15"/>
        <v>0137</v>
      </c>
      <c r="E271" t="str">
        <f t="shared" si="16"/>
        <v/>
      </c>
      <c r="F271" t="str">
        <f t="shared" si="17"/>
        <v>CN</v>
      </c>
    </row>
    <row r="272" spans="1:6" x14ac:dyDescent="0.3">
      <c r="A272" t="s">
        <v>1578</v>
      </c>
      <c r="B272">
        <v>1</v>
      </c>
      <c r="D272" t="str">
        <f t="shared" si="15"/>
        <v>0138</v>
      </c>
      <c r="E272" t="str">
        <f t="shared" si="16"/>
        <v/>
      </c>
      <c r="F272" t="str">
        <f t="shared" si="17"/>
        <v>CN</v>
      </c>
    </row>
    <row r="273" spans="1:6" x14ac:dyDescent="0.3">
      <c r="A273" t="s">
        <v>1580</v>
      </c>
      <c r="B273">
        <v>1</v>
      </c>
      <c r="D273" t="str">
        <f t="shared" si="15"/>
        <v>0139</v>
      </c>
      <c r="E273" t="str">
        <f t="shared" si="16"/>
        <v/>
      </c>
      <c r="F273" t="str">
        <f t="shared" si="17"/>
        <v>CN</v>
      </c>
    </row>
    <row r="274" spans="1:6" x14ac:dyDescent="0.3">
      <c r="A274" t="s">
        <v>1582</v>
      </c>
      <c r="B274">
        <v>1</v>
      </c>
      <c r="D274" t="str">
        <f t="shared" si="15"/>
        <v>0140</v>
      </c>
      <c r="E274" t="str">
        <f t="shared" si="16"/>
        <v/>
      </c>
      <c r="F274" t="str">
        <f t="shared" si="17"/>
        <v>CN</v>
      </c>
    </row>
    <row r="275" spans="1:6" x14ac:dyDescent="0.3">
      <c r="A275" t="s">
        <v>1584</v>
      </c>
      <c r="B275">
        <v>1</v>
      </c>
      <c r="D275" t="str">
        <f t="shared" si="15"/>
        <v>0141</v>
      </c>
      <c r="E275" t="str">
        <f t="shared" si="16"/>
        <v/>
      </c>
      <c r="F275" t="str">
        <f t="shared" si="17"/>
        <v>CN</v>
      </c>
    </row>
    <row r="276" spans="1:6" x14ac:dyDescent="0.3">
      <c r="A276" t="s">
        <v>1586</v>
      </c>
      <c r="B276">
        <v>1</v>
      </c>
      <c r="D276" t="str">
        <f t="shared" si="15"/>
        <v>0142</v>
      </c>
      <c r="E276" t="str">
        <f t="shared" si="16"/>
        <v/>
      </c>
      <c r="F276" t="str">
        <f t="shared" si="17"/>
        <v>CN</v>
      </c>
    </row>
    <row r="277" spans="1:6" x14ac:dyDescent="0.3">
      <c r="A277" t="s">
        <v>1588</v>
      </c>
      <c r="B277">
        <v>1</v>
      </c>
      <c r="D277" t="str">
        <f t="shared" si="15"/>
        <v>0143</v>
      </c>
      <c r="E277" t="str">
        <f t="shared" si="16"/>
        <v/>
      </c>
      <c r="F277" t="str">
        <f t="shared" si="17"/>
        <v>CN</v>
      </c>
    </row>
    <row r="278" spans="1:6" x14ac:dyDescent="0.3">
      <c r="A278" t="s">
        <v>1590</v>
      </c>
      <c r="B278">
        <v>1</v>
      </c>
      <c r="D278" t="str">
        <f t="shared" si="15"/>
        <v>0144</v>
      </c>
      <c r="E278" t="str">
        <f t="shared" si="16"/>
        <v/>
      </c>
      <c r="F278" t="str">
        <f t="shared" si="17"/>
        <v>CN</v>
      </c>
    </row>
    <row r="279" spans="1:6" x14ac:dyDescent="0.3">
      <c r="A279" t="s">
        <v>1592</v>
      </c>
      <c r="B279">
        <v>1</v>
      </c>
      <c r="D279" t="str">
        <f t="shared" si="15"/>
        <v>0145</v>
      </c>
      <c r="E279" t="str">
        <f t="shared" si="16"/>
        <v/>
      </c>
      <c r="F279" t="str">
        <f t="shared" si="17"/>
        <v>CN</v>
      </c>
    </row>
    <row r="280" spans="1:6" x14ac:dyDescent="0.3">
      <c r="A280" t="s">
        <v>1595</v>
      </c>
      <c r="B280">
        <v>1</v>
      </c>
      <c r="D280" t="str">
        <f t="shared" si="15"/>
        <v>0146</v>
      </c>
      <c r="E280" t="str">
        <f t="shared" si="16"/>
        <v/>
      </c>
      <c r="F280" t="str">
        <f t="shared" si="17"/>
        <v>CS</v>
      </c>
    </row>
    <row r="281" spans="1:6" x14ac:dyDescent="0.3">
      <c r="A281" t="s">
        <v>1596</v>
      </c>
      <c r="B281">
        <v>1</v>
      </c>
      <c r="D281" t="str">
        <f t="shared" si="15"/>
        <v>0147</v>
      </c>
      <c r="E281" t="str">
        <f t="shared" si="16"/>
        <v/>
      </c>
      <c r="F281" t="str">
        <f t="shared" si="17"/>
        <v>CN</v>
      </c>
    </row>
    <row r="282" spans="1:6" x14ac:dyDescent="0.3">
      <c r="A282" t="s">
        <v>1599</v>
      </c>
      <c r="B282">
        <v>1</v>
      </c>
      <c r="D282" t="str">
        <f t="shared" si="15"/>
        <v>0148</v>
      </c>
      <c r="E282" t="str">
        <f t="shared" si="16"/>
        <v/>
      </c>
      <c r="F282" t="str">
        <f t="shared" si="17"/>
        <v>CN</v>
      </c>
    </row>
    <row r="283" spans="1:6" x14ac:dyDescent="0.3">
      <c r="A283" t="s">
        <v>1601</v>
      </c>
      <c r="B283">
        <v>1</v>
      </c>
      <c r="D283" t="str">
        <f t="shared" si="15"/>
        <v>0149</v>
      </c>
      <c r="E283" t="str">
        <f t="shared" si="16"/>
        <v/>
      </c>
      <c r="F283" t="str">
        <f t="shared" si="17"/>
        <v>CN</v>
      </c>
    </row>
    <row r="284" spans="1:6" x14ac:dyDescent="0.3">
      <c r="A284" t="s">
        <v>1603</v>
      </c>
      <c r="B284">
        <v>1</v>
      </c>
      <c r="D284" t="str">
        <f t="shared" si="15"/>
        <v>0150</v>
      </c>
      <c r="E284" t="str">
        <f t="shared" si="16"/>
        <v/>
      </c>
      <c r="F284" t="str">
        <f t="shared" si="17"/>
        <v>CN</v>
      </c>
    </row>
    <row r="285" spans="1:6" x14ac:dyDescent="0.3">
      <c r="A285" t="s">
        <v>1607</v>
      </c>
      <c r="B285">
        <v>1</v>
      </c>
      <c r="D285" t="str">
        <f t="shared" si="15"/>
        <v>0151</v>
      </c>
      <c r="E285" t="str">
        <f t="shared" si="16"/>
        <v/>
      </c>
      <c r="F285" t="str">
        <f t="shared" si="17"/>
        <v>CS</v>
      </c>
    </row>
    <row r="286" spans="1:6" x14ac:dyDescent="0.3">
      <c r="A286" t="s">
        <v>1608</v>
      </c>
      <c r="B286">
        <v>1</v>
      </c>
      <c r="D286" t="str">
        <f t="shared" si="15"/>
        <v>0152</v>
      </c>
      <c r="E286" t="str">
        <f t="shared" si="16"/>
        <v/>
      </c>
      <c r="F286" t="str">
        <f t="shared" si="17"/>
        <v>CN</v>
      </c>
    </row>
    <row r="287" spans="1:6" x14ac:dyDescent="0.3">
      <c r="A287" t="s">
        <v>1611</v>
      </c>
      <c r="B287">
        <v>1</v>
      </c>
      <c r="D287" t="str">
        <f t="shared" si="15"/>
        <v>0153</v>
      </c>
      <c r="E287" t="str">
        <f t="shared" si="16"/>
        <v/>
      </c>
      <c r="F287" t="str">
        <f t="shared" si="17"/>
        <v>CN</v>
      </c>
    </row>
    <row r="288" spans="1:6" x14ac:dyDescent="0.3">
      <c r="A288" t="s">
        <v>1613</v>
      </c>
      <c r="B288">
        <v>1</v>
      </c>
      <c r="D288" t="str">
        <f t="shared" si="15"/>
        <v>0154</v>
      </c>
      <c r="E288" t="str">
        <f t="shared" si="16"/>
        <v/>
      </c>
      <c r="F288" t="str">
        <f t="shared" si="17"/>
        <v>CN</v>
      </c>
    </row>
    <row r="289" spans="1:6" x14ac:dyDescent="0.3">
      <c r="A289" t="s">
        <v>1615</v>
      </c>
      <c r="B289">
        <v>1</v>
      </c>
      <c r="D289" t="str">
        <f t="shared" si="15"/>
        <v>0155</v>
      </c>
      <c r="E289" t="str">
        <f t="shared" si="16"/>
        <v/>
      </c>
      <c r="F289" t="str">
        <f t="shared" si="17"/>
        <v>CN</v>
      </c>
    </row>
    <row r="290" spans="1:6" x14ac:dyDescent="0.3">
      <c r="A290" t="s">
        <v>1619</v>
      </c>
      <c r="B290">
        <v>1</v>
      </c>
      <c r="D290" t="str">
        <f t="shared" si="15"/>
        <v>0156</v>
      </c>
      <c r="E290" t="str">
        <f t="shared" si="16"/>
        <v/>
      </c>
      <c r="F290" t="str">
        <f t="shared" si="17"/>
        <v>CS</v>
      </c>
    </row>
    <row r="291" spans="1:6" x14ac:dyDescent="0.3">
      <c r="A291" t="s">
        <v>1622</v>
      </c>
      <c r="B291">
        <v>1</v>
      </c>
      <c r="D291" t="str">
        <f t="shared" si="15"/>
        <v>0157</v>
      </c>
      <c r="E291" t="str">
        <f t="shared" si="16"/>
        <v/>
      </c>
      <c r="F291" t="str">
        <f t="shared" si="17"/>
        <v>CS</v>
      </c>
    </row>
    <row r="292" spans="1:6" x14ac:dyDescent="0.3">
      <c r="A292" t="s">
        <v>1623</v>
      </c>
      <c r="B292">
        <v>1</v>
      </c>
      <c r="D292" t="str">
        <f t="shared" si="15"/>
        <v>0158</v>
      </c>
      <c r="E292" t="str">
        <f t="shared" si="16"/>
        <v/>
      </c>
      <c r="F292" t="str">
        <f t="shared" si="17"/>
        <v>CN</v>
      </c>
    </row>
    <row r="293" spans="1:6" x14ac:dyDescent="0.3">
      <c r="A293" t="s">
        <v>1626</v>
      </c>
      <c r="B293">
        <v>1</v>
      </c>
      <c r="D293" t="str">
        <f t="shared" si="15"/>
        <v>0159</v>
      </c>
      <c r="E293" t="str">
        <f t="shared" si="16"/>
        <v/>
      </c>
      <c r="F293" t="str">
        <f t="shared" si="17"/>
        <v>CS</v>
      </c>
    </row>
    <row r="294" spans="1:6" x14ac:dyDescent="0.3">
      <c r="A294" t="s">
        <v>1629</v>
      </c>
      <c r="B294">
        <v>1</v>
      </c>
      <c r="D294" t="str">
        <f t="shared" si="15"/>
        <v>0160</v>
      </c>
      <c r="E294" t="str">
        <f t="shared" si="16"/>
        <v/>
      </c>
      <c r="F294" t="str">
        <f t="shared" si="17"/>
        <v>CS</v>
      </c>
    </row>
    <row r="295" spans="1:6" x14ac:dyDescent="0.3">
      <c r="A295" t="s">
        <v>1630</v>
      </c>
      <c r="B295">
        <v>1</v>
      </c>
      <c r="D295" t="str">
        <f t="shared" si="15"/>
        <v>0161</v>
      </c>
      <c r="E295" t="str">
        <f t="shared" si="16"/>
        <v/>
      </c>
      <c r="F295" t="str">
        <f t="shared" si="17"/>
        <v>CN</v>
      </c>
    </row>
    <row r="296" spans="1:6" x14ac:dyDescent="0.3">
      <c r="A296" t="s">
        <v>1632</v>
      </c>
      <c r="B296">
        <v>1</v>
      </c>
      <c r="D296" t="str">
        <f t="shared" si="15"/>
        <v>0162</v>
      </c>
      <c r="E296" t="str">
        <f t="shared" si="16"/>
        <v/>
      </c>
      <c r="F296" t="str">
        <f t="shared" si="17"/>
        <v>CN</v>
      </c>
    </row>
    <row r="297" spans="1:6" x14ac:dyDescent="0.3">
      <c r="A297" t="s">
        <v>1634</v>
      </c>
      <c r="B297">
        <v>1</v>
      </c>
      <c r="D297" t="str">
        <f t="shared" si="15"/>
        <v>0163</v>
      </c>
      <c r="E297" t="str">
        <f t="shared" si="16"/>
        <v/>
      </c>
      <c r="F297" t="str">
        <f t="shared" si="17"/>
        <v>CN</v>
      </c>
    </row>
    <row r="298" spans="1:6" x14ac:dyDescent="0.3">
      <c r="A298" t="s">
        <v>1636</v>
      </c>
      <c r="B298">
        <v>1</v>
      </c>
      <c r="D298" t="str">
        <f t="shared" si="15"/>
        <v>0164</v>
      </c>
      <c r="E298" t="str">
        <f t="shared" si="16"/>
        <v/>
      </c>
      <c r="F298" t="str">
        <f t="shared" si="17"/>
        <v>CN</v>
      </c>
    </row>
    <row r="299" spans="1:6" x14ac:dyDescent="0.3">
      <c r="A299" t="s">
        <v>1638</v>
      </c>
      <c r="B299">
        <v>1</v>
      </c>
      <c r="D299" t="str">
        <f t="shared" si="15"/>
        <v>0165</v>
      </c>
      <c r="E299" t="str">
        <f t="shared" si="16"/>
        <v/>
      </c>
      <c r="F299" t="str">
        <f t="shared" si="17"/>
        <v>CN</v>
      </c>
    </row>
    <row r="300" spans="1:6" x14ac:dyDescent="0.3">
      <c r="A300" t="s">
        <v>1640</v>
      </c>
      <c r="B300">
        <v>1</v>
      </c>
      <c r="D300" t="str">
        <f t="shared" si="15"/>
        <v>0166</v>
      </c>
      <c r="E300" t="str">
        <f t="shared" si="16"/>
        <v/>
      </c>
      <c r="F300" t="str">
        <f t="shared" si="17"/>
        <v>CN</v>
      </c>
    </row>
    <row r="301" spans="1:6" x14ac:dyDescent="0.3">
      <c r="A301" t="s">
        <v>1644</v>
      </c>
      <c r="B301">
        <v>1</v>
      </c>
      <c r="D301" t="str">
        <f t="shared" si="15"/>
        <v>0167</v>
      </c>
      <c r="E301" t="str">
        <f t="shared" si="16"/>
        <v/>
      </c>
      <c r="F301" t="str">
        <f t="shared" si="17"/>
        <v>CS</v>
      </c>
    </row>
    <row r="302" spans="1:6" x14ac:dyDescent="0.3">
      <c r="A302" t="s">
        <v>2609</v>
      </c>
      <c r="B302">
        <v>1</v>
      </c>
      <c r="D302" t="str">
        <f t="shared" si="15"/>
        <v>0168</v>
      </c>
      <c r="E302" t="str">
        <f t="shared" si="16"/>
        <v/>
      </c>
      <c r="F302" t="str">
        <f t="shared" si="17"/>
        <v>MS</v>
      </c>
    </row>
    <row r="303" spans="1:6" x14ac:dyDescent="0.3">
      <c r="A303" t="s">
        <v>1648</v>
      </c>
      <c r="B303">
        <v>1</v>
      </c>
      <c r="D303" t="str">
        <f t="shared" si="15"/>
        <v>0169</v>
      </c>
      <c r="E303" t="str">
        <f t="shared" si="16"/>
        <v/>
      </c>
      <c r="F303" t="str">
        <f t="shared" si="17"/>
        <v>CS</v>
      </c>
    </row>
    <row r="304" spans="1:6" x14ac:dyDescent="0.3">
      <c r="A304" t="s">
        <v>1649</v>
      </c>
      <c r="B304">
        <v>1</v>
      </c>
      <c r="D304" t="str">
        <f t="shared" si="15"/>
        <v>0170</v>
      </c>
      <c r="E304" t="str">
        <f t="shared" si="16"/>
        <v/>
      </c>
      <c r="F304" t="str">
        <f t="shared" si="17"/>
        <v>CN</v>
      </c>
    </row>
    <row r="305" spans="1:6" x14ac:dyDescent="0.3">
      <c r="A305" t="s">
        <v>1651</v>
      </c>
      <c r="B305">
        <v>1</v>
      </c>
      <c r="D305" t="str">
        <f t="shared" si="15"/>
        <v>0171</v>
      </c>
      <c r="E305" t="str">
        <f t="shared" si="16"/>
        <v/>
      </c>
      <c r="F305" t="str">
        <f t="shared" si="17"/>
        <v>CN</v>
      </c>
    </row>
    <row r="306" spans="1:6" x14ac:dyDescent="0.3">
      <c r="A306" t="s">
        <v>1655</v>
      </c>
      <c r="B306">
        <v>1</v>
      </c>
      <c r="D306" t="str">
        <f t="shared" si="15"/>
        <v>0172</v>
      </c>
      <c r="E306" t="str">
        <f t="shared" si="16"/>
        <v/>
      </c>
      <c r="F306" t="str">
        <f t="shared" si="17"/>
        <v>CS</v>
      </c>
    </row>
    <row r="307" spans="1:6" x14ac:dyDescent="0.3">
      <c r="A307" t="s">
        <v>1658</v>
      </c>
      <c r="B307">
        <v>1</v>
      </c>
      <c r="D307" t="str">
        <f t="shared" si="15"/>
        <v>0173</v>
      </c>
      <c r="E307" t="str">
        <f t="shared" si="16"/>
        <v/>
      </c>
      <c r="F307" t="str">
        <f t="shared" si="17"/>
        <v>CS</v>
      </c>
    </row>
    <row r="308" spans="1:6" x14ac:dyDescent="0.3">
      <c r="A308" t="s">
        <v>1660</v>
      </c>
      <c r="B308">
        <v>1</v>
      </c>
      <c r="D308" t="str">
        <f t="shared" si="15"/>
        <v>0174</v>
      </c>
      <c r="E308" t="str">
        <f t="shared" si="16"/>
        <v/>
      </c>
      <c r="F308" t="str">
        <f t="shared" si="17"/>
        <v>CN</v>
      </c>
    </row>
    <row r="309" spans="1:6" x14ac:dyDescent="0.3">
      <c r="A309" t="s">
        <v>1663</v>
      </c>
      <c r="B309">
        <v>1</v>
      </c>
      <c r="D309" t="str">
        <f t="shared" si="15"/>
        <v>0175</v>
      </c>
      <c r="E309" t="str">
        <f t="shared" si="16"/>
        <v/>
      </c>
      <c r="F309" t="str">
        <f t="shared" si="17"/>
        <v>CN</v>
      </c>
    </row>
    <row r="310" spans="1:6" x14ac:dyDescent="0.3">
      <c r="A310" t="s">
        <v>1665</v>
      </c>
      <c r="B310">
        <v>1</v>
      </c>
      <c r="D310" t="str">
        <f t="shared" si="15"/>
        <v>0176</v>
      </c>
      <c r="E310" t="str">
        <f t="shared" si="16"/>
        <v/>
      </c>
      <c r="F310" t="str">
        <f t="shared" si="17"/>
        <v>CN</v>
      </c>
    </row>
    <row r="311" spans="1:6" x14ac:dyDescent="0.3">
      <c r="A311" t="s">
        <v>1667</v>
      </c>
      <c r="B311">
        <v>1</v>
      </c>
      <c r="D311" t="str">
        <f t="shared" si="15"/>
        <v>0177</v>
      </c>
      <c r="E311" t="str">
        <f t="shared" si="16"/>
        <v/>
      </c>
      <c r="F311" t="str">
        <f t="shared" si="17"/>
        <v>CN</v>
      </c>
    </row>
    <row r="312" spans="1:6" x14ac:dyDescent="0.3">
      <c r="A312" t="s">
        <v>1669</v>
      </c>
      <c r="B312">
        <v>1</v>
      </c>
      <c r="D312" t="str">
        <f t="shared" si="15"/>
        <v>0178</v>
      </c>
      <c r="E312" t="str">
        <f t="shared" si="16"/>
        <v/>
      </c>
      <c r="F312" t="str">
        <f t="shared" si="17"/>
        <v>CN</v>
      </c>
    </row>
    <row r="313" spans="1:6" x14ac:dyDescent="0.3">
      <c r="A313" t="s">
        <v>2572</v>
      </c>
      <c r="B313">
        <v>1</v>
      </c>
      <c r="D313" t="str">
        <f t="shared" si="15"/>
        <v>0179</v>
      </c>
      <c r="E313" t="str">
        <f t="shared" si="16"/>
        <v/>
      </c>
      <c r="F313" t="str">
        <f t="shared" si="17"/>
        <v>FR</v>
      </c>
    </row>
    <row r="314" spans="1:6" x14ac:dyDescent="0.3">
      <c r="A314" t="s">
        <v>2654</v>
      </c>
      <c r="B314">
        <v>1</v>
      </c>
      <c r="D314" t="str">
        <f t="shared" si="15"/>
        <v>0180</v>
      </c>
      <c r="E314" t="str">
        <f t="shared" si="16"/>
        <v/>
      </c>
      <c r="F314" t="str">
        <f t="shared" si="17"/>
        <v>DR</v>
      </c>
    </row>
    <row r="315" spans="1:6" x14ac:dyDescent="0.3">
      <c r="A315" t="s">
        <v>2655</v>
      </c>
      <c r="B315">
        <v>1</v>
      </c>
      <c r="D315" t="str">
        <f t="shared" si="15"/>
        <v>0181</v>
      </c>
      <c r="E315" t="str">
        <f t="shared" si="16"/>
        <v/>
      </c>
      <c r="F315" t="str">
        <f t="shared" si="17"/>
        <v>DR</v>
      </c>
    </row>
    <row r="316" spans="1:6" x14ac:dyDescent="0.3">
      <c r="A316" t="s">
        <v>1680</v>
      </c>
      <c r="B316">
        <v>1</v>
      </c>
      <c r="D316" t="str">
        <f t="shared" si="15"/>
        <v>0182</v>
      </c>
      <c r="E316" t="str">
        <f t="shared" si="16"/>
        <v/>
      </c>
      <c r="F316" t="str">
        <f t="shared" si="17"/>
        <v>CS</v>
      </c>
    </row>
    <row r="317" spans="1:6" x14ac:dyDescent="0.3">
      <c r="A317" t="s">
        <v>1681</v>
      </c>
      <c r="B317">
        <v>1</v>
      </c>
      <c r="D317" t="str">
        <f t="shared" si="15"/>
        <v>0183</v>
      </c>
      <c r="E317" t="str">
        <f t="shared" si="16"/>
        <v/>
      </c>
      <c r="F317" t="str">
        <f t="shared" si="17"/>
        <v>CN</v>
      </c>
    </row>
    <row r="318" spans="1:6" x14ac:dyDescent="0.3">
      <c r="A318" t="s">
        <v>1684</v>
      </c>
      <c r="B318">
        <v>1</v>
      </c>
      <c r="D318" t="str">
        <f t="shared" si="15"/>
        <v>0184</v>
      </c>
      <c r="E318" t="str">
        <f t="shared" si="16"/>
        <v/>
      </c>
      <c r="F318" t="str">
        <f t="shared" si="17"/>
        <v>CN</v>
      </c>
    </row>
    <row r="319" spans="1:6" x14ac:dyDescent="0.3">
      <c r="A319" t="s">
        <v>1689</v>
      </c>
      <c r="B319">
        <v>1</v>
      </c>
      <c r="D319" t="str">
        <f t="shared" si="15"/>
        <v>0185</v>
      </c>
      <c r="E319" t="str">
        <f t="shared" si="16"/>
        <v/>
      </c>
      <c r="F319" t="str">
        <f t="shared" si="17"/>
        <v>CS</v>
      </c>
    </row>
    <row r="320" spans="1:6" x14ac:dyDescent="0.3">
      <c r="A320" t="s">
        <v>1691</v>
      </c>
      <c r="B320">
        <v>1</v>
      </c>
      <c r="D320" t="str">
        <f t="shared" si="15"/>
        <v>0186</v>
      </c>
      <c r="E320" t="str">
        <f t="shared" si="16"/>
        <v/>
      </c>
      <c r="F320" t="str">
        <f t="shared" si="17"/>
        <v>CS</v>
      </c>
    </row>
    <row r="321" spans="1:6" x14ac:dyDescent="0.3">
      <c r="A321" t="s">
        <v>1694</v>
      </c>
      <c r="B321">
        <v>1</v>
      </c>
      <c r="D321" t="str">
        <f t="shared" si="15"/>
        <v>0187</v>
      </c>
      <c r="E321" t="str">
        <f t="shared" si="16"/>
        <v/>
      </c>
      <c r="F321" t="str">
        <f t="shared" si="17"/>
        <v>CS</v>
      </c>
    </row>
    <row r="322" spans="1:6" x14ac:dyDescent="0.3">
      <c r="A322" t="s">
        <v>1696</v>
      </c>
      <c r="B322">
        <v>1</v>
      </c>
      <c r="D322" t="str">
        <f t="shared" si="15"/>
        <v>0188</v>
      </c>
      <c r="E322" t="str">
        <f t="shared" si="16"/>
        <v/>
      </c>
      <c r="F322" t="str">
        <f t="shared" si="17"/>
        <v>CN</v>
      </c>
    </row>
    <row r="323" spans="1:6" x14ac:dyDescent="0.3">
      <c r="A323" t="s">
        <v>1698</v>
      </c>
      <c r="B323">
        <v>1</v>
      </c>
      <c r="D323" t="str">
        <f t="shared" ref="D323:D386" si="18">IF(LEFT(A323,2)="SP",MID(A323,4,4),IF(LEFT(A323,1)="X",MID(A323,3,4),""))</f>
        <v>0189</v>
      </c>
      <c r="E323" t="str">
        <f t="shared" ref="E323:E386" si="19">IF(OR(LEFT(A323,2)="SP",AND(LEFT(A323,1)="X",LEN(A323)&gt;9)),RIGHT(A323,1),"")</f>
        <v/>
      </c>
      <c r="F323" t="str">
        <f t="shared" ref="F323:F386" si="20">IF(LEFT(A323,1)="X",MID(A323,8,2),"")</f>
        <v>CN</v>
      </c>
    </row>
    <row r="324" spans="1:6" x14ac:dyDescent="0.3">
      <c r="A324" t="s">
        <v>1702</v>
      </c>
      <c r="B324">
        <v>1</v>
      </c>
      <c r="D324" t="str">
        <f t="shared" si="18"/>
        <v>0190</v>
      </c>
      <c r="E324" t="str">
        <f t="shared" si="19"/>
        <v/>
      </c>
      <c r="F324" t="str">
        <f t="shared" si="20"/>
        <v>CS</v>
      </c>
    </row>
    <row r="325" spans="1:6" x14ac:dyDescent="0.3">
      <c r="A325" t="s">
        <v>1704</v>
      </c>
      <c r="B325">
        <v>1</v>
      </c>
      <c r="D325" t="str">
        <f t="shared" si="18"/>
        <v>0191</v>
      </c>
      <c r="E325" t="str">
        <f t="shared" si="19"/>
        <v/>
      </c>
      <c r="F325" t="str">
        <f t="shared" si="20"/>
        <v>CS</v>
      </c>
    </row>
    <row r="326" spans="1:6" x14ac:dyDescent="0.3">
      <c r="A326" t="s">
        <v>1705</v>
      </c>
      <c r="B326">
        <v>1</v>
      </c>
      <c r="D326" t="str">
        <f t="shared" si="18"/>
        <v>0192</v>
      </c>
      <c r="E326" t="str">
        <f t="shared" si="19"/>
        <v/>
      </c>
      <c r="F326" t="str">
        <f t="shared" si="20"/>
        <v>CN</v>
      </c>
    </row>
    <row r="327" spans="1:6" x14ac:dyDescent="0.3">
      <c r="A327" t="s">
        <v>1707</v>
      </c>
      <c r="B327">
        <v>1</v>
      </c>
      <c r="D327" t="str">
        <f t="shared" si="18"/>
        <v>0193</v>
      </c>
      <c r="E327" t="str">
        <f t="shared" si="19"/>
        <v/>
      </c>
      <c r="F327" t="str">
        <f t="shared" si="20"/>
        <v>CN</v>
      </c>
    </row>
    <row r="328" spans="1:6" x14ac:dyDescent="0.3">
      <c r="A328" t="s">
        <v>1710</v>
      </c>
      <c r="B328">
        <v>1</v>
      </c>
      <c r="D328" t="str">
        <f t="shared" si="18"/>
        <v>0194</v>
      </c>
      <c r="E328" t="str">
        <f t="shared" si="19"/>
        <v/>
      </c>
      <c r="F328" t="str">
        <f t="shared" si="20"/>
        <v>CS</v>
      </c>
    </row>
    <row r="329" spans="1:6" x14ac:dyDescent="0.3">
      <c r="A329" t="s">
        <v>2656</v>
      </c>
      <c r="B329">
        <v>1</v>
      </c>
      <c r="D329" t="str">
        <f t="shared" si="18"/>
        <v>0195</v>
      </c>
      <c r="E329" t="str">
        <f t="shared" si="19"/>
        <v/>
      </c>
      <c r="F329" t="str">
        <f t="shared" si="20"/>
        <v>MS</v>
      </c>
    </row>
    <row r="330" spans="1:6" x14ac:dyDescent="0.3">
      <c r="A330" t="s">
        <v>2657</v>
      </c>
      <c r="B330">
        <v>1</v>
      </c>
      <c r="D330" t="str">
        <f t="shared" si="18"/>
        <v>0196</v>
      </c>
      <c r="E330" t="str">
        <f t="shared" si="19"/>
        <v/>
      </c>
      <c r="F330" t="str">
        <f t="shared" si="20"/>
        <v>MS</v>
      </c>
    </row>
    <row r="331" spans="1:6" x14ac:dyDescent="0.3">
      <c r="A331" t="s">
        <v>1716</v>
      </c>
      <c r="B331">
        <v>1</v>
      </c>
      <c r="D331" t="str">
        <f t="shared" si="18"/>
        <v>0197</v>
      </c>
      <c r="E331" t="str">
        <f t="shared" si="19"/>
        <v/>
      </c>
      <c r="F331" t="str">
        <f t="shared" si="20"/>
        <v>CN</v>
      </c>
    </row>
    <row r="332" spans="1:6" x14ac:dyDescent="0.3">
      <c r="A332" t="s">
        <v>1717</v>
      </c>
      <c r="B332">
        <v>1</v>
      </c>
      <c r="D332" t="str">
        <f t="shared" si="18"/>
        <v>0198</v>
      </c>
      <c r="E332" t="str">
        <f t="shared" si="19"/>
        <v/>
      </c>
      <c r="F332" t="str">
        <f t="shared" si="20"/>
        <v>CN</v>
      </c>
    </row>
    <row r="333" spans="1:6" x14ac:dyDescent="0.3">
      <c r="A333" t="s">
        <v>1720</v>
      </c>
      <c r="B333">
        <v>1</v>
      </c>
      <c r="D333" t="str">
        <f t="shared" si="18"/>
        <v>0199</v>
      </c>
      <c r="E333" t="str">
        <f t="shared" si="19"/>
        <v/>
      </c>
      <c r="F333" t="str">
        <f t="shared" si="20"/>
        <v>CS</v>
      </c>
    </row>
    <row r="334" spans="1:6" x14ac:dyDescent="0.3">
      <c r="A334" t="s">
        <v>1721</v>
      </c>
      <c r="B334">
        <v>1</v>
      </c>
      <c r="D334" t="str">
        <f t="shared" si="18"/>
        <v>0200</v>
      </c>
      <c r="E334" t="str">
        <f t="shared" si="19"/>
        <v/>
      </c>
      <c r="F334" t="str">
        <f t="shared" si="20"/>
        <v>CN</v>
      </c>
    </row>
    <row r="335" spans="1:6" x14ac:dyDescent="0.3">
      <c r="A335" t="s">
        <v>1723</v>
      </c>
      <c r="B335">
        <v>1</v>
      </c>
      <c r="D335" t="str">
        <f t="shared" si="18"/>
        <v>0201</v>
      </c>
      <c r="E335" t="str">
        <f t="shared" si="19"/>
        <v/>
      </c>
      <c r="F335" t="str">
        <f t="shared" si="20"/>
        <v>CN</v>
      </c>
    </row>
    <row r="336" spans="1:6" x14ac:dyDescent="0.3">
      <c r="A336" t="s">
        <v>1725</v>
      </c>
      <c r="B336">
        <v>1</v>
      </c>
      <c r="D336" t="str">
        <f t="shared" si="18"/>
        <v>0202</v>
      </c>
      <c r="E336" t="str">
        <f t="shared" si="19"/>
        <v/>
      </c>
      <c r="F336" t="str">
        <f t="shared" si="20"/>
        <v>CS</v>
      </c>
    </row>
    <row r="337" spans="1:6" x14ac:dyDescent="0.3">
      <c r="A337" t="s">
        <v>1726</v>
      </c>
      <c r="B337">
        <v>1</v>
      </c>
      <c r="D337" t="str">
        <f t="shared" si="18"/>
        <v>0203</v>
      </c>
      <c r="E337" t="str">
        <f t="shared" si="19"/>
        <v/>
      </c>
      <c r="F337" t="str">
        <f t="shared" si="20"/>
        <v>CN</v>
      </c>
    </row>
    <row r="338" spans="1:6" x14ac:dyDescent="0.3">
      <c r="A338" t="s">
        <v>2614</v>
      </c>
      <c r="B338">
        <v>1</v>
      </c>
      <c r="D338" t="str">
        <f t="shared" si="18"/>
        <v>0204</v>
      </c>
      <c r="E338" t="str">
        <f t="shared" si="19"/>
        <v/>
      </c>
      <c r="F338" t="str">
        <f t="shared" si="20"/>
        <v>MS</v>
      </c>
    </row>
    <row r="339" spans="1:6" x14ac:dyDescent="0.3">
      <c r="A339" t="s">
        <v>1732</v>
      </c>
      <c r="B339">
        <v>1</v>
      </c>
      <c r="D339" t="str">
        <f t="shared" si="18"/>
        <v>0205</v>
      </c>
      <c r="E339" t="str">
        <f t="shared" si="19"/>
        <v/>
      </c>
      <c r="F339" t="str">
        <f t="shared" si="20"/>
        <v>CS</v>
      </c>
    </row>
    <row r="340" spans="1:6" x14ac:dyDescent="0.3">
      <c r="A340" t="s">
        <v>1735</v>
      </c>
      <c r="B340">
        <v>1</v>
      </c>
      <c r="D340" t="str">
        <f t="shared" si="18"/>
        <v>0206</v>
      </c>
      <c r="E340" t="str">
        <f t="shared" si="19"/>
        <v/>
      </c>
      <c r="F340" t="str">
        <f t="shared" si="20"/>
        <v>CS</v>
      </c>
    </row>
    <row r="341" spans="1:6" x14ac:dyDescent="0.3">
      <c r="A341" t="s">
        <v>1736</v>
      </c>
      <c r="B341">
        <v>1</v>
      </c>
      <c r="D341" t="str">
        <f t="shared" si="18"/>
        <v>0207</v>
      </c>
      <c r="E341" t="str">
        <f t="shared" si="19"/>
        <v/>
      </c>
      <c r="F341" t="str">
        <f t="shared" si="20"/>
        <v>CN</v>
      </c>
    </row>
    <row r="342" spans="1:6" x14ac:dyDescent="0.3">
      <c r="A342" t="s">
        <v>1741</v>
      </c>
      <c r="B342">
        <v>1</v>
      </c>
      <c r="D342" t="str">
        <f t="shared" si="18"/>
        <v>0208</v>
      </c>
      <c r="E342" t="str">
        <f t="shared" si="19"/>
        <v/>
      </c>
      <c r="F342" t="str">
        <f t="shared" si="20"/>
        <v>CN</v>
      </c>
    </row>
    <row r="343" spans="1:6" x14ac:dyDescent="0.3">
      <c r="A343" t="s">
        <v>1745</v>
      </c>
      <c r="B343">
        <v>1</v>
      </c>
      <c r="D343" t="str">
        <f t="shared" si="18"/>
        <v>0209</v>
      </c>
      <c r="E343" t="str">
        <f t="shared" si="19"/>
        <v/>
      </c>
      <c r="F343" t="str">
        <f t="shared" si="20"/>
        <v>CS</v>
      </c>
    </row>
    <row r="344" spans="1:6" x14ac:dyDescent="0.3">
      <c r="A344" t="s">
        <v>1749</v>
      </c>
      <c r="B344">
        <v>1</v>
      </c>
      <c r="D344" t="str">
        <f t="shared" si="18"/>
        <v>0210</v>
      </c>
      <c r="E344" t="str">
        <f t="shared" si="19"/>
        <v/>
      </c>
      <c r="F344" t="str">
        <f t="shared" si="20"/>
        <v>CS</v>
      </c>
    </row>
    <row r="345" spans="1:6" x14ac:dyDescent="0.3">
      <c r="A345" t="s">
        <v>1751</v>
      </c>
      <c r="B345">
        <v>1</v>
      </c>
      <c r="D345" t="str">
        <f t="shared" si="18"/>
        <v>0211</v>
      </c>
      <c r="E345" t="str">
        <f t="shared" si="19"/>
        <v/>
      </c>
      <c r="F345" t="str">
        <f t="shared" si="20"/>
        <v>CN</v>
      </c>
    </row>
    <row r="346" spans="1:6" x14ac:dyDescent="0.3">
      <c r="A346" t="s">
        <v>1754</v>
      </c>
      <c r="B346">
        <v>1</v>
      </c>
      <c r="D346" t="str">
        <f t="shared" si="18"/>
        <v>0212</v>
      </c>
      <c r="E346" t="str">
        <f t="shared" si="19"/>
        <v/>
      </c>
      <c r="F346" t="str">
        <f t="shared" si="20"/>
        <v>CN</v>
      </c>
    </row>
    <row r="347" spans="1:6" x14ac:dyDescent="0.3">
      <c r="A347" t="s">
        <v>1756</v>
      </c>
      <c r="B347">
        <v>1</v>
      </c>
      <c r="D347" t="str">
        <f t="shared" si="18"/>
        <v>0213</v>
      </c>
      <c r="E347" t="str">
        <f t="shared" si="19"/>
        <v/>
      </c>
      <c r="F347" t="str">
        <f t="shared" si="20"/>
        <v>CN</v>
      </c>
    </row>
    <row r="348" spans="1:6" x14ac:dyDescent="0.3">
      <c r="A348" t="s">
        <v>1759</v>
      </c>
      <c r="B348">
        <v>1</v>
      </c>
      <c r="D348" t="str">
        <f t="shared" si="18"/>
        <v>0214</v>
      </c>
      <c r="E348" t="str">
        <f t="shared" si="19"/>
        <v/>
      </c>
      <c r="F348" t="str">
        <f t="shared" si="20"/>
        <v>CS</v>
      </c>
    </row>
    <row r="349" spans="1:6" x14ac:dyDescent="0.3">
      <c r="A349" t="s">
        <v>1761</v>
      </c>
      <c r="B349">
        <v>1</v>
      </c>
      <c r="D349" t="str">
        <f t="shared" si="18"/>
        <v>0215</v>
      </c>
      <c r="E349" t="str">
        <f t="shared" si="19"/>
        <v/>
      </c>
      <c r="F349" t="str">
        <f t="shared" si="20"/>
        <v>CN</v>
      </c>
    </row>
    <row r="350" spans="1:6" x14ac:dyDescent="0.3">
      <c r="A350" t="s">
        <v>1765</v>
      </c>
      <c r="B350">
        <v>1</v>
      </c>
      <c r="D350" t="str">
        <f t="shared" si="18"/>
        <v>0216</v>
      </c>
      <c r="E350" t="str">
        <f t="shared" si="19"/>
        <v/>
      </c>
      <c r="F350" t="str">
        <f t="shared" si="20"/>
        <v>CS</v>
      </c>
    </row>
    <row r="351" spans="1:6" x14ac:dyDescent="0.3">
      <c r="A351" t="s">
        <v>1767</v>
      </c>
      <c r="B351">
        <v>1</v>
      </c>
      <c r="D351" t="str">
        <f t="shared" si="18"/>
        <v>0217</v>
      </c>
      <c r="E351" t="str">
        <f t="shared" si="19"/>
        <v/>
      </c>
      <c r="F351" t="str">
        <f t="shared" si="20"/>
        <v>CN</v>
      </c>
    </row>
    <row r="352" spans="1:6" x14ac:dyDescent="0.3">
      <c r="A352" t="s">
        <v>1769</v>
      </c>
      <c r="B352">
        <v>1</v>
      </c>
      <c r="D352" t="str">
        <f t="shared" si="18"/>
        <v>0218</v>
      </c>
      <c r="E352" t="str">
        <f t="shared" si="19"/>
        <v/>
      </c>
      <c r="F352" t="str">
        <f t="shared" si="20"/>
        <v>CN</v>
      </c>
    </row>
    <row r="353" spans="1:6" x14ac:dyDescent="0.3">
      <c r="A353" t="s">
        <v>1774</v>
      </c>
      <c r="B353">
        <v>1</v>
      </c>
      <c r="D353" t="str">
        <f t="shared" si="18"/>
        <v>0219</v>
      </c>
      <c r="E353" t="str">
        <f t="shared" si="19"/>
        <v/>
      </c>
      <c r="F353" t="str">
        <f t="shared" si="20"/>
        <v>CS</v>
      </c>
    </row>
    <row r="354" spans="1:6" x14ac:dyDescent="0.3">
      <c r="A354" t="s">
        <v>1777</v>
      </c>
      <c r="B354">
        <v>1</v>
      </c>
      <c r="D354" t="str">
        <f t="shared" si="18"/>
        <v>0220</v>
      </c>
      <c r="E354" t="str">
        <f t="shared" si="19"/>
        <v/>
      </c>
      <c r="F354" t="str">
        <f t="shared" si="20"/>
        <v>CS</v>
      </c>
    </row>
    <row r="355" spans="1:6" x14ac:dyDescent="0.3">
      <c r="A355" t="s">
        <v>1780</v>
      </c>
      <c r="B355">
        <v>1</v>
      </c>
      <c r="D355" t="str">
        <f t="shared" si="18"/>
        <v>0221</v>
      </c>
      <c r="E355" t="str">
        <f t="shared" si="19"/>
        <v/>
      </c>
      <c r="F355" t="str">
        <f t="shared" si="20"/>
        <v>CS</v>
      </c>
    </row>
    <row r="356" spans="1:6" x14ac:dyDescent="0.3">
      <c r="A356" t="s">
        <v>1782</v>
      </c>
      <c r="B356">
        <v>1</v>
      </c>
      <c r="D356" t="str">
        <f t="shared" si="18"/>
        <v>0222</v>
      </c>
      <c r="E356" t="str">
        <f t="shared" si="19"/>
        <v/>
      </c>
      <c r="F356" t="str">
        <f t="shared" si="20"/>
        <v>CS</v>
      </c>
    </row>
    <row r="357" spans="1:6" x14ac:dyDescent="0.3">
      <c r="A357" t="s">
        <v>1784</v>
      </c>
      <c r="B357">
        <v>1</v>
      </c>
      <c r="D357" t="str">
        <f t="shared" si="18"/>
        <v>0223</v>
      </c>
      <c r="E357" t="str">
        <f t="shared" si="19"/>
        <v/>
      </c>
      <c r="F357" t="str">
        <f t="shared" si="20"/>
        <v>CS</v>
      </c>
    </row>
    <row r="358" spans="1:6" x14ac:dyDescent="0.3">
      <c r="A358" t="s">
        <v>1786</v>
      </c>
      <c r="B358">
        <v>1</v>
      </c>
      <c r="D358" t="str">
        <f t="shared" si="18"/>
        <v>0224</v>
      </c>
      <c r="E358" t="str">
        <f t="shared" si="19"/>
        <v/>
      </c>
      <c r="F358" t="str">
        <f t="shared" si="20"/>
        <v>CN</v>
      </c>
    </row>
    <row r="359" spans="1:6" x14ac:dyDescent="0.3">
      <c r="A359" t="s">
        <v>1788</v>
      </c>
      <c r="B359">
        <v>1</v>
      </c>
      <c r="D359" t="str">
        <f t="shared" si="18"/>
        <v>0225</v>
      </c>
      <c r="E359" t="str">
        <f t="shared" si="19"/>
        <v/>
      </c>
      <c r="F359" t="str">
        <f t="shared" si="20"/>
        <v>CN</v>
      </c>
    </row>
    <row r="360" spans="1:6" x14ac:dyDescent="0.3">
      <c r="A360" t="s">
        <v>1792</v>
      </c>
      <c r="B360">
        <v>1</v>
      </c>
      <c r="D360" t="str">
        <f t="shared" si="18"/>
        <v>0226</v>
      </c>
      <c r="E360" t="str">
        <f t="shared" si="19"/>
        <v/>
      </c>
      <c r="F360" t="str">
        <f t="shared" si="20"/>
        <v>CS</v>
      </c>
    </row>
    <row r="361" spans="1:6" x14ac:dyDescent="0.3">
      <c r="A361" t="s">
        <v>1794</v>
      </c>
      <c r="B361">
        <v>1</v>
      </c>
      <c r="D361" t="str">
        <f t="shared" si="18"/>
        <v>0227</v>
      </c>
      <c r="E361" t="str">
        <f t="shared" si="19"/>
        <v/>
      </c>
      <c r="F361" t="str">
        <f t="shared" si="20"/>
        <v>CN</v>
      </c>
    </row>
    <row r="362" spans="1:6" x14ac:dyDescent="0.3">
      <c r="A362" t="s">
        <v>1798</v>
      </c>
      <c r="B362">
        <v>1</v>
      </c>
      <c r="D362" t="str">
        <f t="shared" si="18"/>
        <v>0228</v>
      </c>
      <c r="E362" t="str">
        <f t="shared" si="19"/>
        <v/>
      </c>
      <c r="F362" t="str">
        <f t="shared" si="20"/>
        <v>CS</v>
      </c>
    </row>
    <row r="363" spans="1:6" x14ac:dyDescent="0.3">
      <c r="A363" t="s">
        <v>1802</v>
      </c>
      <c r="B363">
        <v>1</v>
      </c>
      <c r="D363" t="str">
        <f t="shared" si="18"/>
        <v>0229</v>
      </c>
      <c r="E363" t="str">
        <f t="shared" si="19"/>
        <v/>
      </c>
      <c r="F363" t="str">
        <f t="shared" si="20"/>
        <v>CS</v>
      </c>
    </row>
    <row r="364" spans="1:6" x14ac:dyDescent="0.3">
      <c r="A364" t="s">
        <v>1803</v>
      </c>
      <c r="B364">
        <v>1</v>
      </c>
      <c r="D364" t="str">
        <f t="shared" si="18"/>
        <v>0230</v>
      </c>
      <c r="E364" t="str">
        <f t="shared" si="19"/>
        <v/>
      </c>
      <c r="F364" t="str">
        <f t="shared" si="20"/>
        <v>CN</v>
      </c>
    </row>
    <row r="365" spans="1:6" x14ac:dyDescent="0.3">
      <c r="A365" t="s">
        <v>1805</v>
      </c>
      <c r="B365">
        <v>1</v>
      </c>
      <c r="D365" t="str">
        <f t="shared" si="18"/>
        <v>0231</v>
      </c>
      <c r="E365" t="str">
        <f t="shared" si="19"/>
        <v/>
      </c>
      <c r="F365" t="str">
        <f t="shared" si="20"/>
        <v>CN</v>
      </c>
    </row>
    <row r="366" spans="1:6" x14ac:dyDescent="0.3">
      <c r="A366" t="s">
        <v>1809</v>
      </c>
      <c r="B366">
        <v>1</v>
      </c>
      <c r="D366" t="str">
        <f t="shared" si="18"/>
        <v>0232</v>
      </c>
      <c r="E366" t="str">
        <f t="shared" si="19"/>
        <v/>
      </c>
      <c r="F366" t="str">
        <f t="shared" si="20"/>
        <v>CS</v>
      </c>
    </row>
    <row r="367" spans="1:6" x14ac:dyDescent="0.3">
      <c r="A367" t="s">
        <v>1813</v>
      </c>
      <c r="B367">
        <v>1</v>
      </c>
      <c r="D367" t="str">
        <f t="shared" si="18"/>
        <v>0233</v>
      </c>
      <c r="E367" t="str">
        <f t="shared" si="19"/>
        <v/>
      </c>
      <c r="F367" t="str">
        <f t="shared" si="20"/>
        <v>CS</v>
      </c>
    </row>
    <row r="368" spans="1:6" x14ac:dyDescent="0.3">
      <c r="A368" t="s">
        <v>1815</v>
      </c>
      <c r="B368">
        <v>1</v>
      </c>
      <c r="D368" t="str">
        <f t="shared" si="18"/>
        <v>0234</v>
      </c>
      <c r="E368" t="str">
        <f t="shared" si="19"/>
        <v/>
      </c>
      <c r="F368" t="str">
        <f t="shared" si="20"/>
        <v>CN</v>
      </c>
    </row>
    <row r="369" spans="1:6" x14ac:dyDescent="0.3">
      <c r="A369" t="s">
        <v>1817</v>
      </c>
      <c r="B369">
        <v>1</v>
      </c>
      <c r="D369" t="str">
        <f t="shared" si="18"/>
        <v>0235</v>
      </c>
      <c r="E369" t="str">
        <f t="shared" si="19"/>
        <v/>
      </c>
      <c r="F369" t="str">
        <f t="shared" si="20"/>
        <v>CN</v>
      </c>
    </row>
    <row r="370" spans="1:6" x14ac:dyDescent="0.3">
      <c r="A370" t="s">
        <v>1821</v>
      </c>
      <c r="B370">
        <v>1</v>
      </c>
      <c r="D370" t="str">
        <f t="shared" si="18"/>
        <v>0236</v>
      </c>
      <c r="E370" t="str">
        <f t="shared" si="19"/>
        <v/>
      </c>
      <c r="F370" t="str">
        <f t="shared" si="20"/>
        <v>CS</v>
      </c>
    </row>
    <row r="371" spans="1:6" x14ac:dyDescent="0.3">
      <c r="A371" t="s">
        <v>1822</v>
      </c>
      <c r="B371">
        <v>1</v>
      </c>
      <c r="D371" t="str">
        <f t="shared" si="18"/>
        <v>0237</v>
      </c>
      <c r="E371" t="str">
        <f t="shared" si="19"/>
        <v/>
      </c>
      <c r="F371" t="str">
        <f t="shared" si="20"/>
        <v>CN</v>
      </c>
    </row>
    <row r="372" spans="1:6" x14ac:dyDescent="0.3">
      <c r="A372" t="s">
        <v>1824</v>
      </c>
      <c r="B372">
        <v>1</v>
      </c>
      <c r="D372" t="str">
        <f t="shared" si="18"/>
        <v>0238</v>
      </c>
      <c r="E372" t="str">
        <f t="shared" si="19"/>
        <v/>
      </c>
      <c r="F372" t="str">
        <f t="shared" si="20"/>
        <v>CN</v>
      </c>
    </row>
    <row r="373" spans="1:6" x14ac:dyDescent="0.3">
      <c r="A373" t="s">
        <v>1828</v>
      </c>
      <c r="B373">
        <v>1</v>
      </c>
      <c r="D373" t="str">
        <f t="shared" si="18"/>
        <v>0239</v>
      </c>
      <c r="E373" t="str">
        <f t="shared" si="19"/>
        <v/>
      </c>
      <c r="F373" t="str">
        <f t="shared" si="20"/>
        <v>CS</v>
      </c>
    </row>
    <row r="374" spans="1:6" x14ac:dyDescent="0.3">
      <c r="A374" t="s">
        <v>1831</v>
      </c>
      <c r="B374">
        <v>1</v>
      </c>
      <c r="D374" t="str">
        <f t="shared" si="18"/>
        <v>0240</v>
      </c>
      <c r="E374" t="str">
        <f t="shared" si="19"/>
        <v/>
      </c>
      <c r="F374" t="str">
        <f t="shared" si="20"/>
        <v>CS</v>
      </c>
    </row>
    <row r="375" spans="1:6" x14ac:dyDescent="0.3">
      <c r="A375" t="s">
        <v>1833</v>
      </c>
      <c r="B375">
        <v>1</v>
      </c>
      <c r="D375" t="str">
        <f t="shared" si="18"/>
        <v>0241</v>
      </c>
      <c r="E375" t="str">
        <f t="shared" si="19"/>
        <v/>
      </c>
      <c r="F375" t="str">
        <f t="shared" si="20"/>
        <v>CN</v>
      </c>
    </row>
    <row r="376" spans="1:6" x14ac:dyDescent="0.3">
      <c r="A376" t="s">
        <v>1837</v>
      </c>
      <c r="B376">
        <v>1</v>
      </c>
      <c r="D376" t="str">
        <f t="shared" si="18"/>
        <v>0242</v>
      </c>
      <c r="E376" t="str">
        <f t="shared" si="19"/>
        <v/>
      </c>
      <c r="F376" t="str">
        <f t="shared" si="20"/>
        <v>CS</v>
      </c>
    </row>
    <row r="377" spans="1:6" x14ac:dyDescent="0.3">
      <c r="A377" t="s">
        <v>1839</v>
      </c>
      <c r="B377">
        <v>1</v>
      </c>
      <c r="D377" t="str">
        <f t="shared" si="18"/>
        <v>0243</v>
      </c>
      <c r="E377" t="str">
        <f t="shared" si="19"/>
        <v/>
      </c>
      <c r="F377" t="str">
        <f t="shared" si="20"/>
        <v>CN</v>
      </c>
    </row>
    <row r="378" spans="1:6" x14ac:dyDescent="0.3">
      <c r="A378" t="s">
        <v>2616</v>
      </c>
      <c r="B378">
        <v>1</v>
      </c>
      <c r="D378" t="str">
        <f t="shared" si="18"/>
        <v>0244</v>
      </c>
      <c r="E378" t="str">
        <f t="shared" si="19"/>
        <v/>
      </c>
      <c r="F378" t="str">
        <f t="shared" si="20"/>
        <v>MS</v>
      </c>
    </row>
    <row r="379" spans="1:6" x14ac:dyDescent="0.3">
      <c r="A379" t="s">
        <v>1843</v>
      </c>
      <c r="B379">
        <v>1</v>
      </c>
      <c r="D379" t="str">
        <f t="shared" si="18"/>
        <v>0245</v>
      </c>
      <c r="E379" t="str">
        <f t="shared" si="19"/>
        <v/>
      </c>
      <c r="F379" t="str">
        <f t="shared" si="20"/>
        <v>CN</v>
      </c>
    </row>
    <row r="380" spans="1:6" x14ac:dyDescent="0.3">
      <c r="A380" t="s">
        <v>1847</v>
      </c>
      <c r="B380">
        <v>1</v>
      </c>
      <c r="D380" t="str">
        <f t="shared" si="18"/>
        <v>0246</v>
      </c>
      <c r="E380" t="str">
        <f t="shared" si="19"/>
        <v/>
      </c>
      <c r="F380" t="str">
        <f t="shared" si="20"/>
        <v>CS</v>
      </c>
    </row>
    <row r="381" spans="1:6" x14ac:dyDescent="0.3">
      <c r="A381" t="s">
        <v>1848</v>
      </c>
      <c r="B381">
        <v>1</v>
      </c>
      <c r="D381" t="str">
        <f t="shared" si="18"/>
        <v>0247</v>
      </c>
      <c r="E381" t="str">
        <f t="shared" si="19"/>
        <v/>
      </c>
      <c r="F381" t="str">
        <f t="shared" si="20"/>
        <v>CN</v>
      </c>
    </row>
    <row r="382" spans="1:6" x14ac:dyDescent="0.3">
      <c r="A382" t="s">
        <v>1851</v>
      </c>
      <c r="B382">
        <v>1</v>
      </c>
      <c r="D382" t="str">
        <f t="shared" si="18"/>
        <v>0248</v>
      </c>
      <c r="E382" t="str">
        <f t="shared" si="19"/>
        <v/>
      </c>
      <c r="F382" t="str">
        <f t="shared" si="20"/>
        <v>CN</v>
      </c>
    </row>
    <row r="383" spans="1:6" x14ac:dyDescent="0.3">
      <c r="A383" t="s">
        <v>1853</v>
      </c>
      <c r="B383">
        <v>1</v>
      </c>
      <c r="D383" t="str">
        <f t="shared" si="18"/>
        <v>0249</v>
      </c>
      <c r="E383" t="str">
        <f t="shared" si="19"/>
        <v/>
      </c>
      <c r="F383" t="str">
        <f t="shared" si="20"/>
        <v>CN</v>
      </c>
    </row>
    <row r="384" spans="1:6" x14ac:dyDescent="0.3">
      <c r="A384" t="s">
        <v>1857</v>
      </c>
      <c r="B384">
        <v>1</v>
      </c>
      <c r="D384" t="str">
        <f t="shared" si="18"/>
        <v>0250</v>
      </c>
      <c r="E384" t="str">
        <f t="shared" si="19"/>
        <v/>
      </c>
      <c r="F384" t="str">
        <f t="shared" si="20"/>
        <v>CS</v>
      </c>
    </row>
    <row r="385" spans="1:6" x14ac:dyDescent="0.3">
      <c r="A385" t="s">
        <v>1860</v>
      </c>
      <c r="B385">
        <v>1</v>
      </c>
      <c r="D385" t="str">
        <f t="shared" si="18"/>
        <v>0251</v>
      </c>
      <c r="E385" t="str">
        <f t="shared" si="19"/>
        <v/>
      </c>
      <c r="F385" t="str">
        <f t="shared" si="20"/>
        <v>CS</v>
      </c>
    </row>
    <row r="386" spans="1:6" x14ac:dyDescent="0.3">
      <c r="A386" t="s">
        <v>1862</v>
      </c>
      <c r="B386">
        <v>1</v>
      </c>
      <c r="D386" t="str">
        <f t="shared" si="18"/>
        <v>0252</v>
      </c>
      <c r="E386" t="str">
        <f t="shared" si="19"/>
        <v/>
      </c>
      <c r="F386" t="str">
        <f t="shared" si="20"/>
        <v>CS</v>
      </c>
    </row>
    <row r="387" spans="1:6" x14ac:dyDescent="0.3">
      <c r="A387" t="s">
        <v>1863</v>
      </c>
      <c r="B387">
        <v>1</v>
      </c>
      <c r="D387" t="str">
        <f t="shared" ref="D387:D450" si="21">IF(LEFT(A387,2)="SP",MID(A387,4,4),IF(LEFT(A387,1)="X",MID(A387,3,4),""))</f>
        <v>0253</v>
      </c>
      <c r="E387" t="str">
        <f t="shared" ref="E387:E450" si="22">IF(OR(LEFT(A387,2)="SP",AND(LEFT(A387,1)="X",LEN(A387)&gt;9)),RIGHT(A387,1),"")</f>
        <v/>
      </c>
      <c r="F387" t="str">
        <f t="shared" ref="F387:F450" si="23">IF(LEFT(A387,1)="X",MID(A387,8,2),"")</f>
        <v>CN</v>
      </c>
    </row>
    <row r="388" spans="1:6" x14ac:dyDescent="0.3">
      <c r="A388" t="s">
        <v>1864</v>
      </c>
      <c r="B388">
        <v>1</v>
      </c>
      <c r="D388" t="str">
        <f t="shared" si="21"/>
        <v>0254</v>
      </c>
      <c r="E388" t="str">
        <f t="shared" si="22"/>
        <v/>
      </c>
      <c r="F388" t="str">
        <f t="shared" si="23"/>
        <v>CN</v>
      </c>
    </row>
    <row r="389" spans="1:6" x14ac:dyDescent="0.3">
      <c r="A389" t="s">
        <v>1867</v>
      </c>
      <c r="B389">
        <v>1</v>
      </c>
      <c r="D389" t="str">
        <f t="shared" si="21"/>
        <v>0255</v>
      </c>
      <c r="E389" t="str">
        <f t="shared" si="22"/>
        <v/>
      </c>
      <c r="F389" t="str">
        <f t="shared" si="23"/>
        <v>CN</v>
      </c>
    </row>
    <row r="390" spans="1:6" x14ac:dyDescent="0.3">
      <c r="A390" t="s">
        <v>1872</v>
      </c>
      <c r="B390">
        <v>1</v>
      </c>
      <c r="D390" t="str">
        <f t="shared" si="21"/>
        <v>0256</v>
      </c>
      <c r="E390" t="str">
        <f t="shared" si="22"/>
        <v/>
      </c>
      <c r="F390" t="str">
        <f t="shared" si="23"/>
        <v>CS</v>
      </c>
    </row>
    <row r="391" spans="1:6" x14ac:dyDescent="0.3">
      <c r="A391" t="s">
        <v>1873</v>
      </c>
      <c r="B391">
        <v>1</v>
      </c>
      <c r="D391" t="str">
        <f t="shared" si="21"/>
        <v>0257</v>
      </c>
      <c r="E391" t="str">
        <f t="shared" si="22"/>
        <v/>
      </c>
      <c r="F391" t="str">
        <f t="shared" si="23"/>
        <v>CN</v>
      </c>
    </row>
    <row r="392" spans="1:6" x14ac:dyDescent="0.3">
      <c r="A392" t="s">
        <v>1875</v>
      </c>
      <c r="B392">
        <v>1</v>
      </c>
      <c r="D392" t="str">
        <f t="shared" si="21"/>
        <v>0258</v>
      </c>
      <c r="E392" t="str">
        <f t="shared" si="22"/>
        <v/>
      </c>
      <c r="F392" t="str">
        <f t="shared" si="23"/>
        <v>CN</v>
      </c>
    </row>
    <row r="393" spans="1:6" x14ac:dyDescent="0.3">
      <c r="A393" t="s">
        <v>1878</v>
      </c>
      <c r="B393">
        <v>1</v>
      </c>
      <c r="D393" t="str">
        <f t="shared" si="21"/>
        <v>0259</v>
      </c>
      <c r="E393" t="str">
        <f t="shared" si="22"/>
        <v/>
      </c>
      <c r="F393" t="str">
        <f t="shared" si="23"/>
        <v>CN</v>
      </c>
    </row>
    <row r="394" spans="1:6" x14ac:dyDescent="0.3">
      <c r="A394" t="s">
        <v>1882</v>
      </c>
      <c r="B394">
        <v>1</v>
      </c>
      <c r="D394" t="str">
        <f t="shared" si="21"/>
        <v>0260</v>
      </c>
      <c r="E394" t="str">
        <f t="shared" si="22"/>
        <v/>
      </c>
      <c r="F394" t="str">
        <f t="shared" si="23"/>
        <v>CS</v>
      </c>
    </row>
    <row r="395" spans="1:6" x14ac:dyDescent="0.3">
      <c r="A395" t="s">
        <v>2658</v>
      </c>
      <c r="B395">
        <v>1</v>
      </c>
      <c r="D395" t="str">
        <f t="shared" si="21"/>
        <v>0261</v>
      </c>
      <c r="E395" t="str">
        <f t="shared" si="22"/>
        <v/>
      </c>
      <c r="F395" t="str">
        <f t="shared" si="23"/>
        <v>MS</v>
      </c>
    </row>
    <row r="396" spans="1:6" x14ac:dyDescent="0.3">
      <c r="A396" t="s">
        <v>1887</v>
      </c>
      <c r="B396">
        <v>1</v>
      </c>
      <c r="D396" t="str">
        <f t="shared" si="21"/>
        <v>0262</v>
      </c>
      <c r="E396" t="str">
        <f t="shared" si="22"/>
        <v/>
      </c>
      <c r="F396" t="str">
        <f t="shared" si="23"/>
        <v>CS</v>
      </c>
    </row>
    <row r="397" spans="1:6" x14ac:dyDescent="0.3">
      <c r="A397" t="s">
        <v>1889</v>
      </c>
      <c r="B397">
        <v>1</v>
      </c>
      <c r="D397" t="str">
        <f t="shared" si="21"/>
        <v>0263</v>
      </c>
      <c r="E397" t="str">
        <f t="shared" si="22"/>
        <v/>
      </c>
      <c r="F397" t="str">
        <f t="shared" si="23"/>
        <v>CN</v>
      </c>
    </row>
    <row r="398" spans="1:6" x14ac:dyDescent="0.3">
      <c r="A398" t="s">
        <v>1892</v>
      </c>
      <c r="B398">
        <v>1</v>
      </c>
      <c r="D398" t="str">
        <f t="shared" si="21"/>
        <v>0264</v>
      </c>
      <c r="E398" t="str">
        <f t="shared" si="22"/>
        <v/>
      </c>
      <c r="F398" t="str">
        <f t="shared" si="23"/>
        <v>CS</v>
      </c>
    </row>
    <row r="399" spans="1:6" x14ac:dyDescent="0.3">
      <c r="A399" t="s">
        <v>1896</v>
      </c>
      <c r="B399">
        <v>1</v>
      </c>
      <c r="D399" t="str">
        <f t="shared" si="21"/>
        <v>0265</v>
      </c>
      <c r="E399" t="str">
        <f t="shared" si="22"/>
        <v/>
      </c>
      <c r="F399" t="str">
        <f t="shared" si="23"/>
        <v>CS</v>
      </c>
    </row>
    <row r="400" spans="1:6" x14ac:dyDescent="0.3">
      <c r="A400" t="s">
        <v>1899</v>
      </c>
      <c r="B400">
        <v>1</v>
      </c>
      <c r="D400" t="str">
        <f t="shared" si="21"/>
        <v>0266</v>
      </c>
      <c r="E400" t="str">
        <f t="shared" si="22"/>
        <v/>
      </c>
      <c r="F400" t="str">
        <f t="shared" si="23"/>
        <v>CR</v>
      </c>
    </row>
    <row r="401" spans="1:6" x14ac:dyDescent="0.3">
      <c r="A401" t="s">
        <v>2659</v>
      </c>
      <c r="B401">
        <v>1</v>
      </c>
      <c r="D401" t="str">
        <f t="shared" si="21"/>
        <v>0267</v>
      </c>
      <c r="E401" t="str">
        <f t="shared" si="22"/>
        <v/>
      </c>
      <c r="F401" t="str">
        <f t="shared" si="23"/>
        <v>FR</v>
      </c>
    </row>
    <row r="402" spans="1:6" x14ac:dyDescent="0.3">
      <c r="A402" t="s">
        <v>1903</v>
      </c>
      <c r="B402">
        <v>1</v>
      </c>
      <c r="D402" t="str">
        <f t="shared" si="21"/>
        <v>0268</v>
      </c>
      <c r="E402" t="str">
        <f t="shared" si="22"/>
        <v/>
      </c>
      <c r="F402" t="str">
        <f t="shared" si="23"/>
        <v>CR</v>
      </c>
    </row>
    <row r="403" spans="1:6" x14ac:dyDescent="0.3">
      <c r="A403" t="s">
        <v>1906</v>
      </c>
      <c r="B403">
        <v>1</v>
      </c>
      <c r="D403" t="str">
        <f t="shared" si="21"/>
        <v>0269</v>
      </c>
      <c r="E403" t="str">
        <f t="shared" si="22"/>
        <v/>
      </c>
      <c r="F403" t="str">
        <f t="shared" si="23"/>
        <v>CR</v>
      </c>
    </row>
    <row r="404" spans="1:6" x14ac:dyDescent="0.3">
      <c r="A404" t="s">
        <v>1910</v>
      </c>
      <c r="B404">
        <v>1</v>
      </c>
      <c r="D404" t="str">
        <f t="shared" si="21"/>
        <v>0270</v>
      </c>
      <c r="E404" t="str">
        <f t="shared" si="22"/>
        <v/>
      </c>
      <c r="F404" t="str">
        <f t="shared" si="23"/>
        <v>CR</v>
      </c>
    </row>
    <row r="405" spans="1:6" x14ac:dyDescent="0.3">
      <c r="A405" t="s">
        <v>2660</v>
      </c>
      <c r="B405">
        <v>1</v>
      </c>
      <c r="D405" t="str">
        <f t="shared" si="21"/>
        <v>0271</v>
      </c>
      <c r="E405" t="str">
        <f t="shared" si="22"/>
        <v/>
      </c>
      <c r="F405" t="str">
        <f t="shared" si="23"/>
        <v>MS</v>
      </c>
    </row>
    <row r="406" spans="1:6" x14ac:dyDescent="0.3">
      <c r="A406" t="s">
        <v>1918</v>
      </c>
      <c r="B406">
        <v>1</v>
      </c>
      <c r="D406" t="str">
        <f t="shared" si="21"/>
        <v>0272</v>
      </c>
      <c r="E406" t="str">
        <f t="shared" si="22"/>
        <v/>
      </c>
      <c r="F406" t="str">
        <f t="shared" si="23"/>
        <v>CN</v>
      </c>
    </row>
    <row r="407" spans="1:6" x14ac:dyDescent="0.3">
      <c r="A407" t="s">
        <v>2661</v>
      </c>
      <c r="B407">
        <v>1</v>
      </c>
      <c r="D407" t="str">
        <f t="shared" si="21"/>
        <v>0273</v>
      </c>
      <c r="E407" t="str">
        <f t="shared" si="22"/>
        <v/>
      </c>
      <c r="F407" t="str">
        <f t="shared" si="23"/>
        <v>MS</v>
      </c>
    </row>
    <row r="408" spans="1:6" x14ac:dyDescent="0.3">
      <c r="A408" t="s">
        <v>1924</v>
      </c>
      <c r="B408">
        <v>1</v>
      </c>
      <c r="D408" t="str">
        <f t="shared" si="21"/>
        <v>0274</v>
      </c>
      <c r="E408" t="str">
        <f t="shared" si="22"/>
        <v/>
      </c>
      <c r="F408" t="str">
        <f t="shared" si="23"/>
        <v>CN</v>
      </c>
    </row>
    <row r="409" spans="1:6" x14ac:dyDescent="0.3">
      <c r="A409" t="s">
        <v>2574</v>
      </c>
      <c r="B409">
        <v>1.0000003000000299</v>
      </c>
      <c r="D409" t="str">
        <f t="shared" si="21"/>
        <v>0275</v>
      </c>
      <c r="E409" t="str">
        <f t="shared" si="22"/>
        <v/>
      </c>
      <c r="F409" t="str">
        <f t="shared" si="23"/>
        <v>FR</v>
      </c>
    </row>
    <row r="410" spans="1:6" x14ac:dyDescent="0.3">
      <c r="A410" t="s">
        <v>1927</v>
      </c>
      <c r="B410">
        <v>1</v>
      </c>
      <c r="D410" t="str">
        <f t="shared" si="21"/>
        <v>0276</v>
      </c>
      <c r="E410" t="str">
        <f t="shared" si="22"/>
        <v/>
      </c>
      <c r="F410" t="str">
        <f t="shared" si="23"/>
        <v>CN</v>
      </c>
    </row>
    <row r="411" spans="1:6" x14ac:dyDescent="0.3">
      <c r="A411" t="s">
        <v>1931</v>
      </c>
      <c r="B411">
        <v>1</v>
      </c>
      <c r="D411" t="str">
        <f t="shared" si="21"/>
        <v>0277</v>
      </c>
      <c r="E411" t="str">
        <f t="shared" si="22"/>
        <v/>
      </c>
      <c r="F411" t="str">
        <f t="shared" si="23"/>
        <v>DN</v>
      </c>
    </row>
    <row r="412" spans="1:6" x14ac:dyDescent="0.3">
      <c r="A412" t="s">
        <v>1932</v>
      </c>
      <c r="B412">
        <v>1</v>
      </c>
      <c r="D412" t="str">
        <f t="shared" si="21"/>
        <v>0278</v>
      </c>
      <c r="E412" t="str">
        <f t="shared" si="22"/>
        <v/>
      </c>
      <c r="F412" t="str">
        <f t="shared" si="23"/>
        <v>CN</v>
      </c>
    </row>
    <row r="413" spans="1:6" x14ac:dyDescent="0.3">
      <c r="A413" t="s">
        <v>1934</v>
      </c>
      <c r="B413">
        <v>1</v>
      </c>
      <c r="D413" t="str">
        <f t="shared" si="21"/>
        <v>0279</v>
      </c>
      <c r="E413" t="str">
        <f t="shared" si="22"/>
        <v/>
      </c>
      <c r="F413" t="str">
        <f t="shared" si="23"/>
        <v>CN</v>
      </c>
    </row>
    <row r="414" spans="1:6" x14ac:dyDescent="0.3">
      <c r="A414" t="s">
        <v>1936</v>
      </c>
      <c r="B414">
        <v>1</v>
      </c>
      <c r="D414" t="str">
        <f t="shared" si="21"/>
        <v>0280</v>
      </c>
      <c r="E414" t="str">
        <f t="shared" si="22"/>
        <v/>
      </c>
      <c r="F414" t="str">
        <f t="shared" si="23"/>
        <v>CN</v>
      </c>
    </row>
    <row r="415" spans="1:6" x14ac:dyDescent="0.3">
      <c r="A415" t="s">
        <v>1939</v>
      </c>
      <c r="B415">
        <v>1</v>
      </c>
      <c r="D415" t="str">
        <f t="shared" si="21"/>
        <v>0281</v>
      </c>
      <c r="E415" t="str">
        <f t="shared" si="22"/>
        <v/>
      </c>
      <c r="F415" t="str">
        <f t="shared" si="23"/>
        <v>CN</v>
      </c>
    </row>
    <row r="416" spans="1:6" x14ac:dyDescent="0.3">
      <c r="A416" t="s">
        <v>1941</v>
      </c>
      <c r="B416">
        <v>1</v>
      </c>
      <c r="D416" t="str">
        <f t="shared" si="21"/>
        <v>0282</v>
      </c>
      <c r="E416" t="str">
        <f t="shared" si="22"/>
        <v/>
      </c>
      <c r="F416" t="str">
        <f t="shared" si="23"/>
        <v>CN</v>
      </c>
    </row>
    <row r="417" spans="1:6" x14ac:dyDescent="0.3">
      <c r="A417" t="s">
        <v>1943</v>
      </c>
      <c r="B417">
        <v>1</v>
      </c>
      <c r="D417" t="str">
        <f t="shared" si="21"/>
        <v>0283</v>
      </c>
      <c r="E417" t="str">
        <f t="shared" si="22"/>
        <v/>
      </c>
      <c r="F417" t="str">
        <f t="shared" si="23"/>
        <v>CN</v>
      </c>
    </row>
    <row r="418" spans="1:6" x14ac:dyDescent="0.3">
      <c r="A418" t="s">
        <v>1945</v>
      </c>
      <c r="B418">
        <v>1</v>
      </c>
      <c r="D418" t="str">
        <f t="shared" si="21"/>
        <v>0284</v>
      </c>
      <c r="E418" t="str">
        <f t="shared" si="22"/>
        <v/>
      </c>
      <c r="F418" t="str">
        <f t="shared" si="23"/>
        <v>CN</v>
      </c>
    </row>
    <row r="419" spans="1:6" x14ac:dyDescent="0.3">
      <c r="A419" t="s">
        <v>1949</v>
      </c>
      <c r="B419">
        <v>1</v>
      </c>
      <c r="D419" t="str">
        <f t="shared" si="21"/>
        <v>0285</v>
      </c>
      <c r="E419" t="str">
        <f t="shared" si="22"/>
        <v/>
      </c>
      <c r="F419" t="str">
        <f t="shared" si="23"/>
        <v>CS</v>
      </c>
    </row>
    <row r="420" spans="1:6" x14ac:dyDescent="0.3">
      <c r="A420" t="s">
        <v>1950</v>
      </c>
      <c r="B420">
        <v>1</v>
      </c>
      <c r="D420" t="str">
        <f t="shared" si="21"/>
        <v>0286</v>
      </c>
      <c r="E420" t="str">
        <f t="shared" si="22"/>
        <v/>
      </c>
      <c r="F420" t="str">
        <f t="shared" si="23"/>
        <v>CN</v>
      </c>
    </row>
    <row r="421" spans="1:6" x14ac:dyDescent="0.3">
      <c r="A421" t="s">
        <v>1952</v>
      </c>
      <c r="B421">
        <v>1</v>
      </c>
      <c r="D421" t="str">
        <f t="shared" si="21"/>
        <v>0287</v>
      </c>
      <c r="E421" t="str">
        <f t="shared" si="22"/>
        <v/>
      </c>
      <c r="F421" t="str">
        <f t="shared" si="23"/>
        <v>CN</v>
      </c>
    </row>
    <row r="422" spans="1:6" x14ac:dyDescent="0.3">
      <c r="A422" t="s">
        <v>1955</v>
      </c>
      <c r="B422">
        <v>1</v>
      </c>
      <c r="D422" t="str">
        <f t="shared" si="21"/>
        <v>0288</v>
      </c>
      <c r="E422" t="str">
        <f t="shared" si="22"/>
        <v/>
      </c>
      <c r="F422" t="str">
        <f t="shared" si="23"/>
        <v>CN</v>
      </c>
    </row>
    <row r="423" spans="1:6" x14ac:dyDescent="0.3">
      <c r="A423" t="s">
        <v>1957</v>
      </c>
      <c r="B423">
        <v>1</v>
      </c>
      <c r="D423" t="str">
        <f t="shared" si="21"/>
        <v>0289</v>
      </c>
      <c r="E423" t="str">
        <f t="shared" si="22"/>
        <v/>
      </c>
      <c r="F423" t="str">
        <f t="shared" si="23"/>
        <v>CN</v>
      </c>
    </row>
    <row r="424" spans="1:6" x14ac:dyDescent="0.3">
      <c r="A424" t="s">
        <v>1959</v>
      </c>
      <c r="B424">
        <v>1</v>
      </c>
      <c r="D424" t="str">
        <f t="shared" si="21"/>
        <v>0290</v>
      </c>
      <c r="E424" t="str">
        <f t="shared" si="22"/>
        <v/>
      </c>
      <c r="F424" t="str">
        <f t="shared" si="23"/>
        <v>CN</v>
      </c>
    </row>
    <row r="425" spans="1:6" x14ac:dyDescent="0.3">
      <c r="A425" t="s">
        <v>1961</v>
      </c>
      <c r="B425">
        <v>1</v>
      </c>
      <c r="D425" t="str">
        <f t="shared" si="21"/>
        <v>0291</v>
      </c>
      <c r="E425" t="str">
        <f t="shared" si="22"/>
        <v/>
      </c>
      <c r="F425" t="str">
        <f t="shared" si="23"/>
        <v>CN</v>
      </c>
    </row>
    <row r="426" spans="1:6" x14ac:dyDescent="0.3">
      <c r="A426" t="s">
        <v>1963</v>
      </c>
      <c r="B426">
        <v>1</v>
      </c>
      <c r="D426" t="str">
        <f t="shared" si="21"/>
        <v>0292</v>
      </c>
      <c r="E426" t="str">
        <f t="shared" si="22"/>
        <v/>
      </c>
      <c r="F426" t="str">
        <f t="shared" si="23"/>
        <v>CN</v>
      </c>
    </row>
    <row r="427" spans="1:6" x14ac:dyDescent="0.3">
      <c r="A427" t="s">
        <v>1965</v>
      </c>
      <c r="B427">
        <v>1</v>
      </c>
      <c r="D427" t="str">
        <f t="shared" si="21"/>
        <v>0293</v>
      </c>
      <c r="E427" t="str">
        <f t="shared" si="22"/>
        <v/>
      </c>
      <c r="F427" t="str">
        <f t="shared" si="23"/>
        <v>CN</v>
      </c>
    </row>
    <row r="428" spans="1:6" x14ac:dyDescent="0.3">
      <c r="A428" t="s">
        <v>1967</v>
      </c>
      <c r="B428">
        <v>1</v>
      </c>
      <c r="D428" t="str">
        <f t="shared" si="21"/>
        <v>0294</v>
      </c>
      <c r="E428" t="str">
        <f t="shared" si="22"/>
        <v/>
      </c>
      <c r="F428" t="str">
        <f t="shared" si="23"/>
        <v>CN</v>
      </c>
    </row>
    <row r="429" spans="1:6" x14ac:dyDescent="0.3">
      <c r="A429" t="s">
        <v>1969</v>
      </c>
      <c r="B429">
        <v>1</v>
      </c>
      <c r="D429" t="str">
        <f t="shared" si="21"/>
        <v>0295</v>
      </c>
      <c r="E429" t="str">
        <f t="shared" si="22"/>
        <v/>
      </c>
      <c r="F429" t="str">
        <f t="shared" si="23"/>
        <v>CN</v>
      </c>
    </row>
    <row r="430" spans="1:6" x14ac:dyDescent="0.3">
      <c r="A430" t="s">
        <v>1971</v>
      </c>
      <c r="B430">
        <v>1</v>
      </c>
      <c r="D430" t="str">
        <f t="shared" si="21"/>
        <v>0296</v>
      </c>
      <c r="E430" t="str">
        <f t="shared" si="22"/>
        <v/>
      </c>
      <c r="F430" t="str">
        <f t="shared" si="23"/>
        <v>CN</v>
      </c>
    </row>
    <row r="431" spans="1:6" x14ac:dyDescent="0.3">
      <c r="A431" t="s">
        <v>1975</v>
      </c>
      <c r="B431">
        <v>1</v>
      </c>
      <c r="D431" t="str">
        <f t="shared" si="21"/>
        <v>0297</v>
      </c>
      <c r="E431" t="str">
        <f t="shared" si="22"/>
        <v/>
      </c>
      <c r="F431" t="str">
        <f t="shared" si="23"/>
        <v>CS</v>
      </c>
    </row>
    <row r="432" spans="1:6" x14ac:dyDescent="0.3">
      <c r="A432" t="s">
        <v>1976</v>
      </c>
      <c r="B432">
        <v>1</v>
      </c>
      <c r="D432" t="str">
        <f t="shared" si="21"/>
        <v>0298</v>
      </c>
      <c r="E432" t="str">
        <f t="shared" si="22"/>
        <v/>
      </c>
      <c r="F432" t="str">
        <f t="shared" si="23"/>
        <v>CN</v>
      </c>
    </row>
    <row r="433" spans="1:6" x14ac:dyDescent="0.3">
      <c r="A433" t="s">
        <v>1978</v>
      </c>
      <c r="B433">
        <v>1</v>
      </c>
      <c r="D433" t="str">
        <f t="shared" si="21"/>
        <v>0299</v>
      </c>
      <c r="E433" t="str">
        <f t="shared" si="22"/>
        <v/>
      </c>
      <c r="F433" t="str">
        <f t="shared" si="23"/>
        <v>CN</v>
      </c>
    </row>
    <row r="434" spans="1:6" x14ac:dyDescent="0.3">
      <c r="A434" t="s">
        <v>1981</v>
      </c>
      <c r="B434">
        <v>1</v>
      </c>
      <c r="D434" t="str">
        <f t="shared" si="21"/>
        <v>0300</v>
      </c>
      <c r="E434" t="str">
        <f t="shared" si="22"/>
        <v/>
      </c>
      <c r="F434" t="str">
        <f t="shared" si="23"/>
        <v>CN</v>
      </c>
    </row>
    <row r="435" spans="1:6" x14ac:dyDescent="0.3">
      <c r="A435" t="s">
        <v>1983</v>
      </c>
      <c r="B435">
        <v>1</v>
      </c>
      <c r="D435" t="str">
        <f t="shared" si="21"/>
        <v>0301</v>
      </c>
      <c r="E435" t="str">
        <f t="shared" si="22"/>
        <v/>
      </c>
      <c r="F435" t="str">
        <f t="shared" si="23"/>
        <v>CN</v>
      </c>
    </row>
    <row r="436" spans="1:6" x14ac:dyDescent="0.3">
      <c r="A436" t="s">
        <v>1986</v>
      </c>
      <c r="B436">
        <v>1</v>
      </c>
      <c r="D436" t="str">
        <f t="shared" si="21"/>
        <v>0302</v>
      </c>
      <c r="E436" t="str">
        <f t="shared" si="22"/>
        <v/>
      </c>
      <c r="F436" t="str">
        <f t="shared" si="23"/>
        <v>CN</v>
      </c>
    </row>
    <row r="437" spans="1:6" x14ac:dyDescent="0.3">
      <c r="A437" t="s">
        <v>1989</v>
      </c>
      <c r="B437">
        <v>1</v>
      </c>
      <c r="D437" t="str">
        <f t="shared" si="21"/>
        <v>0303</v>
      </c>
      <c r="E437" t="str">
        <f t="shared" si="22"/>
        <v/>
      </c>
      <c r="F437" t="str">
        <f t="shared" si="23"/>
        <v>CN</v>
      </c>
    </row>
    <row r="438" spans="1:6" x14ac:dyDescent="0.3">
      <c r="A438" t="s">
        <v>1993</v>
      </c>
      <c r="B438">
        <v>1</v>
      </c>
      <c r="D438" t="str">
        <f t="shared" si="21"/>
        <v>0304</v>
      </c>
      <c r="E438" t="str">
        <f t="shared" si="22"/>
        <v/>
      </c>
      <c r="F438" t="str">
        <f t="shared" si="23"/>
        <v>DN</v>
      </c>
    </row>
    <row r="439" spans="1:6" x14ac:dyDescent="0.3">
      <c r="A439" t="s">
        <v>1994</v>
      </c>
      <c r="B439">
        <v>1</v>
      </c>
      <c r="D439" t="str">
        <f t="shared" si="21"/>
        <v>0305</v>
      </c>
      <c r="E439" t="str">
        <f t="shared" si="22"/>
        <v/>
      </c>
      <c r="F439" t="str">
        <f t="shared" si="23"/>
        <v>CN</v>
      </c>
    </row>
    <row r="440" spans="1:6" x14ac:dyDescent="0.3">
      <c r="A440" t="s">
        <v>1996</v>
      </c>
      <c r="B440">
        <v>1</v>
      </c>
      <c r="D440" t="str">
        <f t="shared" si="21"/>
        <v>0306</v>
      </c>
      <c r="E440" t="str">
        <f t="shared" si="22"/>
        <v/>
      </c>
      <c r="F440" t="str">
        <f t="shared" si="23"/>
        <v>CN</v>
      </c>
    </row>
    <row r="441" spans="1:6" x14ac:dyDescent="0.3">
      <c r="A441" t="s">
        <v>1998</v>
      </c>
      <c r="B441">
        <v>1</v>
      </c>
      <c r="D441" t="str">
        <f t="shared" si="21"/>
        <v>0307</v>
      </c>
      <c r="E441" t="str">
        <f t="shared" si="22"/>
        <v/>
      </c>
      <c r="F441" t="str">
        <f t="shared" si="23"/>
        <v>CN</v>
      </c>
    </row>
    <row r="442" spans="1:6" x14ac:dyDescent="0.3">
      <c r="A442" t="s">
        <v>2000</v>
      </c>
      <c r="B442">
        <v>1</v>
      </c>
      <c r="D442" t="str">
        <f t="shared" si="21"/>
        <v>0308</v>
      </c>
      <c r="E442" t="str">
        <f t="shared" si="22"/>
        <v/>
      </c>
      <c r="F442" t="str">
        <f t="shared" si="23"/>
        <v>CN</v>
      </c>
    </row>
    <row r="443" spans="1:6" x14ac:dyDescent="0.3">
      <c r="A443" t="s">
        <v>2002</v>
      </c>
      <c r="B443">
        <v>1</v>
      </c>
      <c r="D443" t="str">
        <f t="shared" si="21"/>
        <v>0309</v>
      </c>
      <c r="E443" t="str">
        <f t="shared" si="22"/>
        <v/>
      </c>
      <c r="F443" t="str">
        <f t="shared" si="23"/>
        <v>CN</v>
      </c>
    </row>
    <row r="444" spans="1:6" x14ac:dyDescent="0.3">
      <c r="A444" t="s">
        <v>2004</v>
      </c>
      <c r="B444">
        <v>1</v>
      </c>
      <c r="D444" t="str">
        <f t="shared" si="21"/>
        <v>0310</v>
      </c>
      <c r="E444" t="str">
        <f t="shared" si="22"/>
        <v/>
      </c>
      <c r="F444" t="str">
        <f t="shared" si="23"/>
        <v>CN</v>
      </c>
    </row>
    <row r="445" spans="1:6" x14ac:dyDescent="0.3">
      <c r="A445" t="s">
        <v>2662</v>
      </c>
      <c r="B445">
        <v>1</v>
      </c>
      <c r="D445" t="str">
        <f t="shared" si="21"/>
        <v>0311</v>
      </c>
      <c r="E445" t="str">
        <f t="shared" si="22"/>
        <v/>
      </c>
      <c r="F445" t="str">
        <f t="shared" si="23"/>
        <v>MS</v>
      </c>
    </row>
    <row r="446" spans="1:6" x14ac:dyDescent="0.3">
      <c r="A446" t="s">
        <v>2009</v>
      </c>
      <c r="B446">
        <v>1</v>
      </c>
      <c r="D446" t="str">
        <f t="shared" si="21"/>
        <v>0312</v>
      </c>
      <c r="E446" t="str">
        <f t="shared" si="22"/>
        <v/>
      </c>
      <c r="F446" t="str">
        <f t="shared" si="23"/>
        <v>CN</v>
      </c>
    </row>
    <row r="447" spans="1:6" x14ac:dyDescent="0.3">
      <c r="A447" t="s">
        <v>2014</v>
      </c>
      <c r="B447">
        <v>1</v>
      </c>
      <c r="D447" t="str">
        <f t="shared" si="21"/>
        <v>0313</v>
      </c>
      <c r="E447" t="str">
        <f t="shared" si="22"/>
        <v/>
      </c>
      <c r="F447" t="str">
        <f t="shared" si="23"/>
        <v>CR</v>
      </c>
    </row>
    <row r="448" spans="1:6" x14ac:dyDescent="0.3">
      <c r="A448" t="s">
        <v>2020</v>
      </c>
      <c r="B448">
        <v>1</v>
      </c>
      <c r="D448" t="str">
        <f t="shared" si="21"/>
        <v>0314</v>
      </c>
      <c r="E448" t="str">
        <f t="shared" si="22"/>
        <v/>
      </c>
      <c r="F448" t="str">
        <f t="shared" si="23"/>
        <v>CS</v>
      </c>
    </row>
    <row r="449" spans="1:6" x14ac:dyDescent="0.3">
      <c r="A449" t="s">
        <v>2022</v>
      </c>
      <c r="B449">
        <v>1</v>
      </c>
      <c r="D449" t="str">
        <f t="shared" si="21"/>
        <v>0315</v>
      </c>
      <c r="E449" t="str">
        <f t="shared" si="22"/>
        <v/>
      </c>
      <c r="F449" t="str">
        <f t="shared" si="23"/>
        <v>CN</v>
      </c>
    </row>
    <row r="450" spans="1:6" x14ac:dyDescent="0.3">
      <c r="A450" t="s">
        <v>2028</v>
      </c>
      <c r="B450">
        <v>1</v>
      </c>
      <c r="D450" t="str">
        <f t="shared" si="21"/>
        <v>0316</v>
      </c>
      <c r="E450" t="str">
        <f t="shared" si="22"/>
        <v/>
      </c>
      <c r="F450" t="str">
        <f t="shared" si="23"/>
        <v>CN</v>
      </c>
    </row>
    <row r="451" spans="1:6" x14ac:dyDescent="0.3">
      <c r="A451" t="s">
        <v>2035</v>
      </c>
      <c r="B451">
        <v>1</v>
      </c>
      <c r="D451" t="str">
        <f t="shared" ref="D451:D514" si="24">IF(LEFT(A451,2)="SP",MID(A451,4,4),IF(LEFT(A451,1)="X",MID(A451,3,4),""))</f>
        <v>0317</v>
      </c>
      <c r="E451" t="str">
        <f t="shared" ref="E451:E514" si="25">IF(OR(LEFT(A451,2)="SP",AND(LEFT(A451,1)="X",LEN(A451)&gt;9)),RIGHT(A451,1),"")</f>
        <v/>
      </c>
      <c r="F451" t="str">
        <f t="shared" ref="F451:F514" si="26">IF(LEFT(A451,1)="X",MID(A451,8,2),"")</f>
        <v>DN</v>
      </c>
    </row>
    <row r="452" spans="1:6" x14ac:dyDescent="0.3">
      <c r="A452" t="s">
        <v>2037</v>
      </c>
      <c r="B452">
        <v>1</v>
      </c>
      <c r="D452" t="str">
        <f t="shared" si="24"/>
        <v>0318</v>
      </c>
      <c r="E452" t="str">
        <f t="shared" si="25"/>
        <v/>
      </c>
      <c r="F452" t="str">
        <f t="shared" si="26"/>
        <v>CN</v>
      </c>
    </row>
    <row r="453" spans="1:6" x14ac:dyDescent="0.3">
      <c r="A453" t="s">
        <v>2039</v>
      </c>
      <c r="B453">
        <v>1</v>
      </c>
      <c r="D453" t="str">
        <f t="shared" si="24"/>
        <v>0319</v>
      </c>
      <c r="E453" t="str">
        <f t="shared" si="25"/>
        <v/>
      </c>
      <c r="F453" t="str">
        <f t="shared" si="26"/>
        <v>ES</v>
      </c>
    </row>
    <row r="454" spans="1:6" x14ac:dyDescent="0.3">
      <c r="A454" t="s">
        <v>2586</v>
      </c>
      <c r="B454">
        <v>1</v>
      </c>
      <c r="D454" t="str">
        <f t="shared" si="24"/>
        <v>0320</v>
      </c>
      <c r="E454" t="str">
        <f t="shared" si="25"/>
        <v/>
      </c>
      <c r="F454" t="str">
        <f t="shared" si="26"/>
        <v>MS</v>
      </c>
    </row>
    <row r="455" spans="1:6" x14ac:dyDescent="0.3">
      <c r="A455" t="s">
        <v>2587</v>
      </c>
      <c r="B455">
        <v>1</v>
      </c>
      <c r="D455" t="str">
        <f t="shared" si="24"/>
        <v>0321</v>
      </c>
      <c r="E455" t="str">
        <f t="shared" si="25"/>
        <v/>
      </c>
      <c r="F455" t="str">
        <f t="shared" si="26"/>
        <v>MS</v>
      </c>
    </row>
    <row r="456" spans="1:6" x14ac:dyDescent="0.3">
      <c r="A456" t="s">
        <v>2043</v>
      </c>
      <c r="B456">
        <v>1</v>
      </c>
      <c r="D456" t="str">
        <f t="shared" si="24"/>
        <v>0322</v>
      </c>
      <c r="E456" t="str">
        <f t="shared" si="25"/>
        <v/>
      </c>
      <c r="F456" t="str">
        <f t="shared" si="26"/>
        <v>ES</v>
      </c>
    </row>
    <row r="457" spans="1:6" x14ac:dyDescent="0.3">
      <c r="A457" t="s">
        <v>2046</v>
      </c>
      <c r="B457">
        <v>1</v>
      </c>
      <c r="D457" t="str">
        <f t="shared" si="24"/>
        <v>0323</v>
      </c>
      <c r="E457" t="str">
        <f t="shared" si="25"/>
        <v/>
      </c>
      <c r="F457" t="str">
        <f t="shared" si="26"/>
        <v>CR</v>
      </c>
    </row>
    <row r="458" spans="1:6" x14ac:dyDescent="0.3">
      <c r="A458" t="s">
        <v>2048</v>
      </c>
      <c r="B458">
        <v>1</v>
      </c>
      <c r="D458" t="str">
        <f t="shared" si="24"/>
        <v>0324</v>
      </c>
      <c r="E458" t="str">
        <f t="shared" si="25"/>
        <v/>
      </c>
      <c r="F458" t="str">
        <f t="shared" si="26"/>
        <v>CN</v>
      </c>
    </row>
    <row r="459" spans="1:6" x14ac:dyDescent="0.3">
      <c r="A459" t="s">
        <v>2050</v>
      </c>
      <c r="B459">
        <v>1</v>
      </c>
      <c r="D459" t="str">
        <f t="shared" si="24"/>
        <v>0325</v>
      </c>
      <c r="E459" t="str">
        <f t="shared" si="25"/>
        <v/>
      </c>
      <c r="F459" t="str">
        <f t="shared" si="26"/>
        <v>CN</v>
      </c>
    </row>
    <row r="460" spans="1:6" x14ac:dyDescent="0.3">
      <c r="A460" t="s">
        <v>2052</v>
      </c>
      <c r="B460">
        <v>1</v>
      </c>
      <c r="D460" t="str">
        <f t="shared" si="24"/>
        <v>0326</v>
      </c>
      <c r="E460" t="str">
        <f t="shared" si="25"/>
        <v/>
      </c>
      <c r="F460" t="str">
        <f t="shared" si="26"/>
        <v>CN</v>
      </c>
    </row>
    <row r="461" spans="1:6" x14ac:dyDescent="0.3">
      <c r="A461" t="s">
        <v>2056</v>
      </c>
      <c r="B461">
        <v>1</v>
      </c>
      <c r="D461" t="str">
        <f t="shared" si="24"/>
        <v>0327</v>
      </c>
      <c r="E461" t="str">
        <f t="shared" si="25"/>
        <v/>
      </c>
      <c r="F461" t="str">
        <f t="shared" si="26"/>
        <v>DN</v>
      </c>
    </row>
    <row r="462" spans="1:6" x14ac:dyDescent="0.3">
      <c r="A462" t="s">
        <v>2057</v>
      </c>
      <c r="B462">
        <v>1</v>
      </c>
      <c r="D462" t="str">
        <f t="shared" si="24"/>
        <v>0328</v>
      </c>
      <c r="E462" t="str">
        <f t="shared" si="25"/>
        <v/>
      </c>
      <c r="F462" t="str">
        <f t="shared" si="26"/>
        <v>CN</v>
      </c>
    </row>
    <row r="463" spans="1:6" x14ac:dyDescent="0.3">
      <c r="A463" t="s">
        <v>2663</v>
      </c>
      <c r="B463">
        <v>1</v>
      </c>
      <c r="D463" t="str">
        <f t="shared" si="24"/>
        <v>0329</v>
      </c>
      <c r="E463" t="str">
        <f t="shared" si="25"/>
        <v/>
      </c>
      <c r="F463" t="str">
        <f t="shared" si="26"/>
        <v>MS</v>
      </c>
    </row>
    <row r="464" spans="1:6" x14ac:dyDescent="0.3">
      <c r="A464" t="s">
        <v>2063</v>
      </c>
      <c r="B464">
        <v>1</v>
      </c>
      <c r="D464" t="str">
        <f t="shared" si="24"/>
        <v>0330</v>
      </c>
      <c r="E464" t="str">
        <f t="shared" si="25"/>
        <v/>
      </c>
      <c r="F464" t="str">
        <f t="shared" si="26"/>
        <v>CN</v>
      </c>
    </row>
    <row r="465" spans="1:6" x14ac:dyDescent="0.3">
      <c r="A465" t="s">
        <v>2065</v>
      </c>
      <c r="B465">
        <v>1</v>
      </c>
      <c r="D465" t="str">
        <f t="shared" si="24"/>
        <v>0331</v>
      </c>
      <c r="E465" t="str">
        <f t="shared" si="25"/>
        <v/>
      </c>
      <c r="F465" t="str">
        <f t="shared" si="26"/>
        <v>CN</v>
      </c>
    </row>
    <row r="466" spans="1:6" x14ac:dyDescent="0.3">
      <c r="A466" t="s">
        <v>2067</v>
      </c>
      <c r="B466">
        <v>1</v>
      </c>
      <c r="D466" t="str">
        <f t="shared" si="24"/>
        <v>0332</v>
      </c>
      <c r="E466" t="str">
        <f t="shared" si="25"/>
        <v/>
      </c>
      <c r="F466" t="str">
        <f t="shared" si="26"/>
        <v>CN</v>
      </c>
    </row>
    <row r="467" spans="1:6" x14ac:dyDescent="0.3">
      <c r="A467" t="s">
        <v>2069</v>
      </c>
      <c r="B467">
        <v>1</v>
      </c>
      <c r="D467" t="str">
        <f t="shared" si="24"/>
        <v>0333</v>
      </c>
      <c r="E467" t="str">
        <f t="shared" si="25"/>
        <v/>
      </c>
      <c r="F467" t="str">
        <f t="shared" si="26"/>
        <v>CN</v>
      </c>
    </row>
    <row r="468" spans="1:6" x14ac:dyDescent="0.3">
      <c r="A468" t="s">
        <v>2071</v>
      </c>
      <c r="B468">
        <v>1</v>
      </c>
      <c r="D468" t="str">
        <f t="shared" si="24"/>
        <v>0334</v>
      </c>
      <c r="E468" t="str">
        <f t="shared" si="25"/>
        <v/>
      </c>
      <c r="F468" t="str">
        <f t="shared" si="26"/>
        <v>CN</v>
      </c>
    </row>
    <row r="469" spans="1:6" x14ac:dyDescent="0.3">
      <c r="A469" t="s">
        <v>2073</v>
      </c>
      <c r="B469">
        <v>1</v>
      </c>
      <c r="D469" t="str">
        <f t="shared" si="24"/>
        <v>0335</v>
      </c>
      <c r="E469" t="str">
        <f t="shared" si="25"/>
        <v/>
      </c>
      <c r="F469" t="str">
        <f t="shared" si="26"/>
        <v>CN</v>
      </c>
    </row>
    <row r="470" spans="1:6" x14ac:dyDescent="0.3">
      <c r="A470" t="s">
        <v>2075</v>
      </c>
      <c r="B470">
        <v>1</v>
      </c>
      <c r="D470" t="str">
        <f t="shared" si="24"/>
        <v>0336</v>
      </c>
      <c r="E470" t="str">
        <f t="shared" si="25"/>
        <v/>
      </c>
      <c r="F470" t="str">
        <f t="shared" si="26"/>
        <v>CN</v>
      </c>
    </row>
    <row r="471" spans="1:6" x14ac:dyDescent="0.3">
      <c r="A471" t="s">
        <v>2081</v>
      </c>
      <c r="B471">
        <v>1</v>
      </c>
      <c r="D471" t="str">
        <f t="shared" si="24"/>
        <v>0337</v>
      </c>
      <c r="E471" t="str">
        <f t="shared" si="25"/>
        <v/>
      </c>
      <c r="F471" t="str">
        <f t="shared" si="26"/>
        <v>CN</v>
      </c>
    </row>
    <row r="472" spans="1:6" x14ac:dyDescent="0.3">
      <c r="A472" t="s">
        <v>2083</v>
      </c>
      <c r="B472">
        <v>1</v>
      </c>
      <c r="D472" t="str">
        <f t="shared" si="24"/>
        <v>0338</v>
      </c>
      <c r="E472" t="str">
        <f t="shared" si="25"/>
        <v/>
      </c>
      <c r="F472" t="str">
        <f t="shared" si="26"/>
        <v>CN</v>
      </c>
    </row>
    <row r="473" spans="1:6" x14ac:dyDescent="0.3">
      <c r="A473" t="s">
        <v>2085</v>
      </c>
      <c r="B473">
        <v>1</v>
      </c>
      <c r="D473" t="str">
        <f t="shared" si="24"/>
        <v>0339</v>
      </c>
      <c r="E473" t="str">
        <f t="shared" si="25"/>
        <v/>
      </c>
      <c r="F473" t="str">
        <f t="shared" si="26"/>
        <v>CN</v>
      </c>
    </row>
    <row r="474" spans="1:6" x14ac:dyDescent="0.3">
      <c r="A474" t="s">
        <v>2087</v>
      </c>
      <c r="B474">
        <v>1</v>
      </c>
      <c r="D474" t="str">
        <f t="shared" si="24"/>
        <v>0340</v>
      </c>
      <c r="E474" t="str">
        <f t="shared" si="25"/>
        <v/>
      </c>
      <c r="F474" t="str">
        <f t="shared" si="26"/>
        <v>CN</v>
      </c>
    </row>
    <row r="475" spans="1:6" x14ac:dyDescent="0.3">
      <c r="A475" t="s">
        <v>2091</v>
      </c>
      <c r="B475">
        <v>1</v>
      </c>
      <c r="D475" t="str">
        <f t="shared" si="24"/>
        <v>0341</v>
      </c>
      <c r="E475" t="str">
        <f t="shared" si="25"/>
        <v/>
      </c>
      <c r="F475" t="str">
        <f t="shared" si="26"/>
        <v>CR</v>
      </c>
    </row>
    <row r="476" spans="1:6" x14ac:dyDescent="0.3">
      <c r="A476" t="s">
        <v>2664</v>
      </c>
      <c r="B476">
        <v>1</v>
      </c>
      <c r="D476" t="str">
        <f t="shared" si="24"/>
        <v>0342</v>
      </c>
      <c r="E476" t="str">
        <f t="shared" si="25"/>
        <v/>
      </c>
      <c r="F476" t="str">
        <f t="shared" si="26"/>
        <v>MS</v>
      </c>
    </row>
    <row r="477" spans="1:6" x14ac:dyDescent="0.3">
      <c r="A477" t="s">
        <v>2097</v>
      </c>
      <c r="B477">
        <v>1</v>
      </c>
      <c r="D477" t="str">
        <f t="shared" si="24"/>
        <v>0343</v>
      </c>
      <c r="E477" t="str">
        <f t="shared" si="25"/>
        <v/>
      </c>
      <c r="F477" t="str">
        <f t="shared" si="26"/>
        <v>CN</v>
      </c>
    </row>
    <row r="478" spans="1:6" x14ac:dyDescent="0.3">
      <c r="A478" t="s">
        <v>2100</v>
      </c>
      <c r="B478">
        <v>1</v>
      </c>
      <c r="D478" t="str">
        <f t="shared" si="24"/>
        <v>0344</v>
      </c>
      <c r="E478" t="str">
        <f t="shared" si="25"/>
        <v/>
      </c>
      <c r="F478" t="str">
        <f t="shared" si="26"/>
        <v>CN</v>
      </c>
    </row>
    <row r="479" spans="1:6" x14ac:dyDescent="0.3">
      <c r="A479" t="s">
        <v>2103</v>
      </c>
      <c r="B479">
        <v>1</v>
      </c>
      <c r="D479" t="str">
        <f t="shared" si="24"/>
        <v>0345</v>
      </c>
      <c r="E479" t="str">
        <f t="shared" si="25"/>
        <v/>
      </c>
      <c r="F479" t="str">
        <f t="shared" si="26"/>
        <v>CN</v>
      </c>
    </row>
    <row r="480" spans="1:6" x14ac:dyDescent="0.3">
      <c r="A480" t="s">
        <v>2105</v>
      </c>
      <c r="B480">
        <v>1</v>
      </c>
      <c r="D480" t="str">
        <f t="shared" si="24"/>
        <v>0346</v>
      </c>
      <c r="E480" t="str">
        <f t="shared" si="25"/>
        <v/>
      </c>
      <c r="F480" t="str">
        <f t="shared" si="26"/>
        <v>CN</v>
      </c>
    </row>
    <row r="481" spans="1:6" x14ac:dyDescent="0.3">
      <c r="A481" t="s">
        <v>2107</v>
      </c>
      <c r="B481">
        <v>1</v>
      </c>
      <c r="D481" t="str">
        <f t="shared" si="24"/>
        <v>0347</v>
      </c>
      <c r="E481" t="str">
        <f t="shared" si="25"/>
        <v/>
      </c>
      <c r="F481" t="str">
        <f t="shared" si="26"/>
        <v>CN</v>
      </c>
    </row>
    <row r="482" spans="1:6" x14ac:dyDescent="0.3">
      <c r="A482" t="s">
        <v>2112</v>
      </c>
      <c r="B482">
        <v>1</v>
      </c>
      <c r="D482" t="str">
        <f t="shared" si="24"/>
        <v>0348</v>
      </c>
      <c r="E482" t="str">
        <f t="shared" si="25"/>
        <v/>
      </c>
      <c r="F482" t="str">
        <f t="shared" si="26"/>
        <v>CN</v>
      </c>
    </row>
    <row r="483" spans="1:6" x14ac:dyDescent="0.3">
      <c r="A483" t="s">
        <v>2114</v>
      </c>
      <c r="B483">
        <v>1</v>
      </c>
      <c r="D483" t="str">
        <f t="shared" si="24"/>
        <v>0349</v>
      </c>
      <c r="E483" t="str">
        <f t="shared" si="25"/>
        <v/>
      </c>
      <c r="F483" t="str">
        <f t="shared" si="26"/>
        <v>CN</v>
      </c>
    </row>
    <row r="484" spans="1:6" x14ac:dyDescent="0.3">
      <c r="A484" t="s">
        <v>2119</v>
      </c>
      <c r="B484">
        <v>1</v>
      </c>
      <c r="D484" t="str">
        <f t="shared" si="24"/>
        <v>0350</v>
      </c>
      <c r="E484" t="str">
        <f t="shared" si="25"/>
        <v/>
      </c>
      <c r="F484" t="str">
        <f t="shared" si="26"/>
        <v>CN</v>
      </c>
    </row>
    <row r="485" spans="1:6" x14ac:dyDescent="0.3">
      <c r="A485" t="s">
        <v>2123</v>
      </c>
      <c r="B485">
        <v>1</v>
      </c>
      <c r="D485" t="str">
        <f t="shared" si="24"/>
        <v>0351</v>
      </c>
      <c r="E485" t="str">
        <f t="shared" si="25"/>
        <v/>
      </c>
      <c r="F485" t="str">
        <f t="shared" si="26"/>
        <v>DR</v>
      </c>
    </row>
    <row r="486" spans="1:6" x14ac:dyDescent="0.3">
      <c r="A486" t="s">
        <v>2126</v>
      </c>
      <c r="B486">
        <v>1</v>
      </c>
      <c r="D486" t="str">
        <f t="shared" si="24"/>
        <v>0352</v>
      </c>
      <c r="E486" t="str">
        <f t="shared" si="25"/>
        <v/>
      </c>
      <c r="F486" t="str">
        <f t="shared" si="26"/>
        <v>ES</v>
      </c>
    </row>
    <row r="487" spans="1:6" x14ac:dyDescent="0.3">
      <c r="A487" t="s">
        <v>2132</v>
      </c>
      <c r="B487">
        <v>1</v>
      </c>
      <c r="D487" t="str">
        <f t="shared" si="24"/>
        <v>0353</v>
      </c>
      <c r="E487" t="str">
        <f t="shared" si="25"/>
        <v/>
      </c>
      <c r="F487" t="str">
        <f t="shared" si="26"/>
        <v>ES</v>
      </c>
    </row>
    <row r="488" spans="1:6" x14ac:dyDescent="0.3">
      <c r="A488" t="s">
        <v>2136</v>
      </c>
      <c r="B488">
        <v>1</v>
      </c>
      <c r="D488" t="str">
        <f t="shared" si="24"/>
        <v>0354</v>
      </c>
      <c r="E488" t="str">
        <f t="shared" si="25"/>
        <v/>
      </c>
      <c r="F488" t="str">
        <f t="shared" si="26"/>
        <v>ES</v>
      </c>
    </row>
    <row r="489" spans="1:6" x14ac:dyDescent="0.3">
      <c r="A489" t="s">
        <v>2139</v>
      </c>
      <c r="B489">
        <v>1</v>
      </c>
      <c r="D489" t="str">
        <f t="shared" si="24"/>
        <v>0355</v>
      </c>
      <c r="E489" t="str">
        <f t="shared" si="25"/>
        <v/>
      </c>
      <c r="F489" t="str">
        <f t="shared" si="26"/>
        <v>DN</v>
      </c>
    </row>
    <row r="490" spans="1:6" x14ac:dyDescent="0.3">
      <c r="A490" t="s">
        <v>2140</v>
      </c>
      <c r="B490">
        <v>1</v>
      </c>
      <c r="D490" t="str">
        <f t="shared" si="24"/>
        <v>0356</v>
      </c>
      <c r="E490" t="str">
        <f t="shared" si="25"/>
        <v/>
      </c>
      <c r="F490" t="str">
        <f t="shared" si="26"/>
        <v>CN</v>
      </c>
    </row>
    <row r="491" spans="1:6" x14ac:dyDescent="0.3">
      <c r="A491" t="s">
        <v>2588</v>
      </c>
      <c r="B491">
        <v>1</v>
      </c>
      <c r="D491" t="str">
        <f t="shared" si="24"/>
        <v>0357</v>
      </c>
      <c r="E491" t="str">
        <f t="shared" si="25"/>
        <v/>
      </c>
      <c r="F491" t="str">
        <f t="shared" si="26"/>
        <v>MS</v>
      </c>
    </row>
    <row r="492" spans="1:6" x14ac:dyDescent="0.3">
      <c r="A492" t="s">
        <v>2145</v>
      </c>
      <c r="B492">
        <v>1</v>
      </c>
      <c r="D492" t="str">
        <f t="shared" si="24"/>
        <v>0358</v>
      </c>
      <c r="E492" t="str">
        <f t="shared" si="25"/>
        <v/>
      </c>
      <c r="F492" t="str">
        <f t="shared" si="26"/>
        <v>CN</v>
      </c>
    </row>
    <row r="493" spans="1:6" x14ac:dyDescent="0.3">
      <c r="A493" t="s">
        <v>2150</v>
      </c>
      <c r="B493">
        <v>1</v>
      </c>
      <c r="D493" t="str">
        <f t="shared" si="24"/>
        <v>0359</v>
      </c>
      <c r="E493" t="str">
        <f t="shared" si="25"/>
        <v/>
      </c>
      <c r="F493" t="str">
        <f t="shared" si="26"/>
        <v>CR</v>
      </c>
    </row>
    <row r="494" spans="1:6" x14ac:dyDescent="0.3">
      <c r="A494" t="s">
        <v>2152</v>
      </c>
      <c r="B494">
        <v>1</v>
      </c>
      <c r="D494" t="str">
        <f t="shared" si="24"/>
        <v>0360</v>
      </c>
      <c r="E494" t="str">
        <f t="shared" si="25"/>
        <v/>
      </c>
      <c r="F494" t="str">
        <f t="shared" si="26"/>
        <v>CN</v>
      </c>
    </row>
    <row r="495" spans="1:6" x14ac:dyDescent="0.3">
      <c r="A495" t="s">
        <v>2155</v>
      </c>
      <c r="B495">
        <v>1</v>
      </c>
      <c r="D495" t="str">
        <f t="shared" si="24"/>
        <v>0361</v>
      </c>
      <c r="E495" t="str">
        <f t="shared" si="25"/>
        <v/>
      </c>
      <c r="F495" t="str">
        <f t="shared" si="26"/>
        <v>CN</v>
      </c>
    </row>
    <row r="496" spans="1:6" x14ac:dyDescent="0.3">
      <c r="A496" t="s">
        <v>2157</v>
      </c>
      <c r="B496">
        <v>1</v>
      </c>
      <c r="D496" t="str">
        <f t="shared" si="24"/>
        <v>0362</v>
      </c>
      <c r="E496" t="str">
        <f t="shared" si="25"/>
        <v/>
      </c>
      <c r="F496" t="str">
        <f t="shared" si="26"/>
        <v>CN</v>
      </c>
    </row>
    <row r="497" spans="1:6" x14ac:dyDescent="0.3">
      <c r="A497" t="s">
        <v>2159</v>
      </c>
      <c r="B497">
        <v>1</v>
      </c>
      <c r="D497" t="str">
        <f t="shared" si="24"/>
        <v>0363</v>
      </c>
      <c r="E497" t="str">
        <f t="shared" si="25"/>
        <v/>
      </c>
      <c r="F497" t="str">
        <f t="shared" si="26"/>
        <v>CN</v>
      </c>
    </row>
    <row r="498" spans="1:6" x14ac:dyDescent="0.3">
      <c r="A498" t="s">
        <v>2163</v>
      </c>
      <c r="B498">
        <v>1</v>
      </c>
      <c r="D498" t="str">
        <f t="shared" si="24"/>
        <v>0364</v>
      </c>
      <c r="E498" t="str">
        <f t="shared" si="25"/>
        <v/>
      </c>
      <c r="F498" t="str">
        <f t="shared" si="26"/>
        <v>CR</v>
      </c>
    </row>
    <row r="499" spans="1:6" x14ac:dyDescent="0.3">
      <c r="A499" t="s">
        <v>2164</v>
      </c>
      <c r="B499">
        <v>1</v>
      </c>
      <c r="D499" t="str">
        <f t="shared" si="24"/>
        <v>0365</v>
      </c>
      <c r="E499" t="str">
        <f t="shared" si="25"/>
        <v/>
      </c>
      <c r="F499" t="str">
        <f t="shared" si="26"/>
        <v>DR</v>
      </c>
    </row>
    <row r="500" spans="1:6" x14ac:dyDescent="0.3">
      <c r="A500" t="s">
        <v>2168</v>
      </c>
      <c r="B500">
        <v>1</v>
      </c>
      <c r="D500" t="str">
        <f t="shared" si="24"/>
        <v>0366</v>
      </c>
      <c r="E500" t="str">
        <f t="shared" si="25"/>
        <v/>
      </c>
      <c r="F500" t="str">
        <f t="shared" si="26"/>
        <v>DR</v>
      </c>
    </row>
    <row r="501" spans="1:6" x14ac:dyDescent="0.3">
      <c r="A501" t="s">
        <v>2175</v>
      </c>
      <c r="B501">
        <v>1</v>
      </c>
      <c r="D501" t="str">
        <f t="shared" si="24"/>
        <v>0367</v>
      </c>
      <c r="E501" t="str">
        <f t="shared" si="25"/>
        <v/>
      </c>
      <c r="F501" t="str">
        <f t="shared" si="26"/>
        <v>ES</v>
      </c>
    </row>
    <row r="502" spans="1:6" x14ac:dyDescent="0.3">
      <c r="A502" t="s">
        <v>2177</v>
      </c>
      <c r="B502">
        <v>1</v>
      </c>
      <c r="D502" t="str">
        <f t="shared" si="24"/>
        <v>0368</v>
      </c>
      <c r="E502" t="str">
        <f t="shared" si="25"/>
        <v/>
      </c>
      <c r="F502" t="str">
        <f t="shared" si="26"/>
        <v>CN</v>
      </c>
    </row>
    <row r="503" spans="1:6" x14ac:dyDescent="0.3">
      <c r="A503" t="s">
        <v>2179</v>
      </c>
      <c r="B503">
        <v>1</v>
      </c>
      <c r="D503" t="str">
        <f t="shared" si="24"/>
        <v>0369</v>
      </c>
      <c r="E503" t="str">
        <f t="shared" si="25"/>
        <v/>
      </c>
      <c r="F503" t="str">
        <f t="shared" si="26"/>
        <v>CN</v>
      </c>
    </row>
    <row r="504" spans="1:6" x14ac:dyDescent="0.3">
      <c r="A504" t="s">
        <v>2184</v>
      </c>
      <c r="B504">
        <v>1</v>
      </c>
      <c r="D504" t="str">
        <f t="shared" si="24"/>
        <v>0370</v>
      </c>
      <c r="E504" t="str">
        <f t="shared" si="25"/>
        <v/>
      </c>
      <c r="F504" t="str">
        <f t="shared" si="26"/>
        <v>CN</v>
      </c>
    </row>
    <row r="505" spans="1:6" x14ac:dyDescent="0.3">
      <c r="A505" t="s">
        <v>2186</v>
      </c>
      <c r="B505">
        <v>1</v>
      </c>
      <c r="D505" t="str">
        <f t="shared" si="24"/>
        <v>0371</v>
      </c>
      <c r="E505" t="str">
        <f t="shared" si="25"/>
        <v/>
      </c>
      <c r="F505" t="str">
        <f t="shared" si="26"/>
        <v>CN</v>
      </c>
    </row>
    <row r="506" spans="1:6" x14ac:dyDescent="0.3">
      <c r="A506" t="s">
        <v>2188</v>
      </c>
      <c r="B506">
        <v>1</v>
      </c>
      <c r="D506" t="str">
        <f t="shared" si="24"/>
        <v>0372</v>
      </c>
      <c r="E506" t="str">
        <f t="shared" si="25"/>
        <v/>
      </c>
      <c r="F506" t="str">
        <f t="shared" si="26"/>
        <v>CN</v>
      </c>
    </row>
    <row r="507" spans="1:6" x14ac:dyDescent="0.3">
      <c r="A507" t="s">
        <v>2190</v>
      </c>
      <c r="B507">
        <v>1</v>
      </c>
      <c r="D507" t="str">
        <f t="shared" si="24"/>
        <v>0373</v>
      </c>
      <c r="E507" t="str">
        <f t="shared" si="25"/>
        <v/>
      </c>
      <c r="F507" t="str">
        <f t="shared" si="26"/>
        <v>CN</v>
      </c>
    </row>
    <row r="508" spans="1:6" x14ac:dyDescent="0.3">
      <c r="A508" t="s">
        <v>2193</v>
      </c>
      <c r="B508">
        <v>1</v>
      </c>
      <c r="D508" t="str">
        <f t="shared" si="24"/>
        <v>0374</v>
      </c>
      <c r="E508" t="str">
        <f t="shared" si="25"/>
        <v/>
      </c>
      <c r="F508" t="str">
        <f t="shared" si="26"/>
        <v>CN</v>
      </c>
    </row>
    <row r="509" spans="1:6" x14ac:dyDescent="0.3">
      <c r="A509" t="s">
        <v>2196</v>
      </c>
      <c r="B509">
        <v>1</v>
      </c>
      <c r="D509" t="str">
        <f t="shared" si="24"/>
        <v>0375</v>
      </c>
      <c r="E509" t="str">
        <f t="shared" si="25"/>
        <v/>
      </c>
      <c r="F509" t="str">
        <f t="shared" si="26"/>
        <v>CN</v>
      </c>
    </row>
    <row r="510" spans="1:6" x14ac:dyDescent="0.3">
      <c r="A510" t="s">
        <v>2198</v>
      </c>
      <c r="B510">
        <v>1</v>
      </c>
      <c r="D510" t="str">
        <f t="shared" si="24"/>
        <v>0376</v>
      </c>
      <c r="E510" t="str">
        <f t="shared" si="25"/>
        <v/>
      </c>
      <c r="F510" t="str">
        <f t="shared" si="26"/>
        <v>CN</v>
      </c>
    </row>
    <row r="511" spans="1:6" x14ac:dyDescent="0.3">
      <c r="A511" t="s">
        <v>2202</v>
      </c>
      <c r="B511">
        <v>1</v>
      </c>
      <c r="D511" t="str">
        <f t="shared" si="24"/>
        <v>0377</v>
      </c>
      <c r="E511" t="str">
        <f t="shared" si="25"/>
        <v/>
      </c>
      <c r="F511" t="str">
        <f t="shared" si="26"/>
        <v>CR</v>
      </c>
    </row>
    <row r="512" spans="1:6" x14ac:dyDescent="0.3">
      <c r="A512" t="s">
        <v>2205</v>
      </c>
      <c r="B512">
        <v>1</v>
      </c>
      <c r="D512" t="str">
        <f t="shared" si="24"/>
        <v>0378</v>
      </c>
      <c r="E512" t="str">
        <f t="shared" si="25"/>
        <v/>
      </c>
      <c r="F512" t="str">
        <f t="shared" si="26"/>
        <v>CR</v>
      </c>
    </row>
    <row r="513" spans="1:6" x14ac:dyDescent="0.3">
      <c r="A513" t="s">
        <v>2207</v>
      </c>
      <c r="B513">
        <v>1</v>
      </c>
      <c r="D513" t="str">
        <f t="shared" si="24"/>
        <v>0379</v>
      </c>
      <c r="E513" t="str">
        <f t="shared" si="25"/>
        <v/>
      </c>
      <c r="F513" t="str">
        <f t="shared" si="26"/>
        <v>ES</v>
      </c>
    </row>
    <row r="514" spans="1:6" x14ac:dyDescent="0.3">
      <c r="A514" t="s">
        <v>2211</v>
      </c>
      <c r="B514">
        <v>1</v>
      </c>
      <c r="D514" t="str">
        <f t="shared" si="24"/>
        <v>0380</v>
      </c>
      <c r="E514" t="str">
        <f t="shared" si="25"/>
        <v/>
      </c>
      <c r="F514" t="str">
        <f t="shared" si="26"/>
        <v>CR</v>
      </c>
    </row>
    <row r="515" spans="1:6" x14ac:dyDescent="0.3">
      <c r="A515" t="s">
        <v>2216</v>
      </c>
      <c r="B515">
        <v>1</v>
      </c>
      <c r="D515" t="str">
        <f t="shared" ref="D515:D578" si="27">IF(LEFT(A515,2)="SP",MID(A515,4,4),IF(LEFT(A515,1)="X",MID(A515,3,4),""))</f>
        <v>0381</v>
      </c>
      <c r="E515" t="str">
        <f t="shared" ref="E515:E578" si="28">IF(OR(LEFT(A515,2)="SP",AND(LEFT(A515,1)="X",LEN(A515)&gt;9)),RIGHT(A515,1),"")</f>
        <v/>
      </c>
      <c r="F515" t="str">
        <f t="shared" ref="F515:F578" si="29">IF(LEFT(A515,1)="X",MID(A515,8,2),"")</f>
        <v>CS</v>
      </c>
    </row>
    <row r="516" spans="1:6" x14ac:dyDescent="0.3">
      <c r="A516" t="s">
        <v>2217</v>
      </c>
      <c r="B516">
        <v>1</v>
      </c>
      <c r="D516" t="str">
        <f t="shared" si="27"/>
        <v>0382</v>
      </c>
      <c r="E516" t="str">
        <f t="shared" si="28"/>
        <v/>
      </c>
      <c r="F516" t="str">
        <f t="shared" si="29"/>
        <v>CN</v>
      </c>
    </row>
    <row r="517" spans="1:6" x14ac:dyDescent="0.3">
      <c r="A517" t="s">
        <v>2219</v>
      </c>
      <c r="B517">
        <v>1</v>
      </c>
      <c r="D517" t="str">
        <f t="shared" si="27"/>
        <v>0383</v>
      </c>
      <c r="E517" t="str">
        <f t="shared" si="28"/>
        <v/>
      </c>
      <c r="F517" t="str">
        <f t="shared" si="29"/>
        <v>CN</v>
      </c>
    </row>
    <row r="518" spans="1:6" x14ac:dyDescent="0.3">
      <c r="A518" t="s">
        <v>2221</v>
      </c>
      <c r="B518">
        <v>1</v>
      </c>
      <c r="D518" t="str">
        <f t="shared" si="27"/>
        <v>0384</v>
      </c>
      <c r="E518" t="str">
        <f t="shared" si="28"/>
        <v/>
      </c>
      <c r="F518" t="str">
        <f t="shared" si="29"/>
        <v>CN</v>
      </c>
    </row>
    <row r="519" spans="1:6" x14ac:dyDescent="0.3">
      <c r="A519" t="s">
        <v>2224</v>
      </c>
      <c r="B519">
        <v>1</v>
      </c>
      <c r="D519" t="str">
        <f t="shared" si="27"/>
        <v>0385</v>
      </c>
      <c r="E519" t="str">
        <f t="shared" si="28"/>
        <v/>
      </c>
      <c r="F519" t="str">
        <f t="shared" si="29"/>
        <v>FR</v>
      </c>
    </row>
    <row r="520" spans="1:6" x14ac:dyDescent="0.3">
      <c r="A520" t="s">
        <v>2589</v>
      </c>
      <c r="B520">
        <v>1</v>
      </c>
      <c r="D520" t="str">
        <f t="shared" si="27"/>
        <v>0386</v>
      </c>
      <c r="E520" t="str">
        <f t="shared" si="28"/>
        <v/>
      </c>
      <c r="F520" t="str">
        <f t="shared" si="29"/>
        <v>MS</v>
      </c>
    </row>
    <row r="521" spans="1:6" x14ac:dyDescent="0.3">
      <c r="A521" t="s">
        <v>2227</v>
      </c>
      <c r="B521">
        <v>1</v>
      </c>
      <c r="D521" t="str">
        <f t="shared" si="27"/>
        <v>0387</v>
      </c>
      <c r="E521" t="str">
        <f t="shared" si="28"/>
        <v/>
      </c>
      <c r="F521" t="str">
        <f t="shared" si="29"/>
        <v>CN</v>
      </c>
    </row>
    <row r="522" spans="1:6" x14ac:dyDescent="0.3">
      <c r="A522" t="s">
        <v>2231</v>
      </c>
      <c r="B522">
        <v>1</v>
      </c>
      <c r="D522" t="str">
        <f t="shared" si="27"/>
        <v>0388</v>
      </c>
      <c r="E522" t="str">
        <f t="shared" si="28"/>
        <v/>
      </c>
      <c r="F522" t="str">
        <f t="shared" si="29"/>
        <v>CN</v>
      </c>
    </row>
    <row r="523" spans="1:6" x14ac:dyDescent="0.3">
      <c r="A523" t="s">
        <v>2233</v>
      </c>
      <c r="B523">
        <v>1</v>
      </c>
      <c r="D523" t="str">
        <f t="shared" si="27"/>
        <v>0389</v>
      </c>
      <c r="E523" t="str">
        <f t="shared" si="28"/>
        <v/>
      </c>
      <c r="F523" t="str">
        <f t="shared" si="29"/>
        <v>CN</v>
      </c>
    </row>
    <row r="524" spans="1:6" x14ac:dyDescent="0.3">
      <c r="A524" t="s">
        <v>2235</v>
      </c>
      <c r="B524">
        <v>1</v>
      </c>
      <c r="D524" t="str">
        <f t="shared" si="27"/>
        <v>0390</v>
      </c>
      <c r="E524" t="str">
        <f t="shared" si="28"/>
        <v/>
      </c>
      <c r="F524" t="str">
        <f t="shared" si="29"/>
        <v>CN</v>
      </c>
    </row>
    <row r="525" spans="1:6" x14ac:dyDescent="0.3">
      <c r="A525" t="s">
        <v>2237</v>
      </c>
      <c r="B525">
        <v>1</v>
      </c>
      <c r="D525" t="str">
        <f t="shared" si="27"/>
        <v>0391</v>
      </c>
      <c r="E525" t="str">
        <f t="shared" si="28"/>
        <v/>
      </c>
      <c r="F525" t="str">
        <f t="shared" si="29"/>
        <v>CN</v>
      </c>
    </row>
    <row r="526" spans="1:6" x14ac:dyDescent="0.3">
      <c r="A526" t="s">
        <v>2244</v>
      </c>
      <c r="B526">
        <v>1</v>
      </c>
      <c r="D526" t="str">
        <f t="shared" si="27"/>
        <v>0392</v>
      </c>
      <c r="E526" t="str">
        <f t="shared" si="28"/>
        <v/>
      </c>
      <c r="F526" t="str">
        <f t="shared" si="29"/>
        <v>CN</v>
      </c>
    </row>
    <row r="527" spans="1:6" x14ac:dyDescent="0.3">
      <c r="A527" t="s">
        <v>2249</v>
      </c>
      <c r="B527">
        <v>1</v>
      </c>
      <c r="D527" t="str">
        <f t="shared" si="27"/>
        <v>0393</v>
      </c>
      <c r="E527" t="str">
        <f t="shared" si="28"/>
        <v/>
      </c>
      <c r="F527" t="str">
        <f t="shared" si="29"/>
        <v>CN</v>
      </c>
    </row>
    <row r="528" spans="1:6" x14ac:dyDescent="0.3">
      <c r="A528" t="s">
        <v>2253</v>
      </c>
      <c r="B528">
        <v>1</v>
      </c>
      <c r="D528" t="str">
        <f t="shared" si="27"/>
        <v>0394</v>
      </c>
      <c r="E528" t="str">
        <f t="shared" si="28"/>
        <v/>
      </c>
      <c r="F528" t="str">
        <f t="shared" si="29"/>
        <v>CN</v>
      </c>
    </row>
    <row r="529" spans="1:6" x14ac:dyDescent="0.3">
      <c r="A529" t="s">
        <v>2255</v>
      </c>
      <c r="B529">
        <v>1</v>
      </c>
      <c r="D529" t="str">
        <f t="shared" si="27"/>
        <v>0395</v>
      </c>
      <c r="E529" t="str">
        <f t="shared" si="28"/>
        <v/>
      </c>
      <c r="F529" t="str">
        <f t="shared" si="29"/>
        <v>CN</v>
      </c>
    </row>
    <row r="530" spans="1:6" x14ac:dyDescent="0.3">
      <c r="A530" t="s">
        <v>2257</v>
      </c>
      <c r="B530">
        <v>1</v>
      </c>
      <c r="D530" t="str">
        <f t="shared" si="27"/>
        <v>0396</v>
      </c>
      <c r="E530" t="str">
        <f t="shared" si="28"/>
        <v/>
      </c>
      <c r="F530" t="str">
        <f t="shared" si="29"/>
        <v>CN</v>
      </c>
    </row>
    <row r="531" spans="1:6" x14ac:dyDescent="0.3">
      <c r="A531" t="s">
        <v>2259</v>
      </c>
      <c r="B531">
        <v>1</v>
      </c>
      <c r="D531" t="str">
        <f t="shared" si="27"/>
        <v>0397</v>
      </c>
      <c r="E531" t="str">
        <f t="shared" si="28"/>
        <v/>
      </c>
      <c r="F531" t="str">
        <f t="shared" si="29"/>
        <v>CN</v>
      </c>
    </row>
    <row r="532" spans="1:6" x14ac:dyDescent="0.3">
      <c r="A532" t="s">
        <v>2265</v>
      </c>
      <c r="B532">
        <v>1</v>
      </c>
      <c r="D532" t="str">
        <f t="shared" si="27"/>
        <v>0398</v>
      </c>
      <c r="E532" t="str">
        <f t="shared" si="28"/>
        <v/>
      </c>
      <c r="F532" t="str">
        <f t="shared" si="29"/>
        <v>CN</v>
      </c>
    </row>
    <row r="533" spans="1:6" x14ac:dyDescent="0.3">
      <c r="A533" t="s">
        <v>2270</v>
      </c>
      <c r="B533">
        <v>1</v>
      </c>
      <c r="D533" t="str">
        <f t="shared" si="27"/>
        <v>0399</v>
      </c>
      <c r="E533" t="str">
        <f t="shared" si="28"/>
        <v/>
      </c>
      <c r="F533" t="str">
        <f t="shared" si="29"/>
        <v>DN</v>
      </c>
    </row>
    <row r="534" spans="1:6" x14ac:dyDescent="0.3">
      <c r="A534" t="s">
        <v>2275</v>
      </c>
      <c r="B534">
        <v>1</v>
      </c>
      <c r="D534" t="str">
        <f t="shared" si="27"/>
        <v>0400</v>
      </c>
      <c r="E534" t="str">
        <f t="shared" si="28"/>
        <v/>
      </c>
      <c r="F534" t="str">
        <f t="shared" si="29"/>
        <v>ES</v>
      </c>
    </row>
    <row r="535" spans="1:6" x14ac:dyDescent="0.3">
      <c r="A535" t="s">
        <v>2279</v>
      </c>
      <c r="B535">
        <v>1</v>
      </c>
      <c r="D535" t="str">
        <f t="shared" si="27"/>
        <v>0401</v>
      </c>
      <c r="E535" t="str">
        <f t="shared" si="28"/>
        <v/>
      </c>
      <c r="F535" t="str">
        <f t="shared" si="29"/>
        <v>ES</v>
      </c>
    </row>
    <row r="536" spans="1:6" x14ac:dyDescent="0.3">
      <c r="A536" t="s">
        <v>2568</v>
      </c>
      <c r="B536">
        <v>1</v>
      </c>
      <c r="D536" t="str">
        <f t="shared" si="27"/>
        <v>0402</v>
      </c>
      <c r="E536" t="str">
        <f t="shared" si="28"/>
        <v/>
      </c>
      <c r="F536" t="str">
        <f t="shared" si="29"/>
        <v>MS</v>
      </c>
    </row>
    <row r="537" spans="1:6" x14ac:dyDescent="0.3">
      <c r="A537" t="s">
        <v>2590</v>
      </c>
      <c r="B537">
        <v>1</v>
      </c>
      <c r="D537" t="str">
        <f t="shared" si="27"/>
        <v>0403</v>
      </c>
      <c r="E537" t="str">
        <f t="shared" si="28"/>
        <v/>
      </c>
      <c r="F537" t="str">
        <f t="shared" si="29"/>
        <v>MS</v>
      </c>
    </row>
    <row r="538" spans="1:6" x14ac:dyDescent="0.3">
      <c r="A538" t="s">
        <v>2286</v>
      </c>
      <c r="B538">
        <v>1</v>
      </c>
      <c r="D538" t="str">
        <f t="shared" si="27"/>
        <v>0404</v>
      </c>
      <c r="E538" t="str">
        <f t="shared" si="28"/>
        <v/>
      </c>
      <c r="F538" t="str">
        <f t="shared" si="29"/>
        <v>CR</v>
      </c>
    </row>
    <row r="539" spans="1:6" x14ac:dyDescent="0.3">
      <c r="A539" t="s">
        <v>2288</v>
      </c>
      <c r="B539">
        <v>1</v>
      </c>
      <c r="D539" t="str">
        <f t="shared" si="27"/>
        <v>0405</v>
      </c>
      <c r="E539" t="str">
        <f t="shared" si="28"/>
        <v/>
      </c>
      <c r="F539" t="str">
        <f t="shared" si="29"/>
        <v>CR</v>
      </c>
    </row>
    <row r="540" spans="1:6" x14ac:dyDescent="0.3">
      <c r="A540" t="s">
        <v>2291</v>
      </c>
      <c r="B540">
        <v>1</v>
      </c>
      <c r="D540" t="str">
        <f t="shared" si="27"/>
        <v>0406</v>
      </c>
      <c r="E540" t="str">
        <f t="shared" si="28"/>
        <v/>
      </c>
      <c r="F540" t="str">
        <f t="shared" si="29"/>
        <v>CR</v>
      </c>
    </row>
    <row r="541" spans="1:6" x14ac:dyDescent="0.3">
      <c r="A541" t="s">
        <v>2292</v>
      </c>
      <c r="B541">
        <v>1</v>
      </c>
      <c r="D541" t="str">
        <f t="shared" si="27"/>
        <v>0407</v>
      </c>
      <c r="E541" t="str">
        <f t="shared" si="28"/>
        <v/>
      </c>
      <c r="F541" t="str">
        <f t="shared" si="29"/>
        <v>CN</v>
      </c>
    </row>
    <row r="542" spans="1:6" x14ac:dyDescent="0.3">
      <c r="A542" t="s">
        <v>2294</v>
      </c>
      <c r="B542">
        <v>1</v>
      </c>
      <c r="D542" t="str">
        <f t="shared" si="27"/>
        <v>0408</v>
      </c>
      <c r="E542" t="str">
        <f t="shared" si="28"/>
        <v/>
      </c>
      <c r="F542" t="str">
        <f t="shared" si="29"/>
        <v>CN</v>
      </c>
    </row>
    <row r="543" spans="1:6" x14ac:dyDescent="0.3">
      <c r="A543" t="s">
        <v>2296</v>
      </c>
      <c r="B543">
        <v>1</v>
      </c>
      <c r="D543" t="str">
        <f t="shared" si="27"/>
        <v>0409</v>
      </c>
      <c r="E543" t="str">
        <f t="shared" si="28"/>
        <v/>
      </c>
      <c r="F543" t="str">
        <f t="shared" si="29"/>
        <v>CN</v>
      </c>
    </row>
    <row r="544" spans="1:6" x14ac:dyDescent="0.3">
      <c r="A544" t="s">
        <v>2298</v>
      </c>
      <c r="B544">
        <v>1</v>
      </c>
      <c r="D544" t="str">
        <f t="shared" si="27"/>
        <v>0410</v>
      </c>
      <c r="E544" t="str">
        <f t="shared" si="28"/>
        <v/>
      </c>
      <c r="F544" t="str">
        <f t="shared" si="29"/>
        <v>CN</v>
      </c>
    </row>
    <row r="545" spans="1:6" x14ac:dyDescent="0.3">
      <c r="A545" t="s">
        <v>2300</v>
      </c>
      <c r="B545">
        <v>1</v>
      </c>
      <c r="D545" t="str">
        <f t="shared" si="27"/>
        <v>0411</v>
      </c>
      <c r="E545" t="str">
        <f t="shared" si="28"/>
        <v/>
      </c>
      <c r="F545" t="str">
        <f t="shared" si="29"/>
        <v>CN</v>
      </c>
    </row>
    <row r="546" spans="1:6" x14ac:dyDescent="0.3">
      <c r="A546" t="s">
        <v>2303</v>
      </c>
      <c r="B546">
        <v>1</v>
      </c>
      <c r="D546" t="str">
        <f t="shared" si="27"/>
        <v>0412</v>
      </c>
      <c r="E546" t="str">
        <f t="shared" si="28"/>
        <v/>
      </c>
      <c r="F546" t="str">
        <f t="shared" si="29"/>
        <v>CR</v>
      </c>
    </row>
    <row r="547" spans="1:6" x14ac:dyDescent="0.3">
      <c r="A547" t="s">
        <v>2306</v>
      </c>
      <c r="B547">
        <v>1</v>
      </c>
      <c r="D547" t="str">
        <f t="shared" si="27"/>
        <v>0413</v>
      </c>
      <c r="E547" t="str">
        <f t="shared" si="28"/>
        <v/>
      </c>
      <c r="F547" t="str">
        <f t="shared" si="29"/>
        <v>CS</v>
      </c>
    </row>
    <row r="548" spans="1:6" x14ac:dyDescent="0.3">
      <c r="A548" t="s">
        <v>2307</v>
      </c>
      <c r="B548">
        <v>1</v>
      </c>
      <c r="D548" t="str">
        <f t="shared" si="27"/>
        <v>0414</v>
      </c>
      <c r="E548" t="str">
        <f t="shared" si="28"/>
        <v/>
      </c>
      <c r="F548" t="str">
        <f t="shared" si="29"/>
        <v>CN</v>
      </c>
    </row>
    <row r="549" spans="1:6" x14ac:dyDescent="0.3">
      <c r="A549" t="s">
        <v>2309</v>
      </c>
      <c r="B549">
        <v>1</v>
      </c>
      <c r="D549" t="str">
        <f t="shared" si="27"/>
        <v>0415</v>
      </c>
      <c r="E549" t="str">
        <f t="shared" si="28"/>
        <v/>
      </c>
      <c r="F549" t="str">
        <f t="shared" si="29"/>
        <v>CN</v>
      </c>
    </row>
    <row r="550" spans="1:6" x14ac:dyDescent="0.3">
      <c r="A550" t="s">
        <v>2311</v>
      </c>
      <c r="B550">
        <v>1</v>
      </c>
      <c r="D550" t="str">
        <f t="shared" si="27"/>
        <v>0416</v>
      </c>
      <c r="E550" t="str">
        <f t="shared" si="28"/>
        <v/>
      </c>
      <c r="F550" t="str">
        <f t="shared" si="29"/>
        <v>CN</v>
      </c>
    </row>
    <row r="551" spans="1:6" x14ac:dyDescent="0.3">
      <c r="A551" t="s">
        <v>2313</v>
      </c>
      <c r="B551">
        <v>1</v>
      </c>
      <c r="D551" t="str">
        <f t="shared" si="27"/>
        <v>0417</v>
      </c>
      <c r="E551" t="str">
        <f t="shared" si="28"/>
        <v/>
      </c>
      <c r="F551" t="str">
        <f t="shared" si="29"/>
        <v>CN</v>
      </c>
    </row>
    <row r="552" spans="1:6" x14ac:dyDescent="0.3">
      <c r="A552" t="s">
        <v>2318</v>
      </c>
      <c r="B552">
        <v>1</v>
      </c>
      <c r="D552" t="str">
        <f t="shared" si="27"/>
        <v>0418</v>
      </c>
      <c r="E552" t="str">
        <f t="shared" si="28"/>
        <v/>
      </c>
      <c r="F552" t="str">
        <f t="shared" si="29"/>
        <v>CS</v>
      </c>
    </row>
    <row r="553" spans="1:6" x14ac:dyDescent="0.3">
      <c r="A553" t="s">
        <v>2320</v>
      </c>
      <c r="B553">
        <v>1</v>
      </c>
      <c r="D553" t="str">
        <f t="shared" si="27"/>
        <v>0419</v>
      </c>
      <c r="E553" t="str">
        <f t="shared" si="28"/>
        <v/>
      </c>
      <c r="F553" t="str">
        <f t="shared" si="29"/>
        <v>CN</v>
      </c>
    </row>
    <row r="554" spans="1:6" x14ac:dyDescent="0.3">
      <c r="A554" t="s">
        <v>2324</v>
      </c>
      <c r="B554">
        <v>1</v>
      </c>
      <c r="D554" t="str">
        <f t="shared" si="27"/>
        <v>0420</v>
      </c>
      <c r="E554" t="str">
        <f t="shared" si="28"/>
        <v/>
      </c>
      <c r="F554" t="str">
        <f t="shared" si="29"/>
        <v>CR</v>
      </c>
    </row>
    <row r="555" spans="1:6" x14ac:dyDescent="0.3">
      <c r="A555" t="s">
        <v>2328</v>
      </c>
      <c r="B555">
        <v>1</v>
      </c>
      <c r="D555" t="str">
        <f t="shared" si="27"/>
        <v>0421</v>
      </c>
      <c r="E555" t="str">
        <f t="shared" si="28"/>
        <v/>
      </c>
      <c r="F555" t="str">
        <f t="shared" si="29"/>
        <v>CR</v>
      </c>
    </row>
    <row r="556" spans="1:6" x14ac:dyDescent="0.3">
      <c r="A556" t="s">
        <v>2331</v>
      </c>
      <c r="B556">
        <v>1</v>
      </c>
      <c r="D556" t="str">
        <f t="shared" si="27"/>
        <v>0422</v>
      </c>
      <c r="E556" t="str">
        <f t="shared" si="28"/>
        <v/>
      </c>
      <c r="F556" t="str">
        <f t="shared" si="29"/>
        <v>CN</v>
      </c>
    </row>
    <row r="557" spans="1:6" x14ac:dyDescent="0.3">
      <c r="A557" t="s">
        <v>2333</v>
      </c>
      <c r="B557">
        <v>1</v>
      </c>
      <c r="D557" t="str">
        <f t="shared" si="27"/>
        <v>0423</v>
      </c>
      <c r="E557" t="str">
        <f t="shared" si="28"/>
        <v/>
      </c>
      <c r="F557" t="str">
        <f t="shared" si="29"/>
        <v>CN</v>
      </c>
    </row>
    <row r="558" spans="1:6" x14ac:dyDescent="0.3">
      <c r="A558" t="s">
        <v>2335</v>
      </c>
      <c r="B558">
        <v>1</v>
      </c>
      <c r="D558" t="str">
        <f t="shared" si="27"/>
        <v>0424</v>
      </c>
      <c r="E558" t="str">
        <f t="shared" si="28"/>
        <v/>
      </c>
      <c r="F558" t="str">
        <f t="shared" si="29"/>
        <v>CN</v>
      </c>
    </row>
    <row r="559" spans="1:6" x14ac:dyDescent="0.3">
      <c r="A559" t="s">
        <v>2339</v>
      </c>
      <c r="B559">
        <v>1</v>
      </c>
      <c r="D559" t="str">
        <f t="shared" si="27"/>
        <v>0425</v>
      </c>
      <c r="E559" t="str">
        <f t="shared" si="28"/>
        <v/>
      </c>
      <c r="F559" t="str">
        <f t="shared" si="29"/>
        <v>CR</v>
      </c>
    </row>
    <row r="560" spans="1:6" x14ac:dyDescent="0.3">
      <c r="A560" t="s">
        <v>2341</v>
      </c>
      <c r="B560">
        <v>1</v>
      </c>
      <c r="D560" t="str">
        <f t="shared" si="27"/>
        <v>0426</v>
      </c>
      <c r="E560" t="str">
        <f t="shared" si="28"/>
        <v/>
      </c>
      <c r="F560" t="str">
        <f t="shared" si="29"/>
        <v>CN</v>
      </c>
    </row>
    <row r="561" spans="1:6" x14ac:dyDescent="0.3">
      <c r="A561" t="s">
        <v>2344</v>
      </c>
      <c r="B561">
        <v>1</v>
      </c>
      <c r="D561" t="str">
        <f t="shared" si="27"/>
        <v>0427</v>
      </c>
      <c r="E561" t="str">
        <f t="shared" si="28"/>
        <v/>
      </c>
      <c r="F561" t="str">
        <f t="shared" si="29"/>
        <v>CN</v>
      </c>
    </row>
    <row r="562" spans="1:6" x14ac:dyDescent="0.3">
      <c r="A562" t="s">
        <v>2346</v>
      </c>
      <c r="B562">
        <v>1</v>
      </c>
      <c r="D562" t="str">
        <f t="shared" si="27"/>
        <v>0428</v>
      </c>
      <c r="E562" t="str">
        <f t="shared" si="28"/>
        <v/>
      </c>
      <c r="F562" t="str">
        <f t="shared" si="29"/>
        <v>CN</v>
      </c>
    </row>
    <row r="563" spans="1:6" x14ac:dyDescent="0.3">
      <c r="A563" t="s">
        <v>2348</v>
      </c>
      <c r="B563">
        <v>1</v>
      </c>
      <c r="D563" t="str">
        <f t="shared" si="27"/>
        <v>0429</v>
      </c>
      <c r="E563" t="str">
        <f t="shared" si="28"/>
        <v/>
      </c>
      <c r="F563" t="str">
        <f t="shared" si="29"/>
        <v>CN</v>
      </c>
    </row>
    <row r="564" spans="1:6" x14ac:dyDescent="0.3">
      <c r="A564" t="s">
        <v>2350</v>
      </c>
      <c r="B564">
        <v>1</v>
      </c>
      <c r="D564" t="str">
        <f t="shared" si="27"/>
        <v>0430</v>
      </c>
      <c r="E564" t="str">
        <f t="shared" si="28"/>
        <v/>
      </c>
      <c r="F564" t="str">
        <f t="shared" si="29"/>
        <v>CN</v>
      </c>
    </row>
    <row r="565" spans="1:6" x14ac:dyDescent="0.3">
      <c r="A565" t="s">
        <v>2354</v>
      </c>
      <c r="B565">
        <v>1</v>
      </c>
      <c r="D565" t="str">
        <f t="shared" si="27"/>
        <v>0431</v>
      </c>
      <c r="E565" t="str">
        <f t="shared" si="28"/>
        <v/>
      </c>
      <c r="F565" t="str">
        <f t="shared" si="29"/>
        <v>DN</v>
      </c>
    </row>
    <row r="566" spans="1:6" x14ac:dyDescent="0.3">
      <c r="A566" t="s">
        <v>2357</v>
      </c>
      <c r="B566">
        <v>1</v>
      </c>
      <c r="D566" t="str">
        <f t="shared" si="27"/>
        <v>0432</v>
      </c>
      <c r="E566" t="str">
        <f t="shared" si="28"/>
        <v/>
      </c>
      <c r="F566" t="str">
        <f t="shared" si="29"/>
        <v>CS</v>
      </c>
    </row>
    <row r="567" spans="1:6" x14ac:dyDescent="0.3">
      <c r="A567" t="s">
        <v>2360</v>
      </c>
      <c r="B567">
        <v>1</v>
      </c>
      <c r="D567" t="str">
        <f t="shared" si="27"/>
        <v>0433</v>
      </c>
      <c r="E567" t="str">
        <f t="shared" si="28"/>
        <v/>
      </c>
      <c r="F567" t="str">
        <f t="shared" si="29"/>
        <v>CS</v>
      </c>
    </row>
    <row r="568" spans="1:6" x14ac:dyDescent="0.3">
      <c r="A568" t="s">
        <v>2361</v>
      </c>
      <c r="B568">
        <v>1</v>
      </c>
      <c r="D568" t="str">
        <f t="shared" si="27"/>
        <v>0434</v>
      </c>
      <c r="E568" t="str">
        <f t="shared" si="28"/>
        <v/>
      </c>
      <c r="F568" t="str">
        <f t="shared" si="29"/>
        <v>CN</v>
      </c>
    </row>
    <row r="569" spans="1:6" x14ac:dyDescent="0.3">
      <c r="A569" t="s">
        <v>2366</v>
      </c>
      <c r="B569">
        <v>1</v>
      </c>
      <c r="D569" t="str">
        <f t="shared" si="27"/>
        <v>0435</v>
      </c>
      <c r="E569" t="str">
        <f t="shared" si="28"/>
        <v/>
      </c>
      <c r="F569" t="str">
        <f t="shared" si="29"/>
        <v>CN</v>
      </c>
    </row>
    <row r="570" spans="1:6" x14ac:dyDescent="0.3">
      <c r="A570" t="s">
        <v>2371</v>
      </c>
      <c r="B570">
        <v>1</v>
      </c>
      <c r="D570" t="str">
        <f t="shared" si="27"/>
        <v>0436</v>
      </c>
      <c r="E570" t="str">
        <f t="shared" si="28"/>
        <v/>
      </c>
      <c r="F570" t="str">
        <f t="shared" si="29"/>
        <v>CN</v>
      </c>
    </row>
    <row r="571" spans="1:6" x14ac:dyDescent="0.3">
      <c r="A571" t="s">
        <v>2373</v>
      </c>
      <c r="B571">
        <v>1</v>
      </c>
      <c r="D571" t="str">
        <f t="shared" si="27"/>
        <v>0437</v>
      </c>
      <c r="E571" t="str">
        <f t="shared" si="28"/>
        <v/>
      </c>
      <c r="F571" t="str">
        <f t="shared" si="29"/>
        <v>DN</v>
      </c>
    </row>
    <row r="572" spans="1:6" x14ac:dyDescent="0.3">
      <c r="A572" t="s">
        <v>2379</v>
      </c>
      <c r="B572">
        <v>1</v>
      </c>
      <c r="D572" t="str">
        <f t="shared" si="27"/>
        <v>0438</v>
      </c>
      <c r="E572" t="str">
        <f t="shared" si="28"/>
        <v/>
      </c>
      <c r="F572" t="str">
        <f t="shared" si="29"/>
        <v>DR</v>
      </c>
    </row>
    <row r="573" spans="1:6" x14ac:dyDescent="0.3">
      <c r="A573" t="s">
        <v>2383</v>
      </c>
      <c r="B573">
        <v>1</v>
      </c>
      <c r="D573" t="str">
        <f t="shared" si="27"/>
        <v>0439</v>
      </c>
      <c r="E573" t="str">
        <f t="shared" si="28"/>
        <v/>
      </c>
      <c r="F573" t="str">
        <f t="shared" si="29"/>
        <v>ES</v>
      </c>
    </row>
    <row r="574" spans="1:6" x14ac:dyDescent="0.3">
      <c r="A574" t="s">
        <v>2388</v>
      </c>
      <c r="B574">
        <v>1</v>
      </c>
      <c r="D574" t="str">
        <f t="shared" si="27"/>
        <v>0440</v>
      </c>
      <c r="E574" t="str">
        <f t="shared" si="28"/>
        <v/>
      </c>
      <c r="F574" t="str">
        <f t="shared" si="29"/>
        <v>CN</v>
      </c>
    </row>
    <row r="575" spans="1:6" x14ac:dyDescent="0.3">
      <c r="A575" t="s">
        <v>2665</v>
      </c>
      <c r="B575">
        <v>1</v>
      </c>
      <c r="D575" t="str">
        <f t="shared" si="27"/>
        <v>0441</v>
      </c>
      <c r="E575" t="str">
        <f t="shared" si="28"/>
        <v/>
      </c>
      <c r="F575" t="str">
        <f t="shared" si="29"/>
        <v>MS</v>
      </c>
    </row>
    <row r="576" spans="1:6" x14ac:dyDescent="0.3">
      <c r="A576" t="s">
        <v>2391</v>
      </c>
      <c r="B576">
        <v>1</v>
      </c>
      <c r="D576" t="str">
        <f t="shared" si="27"/>
        <v>0442</v>
      </c>
      <c r="E576" t="str">
        <f t="shared" si="28"/>
        <v/>
      </c>
      <c r="F576" t="str">
        <f t="shared" si="29"/>
        <v>CN</v>
      </c>
    </row>
    <row r="577" spans="1:6" x14ac:dyDescent="0.3">
      <c r="A577" t="s">
        <v>2394</v>
      </c>
      <c r="B577">
        <v>1</v>
      </c>
      <c r="D577" t="str">
        <f t="shared" si="27"/>
        <v>0443</v>
      </c>
      <c r="E577" t="str">
        <f t="shared" si="28"/>
        <v/>
      </c>
      <c r="F577" t="str">
        <f t="shared" si="29"/>
        <v>CN</v>
      </c>
    </row>
    <row r="578" spans="1:6" x14ac:dyDescent="0.3">
      <c r="A578" t="s">
        <v>2397</v>
      </c>
      <c r="B578">
        <v>1</v>
      </c>
      <c r="D578" t="str">
        <f t="shared" si="27"/>
        <v>0444</v>
      </c>
      <c r="E578" t="str">
        <f t="shared" si="28"/>
        <v/>
      </c>
      <c r="F578" t="str">
        <f t="shared" si="29"/>
        <v>CR</v>
      </c>
    </row>
    <row r="579" spans="1:6" x14ac:dyDescent="0.3">
      <c r="A579" t="s">
        <v>2399</v>
      </c>
      <c r="B579">
        <v>1</v>
      </c>
      <c r="D579" t="str">
        <f t="shared" ref="D579:D633" si="30">IF(LEFT(A579,2)="SP",MID(A579,4,4),IF(LEFT(A579,1)="X",MID(A579,3,4),""))</f>
        <v>0445</v>
      </c>
      <c r="E579" t="str">
        <f t="shared" ref="E579:E633" si="31">IF(OR(LEFT(A579,2)="SP",AND(LEFT(A579,1)="X",LEN(A579)&gt;9)),RIGHT(A579,1),"")</f>
        <v/>
      </c>
      <c r="F579" t="str">
        <f t="shared" ref="F579:F633" si="32">IF(LEFT(A579,1)="X",MID(A579,8,2),"")</f>
        <v>CS</v>
      </c>
    </row>
    <row r="580" spans="1:6" x14ac:dyDescent="0.3">
      <c r="A580" t="s">
        <v>2401</v>
      </c>
      <c r="B580">
        <v>1</v>
      </c>
      <c r="D580" t="str">
        <f t="shared" si="30"/>
        <v>0446</v>
      </c>
      <c r="E580" t="str">
        <f t="shared" si="31"/>
        <v/>
      </c>
      <c r="F580" t="str">
        <f t="shared" si="32"/>
        <v>CN</v>
      </c>
    </row>
    <row r="581" spans="1:6" x14ac:dyDescent="0.3">
      <c r="A581" t="s">
        <v>2403</v>
      </c>
      <c r="B581">
        <v>1</v>
      </c>
      <c r="D581" t="str">
        <f t="shared" si="30"/>
        <v>0447</v>
      </c>
      <c r="E581" t="str">
        <f t="shared" si="31"/>
        <v/>
      </c>
      <c r="F581" t="str">
        <f t="shared" si="32"/>
        <v>CN</v>
      </c>
    </row>
    <row r="582" spans="1:6" x14ac:dyDescent="0.3">
      <c r="A582" t="s">
        <v>2405</v>
      </c>
      <c r="B582">
        <v>1</v>
      </c>
      <c r="D582" t="str">
        <f t="shared" si="30"/>
        <v>0448</v>
      </c>
      <c r="E582" t="str">
        <f t="shared" si="31"/>
        <v/>
      </c>
      <c r="F582" t="str">
        <f t="shared" si="32"/>
        <v>CS</v>
      </c>
    </row>
    <row r="583" spans="1:6" x14ac:dyDescent="0.3">
      <c r="A583" t="s">
        <v>2406</v>
      </c>
      <c r="B583">
        <v>1</v>
      </c>
      <c r="D583" t="str">
        <f t="shared" si="30"/>
        <v>0449</v>
      </c>
      <c r="E583" t="str">
        <f t="shared" si="31"/>
        <v/>
      </c>
      <c r="F583" t="str">
        <f t="shared" si="32"/>
        <v>CN</v>
      </c>
    </row>
    <row r="584" spans="1:6" x14ac:dyDescent="0.3">
      <c r="A584" t="s">
        <v>2645</v>
      </c>
      <c r="B584">
        <v>1</v>
      </c>
      <c r="D584" t="str">
        <f t="shared" si="30"/>
        <v>0450</v>
      </c>
      <c r="E584" t="str">
        <f t="shared" si="31"/>
        <v/>
      </c>
      <c r="F584" t="str">
        <f t="shared" si="32"/>
        <v>MS</v>
      </c>
    </row>
    <row r="585" spans="1:6" x14ac:dyDescent="0.3">
      <c r="A585" t="s">
        <v>2411</v>
      </c>
      <c r="B585">
        <v>1</v>
      </c>
      <c r="D585" t="str">
        <f t="shared" si="30"/>
        <v>0451</v>
      </c>
      <c r="E585" t="str">
        <f t="shared" si="31"/>
        <v/>
      </c>
      <c r="F585" t="str">
        <f t="shared" si="32"/>
        <v>CN</v>
      </c>
    </row>
    <row r="586" spans="1:6" x14ac:dyDescent="0.3">
      <c r="A586" t="s">
        <v>2414</v>
      </c>
      <c r="B586">
        <v>1</v>
      </c>
      <c r="D586" t="str">
        <f t="shared" si="30"/>
        <v>0452</v>
      </c>
      <c r="E586" t="str">
        <f t="shared" si="31"/>
        <v/>
      </c>
      <c r="F586" t="str">
        <f t="shared" si="32"/>
        <v>CS</v>
      </c>
    </row>
    <row r="587" spans="1:6" x14ac:dyDescent="0.3">
      <c r="A587" t="s">
        <v>2416</v>
      </c>
      <c r="B587">
        <v>1</v>
      </c>
      <c r="D587" t="str">
        <f t="shared" si="30"/>
        <v>0453</v>
      </c>
      <c r="E587" t="str">
        <f t="shared" si="31"/>
        <v/>
      </c>
      <c r="F587" t="str">
        <f t="shared" si="32"/>
        <v>CN</v>
      </c>
    </row>
    <row r="588" spans="1:6" x14ac:dyDescent="0.3">
      <c r="A588" t="s">
        <v>2418</v>
      </c>
      <c r="B588">
        <v>1</v>
      </c>
      <c r="D588" t="str">
        <f t="shared" si="30"/>
        <v>0454</v>
      </c>
      <c r="E588" t="str">
        <f t="shared" si="31"/>
        <v/>
      </c>
      <c r="F588" t="str">
        <f t="shared" si="32"/>
        <v>CN</v>
      </c>
    </row>
    <row r="589" spans="1:6" x14ac:dyDescent="0.3">
      <c r="A589" t="s">
        <v>2420</v>
      </c>
      <c r="B589">
        <v>1</v>
      </c>
      <c r="D589" t="str">
        <f t="shared" si="30"/>
        <v>0455</v>
      </c>
      <c r="E589" t="str">
        <f t="shared" si="31"/>
        <v/>
      </c>
      <c r="F589" t="str">
        <f t="shared" si="32"/>
        <v>CN</v>
      </c>
    </row>
    <row r="590" spans="1:6" x14ac:dyDescent="0.3">
      <c r="A590" t="s">
        <v>2421</v>
      </c>
      <c r="B590">
        <v>1</v>
      </c>
      <c r="D590" t="str">
        <f t="shared" si="30"/>
        <v>0456</v>
      </c>
      <c r="E590" t="str">
        <f t="shared" si="31"/>
        <v/>
      </c>
      <c r="F590" t="str">
        <f t="shared" si="32"/>
        <v>CN</v>
      </c>
    </row>
    <row r="591" spans="1:6" x14ac:dyDescent="0.3">
      <c r="A591" t="s">
        <v>2424</v>
      </c>
      <c r="B591">
        <v>1</v>
      </c>
      <c r="D591" t="str">
        <f t="shared" si="30"/>
        <v>0457</v>
      </c>
      <c r="E591" t="str">
        <f t="shared" si="31"/>
        <v/>
      </c>
      <c r="F591" t="str">
        <f t="shared" si="32"/>
        <v>CN</v>
      </c>
    </row>
    <row r="592" spans="1:6" x14ac:dyDescent="0.3">
      <c r="A592" t="s">
        <v>2426</v>
      </c>
      <c r="B592">
        <v>1</v>
      </c>
      <c r="D592" t="str">
        <f t="shared" si="30"/>
        <v>0458</v>
      </c>
      <c r="E592" t="str">
        <f t="shared" si="31"/>
        <v/>
      </c>
      <c r="F592" t="str">
        <f t="shared" si="32"/>
        <v>CN</v>
      </c>
    </row>
    <row r="593" spans="1:6" x14ac:dyDescent="0.3">
      <c r="A593" t="s">
        <v>2432</v>
      </c>
      <c r="B593">
        <v>1</v>
      </c>
      <c r="D593" t="str">
        <f t="shared" si="30"/>
        <v>0459</v>
      </c>
      <c r="E593" t="str">
        <f t="shared" si="31"/>
        <v/>
      </c>
      <c r="F593" t="str">
        <f t="shared" si="32"/>
        <v>CN</v>
      </c>
    </row>
    <row r="594" spans="1:6" x14ac:dyDescent="0.3">
      <c r="A594" t="s">
        <v>2434</v>
      </c>
      <c r="B594">
        <v>1</v>
      </c>
      <c r="D594" t="str">
        <f t="shared" si="30"/>
        <v>0460</v>
      </c>
      <c r="E594" t="str">
        <f t="shared" si="31"/>
        <v/>
      </c>
      <c r="F594" t="str">
        <f t="shared" si="32"/>
        <v>CN</v>
      </c>
    </row>
    <row r="595" spans="1:6" x14ac:dyDescent="0.3">
      <c r="A595" t="s">
        <v>2437</v>
      </c>
      <c r="B595">
        <v>1</v>
      </c>
      <c r="D595" t="str">
        <f t="shared" si="30"/>
        <v>0461</v>
      </c>
      <c r="E595" t="str">
        <f t="shared" si="31"/>
        <v/>
      </c>
      <c r="F595" t="str">
        <f t="shared" si="32"/>
        <v>CN</v>
      </c>
    </row>
    <row r="596" spans="1:6" x14ac:dyDescent="0.3">
      <c r="A596" t="s">
        <v>2443</v>
      </c>
      <c r="B596">
        <v>1</v>
      </c>
      <c r="D596" t="str">
        <f t="shared" si="30"/>
        <v>0462</v>
      </c>
      <c r="E596" t="str">
        <f t="shared" si="31"/>
        <v/>
      </c>
      <c r="F596" t="str">
        <f t="shared" si="32"/>
        <v>CN</v>
      </c>
    </row>
    <row r="597" spans="1:6" x14ac:dyDescent="0.3">
      <c r="A597" t="s">
        <v>2445</v>
      </c>
      <c r="B597">
        <v>1</v>
      </c>
      <c r="D597" t="str">
        <f t="shared" si="30"/>
        <v>0463</v>
      </c>
      <c r="E597" t="str">
        <f t="shared" si="31"/>
        <v/>
      </c>
      <c r="F597" t="str">
        <f t="shared" si="32"/>
        <v>CN</v>
      </c>
    </row>
    <row r="598" spans="1:6" x14ac:dyDescent="0.3">
      <c r="A598" t="s">
        <v>2447</v>
      </c>
      <c r="B598">
        <v>1</v>
      </c>
      <c r="D598" t="str">
        <f t="shared" si="30"/>
        <v>0464</v>
      </c>
      <c r="E598" t="str">
        <f t="shared" si="31"/>
        <v/>
      </c>
      <c r="F598" t="str">
        <f t="shared" si="32"/>
        <v>CN</v>
      </c>
    </row>
    <row r="599" spans="1:6" x14ac:dyDescent="0.3">
      <c r="A599" t="s">
        <v>2449</v>
      </c>
      <c r="B599">
        <v>1</v>
      </c>
      <c r="D599" t="str">
        <f t="shared" si="30"/>
        <v>0465</v>
      </c>
      <c r="E599" t="str">
        <f t="shared" si="31"/>
        <v/>
      </c>
      <c r="F599" t="str">
        <f t="shared" si="32"/>
        <v>CN</v>
      </c>
    </row>
    <row r="600" spans="1:6" x14ac:dyDescent="0.3">
      <c r="A600" t="s">
        <v>2451</v>
      </c>
      <c r="B600">
        <v>1</v>
      </c>
      <c r="D600" t="str">
        <f t="shared" si="30"/>
        <v>0466</v>
      </c>
      <c r="E600" t="str">
        <f t="shared" si="31"/>
        <v/>
      </c>
      <c r="F600" t="str">
        <f t="shared" si="32"/>
        <v>CN</v>
      </c>
    </row>
    <row r="601" spans="1:6" x14ac:dyDescent="0.3">
      <c r="A601" t="s">
        <v>2454</v>
      </c>
      <c r="B601">
        <v>1</v>
      </c>
      <c r="D601" t="str">
        <f t="shared" si="30"/>
        <v>0467</v>
      </c>
      <c r="E601" t="str">
        <f t="shared" si="31"/>
        <v/>
      </c>
      <c r="F601" t="str">
        <f t="shared" si="32"/>
        <v>CN</v>
      </c>
    </row>
    <row r="602" spans="1:6" x14ac:dyDescent="0.3">
      <c r="A602" t="s">
        <v>2456</v>
      </c>
      <c r="B602">
        <v>1</v>
      </c>
      <c r="D602" t="str">
        <f t="shared" si="30"/>
        <v>0468</v>
      </c>
      <c r="E602" t="str">
        <f t="shared" si="31"/>
        <v/>
      </c>
      <c r="F602" t="str">
        <f t="shared" si="32"/>
        <v>CN</v>
      </c>
    </row>
    <row r="603" spans="1:6" x14ac:dyDescent="0.3">
      <c r="A603" t="s">
        <v>2458</v>
      </c>
      <c r="B603">
        <v>1</v>
      </c>
      <c r="D603" t="str">
        <f t="shared" si="30"/>
        <v>0469</v>
      </c>
      <c r="E603" t="str">
        <f t="shared" si="31"/>
        <v/>
      </c>
      <c r="F603" t="str">
        <f t="shared" si="32"/>
        <v>CN</v>
      </c>
    </row>
    <row r="604" spans="1:6" x14ac:dyDescent="0.3">
      <c r="A604" t="s">
        <v>2460</v>
      </c>
      <c r="B604">
        <v>1</v>
      </c>
      <c r="D604" t="str">
        <f t="shared" si="30"/>
        <v>0470</v>
      </c>
      <c r="E604" t="str">
        <f t="shared" si="31"/>
        <v/>
      </c>
      <c r="F604" t="str">
        <f t="shared" si="32"/>
        <v>CN</v>
      </c>
    </row>
    <row r="605" spans="1:6" x14ac:dyDescent="0.3">
      <c r="A605" t="s">
        <v>2462</v>
      </c>
      <c r="B605">
        <v>1</v>
      </c>
      <c r="D605" t="str">
        <f t="shared" si="30"/>
        <v>0471</v>
      </c>
      <c r="E605" t="str">
        <f t="shared" si="31"/>
        <v/>
      </c>
      <c r="F605" t="str">
        <f t="shared" si="32"/>
        <v>CN</v>
      </c>
    </row>
    <row r="606" spans="1:6" x14ac:dyDescent="0.3">
      <c r="A606" t="s">
        <v>2464</v>
      </c>
      <c r="B606">
        <v>1</v>
      </c>
      <c r="D606" t="str">
        <f t="shared" si="30"/>
        <v>0472</v>
      </c>
      <c r="E606" t="str">
        <f t="shared" si="31"/>
        <v/>
      </c>
      <c r="F606" t="str">
        <f t="shared" si="32"/>
        <v>CN</v>
      </c>
    </row>
    <row r="607" spans="1:6" x14ac:dyDescent="0.3">
      <c r="A607" t="s">
        <v>2466</v>
      </c>
      <c r="B607">
        <v>1</v>
      </c>
      <c r="D607" t="str">
        <f t="shared" si="30"/>
        <v>0473</v>
      </c>
      <c r="E607" t="str">
        <f t="shared" si="31"/>
        <v/>
      </c>
      <c r="F607" t="str">
        <f t="shared" si="32"/>
        <v>CN</v>
      </c>
    </row>
    <row r="608" spans="1:6" x14ac:dyDescent="0.3">
      <c r="A608" t="s">
        <v>2472</v>
      </c>
      <c r="B608">
        <v>1</v>
      </c>
      <c r="D608" t="str">
        <f t="shared" si="30"/>
        <v>0474</v>
      </c>
      <c r="E608" t="str">
        <f t="shared" si="31"/>
        <v/>
      </c>
      <c r="F608" t="str">
        <f t="shared" si="32"/>
        <v>DN</v>
      </c>
    </row>
    <row r="609" spans="1:6" x14ac:dyDescent="0.3">
      <c r="A609" t="s">
        <v>2473</v>
      </c>
      <c r="B609">
        <v>1</v>
      </c>
      <c r="D609" t="str">
        <f t="shared" si="30"/>
        <v>0475</v>
      </c>
      <c r="E609" t="str">
        <f t="shared" si="31"/>
        <v/>
      </c>
      <c r="F609" t="str">
        <f t="shared" si="32"/>
        <v>CN</v>
      </c>
    </row>
    <row r="610" spans="1:6" x14ac:dyDescent="0.3">
      <c r="A610" t="s">
        <v>2475</v>
      </c>
      <c r="B610">
        <v>1</v>
      </c>
      <c r="D610" t="str">
        <f t="shared" si="30"/>
        <v>0476</v>
      </c>
      <c r="E610" t="str">
        <f t="shared" si="31"/>
        <v/>
      </c>
      <c r="F610" t="str">
        <f t="shared" si="32"/>
        <v>CN</v>
      </c>
    </row>
    <row r="611" spans="1:6" x14ac:dyDescent="0.3">
      <c r="A611" t="s">
        <v>2477</v>
      </c>
      <c r="B611">
        <v>1</v>
      </c>
      <c r="D611" t="str">
        <f t="shared" si="30"/>
        <v>0477</v>
      </c>
      <c r="E611" t="str">
        <f t="shared" si="31"/>
        <v/>
      </c>
      <c r="F611" t="str">
        <f t="shared" si="32"/>
        <v>CN</v>
      </c>
    </row>
    <row r="612" spans="1:6" x14ac:dyDescent="0.3">
      <c r="A612" t="s">
        <v>2479</v>
      </c>
      <c r="B612">
        <v>1</v>
      </c>
      <c r="D612" t="str">
        <f t="shared" si="30"/>
        <v>0478</v>
      </c>
      <c r="E612" t="str">
        <f t="shared" si="31"/>
        <v/>
      </c>
      <c r="F612" t="str">
        <f t="shared" si="32"/>
        <v>CN</v>
      </c>
    </row>
    <row r="613" spans="1:6" x14ac:dyDescent="0.3">
      <c r="A613" t="s">
        <v>2481</v>
      </c>
      <c r="B613">
        <v>1</v>
      </c>
      <c r="D613" t="str">
        <f t="shared" si="30"/>
        <v>0479</v>
      </c>
      <c r="E613" t="str">
        <f t="shared" si="31"/>
        <v/>
      </c>
      <c r="F613" t="str">
        <f t="shared" si="32"/>
        <v>CN</v>
      </c>
    </row>
    <row r="614" spans="1:6" x14ac:dyDescent="0.3">
      <c r="A614" t="s">
        <v>2485</v>
      </c>
      <c r="B614">
        <v>1</v>
      </c>
      <c r="D614" t="str">
        <f t="shared" si="30"/>
        <v>0480</v>
      </c>
      <c r="E614" t="str">
        <f t="shared" si="31"/>
        <v/>
      </c>
      <c r="F614" t="str">
        <f t="shared" si="32"/>
        <v>DN</v>
      </c>
    </row>
    <row r="615" spans="1:6" x14ac:dyDescent="0.3">
      <c r="A615" t="s">
        <v>2486</v>
      </c>
      <c r="B615">
        <v>1</v>
      </c>
      <c r="D615" t="str">
        <f t="shared" si="30"/>
        <v>0481</v>
      </c>
      <c r="E615" t="str">
        <f t="shared" si="31"/>
        <v/>
      </c>
      <c r="F615" t="str">
        <f t="shared" si="32"/>
        <v>CN</v>
      </c>
    </row>
    <row r="616" spans="1:6" x14ac:dyDescent="0.3">
      <c r="A616" t="s">
        <v>2490</v>
      </c>
      <c r="B616">
        <v>1</v>
      </c>
      <c r="D616" t="str">
        <f t="shared" si="30"/>
        <v>0482</v>
      </c>
      <c r="E616" t="str">
        <f t="shared" si="31"/>
        <v/>
      </c>
      <c r="F616" t="str">
        <f t="shared" si="32"/>
        <v>CS</v>
      </c>
    </row>
    <row r="617" spans="1:6" x14ac:dyDescent="0.3">
      <c r="A617" t="s">
        <v>2491</v>
      </c>
      <c r="B617">
        <v>1</v>
      </c>
      <c r="D617" t="str">
        <f t="shared" si="30"/>
        <v>0483</v>
      </c>
      <c r="E617" t="str">
        <f t="shared" si="31"/>
        <v/>
      </c>
      <c r="F617" t="str">
        <f t="shared" si="32"/>
        <v>CN</v>
      </c>
    </row>
    <row r="618" spans="1:6" x14ac:dyDescent="0.3">
      <c r="A618" t="s">
        <v>2493</v>
      </c>
      <c r="B618">
        <v>1</v>
      </c>
      <c r="D618" t="str">
        <f t="shared" si="30"/>
        <v>0484</v>
      </c>
      <c r="E618" t="str">
        <f t="shared" si="31"/>
        <v/>
      </c>
      <c r="F618" t="str">
        <f t="shared" si="32"/>
        <v>CN</v>
      </c>
    </row>
    <row r="619" spans="1:6" x14ac:dyDescent="0.3">
      <c r="A619" t="s">
        <v>2497</v>
      </c>
      <c r="B619">
        <v>1</v>
      </c>
      <c r="D619" t="str">
        <f t="shared" si="30"/>
        <v>0485</v>
      </c>
      <c r="E619" t="str">
        <f t="shared" si="31"/>
        <v/>
      </c>
      <c r="F619" t="str">
        <f t="shared" si="32"/>
        <v>CR</v>
      </c>
    </row>
    <row r="620" spans="1:6" x14ac:dyDescent="0.3">
      <c r="A620" t="s">
        <v>2502</v>
      </c>
      <c r="B620">
        <v>1</v>
      </c>
      <c r="D620" t="str">
        <f t="shared" si="30"/>
        <v>0486</v>
      </c>
      <c r="E620" t="str">
        <f t="shared" si="31"/>
        <v/>
      </c>
      <c r="F620" t="str">
        <f t="shared" si="32"/>
        <v>CR</v>
      </c>
    </row>
    <row r="621" spans="1:6" x14ac:dyDescent="0.3">
      <c r="A621" t="s">
        <v>2506</v>
      </c>
      <c r="B621">
        <v>1</v>
      </c>
      <c r="D621" t="str">
        <f t="shared" si="30"/>
        <v>0487</v>
      </c>
      <c r="E621" t="str">
        <f t="shared" si="31"/>
        <v/>
      </c>
      <c r="F621" t="str">
        <f t="shared" si="32"/>
        <v>CR</v>
      </c>
    </row>
    <row r="622" spans="1:6" x14ac:dyDescent="0.3">
      <c r="A622" t="s">
        <v>2510</v>
      </c>
      <c r="B622">
        <v>1</v>
      </c>
      <c r="D622" t="str">
        <f t="shared" si="30"/>
        <v>0488</v>
      </c>
      <c r="E622" t="str">
        <f t="shared" si="31"/>
        <v/>
      </c>
      <c r="F622" t="str">
        <f t="shared" si="32"/>
        <v>CR</v>
      </c>
    </row>
    <row r="623" spans="1:6" x14ac:dyDescent="0.3">
      <c r="A623" t="s">
        <v>2516</v>
      </c>
      <c r="B623">
        <v>1</v>
      </c>
      <c r="D623" t="str">
        <f t="shared" si="30"/>
        <v>0489</v>
      </c>
      <c r="E623" t="str">
        <f t="shared" si="31"/>
        <v/>
      </c>
      <c r="F623" t="str">
        <f t="shared" si="32"/>
        <v>CR</v>
      </c>
    </row>
    <row r="624" spans="1:6" x14ac:dyDescent="0.3">
      <c r="A624" t="s">
        <v>2518</v>
      </c>
      <c r="B624">
        <v>1</v>
      </c>
      <c r="D624" t="str">
        <f t="shared" si="30"/>
        <v>0490</v>
      </c>
      <c r="E624" t="str">
        <f t="shared" si="31"/>
        <v/>
      </c>
      <c r="F624" t="str">
        <f t="shared" si="32"/>
        <v>CN</v>
      </c>
    </row>
    <row r="625" spans="1:6" x14ac:dyDescent="0.3">
      <c r="A625" t="s">
        <v>2523</v>
      </c>
      <c r="B625">
        <v>1</v>
      </c>
      <c r="D625" t="str">
        <f t="shared" si="30"/>
        <v>0491</v>
      </c>
      <c r="E625" t="str">
        <f t="shared" si="31"/>
        <v/>
      </c>
      <c r="F625" t="str">
        <f t="shared" si="32"/>
        <v>CS</v>
      </c>
    </row>
    <row r="626" spans="1:6" x14ac:dyDescent="0.3">
      <c r="A626" t="s">
        <v>2525</v>
      </c>
      <c r="B626">
        <v>1</v>
      </c>
      <c r="D626" t="str">
        <f t="shared" si="30"/>
        <v>0492</v>
      </c>
      <c r="E626" t="str">
        <f t="shared" si="31"/>
        <v/>
      </c>
      <c r="F626" t="str">
        <f t="shared" si="32"/>
        <v>CN</v>
      </c>
    </row>
    <row r="627" spans="1:6" x14ac:dyDescent="0.3">
      <c r="A627" t="s">
        <v>2528</v>
      </c>
      <c r="B627">
        <v>1</v>
      </c>
      <c r="D627" t="str">
        <f t="shared" si="30"/>
        <v>0493</v>
      </c>
      <c r="E627" t="str">
        <f t="shared" si="31"/>
        <v/>
      </c>
      <c r="F627" t="str">
        <f t="shared" si="32"/>
        <v>CN</v>
      </c>
    </row>
    <row r="628" spans="1:6" x14ac:dyDescent="0.3">
      <c r="A628" t="s">
        <v>2531</v>
      </c>
      <c r="B628">
        <v>1</v>
      </c>
      <c r="D628" t="str">
        <f t="shared" si="30"/>
        <v>0494</v>
      </c>
      <c r="E628" t="str">
        <f t="shared" si="31"/>
        <v/>
      </c>
      <c r="F628" t="str">
        <f t="shared" si="32"/>
        <v>CN</v>
      </c>
    </row>
    <row r="629" spans="1:6" x14ac:dyDescent="0.3">
      <c r="A629" t="s">
        <v>2533</v>
      </c>
      <c r="B629">
        <v>1</v>
      </c>
      <c r="D629" t="str">
        <f t="shared" si="30"/>
        <v>0495</v>
      </c>
      <c r="E629" t="str">
        <f t="shared" si="31"/>
        <v/>
      </c>
      <c r="F629" t="str">
        <f t="shared" si="32"/>
        <v>CN</v>
      </c>
    </row>
    <row r="630" spans="1:6" x14ac:dyDescent="0.3">
      <c r="A630" t="s">
        <v>2535</v>
      </c>
      <c r="B630">
        <v>1</v>
      </c>
      <c r="D630" t="str">
        <f t="shared" si="30"/>
        <v>0496</v>
      </c>
      <c r="E630" t="str">
        <f t="shared" si="31"/>
        <v/>
      </c>
      <c r="F630" t="str">
        <f t="shared" si="32"/>
        <v>CN</v>
      </c>
    </row>
    <row r="631" spans="1:6" x14ac:dyDescent="0.3">
      <c r="A631" t="s">
        <v>2538</v>
      </c>
      <c r="B631">
        <v>1</v>
      </c>
      <c r="D631" t="str">
        <f t="shared" si="30"/>
        <v>0497</v>
      </c>
      <c r="E631" t="str">
        <f t="shared" si="31"/>
        <v/>
      </c>
      <c r="F631" t="str">
        <f t="shared" si="32"/>
        <v>CN</v>
      </c>
    </row>
    <row r="632" spans="1:6" x14ac:dyDescent="0.3">
      <c r="A632" t="s">
        <v>2542</v>
      </c>
      <c r="B632">
        <v>1</v>
      </c>
      <c r="D632" t="str">
        <f t="shared" si="30"/>
        <v>0498</v>
      </c>
      <c r="E632" t="str">
        <f t="shared" si="31"/>
        <v/>
      </c>
      <c r="F632" t="str">
        <f t="shared" si="32"/>
        <v>CR</v>
      </c>
    </row>
    <row r="633" spans="1:6" x14ac:dyDescent="0.3">
      <c r="A633" t="s">
        <v>2546</v>
      </c>
      <c r="B633">
        <v>1</v>
      </c>
      <c r="D633" t="str">
        <f t="shared" si="30"/>
        <v>0499</v>
      </c>
      <c r="E633" t="str">
        <f t="shared" si="31"/>
        <v/>
      </c>
      <c r="F633" t="str">
        <f t="shared" si="32"/>
        <v>CR</v>
      </c>
    </row>
    <row r="634" spans="1:6" x14ac:dyDescent="0.3">
      <c r="D634" t="str">
        <f t="shared" ref="D634:D697" si="33">IF(LEFT(A634,2)="SP",MID(A634,4,4),IF(LEFT(A634,1)="X",MID(A634,3,4),""))</f>
        <v/>
      </c>
      <c r="E634" t="str">
        <f t="shared" ref="E634:E665" si="34">IF(OR(LEFT(A634,2)="SP",AND(LEFT(A634,1)="X",LEN(A634)&gt;9)),RIGHT(A634,1),"")</f>
        <v/>
      </c>
      <c r="F634" t="str">
        <f t="shared" ref="F634:F657" si="35">IF(LEFT(A634,1)="X",MID(A634,8,2),"")</f>
        <v/>
      </c>
    </row>
    <row r="635" spans="1:6" x14ac:dyDescent="0.3">
      <c r="D635" t="str">
        <f t="shared" si="33"/>
        <v/>
      </c>
      <c r="E635" t="str">
        <f t="shared" si="34"/>
        <v/>
      </c>
      <c r="F635" t="str">
        <f t="shared" si="35"/>
        <v/>
      </c>
    </row>
    <row r="636" spans="1:6" x14ac:dyDescent="0.3">
      <c r="D636" t="str">
        <f t="shared" si="33"/>
        <v/>
      </c>
      <c r="E636" t="str">
        <f t="shared" si="34"/>
        <v/>
      </c>
      <c r="F636" t="str">
        <f t="shared" si="35"/>
        <v/>
      </c>
    </row>
    <row r="637" spans="1:6" x14ac:dyDescent="0.3">
      <c r="D637" t="str">
        <f t="shared" si="33"/>
        <v/>
      </c>
      <c r="E637" t="str">
        <f t="shared" si="34"/>
        <v/>
      </c>
      <c r="F637" t="str">
        <f t="shared" si="35"/>
        <v/>
      </c>
    </row>
    <row r="638" spans="1:6" x14ac:dyDescent="0.3">
      <c r="D638" t="str">
        <f t="shared" si="33"/>
        <v/>
      </c>
      <c r="E638" t="str">
        <f t="shared" si="34"/>
        <v/>
      </c>
      <c r="F638" t="str">
        <f t="shared" si="35"/>
        <v/>
      </c>
    </row>
    <row r="639" spans="1:6" x14ac:dyDescent="0.3">
      <c r="D639" t="str">
        <f t="shared" si="33"/>
        <v/>
      </c>
      <c r="E639" t="str">
        <f t="shared" si="34"/>
        <v/>
      </c>
      <c r="F639" t="str">
        <f t="shared" si="35"/>
        <v/>
      </c>
    </row>
    <row r="640" spans="1:6" x14ac:dyDescent="0.3">
      <c r="D640" t="str">
        <f t="shared" si="33"/>
        <v/>
      </c>
      <c r="E640" t="str">
        <f t="shared" si="34"/>
        <v/>
      </c>
      <c r="F640" t="str">
        <f t="shared" si="35"/>
        <v/>
      </c>
    </row>
    <row r="641" spans="4:6" x14ac:dyDescent="0.3">
      <c r="D641" t="str">
        <f t="shared" si="33"/>
        <v/>
      </c>
      <c r="E641" t="str">
        <f t="shared" si="34"/>
        <v/>
      </c>
      <c r="F641" t="str">
        <f t="shared" si="35"/>
        <v/>
      </c>
    </row>
    <row r="642" spans="4:6" x14ac:dyDescent="0.3">
      <c r="D642" t="str">
        <f t="shared" si="33"/>
        <v/>
      </c>
      <c r="E642" t="str">
        <f t="shared" si="34"/>
        <v/>
      </c>
      <c r="F642" t="str">
        <f t="shared" si="35"/>
        <v/>
      </c>
    </row>
    <row r="643" spans="4:6" x14ac:dyDescent="0.3">
      <c r="D643" t="str">
        <f t="shared" si="33"/>
        <v/>
      </c>
      <c r="E643" t="str">
        <f t="shared" si="34"/>
        <v/>
      </c>
      <c r="F643" t="str">
        <f t="shared" si="35"/>
        <v/>
      </c>
    </row>
    <row r="644" spans="4:6" x14ac:dyDescent="0.3">
      <c r="D644" t="str">
        <f t="shared" si="33"/>
        <v/>
      </c>
      <c r="E644" t="str">
        <f t="shared" si="34"/>
        <v/>
      </c>
      <c r="F644" t="str">
        <f t="shared" si="35"/>
        <v/>
      </c>
    </row>
    <row r="645" spans="4:6" x14ac:dyDescent="0.3">
      <c r="D645" t="str">
        <f t="shared" si="33"/>
        <v/>
      </c>
      <c r="E645" t="str">
        <f t="shared" si="34"/>
        <v/>
      </c>
      <c r="F645" t="str">
        <f t="shared" si="35"/>
        <v/>
      </c>
    </row>
    <row r="646" spans="4:6" x14ac:dyDescent="0.3">
      <c r="D646" t="str">
        <f t="shared" si="33"/>
        <v/>
      </c>
      <c r="E646" t="str">
        <f t="shared" si="34"/>
        <v/>
      </c>
      <c r="F646" t="str">
        <f t="shared" si="35"/>
        <v/>
      </c>
    </row>
    <row r="647" spans="4:6" x14ac:dyDescent="0.3">
      <c r="D647" t="str">
        <f t="shared" si="33"/>
        <v/>
      </c>
      <c r="E647" t="str">
        <f t="shared" si="34"/>
        <v/>
      </c>
      <c r="F647" t="str">
        <f t="shared" si="35"/>
        <v/>
      </c>
    </row>
    <row r="648" spans="4:6" x14ac:dyDescent="0.3">
      <c r="D648" t="str">
        <f t="shared" si="33"/>
        <v/>
      </c>
      <c r="E648" t="str">
        <f t="shared" si="34"/>
        <v/>
      </c>
      <c r="F648" t="str">
        <f t="shared" si="35"/>
        <v/>
      </c>
    </row>
    <row r="649" spans="4:6" x14ac:dyDescent="0.3">
      <c r="D649" t="str">
        <f t="shared" si="33"/>
        <v/>
      </c>
      <c r="E649" t="str">
        <f t="shared" si="34"/>
        <v/>
      </c>
      <c r="F649" t="str">
        <f t="shared" si="35"/>
        <v/>
      </c>
    </row>
    <row r="650" spans="4:6" x14ac:dyDescent="0.3">
      <c r="D650" t="str">
        <f t="shared" si="33"/>
        <v/>
      </c>
      <c r="E650" t="str">
        <f t="shared" si="34"/>
        <v/>
      </c>
      <c r="F650" t="str">
        <f t="shared" si="35"/>
        <v/>
      </c>
    </row>
    <row r="651" spans="4:6" x14ac:dyDescent="0.3">
      <c r="D651" t="str">
        <f t="shared" si="33"/>
        <v/>
      </c>
      <c r="E651" t="str">
        <f t="shared" si="34"/>
        <v/>
      </c>
      <c r="F651" t="str">
        <f t="shared" si="35"/>
        <v/>
      </c>
    </row>
    <row r="652" spans="4:6" x14ac:dyDescent="0.3">
      <c r="D652" t="str">
        <f t="shared" si="33"/>
        <v/>
      </c>
      <c r="E652" t="str">
        <f t="shared" si="34"/>
        <v/>
      </c>
      <c r="F652" t="str">
        <f t="shared" si="35"/>
        <v/>
      </c>
    </row>
    <row r="653" spans="4:6" x14ac:dyDescent="0.3">
      <c r="D653" t="str">
        <f t="shared" si="33"/>
        <v/>
      </c>
      <c r="E653" t="str">
        <f t="shared" si="34"/>
        <v/>
      </c>
      <c r="F653" t="str">
        <f t="shared" si="35"/>
        <v/>
      </c>
    </row>
    <row r="654" spans="4:6" x14ac:dyDescent="0.3">
      <c r="D654" t="str">
        <f t="shared" si="33"/>
        <v/>
      </c>
      <c r="E654" t="str">
        <f t="shared" si="34"/>
        <v/>
      </c>
      <c r="F654" t="str">
        <f t="shared" si="35"/>
        <v/>
      </c>
    </row>
    <row r="655" spans="4:6" x14ac:dyDescent="0.3">
      <c r="D655" t="str">
        <f t="shared" si="33"/>
        <v/>
      </c>
      <c r="E655" t="str">
        <f t="shared" si="34"/>
        <v/>
      </c>
      <c r="F655" t="str">
        <f t="shared" si="35"/>
        <v/>
      </c>
    </row>
    <row r="656" spans="4:6" x14ac:dyDescent="0.3">
      <c r="D656" t="str">
        <f t="shared" si="33"/>
        <v/>
      </c>
      <c r="E656" t="str">
        <f t="shared" si="34"/>
        <v/>
      </c>
      <c r="F656" t="str">
        <f t="shared" si="35"/>
        <v/>
      </c>
    </row>
    <row r="657" spans="4:6" x14ac:dyDescent="0.3">
      <c r="D657" t="str">
        <f t="shared" si="33"/>
        <v/>
      </c>
      <c r="E657" t="str">
        <f t="shared" si="34"/>
        <v/>
      </c>
      <c r="F657" t="str">
        <f t="shared" si="35"/>
        <v/>
      </c>
    </row>
    <row r="658" spans="4:6" x14ac:dyDescent="0.3">
      <c r="D658" t="str">
        <f t="shared" si="33"/>
        <v/>
      </c>
      <c r="E658" t="str">
        <f t="shared" si="34"/>
        <v/>
      </c>
      <c r="F658" t="str">
        <f t="shared" ref="F658:F721" si="36">IF(LEFT(A658,1)="X",MID(A658,8,2),"")</f>
        <v/>
      </c>
    </row>
    <row r="659" spans="4:6" x14ac:dyDescent="0.3">
      <c r="D659" t="str">
        <f t="shared" si="33"/>
        <v/>
      </c>
      <c r="E659" t="str">
        <f t="shared" si="34"/>
        <v/>
      </c>
      <c r="F659" t="str">
        <f t="shared" si="36"/>
        <v/>
      </c>
    </row>
    <row r="660" spans="4:6" x14ac:dyDescent="0.3">
      <c r="D660" t="str">
        <f t="shared" si="33"/>
        <v/>
      </c>
      <c r="E660" t="str">
        <f t="shared" si="34"/>
        <v/>
      </c>
      <c r="F660" t="str">
        <f t="shared" si="36"/>
        <v/>
      </c>
    </row>
    <row r="661" spans="4:6" x14ac:dyDescent="0.3">
      <c r="D661" t="str">
        <f t="shared" si="33"/>
        <v/>
      </c>
      <c r="E661" t="str">
        <f t="shared" si="34"/>
        <v/>
      </c>
      <c r="F661" t="str">
        <f t="shared" si="36"/>
        <v/>
      </c>
    </row>
    <row r="662" spans="4:6" x14ac:dyDescent="0.3">
      <c r="D662" t="str">
        <f t="shared" si="33"/>
        <v/>
      </c>
      <c r="E662" t="str">
        <f t="shared" si="34"/>
        <v/>
      </c>
      <c r="F662" t="str">
        <f t="shared" si="36"/>
        <v/>
      </c>
    </row>
    <row r="663" spans="4:6" x14ac:dyDescent="0.3">
      <c r="D663" t="str">
        <f t="shared" si="33"/>
        <v/>
      </c>
      <c r="E663" t="str">
        <f t="shared" si="34"/>
        <v/>
      </c>
      <c r="F663" t="str">
        <f t="shared" si="36"/>
        <v/>
      </c>
    </row>
    <row r="664" spans="4:6" x14ac:dyDescent="0.3">
      <c r="D664" t="str">
        <f t="shared" si="33"/>
        <v/>
      </c>
      <c r="E664" t="str">
        <f t="shared" si="34"/>
        <v/>
      </c>
      <c r="F664" t="str">
        <f t="shared" si="36"/>
        <v/>
      </c>
    </row>
    <row r="665" spans="4:6" x14ac:dyDescent="0.3">
      <c r="D665" t="str">
        <f t="shared" si="33"/>
        <v/>
      </c>
      <c r="E665" t="str">
        <f t="shared" si="34"/>
        <v/>
      </c>
      <c r="F665" t="str">
        <f t="shared" si="36"/>
        <v/>
      </c>
    </row>
    <row r="666" spans="4:6" x14ac:dyDescent="0.3">
      <c r="D666" t="str">
        <f t="shared" si="33"/>
        <v/>
      </c>
      <c r="E666" t="str">
        <f t="shared" ref="E666:E697" si="37">IF(OR(LEFT(A666,2)="SP",AND(LEFT(A666,1)="X",LEN(A666)&gt;9)),RIGHT(A666,1),"")</f>
        <v/>
      </c>
      <c r="F666" t="str">
        <f t="shared" si="36"/>
        <v/>
      </c>
    </row>
    <row r="667" spans="4:6" x14ac:dyDescent="0.3">
      <c r="D667" t="str">
        <f t="shared" si="33"/>
        <v/>
      </c>
      <c r="E667" t="str">
        <f t="shared" si="37"/>
        <v/>
      </c>
      <c r="F667" t="str">
        <f t="shared" si="36"/>
        <v/>
      </c>
    </row>
    <row r="668" spans="4:6" x14ac:dyDescent="0.3">
      <c r="D668" t="str">
        <f t="shared" si="33"/>
        <v/>
      </c>
      <c r="E668" t="str">
        <f t="shared" si="37"/>
        <v/>
      </c>
      <c r="F668" t="str">
        <f t="shared" si="36"/>
        <v/>
      </c>
    </row>
    <row r="669" spans="4:6" x14ac:dyDescent="0.3">
      <c r="D669" t="str">
        <f t="shared" si="33"/>
        <v/>
      </c>
      <c r="E669" t="str">
        <f t="shared" si="37"/>
        <v/>
      </c>
      <c r="F669" t="str">
        <f t="shared" si="36"/>
        <v/>
      </c>
    </row>
    <row r="670" spans="4:6" x14ac:dyDescent="0.3">
      <c r="D670" t="str">
        <f t="shared" si="33"/>
        <v/>
      </c>
      <c r="E670" t="str">
        <f t="shared" si="37"/>
        <v/>
      </c>
      <c r="F670" t="str">
        <f t="shared" si="36"/>
        <v/>
      </c>
    </row>
    <row r="671" spans="4:6" x14ac:dyDescent="0.3">
      <c r="D671" t="str">
        <f t="shared" si="33"/>
        <v/>
      </c>
      <c r="E671" t="str">
        <f t="shared" si="37"/>
        <v/>
      </c>
      <c r="F671" t="str">
        <f t="shared" si="36"/>
        <v/>
      </c>
    </row>
    <row r="672" spans="4:6" x14ac:dyDescent="0.3">
      <c r="D672" t="str">
        <f t="shared" si="33"/>
        <v/>
      </c>
      <c r="E672" t="str">
        <f t="shared" si="37"/>
        <v/>
      </c>
      <c r="F672" t="str">
        <f t="shared" si="36"/>
        <v/>
      </c>
    </row>
    <row r="673" spans="4:6" x14ac:dyDescent="0.3">
      <c r="D673" t="str">
        <f t="shared" si="33"/>
        <v/>
      </c>
      <c r="E673" t="str">
        <f t="shared" si="37"/>
        <v/>
      </c>
      <c r="F673" t="str">
        <f t="shared" si="36"/>
        <v/>
      </c>
    </row>
    <row r="674" spans="4:6" x14ac:dyDescent="0.3">
      <c r="D674" t="str">
        <f t="shared" si="33"/>
        <v/>
      </c>
      <c r="E674" t="str">
        <f t="shared" si="37"/>
        <v/>
      </c>
      <c r="F674" t="str">
        <f t="shared" si="36"/>
        <v/>
      </c>
    </row>
    <row r="675" spans="4:6" x14ac:dyDescent="0.3">
      <c r="D675" t="str">
        <f t="shared" si="33"/>
        <v/>
      </c>
      <c r="E675" t="str">
        <f t="shared" si="37"/>
        <v/>
      </c>
      <c r="F675" t="str">
        <f t="shared" si="36"/>
        <v/>
      </c>
    </row>
    <row r="676" spans="4:6" x14ac:dyDescent="0.3">
      <c r="D676" t="str">
        <f t="shared" si="33"/>
        <v/>
      </c>
      <c r="E676" t="str">
        <f t="shared" si="37"/>
        <v/>
      </c>
      <c r="F676" t="str">
        <f t="shared" si="36"/>
        <v/>
      </c>
    </row>
    <row r="677" spans="4:6" x14ac:dyDescent="0.3">
      <c r="D677" t="str">
        <f t="shared" si="33"/>
        <v/>
      </c>
      <c r="E677" t="str">
        <f t="shared" si="37"/>
        <v/>
      </c>
      <c r="F677" t="str">
        <f t="shared" si="36"/>
        <v/>
      </c>
    </row>
    <row r="678" spans="4:6" x14ac:dyDescent="0.3">
      <c r="D678" t="str">
        <f t="shared" si="33"/>
        <v/>
      </c>
      <c r="E678" t="str">
        <f t="shared" si="37"/>
        <v/>
      </c>
      <c r="F678" t="str">
        <f t="shared" si="36"/>
        <v/>
      </c>
    </row>
    <row r="679" spans="4:6" x14ac:dyDescent="0.3">
      <c r="D679" t="str">
        <f t="shared" si="33"/>
        <v/>
      </c>
      <c r="E679" t="str">
        <f t="shared" si="37"/>
        <v/>
      </c>
      <c r="F679" t="str">
        <f t="shared" si="36"/>
        <v/>
      </c>
    </row>
    <row r="680" spans="4:6" x14ac:dyDescent="0.3">
      <c r="D680" t="str">
        <f t="shared" si="33"/>
        <v/>
      </c>
      <c r="E680" t="str">
        <f t="shared" si="37"/>
        <v/>
      </c>
      <c r="F680" t="str">
        <f t="shared" si="36"/>
        <v/>
      </c>
    </row>
    <row r="681" spans="4:6" x14ac:dyDescent="0.3">
      <c r="D681" t="str">
        <f t="shared" si="33"/>
        <v/>
      </c>
      <c r="E681" t="str">
        <f t="shared" si="37"/>
        <v/>
      </c>
      <c r="F681" t="str">
        <f t="shared" si="36"/>
        <v/>
      </c>
    </row>
    <row r="682" spans="4:6" x14ac:dyDescent="0.3">
      <c r="D682" t="str">
        <f t="shared" si="33"/>
        <v/>
      </c>
      <c r="E682" t="str">
        <f t="shared" si="37"/>
        <v/>
      </c>
      <c r="F682" t="str">
        <f t="shared" si="36"/>
        <v/>
      </c>
    </row>
    <row r="683" spans="4:6" x14ac:dyDescent="0.3">
      <c r="D683" t="str">
        <f t="shared" si="33"/>
        <v/>
      </c>
      <c r="E683" t="str">
        <f t="shared" si="37"/>
        <v/>
      </c>
      <c r="F683" t="str">
        <f t="shared" si="36"/>
        <v/>
      </c>
    </row>
    <row r="684" spans="4:6" x14ac:dyDescent="0.3">
      <c r="D684" t="str">
        <f t="shared" si="33"/>
        <v/>
      </c>
      <c r="E684" t="str">
        <f t="shared" si="37"/>
        <v/>
      </c>
      <c r="F684" t="str">
        <f t="shared" si="36"/>
        <v/>
      </c>
    </row>
    <row r="685" spans="4:6" x14ac:dyDescent="0.3">
      <c r="D685" t="str">
        <f t="shared" si="33"/>
        <v/>
      </c>
      <c r="E685" t="str">
        <f t="shared" si="37"/>
        <v/>
      </c>
      <c r="F685" t="str">
        <f t="shared" si="36"/>
        <v/>
      </c>
    </row>
    <row r="686" spans="4:6" x14ac:dyDescent="0.3">
      <c r="D686" t="str">
        <f t="shared" si="33"/>
        <v/>
      </c>
      <c r="E686" t="str">
        <f t="shared" si="37"/>
        <v/>
      </c>
      <c r="F686" t="str">
        <f t="shared" si="36"/>
        <v/>
      </c>
    </row>
    <row r="687" spans="4:6" x14ac:dyDescent="0.3">
      <c r="D687" t="str">
        <f t="shared" si="33"/>
        <v/>
      </c>
      <c r="E687" t="str">
        <f t="shared" si="37"/>
        <v/>
      </c>
      <c r="F687" t="str">
        <f t="shared" si="36"/>
        <v/>
      </c>
    </row>
    <row r="688" spans="4:6" x14ac:dyDescent="0.3">
      <c r="D688" t="str">
        <f t="shared" si="33"/>
        <v/>
      </c>
      <c r="E688" t="str">
        <f t="shared" si="37"/>
        <v/>
      </c>
      <c r="F688" t="str">
        <f t="shared" si="36"/>
        <v/>
      </c>
    </row>
    <row r="689" spans="4:6" x14ac:dyDescent="0.3">
      <c r="D689" t="str">
        <f t="shared" si="33"/>
        <v/>
      </c>
      <c r="E689" t="str">
        <f t="shared" si="37"/>
        <v/>
      </c>
      <c r="F689" t="str">
        <f t="shared" si="36"/>
        <v/>
      </c>
    </row>
    <row r="690" spans="4:6" x14ac:dyDescent="0.3">
      <c r="D690" t="str">
        <f t="shared" si="33"/>
        <v/>
      </c>
      <c r="E690" t="str">
        <f t="shared" si="37"/>
        <v/>
      </c>
      <c r="F690" t="str">
        <f t="shared" si="36"/>
        <v/>
      </c>
    </row>
    <row r="691" spans="4:6" x14ac:dyDescent="0.3">
      <c r="D691" t="str">
        <f t="shared" si="33"/>
        <v/>
      </c>
      <c r="E691" t="str">
        <f t="shared" si="37"/>
        <v/>
      </c>
      <c r="F691" t="str">
        <f t="shared" si="36"/>
        <v/>
      </c>
    </row>
    <row r="692" spans="4:6" x14ac:dyDescent="0.3">
      <c r="D692" t="str">
        <f t="shared" si="33"/>
        <v/>
      </c>
      <c r="E692" t="str">
        <f t="shared" si="37"/>
        <v/>
      </c>
      <c r="F692" t="str">
        <f t="shared" si="36"/>
        <v/>
      </c>
    </row>
    <row r="693" spans="4:6" x14ac:dyDescent="0.3">
      <c r="D693" t="str">
        <f t="shared" si="33"/>
        <v/>
      </c>
      <c r="E693" t="str">
        <f t="shared" si="37"/>
        <v/>
      </c>
      <c r="F693" t="str">
        <f t="shared" si="36"/>
        <v/>
      </c>
    </row>
    <row r="694" spans="4:6" x14ac:dyDescent="0.3">
      <c r="D694" t="str">
        <f t="shared" si="33"/>
        <v/>
      </c>
      <c r="E694" t="str">
        <f t="shared" si="37"/>
        <v/>
      </c>
      <c r="F694" t="str">
        <f t="shared" si="36"/>
        <v/>
      </c>
    </row>
    <row r="695" spans="4:6" x14ac:dyDescent="0.3">
      <c r="D695" t="str">
        <f t="shared" si="33"/>
        <v/>
      </c>
      <c r="E695" t="str">
        <f t="shared" si="37"/>
        <v/>
      </c>
      <c r="F695" t="str">
        <f t="shared" si="36"/>
        <v/>
      </c>
    </row>
    <row r="696" spans="4:6" x14ac:dyDescent="0.3">
      <c r="D696" t="str">
        <f t="shared" si="33"/>
        <v/>
      </c>
      <c r="E696" t="str">
        <f t="shared" si="37"/>
        <v/>
      </c>
      <c r="F696" t="str">
        <f t="shared" si="36"/>
        <v/>
      </c>
    </row>
    <row r="697" spans="4:6" x14ac:dyDescent="0.3">
      <c r="D697" t="str">
        <f t="shared" si="33"/>
        <v/>
      </c>
      <c r="E697" t="str">
        <f t="shared" si="37"/>
        <v/>
      </c>
      <c r="F697" t="str">
        <f t="shared" si="36"/>
        <v/>
      </c>
    </row>
    <row r="698" spans="4:6" x14ac:dyDescent="0.3">
      <c r="D698" t="str">
        <f t="shared" ref="D698:D761" si="38">IF(LEFT(A698,2)="SP",MID(A698,4,4),IF(LEFT(A698,1)="X",MID(A698,3,4),""))</f>
        <v/>
      </c>
      <c r="E698" t="str">
        <f t="shared" ref="E698:E729" si="39">IF(OR(LEFT(A698,2)="SP",AND(LEFT(A698,1)="X",LEN(A698)&gt;9)),RIGHT(A698,1),"")</f>
        <v/>
      </c>
      <c r="F698" t="str">
        <f t="shared" si="36"/>
        <v/>
      </c>
    </row>
    <row r="699" spans="4:6" x14ac:dyDescent="0.3">
      <c r="D699" t="str">
        <f t="shared" si="38"/>
        <v/>
      </c>
      <c r="E699" t="str">
        <f t="shared" si="39"/>
        <v/>
      </c>
      <c r="F699" t="str">
        <f t="shared" si="36"/>
        <v/>
      </c>
    </row>
    <row r="700" spans="4:6" x14ac:dyDescent="0.3">
      <c r="D700" t="str">
        <f t="shared" si="38"/>
        <v/>
      </c>
      <c r="E700" t="str">
        <f t="shared" si="39"/>
        <v/>
      </c>
      <c r="F700" t="str">
        <f t="shared" si="36"/>
        <v/>
      </c>
    </row>
    <row r="701" spans="4:6" x14ac:dyDescent="0.3">
      <c r="D701" t="str">
        <f t="shared" si="38"/>
        <v/>
      </c>
      <c r="E701" t="str">
        <f t="shared" si="39"/>
        <v/>
      </c>
      <c r="F701" t="str">
        <f t="shared" si="36"/>
        <v/>
      </c>
    </row>
    <row r="702" spans="4:6" x14ac:dyDescent="0.3">
      <c r="D702" t="str">
        <f t="shared" si="38"/>
        <v/>
      </c>
      <c r="E702" t="str">
        <f t="shared" si="39"/>
        <v/>
      </c>
      <c r="F702" t="str">
        <f t="shared" si="36"/>
        <v/>
      </c>
    </row>
    <row r="703" spans="4:6" x14ac:dyDescent="0.3">
      <c r="D703" t="str">
        <f t="shared" si="38"/>
        <v/>
      </c>
      <c r="E703" t="str">
        <f t="shared" si="39"/>
        <v/>
      </c>
      <c r="F703" t="str">
        <f t="shared" si="36"/>
        <v/>
      </c>
    </row>
    <row r="704" spans="4:6" x14ac:dyDescent="0.3">
      <c r="D704" t="str">
        <f t="shared" si="38"/>
        <v/>
      </c>
      <c r="E704" t="str">
        <f t="shared" si="39"/>
        <v/>
      </c>
      <c r="F704" t="str">
        <f t="shared" si="36"/>
        <v/>
      </c>
    </row>
    <row r="705" spans="4:6" x14ac:dyDescent="0.3">
      <c r="D705" t="str">
        <f t="shared" si="38"/>
        <v/>
      </c>
      <c r="E705" t="str">
        <f t="shared" si="39"/>
        <v/>
      </c>
      <c r="F705" t="str">
        <f t="shared" si="36"/>
        <v/>
      </c>
    </row>
    <row r="706" spans="4:6" x14ac:dyDescent="0.3">
      <c r="D706" t="str">
        <f t="shared" si="38"/>
        <v/>
      </c>
      <c r="E706" t="str">
        <f t="shared" si="39"/>
        <v/>
      </c>
      <c r="F706" t="str">
        <f t="shared" si="36"/>
        <v/>
      </c>
    </row>
    <row r="707" spans="4:6" x14ac:dyDescent="0.3">
      <c r="D707" t="str">
        <f t="shared" si="38"/>
        <v/>
      </c>
      <c r="E707" t="str">
        <f t="shared" si="39"/>
        <v/>
      </c>
      <c r="F707" t="str">
        <f t="shared" si="36"/>
        <v/>
      </c>
    </row>
    <row r="708" spans="4:6" x14ac:dyDescent="0.3">
      <c r="D708" t="str">
        <f t="shared" si="38"/>
        <v/>
      </c>
      <c r="E708" t="str">
        <f t="shared" si="39"/>
        <v/>
      </c>
      <c r="F708" t="str">
        <f t="shared" si="36"/>
        <v/>
      </c>
    </row>
    <row r="709" spans="4:6" x14ac:dyDescent="0.3">
      <c r="D709" t="str">
        <f t="shared" si="38"/>
        <v/>
      </c>
      <c r="E709" t="str">
        <f t="shared" si="39"/>
        <v/>
      </c>
      <c r="F709" t="str">
        <f t="shared" si="36"/>
        <v/>
      </c>
    </row>
    <row r="710" spans="4:6" x14ac:dyDescent="0.3">
      <c r="D710" t="str">
        <f t="shared" si="38"/>
        <v/>
      </c>
      <c r="E710" t="str">
        <f t="shared" si="39"/>
        <v/>
      </c>
      <c r="F710" t="str">
        <f t="shared" si="36"/>
        <v/>
      </c>
    </row>
    <row r="711" spans="4:6" x14ac:dyDescent="0.3">
      <c r="D711" t="str">
        <f t="shared" si="38"/>
        <v/>
      </c>
      <c r="E711" t="str">
        <f t="shared" si="39"/>
        <v/>
      </c>
      <c r="F711" t="str">
        <f t="shared" si="36"/>
        <v/>
      </c>
    </row>
    <row r="712" spans="4:6" x14ac:dyDescent="0.3">
      <c r="D712" t="str">
        <f t="shared" si="38"/>
        <v/>
      </c>
      <c r="E712" t="str">
        <f t="shared" si="39"/>
        <v/>
      </c>
      <c r="F712" t="str">
        <f t="shared" si="36"/>
        <v/>
      </c>
    </row>
    <row r="713" spans="4:6" x14ac:dyDescent="0.3">
      <c r="D713" t="str">
        <f t="shared" si="38"/>
        <v/>
      </c>
      <c r="E713" t="str">
        <f t="shared" si="39"/>
        <v/>
      </c>
      <c r="F713" t="str">
        <f t="shared" si="36"/>
        <v/>
      </c>
    </row>
    <row r="714" spans="4:6" x14ac:dyDescent="0.3">
      <c r="D714" t="str">
        <f t="shared" si="38"/>
        <v/>
      </c>
      <c r="E714" t="str">
        <f t="shared" si="39"/>
        <v/>
      </c>
      <c r="F714" t="str">
        <f t="shared" si="36"/>
        <v/>
      </c>
    </row>
    <row r="715" spans="4:6" x14ac:dyDescent="0.3">
      <c r="D715" t="str">
        <f t="shared" si="38"/>
        <v/>
      </c>
      <c r="E715" t="str">
        <f t="shared" si="39"/>
        <v/>
      </c>
      <c r="F715" t="str">
        <f t="shared" si="36"/>
        <v/>
      </c>
    </row>
    <row r="716" spans="4:6" x14ac:dyDescent="0.3">
      <c r="D716" t="str">
        <f t="shared" si="38"/>
        <v/>
      </c>
      <c r="E716" t="str">
        <f t="shared" si="39"/>
        <v/>
      </c>
      <c r="F716" t="str">
        <f t="shared" si="36"/>
        <v/>
      </c>
    </row>
    <row r="717" spans="4:6" x14ac:dyDescent="0.3">
      <c r="D717" t="str">
        <f t="shared" si="38"/>
        <v/>
      </c>
      <c r="E717" t="str">
        <f t="shared" si="39"/>
        <v/>
      </c>
      <c r="F717" t="str">
        <f t="shared" si="36"/>
        <v/>
      </c>
    </row>
    <row r="718" spans="4:6" x14ac:dyDescent="0.3">
      <c r="D718" t="str">
        <f t="shared" si="38"/>
        <v/>
      </c>
      <c r="E718" t="str">
        <f t="shared" si="39"/>
        <v/>
      </c>
      <c r="F718" t="str">
        <f t="shared" si="36"/>
        <v/>
      </c>
    </row>
    <row r="719" spans="4:6" x14ac:dyDescent="0.3">
      <c r="D719" t="str">
        <f t="shared" si="38"/>
        <v/>
      </c>
      <c r="E719" t="str">
        <f t="shared" si="39"/>
        <v/>
      </c>
      <c r="F719" t="str">
        <f t="shared" si="36"/>
        <v/>
      </c>
    </row>
    <row r="720" spans="4:6" x14ac:dyDescent="0.3">
      <c r="D720" t="str">
        <f t="shared" si="38"/>
        <v/>
      </c>
      <c r="E720" t="str">
        <f t="shared" si="39"/>
        <v/>
      </c>
      <c r="F720" t="str">
        <f t="shared" si="36"/>
        <v/>
      </c>
    </row>
    <row r="721" spans="4:6" x14ac:dyDescent="0.3">
      <c r="D721" t="str">
        <f t="shared" si="38"/>
        <v/>
      </c>
      <c r="E721" t="str">
        <f t="shared" si="39"/>
        <v/>
      </c>
      <c r="F721" t="str">
        <f t="shared" si="36"/>
        <v/>
      </c>
    </row>
    <row r="722" spans="4:6" x14ac:dyDescent="0.3">
      <c r="D722" t="str">
        <f t="shared" si="38"/>
        <v/>
      </c>
      <c r="E722" t="str">
        <f t="shared" si="39"/>
        <v/>
      </c>
      <c r="F722" t="str">
        <f t="shared" ref="F722:F783" si="40">IF(LEFT(A722,1)="X",MID(A722,8,2),"")</f>
        <v/>
      </c>
    </row>
    <row r="723" spans="4:6" x14ac:dyDescent="0.3">
      <c r="D723" t="str">
        <f t="shared" si="38"/>
        <v/>
      </c>
      <c r="E723" t="str">
        <f t="shared" si="39"/>
        <v/>
      </c>
      <c r="F723" t="str">
        <f t="shared" si="40"/>
        <v/>
      </c>
    </row>
    <row r="724" spans="4:6" x14ac:dyDescent="0.3">
      <c r="D724" t="str">
        <f t="shared" si="38"/>
        <v/>
      </c>
      <c r="E724" t="str">
        <f t="shared" si="39"/>
        <v/>
      </c>
      <c r="F724" t="str">
        <f t="shared" si="40"/>
        <v/>
      </c>
    </row>
    <row r="725" spans="4:6" x14ac:dyDescent="0.3">
      <c r="D725" t="str">
        <f t="shared" si="38"/>
        <v/>
      </c>
      <c r="E725" t="str">
        <f t="shared" si="39"/>
        <v/>
      </c>
      <c r="F725" t="str">
        <f t="shared" si="40"/>
        <v/>
      </c>
    </row>
    <row r="726" spans="4:6" x14ac:dyDescent="0.3">
      <c r="D726" t="str">
        <f t="shared" si="38"/>
        <v/>
      </c>
      <c r="E726" t="str">
        <f t="shared" si="39"/>
        <v/>
      </c>
      <c r="F726" t="str">
        <f t="shared" si="40"/>
        <v/>
      </c>
    </row>
    <row r="727" spans="4:6" x14ac:dyDescent="0.3">
      <c r="D727" t="str">
        <f t="shared" si="38"/>
        <v/>
      </c>
      <c r="E727" t="str">
        <f t="shared" si="39"/>
        <v/>
      </c>
      <c r="F727" t="str">
        <f t="shared" si="40"/>
        <v/>
      </c>
    </row>
    <row r="728" spans="4:6" x14ac:dyDescent="0.3">
      <c r="D728" t="str">
        <f t="shared" si="38"/>
        <v/>
      </c>
      <c r="E728" t="str">
        <f t="shared" si="39"/>
        <v/>
      </c>
      <c r="F728" t="str">
        <f t="shared" si="40"/>
        <v/>
      </c>
    </row>
    <row r="729" spans="4:6" x14ac:dyDescent="0.3">
      <c r="D729" t="str">
        <f t="shared" si="38"/>
        <v/>
      </c>
      <c r="E729" t="str">
        <f t="shared" si="39"/>
        <v/>
      </c>
      <c r="F729" t="str">
        <f t="shared" si="40"/>
        <v/>
      </c>
    </row>
    <row r="730" spans="4:6" x14ac:dyDescent="0.3">
      <c r="D730" t="str">
        <f t="shared" si="38"/>
        <v/>
      </c>
      <c r="E730" t="str">
        <f t="shared" ref="E730:E761" si="41">IF(OR(LEFT(A730,2)="SP",AND(LEFT(A730,1)="X",LEN(A730)&gt;9)),RIGHT(A730,1),"")</f>
        <v/>
      </c>
      <c r="F730" t="str">
        <f t="shared" si="40"/>
        <v/>
      </c>
    </row>
    <row r="731" spans="4:6" x14ac:dyDescent="0.3">
      <c r="D731" t="str">
        <f t="shared" si="38"/>
        <v/>
      </c>
      <c r="E731" t="str">
        <f t="shared" si="41"/>
        <v/>
      </c>
      <c r="F731" t="str">
        <f t="shared" si="40"/>
        <v/>
      </c>
    </row>
    <row r="732" spans="4:6" x14ac:dyDescent="0.3">
      <c r="D732" t="str">
        <f t="shared" si="38"/>
        <v/>
      </c>
      <c r="E732" t="str">
        <f t="shared" si="41"/>
        <v/>
      </c>
      <c r="F732" t="str">
        <f t="shared" si="40"/>
        <v/>
      </c>
    </row>
    <row r="733" spans="4:6" x14ac:dyDescent="0.3">
      <c r="D733" t="str">
        <f t="shared" si="38"/>
        <v/>
      </c>
      <c r="E733" t="str">
        <f t="shared" si="41"/>
        <v/>
      </c>
      <c r="F733" t="str">
        <f t="shared" si="40"/>
        <v/>
      </c>
    </row>
    <row r="734" spans="4:6" x14ac:dyDescent="0.3">
      <c r="D734" t="str">
        <f t="shared" si="38"/>
        <v/>
      </c>
      <c r="E734" t="str">
        <f t="shared" si="41"/>
        <v/>
      </c>
      <c r="F734" t="str">
        <f t="shared" si="40"/>
        <v/>
      </c>
    </row>
    <row r="735" spans="4:6" x14ac:dyDescent="0.3">
      <c r="D735" t="str">
        <f t="shared" si="38"/>
        <v/>
      </c>
      <c r="E735" t="str">
        <f t="shared" si="41"/>
        <v/>
      </c>
      <c r="F735" t="str">
        <f t="shared" si="40"/>
        <v/>
      </c>
    </row>
    <row r="736" spans="4:6" x14ac:dyDescent="0.3">
      <c r="D736" t="str">
        <f t="shared" si="38"/>
        <v/>
      </c>
      <c r="E736" t="str">
        <f t="shared" si="41"/>
        <v/>
      </c>
      <c r="F736" t="str">
        <f t="shared" si="40"/>
        <v/>
      </c>
    </row>
    <row r="737" spans="4:6" x14ac:dyDescent="0.3">
      <c r="D737" t="str">
        <f t="shared" si="38"/>
        <v/>
      </c>
      <c r="E737" t="str">
        <f t="shared" si="41"/>
        <v/>
      </c>
      <c r="F737" t="str">
        <f t="shared" si="40"/>
        <v/>
      </c>
    </row>
    <row r="738" spans="4:6" x14ac:dyDescent="0.3">
      <c r="D738" t="str">
        <f t="shared" si="38"/>
        <v/>
      </c>
      <c r="E738" t="str">
        <f t="shared" si="41"/>
        <v/>
      </c>
      <c r="F738" t="str">
        <f t="shared" si="40"/>
        <v/>
      </c>
    </row>
    <row r="739" spans="4:6" x14ac:dyDescent="0.3">
      <c r="D739" t="str">
        <f t="shared" si="38"/>
        <v/>
      </c>
      <c r="E739" t="str">
        <f t="shared" si="41"/>
        <v/>
      </c>
      <c r="F739" t="str">
        <f t="shared" si="40"/>
        <v/>
      </c>
    </row>
    <row r="740" spans="4:6" x14ac:dyDescent="0.3">
      <c r="D740" t="str">
        <f t="shared" si="38"/>
        <v/>
      </c>
      <c r="E740" t="str">
        <f t="shared" si="41"/>
        <v/>
      </c>
      <c r="F740" t="str">
        <f t="shared" si="40"/>
        <v/>
      </c>
    </row>
    <row r="741" spans="4:6" x14ac:dyDescent="0.3">
      <c r="D741" t="str">
        <f t="shared" si="38"/>
        <v/>
      </c>
      <c r="E741" t="str">
        <f t="shared" si="41"/>
        <v/>
      </c>
      <c r="F741" t="str">
        <f t="shared" si="40"/>
        <v/>
      </c>
    </row>
    <row r="742" spans="4:6" x14ac:dyDescent="0.3">
      <c r="D742" t="str">
        <f t="shared" si="38"/>
        <v/>
      </c>
      <c r="E742" t="str">
        <f t="shared" si="41"/>
        <v/>
      </c>
      <c r="F742" t="str">
        <f t="shared" si="40"/>
        <v/>
      </c>
    </row>
    <row r="743" spans="4:6" x14ac:dyDescent="0.3">
      <c r="D743" t="str">
        <f t="shared" si="38"/>
        <v/>
      </c>
      <c r="E743" t="str">
        <f t="shared" si="41"/>
        <v/>
      </c>
      <c r="F743" t="str">
        <f t="shared" si="40"/>
        <v/>
      </c>
    </row>
    <row r="744" spans="4:6" x14ac:dyDescent="0.3">
      <c r="D744" t="str">
        <f t="shared" si="38"/>
        <v/>
      </c>
      <c r="E744" t="str">
        <f t="shared" si="41"/>
        <v/>
      </c>
      <c r="F744" t="str">
        <f t="shared" si="40"/>
        <v/>
      </c>
    </row>
    <row r="745" spans="4:6" x14ac:dyDescent="0.3">
      <c r="D745" t="str">
        <f t="shared" si="38"/>
        <v/>
      </c>
      <c r="E745" t="str">
        <f t="shared" si="41"/>
        <v/>
      </c>
      <c r="F745" t="str">
        <f t="shared" si="40"/>
        <v/>
      </c>
    </row>
    <row r="746" spans="4:6" x14ac:dyDescent="0.3">
      <c r="D746" t="str">
        <f t="shared" si="38"/>
        <v/>
      </c>
      <c r="E746" t="str">
        <f t="shared" si="41"/>
        <v/>
      </c>
      <c r="F746" t="str">
        <f t="shared" si="40"/>
        <v/>
      </c>
    </row>
    <row r="747" spans="4:6" x14ac:dyDescent="0.3">
      <c r="D747" t="str">
        <f t="shared" si="38"/>
        <v/>
      </c>
      <c r="E747" t="str">
        <f t="shared" si="41"/>
        <v/>
      </c>
      <c r="F747" t="str">
        <f t="shared" si="40"/>
        <v/>
      </c>
    </row>
    <row r="748" spans="4:6" x14ac:dyDescent="0.3">
      <c r="D748" t="str">
        <f t="shared" si="38"/>
        <v/>
      </c>
      <c r="E748" t="str">
        <f t="shared" si="41"/>
        <v/>
      </c>
      <c r="F748" t="str">
        <f t="shared" si="40"/>
        <v/>
      </c>
    </row>
    <row r="749" spans="4:6" x14ac:dyDescent="0.3">
      <c r="D749" t="str">
        <f t="shared" si="38"/>
        <v/>
      </c>
      <c r="E749" t="str">
        <f t="shared" si="41"/>
        <v/>
      </c>
      <c r="F749" t="str">
        <f t="shared" si="40"/>
        <v/>
      </c>
    </row>
    <row r="750" spans="4:6" x14ac:dyDescent="0.3">
      <c r="D750" t="str">
        <f t="shared" si="38"/>
        <v/>
      </c>
      <c r="E750" t="str">
        <f t="shared" si="41"/>
        <v/>
      </c>
      <c r="F750" t="str">
        <f t="shared" si="40"/>
        <v/>
      </c>
    </row>
    <row r="751" spans="4:6" x14ac:dyDescent="0.3">
      <c r="D751" t="str">
        <f t="shared" si="38"/>
        <v/>
      </c>
      <c r="E751" t="str">
        <f t="shared" si="41"/>
        <v/>
      </c>
      <c r="F751" t="str">
        <f t="shared" si="40"/>
        <v/>
      </c>
    </row>
    <row r="752" spans="4:6" x14ac:dyDescent="0.3">
      <c r="D752" t="str">
        <f t="shared" si="38"/>
        <v/>
      </c>
      <c r="E752" t="str">
        <f t="shared" si="41"/>
        <v/>
      </c>
      <c r="F752" t="str">
        <f t="shared" si="40"/>
        <v/>
      </c>
    </row>
    <row r="753" spans="4:6" x14ac:dyDescent="0.3">
      <c r="D753" t="str">
        <f t="shared" si="38"/>
        <v/>
      </c>
      <c r="E753" t="str">
        <f t="shared" si="41"/>
        <v/>
      </c>
      <c r="F753" t="str">
        <f t="shared" si="40"/>
        <v/>
      </c>
    </row>
    <row r="754" spans="4:6" x14ac:dyDescent="0.3">
      <c r="D754" t="str">
        <f t="shared" si="38"/>
        <v/>
      </c>
      <c r="E754" t="str">
        <f t="shared" si="41"/>
        <v/>
      </c>
      <c r="F754" t="str">
        <f t="shared" si="40"/>
        <v/>
      </c>
    </row>
    <row r="755" spans="4:6" x14ac:dyDescent="0.3">
      <c r="D755" t="str">
        <f t="shared" si="38"/>
        <v/>
      </c>
      <c r="E755" t="str">
        <f t="shared" si="41"/>
        <v/>
      </c>
      <c r="F755" t="str">
        <f t="shared" si="40"/>
        <v/>
      </c>
    </row>
    <row r="756" spans="4:6" x14ac:dyDescent="0.3">
      <c r="D756" t="str">
        <f t="shared" si="38"/>
        <v/>
      </c>
      <c r="E756" t="str">
        <f t="shared" si="41"/>
        <v/>
      </c>
      <c r="F756" t="str">
        <f t="shared" si="40"/>
        <v/>
      </c>
    </row>
    <row r="757" spans="4:6" x14ac:dyDescent="0.3">
      <c r="D757" t="str">
        <f t="shared" si="38"/>
        <v/>
      </c>
      <c r="E757" t="str">
        <f t="shared" si="41"/>
        <v/>
      </c>
      <c r="F757" t="str">
        <f t="shared" si="40"/>
        <v/>
      </c>
    </row>
    <row r="758" spans="4:6" x14ac:dyDescent="0.3">
      <c r="D758" t="str">
        <f t="shared" si="38"/>
        <v/>
      </c>
      <c r="E758" t="str">
        <f t="shared" si="41"/>
        <v/>
      </c>
      <c r="F758" t="str">
        <f t="shared" si="40"/>
        <v/>
      </c>
    </row>
    <row r="759" spans="4:6" x14ac:dyDescent="0.3">
      <c r="D759" t="str">
        <f t="shared" si="38"/>
        <v/>
      </c>
      <c r="E759" t="str">
        <f t="shared" si="41"/>
        <v/>
      </c>
      <c r="F759" t="str">
        <f t="shared" si="40"/>
        <v/>
      </c>
    </row>
    <row r="760" spans="4:6" x14ac:dyDescent="0.3">
      <c r="D760" t="str">
        <f t="shared" si="38"/>
        <v/>
      </c>
      <c r="E760" t="str">
        <f t="shared" si="41"/>
        <v/>
      </c>
      <c r="F760" t="str">
        <f t="shared" si="40"/>
        <v/>
      </c>
    </row>
    <row r="761" spans="4:6" x14ac:dyDescent="0.3">
      <c r="D761" t="str">
        <f t="shared" si="38"/>
        <v/>
      </c>
      <c r="E761" t="str">
        <f t="shared" si="41"/>
        <v/>
      </c>
      <c r="F761" t="str">
        <f t="shared" si="40"/>
        <v/>
      </c>
    </row>
    <row r="762" spans="4:6" x14ac:dyDescent="0.3">
      <c r="D762" t="str">
        <f t="shared" ref="D762:D825" si="42">IF(LEFT(A762,2)="SP",MID(A762,4,4),IF(LEFT(A762,1)="X",MID(A762,3,4),""))</f>
        <v/>
      </c>
      <c r="E762" t="str">
        <f t="shared" ref="E762:E782" si="43">IF(OR(LEFT(A762,2)="SP",AND(LEFT(A762,1)="X",LEN(A762)&gt;9)),RIGHT(A762,1),"")</f>
        <v/>
      </c>
      <c r="F762" t="str">
        <f t="shared" si="40"/>
        <v/>
      </c>
    </row>
    <row r="763" spans="4:6" x14ac:dyDescent="0.3">
      <c r="D763" t="str">
        <f t="shared" si="42"/>
        <v/>
      </c>
      <c r="E763" t="str">
        <f t="shared" si="43"/>
        <v/>
      </c>
      <c r="F763" t="str">
        <f t="shared" si="40"/>
        <v/>
      </c>
    </row>
    <row r="764" spans="4:6" x14ac:dyDescent="0.3">
      <c r="D764" t="str">
        <f t="shared" si="42"/>
        <v/>
      </c>
      <c r="E764" t="str">
        <f t="shared" si="43"/>
        <v/>
      </c>
      <c r="F764" t="str">
        <f t="shared" si="40"/>
        <v/>
      </c>
    </row>
    <row r="765" spans="4:6" x14ac:dyDescent="0.3">
      <c r="D765" t="str">
        <f t="shared" si="42"/>
        <v/>
      </c>
      <c r="E765" t="str">
        <f t="shared" si="43"/>
        <v/>
      </c>
      <c r="F765" t="str">
        <f t="shared" si="40"/>
        <v/>
      </c>
    </row>
    <row r="766" spans="4:6" x14ac:dyDescent="0.3">
      <c r="D766" t="str">
        <f t="shared" si="42"/>
        <v/>
      </c>
      <c r="E766" t="str">
        <f t="shared" si="43"/>
        <v/>
      </c>
      <c r="F766" t="str">
        <f t="shared" si="40"/>
        <v/>
      </c>
    </row>
    <row r="767" spans="4:6" x14ac:dyDescent="0.3">
      <c r="D767" t="str">
        <f t="shared" si="42"/>
        <v/>
      </c>
      <c r="E767" t="str">
        <f t="shared" si="43"/>
        <v/>
      </c>
      <c r="F767" t="str">
        <f t="shared" si="40"/>
        <v/>
      </c>
    </row>
    <row r="768" spans="4:6" x14ac:dyDescent="0.3">
      <c r="D768" t="str">
        <f t="shared" si="42"/>
        <v/>
      </c>
      <c r="E768" t="str">
        <f t="shared" si="43"/>
        <v/>
      </c>
      <c r="F768" t="str">
        <f t="shared" si="40"/>
        <v/>
      </c>
    </row>
    <row r="769" spans="4:6" x14ac:dyDescent="0.3">
      <c r="D769" t="str">
        <f t="shared" si="42"/>
        <v/>
      </c>
      <c r="E769" t="str">
        <f t="shared" si="43"/>
        <v/>
      </c>
      <c r="F769" t="str">
        <f t="shared" si="40"/>
        <v/>
      </c>
    </row>
    <row r="770" spans="4:6" x14ac:dyDescent="0.3">
      <c r="D770" t="str">
        <f t="shared" si="42"/>
        <v/>
      </c>
      <c r="E770" t="str">
        <f t="shared" si="43"/>
        <v/>
      </c>
      <c r="F770" t="str">
        <f t="shared" si="40"/>
        <v/>
      </c>
    </row>
    <row r="771" spans="4:6" x14ac:dyDescent="0.3">
      <c r="D771" t="str">
        <f t="shared" si="42"/>
        <v/>
      </c>
      <c r="E771" t="str">
        <f t="shared" si="43"/>
        <v/>
      </c>
      <c r="F771" t="str">
        <f t="shared" si="40"/>
        <v/>
      </c>
    </row>
    <row r="772" spans="4:6" x14ac:dyDescent="0.3">
      <c r="D772" t="str">
        <f t="shared" si="42"/>
        <v/>
      </c>
      <c r="E772" t="str">
        <f t="shared" si="43"/>
        <v/>
      </c>
      <c r="F772" t="str">
        <f t="shared" si="40"/>
        <v/>
      </c>
    </row>
    <row r="773" spans="4:6" x14ac:dyDescent="0.3">
      <c r="D773" t="str">
        <f t="shared" si="42"/>
        <v/>
      </c>
      <c r="E773" t="str">
        <f t="shared" si="43"/>
        <v/>
      </c>
      <c r="F773" t="str">
        <f t="shared" si="40"/>
        <v/>
      </c>
    </row>
    <row r="774" spans="4:6" x14ac:dyDescent="0.3">
      <c r="D774" t="str">
        <f t="shared" si="42"/>
        <v/>
      </c>
      <c r="E774" t="str">
        <f t="shared" si="43"/>
        <v/>
      </c>
      <c r="F774" t="str">
        <f t="shared" si="40"/>
        <v/>
      </c>
    </row>
    <row r="775" spans="4:6" x14ac:dyDescent="0.3">
      <c r="D775" t="str">
        <f t="shared" si="42"/>
        <v/>
      </c>
      <c r="E775" t="str">
        <f t="shared" si="43"/>
        <v/>
      </c>
      <c r="F775" t="str">
        <f t="shared" si="40"/>
        <v/>
      </c>
    </row>
    <row r="776" spans="4:6" x14ac:dyDescent="0.3">
      <c r="D776" t="str">
        <f t="shared" si="42"/>
        <v/>
      </c>
      <c r="E776" t="str">
        <f t="shared" si="43"/>
        <v/>
      </c>
      <c r="F776" t="str">
        <f t="shared" si="40"/>
        <v/>
      </c>
    </row>
    <row r="777" spans="4:6" x14ac:dyDescent="0.3">
      <c r="D777" t="str">
        <f t="shared" si="42"/>
        <v/>
      </c>
      <c r="E777" t="str">
        <f t="shared" si="43"/>
        <v/>
      </c>
      <c r="F777" t="str">
        <f t="shared" si="40"/>
        <v/>
      </c>
    </row>
    <row r="778" spans="4:6" x14ac:dyDescent="0.3">
      <c r="D778" t="str">
        <f t="shared" si="42"/>
        <v/>
      </c>
      <c r="E778" t="str">
        <f t="shared" si="43"/>
        <v/>
      </c>
      <c r="F778" t="str">
        <f t="shared" si="40"/>
        <v/>
      </c>
    </row>
    <row r="779" spans="4:6" x14ac:dyDescent="0.3">
      <c r="D779" t="str">
        <f t="shared" si="42"/>
        <v/>
      </c>
      <c r="E779" t="str">
        <f t="shared" si="43"/>
        <v/>
      </c>
      <c r="F779" t="str">
        <f t="shared" si="40"/>
        <v/>
      </c>
    </row>
    <row r="780" spans="4:6" x14ac:dyDescent="0.3">
      <c r="D780" t="str">
        <f t="shared" si="42"/>
        <v/>
      </c>
      <c r="E780" t="str">
        <f t="shared" si="43"/>
        <v/>
      </c>
      <c r="F780" t="str">
        <f t="shared" si="40"/>
        <v/>
      </c>
    </row>
    <row r="781" spans="4:6" x14ac:dyDescent="0.3">
      <c r="D781" t="str">
        <f t="shared" si="42"/>
        <v/>
      </c>
      <c r="E781" t="str">
        <f t="shared" si="43"/>
        <v/>
      </c>
      <c r="F781" t="str">
        <f t="shared" si="40"/>
        <v/>
      </c>
    </row>
    <row r="782" spans="4:6" x14ac:dyDescent="0.3">
      <c r="D782" t="str">
        <f t="shared" si="42"/>
        <v/>
      </c>
      <c r="E782" t="str">
        <f t="shared" si="43"/>
        <v/>
      </c>
      <c r="F782" t="str">
        <f t="shared" si="40"/>
        <v/>
      </c>
    </row>
    <row r="783" spans="4:6" x14ac:dyDescent="0.3">
      <c r="D783" t="str">
        <f t="shared" si="42"/>
        <v/>
      </c>
      <c r="F783" t="str">
        <f t="shared" si="40"/>
        <v/>
      </c>
    </row>
    <row r="784" spans="4:6" x14ac:dyDescent="0.3">
      <c r="D784" t="str">
        <f t="shared" si="42"/>
        <v/>
      </c>
    </row>
    <row r="785" spans="4:4" x14ac:dyDescent="0.3">
      <c r="D785" t="str">
        <f t="shared" si="42"/>
        <v/>
      </c>
    </row>
    <row r="786" spans="4:4" x14ac:dyDescent="0.3">
      <c r="D786" t="str">
        <f t="shared" si="42"/>
        <v/>
      </c>
    </row>
    <row r="787" spans="4:4" x14ac:dyDescent="0.3">
      <c r="D787" t="str">
        <f t="shared" si="42"/>
        <v/>
      </c>
    </row>
    <row r="788" spans="4:4" x14ac:dyDescent="0.3">
      <c r="D788" t="str">
        <f t="shared" si="42"/>
        <v/>
      </c>
    </row>
    <row r="789" spans="4:4" x14ac:dyDescent="0.3">
      <c r="D789" t="str">
        <f t="shared" si="42"/>
        <v/>
      </c>
    </row>
    <row r="790" spans="4:4" x14ac:dyDescent="0.3">
      <c r="D790" t="str">
        <f t="shared" si="42"/>
        <v/>
      </c>
    </row>
    <row r="791" spans="4:4" x14ac:dyDescent="0.3">
      <c r="D791" t="str">
        <f t="shared" si="42"/>
        <v/>
      </c>
    </row>
    <row r="792" spans="4:4" x14ac:dyDescent="0.3">
      <c r="D792" t="str">
        <f t="shared" si="42"/>
        <v/>
      </c>
    </row>
    <row r="793" spans="4:4" x14ac:dyDescent="0.3">
      <c r="D793" t="str">
        <f t="shared" si="42"/>
        <v/>
      </c>
    </row>
    <row r="794" spans="4:4" x14ac:dyDescent="0.3">
      <c r="D794" t="str">
        <f t="shared" si="42"/>
        <v/>
      </c>
    </row>
    <row r="795" spans="4:4" x14ac:dyDescent="0.3">
      <c r="D795" t="str">
        <f t="shared" si="42"/>
        <v/>
      </c>
    </row>
    <row r="796" spans="4:4" x14ac:dyDescent="0.3">
      <c r="D796" t="str">
        <f t="shared" si="42"/>
        <v/>
      </c>
    </row>
    <row r="797" spans="4:4" x14ac:dyDescent="0.3">
      <c r="D797" t="str">
        <f t="shared" si="42"/>
        <v/>
      </c>
    </row>
    <row r="798" spans="4:4" x14ac:dyDescent="0.3">
      <c r="D798" t="str">
        <f t="shared" si="42"/>
        <v/>
      </c>
    </row>
    <row r="799" spans="4:4" x14ac:dyDescent="0.3">
      <c r="D799" t="str">
        <f t="shared" si="42"/>
        <v/>
      </c>
    </row>
    <row r="800" spans="4:4" x14ac:dyDescent="0.3">
      <c r="D800" t="str">
        <f t="shared" si="42"/>
        <v/>
      </c>
    </row>
    <row r="801" spans="4:4" x14ac:dyDescent="0.3">
      <c r="D801" t="str">
        <f t="shared" si="42"/>
        <v/>
      </c>
    </row>
    <row r="802" spans="4:4" x14ac:dyDescent="0.3">
      <c r="D802" t="str">
        <f t="shared" si="42"/>
        <v/>
      </c>
    </row>
    <row r="803" spans="4:4" x14ac:dyDescent="0.3">
      <c r="D803" t="str">
        <f t="shared" si="42"/>
        <v/>
      </c>
    </row>
    <row r="804" spans="4:4" x14ac:dyDescent="0.3">
      <c r="D804" t="str">
        <f t="shared" si="42"/>
        <v/>
      </c>
    </row>
    <row r="805" spans="4:4" x14ac:dyDescent="0.3">
      <c r="D805" t="str">
        <f t="shared" si="42"/>
        <v/>
      </c>
    </row>
    <row r="806" spans="4:4" x14ac:dyDescent="0.3">
      <c r="D806" t="str">
        <f t="shared" si="42"/>
        <v/>
      </c>
    </row>
    <row r="807" spans="4:4" x14ac:dyDescent="0.3">
      <c r="D807" t="str">
        <f t="shared" si="42"/>
        <v/>
      </c>
    </row>
    <row r="808" spans="4:4" x14ac:dyDescent="0.3">
      <c r="D808" t="str">
        <f t="shared" si="42"/>
        <v/>
      </c>
    </row>
    <row r="809" spans="4:4" x14ac:dyDescent="0.3">
      <c r="D809" t="str">
        <f t="shared" si="42"/>
        <v/>
      </c>
    </row>
    <row r="810" spans="4:4" x14ac:dyDescent="0.3">
      <c r="D810" t="str">
        <f t="shared" si="42"/>
        <v/>
      </c>
    </row>
    <row r="811" spans="4:4" x14ac:dyDescent="0.3">
      <c r="D811" t="str">
        <f t="shared" si="42"/>
        <v/>
      </c>
    </row>
    <row r="812" spans="4:4" x14ac:dyDescent="0.3">
      <c r="D812" t="str">
        <f t="shared" si="42"/>
        <v/>
      </c>
    </row>
    <row r="813" spans="4:4" x14ac:dyDescent="0.3">
      <c r="D813" t="str">
        <f t="shared" si="42"/>
        <v/>
      </c>
    </row>
    <row r="814" spans="4:4" x14ac:dyDescent="0.3">
      <c r="D814" t="str">
        <f t="shared" si="42"/>
        <v/>
      </c>
    </row>
    <row r="815" spans="4:4" x14ac:dyDescent="0.3">
      <c r="D815" t="str">
        <f t="shared" si="42"/>
        <v/>
      </c>
    </row>
    <row r="816" spans="4:4" x14ac:dyDescent="0.3">
      <c r="D816" t="str">
        <f t="shared" si="42"/>
        <v/>
      </c>
    </row>
    <row r="817" spans="4:4" x14ac:dyDescent="0.3">
      <c r="D817" t="str">
        <f t="shared" si="42"/>
        <v/>
      </c>
    </row>
    <row r="818" spans="4:4" x14ac:dyDescent="0.3">
      <c r="D818" t="str">
        <f t="shared" si="42"/>
        <v/>
      </c>
    </row>
    <row r="819" spans="4:4" x14ac:dyDescent="0.3">
      <c r="D819" t="str">
        <f t="shared" si="42"/>
        <v/>
      </c>
    </row>
    <row r="820" spans="4:4" x14ac:dyDescent="0.3">
      <c r="D820" t="str">
        <f t="shared" si="42"/>
        <v/>
      </c>
    </row>
    <row r="821" spans="4:4" x14ac:dyDescent="0.3">
      <c r="D821" t="str">
        <f t="shared" si="42"/>
        <v/>
      </c>
    </row>
    <row r="822" spans="4:4" x14ac:dyDescent="0.3">
      <c r="D822" t="str">
        <f t="shared" si="42"/>
        <v/>
      </c>
    </row>
    <row r="823" spans="4:4" x14ac:dyDescent="0.3">
      <c r="D823" t="str">
        <f t="shared" si="42"/>
        <v/>
      </c>
    </row>
    <row r="824" spans="4:4" x14ac:dyDescent="0.3">
      <c r="D824" t="str">
        <f t="shared" si="42"/>
        <v/>
      </c>
    </row>
    <row r="825" spans="4:4" x14ac:dyDescent="0.3">
      <c r="D825" t="str">
        <f t="shared" si="42"/>
        <v/>
      </c>
    </row>
    <row r="826" spans="4:4" x14ac:dyDescent="0.3">
      <c r="D826" t="str">
        <f t="shared" ref="D826:D889" si="44">IF(LEFT(A826,2)="SP",MID(A826,4,4),IF(LEFT(A826,1)="X",MID(A826,3,4),""))</f>
        <v/>
      </c>
    </row>
    <row r="827" spans="4:4" x14ac:dyDescent="0.3">
      <c r="D827" t="str">
        <f t="shared" si="44"/>
        <v/>
      </c>
    </row>
    <row r="828" spans="4:4" x14ac:dyDescent="0.3">
      <c r="D828" t="str">
        <f t="shared" si="44"/>
        <v/>
      </c>
    </row>
    <row r="829" spans="4:4" x14ac:dyDescent="0.3">
      <c r="D829" t="str">
        <f t="shared" si="44"/>
        <v/>
      </c>
    </row>
    <row r="830" spans="4:4" x14ac:dyDescent="0.3">
      <c r="D830" t="str">
        <f t="shared" si="44"/>
        <v/>
      </c>
    </row>
    <row r="831" spans="4:4" x14ac:dyDescent="0.3">
      <c r="D831" t="str">
        <f t="shared" si="44"/>
        <v/>
      </c>
    </row>
    <row r="832" spans="4:4" x14ac:dyDescent="0.3">
      <c r="D832" t="str">
        <f t="shared" si="44"/>
        <v/>
      </c>
    </row>
    <row r="833" spans="4:4" x14ac:dyDescent="0.3">
      <c r="D833" t="str">
        <f t="shared" si="44"/>
        <v/>
      </c>
    </row>
    <row r="834" spans="4:4" x14ac:dyDescent="0.3">
      <c r="D834" t="str">
        <f t="shared" si="44"/>
        <v/>
      </c>
    </row>
    <row r="835" spans="4:4" x14ac:dyDescent="0.3">
      <c r="D835" t="str">
        <f t="shared" si="44"/>
        <v/>
      </c>
    </row>
    <row r="836" spans="4:4" x14ac:dyDescent="0.3">
      <c r="D836" t="str">
        <f t="shared" si="44"/>
        <v/>
      </c>
    </row>
    <row r="837" spans="4:4" x14ac:dyDescent="0.3">
      <c r="D837" t="str">
        <f t="shared" si="44"/>
        <v/>
      </c>
    </row>
    <row r="838" spans="4:4" x14ac:dyDescent="0.3">
      <c r="D838" t="str">
        <f t="shared" si="44"/>
        <v/>
      </c>
    </row>
    <row r="839" spans="4:4" x14ac:dyDescent="0.3">
      <c r="D839" t="str">
        <f t="shared" si="44"/>
        <v/>
      </c>
    </row>
    <row r="840" spans="4:4" x14ac:dyDescent="0.3">
      <c r="D840" t="str">
        <f t="shared" si="44"/>
        <v/>
      </c>
    </row>
    <row r="841" spans="4:4" x14ac:dyDescent="0.3">
      <c r="D841" t="str">
        <f t="shared" si="44"/>
        <v/>
      </c>
    </row>
    <row r="842" spans="4:4" x14ac:dyDescent="0.3">
      <c r="D842" t="str">
        <f t="shared" si="44"/>
        <v/>
      </c>
    </row>
    <row r="843" spans="4:4" x14ac:dyDescent="0.3">
      <c r="D843" t="str">
        <f t="shared" si="44"/>
        <v/>
      </c>
    </row>
    <row r="844" spans="4:4" x14ac:dyDescent="0.3">
      <c r="D844" t="str">
        <f t="shared" si="44"/>
        <v/>
      </c>
    </row>
    <row r="845" spans="4:4" x14ac:dyDescent="0.3">
      <c r="D845" t="str">
        <f t="shared" si="44"/>
        <v/>
      </c>
    </row>
    <row r="846" spans="4:4" x14ac:dyDescent="0.3">
      <c r="D846" t="str">
        <f t="shared" si="44"/>
        <v/>
      </c>
    </row>
    <row r="847" spans="4:4" x14ac:dyDescent="0.3">
      <c r="D847" t="str">
        <f t="shared" si="44"/>
        <v/>
      </c>
    </row>
    <row r="848" spans="4:4" x14ac:dyDescent="0.3">
      <c r="D848" t="str">
        <f t="shared" si="44"/>
        <v/>
      </c>
    </row>
    <row r="849" spans="4:4" x14ac:dyDescent="0.3">
      <c r="D849" t="str">
        <f t="shared" si="44"/>
        <v/>
      </c>
    </row>
    <row r="850" spans="4:4" x14ac:dyDescent="0.3">
      <c r="D850" t="str">
        <f t="shared" si="44"/>
        <v/>
      </c>
    </row>
    <row r="851" spans="4:4" x14ac:dyDescent="0.3">
      <c r="D851" t="str">
        <f t="shared" si="44"/>
        <v/>
      </c>
    </row>
    <row r="852" spans="4:4" x14ac:dyDescent="0.3">
      <c r="D852" t="str">
        <f t="shared" si="44"/>
        <v/>
      </c>
    </row>
    <row r="853" spans="4:4" x14ac:dyDescent="0.3">
      <c r="D853" t="str">
        <f t="shared" si="44"/>
        <v/>
      </c>
    </row>
    <row r="854" spans="4:4" x14ac:dyDescent="0.3">
      <c r="D854" t="str">
        <f t="shared" si="44"/>
        <v/>
      </c>
    </row>
    <row r="855" spans="4:4" x14ac:dyDescent="0.3">
      <c r="D855" t="str">
        <f t="shared" si="44"/>
        <v/>
      </c>
    </row>
    <row r="856" spans="4:4" x14ac:dyDescent="0.3">
      <c r="D856" t="str">
        <f t="shared" si="44"/>
        <v/>
      </c>
    </row>
    <row r="857" spans="4:4" x14ac:dyDescent="0.3">
      <c r="D857" t="str">
        <f t="shared" si="44"/>
        <v/>
      </c>
    </row>
    <row r="858" spans="4:4" x14ac:dyDescent="0.3">
      <c r="D858" t="str">
        <f t="shared" si="44"/>
        <v/>
      </c>
    </row>
    <row r="859" spans="4:4" x14ac:dyDescent="0.3">
      <c r="D859" t="str">
        <f t="shared" si="44"/>
        <v/>
      </c>
    </row>
    <row r="860" spans="4:4" x14ac:dyDescent="0.3">
      <c r="D860" t="str">
        <f t="shared" si="44"/>
        <v/>
      </c>
    </row>
    <row r="861" spans="4:4" x14ac:dyDescent="0.3">
      <c r="D861" t="str">
        <f t="shared" si="44"/>
        <v/>
      </c>
    </row>
    <row r="862" spans="4:4" x14ac:dyDescent="0.3">
      <c r="D862" t="str">
        <f t="shared" si="44"/>
        <v/>
      </c>
    </row>
    <row r="863" spans="4:4" x14ac:dyDescent="0.3">
      <c r="D863" t="str">
        <f t="shared" si="44"/>
        <v/>
      </c>
    </row>
    <row r="864" spans="4:4" x14ac:dyDescent="0.3">
      <c r="D864" t="str">
        <f t="shared" si="44"/>
        <v/>
      </c>
    </row>
    <row r="865" spans="4:4" x14ac:dyDescent="0.3">
      <c r="D865" t="str">
        <f t="shared" si="44"/>
        <v/>
      </c>
    </row>
    <row r="866" spans="4:4" x14ac:dyDescent="0.3">
      <c r="D866" t="str">
        <f t="shared" si="44"/>
        <v/>
      </c>
    </row>
    <row r="867" spans="4:4" x14ac:dyDescent="0.3">
      <c r="D867" t="str">
        <f t="shared" si="44"/>
        <v/>
      </c>
    </row>
    <row r="868" spans="4:4" x14ac:dyDescent="0.3">
      <c r="D868" t="str">
        <f t="shared" si="44"/>
        <v/>
      </c>
    </row>
    <row r="869" spans="4:4" x14ac:dyDescent="0.3">
      <c r="D869" t="str">
        <f t="shared" si="44"/>
        <v/>
      </c>
    </row>
    <row r="870" spans="4:4" x14ac:dyDescent="0.3">
      <c r="D870" t="str">
        <f t="shared" si="44"/>
        <v/>
      </c>
    </row>
    <row r="871" spans="4:4" x14ac:dyDescent="0.3">
      <c r="D871" t="str">
        <f t="shared" si="44"/>
        <v/>
      </c>
    </row>
    <row r="872" spans="4:4" x14ac:dyDescent="0.3">
      <c r="D872" t="str">
        <f t="shared" si="44"/>
        <v/>
      </c>
    </row>
    <row r="873" spans="4:4" x14ac:dyDescent="0.3">
      <c r="D873" t="str">
        <f t="shared" si="44"/>
        <v/>
      </c>
    </row>
    <row r="874" spans="4:4" x14ac:dyDescent="0.3">
      <c r="D874" t="str">
        <f t="shared" si="44"/>
        <v/>
      </c>
    </row>
    <row r="875" spans="4:4" x14ac:dyDescent="0.3">
      <c r="D875" t="str">
        <f t="shared" si="44"/>
        <v/>
      </c>
    </row>
    <row r="876" spans="4:4" x14ac:dyDescent="0.3">
      <c r="D876" t="str">
        <f t="shared" si="44"/>
        <v/>
      </c>
    </row>
    <row r="877" spans="4:4" x14ac:dyDescent="0.3">
      <c r="D877" t="str">
        <f t="shared" si="44"/>
        <v/>
      </c>
    </row>
    <row r="878" spans="4:4" x14ac:dyDescent="0.3">
      <c r="D878" t="str">
        <f t="shared" si="44"/>
        <v/>
      </c>
    </row>
    <row r="879" spans="4:4" x14ac:dyDescent="0.3">
      <c r="D879" t="str">
        <f t="shared" si="44"/>
        <v/>
      </c>
    </row>
    <row r="880" spans="4:4" x14ac:dyDescent="0.3">
      <c r="D880" t="str">
        <f t="shared" si="44"/>
        <v/>
      </c>
    </row>
    <row r="881" spans="4:4" x14ac:dyDescent="0.3">
      <c r="D881" t="str">
        <f t="shared" si="44"/>
        <v/>
      </c>
    </row>
    <row r="882" spans="4:4" x14ac:dyDescent="0.3">
      <c r="D882" t="str">
        <f t="shared" si="44"/>
        <v/>
      </c>
    </row>
    <row r="883" spans="4:4" x14ac:dyDescent="0.3">
      <c r="D883" t="str">
        <f t="shared" si="44"/>
        <v/>
      </c>
    </row>
    <row r="884" spans="4:4" x14ac:dyDescent="0.3">
      <c r="D884" t="str">
        <f t="shared" si="44"/>
        <v/>
      </c>
    </row>
    <row r="885" spans="4:4" x14ac:dyDescent="0.3">
      <c r="D885" t="str">
        <f t="shared" si="44"/>
        <v/>
      </c>
    </row>
    <row r="886" spans="4:4" x14ac:dyDescent="0.3">
      <c r="D886" t="str">
        <f t="shared" si="44"/>
        <v/>
      </c>
    </row>
    <row r="887" spans="4:4" x14ac:dyDescent="0.3">
      <c r="D887" t="str">
        <f t="shared" si="44"/>
        <v/>
      </c>
    </row>
    <row r="888" spans="4:4" x14ac:dyDescent="0.3">
      <c r="D888" t="str">
        <f t="shared" si="44"/>
        <v/>
      </c>
    </row>
    <row r="889" spans="4:4" x14ac:dyDescent="0.3">
      <c r="D889" t="str">
        <f t="shared" si="44"/>
        <v/>
      </c>
    </row>
    <row r="890" spans="4:4" x14ac:dyDescent="0.3">
      <c r="D890" t="str">
        <f t="shared" ref="D890:D953" si="45">IF(LEFT(A890,2)="SP",MID(A890,4,4),IF(LEFT(A890,1)="X",MID(A890,3,4),""))</f>
        <v/>
      </c>
    </row>
    <row r="891" spans="4:4" x14ac:dyDescent="0.3">
      <c r="D891" t="str">
        <f t="shared" si="45"/>
        <v/>
      </c>
    </row>
    <row r="892" spans="4:4" x14ac:dyDescent="0.3">
      <c r="D892" t="str">
        <f t="shared" si="45"/>
        <v/>
      </c>
    </row>
    <row r="893" spans="4:4" x14ac:dyDescent="0.3">
      <c r="D893" t="str">
        <f t="shared" si="45"/>
        <v/>
      </c>
    </row>
    <row r="894" spans="4:4" x14ac:dyDescent="0.3">
      <c r="D894" t="str">
        <f t="shared" si="45"/>
        <v/>
      </c>
    </row>
    <row r="895" spans="4:4" x14ac:dyDescent="0.3">
      <c r="D895" t="str">
        <f t="shared" si="45"/>
        <v/>
      </c>
    </row>
    <row r="896" spans="4:4" x14ac:dyDescent="0.3">
      <c r="D896" t="str">
        <f t="shared" si="45"/>
        <v/>
      </c>
    </row>
    <row r="897" spans="4:4" x14ac:dyDescent="0.3">
      <c r="D897" t="str">
        <f t="shared" si="45"/>
        <v/>
      </c>
    </row>
    <row r="898" spans="4:4" x14ac:dyDescent="0.3">
      <c r="D898" t="str">
        <f t="shared" si="45"/>
        <v/>
      </c>
    </row>
    <row r="899" spans="4:4" x14ac:dyDescent="0.3">
      <c r="D899" t="str">
        <f t="shared" si="45"/>
        <v/>
      </c>
    </row>
    <row r="900" spans="4:4" x14ac:dyDescent="0.3">
      <c r="D900" t="str">
        <f t="shared" si="45"/>
        <v/>
      </c>
    </row>
    <row r="901" spans="4:4" x14ac:dyDescent="0.3">
      <c r="D901" t="str">
        <f t="shared" si="45"/>
        <v/>
      </c>
    </row>
    <row r="902" spans="4:4" x14ac:dyDescent="0.3">
      <c r="D902" t="str">
        <f t="shared" si="45"/>
        <v/>
      </c>
    </row>
    <row r="903" spans="4:4" x14ac:dyDescent="0.3">
      <c r="D903" t="str">
        <f t="shared" si="45"/>
        <v/>
      </c>
    </row>
    <row r="904" spans="4:4" x14ac:dyDescent="0.3">
      <c r="D904" t="str">
        <f t="shared" si="45"/>
        <v/>
      </c>
    </row>
    <row r="905" spans="4:4" x14ac:dyDescent="0.3">
      <c r="D905" t="str">
        <f t="shared" si="45"/>
        <v/>
      </c>
    </row>
    <row r="906" spans="4:4" x14ac:dyDescent="0.3">
      <c r="D906" t="str">
        <f t="shared" si="45"/>
        <v/>
      </c>
    </row>
    <row r="907" spans="4:4" x14ac:dyDescent="0.3">
      <c r="D907" t="str">
        <f t="shared" si="45"/>
        <v/>
      </c>
    </row>
    <row r="908" spans="4:4" x14ac:dyDescent="0.3">
      <c r="D908" t="str">
        <f t="shared" si="45"/>
        <v/>
      </c>
    </row>
    <row r="909" spans="4:4" x14ac:dyDescent="0.3">
      <c r="D909" t="str">
        <f t="shared" si="45"/>
        <v/>
      </c>
    </row>
    <row r="910" spans="4:4" x14ac:dyDescent="0.3">
      <c r="D910" t="str">
        <f t="shared" si="45"/>
        <v/>
      </c>
    </row>
    <row r="911" spans="4:4" x14ac:dyDescent="0.3">
      <c r="D911" t="str">
        <f t="shared" si="45"/>
        <v/>
      </c>
    </row>
    <row r="912" spans="4:4" x14ac:dyDescent="0.3">
      <c r="D912" t="str">
        <f t="shared" si="45"/>
        <v/>
      </c>
    </row>
    <row r="913" spans="4:4" x14ac:dyDescent="0.3">
      <c r="D913" t="str">
        <f t="shared" si="45"/>
        <v/>
      </c>
    </row>
    <row r="914" spans="4:4" x14ac:dyDescent="0.3">
      <c r="D914" t="str">
        <f t="shared" si="45"/>
        <v/>
      </c>
    </row>
    <row r="915" spans="4:4" x14ac:dyDescent="0.3">
      <c r="D915" t="str">
        <f t="shared" si="45"/>
        <v/>
      </c>
    </row>
    <row r="916" spans="4:4" x14ac:dyDescent="0.3">
      <c r="D916" t="str">
        <f t="shared" si="45"/>
        <v/>
      </c>
    </row>
    <row r="917" spans="4:4" x14ac:dyDescent="0.3">
      <c r="D917" t="str">
        <f t="shared" si="45"/>
        <v/>
      </c>
    </row>
    <row r="918" spans="4:4" x14ac:dyDescent="0.3">
      <c r="D918" t="str">
        <f t="shared" si="45"/>
        <v/>
      </c>
    </row>
    <row r="919" spans="4:4" x14ac:dyDescent="0.3">
      <c r="D919" t="str">
        <f t="shared" si="45"/>
        <v/>
      </c>
    </row>
    <row r="920" spans="4:4" x14ac:dyDescent="0.3">
      <c r="D920" t="str">
        <f t="shared" si="45"/>
        <v/>
      </c>
    </row>
    <row r="921" spans="4:4" x14ac:dyDescent="0.3">
      <c r="D921" t="str">
        <f t="shared" si="45"/>
        <v/>
      </c>
    </row>
    <row r="922" spans="4:4" x14ac:dyDescent="0.3">
      <c r="D922" t="str">
        <f t="shared" si="45"/>
        <v/>
      </c>
    </row>
    <row r="923" spans="4:4" x14ac:dyDescent="0.3">
      <c r="D923" t="str">
        <f t="shared" si="45"/>
        <v/>
      </c>
    </row>
    <row r="924" spans="4:4" x14ac:dyDescent="0.3">
      <c r="D924" t="str">
        <f t="shared" si="45"/>
        <v/>
      </c>
    </row>
    <row r="925" spans="4:4" x14ac:dyDescent="0.3">
      <c r="D925" t="str">
        <f t="shared" si="45"/>
        <v/>
      </c>
    </row>
    <row r="926" spans="4:4" x14ac:dyDescent="0.3">
      <c r="D926" t="str">
        <f t="shared" si="45"/>
        <v/>
      </c>
    </row>
    <row r="927" spans="4:4" x14ac:dyDescent="0.3">
      <c r="D927" t="str">
        <f t="shared" si="45"/>
        <v/>
      </c>
    </row>
    <row r="928" spans="4:4" x14ac:dyDescent="0.3">
      <c r="D928" t="str">
        <f t="shared" si="45"/>
        <v/>
      </c>
    </row>
    <row r="929" spans="4:4" x14ac:dyDescent="0.3">
      <c r="D929" t="str">
        <f t="shared" si="45"/>
        <v/>
      </c>
    </row>
    <row r="930" spans="4:4" x14ac:dyDescent="0.3">
      <c r="D930" t="str">
        <f t="shared" si="45"/>
        <v/>
      </c>
    </row>
    <row r="931" spans="4:4" x14ac:dyDescent="0.3">
      <c r="D931" t="str">
        <f t="shared" si="45"/>
        <v/>
      </c>
    </row>
    <row r="932" spans="4:4" x14ac:dyDescent="0.3">
      <c r="D932" t="str">
        <f t="shared" si="45"/>
        <v/>
      </c>
    </row>
    <row r="933" spans="4:4" x14ac:dyDescent="0.3">
      <c r="D933" t="str">
        <f t="shared" si="45"/>
        <v/>
      </c>
    </row>
    <row r="934" spans="4:4" x14ac:dyDescent="0.3">
      <c r="D934" t="str">
        <f t="shared" si="45"/>
        <v/>
      </c>
    </row>
    <row r="935" spans="4:4" x14ac:dyDescent="0.3">
      <c r="D935" t="str">
        <f t="shared" si="45"/>
        <v/>
      </c>
    </row>
    <row r="936" spans="4:4" x14ac:dyDescent="0.3">
      <c r="D936" t="str">
        <f t="shared" si="45"/>
        <v/>
      </c>
    </row>
    <row r="937" spans="4:4" x14ac:dyDescent="0.3">
      <c r="D937" t="str">
        <f t="shared" si="45"/>
        <v/>
      </c>
    </row>
    <row r="938" spans="4:4" x14ac:dyDescent="0.3">
      <c r="D938" t="str">
        <f t="shared" si="45"/>
        <v/>
      </c>
    </row>
    <row r="939" spans="4:4" x14ac:dyDescent="0.3">
      <c r="D939" t="str">
        <f t="shared" si="45"/>
        <v/>
      </c>
    </row>
    <row r="940" spans="4:4" x14ac:dyDescent="0.3">
      <c r="D940" t="str">
        <f t="shared" si="45"/>
        <v/>
      </c>
    </row>
    <row r="941" spans="4:4" x14ac:dyDescent="0.3">
      <c r="D941" t="str">
        <f t="shared" si="45"/>
        <v/>
      </c>
    </row>
    <row r="942" spans="4:4" x14ac:dyDescent="0.3">
      <c r="D942" t="str">
        <f t="shared" si="45"/>
        <v/>
      </c>
    </row>
    <row r="943" spans="4:4" x14ac:dyDescent="0.3">
      <c r="D943" t="str">
        <f t="shared" si="45"/>
        <v/>
      </c>
    </row>
    <row r="944" spans="4:4" x14ac:dyDescent="0.3">
      <c r="D944" t="str">
        <f t="shared" si="45"/>
        <v/>
      </c>
    </row>
    <row r="945" spans="4:4" x14ac:dyDescent="0.3">
      <c r="D945" t="str">
        <f t="shared" si="45"/>
        <v/>
      </c>
    </row>
    <row r="946" spans="4:4" x14ac:dyDescent="0.3">
      <c r="D946" t="str">
        <f t="shared" si="45"/>
        <v/>
      </c>
    </row>
    <row r="947" spans="4:4" x14ac:dyDescent="0.3">
      <c r="D947" t="str">
        <f t="shared" si="45"/>
        <v/>
      </c>
    </row>
    <row r="948" spans="4:4" x14ac:dyDescent="0.3">
      <c r="D948" t="str">
        <f t="shared" si="45"/>
        <v/>
      </c>
    </row>
    <row r="949" spans="4:4" x14ac:dyDescent="0.3">
      <c r="D949" t="str">
        <f t="shared" si="45"/>
        <v/>
      </c>
    </row>
    <row r="950" spans="4:4" x14ac:dyDescent="0.3">
      <c r="D950" t="str">
        <f t="shared" si="45"/>
        <v/>
      </c>
    </row>
    <row r="951" spans="4:4" x14ac:dyDescent="0.3">
      <c r="D951" t="str">
        <f t="shared" si="45"/>
        <v/>
      </c>
    </row>
    <row r="952" spans="4:4" x14ac:dyDescent="0.3">
      <c r="D952" t="str">
        <f t="shared" si="45"/>
        <v/>
      </c>
    </row>
    <row r="953" spans="4:4" x14ac:dyDescent="0.3">
      <c r="D953" t="str">
        <f t="shared" si="45"/>
        <v/>
      </c>
    </row>
    <row r="954" spans="4:4" x14ac:dyDescent="0.3">
      <c r="D954" t="str">
        <f t="shared" ref="D954:D1017" si="46">IF(LEFT(A954,2)="SP",MID(A954,4,4),IF(LEFT(A954,1)="X",MID(A954,3,4),""))</f>
        <v/>
      </c>
    </row>
    <row r="955" spans="4:4" x14ac:dyDescent="0.3">
      <c r="D955" t="str">
        <f t="shared" si="46"/>
        <v/>
      </c>
    </row>
    <row r="956" spans="4:4" x14ac:dyDescent="0.3">
      <c r="D956" t="str">
        <f t="shared" si="46"/>
        <v/>
      </c>
    </row>
    <row r="957" spans="4:4" x14ac:dyDescent="0.3">
      <c r="D957" t="str">
        <f t="shared" si="46"/>
        <v/>
      </c>
    </row>
    <row r="958" spans="4:4" x14ac:dyDescent="0.3">
      <c r="D958" t="str">
        <f t="shared" si="46"/>
        <v/>
      </c>
    </row>
    <row r="959" spans="4:4" x14ac:dyDescent="0.3">
      <c r="D959" t="str">
        <f t="shared" si="46"/>
        <v/>
      </c>
    </row>
    <row r="960" spans="4:4" x14ac:dyDescent="0.3">
      <c r="D960" t="str">
        <f t="shared" si="46"/>
        <v/>
      </c>
    </row>
    <row r="961" spans="4:4" x14ac:dyDescent="0.3">
      <c r="D961" t="str">
        <f t="shared" si="46"/>
        <v/>
      </c>
    </row>
    <row r="962" spans="4:4" x14ac:dyDescent="0.3">
      <c r="D962" t="str">
        <f t="shared" si="46"/>
        <v/>
      </c>
    </row>
    <row r="963" spans="4:4" x14ac:dyDescent="0.3">
      <c r="D963" t="str">
        <f t="shared" si="46"/>
        <v/>
      </c>
    </row>
    <row r="964" spans="4:4" x14ac:dyDescent="0.3">
      <c r="D964" t="str">
        <f t="shared" si="46"/>
        <v/>
      </c>
    </row>
    <row r="965" spans="4:4" x14ac:dyDescent="0.3">
      <c r="D965" t="str">
        <f t="shared" si="46"/>
        <v/>
      </c>
    </row>
    <row r="966" spans="4:4" x14ac:dyDescent="0.3">
      <c r="D966" t="str">
        <f t="shared" si="46"/>
        <v/>
      </c>
    </row>
    <row r="967" spans="4:4" x14ac:dyDescent="0.3">
      <c r="D967" t="str">
        <f t="shared" si="46"/>
        <v/>
      </c>
    </row>
    <row r="968" spans="4:4" x14ac:dyDescent="0.3">
      <c r="D968" t="str">
        <f t="shared" si="46"/>
        <v/>
      </c>
    </row>
    <row r="969" spans="4:4" x14ac:dyDescent="0.3">
      <c r="D969" t="str">
        <f t="shared" si="46"/>
        <v/>
      </c>
    </row>
    <row r="970" spans="4:4" x14ac:dyDescent="0.3">
      <c r="D970" t="str">
        <f t="shared" si="46"/>
        <v/>
      </c>
    </row>
    <row r="971" spans="4:4" x14ac:dyDescent="0.3">
      <c r="D971" t="str">
        <f t="shared" si="46"/>
        <v/>
      </c>
    </row>
    <row r="972" spans="4:4" x14ac:dyDescent="0.3">
      <c r="D972" t="str">
        <f t="shared" si="46"/>
        <v/>
      </c>
    </row>
    <row r="973" spans="4:4" x14ac:dyDescent="0.3">
      <c r="D973" t="str">
        <f t="shared" si="46"/>
        <v/>
      </c>
    </row>
    <row r="974" spans="4:4" x14ac:dyDescent="0.3">
      <c r="D974" t="str">
        <f t="shared" si="46"/>
        <v/>
      </c>
    </row>
    <row r="975" spans="4:4" x14ac:dyDescent="0.3">
      <c r="D975" t="str">
        <f t="shared" si="46"/>
        <v/>
      </c>
    </row>
    <row r="976" spans="4:4" x14ac:dyDescent="0.3">
      <c r="D976" t="str">
        <f t="shared" si="46"/>
        <v/>
      </c>
    </row>
    <row r="977" spans="4:4" x14ac:dyDescent="0.3">
      <c r="D977" t="str">
        <f t="shared" si="46"/>
        <v/>
      </c>
    </row>
    <row r="978" spans="4:4" x14ac:dyDescent="0.3">
      <c r="D978" t="str">
        <f t="shared" si="46"/>
        <v/>
      </c>
    </row>
    <row r="979" spans="4:4" x14ac:dyDescent="0.3">
      <c r="D979" t="str">
        <f t="shared" si="46"/>
        <v/>
      </c>
    </row>
    <row r="980" spans="4:4" x14ac:dyDescent="0.3">
      <c r="D980" t="str">
        <f t="shared" si="46"/>
        <v/>
      </c>
    </row>
    <row r="981" spans="4:4" x14ac:dyDescent="0.3">
      <c r="D981" t="str">
        <f t="shared" si="46"/>
        <v/>
      </c>
    </row>
    <row r="982" spans="4:4" x14ac:dyDescent="0.3">
      <c r="D982" t="str">
        <f t="shared" si="46"/>
        <v/>
      </c>
    </row>
    <row r="983" spans="4:4" x14ac:dyDescent="0.3">
      <c r="D983" t="str">
        <f t="shared" si="46"/>
        <v/>
      </c>
    </row>
    <row r="984" spans="4:4" x14ac:dyDescent="0.3">
      <c r="D984" t="str">
        <f t="shared" si="46"/>
        <v/>
      </c>
    </row>
    <row r="985" spans="4:4" x14ac:dyDescent="0.3">
      <c r="D985" t="str">
        <f t="shared" si="46"/>
        <v/>
      </c>
    </row>
    <row r="986" spans="4:4" x14ac:dyDescent="0.3">
      <c r="D986" t="str">
        <f t="shared" si="46"/>
        <v/>
      </c>
    </row>
    <row r="987" spans="4:4" x14ac:dyDescent="0.3">
      <c r="D987" t="str">
        <f t="shared" si="46"/>
        <v/>
      </c>
    </row>
    <row r="988" spans="4:4" x14ac:dyDescent="0.3">
      <c r="D988" t="str">
        <f t="shared" si="46"/>
        <v/>
      </c>
    </row>
    <row r="989" spans="4:4" x14ac:dyDescent="0.3">
      <c r="D989" t="str">
        <f t="shared" si="46"/>
        <v/>
      </c>
    </row>
    <row r="990" spans="4:4" x14ac:dyDescent="0.3">
      <c r="D990" t="str">
        <f t="shared" si="46"/>
        <v/>
      </c>
    </row>
    <row r="991" spans="4:4" x14ac:dyDescent="0.3">
      <c r="D991" t="str">
        <f t="shared" si="46"/>
        <v/>
      </c>
    </row>
    <row r="992" spans="4:4" x14ac:dyDescent="0.3">
      <c r="D992" t="str">
        <f t="shared" si="46"/>
        <v/>
      </c>
    </row>
    <row r="993" spans="4:4" x14ac:dyDescent="0.3">
      <c r="D993" t="str">
        <f t="shared" si="46"/>
        <v/>
      </c>
    </row>
    <row r="994" spans="4:4" x14ac:dyDescent="0.3">
      <c r="D994" t="str">
        <f t="shared" si="46"/>
        <v/>
      </c>
    </row>
    <row r="995" spans="4:4" x14ac:dyDescent="0.3">
      <c r="D995" t="str">
        <f t="shared" si="46"/>
        <v/>
      </c>
    </row>
    <row r="996" spans="4:4" x14ac:dyDescent="0.3">
      <c r="D996" t="str">
        <f t="shared" si="46"/>
        <v/>
      </c>
    </row>
    <row r="997" spans="4:4" x14ac:dyDescent="0.3">
      <c r="D997" t="str">
        <f t="shared" si="46"/>
        <v/>
      </c>
    </row>
    <row r="998" spans="4:4" x14ac:dyDescent="0.3">
      <c r="D998" t="str">
        <f t="shared" si="46"/>
        <v/>
      </c>
    </row>
    <row r="999" spans="4:4" x14ac:dyDescent="0.3">
      <c r="D999" t="str">
        <f t="shared" si="46"/>
        <v/>
      </c>
    </row>
    <row r="1000" spans="4:4" x14ac:dyDescent="0.3">
      <c r="D1000" t="str">
        <f t="shared" si="46"/>
        <v/>
      </c>
    </row>
    <row r="1001" spans="4:4" x14ac:dyDescent="0.3">
      <c r="D1001" t="str">
        <f t="shared" si="46"/>
        <v/>
      </c>
    </row>
    <row r="1002" spans="4:4" x14ac:dyDescent="0.3">
      <c r="D1002" t="str">
        <f t="shared" si="46"/>
        <v/>
      </c>
    </row>
    <row r="1003" spans="4:4" x14ac:dyDescent="0.3">
      <c r="D1003" t="str">
        <f t="shared" si="46"/>
        <v/>
      </c>
    </row>
    <row r="1004" spans="4:4" x14ac:dyDescent="0.3">
      <c r="D1004" t="str">
        <f t="shared" si="46"/>
        <v/>
      </c>
    </row>
    <row r="1005" spans="4:4" x14ac:dyDescent="0.3">
      <c r="D1005" t="str">
        <f t="shared" si="46"/>
        <v/>
      </c>
    </row>
    <row r="1006" spans="4:4" x14ac:dyDescent="0.3">
      <c r="D1006" t="str">
        <f t="shared" si="46"/>
        <v/>
      </c>
    </row>
    <row r="1007" spans="4:4" x14ac:dyDescent="0.3">
      <c r="D1007" t="str">
        <f t="shared" si="46"/>
        <v/>
      </c>
    </row>
    <row r="1008" spans="4:4" x14ac:dyDescent="0.3">
      <c r="D1008" t="str">
        <f t="shared" si="46"/>
        <v/>
      </c>
    </row>
    <row r="1009" spans="4:4" x14ac:dyDescent="0.3">
      <c r="D1009" t="str">
        <f t="shared" si="46"/>
        <v/>
      </c>
    </row>
    <row r="1010" spans="4:4" x14ac:dyDescent="0.3">
      <c r="D1010" t="str">
        <f t="shared" si="46"/>
        <v/>
      </c>
    </row>
    <row r="1011" spans="4:4" x14ac:dyDescent="0.3">
      <c r="D1011" t="str">
        <f t="shared" si="46"/>
        <v/>
      </c>
    </row>
    <row r="1012" spans="4:4" x14ac:dyDescent="0.3">
      <c r="D1012" t="str">
        <f t="shared" si="46"/>
        <v/>
      </c>
    </row>
    <row r="1013" spans="4:4" x14ac:dyDescent="0.3">
      <c r="D1013" t="str">
        <f t="shared" si="46"/>
        <v/>
      </c>
    </row>
    <row r="1014" spans="4:4" x14ac:dyDescent="0.3">
      <c r="D1014" t="str">
        <f t="shared" si="46"/>
        <v/>
      </c>
    </row>
    <row r="1015" spans="4:4" x14ac:dyDescent="0.3">
      <c r="D1015" t="str">
        <f t="shared" si="46"/>
        <v/>
      </c>
    </row>
    <row r="1016" spans="4:4" x14ac:dyDescent="0.3">
      <c r="D1016" t="str">
        <f t="shared" si="46"/>
        <v/>
      </c>
    </row>
    <row r="1017" spans="4:4" x14ac:dyDescent="0.3">
      <c r="D1017" t="str">
        <f t="shared" si="46"/>
        <v/>
      </c>
    </row>
    <row r="1018" spans="4:4" x14ac:dyDescent="0.3">
      <c r="D1018" t="str">
        <f t="shared" ref="D1018:D1081" si="47">IF(LEFT(A1018,2)="SP",MID(A1018,4,4),IF(LEFT(A1018,1)="X",MID(A1018,3,4),""))</f>
        <v/>
      </c>
    </row>
    <row r="1019" spans="4:4" x14ac:dyDescent="0.3">
      <c r="D1019" t="str">
        <f t="shared" si="47"/>
        <v/>
      </c>
    </row>
    <row r="1020" spans="4:4" x14ac:dyDescent="0.3">
      <c r="D1020" t="str">
        <f t="shared" si="47"/>
        <v/>
      </c>
    </row>
    <row r="1021" spans="4:4" x14ac:dyDescent="0.3">
      <c r="D1021" t="str">
        <f t="shared" si="47"/>
        <v/>
      </c>
    </row>
    <row r="1022" spans="4:4" x14ac:dyDescent="0.3">
      <c r="D1022" t="str">
        <f t="shared" si="47"/>
        <v/>
      </c>
    </row>
    <row r="1023" spans="4:4" x14ac:dyDescent="0.3">
      <c r="D1023" t="str">
        <f t="shared" si="47"/>
        <v/>
      </c>
    </row>
    <row r="1024" spans="4:4" x14ac:dyDescent="0.3">
      <c r="D1024" t="str">
        <f t="shared" si="47"/>
        <v/>
      </c>
    </row>
    <row r="1025" spans="4:4" x14ac:dyDescent="0.3">
      <c r="D1025" t="str">
        <f t="shared" si="47"/>
        <v/>
      </c>
    </row>
    <row r="1026" spans="4:4" x14ac:dyDescent="0.3">
      <c r="D1026" t="str">
        <f t="shared" si="47"/>
        <v/>
      </c>
    </row>
    <row r="1027" spans="4:4" x14ac:dyDescent="0.3">
      <c r="D1027" t="str">
        <f t="shared" si="47"/>
        <v/>
      </c>
    </row>
    <row r="1028" spans="4:4" x14ac:dyDescent="0.3">
      <c r="D1028" t="str">
        <f t="shared" si="47"/>
        <v/>
      </c>
    </row>
    <row r="1029" spans="4:4" x14ac:dyDescent="0.3">
      <c r="D1029" t="str">
        <f t="shared" si="47"/>
        <v/>
      </c>
    </row>
    <row r="1030" spans="4:4" x14ac:dyDescent="0.3">
      <c r="D1030" t="str">
        <f t="shared" si="47"/>
        <v/>
      </c>
    </row>
    <row r="1031" spans="4:4" x14ac:dyDescent="0.3">
      <c r="D1031" t="str">
        <f t="shared" si="47"/>
        <v/>
      </c>
    </row>
    <row r="1032" spans="4:4" x14ac:dyDescent="0.3">
      <c r="D1032" t="str">
        <f t="shared" si="47"/>
        <v/>
      </c>
    </row>
    <row r="1033" spans="4:4" x14ac:dyDescent="0.3">
      <c r="D1033" t="str">
        <f t="shared" si="47"/>
        <v/>
      </c>
    </row>
    <row r="1034" spans="4:4" x14ac:dyDescent="0.3">
      <c r="D1034" t="str">
        <f t="shared" si="47"/>
        <v/>
      </c>
    </row>
    <row r="1035" spans="4:4" x14ac:dyDescent="0.3">
      <c r="D1035" t="str">
        <f t="shared" si="47"/>
        <v/>
      </c>
    </row>
    <row r="1036" spans="4:4" x14ac:dyDescent="0.3">
      <c r="D1036" t="str">
        <f t="shared" si="47"/>
        <v/>
      </c>
    </row>
    <row r="1037" spans="4:4" x14ac:dyDescent="0.3">
      <c r="D1037" t="str">
        <f t="shared" si="47"/>
        <v/>
      </c>
    </row>
    <row r="1038" spans="4:4" x14ac:dyDescent="0.3">
      <c r="D1038" t="str">
        <f t="shared" si="47"/>
        <v/>
      </c>
    </row>
    <row r="1039" spans="4:4" x14ac:dyDescent="0.3">
      <c r="D1039" t="str">
        <f t="shared" si="47"/>
        <v/>
      </c>
    </row>
    <row r="1040" spans="4:4" x14ac:dyDescent="0.3">
      <c r="D1040" t="str">
        <f t="shared" si="47"/>
        <v/>
      </c>
    </row>
    <row r="1041" spans="4:4" x14ac:dyDescent="0.3">
      <c r="D1041" t="str">
        <f t="shared" si="47"/>
        <v/>
      </c>
    </row>
    <row r="1042" spans="4:4" x14ac:dyDescent="0.3">
      <c r="D1042" t="str">
        <f t="shared" si="47"/>
        <v/>
      </c>
    </row>
    <row r="1043" spans="4:4" x14ac:dyDescent="0.3">
      <c r="D1043" t="str">
        <f t="shared" si="47"/>
        <v/>
      </c>
    </row>
    <row r="1044" spans="4:4" x14ac:dyDescent="0.3">
      <c r="D1044" t="str">
        <f t="shared" si="47"/>
        <v/>
      </c>
    </row>
    <row r="1045" spans="4:4" x14ac:dyDescent="0.3">
      <c r="D1045" t="str">
        <f t="shared" si="47"/>
        <v/>
      </c>
    </row>
    <row r="1046" spans="4:4" x14ac:dyDescent="0.3">
      <c r="D1046" t="str">
        <f t="shared" si="47"/>
        <v/>
      </c>
    </row>
    <row r="1047" spans="4:4" x14ac:dyDescent="0.3">
      <c r="D1047" t="str">
        <f t="shared" si="47"/>
        <v/>
      </c>
    </row>
    <row r="1048" spans="4:4" x14ac:dyDescent="0.3">
      <c r="D1048" t="str">
        <f t="shared" si="47"/>
        <v/>
      </c>
    </row>
    <row r="1049" spans="4:4" x14ac:dyDescent="0.3">
      <c r="D1049" t="str">
        <f t="shared" si="47"/>
        <v/>
      </c>
    </row>
    <row r="1050" spans="4:4" x14ac:dyDescent="0.3">
      <c r="D1050" t="str">
        <f t="shared" si="47"/>
        <v/>
      </c>
    </row>
    <row r="1051" spans="4:4" x14ac:dyDescent="0.3">
      <c r="D1051" t="str">
        <f t="shared" si="47"/>
        <v/>
      </c>
    </row>
    <row r="1052" spans="4:4" x14ac:dyDescent="0.3">
      <c r="D1052" t="str">
        <f t="shared" si="47"/>
        <v/>
      </c>
    </row>
    <row r="1053" spans="4:4" x14ac:dyDescent="0.3">
      <c r="D1053" t="str">
        <f t="shared" si="47"/>
        <v/>
      </c>
    </row>
    <row r="1054" spans="4:4" x14ac:dyDescent="0.3">
      <c r="D1054" t="str">
        <f t="shared" si="47"/>
        <v/>
      </c>
    </row>
    <row r="1055" spans="4:4" x14ac:dyDescent="0.3">
      <c r="D1055" t="str">
        <f t="shared" si="47"/>
        <v/>
      </c>
    </row>
    <row r="1056" spans="4:4" x14ac:dyDescent="0.3">
      <c r="D1056" t="str">
        <f t="shared" si="47"/>
        <v/>
      </c>
    </row>
    <row r="1057" spans="4:4" x14ac:dyDescent="0.3">
      <c r="D1057" t="str">
        <f t="shared" si="47"/>
        <v/>
      </c>
    </row>
    <row r="1058" spans="4:4" x14ac:dyDescent="0.3">
      <c r="D1058" t="str">
        <f t="shared" si="47"/>
        <v/>
      </c>
    </row>
    <row r="1059" spans="4:4" x14ac:dyDescent="0.3">
      <c r="D1059" t="str">
        <f t="shared" si="47"/>
        <v/>
      </c>
    </row>
    <row r="1060" spans="4:4" x14ac:dyDescent="0.3">
      <c r="D1060" t="str">
        <f t="shared" si="47"/>
        <v/>
      </c>
    </row>
    <row r="1061" spans="4:4" x14ac:dyDescent="0.3">
      <c r="D1061" t="str">
        <f t="shared" si="47"/>
        <v/>
      </c>
    </row>
    <row r="1062" spans="4:4" x14ac:dyDescent="0.3">
      <c r="D1062" t="str">
        <f t="shared" si="47"/>
        <v/>
      </c>
    </row>
    <row r="1063" spans="4:4" x14ac:dyDescent="0.3">
      <c r="D1063" t="str">
        <f t="shared" si="47"/>
        <v/>
      </c>
    </row>
    <row r="1064" spans="4:4" x14ac:dyDescent="0.3">
      <c r="D1064" t="str">
        <f t="shared" si="47"/>
        <v/>
      </c>
    </row>
    <row r="1065" spans="4:4" x14ac:dyDescent="0.3">
      <c r="D1065" t="str">
        <f t="shared" si="47"/>
        <v/>
      </c>
    </row>
    <row r="1066" spans="4:4" x14ac:dyDescent="0.3">
      <c r="D1066" t="str">
        <f t="shared" si="47"/>
        <v/>
      </c>
    </row>
    <row r="1067" spans="4:4" x14ac:dyDescent="0.3">
      <c r="D1067" t="str">
        <f t="shared" si="47"/>
        <v/>
      </c>
    </row>
    <row r="1068" spans="4:4" x14ac:dyDescent="0.3">
      <c r="D1068" t="str">
        <f t="shared" si="47"/>
        <v/>
      </c>
    </row>
    <row r="1069" spans="4:4" x14ac:dyDescent="0.3">
      <c r="D1069" t="str">
        <f t="shared" si="47"/>
        <v/>
      </c>
    </row>
    <row r="1070" spans="4:4" x14ac:dyDescent="0.3">
      <c r="D1070" t="str">
        <f t="shared" si="47"/>
        <v/>
      </c>
    </row>
    <row r="1071" spans="4:4" x14ac:dyDescent="0.3">
      <c r="D1071" t="str">
        <f t="shared" si="47"/>
        <v/>
      </c>
    </row>
    <row r="1072" spans="4:4" x14ac:dyDescent="0.3">
      <c r="D1072" t="str">
        <f t="shared" si="47"/>
        <v/>
      </c>
    </row>
    <row r="1073" spans="4:4" x14ac:dyDescent="0.3">
      <c r="D1073" t="str">
        <f t="shared" si="47"/>
        <v/>
      </c>
    </row>
    <row r="1074" spans="4:4" x14ac:dyDescent="0.3">
      <c r="D1074" t="str">
        <f t="shared" si="47"/>
        <v/>
      </c>
    </row>
    <row r="1075" spans="4:4" x14ac:dyDescent="0.3">
      <c r="D1075" t="str">
        <f t="shared" si="47"/>
        <v/>
      </c>
    </row>
    <row r="1076" spans="4:4" x14ac:dyDescent="0.3">
      <c r="D1076" t="str">
        <f t="shared" si="47"/>
        <v/>
      </c>
    </row>
    <row r="1077" spans="4:4" x14ac:dyDescent="0.3">
      <c r="D1077" t="str">
        <f t="shared" si="47"/>
        <v/>
      </c>
    </row>
    <row r="1078" spans="4:4" x14ac:dyDescent="0.3">
      <c r="D1078" t="str">
        <f t="shared" si="47"/>
        <v/>
      </c>
    </row>
    <row r="1079" spans="4:4" x14ac:dyDescent="0.3">
      <c r="D1079" t="str">
        <f t="shared" si="47"/>
        <v/>
      </c>
    </row>
    <row r="1080" spans="4:4" x14ac:dyDescent="0.3">
      <c r="D1080" t="str">
        <f t="shared" si="47"/>
        <v/>
      </c>
    </row>
    <row r="1081" spans="4:4" x14ac:dyDescent="0.3">
      <c r="D1081" t="str">
        <f t="shared" si="47"/>
        <v/>
      </c>
    </row>
    <row r="1082" spans="4:4" x14ac:dyDescent="0.3">
      <c r="D1082" t="str">
        <f t="shared" ref="D1082:D1145" si="48">IF(LEFT(A1082,2)="SP",MID(A1082,4,4),IF(LEFT(A1082,1)="X",MID(A1082,3,4),""))</f>
        <v/>
      </c>
    </row>
    <row r="1083" spans="4:4" x14ac:dyDescent="0.3">
      <c r="D1083" t="str">
        <f t="shared" si="48"/>
        <v/>
      </c>
    </row>
    <row r="1084" spans="4:4" x14ac:dyDescent="0.3">
      <c r="D1084" t="str">
        <f t="shared" si="48"/>
        <v/>
      </c>
    </row>
    <row r="1085" spans="4:4" x14ac:dyDescent="0.3">
      <c r="D1085" t="str">
        <f t="shared" si="48"/>
        <v/>
      </c>
    </row>
    <row r="1086" spans="4:4" x14ac:dyDescent="0.3">
      <c r="D1086" t="str">
        <f t="shared" si="48"/>
        <v/>
      </c>
    </row>
    <row r="1087" spans="4:4" x14ac:dyDescent="0.3">
      <c r="D1087" t="str">
        <f t="shared" si="48"/>
        <v/>
      </c>
    </row>
    <row r="1088" spans="4:4" x14ac:dyDescent="0.3">
      <c r="D1088" t="str">
        <f t="shared" si="48"/>
        <v/>
      </c>
    </row>
    <row r="1089" spans="4:4" x14ac:dyDescent="0.3">
      <c r="D1089" t="str">
        <f t="shared" si="48"/>
        <v/>
      </c>
    </row>
    <row r="1090" spans="4:4" x14ac:dyDescent="0.3">
      <c r="D1090" t="str">
        <f t="shared" si="48"/>
        <v/>
      </c>
    </row>
    <row r="1091" spans="4:4" x14ac:dyDescent="0.3">
      <c r="D1091" t="str">
        <f t="shared" si="48"/>
        <v/>
      </c>
    </row>
    <row r="1092" spans="4:4" x14ac:dyDescent="0.3">
      <c r="D1092" t="str">
        <f t="shared" si="48"/>
        <v/>
      </c>
    </row>
    <row r="1093" spans="4:4" x14ac:dyDescent="0.3">
      <c r="D1093" t="str">
        <f t="shared" si="48"/>
        <v/>
      </c>
    </row>
    <row r="1094" spans="4:4" x14ac:dyDescent="0.3">
      <c r="D1094" t="str">
        <f t="shared" si="48"/>
        <v/>
      </c>
    </row>
    <row r="1095" spans="4:4" x14ac:dyDescent="0.3">
      <c r="D1095" t="str">
        <f t="shared" si="48"/>
        <v/>
      </c>
    </row>
    <row r="1096" spans="4:4" x14ac:dyDescent="0.3">
      <c r="D1096" t="str">
        <f t="shared" si="48"/>
        <v/>
      </c>
    </row>
    <row r="1097" spans="4:4" x14ac:dyDescent="0.3">
      <c r="D1097" t="str">
        <f t="shared" si="48"/>
        <v/>
      </c>
    </row>
    <row r="1098" spans="4:4" x14ac:dyDescent="0.3">
      <c r="D1098" t="str">
        <f t="shared" si="48"/>
        <v/>
      </c>
    </row>
    <row r="1099" spans="4:4" x14ac:dyDescent="0.3">
      <c r="D1099" t="str">
        <f t="shared" si="48"/>
        <v/>
      </c>
    </row>
    <row r="1100" spans="4:4" x14ac:dyDescent="0.3">
      <c r="D1100" t="str">
        <f t="shared" si="48"/>
        <v/>
      </c>
    </row>
    <row r="1101" spans="4:4" x14ac:dyDescent="0.3">
      <c r="D1101" t="str">
        <f t="shared" si="48"/>
        <v/>
      </c>
    </row>
    <row r="1102" spans="4:4" x14ac:dyDescent="0.3">
      <c r="D1102" t="str">
        <f t="shared" si="48"/>
        <v/>
      </c>
    </row>
    <row r="1103" spans="4:4" x14ac:dyDescent="0.3">
      <c r="D1103" t="str">
        <f t="shared" si="48"/>
        <v/>
      </c>
    </row>
    <row r="1104" spans="4:4" x14ac:dyDescent="0.3">
      <c r="D1104" t="str">
        <f t="shared" si="48"/>
        <v/>
      </c>
    </row>
    <row r="1105" spans="4:4" x14ac:dyDescent="0.3">
      <c r="D1105" t="str">
        <f t="shared" si="48"/>
        <v/>
      </c>
    </row>
    <row r="1106" spans="4:4" x14ac:dyDescent="0.3">
      <c r="D1106" t="str">
        <f t="shared" si="48"/>
        <v/>
      </c>
    </row>
    <row r="1107" spans="4:4" x14ac:dyDescent="0.3">
      <c r="D1107" t="str">
        <f t="shared" si="48"/>
        <v/>
      </c>
    </row>
    <row r="1108" spans="4:4" x14ac:dyDescent="0.3">
      <c r="D1108" t="str">
        <f t="shared" si="48"/>
        <v/>
      </c>
    </row>
    <row r="1109" spans="4:4" x14ac:dyDescent="0.3">
      <c r="D1109" t="str">
        <f t="shared" si="48"/>
        <v/>
      </c>
    </row>
    <row r="1110" spans="4:4" x14ac:dyDescent="0.3">
      <c r="D1110" t="str">
        <f t="shared" si="48"/>
        <v/>
      </c>
    </row>
    <row r="1111" spans="4:4" x14ac:dyDescent="0.3">
      <c r="D1111" t="str">
        <f t="shared" si="48"/>
        <v/>
      </c>
    </row>
    <row r="1112" spans="4:4" x14ac:dyDescent="0.3">
      <c r="D1112" t="str">
        <f t="shared" si="48"/>
        <v/>
      </c>
    </row>
    <row r="1113" spans="4:4" x14ac:dyDescent="0.3">
      <c r="D1113" t="str">
        <f t="shared" si="48"/>
        <v/>
      </c>
    </row>
    <row r="1114" spans="4:4" x14ac:dyDescent="0.3">
      <c r="D1114" t="str">
        <f t="shared" si="48"/>
        <v/>
      </c>
    </row>
    <row r="1115" spans="4:4" x14ac:dyDescent="0.3">
      <c r="D1115" t="str">
        <f t="shared" si="48"/>
        <v/>
      </c>
    </row>
    <row r="1116" spans="4:4" x14ac:dyDescent="0.3">
      <c r="D1116" t="str">
        <f t="shared" si="48"/>
        <v/>
      </c>
    </row>
    <row r="1117" spans="4:4" x14ac:dyDescent="0.3">
      <c r="D1117" t="str">
        <f t="shared" si="48"/>
        <v/>
      </c>
    </row>
    <row r="1118" spans="4:4" x14ac:dyDescent="0.3">
      <c r="D1118" t="str">
        <f t="shared" si="48"/>
        <v/>
      </c>
    </row>
    <row r="1119" spans="4:4" x14ac:dyDescent="0.3">
      <c r="D1119" t="str">
        <f t="shared" si="48"/>
        <v/>
      </c>
    </row>
    <row r="1120" spans="4:4" x14ac:dyDescent="0.3">
      <c r="D1120" t="str">
        <f t="shared" si="48"/>
        <v/>
      </c>
    </row>
    <row r="1121" spans="4:4" x14ac:dyDescent="0.3">
      <c r="D1121" t="str">
        <f t="shared" si="48"/>
        <v/>
      </c>
    </row>
    <row r="1122" spans="4:4" x14ac:dyDescent="0.3">
      <c r="D1122" t="str">
        <f t="shared" si="48"/>
        <v/>
      </c>
    </row>
    <row r="1123" spans="4:4" x14ac:dyDescent="0.3">
      <c r="D1123" t="str">
        <f t="shared" si="48"/>
        <v/>
      </c>
    </row>
    <row r="1124" spans="4:4" x14ac:dyDescent="0.3">
      <c r="D1124" t="str">
        <f t="shared" si="48"/>
        <v/>
      </c>
    </row>
    <row r="1125" spans="4:4" x14ac:dyDescent="0.3">
      <c r="D1125" t="str">
        <f t="shared" si="48"/>
        <v/>
      </c>
    </row>
    <row r="1126" spans="4:4" x14ac:dyDescent="0.3">
      <c r="D1126" t="str">
        <f t="shared" si="48"/>
        <v/>
      </c>
    </row>
    <row r="1127" spans="4:4" x14ac:dyDescent="0.3">
      <c r="D1127" t="str">
        <f t="shared" si="48"/>
        <v/>
      </c>
    </row>
    <row r="1128" spans="4:4" x14ac:dyDescent="0.3">
      <c r="D1128" t="str">
        <f t="shared" si="48"/>
        <v/>
      </c>
    </row>
    <row r="1129" spans="4:4" x14ac:dyDescent="0.3">
      <c r="D1129" t="str">
        <f t="shared" si="48"/>
        <v/>
      </c>
    </row>
    <row r="1130" spans="4:4" x14ac:dyDescent="0.3">
      <c r="D1130" t="str">
        <f t="shared" si="48"/>
        <v/>
      </c>
    </row>
    <row r="1131" spans="4:4" x14ac:dyDescent="0.3">
      <c r="D1131" t="str">
        <f t="shared" si="48"/>
        <v/>
      </c>
    </row>
    <row r="1132" spans="4:4" x14ac:dyDescent="0.3">
      <c r="D1132" t="str">
        <f t="shared" si="48"/>
        <v/>
      </c>
    </row>
    <row r="1133" spans="4:4" x14ac:dyDescent="0.3">
      <c r="D1133" t="str">
        <f t="shared" si="48"/>
        <v/>
      </c>
    </row>
    <row r="1134" spans="4:4" x14ac:dyDescent="0.3">
      <c r="D1134" t="str">
        <f t="shared" si="48"/>
        <v/>
      </c>
    </row>
    <row r="1135" spans="4:4" x14ac:dyDescent="0.3">
      <c r="D1135" t="str">
        <f t="shared" si="48"/>
        <v/>
      </c>
    </row>
    <row r="1136" spans="4:4" x14ac:dyDescent="0.3">
      <c r="D1136" t="str">
        <f t="shared" si="48"/>
        <v/>
      </c>
    </row>
    <row r="1137" spans="4:4" x14ac:dyDescent="0.3">
      <c r="D1137" t="str">
        <f t="shared" si="48"/>
        <v/>
      </c>
    </row>
    <row r="1138" spans="4:4" x14ac:dyDescent="0.3">
      <c r="D1138" t="str">
        <f t="shared" si="48"/>
        <v/>
      </c>
    </row>
    <row r="1139" spans="4:4" x14ac:dyDescent="0.3">
      <c r="D1139" t="str">
        <f t="shared" si="48"/>
        <v/>
      </c>
    </row>
    <row r="1140" spans="4:4" x14ac:dyDescent="0.3">
      <c r="D1140" t="str">
        <f t="shared" si="48"/>
        <v/>
      </c>
    </row>
    <row r="1141" spans="4:4" x14ac:dyDescent="0.3">
      <c r="D1141" t="str">
        <f t="shared" si="48"/>
        <v/>
      </c>
    </row>
    <row r="1142" spans="4:4" x14ac:dyDescent="0.3">
      <c r="D1142" t="str">
        <f t="shared" si="48"/>
        <v/>
      </c>
    </row>
    <row r="1143" spans="4:4" x14ac:dyDescent="0.3">
      <c r="D1143" t="str">
        <f t="shared" si="48"/>
        <v/>
      </c>
    </row>
    <row r="1144" spans="4:4" x14ac:dyDescent="0.3">
      <c r="D1144" t="str">
        <f t="shared" si="48"/>
        <v/>
      </c>
    </row>
    <row r="1145" spans="4:4" x14ac:dyDescent="0.3">
      <c r="D1145" t="str">
        <f t="shared" si="48"/>
        <v/>
      </c>
    </row>
    <row r="1146" spans="4:4" x14ac:dyDescent="0.3">
      <c r="D1146" t="str">
        <f t="shared" ref="D1146:D1209" si="49">IF(LEFT(A1146,2)="SP",MID(A1146,4,4),IF(LEFT(A1146,1)="X",MID(A1146,3,4),""))</f>
        <v/>
      </c>
    </row>
    <row r="1147" spans="4:4" x14ac:dyDescent="0.3">
      <c r="D1147" t="str">
        <f t="shared" si="49"/>
        <v/>
      </c>
    </row>
    <row r="1148" spans="4:4" x14ac:dyDescent="0.3">
      <c r="D1148" t="str">
        <f t="shared" si="49"/>
        <v/>
      </c>
    </row>
    <row r="1149" spans="4:4" x14ac:dyDescent="0.3">
      <c r="D1149" t="str">
        <f t="shared" si="49"/>
        <v/>
      </c>
    </row>
    <row r="1150" spans="4:4" x14ac:dyDescent="0.3">
      <c r="D1150" t="str">
        <f t="shared" si="49"/>
        <v/>
      </c>
    </row>
    <row r="1151" spans="4:4" x14ac:dyDescent="0.3">
      <c r="D1151" t="str">
        <f t="shared" si="49"/>
        <v/>
      </c>
    </row>
    <row r="1152" spans="4:4" x14ac:dyDescent="0.3">
      <c r="D1152" t="str">
        <f t="shared" si="49"/>
        <v/>
      </c>
    </row>
    <row r="1153" spans="4:4" x14ac:dyDescent="0.3">
      <c r="D1153" t="str">
        <f t="shared" si="49"/>
        <v/>
      </c>
    </row>
    <row r="1154" spans="4:4" x14ac:dyDescent="0.3">
      <c r="D1154" t="str">
        <f t="shared" si="49"/>
        <v/>
      </c>
    </row>
    <row r="1155" spans="4:4" x14ac:dyDescent="0.3">
      <c r="D1155" t="str">
        <f t="shared" si="49"/>
        <v/>
      </c>
    </row>
    <row r="1156" spans="4:4" x14ac:dyDescent="0.3">
      <c r="D1156" t="str">
        <f t="shared" si="49"/>
        <v/>
      </c>
    </row>
    <row r="1157" spans="4:4" x14ac:dyDescent="0.3">
      <c r="D1157" t="str">
        <f t="shared" si="49"/>
        <v/>
      </c>
    </row>
    <row r="1158" spans="4:4" x14ac:dyDescent="0.3">
      <c r="D1158" t="str">
        <f t="shared" si="49"/>
        <v/>
      </c>
    </row>
    <row r="1159" spans="4:4" x14ac:dyDescent="0.3">
      <c r="D1159" t="str">
        <f t="shared" si="49"/>
        <v/>
      </c>
    </row>
    <row r="1160" spans="4:4" x14ac:dyDescent="0.3">
      <c r="D1160" t="str">
        <f t="shared" si="49"/>
        <v/>
      </c>
    </row>
    <row r="1161" spans="4:4" x14ac:dyDescent="0.3">
      <c r="D1161" t="str">
        <f t="shared" si="49"/>
        <v/>
      </c>
    </row>
    <row r="1162" spans="4:4" x14ac:dyDescent="0.3">
      <c r="D1162" t="str">
        <f t="shared" si="49"/>
        <v/>
      </c>
    </row>
    <row r="1163" spans="4:4" x14ac:dyDescent="0.3">
      <c r="D1163" t="str">
        <f t="shared" si="49"/>
        <v/>
      </c>
    </row>
    <row r="1164" spans="4:4" x14ac:dyDescent="0.3">
      <c r="D1164" t="str">
        <f t="shared" si="49"/>
        <v/>
      </c>
    </row>
    <row r="1165" spans="4:4" x14ac:dyDescent="0.3">
      <c r="D1165" t="str">
        <f t="shared" si="49"/>
        <v/>
      </c>
    </row>
    <row r="1166" spans="4:4" x14ac:dyDescent="0.3">
      <c r="D1166" t="str">
        <f t="shared" si="49"/>
        <v/>
      </c>
    </row>
    <row r="1167" spans="4:4" x14ac:dyDescent="0.3">
      <c r="D1167" t="str">
        <f t="shared" si="49"/>
        <v/>
      </c>
    </row>
    <row r="1168" spans="4:4" x14ac:dyDescent="0.3">
      <c r="D1168" t="str">
        <f t="shared" si="49"/>
        <v/>
      </c>
    </row>
    <row r="1169" spans="4:4" x14ac:dyDescent="0.3">
      <c r="D1169" t="str">
        <f t="shared" si="49"/>
        <v/>
      </c>
    </row>
    <row r="1170" spans="4:4" x14ac:dyDescent="0.3">
      <c r="D1170" t="str">
        <f t="shared" si="49"/>
        <v/>
      </c>
    </row>
    <row r="1171" spans="4:4" x14ac:dyDescent="0.3">
      <c r="D1171" t="str">
        <f t="shared" si="49"/>
        <v/>
      </c>
    </row>
    <row r="1172" spans="4:4" x14ac:dyDescent="0.3">
      <c r="D1172" t="str">
        <f t="shared" si="49"/>
        <v/>
      </c>
    </row>
    <row r="1173" spans="4:4" x14ac:dyDescent="0.3">
      <c r="D1173" t="str">
        <f t="shared" si="49"/>
        <v/>
      </c>
    </row>
    <row r="1174" spans="4:4" x14ac:dyDescent="0.3">
      <c r="D1174" t="str">
        <f t="shared" si="49"/>
        <v/>
      </c>
    </row>
    <row r="1175" spans="4:4" x14ac:dyDescent="0.3">
      <c r="D1175" t="str">
        <f t="shared" si="49"/>
        <v/>
      </c>
    </row>
    <row r="1176" spans="4:4" x14ac:dyDescent="0.3">
      <c r="D1176" t="str">
        <f t="shared" si="49"/>
        <v/>
      </c>
    </row>
    <row r="1177" spans="4:4" x14ac:dyDescent="0.3">
      <c r="D1177" t="str">
        <f t="shared" si="49"/>
        <v/>
      </c>
    </row>
    <row r="1178" spans="4:4" x14ac:dyDescent="0.3">
      <c r="D1178" t="str">
        <f t="shared" si="49"/>
        <v/>
      </c>
    </row>
    <row r="1179" spans="4:4" x14ac:dyDescent="0.3">
      <c r="D1179" t="str">
        <f t="shared" si="49"/>
        <v/>
      </c>
    </row>
    <row r="1180" spans="4:4" x14ac:dyDescent="0.3">
      <c r="D1180" t="str">
        <f t="shared" si="49"/>
        <v/>
      </c>
    </row>
    <row r="1181" spans="4:4" x14ac:dyDescent="0.3">
      <c r="D1181" t="str">
        <f t="shared" si="49"/>
        <v/>
      </c>
    </row>
    <row r="1182" spans="4:4" x14ac:dyDescent="0.3">
      <c r="D1182" t="str">
        <f t="shared" si="49"/>
        <v/>
      </c>
    </row>
    <row r="1183" spans="4:4" x14ac:dyDescent="0.3">
      <c r="D1183" t="str">
        <f t="shared" si="49"/>
        <v/>
      </c>
    </row>
    <row r="1184" spans="4:4" x14ac:dyDescent="0.3">
      <c r="D1184" t="str">
        <f t="shared" si="49"/>
        <v/>
      </c>
    </row>
    <row r="1185" spans="4:4" x14ac:dyDescent="0.3">
      <c r="D1185" t="str">
        <f t="shared" si="49"/>
        <v/>
      </c>
    </row>
    <row r="1186" spans="4:4" x14ac:dyDescent="0.3">
      <c r="D1186" t="str">
        <f t="shared" si="49"/>
        <v/>
      </c>
    </row>
    <row r="1187" spans="4:4" x14ac:dyDescent="0.3">
      <c r="D1187" t="str">
        <f t="shared" si="49"/>
        <v/>
      </c>
    </row>
    <row r="1188" spans="4:4" x14ac:dyDescent="0.3">
      <c r="D1188" t="str">
        <f t="shared" si="49"/>
        <v/>
      </c>
    </row>
    <row r="1189" spans="4:4" x14ac:dyDescent="0.3">
      <c r="D1189" t="str">
        <f t="shared" si="49"/>
        <v/>
      </c>
    </row>
    <row r="1190" spans="4:4" x14ac:dyDescent="0.3">
      <c r="D1190" t="str">
        <f t="shared" si="49"/>
        <v/>
      </c>
    </row>
    <row r="1191" spans="4:4" x14ac:dyDescent="0.3">
      <c r="D1191" t="str">
        <f t="shared" si="49"/>
        <v/>
      </c>
    </row>
    <row r="1192" spans="4:4" x14ac:dyDescent="0.3">
      <c r="D1192" t="str">
        <f t="shared" si="49"/>
        <v/>
      </c>
    </row>
    <row r="1193" spans="4:4" x14ac:dyDescent="0.3">
      <c r="D1193" t="str">
        <f t="shared" si="49"/>
        <v/>
      </c>
    </row>
    <row r="1194" spans="4:4" x14ac:dyDescent="0.3">
      <c r="D1194" t="str">
        <f t="shared" si="49"/>
        <v/>
      </c>
    </row>
    <row r="1195" spans="4:4" x14ac:dyDescent="0.3">
      <c r="D1195" t="str">
        <f t="shared" si="49"/>
        <v/>
      </c>
    </row>
    <row r="1196" spans="4:4" x14ac:dyDescent="0.3">
      <c r="D1196" t="str">
        <f t="shared" si="49"/>
        <v/>
      </c>
    </row>
    <row r="1197" spans="4:4" x14ac:dyDescent="0.3">
      <c r="D1197" t="str">
        <f t="shared" si="49"/>
        <v/>
      </c>
    </row>
    <row r="1198" spans="4:4" x14ac:dyDescent="0.3">
      <c r="D1198" t="str">
        <f t="shared" si="49"/>
        <v/>
      </c>
    </row>
    <row r="1199" spans="4:4" x14ac:dyDescent="0.3">
      <c r="D1199" t="str">
        <f t="shared" si="49"/>
        <v/>
      </c>
    </row>
    <row r="1200" spans="4:4" x14ac:dyDescent="0.3">
      <c r="D1200" t="str">
        <f t="shared" si="49"/>
        <v/>
      </c>
    </row>
    <row r="1201" spans="4:4" x14ac:dyDescent="0.3">
      <c r="D1201" t="str">
        <f t="shared" si="49"/>
        <v/>
      </c>
    </row>
    <row r="1202" spans="4:4" x14ac:dyDescent="0.3">
      <c r="D1202" t="str">
        <f t="shared" si="49"/>
        <v/>
      </c>
    </row>
    <row r="1203" spans="4:4" x14ac:dyDescent="0.3">
      <c r="D1203" t="str">
        <f t="shared" si="49"/>
        <v/>
      </c>
    </row>
    <row r="1204" spans="4:4" x14ac:dyDescent="0.3">
      <c r="D1204" t="str">
        <f t="shared" si="49"/>
        <v/>
      </c>
    </row>
    <row r="1205" spans="4:4" x14ac:dyDescent="0.3">
      <c r="D1205" t="str">
        <f t="shared" si="49"/>
        <v/>
      </c>
    </row>
    <row r="1206" spans="4:4" x14ac:dyDescent="0.3">
      <c r="D1206" t="str">
        <f t="shared" si="49"/>
        <v/>
      </c>
    </row>
    <row r="1207" spans="4:4" x14ac:dyDescent="0.3">
      <c r="D1207" t="str">
        <f t="shared" si="49"/>
        <v/>
      </c>
    </row>
    <row r="1208" spans="4:4" x14ac:dyDescent="0.3">
      <c r="D1208" t="str">
        <f t="shared" si="49"/>
        <v/>
      </c>
    </row>
    <row r="1209" spans="4:4" x14ac:dyDescent="0.3">
      <c r="D1209" t="str">
        <f t="shared" si="49"/>
        <v/>
      </c>
    </row>
    <row r="1210" spans="4:4" x14ac:dyDescent="0.3">
      <c r="D1210" t="str">
        <f t="shared" ref="D1210:D1273" si="50">IF(LEFT(A1210,2)="SP",MID(A1210,4,4),IF(LEFT(A1210,1)="X",MID(A1210,3,4),""))</f>
        <v/>
      </c>
    </row>
    <row r="1211" spans="4:4" x14ac:dyDescent="0.3">
      <c r="D1211" t="str">
        <f t="shared" si="50"/>
        <v/>
      </c>
    </row>
    <row r="1212" spans="4:4" x14ac:dyDescent="0.3">
      <c r="D1212" t="str">
        <f t="shared" si="50"/>
        <v/>
      </c>
    </row>
    <row r="1213" spans="4:4" x14ac:dyDescent="0.3">
      <c r="D1213" t="str">
        <f t="shared" si="50"/>
        <v/>
      </c>
    </row>
    <row r="1214" spans="4:4" x14ac:dyDescent="0.3">
      <c r="D1214" t="str">
        <f t="shared" si="50"/>
        <v/>
      </c>
    </row>
    <row r="1215" spans="4:4" x14ac:dyDescent="0.3">
      <c r="D1215" t="str">
        <f t="shared" si="50"/>
        <v/>
      </c>
    </row>
    <row r="1216" spans="4:4" x14ac:dyDescent="0.3">
      <c r="D1216" t="str">
        <f t="shared" si="50"/>
        <v/>
      </c>
    </row>
    <row r="1217" spans="4:4" x14ac:dyDescent="0.3">
      <c r="D1217" t="str">
        <f t="shared" si="50"/>
        <v/>
      </c>
    </row>
    <row r="1218" spans="4:4" x14ac:dyDescent="0.3">
      <c r="D1218" t="str">
        <f t="shared" si="50"/>
        <v/>
      </c>
    </row>
    <row r="1219" spans="4:4" x14ac:dyDescent="0.3">
      <c r="D1219" t="str">
        <f t="shared" si="50"/>
        <v/>
      </c>
    </row>
    <row r="1220" spans="4:4" x14ac:dyDescent="0.3">
      <c r="D1220" t="str">
        <f t="shared" si="50"/>
        <v/>
      </c>
    </row>
    <row r="1221" spans="4:4" x14ac:dyDescent="0.3">
      <c r="D1221" t="str">
        <f t="shared" si="50"/>
        <v/>
      </c>
    </row>
    <row r="1222" spans="4:4" x14ac:dyDescent="0.3">
      <c r="D1222" t="str">
        <f t="shared" si="50"/>
        <v/>
      </c>
    </row>
    <row r="1223" spans="4:4" x14ac:dyDescent="0.3">
      <c r="D1223" t="str">
        <f t="shared" si="50"/>
        <v/>
      </c>
    </row>
    <row r="1224" spans="4:4" x14ac:dyDescent="0.3">
      <c r="D1224" t="str">
        <f t="shared" si="50"/>
        <v/>
      </c>
    </row>
    <row r="1225" spans="4:4" x14ac:dyDescent="0.3">
      <c r="D1225" t="str">
        <f t="shared" si="50"/>
        <v/>
      </c>
    </row>
    <row r="1226" spans="4:4" x14ac:dyDescent="0.3">
      <c r="D1226" t="str">
        <f t="shared" si="50"/>
        <v/>
      </c>
    </row>
    <row r="1227" spans="4:4" x14ac:dyDescent="0.3">
      <c r="D1227" t="str">
        <f t="shared" si="50"/>
        <v/>
      </c>
    </row>
    <row r="1228" spans="4:4" x14ac:dyDescent="0.3">
      <c r="D1228" t="str">
        <f t="shared" si="50"/>
        <v/>
      </c>
    </row>
    <row r="1229" spans="4:4" x14ac:dyDescent="0.3">
      <c r="D1229" t="str">
        <f t="shared" si="50"/>
        <v/>
      </c>
    </row>
    <row r="1230" spans="4:4" x14ac:dyDescent="0.3">
      <c r="D1230" t="str">
        <f t="shared" si="50"/>
        <v/>
      </c>
    </row>
    <row r="1231" spans="4:4" x14ac:dyDescent="0.3">
      <c r="D1231" t="str">
        <f t="shared" si="50"/>
        <v/>
      </c>
    </row>
    <row r="1232" spans="4:4" x14ac:dyDescent="0.3">
      <c r="D1232" t="str">
        <f t="shared" si="50"/>
        <v/>
      </c>
    </row>
    <row r="1233" spans="4:4" x14ac:dyDescent="0.3">
      <c r="D1233" t="str">
        <f t="shared" si="50"/>
        <v/>
      </c>
    </row>
    <row r="1234" spans="4:4" x14ac:dyDescent="0.3">
      <c r="D1234" t="str">
        <f t="shared" si="50"/>
        <v/>
      </c>
    </row>
    <row r="1235" spans="4:4" x14ac:dyDescent="0.3">
      <c r="D1235" t="str">
        <f t="shared" si="50"/>
        <v/>
      </c>
    </row>
    <row r="1236" spans="4:4" x14ac:dyDescent="0.3">
      <c r="D1236" t="str">
        <f t="shared" si="50"/>
        <v/>
      </c>
    </row>
    <row r="1237" spans="4:4" x14ac:dyDescent="0.3">
      <c r="D1237" t="str">
        <f t="shared" si="50"/>
        <v/>
      </c>
    </row>
    <row r="1238" spans="4:4" x14ac:dyDescent="0.3">
      <c r="D1238" t="str">
        <f t="shared" si="50"/>
        <v/>
      </c>
    </row>
    <row r="1239" spans="4:4" x14ac:dyDescent="0.3">
      <c r="D1239" t="str">
        <f t="shared" si="50"/>
        <v/>
      </c>
    </row>
    <row r="1240" spans="4:4" x14ac:dyDescent="0.3">
      <c r="D1240" t="str">
        <f t="shared" si="50"/>
        <v/>
      </c>
    </row>
    <row r="1241" spans="4:4" x14ac:dyDescent="0.3">
      <c r="D1241" t="str">
        <f t="shared" si="50"/>
        <v/>
      </c>
    </row>
    <row r="1242" spans="4:4" x14ac:dyDescent="0.3">
      <c r="D1242" t="str">
        <f t="shared" si="50"/>
        <v/>
      </c>
    </row>
    <row r="1243" spans="4:4" x14ac:dyDescent="0.3">
      <c r="D1243" t="str">
        <f t="shared" si="50"/>
        <v/>
      </c>
    </row>
    <row r="1244" spans="4:4" x14ac:dyDescent="0.3">
      <c r="D1244" t="str">
        <f t="shared" si="50"/>
        <v/>
      </c>
    </row>
    <row r="1245" spans="4:4" x14ac:dyDescent="0.3">
      <c r="D1245" t="str">
        <f t="shared" si="50"/>
        <v/>
      </c>
    </row>
    <row r="1246" spans="4:4" x14ac:dyDescent="0.3">
      <c r="D1246" t="str">
        <f t="shared" si="50"/>
        <v/>
      </c>
    </row>
    <row r="1247" spans="4:4" x14ac:dyDescent="0.3">
      <c r="D1247" t="str">
        <f t="shared" si="50"/>
        <v/>
      </c>
    </row>
    <row r="1248" spans="4:4" x14ac:dyDescent="0.3">
      <c r="D1248" t="str">
        <f t="shared" si="50"/>
        <v/>
      </c>
    </row>
    <row r="1249" spans="4:4" x14ac:dyDescent="0.3">
      <c r="D1249" t="str">
        <f t="shared" si="50"/>
        <v/>
      </c>
    </row>
    <row r="1250" spans="4:4" x14ac:dyDescent="0.3">
      <c r="D1250" t="str">
        <f t="shared" si="50"/>
        <v/>
      </c>
    </row>
    <row r="1251" spans="4:4" x14ac:dyDescent="0.3">
      <c r="D1251" t="str">
        <f t="shared" si="50"/>
        <v/>
      </c>
    </row>
    <row r="1252" spans="4:4" x14ac:dyDescent="0.3">
      <c r="D1252" t="str">
        <f t="shared" si="50"/>
        <v/>
      </c>
    </row>
    <row r="1253" spans="4:4" x14ac:dyDescent="0.3">
      <c r="D1253" t="str">
        <f t="shared" si="50"/>
        <v/>
      </c>
    </row>
    <row r="1254" spans="4:4" x14ac:dyDescent="0.3">
      <c r="D1254" t="str">
        <f t="shared" si="50"/>
        <v/>
      </c>
    </row>
    <row r="1255" spans="4:4" x14ac:dyDescent="0.3">
      <c r="D1255" t="str">
        <f t="shared" si="50"/>
        <v/>
      </c>
    </row>
    <row r="1256" spans="4:4" x14ac:dyDescent="0.3">
      <c r="D1256" t="str">
        <f t="shared" si="50"/>
        <v/>
      </c>
    </row>
    <row r="1257" spans="4:4" x14ac:dyDescent="0.3">
      <c r="D1257" t="str">
        <f t="shared" si="50"/>
        <v/>
      </c>
    </row>
    <row r="1258" spans="4:4" x14ac:dyDescent="0.3">
      <c r="D1258" t="str">
        <f t="shared" si="50"/>
        <v/>
      </c>
    </row>
    <row r="1259" spans="4:4" x14ac:dyDescent="0.3">
      <c r="D1259" t="str">
        <f t="shared" si="50"/>
        <v/>
      </c>
    </row>
    <row r="1260" spans="4:4" x14ac:dyDescent="0.3">
      <c r="D1260" t="str">
        <f t="shared" si="50"/>
        <v/>
      </c>
    </row>
    <row r="1261" spans="4:4" x14ac:dyDescent="0.3">
      <c r="D1261" t="str">
        <f t="shared" si="50"/>
        <v/>
      </c>
    </row>
    <row r="1262" spans="4:4" x14ac:dyDescent="0.3">
      <c r="D1262" t="str">
        <f t="shared" si="50"/>
        <v/>
      </c>
    </row>
    <row r="1263" spans="4:4" x14ac:dyDescent="0.3">
      <c r="D1263" t="str">
        <f t="shared" si="50"/>
        <v/>
      </c>
    </row>
    <row r="1264" spans="4:4" x14ac:dyDescent="0.3">
      <c r="D1264" t="str">
        <f t="shared" si="50"/>
        <v/>
      </c>
    </row>
    <row r="1265" spans="4:4" x14ac:dyDescent="0.3">
      <c r="D1265" t="str">
        <f t="shared" si="50"/>
        <v/>
      </c>
    </row>
    <row r="1266" spans="4:4" x14ac:dyDescent="0.3">
      <c r="D1266" t="str">
        <f t="shared" si="50"/>
        <v/>
      </c>
    </row>
    <row r="1267" spans="4:4" x14ac:dyDescent="0.3">
      <c r="D1267" t="str">
        <f t="shared" si="50"/>
        <v/>
      </c>
    </row>
    <row r="1268" spans="4:4" x14ac:dyDescent="0.3">
      <c r="D1268" t="str">
        <f t="shared" si="50"/>
        <v/>
      </c>
    </row>
    <row r="1269" spans="4:4" x14ac:dyDescent="0.3">
      <c r="D1269" t="str">
        <f t="shared" si="50"/>
        <v/>
      </c>
    </row>
    <row r="1270" spans="4:4" x14ac:dyDescent="0.3">
      <c r="D1270" t="str">
        <f t="shared" si="50"/>
        <v/>
      </c>
    </row>
    <row r="1271" spans="4:4" x14ac:dyDescent="0.3">
      <c r="D1271" t="str">
        <f t="shared" si="50"/>
        <v/>
      </c>
    </row>
    <row r="1272" spans="4:4" x14ac:dyDescent="0.3">
      <c r="D1272" t="str">
        <f t="shared" si="50"/>
        <v/>
      </c>
    </row>
    <row r="1273" spans="4:4" x14ac:dyDescent="0.3">
      <c r="D1273" t="str">
        <f t="shared" si="50"/>
        <v/>
      </c>
    </row>
    <row r="1274" spans="4:4" x14ac:dyDescent="0.3">
      <c r="D1274" t="str">
        <f t="shared" ref="D1274:D1337" si="51">IF(LEFT(A1274,2)="SP",MID(A1274,4,4),IF(LEFT(A1274,1)="X",MID(A1274,3,4),""))</f>
        <v/>
      </c>
    </row>
    <row r="1275" spans="4:4" x14ac:dyDescent="0.3">
      <c r="D1275" t="str">
        <f t="shared" si="51"/>
        <v/>
      </c>
    </row>
    <row r="1276" spans="4:4" x14ac:dyDescent="0.3">
      <c r="D1276" t="str">
        <f t="shared" si="51"/>
        <v/>
      </c>
    </row>
    <row r="1277" spans="4:4" x14ac:dyDescent="0.3">
      <c r="D1277" t="str">
        <f t="shared" si="51"/>
        <v/>
      </c>
    </row>
    <row r="1278" spans="4:4" x14ac:dyDescent="0.3">
      <c r="D1278" t="str">
        <f t="shared" si="51"/>
        <v/>
      </c>
    </row>
    <row r="1279" spans="4:4" x14ac:dyDescent="0.3">
      <c r="D1279" t="str">
        <f t="shared" si="51"/>
        <v/>
      </c>
    </row>
    <row r="1280" spans="4:4" x14ac:dyDescent="0.3">
      <c r="D1280" t="str">
        <f t="shared" si="51"/>
        <v/>
      </c>
    </row>
    <row r="1281" spans="4:4" x14ac:dyDescent="0.3">
      <c r="D1281" t="str">
        <f t="shared" si="51"/>
        <v/>
      </c>
    </row>
    <row r="1282" spans="4:4" x14ac:dyDescent="0.3">
      <c r="D1282" t="str">
        <f t="shared" si="51"/>
        <v/>
      </c>
    </row>
    <row r="1283" spans="4:4" x14ac:dyDescent="0.3">
      <c r="D1283" t="str">
        <f t="shared" si="51"/>
        <v/>
      </c>
    </row>
    <row r="1284" spans="4:4" x14ac:dyDescent="0.3">
      <c r="D1284" t="str">
        <f t="shared" si="51"/>
        <v/>
      </c>
    </row>
    <row r="1285" spans="4:4" x14ac:dyDescent="0.3">
      <c r="D1285" t="str">
        <f t="shared" si="51"/>
        <v/>
      </c>
    </row>
    <row r="1286" spans="4:4" x14ac:dyDescent="0.3">
      <c r="D1286" t="str">
        <f t="shared" si="51"/>
        <v/>
      </c>
    </row>
    <row r="1287" spans="4:4" x14ac:dyDescent="0.3">
      <c r="D1287" t="str">
        <f t="shared" si="51"/>
        <v/>
      </c>
    </row>
    <row r="1288" spans="4:4" x14ac:dyDescent="0.3">
      <c r="D1288" t="str">
        <f t="shared" si="51"/>
        <v/>
      </c>
    </row>
    <row r="1289" spans="4:4" x14ac:dyDescent="0.3">
      <c r="D1289" t="str">
        <f t="shared" si="51"/>
        <v/>
      </c>
    </row>
    <row r="1290" spans="4:4" x14ac:dyDescent="0.3">
      <c r="D1290" t="str">
        <f t="shared" si="51"/>
        <v/>
      </c>
    </row>
    <row r="1291" spans="4:4" x14ac:dyDescent="0.3">
      <c r="D1291" t="str">
        <f t="shared" si="51"/>
        <v/>
      </c>
    </row>
    <row r="1292" spans="4:4" x14ac:dyDescent="0.3">
      <c r="D1292" t="str">
        <f t="shared" si="51"/>
        <v/>
      </c>
    </row>
    <row r="1293" spans="4:4" x14ac:dyDescent="0.3">
      <c r="D1293" t="str">
        <f t="shared" si="51"/>
        <v/>
      </c>
    </row>
    <row r="1294" spans="4:4" x14ac:dyDescent="0.3">
      <c r="D1294" t="str">
        <f t="shared" si="51"/>
        <v/>
      </c>
    </row>
    <row r="1295" spans="4:4" x14ac:dyDescent="0.3">
      <c r="D1295" t="str">
        <f t="shared" si="51"/>
        <v/>
      </c>
    </row>
    <row r="1296" spans="4:4" x14ac:dyDescent="0.3">
      <c r="D1296" t="str">
        <f t="shared" si="51"/>
        <v/>
      </c>
    </row>
    <row r="1297" spans="4:4" x14ac:dyDescent="0.3">
      <c r="D1297" t="str">
        <f t="shared" si="51"/>
        <v/>
      </c>
    </row>
    <row r="1298" spans="4:4" x14ac:dyDescent="0.3">
      <c r="D1298" t="str">
        <f t="shared" si="51"/>
        <v/>
      </c>
    </row>
    <row r="1299" spans="4:4" x14ac:dyDescent="0.3">
      <c r="D1299" t="str">
        <f t="shared" si="51"/>
        <v/>
      </c>
    </row>
    <row r="1300" spans="4:4" x14ac:dyDescent="0.3">
      <c r="D1300" t="str">
        <f t="shared" si="51"/>
        <v/>
      </c>
    </row>
    <row r="1301" spans="4:4" x14ac:dyDescent="0.3">
      <c r="D1301" t="str">
        <f t="shared" si="51"/>
        <v/>
      </c>
    </row>
    <row r="1302" spans="4:4" x14ac:dyDescent="0.3">
      <c r="D1302" t="str">
        <f t="shared" si="51"/>
        <v/>
      </c>
    </row>
    <row r="1303" spans="4:4" x14ac:dyDescent="0.3">
      <c r="D1303" t="str">
        <f t="shared" si="51"/>
        <v/>
      </c>
    </row>
    <row r="1304" spans="4:4" x14ac:dyDescent="0.3">
      <c r="D1304" t="str">
        <f t="shared" si="51"/>
        <v/>
      </c>
    </row>
    <row r="1305" spans="4:4" x14ac:dyDescent="0.3">
      <c r="D1305" t="str">
        <f t="shared" si="51"/>
        <v/>
      </c>
    </row>
    <row r="1306" spans="4:4" x14ac:dyDescent="0.3">
      <c r="D1306" t="str">
        <f t="shared" si="51"/>
        <v/>
      </c>
    </row>
    <row r="1307" spans="4:4" x14ac:dyDescent="0.3">
      <c r="D1307" t="str">
        <f t="shared" si="51"/>
        <v/>
      </c>
    </row>
    <row r="1308" spans="4:4" x14ac:dyDescent="0.3">
      <c r="D1308" t="str">
        <f t="shared" si="51"/>
        <v/>
      </c>
    </row>
    <row r="1309" spans="4:4" x14ac:dyDescent="0.3">
      <c r="D1309" t="str">
        <f t="shared" si="51"/>
        <v/>
      </c>
    </row>
    <row r="1310" spans="4:4" x14ac:dyDescent="0.3">
      <c r="D1310" t="str">
        <f t="shared" si="51"/>
        <v/>
      </c>
    </row>
    <row r="1311" spans="4:4" x14ac:dyDescent="0.3">
      <c r="D1311" t="str">
        <f t="shared" si="51"/>
        <v/>
      </c>
    </row>
    <row r="1312" spans="4:4" x14ac:dyDescent="0.3">
      <c r="D1312" t="str">
        <f t="shared" si="51"/>
        <v/>
      </c>
    </row>
    <row r="1313" spans="4:4" x14ac:dyDescent="0.3">
      <c r="D1313" t="str">
        <f t="shared" si="51"/>
        <v/>
      </c>
    </row>
    <row r="1314" spans="4:4" x14ac:dyDescent="0.3">
      <c r="D1314" t="str">
        <f t="shared" si="51"/>
        <v/>
      </c>
    </row>
    <row r="1315" spans="4:4" x14ac:dyDescent="0.3">
      <c r="D1315" t="str">
        <f t="shared" si="51"/>
        <v/>
      </c>
    </row>
    <row r="1316" spans="4:4" x14ac:dyDescent="0.3">
      <c r="D1316" t="str">
        <f t="shared" si="51"/>
        <v/>
      </c>
    </row>
    <row r="1317" spans="4:4" x14ac:dyDescent="0.3">
      <c r="D1317" t="str">
        <f t="shared" si="51"/>
        <v/>
      </c>
    </row>
    <row r="1318" spans="4:4" x14ac:dyDescent="0.3">
      <c r="D1318" t="str">
        <f t="shared" si="51"/>
        <v/>
      </c>
    </row>
    <row r="1319" spans="4:4" x14ac:dyDescent="0.3">
      <c r="D1319" t="str">
        <f t="shared" si="51"/>
        <v/>
      </c>
    </row>
    <row r="1320" spans="4:4" x14ac:dyDescent="0.3">
      <c r="D1320" t="str">
        <f t="shared" si="51"/>
        <v/>
      </c>
    </row>
    <row r="1321" spans="4:4" x14ac:dyDescent="0.3">
      <c r="D1321" t="str">
        <f t="shared" si="51"/>
        <v/>
      </c>
    </row>
    <row r="1322" spans="4:4" x14ac:dyDescent="0.3">
      <c r="D1322" t="str">
        <f t="shared" si="51"/>
        <v/>
      </c>
    </row>
    <row r="1323" spans="4:4" x14ac:dyDescent="0.3">
      <c r="D1323" t="str">
        <f t="shared" si="51"/>
        <v/>
      </c>
    </row>
    <row r="1324" spans="4:4" x14ac:dyDescent="0.3">
      <c r="D1324" t="str">
        <f t="shared" si="51"/>
        <v/>
      </c>
    </row>
    <row r="1325" spans="4:4" x14ac:dyDescent="0.3">
      <c r="D1325" t="str">
        <f t="shared" si="51"/>
        <v/>
      </c>
    </row>
    <row r="1326" spans="4:4" x14ac:dyDescent="0.3">
      <c r="D1326" t="str">
        <f t="shared" si="51"/>
        <v/>
      </c>
    </row>
    <row r="1327" spans="4:4" x14ac:dyDescent="0.3">
      <c r="D1327" t="str">
        <f t="shared" si="51"/>
        <v/>
      </c>
    </row>
    <row r="1328" spans="4:4" x14ac:dyDescent="0.3">
      <c r="D1328" t="str">
        <f t="shared" si="51"/>
        <v/>
      </c>
    </row>
    <row r="1329" spans="4:4" x14ac:dyDescent="0.3">
      <c r="D1329" t="str">
        <f t="shared" si="51"/>
        <v/>
      </c>
    </row>
    <row r="1330" spans="4:4" x14ac:dyDescent="0.3">
      <c r="D1330" t="str">
        <f t="shared" si="51"/>
        <v/>
      </c>
    </row>
    <row r="1331" spans="4:4" x14ac:dyDescent="0.3">
      <c r="D1331" t="str">
        <f t="shared" si="51"/>
        <v/>
      </c>
    </row>
    <row r="1332" spans="4:4" x14ac:dyDescent="0.3">
      <c r="D1332" t="str">
        <f t="shared" si="51"/>
        <v/>
      </c>
    </row>
    <row r="1333" spans="4:4" x14ac:dyDescent="0.3">
      <c r="D1333" t="str">
        <f t="shared" si="51"/>
        <v/>
      </c>
    </row>
    <row r="1334" spans="4:4" x14ac:dyDescent="0.3">
      <c r="D1334" t="str">
        <f t="shared" si="51"/>
        <v/>
      </c>
    </row>
    <row r="1335" spans="4:4" x14ac:dyDescent="0.3">
      <c r="D1335" t="str">
        <f t="shared" si="51"/>
        <v/>
      </c>
    </row>
    <row r="1336" spans="4:4" x14ac:dyDescent="0.3">
      <c r="D1336" t="str">
        <f t="shared" si="51"/>
        <v/>
      </c>
    </row>
    <row r="1337" spans="4:4" x14ac:dyDescent="0.3">
      <c r="D1337" t="str">
        <f t="shared" si="51"/>
        <v/>
      </c>
    </row>
    <row r="1338" spans="4:4" x14ac:dyDescent="0.3">
      <c r="D1338" t="str">
        <f t="shared" ref="D1338:D1401" si="52">IF(LEFT(A1338,2)="SP",MID(A1338,4,4),IF(LEFT(A1338,1)="X",MID(A1338,3,4),""))</f>
        <v/>
      </c>
    </row>
    <row r="1339" spans="4:4" x14ac:dyDescent="0.3">
      <c r="D1339" t="str">
        <f t="shared" si="52"/>
        <v/>
      </c>
    </row>
    <row r="1340" spans="4:4" x14ac:dyDescent="0.3">
      <c r="D1340" t="str">
        <f t="shared" si="52"/>
        <v/>
      </c>
    </row>
    <row r="1341" spans="4:4" x14ac:dyDescent="0.3">
      <c r="D1341" t="str">
        <f t="shared" si="52"/>
        <v/>
      </c>
    </row>
    <row r="1342" spans="4:4" x14ac:dyDescent="0.3">
      <c r="D1342" t="str">
        <f t="shared" si="52"/>
        <v/>
      </c>
    </row>
    <row r="1343" spans="4:4" x14ac:dyDescent="0.3">
      <c r="D1343" t="str">
        <f t="shared" si="52"/>
        <v/>
      </c>
    </row>
    <row r="1344" spans="4:4" x14ac:dyDescent="0.3">
      <c r="D1344" t="str">
        <f t="shared" si="52"/>
        <v/>
      </c>
    </row>
    <row r="1345" spans="4:4" x14ac:dyDescent="0.3">
      <c r="D1345" t="str">
        <f t="shared" si="52"/>
        <v/>
      </c>
    </row>
    <row r="1346" spans="4:4" x14ac:dyDescent="0.3">
      <c r="D1346" t="str">
        <f t="shared" si="52"/>
        <v/>
      </c>
    </row>
    <row r="1347" spans="4:4" x14ac:dyDescent="0.3">
      <c r="D1347" t="str">
        <f t="shared" si="52"/>
        <v/>
      </c>
    </row>
    <row r="1348" spans="4:4" x14ac:dyDescent="0.3">
      <c r="D1348" t="str">
        <f t="shared" si="52"/>
        <v/>
      </c>
    </row>
    <row r="1349" spans="4:4" x14ac:dyDescent="0.3">
      <c r="D1349" t="str">
        <f t="shared" si="52"/>
        <v/>
      </c>
    </row>
    <row r="1350" spans="4:4" x14ac:dyDescent="0.3">
      <c r="D1350" t="str">
        <f t="shared" si="52"/>
        <v/>
      </c>
    </row>
    <row r="1351" spans="4:4" x14ac:dyDescent="0.3">
      <c r="D1351" t="str">
        <f t="shared" si="52"/>
        <v/>
      </c>
    </row>
    <row r="1352" spans="4:4" x14ac:dyDescent="0.3">
      <c r="D1352" t="str">
        <f t="shared" si="52"/>
        <v/>
      </c>
    </row>
    <row r="1353" spans="4:4" x14ac:dyDescent="0.3">
      <c r="D1353" t="str">
        <f t="shared" si="52"/>
        <v/>
      </c>
    </row>
    <row r="1354" spans="4:4" x14ac:dyDescent="0.3">
      <c r="D1354" t="str">
        <f t="shared" si="52"/>
        <v/>
      </c>
    </row>
    <row r="1355" spans="4:4" x14ac:dyDescent="0.3">
      <c r="D1355" t="str">
        <f t="shared" si="52"/>
        <v/>
      </c>
    </row>
    <row r="1356" spans="4:4" x14ac:dyDescent="0.3">
      <c r="D1356" t="str">
        <f t="shared" si="52"/>
        <v/>
      </c>
    </row>
    <row r="1357" spans="4:4" x14ac:dyDescent="0.3">
      <c r="D1357" t="str">
        <f t="shared" si="52"/>
        <v/>
      </c>
    </row>
    <row r="1358" spans="4:4" x14ac:dyDescent="0.3">
      <c r="D1358" t="str">
        <f t="shared" si="52"/>
        <v/>
      </c>
    </row>
    <row r="1359" spans="4:4" x14ac:dyDescent="0.3">
      <c r="D1359" t="str">
        <f t="shared" si="52"/>
        <v/>
      </c>
    </row>
    <row r="1360" spans="4:4" x14ac:dyDescent="0.3">
      <c r="D1360" t="str">
        <f t="shared" si="52"/>
        <v/>
      </c>
    </row>
    <row r="1361" spans="4:4" x14ac:dyDescent="0.3">
      <c r="D1361" t="str">
        <f t="shared" si="52"/>
        <v/>
      </c>
    </row>
    <row r="1362" spans="4:4" x14ac:dyDescent="0.3">
      <c r="D1362" t="str">
        <f t="shared" si="52"/>
        <v/>
      </c>
    </row>
    <row r="1363" spans="4:4" x14ac:dyDescent="0.3">
      <c r="D1363" t="str">
        <f t="shared" si="52"/>
        <v/>
      </c>
    </row>
    <row r="1364" spans="4:4" x14ac:dyDescent="0.3">
      <c r="D1364" t="str">
        <f t="shared" si="52"/>
        <v/>
      </c>
    </row>
    <row r="1365" spans="4:4" x14ac:dyDescent="0.3">
      <c r="D1365" t="str">
        <f t="shared" si="52"/>
        <v/>
      </c>
    </row>
    <row r="1366" spans="4:4" x14ac:dyDescent="0.3">
      <c r="D1366" t="str">
        <f t="shared" si="52"/>
        <v/>
      </c>
    </row>
    <row r="1367" spans="4:4" x14ac:dyDescent="0.3">
      <c r="D1367" t="str">
        <f t="shared" si="52"/>
        <v/>
      </c>
    </row>
    <row r="1368" spans="4:4" x14ac:dyDescent="0.3">
      <c r="D1368" t="str">
        <f t="shared" si="52"/>
        <v/>
      </c>
    </row>
    <row r="1369" spans="4:4" x14ac:dyDescent="0.3">
      <c r="D1369" t="str">
        <f t="shared" si="52"/>
        <v/>
      </c>
    </row>
    <row r="1370" spans="4:4" x14ac:dyDescent="0.3">
      <c r="D1370" t="str">
        <f t="shared" si="52"/>
        <v/>
      </c>
    </row>
    <row r="1371" spans="4:4" x14ac:dyDescent="0.3">
      <c r="D1371" t="str">
        <f t="shared" si="52"/>
        <v/>
      </c>
    </row>
    <row r="1372" spans="4:4" x14ac:dyDescent="0.3">
      <c r="D1372" t="str">
        <f t="shared" si="52"/>
        <v/>
      </c>
    </row>
    <row r="1373" spans="4:4" x14ac:dyDescent="0.3">
      <c r="D1373" t="str">
        <f t="shared" si="52"/>
        <v/>
      </c>
    </row>
    <row r="1374" spans="4:4" x14ac:dyDescent="0.3">
      <c r="D1374" t="str">
        <f t="shared" si="52"/>
        <v/>
      </c>
    </row>
    <row r="1375" spans="4:4" x14ac:dyDescent="0.3">
      <c r="D1375" t="str">
        <f t="shared" si="52"/>
        <v/>
      </c>
    </row>
    <row r="1376" spans="4:4" x14ac:dyDescent="0.3">
      <c r="D1376" t="str">
        <f t="shared" si="52"/>
        <v/>
      </c>
    </row>
    <row r="1377" spans="4:4" x14ac:dyDescent="0.3">
      <c r="D1377" t="str">
        <f t="shared" si="52"/>
        <v/>
      </c>
    </row>
    <row r="1378" spans="4:4" x14ac:dyDescent="0.3">
      <c r="D1378" t="str">
        <f t="shared" si="52"/>
        <v/>
      </c>
    </row>
    <row r="1379" spans="4:4" x14ac:dyDescent="0.3">
      <c r="D1379" t="str">
        <f t="shared" si="52"/>
        <v/>
      </c>
    </row>
    <row r="1380" spans="4:4" x14ac:dyDescent="0.3">
      <c r="D1380" t="str">
        <f t="shared" si="52"/>
        <v/>
      </c>
    </row>
    <row r="1381" spans="4:4" x14ac:dyDescent="0.3">
      <c r="D1381" t="str">
        <f t="shared" si="52"/>
        <v/>
      </c>
    </row>
    <row r="1382" spans="4:4" x14ac:dyDescent="0.3">
      <c r="D1382" t="str">
        <f t="shared" si="52"/>
        <v/>
      </c>
    </row>
    <row r="1383" spans="4:4" x14ac:dyDescent="0.3">
      <c r="D1383" t="str">
        <f t="shared" si="52"/>
        <v/>
      </c>
    </row>
    <row r="1384" spans="4:4" x14ac:dyDescent="0.3">
      <c r="D1384" t="str">
        <f t="shared" si="52"/>
        <v/>
      </c>
    </row>
    <row r="1385" spans="4:4" x14ac:dyDescent="0.3">
      <c r="D1385" t="str">
        <f t="shared" si="52"/>
        <v/>
      </c>
    </row>
    <row r="1386" spans="4:4" x14ac:dyDescent="0.3">
      <c r="D1386" t="str">
        <f t="shared" si="52"/>
        <v/>
      </c>
    </row>
    <row r="1387" spans="4:4" x14ac:dyDescent="0.3">
      <c r="D1387" t="str">
        <f t="shared" si="52"/>
        <v/>
      </c>
    </row>
    <row r="1388" spans="4:4" x14ac:dyDescent="0.3">
      <c r="D1388" t="str">
        <f t="shared" si="52"/>
        <v/>
      </c>
    </row>
    <row r="1389" spans="4:4" x14ac:dyDescent="0.3">
      <c r="D1389" t="str">
        <f t="shared" si="52"/>
        <v/>
      </c>
    </row>
    <row r="1390" spans="4:4" x14ac:dyDescent="0.3">
      <c r="D1390" t="str">
        <f t="shared" si="52"/>
        <v/>
      </c>
    </row>
    <row r="1391" spans="4:4" x14ac:dyDescent="0.3">
      <c r="D1391" t="str">
        <f t="shared" si="52"/>
        <v/>
      </c>
    </row>
    <row r="1392" spans="4:4" x14ac:dyDescent="0.3">
      <c r="D1392" t="str">
        <f t="shared" si="52"/>
        <v/>
      </c>
    </row>
    <row r="1393" spans="4:4" x14ac:dyDescent="0.3">
      <c r="D1393" t="str">
        <f t="shared" si="52"/>
        <v/>
      </c>
    </row>
    <row r="1394" spans="4:4" x14ac:dyDescent="0.3">
      <c r="D1394" t="str">
        <f t="shared" si="52"/>
        <v/>
      </c>
    </row>
    <row r="1395" spans="4:4" x14ac:dyDescent="0.3">
      <c r="D1395" t="str">
        <f t="shared" si="52"/>
        <v/>
      </c>
    </row>
    <row r="1396" spans="4:4" x14ac:dyDescent="0.3">
      <c r="D1396" t="str">
        <f t="shared" si="52"/>
        <v/>
      </c>
    </row>
    <row r="1397" spans="4:4" x14ac:dyDescent="0.3">
      <c r="D1397" t="str">
        <f t="shared" si="52"/>
        <v/>
      </c>
    </row>
    <row r="1398" spans="4:4" x14ac:dyDescent="0.3">
      <c r="D1398" t="str">
        <f t="shared" si="52"/>
        <v/>
      </c>
    </row>
    <row r="1399" spans="4:4" x14ac:dyDescent="0.3">
      <c r="D1399" t="str">
        <f t="shared" si="52"/>
        <v/>
      </c>
    </row>
    <row r="1400" spans="4:4" x14ac:dyDescent="0.3">
      <c r="D1400" t="str">
        <f t="shared" si="52"/>
        <v/>
      </c>
    </row>
    <row r="1401" spans="4:4" x14ac:dyDescent="0.3">
      <c r="D1401" t="str">
        <f t="shared" si="52"/>
        <v/>
      </c>
    </row>
    <row r="1402" spans="4:4" x14ac:dyDescent="0.3">
      <c r="D1402" t="str">
        <f t="shared" ref="D1402:D1465" si="53">IF(LEFT(A1402,2)="SP",MID(A1402,4,4),IF(LEFT(A1402,1)="X",MID(A1402,3,4),""))</f>
        <v/>
      </c>
    </row>
    <row r="1403" spans="4:4" x14ac:dyDescent="0.3">
      <c r="D1403" t="str">
        <f t="shared" si="53"/>
        <v/>
      </c>
    </row>
    <row r="1404" spans="4:4" x14ac:dyDescent="0.3">
      <c r="D1404" t="str">
        <f t="shared" si="53"/>
        <v/>
      </c>
    </row>
    <row r="1405" spans="4:4" x14ac:dyDescent="0.3">
      <c r="D1405" t="str">
        <f t="shared" si="53"/>
        <v/>
      </c>
    </row>
    <row r="1406" spans="4:4" x14ac:dyDescent="0.3">
      <c r="D1406" t="str">
        <f t="shared" si="53"/>
        <v/>
      </c>
    </row>
    <row r="1407" spans="4:4" x14ac:dyDescent="0.3">
      <c r="D1407" t="str">
        <f t="shared" si="53"/>
        <v/>
      </c>
    </row>
    <row r="1408" spans="4:4" x14ac:dyDescent="0.3">
      <c r="D1408" t="str">
        <f t="shared" si="53"/>
        <v/>
      </c>
    </row>
    <row r="1409" spans="4:4" x14ac:dyDescent="0.3">
      <c r="D1409" t="str">
        <f t="shared" si="53"/>
        <v/>
      </c>
    </row>
    <row r="1410" spans="4:4" x14ac:dyDescent="0.3">
      <c r="D1410" t="str">
        <f t="shared" si="53"/>
        <v/>
      </c>
    </row>
    <row r="1411" spans="4:4" x14ac:dyDescent="0.3">
      <c r="D1411" t="str">
        <f t="shared" si="53"/>
        <v/>
      </c>
    </row>
    <row r="1412" spans="4:4" x14ac:dyDescent="0.3">
      <c r="D1412" t="str">
        <f t="shared" si="53"/>
        <v/>
      </c>
    </row>
    <row r="1413" spans="4:4" x14ac:dyDescent="0.3">
      <c r="D1413" t="str">
        <f t="shared" si="53"/>
        <v/>
      </c>
    </row>
    <row r="1414" spans="4:4" x14ac:dyDescent="0.3">
      <c r="D1414" t="str">
        <f t="shared" si="53"/>
        <v/>
      </c>
    </row>
    <row r="1415" spans="4:4" x14ac:dyDescent="0.3">
      <c r="D1415" t="str">
        <f t="shared" si="53"/>
        <v/>
      </c>
    </row>
    <row r="1416" spans="4:4" x14ac:dyDescent="0.3">
      <c r="D1416" t="str">
        <f t="shared" si="53"/>
        <v/>
      </c>
    </row>
    <row r="1417" spans="4:4" x14ac:dyDescent="0.3">
      <c r="D1417" t="str">
        <f t="shared" si="53"/>
        <v/>
      </c>
    </row>
    <row r="1418" spans="4:4" x14ac:dyDescent="0.3">
      <c r="D1418" t="str">
        <f t="shared" si="53"/>
        <v/>
      </c>
    </row>
    <row r="1419" spans="4:4" x14ac:dyDescent="0.3">
      <c r="D1419" t="str">
        <f t="shared" si="53"/>
        <v/>
      </c>
    </row>
    <row r="1420" spans="4:4" x14ac:dyDescent="0.3">
      <c r="D1420" t="str">
        <f t="shared" si="53"/>
        <v/>
      </c>
    </row>
    <row r="1421" spans="4:4" x14ac:dyDescent="0.3">
      <c r="D1421" t="str">
        <f t="shared" si="53"/>
        <v/>
      </c>
    </row>
    <row r="1422" spans="4:4" x14ac:dyDescent="0.3">
      <c r="D1422" t="str">
        <f t="shared" si="53"/>
        <v/>
      </c>
    </row>
    <row r="1423" spans="4:4" x14ac:dyDescent="0.3">
      <c r="D1423" t="str">
        <f t="shared" si="53"/>
        <v/>
      </c>
    </row>
    <row r="1424" spans="4:4" x14ac:dyDescent="0.3">
      <c r="D1424" t="str">
        <f t="shared" si="53"/>
        <v/>
      </c>
    </row>
    <row r="1425" spans="4:4" x14ac:dyDescent="0.3">
      <c r="D1425" t="str">
        <f t="shared" si="53"/>
        <v/>
      </c>
    </row>
    <row r="1426" spans="4:4" x14ac:dyDescent="0.3">
      <c r="D1426" t="str">
        <f t="shared" si="53"/>
        <v/>
      </c>
    </row>
    <row r="1427" spans="4:4" x14ac:dyDescent="0.3">
      <c r="D1427" t="str">
        <f t="shared" si="53"/>
        <v/>
      </c>
    </row>
    <row r="1428" spans="4:4" x14ac:dyDescent="0.3">
      <c r="D1428" t="str">
        <f t="shared" si="53"/>
        <v/>
      </c>
    </row>
    <row r="1429" spans="4:4" x14ac:dyDescent="0.3">
      <c r="D1429" t="str">
        <f t="shared" si="53"/>
        <v/>
      </c>
    </row>
    <row r="1430" spans="4:4" x14ac:dyDescent="0.3">
      <c r="D1430" t="str">
        <f t="shared" si="53"/>
        <v/>
      </c>
    </row>
    <row r="1431" spans="4:4" x14ac:dyDescent="0.3">
      <c r="D1431" t="str">
        <f t="shared" si="53"/>
        <v/>
      </c>
    </row>
    <row r="1432" spans="4:4" x14ac:dyDescent="0.3">
      <c r="D1432" t="str">
        <f t="shared" si="53"/>
        <v/>
      </c>
    </row>
    <row r="1433" spans="4:4" x14ac:dyDescent="0.3">
      <c r="D1433" t="str">
        <f t="shared" si="53"/>
        <v/>
      </c>
    </row>
    <row r="1434" spans="4:4" x14ac:dyDescent="0.3">
      <c r="D1434" t="str">
        <f t="shared" si="53"/>
        <v/>
      </c>
    </row>
    <row r="1435" spans="4:4" x14ac:dyDescent="0.3">
      <c r="D1435" t="str">
        <f t="shared" si="53"/>
        <v/>
      </c>
    </row>
    <row r="1436" spans="4:4" x14ac:dyDescent="0.3">
      <c r="D1436" t="str">
        <f t="shared" si="53"/>
        <v/>
      </c>
    </row>
    <row r="1437" spans="4:4" x14ac:dyDescent="0.3">
      <c r="D1437" t="str">
        <f t="shared" si="53"/>
        <v/>
      </c>
    </row>
    <row r="1438" spans="4:4" x14ac:dyDescent="0.3">
      <c r="D1438" t="str">
        <f t="shared" si="53"/>
        <v/>
      </c>
    </row>
    <row r="1439" spans="4:4" x14ac:dyDescent="0.3">
      <c r="D1439" t="str">
        <f t="shared" si="53"/>
        <v/>
      </c>
    </row>
    <row r="1440" spans="4:4" x14ac:dyDescent="0.3">
      <c r="D1440" t="str">
        <f t="shared" si="53"/>
        <v/>
      </c>
    </row>
    <row r="1441" spans="4:4" x14ac:dyDescent="0.3">
      <c r="D1441" t="str">
        <f t="shared" si="53"/>
        <v/>
      </c>
    </row>
    <row r="1442" spans="4:4" x14ac:dyDescent="0.3">
      <c r="D1442" t="str">
        <f t="shared" si="53"/>
        <v/>
      </c>
    </row>
    <row r="1443" spans="4:4" x14ac:dyDescent="0.3">
      <c r="D1443" t="str">
        <f t="shared" si="53"/>
        <v/>
      </c>
    </row>
    <row r="1444" spans="4:4" x14ac:dyDescent="0.3">
      <c r="D1444" t="str">
        <f t="shared" si="53"/>
        <v/>
      </c>
    </row>
    <row r="1445" spans="4:4" x14ac:dyDescent="0.3">
      <c r="D1445" t="str">
        <f t="shared" si="53"/>
        <v/>
      </c>
    </row>
    <row r="1446" spans="4:4" x14ac:dyDescent="0.3">
      <c r="D1446" t="str">
        <f t="shared" si="53"/>
        <v/>
      </c>
    </row>
    <row r="1447" spans="4:4" x14ac:dyDescent="0.3">
      <c r="D1447" t="str">
        <f t="shared" si="53"/>
        <v/>
      </c>
    </row>
    <row r="1448" spans="4:4" x14ac:dyDescent="0.3">
      <c r="D1448" t="str">
        <f t="shared" si="53"/>
        <v/>
      </c>
    </row>
    <row r="1449" spans="4:4" x14ac:dyDescent="0.3">
      <c r="D1449" t="str">
        <f t="shared" si="53"/>
        <v/>
      </c>
    </row>
    <row r="1450" spans="4:4" x14ac:dyDescent="0.3">
      <c r="D1450" t="str">
        <f t="shared" si="53"/>
        <v/>
      </c>
    </row>
    <row r="1451" spans="4:4" x14ac:dyDescent="0.3">
      <c r="D1451" t="str">
        <f t="shared" si="53"/>
        <v/>
      </c>
    </row>
    <row r="1452" spans="4:4" x14ac:dyDescent="0.3">
      <c r="D1452" t="str">
        <f t="shared" si="53"/>
        <v/>
      </c>
    </row>
    <row r="1453" spans="4:4" x14ac:dyDescent="0.3">
      <c r="D1453" t="str">
        <f t="shared" si="53"/>
        <v/>
      </c>
    </row>
    <row r="1454" spans="4:4" x14ac:dyDescent="0.3">
      <c r="D1454" t="str">
        <f t="shared" si="53"/>
        <v/>
      </c>
    </row>
    <row r="1455" spans="4:4" x14ac:dyDescent="0.3">
      <c r="D1455" t="str">
        <f t="shared" si="53"/>
        <v/>
      </c>
    </row>
    <row r="1456" spans="4:4" x14ac:dyDescent="0.3">
      <c r="D1456" t="str">
        <f t="shared" si="53"/>
        <v/>
      </c>
    </row>
    <row r="1457" spans="4:4" x14ac:dyDescent="0.3">
      <c r="D1457" t="str">
        <f t="shared" si="53"/>
        <v/>
      </c>
    </row>
    <row r="1458" spans="4:4" x14ac:dyDescent="0.3">
      <c r="D1458" t="str">
        <f t="shared" si="53"/>
        <v/>
      </c>
    </row>
    <row r="1459" spans="4:4" x14ac:dyDescent="0.3">
      <c r="D1459" t="str">
        <f t="shared" si="53"/>
        <v/>
      </c>
    </row>
    <row r="1460" spans="4:4" x14ac:dyDescent="0.3">
      <c r="D1460" t="str">
        <f t="shared" si="53"/>
        <v/>
      </c>
    </row>
    <row r="1461" spans="4:4" x14ac:dyDescent="0.3">
      <c r="D1461" t="str">
        <f t="shared" si="53"/>
        <v/>
      </c>
    </row>
    <row r="1462" spans="4:4" x14ac:dyDescent="0.3">
      <c r="D1462" t="str">
        <f t="shared" si="53"/>
        <v/>
      </c>
    </row>
    <row r="1463" spans="4:4" x14ac:dyDescent="0.3">
      <c r="D1463" t="str">
        <f t="shared" si="53"/>
        <v/>
      </c>
    </row>
    <row r="1464" spans="4:4" x14ac:dyDescent="0.3">
      <c r="D1464" t="str">
        <f t="shared" si="53"/>
        <v/>
      </c>
    </row>
    <row r="1465" spans="4:4" x14ac:dyDescent="0.3">
      <c r="D1465" t="str">
        <f t="shared" si="53"/>
        <v/>
      </c>
    </row>
    <row r="1466" spans="4:4" x14ac:dyDescent="0.3">
      <c r="D1466" t="str">
        <f t="shared" ref="D1466:D1529" si="54">IF(LEFT(A1466,2)="SP",MID(A1466,4,4),IF(LEFT(A1466,1)="X",MID(A1466,3,4),""))</f>
        <v/>
      </c>
    </row>
    <row r="1467" spans="4:4" x14ac:dyDescent="0.3">
      <c r="D1467" t="str">
        <f t="shared" si="54"/>
        <v/>
      </c>
    </row>
    <row r="1468" spans="4:4" x14ac:dyDescent="0.3">
      <c r="D1468" t="str">
        <f t="shared" si="54"/>
        <v/>
      </c>
    </row>
    <row r="1469" spans="4:4" x14ac:dyDescent="0.3">
      <c r="D1469" t="str">
        <f t="shared" si="54"/>
        <v/>
      </c>
    </row>
    <row r="1470" spans="4:4" x14ac:dyDescent="0.3">
      <c r="D1470" t="str">
        <f t="shared" si="54"/>
        <v/>
      </c>
    </row>
    <row r="1471" spans="4:4" x14ac:dyDescent="0.3">
      <c r="D1471" t="str">
        <f t="shared" si="54"/>
        <v/>
      </c>
    </row>
    <row r="1472" spans="4:4" x14ac:dyDescent="0.3">
      <c r="D1472" t="str">
        <f t="shared" si="54"/>
        <v/>
      </c>
    </row>
    <row r="1473" spans="4:4" x14ac:dyDescent="0.3">
      <c r="D1473" t="str">
        <f t="shared" si="54"/>
        <v/>
      </c>
    </row>
    <row r="1474" spans="4:4" x14ac:dyDescent="0.3">
      <c r="D1474" t="str">
        <f t="shared" si="54"/>
        <v/>
      </c>
    </row>
    <row r="1475" spans="4:4" x14ac:dyDescent="0.3">
      <c r="D1475" t="str">
        <f t="shared" si="54"/>
        <v/>
      </c>
    </row>
    <row r="1476" spans="4:4" x14ac:dyDescent="0.3">
      <c r="D1476" t="str">
        <f t="shared" si="54"/>
        <v/>
      </c>
    </row>
    <row r="1477" spans="4:4" x14ac:dyDescent="0.3">
      <c r="D1477" t="str">
        <f t="shared" si="54"/>
        <v/>
      </c>
    </row>
    <row r="1478" spans="4:4" x14ac:dyDescent="0.3">
      <c r="D1478" t="str">
        <f t="shared" si="54"/>
        <v/>
      </c>
    </row>
    <row r="1479" spans="4:4" x14ac:dyDescent="0.3">
      <c r="D1479" t="str">
        <f t="shared" si="54"/>
        <v/>
      </c>
    </row>
    <row r="1480" spans="4:4" x14ac:dyDescent="0.3">
      <c r="D1480" t="str">
        <f t="shared" si="54"/>
        <v/>
      </c>
    </row>
    <row r="1481" spans="4:4" x14ac:dyDescent="0.3">
      <c r="D1481" t="str">
        <f t="shared" si="54"/>
        <v/>
      </c>
    </row>
    <row r="1482" spans="4:4" x14ac:dyDescent="0.3">
      <c r="D1482" t="str">
        <f t="shared" si="54"/>
        <v/>
      </c>
    </row>
    <row r="1483" spans="4:4" x14ac:dyDescent="0.3">
      <c r="D1483" t="str">
        <f t="shared" si="54"/>
        <v/>
      </c>
    </row>
    <row r="1484" spans="4:4" x14ac:dyDescent="0.3">
      <c r="D1484" t="str">
        <f t="shared" si="54"/>
        <v/>
      </c>
    </row>
    <row r="1485" spans="4:4" x14ac:dyDescent="0.3">
      <c r="D1485" t="str">
        <f t="shared" si="54"/>
        <v/>
      </c>
    </row>
    <row r="1486" spans="4:4" x14ac:dyDescent="0.3">
      <c r="D1486" t="str">
        <f t="shared" si="54"/>
        <v/>
      </c>
    </row>
    <row r="1487" spans="4:4" x14ac:dyDescent="0.3">
      <c r="D1487" t="str">
        <f t="shared" si="54"/>
        <v/>
      </c>
    </row>
    <row r="1488" spans="4:4" x14ac:dyDescent="0.3">
      <c r="D1488" t="str">
        <f t="shared" si="54"/>
        <v/>
      </c>
    </row>
    <row r="1489" spans="4:4" x14ac:dyDescent="0.3">
      <c r="D1489" t="str">
        <f t="shared" si="54"/>
        <v/>
      </c>
    </row>
    <row r="1490" spans="4:4" x14ac:dyDescent="0.3">
      <c r="D1490" t="str">
        <f t="shared" si="54"/>
        <v/>
      </c>
    </row>
    <row r="1491" spans="4:4" x14ac:dyDescent="0.3">
      <c r="D1491" t="str">
        <f t="shared" si="54"/>
        <v/>
      </c>
    </row>
    <row r="1492" spans="4:4" x14ac:dyDescent="0.3">
      <c r="D1492" t="str">
        <f t="shared" si="54"/>
        <v/>
      </c>
    </row>
    <row r="1493" spans="4:4" x14ac:dyDescent="0.3">
      <c r="D1493" t="str">
        <f t="shared" si="54"/>
        <v/>
      </c>
    </row>
    <row r="1494" spans="4:4" x14ac:dyDescent="0.3">
      <c r="D1494" t="str">
        <f t="shared" si="54"/>
        <v/>
      </c>
    </row>
    <row r="1495" spans="4:4" x14ac:dyDescent="0.3">
      <c r="D1495" t="str">
        <f t="shared" si="54"/>
        <v/>
      </c>
    </row>
    <row r="1496" spans="4:4" x14ac:dyDescent="0.3">
      <c r="D1496" t="str">
        <f t="shared" si="54"/>
        <v/>
      </c>
    </row>
    <row r="1497" spans="4:4" x14ac:dyDescent="0.3">
      <c r="D1497" t="str">
        <f t="shared" si="54"/>
        <v/>
      </c>
    </row>
    <row r="1498" spans="4:4" x14ac:dyDescent="0.3">
      <c r="D1498" t="str">
        <f t="shared" si="54"/>
        <v/>
      </c>
    </row>
    <row r="1499" spans="4:4" x14ac:dyDescent="0.3">
      <c r="D1499" t="str">
        <f t="shared" si="54"/>
        <v/>
      </c>
    </row>
    <row r="1500" spans="4:4" x14ac:dyDescent="0.3">
      <c r="D1500" t="str">
        <f t="shared" si="54"/>
        <v/>
      </c>
    </row>
    <row r="1501" spans="4:4" x14ac:dyDescent="0.3">
      <c r="D1501" t="str">
        <f t="shared" si="54"/>
        <v/>
      </c>
    </row>
    <row r="1502" spans="4:4" x14ac:dyDescent="0.3">
      <c r="D1502" t="str">
        <f t="shared" si="54"/>
        <v/>
      </c>
    </row>
    <row r="1503" spans="4:4" x14ac:dyDescent="0.3">
      <c r="D1503" t="str">
        <f t="shared" si="54"/>
        <v/>
      </c>
    </row>
    <row r="1504" spans="4:4" x14ac:dyDescent="0.3">
      <c r="D1504" t="str">
        <f t="shared" si="54"/>
        <v/>
      </c>
    </row>
    <row r="1505" spans="4:4" x14ac:dyDescent="0.3">
      <c r="D1505" t="str">
        <f t="shared" si="54"/>
        <v/>
      </c>
    </row>
    <row r="1506" spans="4:4" x14ac:dyDescent="0.3">
      <c r="D1506" t="str">
        <f t="shared" si="54"/>
        <v/>
      </c>
    </row>
    <row r="1507" spans="4:4" x14ac:dyDescent="0.3">
      <c r="D1507" t="str">
        <f t="shared" si="54"/>
        <v/>
      </c>
    </row>
    <row r="1508" spans="4:4" x14ac:dyDescent="0.3">
      <c r="D1508" t="str">
        <f t="shared" si="54"/>
        <v/>
      </c>
    </row>
    <row r="1509" spans="4:4" x14ac:dyDescent="0.3">
      <c r="D1509" t="str">
        <f t="shared" si="54"/>
        <v/>
      </c>
    </row>
    <row r="1510" spans="4:4" x14ac:dyDescent="0.3">
      <c r="D1510" t="str">
        <f t="shared" si="54"/>
        <v/>
      </c>
    </row>
    <row r="1511" spans="4:4" x14ac:dyDescent="0.3">
      <c r="D1511" t="str">
        <f t="shared" si="54"/>
        <v/>
      </c>
    </row>
    <row r="1512" spans="4:4" x14ac:dyDescent="0.3">
      <c r="D1512" t="str">
        <f t="shared" si="54"/>
        <v/>
      </c>
    </row>
    <row r="1513" spans="4:4" x14ac:dyDescent="0.3">
      <c r="D1513" t="str">
        <f t="shared" si="54"/>
        <v/>
      </c>
    </row>
    <row r="1514" spans="4:4" x14ac:dyDescent="0.3">
      <c r="D1514" t="str">
        <f t="shared" si="54"/>
        <v/>
      </c>
    </row>
    <row r="1515" spans="4:4" x14ac:dyDescent="0.3">
      <c r="D1515" t="str">
        <f t="shared" si="54"/>
        <v/>
      </c>
    </row>
    <row r="1516" spans="4:4" x14ac:dyDescent="0.3">
      <c r="D1516" t="str">
        <f t="shared" si="54"/>
        <v/>
      </c>
    </row>
    <row r="1517" spans="4:4" x14ac:dyDescent="0.3">
      <c r="D1517" t="str">
        <f t="shared" si="54"/>
        <v/>
      </c>
    </row>
    <row r="1518" spans="4:4" x14ac:dyDescent="0.3">
      <c r="D1518" t="str">
        <f t="shared" si="54"/>
        <v/>
      </c>
    </row>
    <row r="1519" spans="4:4" x14ac:dyDescent="0.3">
      <c r="D1519" t="str">
        <f t="shared" si="54"/>
        <v/>
      </c>
    </row>
    <row r="1520" spans="4:4" x14ac:dyDescent="0.3">
      <c r="D1520" t="str">
        <f t="shared" si="54"/>
        <v/>
      </c>
    </row>
    <row r="1521" spans="4:4" x14ac:dyDescent="0.3">
      <c r="D1521" t="str">
        <f t="shared" si="54"/>
        <v/>
      </c>
    </row>
    <row r="1522" spans="4:4" x14ac:dyDescent="0.3">
      <c r="D1522" t="str">
        <f t="shared" si="54"/>
        <v/>
      </c>
    </row>
    <row r="1523" spans="4:4" x14ac:dyDescent="0.3">
      <c r="D1523" t="str">
        <f t="shared" si="54"/>
        <v/>
      </c>
    </row>
    <row r="1524" spans="4:4" x14ac:dyDescent="0.3">
      <c r="D1524" t="str">
        <f t="shared" si="54"/>
        <v/>
      </c>
    </row>
    <row r="1525" spans="4:4" x14ac:dyDescent="0.3">
      <c r="D1525" t="str">
        <f t="shared" si="54"/>
        <v/>
      </c>
    </row>
    <row r="1526" spans="4:4" x14ac:dyDescent="0.3">
      <c r="D1526" t="str">
        <f t="shared" si="54"/>
        <v/>
      </c>
    </row>
    <row r="1527" spans="4:4" x14ac:dyDescent="0.3">
      <c r="D1527" t="str">
        <f t="shared" si="54"/>
        <v/>
      </c>
    </row>
    <row r="1528" spans="4:4" x14ac:dyDescent="0.3">
      <c r="D1528" t="str">
        <f t="shared" si="54"/>
        <v/>
      </c>
    </row>
    <row r="1529" spans="4:4" x14ac:dyDescent="0.3">
      <c r="D1529" t="str">
        <f t="shared" si="54"/>
        <v/>
      </c>
    </row>
    <row r="1530" spans="4:4" x14ac:dyDescent="0.3">
      <c r="D1530" t="str">
        <f t="shared" ref="D1530:D1593" si="55">IF(LEFT(A1530,2)="SP",MID(A1530,4,4),IF(LEFT(A1530,1)="X",MID(A1530,3,4),""))</f>
        <v/>
      </c>
    </row>
    <row r="1531" spans="4:4" x14ac:dyDescent="0.3">
      <c r="D1531" t="str">
        <f t="shared" si="55"/>
        <v/>
      </c>
    </row>
    <row r="1532" spans="4:4" x14ac:dyDescent="0.3">
      <c r="D1532" t="str">
        <f t="shared" si="55"/>
        <v/>
      </c>
    </row>
    <row r="1533" spans="4:4" x14ac:dyDescent="0.3">
      <c r="D1533" t="str">
        <f t="shared" si="55"/>
        <v/>
      </c>
    </row>
    <row r="1534" spans="4:4" x14ac:dyDescent="0.3">
      <c r="D1534" t="str">
        <f t="shared" si="55"/>
        <v/>
      </c>
    </row>
    <row r="1535" spans="4:4" x14ac:dyDescent="0.3">
      <c r="D1535" t="str">
        <f t="shared" si="55"/>
        <v/>
      </c>
    </row>
    <row r="1536" spans="4:4" x14ac:dyDescent="0.3">
      <c r="D1536" t="str">
        <f t="shared" si="55"/>
        <v/>
      </c>
    </row>
    <row r="1537" spans="4:4" x14ac:dyDescent="0.3">
      <c r="D1537" t="str">
        <f t="shared" si="55"/>
        <v/>
      </c>
    </row>
    <row r="1538" spans="4:4" x14ac:dyDescent="0.3">
      <c r="D1538" t="str">
        <f t="shared" si="55"/>
        <v/>
      </c>
    </row>
    <row r="1539" spans="4:4" x14ac:dyDescent="0.3">
      <c r="D1539" t="str">
        <f t="shared" si="55"/>
        <v/>
      </c>
    </row>
    <row r="1540" spans="4:4" x14ac:dyDescent="0.3">
      <c r="D1540" t="str">
        <f t="shared" si="55"/>
        <v/>
      </c>
    </row>
    <row r="1541" spans="4:4" x14ac:dyDescent="0.3">
      <c r="D1541" t="str">
        <f t="shared" si="55"/>
        <v/>
      </c>
    </row>
    <row r="1542" spans="4:4" x14ac:dyDescent="0.3">
      <c r="D1542" t="str">
        <f t="shared" si="55"/>
        <v/>
      </c>
    </row>
    <row r="1543" spans="4:4" x14ac:dyDescent="0.3">
      <c r="D1543" t="str">
        <f t="shared" si="55"/>
        <v/>
      </c>
    </row>
    <row r="1544" spans="4:4" x14ac:dyDescent="0.3">
      <c r="D1544" t="str">
        <f t="shared" si="55"/>
        <v/>
      </c>
    </row>
    <row r="1545" spans="4:4" x14ac:dyDescent="0.3">
      <c r="D1545" t="str">
        <f t="shared" si="55"/>
        <v/>
      </c>
    </row>
    <row r="1546" spans="4:4" x14ac:dyDescent="0.3">
      <c r="D1546" t="str">
        <f t="shared" si="55"/>
        <v/>
      </c>
    </row>
    <row r="1547" spans="4:4" x14ac:dyDescent="0.3">
      <c r="D1547" t="str">
        <f t="shared" si="55"/>
        <v/>
      </c>
    </row>
    <row r="1548" spans="4:4" x14ac:dyDescent="0.3">
      <c r="D1548" t="str">
        <f t="shared" si="55"/>
        <v/>
      </c>
    </row>
    <row r="1549" spans="4:4" x14ac:dyDescent="0.3">
      <c r="D1549" t="str">
        <f t="shared" si="55"/>
        <v/>
      </c>
    </row>
    <row r="1550" spans="4:4" x14ac:dyDescent="0.3">
      <c r="D1550" t="str">
        <f t="shared" si="55"/>
        <v/>
      </c>
    </row>
    <row r="1551" spans="4:4" x14ac:dyDescent="0.3">
      <c r="D1551" t="str">
        <f t="shared" si="55"/>
        <v/>
      </c>
    </row>
    <row r="1552" spans="4:4" x14ac:dyDescent="0.3">
      <c r="D1552" t="str">
        <f t="shared" si="55"/>
        <v/>
      </c>
    </row>
    <row r="1553" spans="4:4" x14ac:dyDescent="0.3">
      <c r="D1553" t="str">
        <f t="shared" si="55"/>
        <v/>
      </c>
    </row>
    <row r="1554" spans="4:4" x14ac:dyDescent="0.3">
      <c r="D1554" t="str">
        <f t="shared" si="55"/>
        <v/>
      </c>
    </row>
    <row r="1555" spans="4:4" x14ac:dyDescent="0.3">
      <c r="D1555" t="str">
        <f t="shared" si="55"/>
        <v/>
      </c>
    </row>
    <row r="1556" spans="4:4" x14ac:dyDescent="0.3">
      <c r="D1556" t="str">
        <f t="shared" si="55"/>
        <v/>
      </c>
    </row>
    <row r="1557" spans="4:4" x14ac:dyDescent="0.3">
      <c r="D1557" t="str">
        <f t="shared" si="55"/>
        <v/>
      </c>
    </row>
    <row r="1558" spans="4:4" x14ac:dyDescent="0.3">
      <c r="D1558" t="str">
        <f t="shared" si="55"/>
        <v/>
      </c>
    </row>
    <row r="1559" spans="4:4" x14ac:dyDescent="0.3">
      <c r="D1559" t="str">
        <f t="shared" si="55"/>
        <v/>
      </c>
    </row>
    <row r="1560" spans="4:4" x14ac:dyDescent="0.3">
      <c r="D1560" t="str">
        <f t="shared" si="55"/>
        <v/>
      </c>
    </row>
    <row r="1561" spans="4:4" x14ac:dyDescent="0.3">
      <c r="D1561" t="str">
        <f t="shared" si="55"/>
        <v/>
      </c>
    </row>
    <row r="1562" spans="4:4" x14ac:dyDescent="0.3">
      <c r="D1562" t="str">
        <f t="shared" si="55"/>
        <v/>
      </c>
    </row>
    <row r="1563" spans="4:4" x14ac:dyDescent="0.3">
      <c r="D1563" t="str">
        <f t="shared" si="55"/>
        <v/>
      </c>
    </row>
    <row r="1564" spans="4:4" x14ac:dyDescent="0.3">
      <c r="D1564" t="str">
        <f t="shared" si="55"/>
        <v/>
      </c>
    </row>
    <row r="1565" spans="4:4" x14ac:dyDescent="0.3">
      <c r="D1565" t="str">
        <f t="shared" si="55"/>
        <v/>
      </c>
    </row>
    <row r="1566" spans="4:4" x14ac:dyDescent="0.3">
      <c r="D1566" t="str">
        <f t="shared" si="55"/>
        <v/>
      </c>
    </row>
    <row r="1567" spans="4:4" x14ac:dyDescent="0.3">
      <c r="D1567" t="str">
        <f t="shared" si="55"/>
        <v/>
      </c>
    </row>
    <row r="1568" spans="4:4" x14ac:dyDescent="0.3">
      <c r="D1568" t="str">
        <f t="shared" si="55"/>
        <v/>
      </c>
    </row>
    <row r="1569" spans="4:4" x14ac:dyDescent="0.3">
      <c r="D1569" t="str">
        <f t="shared" si="55"/>
        <v/>
      </c>
    </row>
    <row r="1570" spans="4:4" x14ac:dyDescent="0.3">
      <c r="D1570" t="str">
        <f t="shared" si="55"/>
        <v/>
      </c>
    </row>
    <row r="1571" spans="4:4" x14ac:dyDescent="0.3">
      <c r="D1571" t="str">
        <f t="shared" si="55"/>
        <v/>
      </c>
    </row>
    <row r="1572" spans="4:4" x14ac:dyDescent="0.3">
      <c r="D1572" t="str">
        <f t="shared" si="55"/>
        <v/>
      </c>
    </row>
    <row r="1573" spans="4:4" x14ac:dyDescent="0.3">
      <c r="D1573" t="str">
        <f t="shared" si="55"/>
        <v/>
      </c>
    </row>
    <row r="1574" spans="4:4" x14ac:dyDescent="0.3">
      <c r="D1574" t="str">
        <f t="shared" si="55"/>
        <v/>
      </c>
    </row>
    <row r="1575" spans="4:4" x14ac:dyDescent="0.3">
      <c r="D1575" t="str">
        <f t="shared" si="55"/>
        <v/>
      </c>
    </row>
    <row r="1576" spans="4:4" x14ac:dyDescent="0.3">
      <c r="D1576" t="str">
        <f t="shared" si="55"/>
        <v/>
      </c>
    </row>
    <row r="1577" spans="4:4" x14ac:dyDescent="0.3">
      <c r="D1577" t="str">
        <f t="shared" si="55"/>
        <v/>
      </c>
    </row>
    <row r="1578" spans="4:4" x14ac:dyDescent="0.3">
      <c r="D1578" t="str">
        <f t="shared" si="55"/>
        <v/>
      </c>
    </row>
    <row r="1579" spans="4:4" x14ac:dyDescent="0.3">
      <c r="D1579" t="str">
        <f t="shared" si="55"/>
        <v/>
      </c>
    </row>
    <row r="1580" spans="4:4" x14ac:dyDescent="0.3">
      <c r="D1580" t="str">
        <f t="shared" si="55"/>
        <v/>
      </c>
    </row>
    <row r="1581" spans="4:4" x14ac:dyDescent="0.3">
      <c r="D1581" t="str">
        <f t="shared" si="55"/>
        <v/>
      </c>
    </row>
    <row r="1582" spans="4:4" x14ac:dyDescent="0.3">
      <c r="D1582" t="str">
        <f t="shared" si="55"/>
        <v/>
      </c>
    </row>
    <row r="1583" spans="4:4" x14ac:dyDescent="0.3">
      <c r="D1583" t="str">
        <f t="shared" si="55"/>
        <v/>
      </c>
    </row>
    <row r="1584" spans="4:4" x14ac:dyDescent="0.3">
      <c r="D1584" t="str">
        <f t="shared" si="55"/>
        <v/>
      </c>
    </row>
    <row r="1585" spans="4:4" x14ac:dyDescent="0.3">
      <c r="D1585" t="str">
        <f t="shared" si="55"/>
        <v/>
      </c>
    </row>
    <row r="1586" spans="4:4" x14ac:dyDescent="0.3">
      <c r="D1586" t="str">
        <f t="shared" si="55"/>
        <v/>
      </c>
    </row>
    <row r="1587" spans="4:4" x14ac:dyDescent="0.3">
      <c r="D1587" t="str">
        <f t="shared" si="55"/>
        <v/>
      </c>
    </row>
    <row r="1588" spans="4:4" x14ac:dyDescent="0.3">
      <c r="D1588" t="str">
        <f t="shared" si="55"/>
        <v/>
      </c>
    </row>
    <row r="1589" spans="4:4" x14ac:dyDescent="0.3">
      <c r="D1589" t="str">
        <f t="shared" si="55"/>
        <v/>
      </c>
    </row>
    <row r="1590" spans="4:4" x14ac:dyDescent="0.3">
      <c r="D1590" t="str">
        <f t="shared" si="55"/>
        <v/>
      </c>
    </row>
    <row r="1591" spans="4:4" x14ac:dyDescent="0.3">
      <c r="D1591" t="str">
        <f t="shared" si="55"/>
        <v/>
      </c>
    </row>
    <row r="1592" spans="4:4" x14ac:dyDescent="0.3">
      <c r="D1592" t="str">
        <f t="shared" si="55"/>
        <v/>
      </c>
    </row>
    <row r="1593" spans="4:4" x14ac:dyDescent="0.3">
      <c r="D1593" t="str">
        <f t="shared" si="55"/>
        <v/>
      </c>
    </row>
    <row r="1594" spans="4:4" x14ac:dyDescent="0.3">
      <c r="D1594" t="str">
        <f t="shared" ref="D1594:D1657" si="56">IF(LEFT(A1594,2)="SP",MID(A1594,4,4),IF(LEFT(A1594,1)="X",MID(A1594,3,4),""))</f>
        <v/>
      </c>
    </row>
    <row r="1595" spans="4:4" x14ac:dyDescent="0.3">
      <c r="D1595" t="str">
        <f t="shared" si="56"/>
        <v/>
      </c>
    </row>
    <row r="1596" spans="4:4" x14ac:dyDescent="0.3">
      <c r="D1596" t="str">
        <f t="shared" si="56"/>
        <v/>
      </c>
    </row>
    <row r="1597" spans="4:4" x14ac:dyDescent="0.3">
      <c r="D1597" t="str">
        <f t="shared" si="56"/>
        <v/>
      </c>
    </row>
    <row r="1598" spans="4:4" x14ac:dyDescent="0.3">
      <c r="D1598" t="str">
        <f t="shared" si="56"/>
        <v/>
      </c>
    </row>
    <row r="1599" spans="4:4" x14ac:dyDescent="0.3">
      <c r="D1599" t="str">
        <f t="shared" si="56"/>
        <v/>
      </c>
    </row>
    <row r="1600" spans="4:4" x14ac:dyDescent="0.3">
      <c r="D1600" t="str">
        <f t="shared" si="56"/>
        <v/>
      </c>
    </row>
    <row r="1601" spans="4:4" x14ac:dyDescent="0.3">
      <c r="D1601" t="str">
        <f t="shared" si="56"/>
        <v/>
      </c>
    </row>
    <row r="1602" spans="4:4" x14ac:dyDescent="0.3">
      <c r="D1602" t="str">
        <f t="shared" si="56"/>
        <v/>
      </c>
    </row>
    <row r="1603" spans="4:4" x14ac:dyDescent="0.3">
      <c r="D1603" t="str">
        <f t="shared" si="56"/>
        <v/>
      </c>
    </row>
    <row r="1604" spans="4:4" x14ac:dyDescent="0.3">
      <c r="D1604" t="str">
        <f t="shared" si="56"/>
        <v/>
      </c>
    </row>
    <row r="1605" spans="4:4" x14ac:dyDescent="0.3">
      <c r="D1605" t="str">
        <f t="shared" si="56"/>
        <v/>
      </c>
    </row>
    <row r="1606" spans="4:4" x14ac:dyDescent="0.3">
      <c r="D1606" t="str">
        <f t="shared" si="56"/>
        <v/>
      </c>
    </row>
    <row r="1607" spans="4:4" x14ac:dyDescent="0.3">
      <c r="D1607" t="str">
        <f t="shared" si="56"/>
        <v/>
      </c>
    </row>
    <row r="1608" spans="4:4" x14ac:dyDescent="0.3">
      <c r="D1608" t="str">
        <f t="shared" si="56"/>
        <v/>
      </c>
    </row>
    <row r="1609" spans="4:4" x14ac:dyDescent="0.3">
      <c r="D1609" t="str">
        <f t="shared" si="56"/>
        <v/>
      </c>
    </row>
    <row r="1610" spans="4:4" x14ac:dyDescent="0.3">
      <c r="D1610" t="str">
        <f t="shared" si="56"/>
        <v/>
      </c>
    </row>
    <row r="1611" spans="4:4" x14ac:dyDescent="0.3">
      <c r="D1611" t="str">
        <f t="shared" si="56"/>
        <v/>
      </c>
    </row>
    <row r="1612" spans="4:4" x14ac:dyDescent="0.3">
      <c r="D1612" t="str">
        <f t="shared" si="56"/>
        <v/>
      </c>
    </row>
    <row r="1613" spans="4:4" x14ac:dyDescent="0.3">
      <c r="D1613" t="str">
        <f t="shared" si="56"/>
        <v/>
      </c>
    </row>
    <row r="1614" spans="4:4" x14ac:dyDescent="0.3">
      <c r="D1614" t="str">
        <f t="shared" si="56"/>
        <v/>
      </c>
    </row>
    <row r="1615" spans="4:4" x14ac:dyDescent="0.3">
      <c r="D1615" t="str">
        <f t="shared" si="56"/>
        <v/>
      </c>
    </row>
    <row r="1616" spans="4:4" x14ac:dyDescent="0.3">
      <c r="D1616" t="str">
        <f t="shared" si="56"/>
        <v/>
      </c>
    </row>
    <row r="1617" spans="4:4" x14ac:dyDescent="0.3">
      <c r="D1617" t="str">
        <f t="shared" si="56"/>
        <v/>
      </c>
    </row>
    <row r="1618" spans="4:4" x14ac:dyDescent="0.3">
      <c r="D1618" t="str">
        <f t="shared" si="56"/>
        <v/>
      </c>
    </row>
    <row r="1619" spans="4:4" x14ac:dyDescent="0.3">
      <c r="D1619" t="str">
        <f t="shared" si="56"/>
        <v/>
      </c>
    </row>
    <row r="1620" spans="4:4" x14ac:dyDescent="0.3">
      <c r="D1620" t="str">
        <f t="shared" si="56"/>
        <v/>
      </c>
    </row>
    <row r="1621" spans="4:4" x14ac:dyDescent="0.3">
      <c r="D1621" t="str">
        <f t="shared" si="56"/>
        <v/>
      </c>
    </row>
    <row r="1622" spans="4:4" x14ac:dyDescent="0.3">
      <c r="D1622" t="str">
        <f t="shared" si="56"/>
        <v/>
      </c>
    </row>
    <row r="1623" spans="4:4" x14ac:dyDescent="0.3">
      <c r="D1623" t="str">
        <f t="shared" si="56"/>
        <v/>
      </c>
    </row>
    <row r="1624" spans="4:4" x14ac:dyDescent="0.3">
      <c r="D1624" t="str">
        <f t="shared" si="56"/>
        <v/>
      </c>
    </row>
    <row r="1625" spans="4:4" x14ac:dyDescent="0.3">
      <c r="D1625" t="str">
        <f t="shared" si="56"/>
        <v/>
      </c>
    </row>
    <row r="1626" spans="4:4" x14ac:dyDescent="0.3">
      <c r="D1626" t="str">
        <f t="shared" si="56"/>
        <v/>
      </c>
    </row>
    <row r="1627" spans="4:4" x14ac:dyDescent="0.3">
      <c r="D1627" t="str">
        <f t="shared" si="56"/>
        <v/>
      </c>
    </row>
    <row r="1628" spans="4:4" x14ac:dyDescent="0.3">
      <c r="D1628" t="str">
        <f t="shared" si="56"/>
        <v/>
      </c>
    </row>
    <row r="1629" spans="4:4" x14ac:dyDescent="0.3">
      <c r="D1629" t="str">
        <f t="shared" si="56"/>
        <v/>
      </c>
    </row>
    <row r="1630" spans="4:4" x14ac:dyDescent="0.3">
      <c r="D1630" t="str">
        <f t="shared" si="56"/>
        <v/>
      </c>
    </row>
    <row r="1631" spans="4:4" x14ac:dyDescent="0.3">
      <c r="D1631" t="str">
        <f t="shared" si="56"/>
        <v/>
      </c>
    </row>
    <row r="1632" spans="4:4" x14ac:dyDescent="0.3">
      <c r="D1632" t="str">
        <f t="shared" si="56"/>
        <v/>
      </c>
    </row>
    <row r="1633" spans="4:4" x14ac:dyDescent="0.3">
      <c r="D1633" t="str">
        <f t="shared" si="56"/>
        <v/>
      </c>
    </row>
    <row r="1634" spans="4:4" x14ac:dyDescent="0.3">
      <c r="D1634" t="str">
        <f t="shared" si="56"/>
        <v/>
      </c>
    </row>
    <row r="1635" spans="4:4" x14ac:dyDescent="0.3">
      <c r="D1635" t="str">
        <f t="shared" si="56"/>
        <v/>
      </c>
    </row>
    <row r="1636" spans="4:4" x14ac:dyDescent="0.3">
      <c r="D1636" t="str">
        <f t="shared" si="56"/>
        <v/>
      </c>
    </row>
    <row r="1637" spans="4:4" x14ac:dyDescent="0.3">
      <c r="D1637" t="str">
        <f t="shared" si="56"/>
        <v/>
      </c>
    </row>
    <row r="1638" spans="4:4" x14ac:dyDescent="0.3">
      <c r="D1638" t="str">
        <f t="shared" si="56"/>
        <v/>
      </c>
    </row>
    <row r="1639" spans="4:4" x14ac:dyDescent="0.3">
      <c r="D1639" t="str">
        <f t="shared" si="56"/>
        <v/>
      </c>
    </row>
    <row r="1640" spans="4:4" x14ac:dyDescent="0.3">
      <c r="D1640" t="str">
        <f t="shared" si="56"/>
        <v/>
      </c>
    </row>
    <row r="1641" spans="4:4" x14ac:dyDescent="0.3">
      <c r="D1641" t="str">
        <f t="shared" si="56"/>
        <v/>
      </c>
    </row>
    <row r="1642" spans="4:4" x14ac:dyDescent="0.3">
      <c r="D1642" t="str">
        <f t="shared" si="56"/>
        <v/>
      </c>
    </row>
    <row r="1643" spans="4:4" x14ac:dyDescent="0.3">
      <c r="D1643" t="str">
        <f t="shared" si="56"/>
        <v/>
      </c>
    </row>
    <row r="1644" spans="4:4" x14ac:dyDescent="0.3">
      <c r="D1644" t="str">
        <f t="shared" si="56"/>
        <v/>
      </c>
    </row>
    <row r="1645" spans="4:4" x14ac:dyDescent="0.3">
      <c r="D1645" t="str">
        <f t="shared" si="56"/>
        <v/>
      </c>
    </row>
    <row r="1646" spans="4:4" x14ac:dyDescent="0.3">
      <c r="D1646" t="str">
        <f t="shared" si="56"/>
        <v/>
      </c>
    </row>
    <row r="1647" spans="4:4" x14ac:dyDescent="0.3">
      <c r="D1647" t="str">
        <f t="shared" si="56"/>
        <v/>
      </c>
    </row>
    <row r="1648" spans="4:4" x14ac:dyDescent="0.3">
      <c r="D1648" t="str">
        <f t="shared" si="56"/>
        <v/>
      </c>
    </row>
    <row r="1649" spans="4:4" x14ac:dyDescent="0.3">
      <c r="D1649" t="str">
        <f t="shared" si="56"/>
        <v/>
      </c>
    </row>
    <row r="1650" spans="4:4" x14ac:dyDescent="0.3">
      <c r="D1650" t="str">
        <f t="shared" si="56"/>
        <v/>
      </c>
    </row>
    <row r="1651" spans="4:4" x14ac:dyDescent="0.3">
      <c r="D1651" t="str">
        <f t="shared" si="56"/>
        <v/>
      </c>
    </row>
    <row r="1652" spans="4:4" x14ac:dyDescent="0.3">
      <c r="D1652" t="str">
        <f t="shared" si="56"/>
        <v/>
      </c>
    </row>
    <row r="1653" spans="4:4" x14ac:dyDescent="0.3">
      <c r="D1653" t="str">
        <f t="shared" si="56"/>
        <v/>
      </c>
    </row>
    <row r="1654" spans="4:4" x14ac:dyDescent="0.3">
      <c r="D1654" t="str">
        <f t="shared" si="56"/>
        <v/>
      </c>
    </row>
    <row r="1655" spans="4:4" x14ac:dyDescent="0.3">
      <c r="D1655" t="str">
        <f t="shared" si="56"/>
        <v/>
      </c>
    </row>
    <row r="1656" spans="4:4" x14ac:dyDescent="0.3">
      <c r="D1656" t="str">
        <f t="shared" si="56"/>
        <v/>
      </c>
    </row>
    <row r="1657" spans="4:4" x14ac:dyDescent="0.3">
      <c r="D1657" t="str">
        <f t="shared" si="56"/>
        <v/>
      </c>
    </row>
    <row r="1658" spans="4:4" x14ac:dyDescent="0.3">
      <c r="D1658" t="str">
        <f t="shared" ref="D1658:D1721" si="57">IF(LEFT(A1658,2)="SP",MID(A1658,4,4),IF(LEFT(A1658,1)="X",MID(A1658,3,4),""))</f>
        <v/>
      </c>
    </row>
    <row r="1659" spans="4:4" x14ac:dyDescent="0.3">
      <c r="D1659" t="str">
        <f t="shared" si="57"/>
        <v/>
      </c>
    </row>
    <row r="1660" spans="4:4" x14ac:dyDescent="0.3">
      <c r="D1660" t="str">
        <f t="shared" si="57"/>
        <v/>
      </c>
    </row>
    <row r="1661" spans="4:4" x14ac:dyDescent="0.3">
      <c r="D1661" t="str">
        <f t="shared" si="57"/>
        <v/>
      </c>
    </row>
    <row r="1662" spans="4:4" x14ac:dyDescent="0.3">
      <c r="D1662" t="str">
        <f t="shared" si="57"/>
        <v/>
      </c>
    </row>
    <row r="1663" spans="4:4" x14ac:dyDescent="0.3">
      <c r="D1663" t="str">
        <f t="shared" si="57"/>
        <v/>
      </c>
    </row>
    <row r="1664" spans="4:4" x14ac:dyDescent="0.3">
      <c r="D1664" t="str">
        <f t="shared" si="57"/>
        <v/>
      </c>
    </row>
    <row r="1665" spans="4:4" x14ac:dyDescent="0.3">
      <c r="D1665" t="str">
        <f t="shared" si="57"/>
        <v/>
      </c>
    </row>
    <row r="1666" spans="4:4" x14ac:dyDescent="0.3">
      <c r="D1666" t="str">
        <f t="shared" si="57"/>
        <v/>
      </c>
    </row>
    <row r="1667" spans="4:4" x14ac:dyDescent="0.3">
      <c r="D1667" t="str">
        <f t="shared" si="57"/>
        <v/>
      </c>
    </row>
    <row r="1668" spans="4:4" x14ac:dyDescent="0.3">
      <c r="D1668" t="str">
        <f t="shared" si="57"/>
        <v/>
      </c>
    </row>
    <row r="1669" spans="4:4" x14ac:dyDescent="0.3">
      <c r="D1669" t="str">
        <f t="shared" si="57"/>
        <v/>
      </c>
    </row>
    <row r="1670" spans="4:4" x14ac:dyDescent="0.3">
      <c r="D1670" t="str">
        <f t="shared" si="57"/>
        <v/>
      </c>
    </row>
    <row r="1671" spans="4:4" x14ac:dyDescent="0.3">
      <c r="D1671" t="str">
        <f t="shared" si="57"/>
        <v/>
      </c>
    </row>
    <row r="1672" spans="4:4" x14ac:dyDescent="0.3">
      <c r="D1672" t="str">
        <f t="shared" si="57"/>
        <v/>
      </c>
    </row>
    <row r="1673" spans="4:4" x14ac:dyDescent="0.3">
      <c r="D1673" t="str">
        <f t="shared" si="57"/>
        <v/>
      </c>
    </row>
    <row r="1674" spans="4:4" x14ac:dyDescent="0.3">
      <c r="D1674" t="str">
        <f t="shared" si="57"/>
        <v/>
      </c>
    </row>
    <row r="1675" spans="4:4" x14ac:dyDescent="0.3">
      <c r="D1675" t="str">
        <f t="shared" si="57"/>
        <v/>
      </c>
    </row>
    <row r="1676" spans="4:4" x14ac:dyDescent="0.3">
      <c r="D1676" t="str">
        <f t="shared" si="57"/>
        <v/>
      </c>
    </row>
    <row r="1677" spans="4:4" x14ac:dyDescent="0.3">
      <c r="D1677" t="str">
        <f t="shared" si="57"/>
        <v/>
      </c>
    </row>
    <row r="1678" spans="4:4" x14ac:dyDescent="0.3">
      <c r="D1678" t="str">
        <f t="shared" si="57"/>
        <v/>
      </c>
    </row>
    <row r="1679" spans="4:4" x14ac:dyDescent="0.3">
      <c r="D1679" t="str">
        <f t="shared" si="57"/>
        <v/>
      </c>
    </row>
    <row r="1680" spans="4:4" x14ac:dyDescent="0.3">
      <c r="D1680" t="str">
        <f t="shared" si="57"/>
        <v/>
      </c>
    </row>
    <row r="1681" spans="4:4" x14ac:dyDescent="0.3">
      <c r="D1681" t="str">
        <f t="shared" si="57"/>
        <v/>
      </c>
    </row>
    <row r="1682" spans="4:4" x14ac:dyDescent="0.3">
      <c r="D1682" t="str">
        <f t="shared" si="57"/>
        <v/>
      </c>
    </row>
    <row r="1683" spans="4:4" x14ac:dyDescent="0.3">
      <c r="D1683" t="str">
        <f t="shared" si="57"/>
        <v/>
      </c>
    </row>
    <row r="1684" spans="4:4" x14ac:dyDescent="0.3">
      <c r="D1684" t="str">
        <f t="shared" si="57"/>
        <v/>
      </c>
    </row>
    <row r="1685" spans="4:4" x14ac:dyDescent="0.3">
      <c r="D1685" t="str">
        <f t="shared" si="57"/>
        <v/>
      </c>
    </row>
    <row r="1686" spans="4:4" x14ac:dyDescent="0.3">
      <c r="D1686" t="str">
        <f t="shared" si="57"/>
        <v/>
      </c>
    </row>
    <row r="1687" spans="4:4" x14ac:dyDescent="0.3">
      <c r="D1687" t="str">
        <f t="shared" si="57"/>
        <v/>
      </c>
    </row>
    <row r="1688" spans="4:4" x14ac:dyDescent="0.3">
      <c r="D1688" t="str">
        <f t="shared" si="57"/>
        <v/>
      </c>
    </row>
    <row r="1689" spans="4:4" x14ac:dyDescent="0.3">
      <c r="D1689" t="str">
        <f t="shared" si="57"/>
        <v/>
      </c>
    </row>
    <row r="1690" spans="4:4" x14ac:dyDescent="0.3">
      <c r="D1690" t="str">
        <f t="shared" si="57"/>
        <v/>
      </c>
    </row>
    <row r="1691" spans="4:4" x14ac:dyDescent="0.3">
      <c r="D1691" t="str">
        <f t="shared" si="57"/>
        <v/>
      </c>
    </row>
    <row r="1692" spans="4:4" x14ac:dyDescent="0.3">
      <c r="D1692" t="str">
        <f t="shared" si="57"/>
        <v/>
      </c>
    </row>
    <row r="1693" spans="4:4" x14ac:dyDescent="0.3">
      <c r="D1693" t="str">
        <f t="shared" si="57"/>
        <v/>
      </c>
    </row>
    <row r="1694" spans="4:4" x14ac:dyDescent="0.3">
      <c r="D1694" t="str">
        <f t="shared" si="57"/>
        <v/>
      </c>
    </row>
    <row r="1695" spans="4:4" x14ac:dyDescent="0.3">
      <c r="D1695" t="str">
        <f t="shared" si="57"/>
        <v/>
      </c>
    </row>
    <row r="1696" spans="4:4" x14ac:dyDescent="0.3">
      <c r="D1696" t="str">
        <f t="shared" si="57"/>
        <v/>
      </c>
    </row>
    <row r="1697" spans="4:4" x14ac:dyDescent="0.3">
      <c r="D1697" t="str">
        <f t="shared" si="57"/>
        <v/>
      </c>
    </row>
    <row r="1698" spans="4:4" x14ac:dyDescent="0.3">
      <c r="D1698" t="str">
        <f t="shared" si="57"/>
        <v/>
      </c>
    </row>
    <row r="1699" spans="4:4" x14ac:dyDescent="0.3">
      <c r="D1699" t="str">
        <f t="shared" si="57"/>
        <v/>
      </c>
    </row>
    <row r="1700" spans="4:4" x14ac:dyDescent="0.3">
      <c r="D1700" t="str">
        <f t="shared" si="57"/>
        <v/>
      </c>
    </row>
    <row r="1701" spans="4:4" x14ac:dyDescent="0.3">
      <c r="D1701" t="str">
        <f t="shared" si="57"/>
        <v/>
      </c>
    </row>
    <row r="1702" spans="4:4" x14ac:dyDescent="0.3">
      <c r="D1702" t="str">
        <f t="shared" si="57"/>
        <v/>
      </c>
    </row>
    <row r="1703" spans="4:4" x14ac:dyDescent="0.3">
      <c r="D1703" t="str">
        <f t="shared" si="57"/>
        <v/>
      </c>
    </row>
    <row r="1704" spans="4:4" x14ac:dyDescent="0.3">
      <c r="D1704" t="str">
        <f t="shared" si="57"/>
        <v/>
      </c>
    </row>
    <row r="1705" spans="4:4" x14ac:dyDescent="0.3">
      <c r="D1705" t="str">
        <f t="shared" si="57"/>
        <v/>
      </c>
    </row>
    <row r="1706" spans="4:4" x14ac:dyDescent="0.3">
      <c r="D1706" t="str">
        <f t="shared" si="57"/>
        <v/>
      </c>
    </row>
    <row r="1707" spans="4:4" x14ac:dyDescent="0.3">
      <c r="D1707" t="str">
        <f t="shared" si="57"/>
        <v/>
      </c>
    </row>
    <row r="1708" spans="4:4" x14ac:dyDescent="0.3">
      <c r="D1708" t="str">
        <f t="shared" si="57"/>
        <v/>
      </c>
    </row>
    <row r="1709" spans="4:4" x14ac:dyDescent="0.3">
      <c r="D1709" t="str">
        <f t="shared" si="57"/>
        <v/>
      </c>
    </row>
    <row r="1710" spans="4:4" x14ac:dyDescent="0.3">
      <c r="D1710" t="str">
        <f t="shared" si="57"/>
        <v/>
      </c>
    </row>
    <row r="1711" spans="4:4" x14ac:dyDescent="0.3">
      <c r="D1711" t="str">
        <f t="shared" si="57"/>
        <v/>
      </c>
    </row>
    <row r="1712" spans="4:4" x14ac:dyDescent="0.3">
      <c r="D1712" t="str">
        <f t="shared" si="57"/>
        <v/>
      </c>
    </row>
    <row r="1713" spans="4:4" x14ac:dyDescent="0.3">
      <c r="D1713" t="str">
        <f t="shared" si="57"/>
        <v/>
      </c>
    </row>
    <row r="1714" spans="4:4" x14ac:dyDescent="0.3">
      <c r="D1714" t="str">
        <f t="shared" si="57"/>
        <v/>
      </c>
    </row>
    <row r="1715" spans="4:4" x14ac:dyDescent="0.3">
      <c r="D1715" t="str">
        <f t="shared" si="57"/>
        <v/>
      </c>
    </row>
    <row r="1716" spans="4:4" x14ac:dyDescent="0.3">
      <c r="D1716" t="str">
        <f t="shared" si="57"/>
        <v/>
      </c>
    </row>
    <row r="1717" spans="4:4" x14ac:dyDescent="0.3">
      <c r="D1717" t="str">
        <f t="shared" si="57"/>
        <v/>
      </c>
    </row>
    <row r="1718" spans="4:4" x14ac:dyDescent="0.3">
      <c r="D1718" t="str">
        <f t="shared" si="57"/>
        <v/>
      </c>
    </row>
    <row r="1719" spans="4:4" x14ac:dyDescent="0.3">
      <c r="D1719" t="str">
        <f t="shared" si="57"/>
        <v/>
      </c>
    </row>
    <row r="1720" spans="4:4" x14ac:dyDescent="0.3">
      <c r="D1720" t="str">
        <f t="shared" si="57"/>
        <v/>
      </c>
    </row>
    <row r="1721" spans="4:4" x14ac:dyDescent="0.3">
      <c r="D1721" t="str">
        <f t="shared" si="57"/>
        <v/>
      </c>
    </row>
    <row r="1722" spans="4:4" x14ac:dyDescent="0.3">
      <c r="D1722" t="str">
        <f t="shared" ref="D1722:D1785" si="58">IF(LEFT(A1722,2)="SP",MID(A1722,4,4),IF(LEFT(A1722,1)="X",MID(A1722,3,4),""))</f>
        <v/>
      </c>
    </row>
    <row r="1723" spans="4:4" x14ac:dyDescent="0.3">
      <c r="D1723" t="str">
        <f t="shared" si="58"/>
        <v/>
      </c>
    </row>
    <row r="1724" spans="4:4" x14ac:dyDescent="0.3">
      <c r="D1724" t="str">
        <f t="shared" si="58"/>
        <v/>
      </c>
    </row>
    <row r="1725" spans="4:4" x14ac:dyDescent="0.3">
      <c r="D1725" t="str">
        <f t="shared" si="58"/>
        <v/>
      </c>
    </row>
    <row r="1726" spans="4:4" x14ac:dyDescent="0.3">
      <c r="D1726" t="str">
        <f t="shared" si="58"/>
        <v/>
      </c>
    </row>
    <row r="1727" spans="4:4" x14ac:dyDescent="0.3">
      <c r="D1727" t="str">
        <f t="shared" si="58"/>
        <v/>
      </c>
    </row>
    <row r="1728" spans="4:4" x14ac:dyDescent="0.3">
      <c r="D1728" t="str">
        <f t="shared" si="58"/>
        <v/>
      </c>
    </row>
    <row r="1729" spans="4:4" x14ac:dyDescent="0.3">
      <c r="D1729" t="str">
        <f t="shared" si="58"/>
        <v/>
      </c>
    </row>
    <row r="1730" spans="4:4" x14ac:dyDescent="0.3">
      <c r="D1730" t="str">
        <f t="shared" si="58"/>
        <v/>
      </c>
    </row>
    <row r="1731" spans="4:4" x14ac:dyDescent="0.3">
      <c r="D1731" t="str">
        <f t="shared" si="58"/>
        <v/>
      </c>
    </row>
    <row r="1732" spans="4:4" x14ac:dyDescent="0.3">
      <c r="D1732" t="str">
        <f t="shared" si="58"/>
        <v/>
      </c>
    </row>
    <row r="1733" spans="4:4" x14ac:dyDescent="0.3">
      <c r="D1733" t="str">
        <f t="shared" si="58"/>
        <v/>
      </c>
    </row>
    <row r="1734" spans="4:4" x14ac:dyDescent="0.3">
      <c r="D1734" t="str">
        <f t="shared" si="58"/>
        <v/>
      </c>
    </row>
    <row r="1735" spans="4:4" x14ac:dyDescent="0.3">
      <c r="D1735" t="str">
        <f t="shared" si="58"/>
        <v/>
      </c>
    </row>
    <row r="1736" spans="4:4" x14ac:dyDescent="0.3">
      <c r="D1736" t="str">
        <f t="shared" si="58"/>
        <v/>
      </c>
    </row>
    <row r="1737" spans="4:4" x14ac:dyDescent="0.3">
      <c r="D1737" t="str">
        <f t="shared" si="58"/>
        <v/>
      </c>
    </row>
    <row r="1738" spans="4:4" x14ac:dyDescent="0.3">
      <c r="D1738" t="str">
        <f t="shared" si="58"/>
        <v/>
      </c>
    </row>
    <row r="1739" spans="4:4" x14ac:dyDescent="0.3">
      <c r="D1739" t="str">
        <f t="shared" si="58"/>
        <v/>
      </c>
    </row>
    <row r="1740" spans="4:4" x14ac:dyDescent="0.3">
      <c r="D1740" t="str">
        <f t="shared" si="58"/>
        <v/>
      </c>
    </row>
    <row r="1741" spans="4:4" x14ac:dyDescent="0.3">
      <c r="D1741" t="str">
        <f t="shared" si="58"/>
        <v/>
      </c>
    </row>
    <row r="1742" spans="4:4" x14ac:dyDescent="0.3">
      <c r="D1742" t="str">
        <f t="shared" si="58"/>
        <v/>
      </c>
    </row>
    <row r="1743" spans="4:4" x14ac:dyDescent="0.3">
      <c r="D1743" t="str">
        <f t="shared" si="58"/>
        <v/>
      </c>
    </row>
    <row r="1744" spans="4:4" x14ac:dyDescent="0.3">
      <c r="D1744" t="str">
        <f t="shared" si="58"/>
        <v/>
      </c>
    </row>
    <row r="1745" spans="4:4" x14ac:dyDescent="0.3">
      <c r="D1745" t="str">
        <f t="shared" si="58"/>
        <v/>
      </c>
    </row>
    <row r="1746" spans="4:4" x14ac:dyDescent="0.3">
      <c r="D1746" t="str">
        <f t="shared" si="58"/>
        <v/>
      </c>
    </row>
    <row r="1747" spans="4:4" x14ac:dyDescent="0.3">
      <c r="D1747" t="str">
        <f t="shared" si="58"/>
        <v/>
      </c>
    </row>
    <row r="1748" spans="4:4" x14ac:dyDescent="0.3">
      <c r="D1748" t="str">
        <f t="shared" si="58"/>
        <v/>
      </c>
    </row>
    <row r="1749" spans="4:4" x14ac:dyDescent="0.3">
      <c r="D1749" t="str">
        <f t="shared" si="58"/>
        <v/>
      </c>
    </row>
    <row r="1750" spans="4:4" x14ac:dyDescent="0.3">
      <c r="D1750" t="str">
        <f t="shared" si="58"/>
        <v/>
      </c>
    </row>
    <row r="1751" spans="4:4" x14ac:dyDescent="0.3">
      <c r="D1751" t="str">
        <f t="shared" si="58"/>
        <v/>
      </c>
    </row>
    <row r="1752" spans="4:4" x14ac:dyDescent="0.3">
      <c r="D1752" t="str">
        <f t="shared" si="58"/>
        <v/>
      </c>
    </row>
    <row r="1753" spans="4:4" x14ac:dyDescent="0.3">
      <c r="D1753" t="str">
        <f t="shared" si="58"/>
        <v/>
      </c>
    </row>
    <row r="1754" spans="4:4" x14ac:dyDescent="0.3">
      <c r="D1754" t="str">
        <f t="shared" si="58"/>
        <v/>
      </c>
    </row>
    <row r="1755" spans="4:4" x14ac:dyDescent="0.3">
      <c r="D1755" t="str">
        <f t="shared" si="58"/>
        <v/>
      </c>
    </row>
    <row r="1756" spans="4:4" x14ac:dyDescent="0.3">
      <c r="D1756" t="str">
        <f t="shared" si="58"/>
        <v/>
      </c>
    </row>
    <row r="1757" spans="4:4" x14ac:dyDescent="0.3">
      <c r="D1757" t="str">
        <f t="shared" si="58"/>
        <v/>
      </c>
    </row>
    <row r="1758" spans="4:4" x14ac:dyDescent="0.3">
      <c r="D1758" t="str">
        <f t="shared" si="58"/>
        <v/>
      </c>
    </row>
    <row r="1759" spans="4:4" x14ac:dyDescent="0.3">
      <c r="D1759" t="str">
        <f t="shared" si="58"/>
        <v/>
      </c>
    </row>
    <row r="1760" spans="4:4" x14ac:dyDescent="0.3">
      <c r="D1760" t="str">
        <f t="shared" si="58"/>
        <v/>
      </c>
    </row>
    <row r="1761" spans="4:4" x14ac:dyDescent="0.3">
      <c r="D1761" t="str">
        <f t="shared" si="58"/>
        <v/>
      </c>
    </row>
    <row r="1762" spans="4:4" x14ac:dyDescent="0.3">
      <c r="D1762" t="str">
        <f t="shared" si="58"/>
        <v/>
      </c>
    </row>
    <row r="1763" spans="4:4" x14ac:dyDescent="0.3">
      <c r="D1763" t="str">
        <f t="shared" si="58"/>
        <v/>
      </c>
    </row>
    <row r="1764" spans="4:4" x14ac:dyDescent="0.3">
      <c r="D1764" t="str">
        <f t="shared" si="58"/>
        <v/>
      </c>
    </row>
    <row r="1765" spans="4:4" x14ac:dyDescent="0.3">
      <c r="D1765" t="str">
        <f t="shared" si="58"/>
        <v/>
      </c>
    </row>
    <row r="1766" spans="4:4" x14ac:dyDescent="0.3">
      <c r="D1766" t="str">
        <f t="shared" si="58"/>
        <v/>
      </c>
    </row>
    <row r="1767" spans="4:4" x14ac:dyDescent="0.3">
      <c r="D1767" t="str">
        <f t="shared" si="58"/>
        <v/>
      </c>
    </row>
    <row r="1768" spans="4:4" x14ac:dyDescent="0.3">
      <c r="D1768" t="str">
        <f t="shared" si="58"/>
        <v/>
      </c>
    </row>
    <row r="1769" spans="4:4" x14ac:dyDescent="0.3">
      <c r="D1769" t="str">
        <f t="shared" si="58"/>
        <v/>
      </c>
    </row>
    <row r="1770" spans="4:4" x14ac:dyDescent="0.3">
      <c r="D1770" t="str">
        <f t="shared" si="58"/>
        <v/>
      </c>
    </row>
    <row r="1771" spans="4:4" x14ac:dyDescent="0.3">
      <c r="D1771" t="str">
        <f t="shared" si="58"/>
        <v/>
      </c>
    </row>
    <row r="1772" spans="4:4" x14ac:dyDescent="0.3">
      <c r="D1772" t="str">
        <f t="shared" si="58"/>
        <v/>
      </c>
    </row>
    <row r="1773" spans="4:4" x14ac:dyDescent="0.3">
      <c r="D1773" t="str">
        <f t="shared" si="58"/>
        <v/>
      </c>
    </row>
    <row r="1774" spans="4:4" x14ac:dyDescent="0.3">
      <c r="D1774" t="str">
        <f t="shared" si="58"/>
        <v/>
      </c>
    </row>
    <row r="1775" spans="4:4" x14ac:dyDescent="0.3">
      <c r="D1775" t="str">
        <f t="shared" si="58"/>
        <v/>
      </c>
    </row>
    <row r="1776" spans="4:4" x14ac:dyDescent="0.3">
      <c r="D1776" t="str">
        <f t="shared" si="58"/>
        <v/>
      </c>
    </row>
    <row r="1777" spans="4:4" x14ac:dyDescent="0.3">
      <c r="D1777" t="str">
        <f t="shared" si="58"/>
        <v/>
      </c>
    </row>
    <row r="1778" spans="4:4" x14ac:dyDescent="0.3">
      <c r="D1778" t="str">
        <f t="shared" si="58"/>
        <v/>
      </c>
    </row>
    <row r="1779" spans="4:4" x14ac:dyDescent="0.3">
      <c r="D1779" t="str">
        <f t="shared" si="58"/>
        <v/>
      </c>
    </row>
    <row r="1780" spans="4:4" x14ac:dyDescent="0.3">
      <c r="D1780" t="str">
        <f t="shared" si="58"/>
        <v/>
      </c>
    </row>
    <row r="1781" spans="4:4" x14ac:dyDescent="0.3">
      <c r="D1781" t="str">
        <f t="shared" si="58"/>
        <v/>
      </c>
    </row>
    <row r="1782" spans="4:4" x14ac:dyDescent="0.3">
      <c r="D1782" t="str">
        <f t="shared" si="58"/>
        <v/>
      </c>
    </row>
    <row r="1783" spans="4:4" x14ac:dyDescent="0.3">
      <c r="D1783" t="str">
        <f t="shared" si="58"/>
        <v/>
      </c>
    </row>
    <row r="1784" spans="4:4" x14ac:dyDescent="0.3">
      <c r="D1784" t="str">
        <f t="shared" si="58"/>
        <v/>
      </c>
    </row>
    <row r="1785" spans="4:4" x14ac:dyDescent="0.3">
      <c r="D1785" t="str">
        <f t="shared" si="58"/>
        <v/>
      </c>
    </row>
    <row r="1786" spans="4:4" x14ac:dyDescent="0.3">
      <c r="D1786" t="str">
        <f t="shared" ref="D1786:D1849" si="59">IF(LEFT(A1786,2)="SP",MID(A1786,4,4),IF(LEFT(A1786,1)="X",MID(A1786,3,4),""))</f>
        <v/>
      </c>
    </row>
    <row r="1787" spans="4:4" x14ac:dyDescent="0.3">
      <c r="D1787" t="str">
        <f t="shared" si="59"/>
        <v/>
      </c>
    </row>
    <row r="1788" spans="4:4" x14ac:dyDescent="0.3">
      <c r="D1788" t="str">
        <f t="shared" si="59"/>
        <v/>
      </c>
    </row>
    <row r="1789" spans="4:4" x14ac:dyDescent="0.3">
      <c r="D1789" t="str">
        <f t="shared" si="59"/>
        <v/>
      </c>
    </row>
    <row r="1790" spans="4:4" x14ac:dyDescent="0.3">
      <c r="D1790" t="str">
        <f t="shared" si="59"/>
        <v/>
      </c>
    </row>
    <row r="1791" spans="4:4" x14ac:dyDescent="0.3">
      <c r="D1791" t="str">
        <f t="shared" si="59"/>
        <v/>
      </c>
    </row>
    <row r="1792" spans="4:4" x14ac:dyDescent="0.3">
      <c r="D1792" t="str">
        <f t="shared" si="59"/>
        <v/>
      </c>
    </row>
    <row r="1793" spans="4:4" x14ac:dyDescent="0.3">
      <c r="D1793" t="str">
        <f t="shared" si="59"/>
        <v/>
      </c>
    </row>
    <row r="1794" spans="4:4" x14ac:dyDescent="0.3">
      <c r="D1794" t="str">
        <f t="shared" si="59"/>
        <v/>
      </c>
    </row>
    <row r="1795" spans="4:4" x14ac:dyDescent="0.3">
      <c r="D1795" t="str">
        <f t="shared" si="59"/>
        <v/>
      </c>
    </row>
    <row r="1796" spans="4:4" x14ac:dyDescent="0.3">
      <c r="D1796" t="str">
        <f t="shared" si="59"/>
        <v/>
      </c>
    </row>
    <row r="1797" spans="4:4" x14ac:dyDescent="0.3">
      <c r="D1797" t="str">
        <f t="shared" si="59"/>
        <v/>
      </c>
    </row>
    <row r="1798" spans="4:4" x14ac:dyDescent="0.3">
      <c r="D1798" t="str">
        <f t="shared" si="59"/>
        <v/>
      </c>
    </row>
    <row r="1799" spans="4:4" x14ac:dyDescent="0.3">
      <c r="D1799" t="str">
        <f t="shared" si="59"/>
        <v/>
      </c>
    </row>
    <row r="1800" spans="4:4" x14ac:dyDescent="0.3">
      <c r="D1800" t="str">
        <f t="shared" si="59"/>
        <v/>
      </c>
    </row>
    <row r="1801" spans="4:4" x14ac:dyDescent="0.3">
      <c r="D1801" t="str">
        <f t="shared" si="59"/>
        <v/>
      </c>
    </row>
    <row r="1802" spans="4:4" x14ac:dyDescent="0.3">
      <c r="D1802" t="str">
        <f t="shared" si="59"/>
        <v/>
      </c>
    </row>
    <row r="1803" spans="4:4" x14ac:dyDescent="0.3">
      <c r="D1803" t="str">
        <f t="shared" si="59"/>
        <v/>
      </c>
    </row>
    <row r="1804" spans="4:4" x14ac:dyDescent="0.3">
      <c r="D1804" t="str">
        <f t="shared" si="59"/>
        <v/>
      </c>
    </row>
    <row r="1805" spans="4:4" x14ac:dyDescent="0.3">
      <c r="D1805" t="str">
        <f t="shared" si="59"/>
        <v/>
      </c>
    </row>
    <row r="1806" spans="4:4" x14ac:dyDescent="0.3">
      <c r="D1806" t="str">
        <f t="shared" si="59"/>
        <v/>
      </c>
    </row>
    <row r="1807" spans="4:4" x14ac:dyDescent="0.3">
      <c r="D1807" t="str">
        <f t="shared" si="59"/>
        <v/>
      </c>
    </row>
    <row r="1808" spans="4:4" x14ac:dyDescent="0.3">
      <c r="D1808" t="str">
        <f t="shared" si="59"/>
        <v/>
      </c>
    </row>
    <row r="1809" spans="4:4" x14ac:dyDescent="0.3">
      <c r="D1809" t="str">
        <f t="shared" si="59"/>
        <v/>
      </c>
    </row>
    <row r="1810" spans="4:4" x14ac:dyDescent="0.3">
      <c r="D1810" t="str">
        <f t="shared" si="59"/>
        <v/>
      </c>
    </row>
    <row r="1811" spans="4:4" x14ac:dyDescent="0.3">
      <c r="D1811" t="str">
        <f t="shared" si="59"/>
        <v/>
      </c>
    </row>
    <row r="1812" spans="4:4" x14ac:dyDescent="0.3">
      <c r="D1812" t="str">
        <f t="shared" si="59"/>
        <v/>
      </c>
    </row>
    <row r="1813" spans="4:4" x14ac:dyDescent="0.3">
      <c r="D1813" t="str">
        <f t="shared" si="59"/>
        <v/>
      </c>
    </row>
    <row r="1814" spans="4:4" x14ac:dyDescent="0.3">
      <c r="D1814" t="str">
        <f t="shared" si="59"/>
        <v/>
      </c>
    </row>
    <row r="1815" spans="4:4" x14ac:dyDescent="0.3">
      <c r="D1815" t="str">
        <f t="shared" si="59"/>
        <v/>
      </c>
    </row>
    <row r="1816" spans="4:4" x14ac:dyDescent="0.3">
      <c r="D1816" t="str">
        <f t="shared" si="59"/>
        <v/>
      </c>
    </row>
    <row r="1817" spans="4:4" x14ac:dyDescent="0.3">
      <c r="D1817" t="str">
        <f t="shared" si="59"/>
        <v/>
      </c>
    </row>
    <row r="1818" spans="4:4" x14ac:dyDescent="0.3">
      <c r="D1818" t="str">
        <f t="shared" si="59"/>
        <v/>
      </c>
    </row>
    <row r="1819" spans="4:4" x14ac:dyDescent="0.3">
      <c r="D1819" t="str">
        <f t="shared" si="59"/>
        <v/>
      </c>
    </row>
    <row r="1820" spans="4:4" x14ac:dyDescent="0.3">
      <c r="D1820" t="str">
        <f t="shared" si="59"/>
        <v/>
      </c>
    </row>
    <row r="1821" spans="4:4" x14ac:dyDescent="0.3">
      <c r="D1821" t="str">
        <f t="shared" si="59"/>
        <v/>
      </c>
    </row>
    <row r="1822" spans="4:4" x14ac:dyDescent="0.3">
      <c r="D1822" t="str">
        <f t="shared" si="59"/>
        <v/>
      </c>
    </row>
    <row r="1823" spans="4:4" x14ac:dyDescent="0.3">
      <c r="D1823" t="str">
        <f t="shared" si="59"/>
        <v/>
      </c>
    </row>
    <row r="1824" spans="4:4" x14ac:dyDescent="0.3">
      <c r="D1824" t="str">
        <f t="shared" si="59"/>
        <v/>
      </c>
    </row>
    <row r="1825" spans="4:4" x14ac:dyDescent="0.3">
      <c r="D1825" t="str">
        <f t="shared" si="59"/>
        <v/>
      </c>
    </row>
    <row r="1826" spans="4:4" x14ac:dyDescent="0.3">
      <c r="D1826" t="str">
        <f t="shared" si="59"/>
        <v/>
      </c>
    </row>
    <row r="1827" spans="4:4" x14ac:dyDescent="0.3">
      <c r="D1827" t="str">
        <f t="shared" si="59"/>
        <v/>
      </c>
    </row>
    <row r="1828" spans="4:4" x14ac:dyDescent="0.3">
      <c r="D1828" t="str">
        <f t="shared" si="59"/>
        <v/>
      </c>
    </row>
    <row r="1829" spans="4:4" x14ac:dyDescent="0.3">
      <c r="D1829" t="str">
        <f t="shared" si="59"/>
        <v/>
      </c>
    </row>
    <row r="1830" spans="4:4" x14ac:dyDescent="0.3">
      <c r="D1830" t="str">
        <f t="shared" si="59"/>
        <v/>
      </c>
    </row>
    <row r="1831" spans="4:4" x14ac:dyDescent="0.3">
      <c r="D1831" t="str">
        <f t="shared" si="59"/>
        <v/>
      </c>
    </row>
    <row r="1832" spans="4:4" x14ac:dyDescent="0.3">
      <c r="D1832" t="str">
        <f t="shared" si="59"/>
        <v/>
      </c>
    </row>
    <row r="1833" spans="4:4" x14ac:dyDescent="0.3">
      <c r="D1833" t="str">
        <f t="shared" si="59"/>
        <v/>
      </c>
    </row>
    <row r="1834" spans="4:4" x14ac:dyDescent="0.3">
      <c r="D1834" t="str">
        <f t="shared" si="59"/>
        <v/>
      </c>
    </row>
    <row r="1835" spans="4:4" x14ac:dyDescent="0.3">
      <c r="D1835" t="str">
        <f t="shared" si="59"/>
        <v/>
      </c>
    </row>
    <row r="1836" spans="4:4" x14ac:dyDescent="0.3">
      <c r="D1836" t="str">
        <f t="shared" si="59"/>
        <v/>
      </c>
    </row>
    <row r="1837" spans="4:4" x14ac:dyDescent="0.3">
      <c r="D1837" t="str">
        <f t="shared" si="59"/>
        <v/>
      </c>
    </row>
    <row r="1838" spans="4:4" x14ac:dyDescent="0.3">
      <c r="D1838" t="str">
        <f t="shared" si="59"/>
        <v/>
      </c>
    </row>
    <row r="1839" spans="4:4" x14ac:dyDescent="0.3">
      <c r="D1839" t="str">
        <f t="shared" si="59"/>
        <v/>
      </c>
    </row>
    <row r="1840" spans="4:4" x14ac:dyDescent="0.3">
      <c r="D1840" t="str">
        <f t="shared" si="59"/>
        <v/>
      </c>
    </row>
    <row r="1841" spans="4:4" x14ac:dyDescent="0.3">
      <c r="D1841" t="str">
        <f t="shared" si="59"/>
        <v/>
      </c>
    </row>
    <row r="1842" spans="4:4" x14ac:dyDescent="0.3">
      <c r="D1842" t="str">
        <f t="shared" si="59"/>
        <v/>
      </c>
    </row>
    <row r="1843" spans="4:4" x14ac:dyDescent="0.3">
      <c r="D1843" t="str">
        <f t="shared" si="59"/>
        <v/>
      </c>
    </row>
    <row r="1844" spans="4:4" x14ac:dyDescent="0.3">
      <c r="D1844" t="str">
        <f t="shared" si="59"/>
        <v/>
      </c>
    </row>
    <row r="1845" spans="4:4" x14ac:dyDescent="0.3">
      <c r="D1845" t="str">
        <f t="shared" si="59"/>
        <v/>
      </c>
    </row>
    <row r="1846" spans="4:4" x14ac:dyDescent="0.3">
      <c r="D1846" t="str">
        <f t="shared" si="59"/>
        <v/>
      </c>
    </row>
    <row r="1847" spans="4:4" x14ac:dyDescent="0.3">
      <c r="D1847" t="str">
        <f t="shared" si="59"/>
        <v/>
      </c>
    </row>
    <row r="1848" spans="4:4" x14ac:dyDescent="0.3">
      <c r="D1848" t="str">
        <f t="shared" si="59"/>
        <v/>
      </c>
    </row>
    <row r="1849" spans="4:4" x14ac:dyDescent="0.3">
      <c r="D1849" t="str">
        <f t="shared" si="59"/>
        <v/>
      </c>
    </row>
    <row r="1850" spans="4:4" x14ac:dyDescent="0.3">
      <c r="D1850" t="str">
        <f t="shared" ref="D1850:D1913" si="60">IF(LEFT(A1850,2)="SP",MID(A1850,4,4),IF(LEFT(A1850,1)="X",MID(A1850,3,4),""))</f>
        <v/>
      </c>
    </row>
    <row r="1851" spans="4:4" x14ac:dyDescent="0.3">
      <c r="D1851" t="str">
        <f t="shared" si="60"/>
        <v/>
      </c>
    </row>
    <row r="1852" spans="4:4" x14ac:dyDescent="0.3">
      <c r="D1852" t="str">
        <f t="shared" si="60"/>
        <v/>
      </c>
    </row>
    <row r="1853" spans="4:4" x14ac:dyDescent="0.3">
      <c r="D1853" t="str">
        <f t="shared" si="60"/>
        <v/>
      </c>
    </row>
    <row r="1854" spans="4:4" x14ac:dyDescent="0.3">
      <c r="D1854" t="str">
        <f t="shared" si="60"/>
        <v/>
      </c>
    </row>
    <row r="1855" spans="4:4" x14ac:dyDescent="0.3">
      <c r="D1855" t="str">
        <f t="shared" si="60"/>
        <v/>
      </c>
    </row>
    <row r="1856" spans="4:4" x14ac:dyDescent="0.3">
      <c r="D1856" t="str">
        <f t="shared" si="60"/>
        <v/>
      </c>
    </row>
    <row r="1857" spans="4:4" x14ac:dyDescent="0.3">
      <c r="D1857" t="str">
        <f t="shared" si="60"/>
        <v/>
      </c>
    </row>
    <row r="1858" spans="4:4" x14ac:dyDescent="0.3">
      <c r="D1858" t="str">
        <f t="shared" si="60"/>
        <v/>
      </c>
    </row>
    <row r="1859" spans="4:4" x14ac:dyDescent="0.3">
      <c r="D1859" t="str">
        <f t="shared" si="60"/>
        <v/>
      </c>
    </row>
    <row r="1860" spans="4:4" x14ac:dyDescent="0.3">
      <c r="D1860" t="str">
        <f t="shared" si="60"/>
        <v/>
      </c>
    </row>
    <row r="1861" spans="4:4" x14ac:dyDescent="0.3">
      <c r="D1861" t="str">
        <f t="shared" si="60"/>
        <v/>
      </c>
    </row>
    <row r="1862" spans="4:4" x14ac:dyDescent="0.3">
      <c r="D1862" t="str">
        <f t="shared" si="60"/>
        <v/>
      </c>
    </row>
    <row r="1863" spans="4:4" x14ac:dyDescent="0.3">
      <c r="D1863" t="str">
        <f t="shared" si="60"/>
        <v/>
      </c>
    </row>
    <row r="1864" spans="4:4" x14ac:dyDescent="0.3">
      <c r="D1864" t="str">
        <f t="shared" si="60"/>
        <v/>
      </c>
    </row>
    <row r="1865" spans="4:4" x14ac:dyDescent="0.3">
      <c r="D1865" t="str">
        <f t="shared" si="60"/>
        <v/>
      </c>
    </row>
    <row r="1866" spans="4:4" x14ac:dyDescent="0.3">
      <c r="D1866" t="str">
        <f t="shared" si="60"/>
        <v/>
      </c>
    </row>
    <row r="1867" spans="4:4" x14ac:dyDescent="0.3">
      <c r="D1867" t="str">
        <f t="shared" si="60"/>
        <v/>
      </c>
    </row>
    <row r="1868" spans="4:4" x14ac:dyDescent="0.3">
      <c r="D1868" t="str">
        <f t="shared" si="60"/>
        <v/>
      </c>
    </row>
    <row r="1869" spans="4:4" x14ac:dyDescent="0.3">
      <c r="D1869" t="str">
        <f t="shared" si="60"/>
        <v/>
      </c>
    </row>
    <row r="1870" spans="4:4" x14ac:dyDescent="0.3">
      <c r="D1870" t="str">
        <f t="shared" si="60"/>
        <v/>
      </c>
    </row>
    <row r="1871" spans="4:4" x14ac:dyDescent="0.3">
      <c r="D1871" t="str">
        <f t="shared" si="60"/>
        <v/>
      </c>
    </row>
    <row r="1872" spans="4:4" x14ac:dyDescent="0.3">
      <c r="D1872" t="str">
        <f t="shared" si="60"/>
        <v/>
      </c>
    </row>
    <row r="1873" spans="4:4" x14ac:dyDescent="0.3">
      <c r="D1873" t="str">
        <f t="shared" si="60"/>
        <v/>
      </c>
    </row>
    <row r="1874" spans="4:4" x14ac:dyDescent="0.3">
      <c r="D1874" t="str">
        <f t="shared" si="60"/>
        <v/>
      </c>
    </row>
    <row r="1875" spans="4:4" x14ac:dyDescent="0.3">
      <c r="D1875" t="str">
        <f t="shared" si="60"/>
        <v/>
      </c>
    </row>
    <row r="1876" spans="4:4" x14ac:dyDescent="0.3">
      <c r="D1876" t="str">
        <f t="shared" si="60"/>
        <v/>
      </c>
    </row>
    <row r="1877" spans="4:4" x14ac:dyDescent="0.3">
      <c r="D1877" t="str">
        <f t="shared" si="60"/>
        <v/>
      </c>
    </row>
    <row r="1878" spans="4:4" x14ac:dyDescent="0.3">
      <c r="D1878" t="str">
        <f t="shared" si="60"/>
        <v/>
      </c>
    </row>
    <row r="1879" spans="4:4" x14ac:dyDescent="0.3">
      <c r="D1879" t="str">
        <f t="shared" si="60"/>
        <v/>
      </c>
    </row>
    <row r="1880" spans="4:4" x14ac:dyDescent="0.3">
      <c r="D1880" t="str">
        <f t="shared" si="60"/>
        <v/>
      </c>
    </row>
    <row r="1881" spans="4:4" x14ac:dyDescent="0.3">
      <c r="D1881" t="str">
        <f t="shared" si="60"/>
        <v/>
      </c>
    </row>
    <row r="1882" spans="4:4" x14ac:dyDescent="0.3">
      <c r="D1882" t="str">
        <f t="shared" si="60"/>
        <v/>
      </c>
    </row>
    <row r="1883" spans="4:4" x14ac:dyDescent="0.3">
      <c r="D1883" t="str">
        <f t="shared" si="60"/>
        <v/>
      </c>
    </row>
    <row r="1884" spans="4:4" x14ac:dyDescent="0.3">
      <c r="D1884" t="str">
        <f t="shared" si="60"/>
        <v/>
      </c>
    </row>
    <row r="1885" spans="4:4" x14ac:dyDescent="0.3">
      <c r="D1885" t="str">
        <f t="shared" si="60"/>
        <v/>
      </c>
    </row>
    <row r="1886" spans="4:4" x14ac:dyDescent="0.3">
      <c r="D1886" t="str">
        <f t="shared" si="60"/>
        <v/>
      </c>
    </row>
    <row r="1887" spans="4:4" x14ac:dyDescent="0.3">
      <c r="D1887" t="str">
        <f t="shared" si="60"/>
        <v/>
      </c>
    </row>
    <row r="1888" spans="4:4" x14ac:dyDescent="0.3">
      <c r="D1888" t="str">
        <f t="shared" si="60"/>
        <v/>
      </c>
    </row>
    <row r="1889" spans="4:4" x14ac:dyDescent="0.3">
      <c r="D1889" t="str">
        <f t="shared" si="60"/>
        <v/>
      </c>
    </row>
    <row r="1890" spans="4:4" x14ac:dyDescent="0.3">
      <c r="D1890" t="str">
        <f t="shared" si="60"/>
        <v/>
      </c>
    </row>
    <row r="1891" spans="4:4" x14ac:dyDescent="0.3">
      <c r="D1891" t="str">
        <f t="shared" si="60"/>
        <v/>
      </c>
    </row>
    <row r="1892" spans="4:4" x14ac:dyDescent="0.3">
      <c r="D1892" t="str">
        <f t="shared" si="60"/>
        <v/>
      </c>
    </row>
    <row r="1893" spans="4:4" x14ac:dyDescent="0.3">
      <c r="D1893" t="str">
        <f t="shared" si="60"/>
        <v/>
      </c>
    </row>
    <row r="1894" spans="4:4" x14ac:dyDescent="0.3">
      <c r="D1894" t="str">
        <f t="shared" si="60"/>
        <v/>
      </c>
    </row>
    <row r="1895" spans="4:4" x14ac:dyDescent="0.3">
      <c r="D1895" t="str">
        <f t="shared" si="60"/>
        <v/>
      </c>
    </row>
    <row r="1896" spans="4:4" x14ac:dyDescent="0.3">
      <c r="D1896" t="str">
        <f t="shared" si="60"/>
        <v/>
      </c>
    </row>
    <row r="1897" spans="4:4" x14ac:dyDescent="0.3">
      <c r="D1897" t="str">
        <f t="shared" si="60"/>
        <v/>
      </c>
    </row>
    <row r="1898" spans="4:4" x14ac:dyDescent="0.3">
      <c r="D1898" t="str">
        <f t="shared" si="60"/>
        <v/>
      </c>
    </row>
    <row r="1899" spans="4:4" x14ac:dyDescent="0.3">
      <c r="D1899" t="str">
        <f t="shared" si="60"/>
        <v/>
      </c>
    </row>
    <row r="1900" spans="4:4" x14ac:dyDescent="0.3">
      <c r="D1900" t="str">
        <f t="shared" si="60"/>
        <v/>
      </c>
    </row>
    <row r="1901" spans="4:4" x14ac:dyDescent="0.3">
      <c r="D1901" t="str">
        <f t="shared" si="60"/>
        <v/>
      </c>
    </row>
    <row r="1902" spans="4:4" x14ac:dyDescent="0.3">
      <c r="D1902" t="str">
        <f t="shared" si="60"/>
        <v/>
      </c>
    </row>
    <row r="1903" spans="4:4" x14ac:dyDescent="0.3">
      <c r="D1903" t="str">
        <f t="shared" si="60"/>
        <v/>
      </c>
    </row>
    <row r="1904" spans="4:4" x14ac:dyDescent="0.3">
      <c r="D1904" t="str">
        <f t="shared" si="60"/>
        <v/>
      </c>
    </row>
    <row r="1905" spans="4:4" x14ac:dyDescent="0.3">
      <c r="D1905" t="str">
        <f t="shared" si="60"/>
        <v/>
      </c>
    </row>
    <row r="1906" spans="4:4" x14ac:dyDescent="0.3">
      <c r="D1906" t="str">
        <f t="shared" si="60"/>
        <v/>
      </c>
    </row>
    <row r="1907" spans="4:4" x14ac:dyDescent="0.3">
      <c r="D1907" t="str">
        <f t="shared" si="60"/>
        <v/>
      </c>
    </row>
    <row r="1908" spans="4:4" x14ac:dyDescent="0.3">
      <c r="D1908" t="str">
        <f t="shared" si="60"/>
        <v/>
      </c>
    </row>
    <row r="1909" spans="4:4" x14ac:dyDescent="0.3">
      <c r="D1909" t="str">
        <f t="shared" si="60"/>
        <v/>
      </c>
    </row>
    <row r="1910" spans="4:4" x14ac:dyDescent="0.3">
      <c r="D1910" t="str">
        <f t="shared" si="60"/>
        <v/>
      </c>
    </row>
    <row r="1911" spans="4:4" x14ac:dyDescent="0.3">
      <c r="D1911" t="str">
        <f t="shared" si="60"/>
        <v/>
      </c>
    </row>
    <row r="1912" spans="4:4" x14ac:dyDescent="0.3">
      <c r="D1912" t="str">
        <f t="shared" si="60"/>
        <v/>
      </c>
    </row>
    <row r="1913" spans="4:4" x14ac:dyDescent="0.3">
      <c r="D1913" t="str">
        <f t="shared" si="60"/>
        <v/>
      </c>
    </row>
    <row r="1914" spans="4:4" x14ac:dyDescent="0.3">
      <c r="D1914" t="str">
        <f t="shared" ref="D1914:D1977" si="61">IF(LEFT(A1914,2)="SP",MID(A1914,4,4),IF(LEFT(A1914,1)="X",MID(A1914,3,4),""))</f>
        <v/>
      </c>
    </row>
    <row r="1915" spans="4:4" x14ac:dyDescent="0.3">
      <c r="D1915" t="str">
        <f t="shared" si="61"/>
        <v/>
      </c>
    </row>
    <row r="1916" spans="4:4" x14ac:dyDescent="0.3">
      <c r="D1916" t="str">
        <f t="shared" si="61"/>
        <v/>
      </c>
    </row>
    <row r="1917" spans="4:4" x14ac:dyDescent="0.3">
      <c r="D1917" t="str">
        <f t="shared" si="61"/>
        <v/>
      </c>
    </row>
    <row r="1918" spans="4:4" x14ac:dyDescent="0.3">
      <c r="D1918" t="str">
        <f t="shared" si="61"/>
        <v/>
      </c>
    </row>
    <row r="1919" spans="4:4" x14ac:dyDescent="0.3">
      <c r="D1919" t="str">
        <f t="shared" si="61"/>
        <v/>
      </c>
    </row>
    <row r="1920" spans="4:4" x14ac:dyDescent="0.3">
      <c r="D1920" t="str">
        <f t="shared" si="61"/>
        <v/>
      </c>
    </row>
    <row r="1921" spans="4:4" x14ac:dyDescent="0.3">
      <c r="D1921" t="str">
        <f t="shared" si="61"/>
        <v/>
      </c>
    </row>
    <row r="1922" spans="4:4" x14ac:dyDescent="0.3">
      <c r="D1922" t="str">
        <f t="shared" si="61"/>
        <v/>
      </c>
    </row>
    <row r="1923" spans="4:4" x14ac:dyDescent="0.3">
      <c r="D1923" t="str">
        <f t="shared" si="61"/>
        <v/>
      </c>
    </row>
    <row r="1924" spans="4:4" x14ac:dyDescent="0.3">
      <c r="D1924" t="str">
        <f t="shared" si="61"/>
        <v/>
      </c>
    </row>
    <row r="1925" spans="4:4" x14ac:dyDescent="0.3">
      <c r="D1925" t="str">
        <f t="shared" si="61"/>
        <v/>
      </c>
    </row>
    <row r="1926" spans="4:4" x14ac:dyDescent="0.3">
      <c r="D1926" t="str">
        <f t="shared" si="61"/>
        <v/>
      </c>
    </row>
    <row r="1927" spans="4:4" x14ac:dyDescent="0.3">
      <c r="D1927" t="str">
        <f t="shared" si="61"/>
        <v/>
      </c>
    </row>
    <row r="1928" spans="4:4" x14ac:dyDescent="0.3">
      <c r="D1928" t="str">
        <f t="shared" si="61"/>
        <v/>
      </c>
    </row>
    <row r="1929" spans="4:4" x14ac:dyDescent="0.3">
      <c r="D1929" t="str">
        <f t="shared" si="61"/>
        <v/>
      </c>
    </row>
    <row r="1930" spans="4:4" x14ac:dyDescent="0.3">
      <c r="D1930" t="str">
        <f t="shared" si="61"/>
        <v/>
      </c>
    </row>
    <row r="1931" spans="4:4" x14ac:dyDescent="0.3">
      <c r="D1931" t="str">
        <f t="shared" si="61"/>
        <v/>
      </c>
    </row>
    <row r="1932" spans="4:4" x14ac:dyDescent="0.3">
      <c r="D1932" t="str">
        <f t="shared" si="61"/>
        <v/>
      </c>
    </row>
    <row r="1933" spans="4:4" x14ac:dyDescent="0.3">
      <c r="D1933" t="str">
        <f t="shared" si="61"/>
        <v/>
      </c>
    </row>
    <row r="1934" spans="4:4" x14ac:dyDescent="0.3">
      <c r="D1934" t="str">
        <f t="shared" si="61"/>
        <v/>
      </c>
    </row>
    <row r="1935" spans="4:4" x14ac:dyDescent="0.3">
      <c r="D1935" t="str">
        <f t="shared" si="61"/>
        <v/>
      </c>
    </row>
    <row r="1936" spans="4:4" x14ac:dyDescent="0.3">
      <c r="D1936" t="str">
        <f t="shared" si="61"/>
        <v/>
      </c>
    </row>
    <row r="1937" spans="4:4" x14ac:dyDescent="0.3">
      <c r="D1937" t="str">
        <f t="shared" si="61"/>
        <v/>
      </c>
    </row>
    <row r="1938" spans="4:4" x14ac:dyDescent="0.3">
      <c r="D1938" t="str">
        <f t="shared" si="61"/>
        <v/>
      </c>
    </row>
    <row r="1939" spans="4:4" x14ac:dyDescent="0.3">
      <c r="D1939" t="str">
        <f t="shared" si="61"/>
        <v/>
      </c>
    </row>
    <row r="1940" spans="4:4" x14ac:dyDescent="0.3">
      <c r="D1940" t="str">
        <f t="shared" si="61"/>
        <v/>
      </c>
    </row>
    <row r="1941" spans="4:4" x14ac:dyDescent="0.3">
      <c r="D1941" t="str">
        <f t="shared" si="61"/>
        <v/>
      </c>
    </row>
    <row r="1942" spans="4:4" x14ac:dyDescent="0.3">
      <c r="D1942" t="str">
        <f t="shared" si="61"/>
        <v/>
      </c>
    </row>
    <row r="1943" spans="4:4" x14ac:dyDescent="0.3">
      <c r="D1943" t="str">
        <f t="shared" si="61"/>
        <v/>
      </c>
    </row>
    <row r="1944" spans="4:4" x14ac:dyDescent="0.3">
      <c r="D1944" t="str">
        <f t="shared" si="61"/>
        <v/>
      </c>
    </row>
    <row r="1945" spans="4:4" x14ac:dyDescent="0.3">
      <c r="D1945" t="str">
        <f t="shared" si="61"/>
        <v/>
      </c>
    </row>
    <row r="1946" spans="4:4" x14ac:dyDescent="0.3">
      <c r="D1946" t="str">
        <f t="shared" si="61"/>
        <v/>
      </c>
    </row>
    <row r="1947" spans="4:4" x14ac:dyDescent="0.3">
      <c r="D1947" t="str">
        <f t="shared" si="61"/>
        <v/>
      </c>
    </row>
    <row r="1948" spans="4:4" x14ac:dyDescent="0.3">
      <c r="D1948" t="str">
        <f t="shared" si="61"/>
        <v/>
      </c>
    </row>
    <row r="1949" spans="4:4" x14ac:dyDescent="0.3">
      <c r="D1949" t="str">
        <f t="shared" si="61"/>
        <v/>
      </c>
    </row>
    <row r="1950" spans="4:4" x14ac:dyDescent="0.3">
      <c r="D1950" t="str">
        <f t="shared" si="61"/>
        <v/>
      </c>
    </row>
    <row r="1951" spans="4:4" x14ac:dyDescent="0.3">
      <c r="D1951" t="str">
        <f t="shared" si="61"/>
        <v/>
      </c>
    </row>
    <row r="1952" spans="4:4" x14ac:dyDescent="0.3">
      <c r="D1952" t="str">
        <f t="shared" si="61"/>
        <v/>
      </c>
    </row>
    <row r="1953" spans="4:4" x14ac:dyDescent="0.3">
      <c r="D1953" t="str">
        <f t="shared" si="61"/>
        <v/>
      </c>
    </row>
    <row r="1954" spans="4:4" x14ac:dyDescent="0.3">
      <c r="D1954" t="str">
        <f t="shared" si="61"/>
        <v/>
      </c>
    </row>
    <row r="1955" spans="4:4" x14ac:dyDescent="0.3">
      <c r="D1955" t="str">
        <f t="shared" si="61"/>
        <v/>
      </c>
    </row>
    <row r="1956" spans="4:4" x14ac:dyDescent="0.3">
      <c r="D1956" t="str">
        <f t="shared" si="61"/>
        <v/>
      </c>
    </row>
    <row r="1957" spans="4:4" x14ac:dyDescent="0.3">
      <c r="D1957" t="str">
        <f t="shared" si="61"/>
        <v/>
      </c>
    </row>
    <row r="1958" spans="4:4" x14ac:dyDescent="0.3">
      <c r="D1958" t="str">
        <f t="shared" si="61"/>
        <v/>
      </c>
    </row>
    <row r="1959" spans="4:4" x14ac:dyDescent="0.3">
      <c r="D1959" t="str">
        <f t="shared" si="61"/>
        <v/>
      </c>
    </row>
    <row r="1960" spans="4:4" x14ac:dyDescent="0.3">
      <c r="D1960" t="str">
        <f t="shared" si="61"/>
        <v/>
      </c>
    </row>
    <row r="1961" spans="4:4" x14ac:dyDescent="0.3">
      <c r="D1961" t="str">
        <f t="shared" si="61"/>
        <v/>
      </c>
    </row>
    <row r="1962" spans="4:4" x14ac:dyDescent="0.3">
      <c r="D1962" t="str">
        <f t="shared" si="61"/>
        <v/>
      </c>
    </row>
    <row r="1963" spans="4:4" x14ac:dyDescent="0.3">
      <c r="D1963" t="str">
        <f t="shared" si="61"/>
        <v/>
      </c>
    </row>
    <row r="1964" spans="4:4" x14ac:dyDescent="0.3">
      <c r="D1964" t="str">
        <f t="shared" si="61"/>
        <v/>
      </c>
    </row>
    <row r="1965" spans="4:4" x14ac:dyDescent="0.3">
      <c r="D1965" t="str">
        <f t="shared" si="61"/>
        <v/>
      </c>
    </row>
    <row r="1966" spans="4:4" x14ac:dyDescent="0.3">
      <c r="D1966" t="str">
        <f t="shared" si="61"/>
        <v/>
      </c>
    </row>
    <row r="1967" spans="4:4" x14ac:dyDescent="0.3">
      <c r="D1967" t="str">
        <f t="shared" si="61"/>
        <v/>
      </c>
    </row>
    <row r="1968" spans="4:4" x14ac:dyDescent="0.3">
      <c r="D1968" t="str">
        <f t="shared" si="61"/>
        <v/>
      </c>
    </row>
    <row r="1969" spans="4:4" x14ac:dyDescent="0.3">
      <c r="D1969" t="str">
        <f t="shared" si="61"/>
        <v/>
      </c>
    </row>
    <row r="1970" spans="4:4" x14ac:dyDescent="0.3">
      <c r="D1970" t="str">
        <f t="shared" si="61"/>
        <v/>
      </c>
    </row>
    <row r="1971" spans="4:4" x14ac:dyDescent="0.3">
      <c r="D1971" t="str">
        <f t="shared" si="61"/>
        <v/>
      </c>
    </row>
    <row r="1972" spans="4:4" x14ac:dyDescent="0.3">
      <c r="D1972" t="str">
        <f t="shared" si="61"/>
        <v/>
      </c>
    </row>
    <row r="1973" spans="4:4" x14ac:dyDescent="0.3">
      <c r="D1973" t="str">
        <f t="shared" si="61"/>
        <v/>
      </c>
    </row>
    <row r="1974" spans="4:4" x14ac:dyDescent="0.3">
      <c r="D1974" t="str">
        <f t="shared" si="61"/>
        <v/>
      </c>
    </row>
    <row r="1975" spans="4:4" x14ac:dyDescent="0.3">
      <c r="D1975" t="str">
        <f t="shared" si="61"/>
        <v/>
      </c>
    </row>
    <row r="1976" spans="4:4" x14ac:dyDescent="0.3">
      <c r="D1976" t="str">
        <f t="shared" si="61"/>
        <v/>
      </c>
    </row>
    <row r="1977" spans="4:4" x14ac:dyDescent="0.3">
      <c r="D1977" t="str">
        <f t="shared" si="61"/>
        <v/>
      </c>
    </row>
    <row r="1978" spans="4:4" x14ac:dyDescent="0.3">
      <c r="D1978" t="str">
        <f t="shared" ref="D1978:D2041" si="62">IF(LEFT(A1978,2)="SP",MID(A1978,4,4),IF(LEFT(A1978,1)="X",MID(A1978,3,4),""))</f>
        <v/>
      </c>
    </row>
    <row r="1979" spans="4:4" x14ac:dyDescent="0.3">
      <c r="D1979" t="str">
        <f t="shared" si="62"/>
        <v/>
      </c>
    </row>
    <row r="1980" spans="4:4" x14ac:dyDescent="0.3">
      <c r="D1980" t="str">
        <f t="shared" si="62"/>
        <v/>
      </c>
    </row>
    <row r="1981" spans="4:4" x14ac:dyDescent="0.3">
      <c r="D1981" t="str">
        <f t="shared" si="62"/>
        <v/>
      </c>
    </row>
    <row r="1982" spans="4:4" x14ac:dyDescent="0.3">
      <c r="D1982" t="str">
        <f t="shared" si="62"/>
        <v/>
      </c>
    </row>
    <row r="1983" spans="4:4" x14ac:dyDescent="0.3">
      <c r="D1983" t="str">
        <f t="shared" si="62"/>
        <v/>
      </c>
    </row>
    <row r="1984" spans="4:4" x14ac:dyDescent="0.3">
      <c r="D1984" t="str">
        <f t="shared" si="62"/>
        <v/>
      </c>
    </row>
    <row r="1985" spans="4:4" x14ac:dyDescent="0.3">
      <c r="D1985" t="str">
        <f t="shared" si="62"/>
        <v/>
      </c>
    </row>
    <row r="1986" spans="4:4" x14ac:dyDescent="0.3">
      <c r="D1986" t="str">
        <f t="shared" si="62"/>
        <v/>
      </c>
    </row>
    <row r="1987" spans="4:4" x14ac:dyDescent="0.3">
      <c r="D1987" t="str">
        <f t="shared" si="62"/>
        <v/>
      </c>
    </row>
    <row r="1988" spans="4:4" x14ac:dyDescent="0.3">
      <c r="D1988" t="str">
        <f t="shared" si="62"/>
        <v/>
      </c>
    </row>
    <row r="1989" spans="4:4" x14ac:dyDescent="0.3">
      <c r="D1989" t="str">
        <f t="shared" si="62"/>
        <v/>
      </c>
    </row>
    <row r="1990" spans="4:4" x14ac:dyDescent="0.3">
      <c r="D1990" t="str">
        <f t="shared" si="62"/>
        <v/>
      </c>
    </row>
    <row r="1991" spans="4:4" x14ac:dyDescent="0.3">
      <c r="D1991" t="str">
        <f t="shared" si="62"/>
        <v/>
      </c>
    </row>
    <row r="1992" spans="4:4" x14ac:dyDescent="0.3">
      <c r="D1992" t="str">
        <f t="shared" si="62"/>
        <v/>
      </c>
    </row>
    <row r="1993" spans="4:4" x14ac:dyDescent="0.3">
      <c r="D1993" t="str">
        <f t="shared" si="62"/>
        <v/>
      </c>
    </row>
    <row r="1994" spans="4:4" x14ac:dyDescent="0.3">
      <c r="D1994" t="str">
        <f t="shared" si="62"/>
        <v/>
      </c>
    </row>
    <row r="1995" spans="4:4" x14ac:dyDescent="0.3">
      <c r="D1995" t="str">
        <f t="shared" si="62"/>
        <v/>
      </c>
    </row>
    <row r="1996" spans="4:4" x14ac:dyDescent="0.3">
      <c r="D1996" t="str">
        <f t="shared" si="62"/>
        <v/>
      </c>
    </row>
    <row r="1997" spans="4:4" x14ac:dyDescent="0.3">
      <c r="D1997" t="str">
        <f t="shared" si="62"/>
        <v/>
      </c>
    </row>
    <row r="1998" spans="4:4" x14ac:dyDescent="0.3">
      <c r="D1998" t="str">
        <f t="shared" si="62"/>
        <v/>
      </c>
    </row>
    <row r="1999" spans="4:4" x14ac:dyDescent="0.3">
      <c r="D1999" t="str">
        <f t="shared" si="62"/>
        <v/>
      </c>
    </row>
    <row r="2000" spans="4:4" x14ac:dyDescent="0.3">
      <c r="D2000" t="str">
        <f t="shared" si="62"/>
        <v/>
      </c>
    </row>
    <row r="2001" spans="4:4" x14ac:dyDescent="0.3">
      <c r="D2001" t="str">
        <f t="shared" si="62"/>
        <v/>
      </c>
    </row>
    <row r="2002" spans="4:4" x14ac:dyDescent="0.3">
      <c r="D2002" t="str">
        <f t="shared" si="62"/>
        <v/>
      </c>
    </row>
    <row r="2003" spans="4:4" x14ac:dyDescent="0.3">
      <c r="D2003" t="str">
        <f t="shared" si="62"/>
        <v/>
      </c>
    </row>
    <row r="2004" spans="4:4" x14ac:dyDescent="0.3">
      <c r="D2004" t="str">
        <f t="shared" si="62"/>
        <v/>
      </c>
    </row>
    <row r="2005" spans="4:4" x14ac:dyDescent="0.3">
      <c r="D2005" t="str">
        <f t="shared" si="62"/>
        <v/>
      </c>
    </row>
    <row r="2006" spans="4:4" x14ac:dyDescent="0.3">
      <c r="D2006" t="str">
        <f t="shared" si="62"/>
        <v/>
      </c>
    </row>
    <row r="2007" spans="4:4" x14ac:dyDescent="0.3">
      <c r="D2007" t="str">
        <f t="shared" si="62"/>
        <v/>
      </c>
    </row>
    <row r="2008" spans="4:4" x14ac:dyDescent="0.3">
      <c r="D2008" t="str">
        <f t="shared" si="62"/>
        <v/>
      </c>
    </row>
    <row r="2009" spans="4:4" x14ac:dyDescent="0.3">
      <c r="D2009" t="str">
        <f t="shared" si="62"/>
        <v/>
      </c>
    </row>
    <row r="2010" spans="4:4" x14ac:dyDescent="0.3">
      <c r="D2010" t="str">
        <f t="shared" si="62"/>
        <v/>
      </c>
    </row>
    <row r="2011" spans="4:4" x14ac:dyDescent="0.3">
      <c r="D2011" t="str">
        <f t="shared" si="62"/>
        <v/>
      </c>
    </row>
    <row r="2012" spans="4:4" x14ac:dyDescent="0.3">
      <c r="D2012" t="str">
        <f t="shared" si="62"/>
        <v/>
      </c>
    </row>
    <row r="2013" spans="4:4" x14ac:dyDescent="0.3">
      <c r="D2013" t="str">
        <f t="shared" si="62"/>
        <v/>
      </c>
    </row>
    <row r="2014" spans="4:4" x14ac:dyDescent="0.3">
      <c r="D2014" t="str">
        <f t="shared" si="62"/>
        <v/>
      </c>
    </row>
    <row r="2015" spans="4:4" x14ac:dyDescent="0.3">
      <c r="D2015" t="str">
        <f t="shared" si="62"/>
        <v/>
      </c>
    </row>
    <row r="2016" spans="4:4" x14ac:dyDescent="0.3">
      <c r="D2016" t="str">
        <f t="shared" si="62"/>
        <v/>
      </c>
    </row>
    <row r="2017" spans="4:4" x14ac:dyDescent="0.3">
      <c r="D2017" t="str">
        <f t="shared" si="62"/>
        <v/>
      </c>
    </row>
    <row r="2018" spans="4:4" x14ac:dyDescent="0.3">
      <c r="D2018" t="str">
        <f t="shared" si="62"/>
        <v/>
      </c>
    </row>
    <row r="2019" spans="4:4" x14ac:dyDescent="0.3">
      <c r="D2019" t="str">
        <f t="shared" si="62"/>
        <v/>
      </c>
    </row>
    <row r="2020" spans="4:4" x14ac:dyDescent="0.3">
      <c r="D2020" t="str">
        <f t="shared" si="62"/>
        <v/>
      </c>
    </row>
    <row r="2021" spans="4:4" x14ac:dyDescent="0.3">
      <c r="D2021" t="str">
        <f t="shared" si="62"/>
        <v/>
      </c>
    </row>
    <row r="2022" spans="4:4" x14ac:dyDescent="0.3">
      <c r="D2022" t="str">
        <f t="shared" si="62"/>
        <v/>
      </c>
    </row>
    <row r="2023" spans="4:4" x14ac:dyDescent="0.3">
      <c r="D2023" t="str">
        <f t="shared" si="62"/>
        <v/>
      </c>
    </row>
    <row r="2024" spans="4:4" x14ac:dyDescent="0.3">
      <c r="D2024" t="str">
        <f t="shared" si="62"/>
        <v/>
      </c>
    </row>
    <row r="2025" spans="4:4" x14ac:dyDescent="0.3">
      <c r="D2025" t="str">
        <f t="shared" si="62"/>
        <v/>
      </c>
    </row>
    <row r="2026" spans="4:4" x14ac:dyDescent="0.3">
      <c r="D2026" t="str">
        <f t="shared" si="62"/>
        <v/>
      </c>
    </row>
    <row r="2027" spans="4:4" x14ac:dyDescent="0.3">
      <c r="D2027" t="str">
        <f t="shared" si="62"/>
        <v/>
      </c>
    </row>
    <row r="2028" spans="4:4" x14ac:dyDescent="0.3">
      <c r="D2028" t="str">
        <f t="shared" si="62"/>
        <v/>
      </c>
    </row>
    <row r="2029" spans="4:4" x14ac:dyDescent="0.3">
      <c r="D2029" t="str">
        <f t="shared" si="62"/>
        <v/>
      </c>
    </row>
    <row r="2030" spans="4:4" x14ac:dyDescent="0.3">
      <c r="D2030" t="str">
        <f t="shared" si="62"/>
        <v/>
      </c>
    </row>
    <row r="2031" spans="4:4" x14ac:dyDescent="0.3">
      <c r="D2031" t="str">
        <f t="shared" si="62"/>
        <v/>
      </c>
    </row>
    <row r="2032" spans="4:4" x14ac:dyDescent="0.3">
      <c r="D2032" t="str">
        <f t="shared" si="62"/>
        <v/>
      </c>
    </row>
    <row r="2033" spans="4:4" x14ac:dyDescent="0.3">
      <c r="D2033" t="str">
        <f t="shared" si="62"/>
        <v/>
      </c>
    </row>
    <row r="2034" spans="4:4" x14ac:dyDescent="0.3">
      <c r="D2034" t="str">
        <f t="shared" si="62"/>
        <v/>
      </c>
    </row>
    <row r="2035" spans="4:4" x14ac:dyDescent="0.3">
      <c r="D2035" t="str">
        <f t="shared" si="62"/>
        <v/>
      </c>
    </row>
    <row r="2036" spans="4:4" x14ac:dyDescent="0.3">
      <c r="D2036" t="str">
        <f t="shared" si="62"/>
        <v/>
      </c>
    </row>
    <row r="2037" spans="4:4" x14ac:dyDescent="0.3">
      <c r="D2037" t="str">
        <f t="shared" si="62"/>
        <v/>
      </c>
    </row>
    <row r="2038" spans="4:4" x14ac:dyDescent="0.3">
      <c r="D2038" t="str">
        <f t="shared" si="62"/>
        <v/>
      </c>
    </row>
    <row r="2039" spans="4:4" x14ac:dyDescent="0.3">
      <c r="D2039" t="str">
        <f t="shared" si="62"/>
        <v/>
      </c>
    </row>
    <row r="2040" spans="4:4" x14ac:dyDescent="0.3">
      <c r="D2040" t="str">
        <f t="shared" si="62"/>
        <v/>
      </c>
    </row>
    <row r="2041" spans="4:4" x14ac:dyDescent="0.3">
      <c r="D2041" t="str">
        <f t="shared" si="62"/>
        <v/>
      </c>
    </row>
    <row r="2042" spans="4:4" x14ac:dyDescent="0.3">
      <c r="D2042" t="str">
        <f t="shared" ref="D2042:D2105" si="63">IF(LEFT(A2042,2)="SP",MID(A2042,4,4),IF(LEFT(A2042,1)="X",MID(A2042,3,4),""))</f>
        <v/>
      </c>
    </row>
    <row r="2043" spans="4:4" x14ac:dyDescent="0.3">
      <c r="D2043" t="str">
        <f t="shared" si="63"/>
        <v/>
      </c>
    </row>
    <row r="2044" spans="4:4" x14ac:dyDescent="0.3">
      <c r="D2044" t="str">
        <f t="shared" si="63"/>
        <v/>
      </c>
    </row>
    <row r="2045" spans="4:4" x14ac:dyDescent="0.3">
      <c r="D2045" t="str">
        <f t="shared" si="63"/>
        <v/>
      </c>
    </row>
    <row r="2046" spans="4:4" x14ac:dyDescent="0.3">
      <c r="D2046" t="str">
        <f t="shared" si="63"/>
        <v/>
      </c>
    </row>
    <row r="2047" spans="4:4" x14ac:dyDescent="0.3">
      <c r="D2047" t="str">
        <f t="shared" si="63"/>
        <v/>
      </c>
    </row>
    <row r="2048" spans="4:4" x14ac:dyDescent="0.3">
      <c r="D2048" t="str">
        <f t="shared" si="63"/>
        <v/>
      </c>
    </row>
    <row r="2049" spans="4:4" x14ac:dyDescent="0.3">
      <c r="D2049" t="str">
        <f t="shared" si="63"/>
        <v/>
      </c>
    </row>
    <row r="2050" spans="4:4" x14ac:dyDescent="0.3">
      <c r="D2050" t="str">
        <f t="shared" si="63"/>
        <v/>
      </c>
    </row>
    <row r="2051" spans="4:4" x14ac:dyDescent="0.3">
      <c r="D2051" t="str">
        <f t="shared" si="63"/>
        <v/>
      </c>
    </row>
    <row r="2052" spans="4:4" x14ac:dyDescent="0.3">
      <c r="D2052" t="str">
        <f t="shared" si="63"/>
        <v/>
      </c>
    </row>
    <row r="2053" spans="4:4" x14ac:dyDescent="0.3">
      <c r="D2053" t="str">
        <f t="shared" si="63"/>
        <v/>
      </c>
    </row>
    <row r="2054" spans="4:4" x14ac:dyDescent="0.3">
      <c r="D2054" t="str">
        <f t="shared" si="63"/>
        <v/>
      </c>
    </row>
    <row r="2055" spans="4:4" x14ac:dyDescent="0.3">
      <c r="D2055" t="str">
        <f t="shared" si="63"/>
        <v/>
      </c>
    </row>
    <row r="2056" spans="4:4" x14ac:dyDescent="0.3">
      <c r="D2056" t="str">
        <f t="shared" si="63"/>
        <v/>
      </c>
    </row>
    <row r="2057" spans="4:4" x14ac:dyDescent="0.3">
      <c r="D2057" t="str">
        <f t="shared" si="63"/>
        <v/>
      </c>
    </row>
    <row r="2058" spans="4:4" x14ac:dyDescent="0.3">
      <c r="D2058" t="str">
        <f t="shared" si="63"/>
        <v/>
      </c>
    </row>
    <row r="2059" spans="4:4" x14ac:dyDescent="0.3">
      <c r="D2059" t="str">
        <f t="shared" si="63"/>
        <v/>
      </c>
    </row>
    <row r="2060" spans="4:4" x14ac:dyDescent="0.3">
      <c r="D2060" t="str">
        <f t="shared" si="63"/>
        <v/>
      </c>
    </row>
    <row r="2061" spans="4:4" x14ac:dyDescent="0.3">
      <c r="D2061" t="str">
        <f t="shared" si="63"/>
        <v/>
      </c>
    </row>
    <row r="2062" spans="4:4" x14ac:dyDescent="0.3">
      <c r="D2062" t="str">
        <f t="shared" si="63"/>
        <v/>
      </c>
    </row>
    <row r="2063" spans="4:4" x14ac:dyDescent="0.3">
      <c r="D2063" t="str">
        <f t="shared" si="63"/>
        <v/>
      </c>
    </row>
    <row r="2064" spans="4:4" x14ac:dyDescent="0.3">
      <c r="D2064" t="str">
        <f t="shared" si="63"/>
        <v/>
      </c>
    </row>
    <row r="2065" spans="4:4" x14ac:dyDescent="0.3">
      <c r="D2065" t="str">
        <f t="shared" si="63"/>
        <v/>
      </c>
    </row>
    <row r="2066" spans="4:4" x14ac:dyDescent="0.3">
      <c r="D2066" t="str">
        <f t="shared" si="63"/>
        <v/>
      </c>
    </row>
    <row r="2067" spans="4:4" x14ac:dyDescent="0.3">
      <c r="D2067" t="str">
        <f t="shared" si="63"/>
        <v/>
      </c>
    </row>
    <row r="2068" spans="4:4" x14ac:dyDescent="0.3">
      <c r="D2068" t="str">
        <f t="shared" si="63"/>
        <v/>
      </c>
    </row>
    <row r="2069" spans="4:4" x14ac:dyDescent="0.3">
      <c r="D2069" t="str">
        <f t="shared" si="63"/>
        <v/>
      </c>
    </row>
    <row r="2070" spans="4:4" x14ac:dyDescent="0.3">
      <c r="D2070" t="str">
        <f t="shared" si="63"/>
        <v/>
      </c>
    </row>
    <row r="2071" spans="4:4" x14ac:dyDescent="0.3">
      <c r="D2071" t="str">
        <f t="shared" si="63"/>
        <v/>
      </c>
    </row>
    <row r="2072" spans="4:4" x14ac:dyDescent="0.3">
      <c r="D2072" t="str">
        <f t="shared" si="63"/>
        <v/>
      </c>
    </row>
    <row r="2073" spans="4:4" x14ac:dyDescent="0.3">
      <c r="D2073" t="str">
        <f t="shared" si="63"/>
        <v/>
      </c>
    </row>
    <row r="2074" spans="4:4" x14ac:dyDescent="0.3">
      <c r="D2074" t="str">
        <f t="shared" si="63"/>
        <v/>
      </c>
    </row>
    <row r="2075" spans="4:4" x14ac:dyDescent="0.3">
      <c r="D2075" t="str">
        <f t="shared" si="63"/>
        <v/>
      </c>
    </row>
    <row r="2076" spans="4:4" x14ac:dyDescent="0.3">
      <c r="D2076" t="str">
        <f t="shared" si="63"/>
        <v/>
      </c>
    </row>
    <row r="2077" spans="4:4" x14ac:dyDescent="0.3">
      <c r="D2077" t="str">
        <f t="shared" si="63"/>
        <v/>
      </c>
    </row>
    <row r="2078" spans="4:4" x14ac:dyDescent="0.3">
      <c r="D2078" t="str">
        <f t="shared" si="63"/>
        <v/>
      </c>
    </row>
    <row r="2079" spans="4:4" x14ac:dyDescent="0.3">
      <c r="D2079" t="str">
        <f t="shared" si="63"/>
        <v/>
      </c>
    </row>
    <row r="2080" spans="4:4" x14ac:dyDescent="0.3">
      <c r="D2080" t="str">
        <f t="shared" si="63"/>
        <v/>
      </c>
    </row>
    <row r="2081" spans="4:4" x14ac:dyDescent="0.3">
      <c r="D2081" t="str">
        <f t="shared" si="63"/>
        <v/>
      </c>
    </row>
    <row r="2082" spans="4:4" x14ac:dyDescent="0.3">
      <c r="D2082" t="str">
        <f t="shared" si="63"/>
        <v/>
      </c>
    </row>
    <row r="2083" spans="4:4" x14ac:dyDescent="0.3">
      <c r="D2083" t="str">
        <f t="shared" si="63"/>
        <v/>
      </c>
    </row>
    <row r="2084" spans="4:4" x14ac:dyDescent="0.3">
      <c r="D2084" t="str">
        <f t="shared" si="63"/>
        <v/>
      </c>
    </row>
    <row r="2085" spans="4:4" x14ac:dyDescent="0.3">
      <c r="D2085" t="str">
        <f t="shared" si="63"/>
        <v/>
      </c>
    </row>
    <row r="2086" spans="4:4" x14ac:dyDescent="0.3">
      <c r="D2086" t="str">
        <f t="shared" si="63"/>
        <v/>
      </c>
    </row>
    <row r="2087" spans="4:4" x14ac:dyDescent="0.3">
      <c r="D2087" t="str">
        <f t="shared" si="63"/>
        <v/>
      </c>
    </row>
    <row r="2088" spans="4:4" x14ac:dyDescent="0.3">
      <c r="D2088" t="str">
        <f t="shared" si="63"/>
        <v/>
      </c>
    </row>
    <row r="2089" spans="4:4" x14ac:dyDescent="0.3">
      <c r="D2089" t="str">
        <f t="shared" si="63"/>
        <v/>
      </c>
    </row>
    <row r="2090" spans="4:4" x14ac:dyDescent="0.3">
      <c r="D2090" t="str">
        <f t="shared" si="63"/>
        <v/>
      </c>
    </row>
    <row r="2091" spans="4:4" x14ac:dyDescent="0.3">
      <c r="D2091" t="str">
        <f t="shared" si="63"/>
        <v/>
      </c>
    </row>
    <row r="2092" spans="4:4" x14ac:dyDescent="0.3">
      <c r="D2092" t="str">
        <f t="shared" si="63"/>
        <v/>
      </c>
    </row>
    <row r="2093" spans="4:4" x14ac:dyDescent="0.3">
      <c r="D2093" t="str">
        <f t="shared" si="63"/>
        <v/>
      </c>
    </row>
    <row r="2094" spans="4:4" x14ac:dyDescent="0.3">
      <c r="D2094" t="str">
        <f t="shared" si="63"/>
        <v/>
      </c>
    </row>
    <row r="2095" spans="4:4" x14ac:dyDescent="0.3">
      <c r="D2095" t="str">
        <f t="shared" si="63"/>
        <v/>
      </c>
    </row>
    <row r="2096" spans="4:4" x14ac:dyDescent="0.3">
      <c r="D2096" t="str">
        <f t="shared" si="63"/>
        <v/>
      </c>
    </row>
    <row r="2097" spans="4:4" x14ac:dyDescent="0.3">
      <c r="D2097" t="str">
        <f t="shared" si="63"/>
        <v/>
      </c>
    </row>
    <row r="2098" spans="4:4" x14ac:dyDescent="0.3">
      <c r="D2098" t="str">
        <f t="shared" si="63"/>
        <v/>
      </c>
    </row>
    <row r="2099" spans="4:4" x14ac:dyDescent="0.3">
      <c r="D2099" t="str">
        <f t="shared" si="63"/>
        <v/>
      </c>
    </row>
    <row r="2100" spans="4:4" x14ac:dyDescent="0.3">
      <c r="D2100" t="str">
        <f t="shared" si="63"/>
        <v/>
      </c>
    </row>
    <row r="2101" spans="4:4" x14ac:dyDescent="0.3">
      <c r="D2101" t="str">
        <f t="shared" si="63"/>
        <v/>
      </c>
    </row>
    <row r="2102" spans="4:4" x14ac:dyDescent="0.3">
      <c r="D2102" t="str">
        <f t="shared" si="63"/>
        <v/>
      </c>
    </row>
    <row r="2103" spans="4:4" x14ac:dyDescent="0.3">
      <c r="D2103" t="str">
        <f t="shared" si="63"/>
        <v/>
      </c>
    </row>
    <row r="2104" spans="4:4" x14ac:dyDescent="0.3">
      <c r="D2104" t="str">
        <f t="shared" si="63"/>
        <v/>
      </c>
    </row>
    <row r="2105" spans="4:4" x14ac:dyDescent="0.3">
      <c r="D2105" t="str">
        <f t="shared" si="63"/>
        <v/>
      </c>
    </row>
    <row r="2106" spans="4:4" x14ac:dyDescent="0.3">
      <c r="D2106" t="str">
        <f t="shared" ref="D2106:D2169" si="64">IF(LEFT(A2106,2)="SP",MID(A2106,4,4),IF(LEFT(A2106,1)="X",MID(A2106,3,4),""))</f>
        <v/>
      </c>
    </row>
    <row r="2107" spans="4:4" x14ac:dyDescent="0.3">
      <c r="D2107" t="str">
        <f t="shared" si="64"/>
        <v/>
      </c>
    </row>
    <row r="2108" spans="4:4" x14ac:dyDescent="0.3">
      <c r="D2108" t="str">
        <f t="shared" si="64"/>
        <v/>
      </c>
    </row>
    <row r="2109" spans="4:4" x14ac:dyDescent="0.3">
      <c r="D2109" t="str">
        <f t="shared" si="64"/>
        <v/>
      </c>
    </row>
    <row r="2110" spans="4:4" x14ac:dyDescent="0.3">
      <c r="D2110" t="str">
        <f t="shared" si="64"/>
        <v/>
      </c>
    </row>
    <row r="2111" spans="4:4" x14ac:dyDescent="0.3">
      <c r="D2111" t="str">
        <f t="shared" si="64"/>
        <v/>
      </c>
    </row>
    <row r="2112" spans="4:4" x14ac:dyDescent="0.3">
      <c r="D2112" t="str">
        <f t="shared" si="64"/>
        <v/>
      </c>
    </row>
    <row r="2113" spans="4:4" x14ac:dyDescent="0.3">
      <c r="D2113" t="str">
        <f t="shared" si="64"/>
        <v/>
      </c>
    </row>
    <row r="2114" spans="4:4" x14ac:dyDescent="0.3">
      <c r="D2114" t="str">
        <f t="shared" si="64"/>
        <v/>
      </c>
    </row>
    <row r="2115" spans="4:4" x14ac:dyDescent="0.3">
      <c r="D2115" t="str">
        <f t="shared" si="64"/>
        <v/>
      </c>
    </row>
    <row r="2116" spans="4:4" x14ac:dyDescent="0.3">
      <c r="D2116" t="str">
        <f t="shared" si="64"/>
        <v/>
      </c>
    </row>
    <row r="2117" spans="4:4" x14ac:dyDescent="0.3">
      <c r="D2117" t="str">
        <f t="shared" si="64"/>
        <v/>
      </c>
    </row>
    <row r="2118" spans="4:4" x14ac:dyDescent="0.3">
      <c r="D2118" t="str">
        <f t="shared" si="64"/>
        <v/>
      </c>
    </row>
    <row r="2119" spans="4:4" x14ac:dyDescent="0.3">
      <c r="D2119" t="str">
        <f t="shared" si="64"/>
        <v/>
      </c>
    </row>
    <row r="2120" spans="4:4" x14ac:dyDescent="0.3">
      <c r="D2120" t="str">
        <f t="shared" si="64"/>
        <v/>
      </c>
    </row>
    <row r="2121" spans="4:4" x14ac:dyDescent="0.3">
      <c r="D2121" t="str">
        <f t="shared" si="64"/>
        <v/>
      </c>
    </row>
    <row r="2122" spans="4:4" x14ac:dyDescent="0.3">
      <c r="D2122" t="str">
        <f t="shared" si="64"/>
        <v/>
      </c>
    </row>
    <row r="2123" spans="4:4" x14ac:dyDescent="0.3">
      <c r="D2123" t="str">
        <f t="shared" si="64"/>
        <v/>
      </c>
    </row>
    <row r="2124" spans="4:4" x14ac:dyDescent="0.3">
      <c r="D2124" t="str">
        <f t="shared" si="64"/>
        <v/>
      </c>
    </row>
    <row r="2125" spans="4:4" x14ac:dyDescent="0.3">
      <c r="D2125" t="str">
        <f t="shared" si="64"/>
        <v/>
      </c>
    </row>
    <row r="2126" spans="4:4" x14ac:dyDescent="0.3">
      <c r="D2126" t="str">
        <f t="shared" si="64"/>
        <v/>
      </c>
    </row>
    <row r="2127" spans="4:4" x14ac:dyDescent="0.3">
      <c r="D2127" t="str">
        <f t="shared" si="64"/>
        <v/>
      </c>
    </row>
    <row r="2128" spans="4:4" x14ac:dyDescent="0.3">
      <c r="D2128" t="str">
        <f t="shared" si="64"/>
        <v/>
      </c>
    </row>
    <row r="2129" spans="4:4" x14ac:dyDescent="0.3">
      <c r="D2129" t="str">
        <f t="shared" si="64"/>
        <v/>
      </c>
    </row>
    <row r="2130" spans="4:4" x14ac:dyDescent="0.3">
      <c r="D2130" t="str">
        <f t="shared" si="64"/>
        <v/>
      </c>
    </row>
    <row r="2131" spans="4:4" x14ac:dyDescent="0.3">
      <c r="D2131" t="str">
        <f t="shared" si="64"/>
        <v/>
      </c>
    </row>
    <row r="2132" spans="4:4" x14ac:dyDescent="0.3">
      <c r="D2132" t="str">
        <f t="shared" si="64"/>
        <v/>
      </c>
    </row>
    <row r="2133" spans="4:4" x14ac:dyDescent="0.3">
      <c r="D2133" t="str">
        <f t="shared" si="64"/>
        <v/>
      </c>
    </row>
    <row r="2134" spans="4:4" x14ac:dyDescent="0.3">
      <c r="D2134" t="str">
        <f t="shared" si="64"/>
        <v/>
      </c>
    </row>
    <row r="2135" spans="4:4" x14ac:dyDescent="0.3">
      <c r="D2135" t="str">
        <f t="shared" si="64"/>
        <v/>
      </c>
    </row>
    <row r="2136" spans="4:4" x14ac:dyDescent="0.3">
      <c r="D2136" t="str">
        <f t="shared" si="64"/>
        <v/>
      </c>
    </row>
    <row r="2137" spans="4:4" x14ac:dyDescent="0.3">
      <c r="D2137" t="str">
        <f t="shared" si="64"/>
        <v/>
      </c>
    </row>
    <row r="2138" spans="4:4" x14ac:dyDescent="0.3">
      <c r="D2138" t="str">
        <f t="shared" si="64"/>
        <v/>
      </c>
    </row>
    <row r="2139" spans="4:4" x14ac:dyDescent="0.3">
      <c r="D2139" t="str">
        <f t="shared" si="64"/>
        <v/>
      </c>
    </row>
    <row r="2140" spans="4:4" x14ac:dyDescent="0.3">
      <c r="D2140" t="str">
        <f t="shared" si="64"/>
        <v/>
      </c>
    </row>
    <row r="2141" spans="4:4" x14ac:dyDescent="0.3">
      <c r="D2141" t="str">
        <f t="shared" si="64"/>
        <v/>
      </c>
    </row>
    <row r="2142" spans="4:4" x14ac:dyDescent="0.3">
      <c r="D2142" t="str">
        <f t="shared" si="64"/>
        <v/>
      </c>
    </row>
    <row r="2143" spans="4:4" x14ac:dyDescent="0.3">
      <c r="D2143" t="str">
        <f t="shared" si="64"/>
        <v/>
      </c>
    </row>
    <row r="2144" spans="4:4" x14ac:dyDescent="0.3">
      <c r="D2144" t="str">
        <f t="shared" si="64"/>
        <v/>
      </c>
    </row>
    <row r="2145" spans="4:4" x14ac:dyDescent="0.3">
      <c r="D2145" t="str">
        <f t="shared" si="64"/>
        <v/>
      </c>
    </row>
    <row r="2146" spans="4:4" x14ac:dyDescent="0.3">
      <c r="D2146" t="str">
        <f t="shared" si="64"/>
        <v/>
      </c>
    </row>
    <row r="2147" spans="4:4" x14ac:dyDescent="0.3">
      <c r="D2147" t="str">
        <f t="shared" si="64"/>
        <v/>
      </c>
    </row>
    <row r="2148" spans="4:4" x14ac:dyDescent="0.3">
      <c r="D2148" t="str">
        <f t="shared" si="64"/>
        <v/>
      </c>
    </row>
    <row r="2149" spans="4:4" x14ac:dyDescent="0.3">
      <c r="D2149" t="str">
        <f t="shared" si="64"/>
        <v/>
      </c>
    </row>
    <row r="2150" spans="4:4" x14ac:dyDescent="0.3">
      <c r="D2150" t="str">
        <f t="shared" si="64"/>
        <v/>
      </c>
    </row>
    <row r="2151" spans="4:4" x14ac:dyDescent="0.3">
      <c r="D2151" t="str">
        <f t="shared" si="64"/>
        <v/>
      </c>
    </row>
    <row r="2152" spans="4:4" x14ac:dyDescent="0.3">
      <c r="D2152" t="str">
        <f t="shared" si="64"/>
        <v/>
      </c>
    </row>
    <row r="2153" spans="4:4" x14ac:dyDescent="0.3">
      <c r="D2153" t="str">
        <f t="shared" si="64"/>
        <v/>
      </c>
    </row>
    <row r="2154" spans="4:4" x14ac:dyDescent="0.3">
      <c r="D2154" t="str">
        <f t="shared" si="64"/>
        <v/>
      </c>
    </row>
    <row r="2155" spans="4:4" x14ac:dyDescent="0.3">
      <c r="D2155" t="str">
        <f t="shared" si="64"/>
        <v/>
      </c>
    </row>
    <row r="2156" spans="4:4" x14ac:dyDescent="0.3">
      <c r="D2156" t="str">
        <f t="shared" si="64"/>
        <v/>
      </c>
    </row>
    <row r="2157" spans="4:4" x14ac:dyDescent="0.3">
      <c r="D2157" t="str">
        <f t="shared" si="64"/>
        <v/>
      </c>
    </row>
    <row r="2158" spans="4:4" x14ac:dyDescent="0.3">
      <c r="D2158" t="str">
        <f t="shared" si="64"/>
        <v/>
      </c>
    </row>
    <row r="2159" spans="4:4" x14ac:dyDescent="0.3">
      <c r="D2159" t="str">
        <f t="shared" si="64"/>
        <v/>
      </c>
    </row>
    <row r="2160" spans="4:4" x14ac:dyDescent="0.3">
      <c r="D2160" t="str">
        <f t="shared" si="64"/>
        <v/>
      </c>
    </row>
    <row r="2161" spans="4:4" x14ac:dyDescent="0.3">
      <c r="D2161" t="str">
        <f t="shared" si="64"/>
        <v/>
      </c>
    </row>
    <row r="2162" spans="4:4" x14ac:dyDescent="0.3">
      <c r="D2162" t="str">
        <f t="shared" si="64"/>
        <v/>
      </c>
    </row>
    <row r="2163" spans="4:4" x14ac:dyDescent="0.3">
      <c r="D2163" t="str">
        <f t="shared" si="64"/>
        <v/>
      </c>
    </row>
    <row r="2164" spans="4:4" x14ac:dyDescent="0.3">
      <c r="D2164" t="str">
        <f t="shared" si="64"/>
        <v/>
      </c>
    </row>
    <row r="2165" spans="4:4" x14ac:dyDescent="0.3">
      <c r="D2165" t="str">
        <f t="shared" si="64"/>
        <v/>
      </c>
    </row>
    <row r="2166" spans="4:4" x14ac:dyDescent="0.3">
      <c r="D2166" t="str">
        <f t="shared" si="64"/>
        <v/>
      </c>
    </row>
    <row r="2167" spans="4:4" x14ac:dyDescent="0.3">
      <c r="D2167" t="str">
        <f t="shared" si="64"/>
        <v/>
      </c>
    </row>
    <row r="2168" spans="4:4" x14ac:dyDescent="0.3">
      <c r="D2168" t="str">
        <f t="shared" si="64"/>
        <v/>
      </c>
    </row>
    <row r="2169" spans="4:4" x14ac:dyDescent="0.3">
      <c r="D2169" t="str">
        <f t="shared" si="64"/>
        <v/>
      </c>
    </row>
    <row r="2170" spans="4:4" x14ac:dyDescent="0.3">
      <c r="D2170" t="str">
        <f t="shared" ref="D2170:D2233" si="65">IF(LEFT(A2170,2)="SP",MID(A2170,4,4),IF(LEFT(A2170,1)="X",MID(A2170,3,4),""))</f>
        <v/>
      </c>
    </row>
    <row r="2171" spans="4:4" x14ac:dyDescent="0.3">
      <c r="D2171" t="str">
        <f t="shared" si="65"/>
        <v/>
      </c>
    </row>
    <row r="2172" spans="4:4" x14ac:dyDescent="0.3">
      <c r="D2172" t="str">
        <f t="shared" si="65"/>
        <v/>
      </c>
    </row>
    <row r="2173" spans="4:4" x14ac:dyDescent="0.3">
      <c r="D2173" t="str">
        <f t="shared" si="65"/>
        <v/>
      </c>
    </row>
    <row r="2174" spans="4:4" x14ac:dyDescent="0.3">
      <c r="D2174" t="str">
        <f t="shared" si="65"/>
        <v/>
      </c>
    </row>
    <row r="2175" spans="4:4" x14ac:dyDescent="0.3">
      <c r="D2175" t="str">
        <f t="shared" si="65"/>
        <v/>
      </c>
    </row>
    <row r="2176" spans="4:4" x14ac:dyDescent="0.3">
      <c r="D2176" t="str">
        <f t="shared" si="65"/>
        <v/>
      </c>
    </row>
    <row r="2177" spans="4:4" x14ac:dyDescent="0.3">
      <c r="D2177" t="str">
        <f t="shared" si="65"/>
        <v/>
      </c>
    </row>
    <row r="2178" spans="4:4" x14ac:dyDescent="0.3">
      <c r="D2178" t="str">
        <f t="shared" si="65"/>
        <v/>
      </c>
    </row>
    <row r="2179" spans="4:4" x14ac:dyDescent="0.3">
      <c r="D2179" t="str">
        <f t="shared" si="65"/>
        <v/>
      </c>
    </row>
    <row r="2180" spans="4:4" x14ac:dyDescent="0.3">
      <c r="D2180" t="str">
        <f t="shared" si="65"/>
        <v/>
      </c>
    </row>
    <row r="2181" spans="4:4" x14ac:dyDescent="0.3">
      <c r="D2181" t="str">
        <f t="shared" si="65"/>
        <v/>
      </c>
    </row>
    <row r="2182" spans="4:4" x14ac:dyDescent="0.3">
      <c r="D2182" t="str">
        <f t="shared" si="65"/>
        <v/>
      </c>
    </row>
    <row r="2183" spans="4:4" x14ac:dyDescent="0.3">
      <c r="D2183" t="str">
        <f t="shared" si="65"/>
        <v/>
      </c>
    </row>
    <row r="2184" spans="4:4" x14ac:dyDescent="0.3">
      <c r="D2184" t="str">
        <f t="shared" si="65"/>
        <v/>
      </c>
    </row>
    <row r="2185" spans="4:4" x14ac:dyDescent="0.3">
      <c r="D2185" t="str">
        <f t="shared" si="65"/>
        <v/>
      </c>
    </row>
    <row r="2186" spans="4:4" x14ac:dyDescent="0.3">
      <c r="D2186" t="str">
        <f t="shared" si="65"/>
        <v/>
      </c>
    </row>
    <row r="2187" spans="4:4" x14ac:dyDescent="0.3">
      <c r="D2187" t="str">
        <f t="shared" si="65"/>
        <v/>
      </c>
    </row>
    <row r="2188" spans="4:4" x14ac:dyDescent="0.3">
      <c r="D2188" t="str">
        <f t="shared" si="65"/>
        <v/>
      </c>
    </row>
    <row r="2189" spans="4:4" x14ac:dyDescent="0.3">
      <c r="D2189" t="str">
        <f t="shared" si="65"/>
        <v/>
      </c>
    </row>
    <row r="2190" spans="4:4" x14ac:dyDescent="0.3">
      <c r="D2190" t="str">
        <f t="shared" si="65"/>
        <v/>
      </c>
    </row>
    <row r="2191" spans="4:4" x14ac:dyDescent="0.3">
      <c r="D2191" t="str">
        <f t="shared" si="65"/>
        <v/>
      </c>
    </row>
    <row r="2192" spans="4:4" x14ac:dyDescent="0.3">
      <c r="D2192" t="str">
        <f t="shared" si="65"/>
        <v/>
      </c>
    </row>
    <row r="2193" spans="4:4" x14ac:dyDescent="0.3">
      <c r="D2193" t="str">
        <f t="shared" si="65"/>
        <v/>
      </c>
    </row>
    <row r="2194" spans="4:4" x14ac:dyDescent="0.3">
      <c r="D2194" t="str">
        <f t="shared" si="65"/>
        <v/>
      </c>
    </row>
    <row r="2195" spans="4:4" x14ac:dyDescent="0.3">
      <c r="D2195" t="str">
        <f t="shared" si="65"/>
        <v/>
      </c>
    </row>
    <row r="2196" spans="4:4" x14ac:dyDescent="0.3">
      <c r="D2196" t="str">
        <f t="shared" si="65"/>
        <v/>
      </c>
    </row>
    <row r="2197" spans="4:4" x14ac:dyDescent="0.3">
      <c r="D2197" t="str">
        <f t="shared" si="65"/>
        <v/>
      </c>
    </row>
    <row r="2198" spans="4:4" x14ac:dyDescent="0.3">
      <c r="D2198" t="str">
        <f t="shared" si="65"/>
        <v/>
      </c>
    </row>
    <row r="2199" spans="4:4" x14ac:dyDescent="0.3">
      <c r="D2199" t="str">
        <f t="shared" si="65"/>
        <v/>
      </c>
    </row>
    <row r="2200" spans="4:4" x14ac:dyDescent="0.3">
      <c r="D2200" t="str">
        <f t="shared" si="65"/>
        <v/>
      </c>
    </row>
    <row r="2201" spans="4:4" x14ac:dyDescent="0.3">
      <c r="D2201" t="str">
        <f t="shared" si="65"/>
        <v/>
      </c>
    </row>
    <row r="2202" spans="4:4" x14ac:dyDescent="0.3">
      <c r="D2202" t="str">
        <f t="shared" si="65"/>
        <v/>
      </c>
    </row>
    <row r="2203" spans="4:4" x14ac:dyDescent="0.3">
      <c r="D2203" t="str">
        <f t="shared" si="65"/>
        <v/>
      </c>
    </row>
    <row r="2204" spans="4:4" x14ac:dyDescent="0.3">
      <c r="D2204" t="str">
        <f t="shared" si="65"/>
        <v/>
      </c>
    </row>
    <row r="2205" spans="4:4" x14ac:dyDescent="0.3">
      <c r="D2205" t="str">
        <f t="shared" si="65"/>
        <v/>
      </c>
    </row>
    <row r="2206" spans="4:4" x14ac:dyDescent="0.3">
      <c r="D2206" t="str">
        <f t="shared" si="65"/>
        <v/>
      </c>
    </row>
    <row r="2207" spans="4:4" x14ac:dyDescent="0.3">
      <c r="D2207" t="str">
        <f t="shared" si="65"/>
        <v/>
      </c>
    </row>
    <row r="2208" spans="4:4" x14ac:dyDescent="0.3">
      <c r="D2208" t="str">
        <f t="shared" si="65"/>
        <v/>
      </c>
    </row>
    <row r="2209" spans="4:4" x14ac:dyDescent="0.3">
      <c r="D2209" t="str">
        <f t="shared" si="65"/>
        <v/>
      </c>
    </row>
    <row r="2210" spans="4:4" x14ac:dyDescent="0.3">
      <c r="D2210" t="str">
        <f t="shared" si="65"/>
        <v/>
      </c>
    </row>
    <row r="2211" spans="4:4" x14ac:dyDescent="0.3">
      <c r="D2211" t="str">
        <f t="shared" si="65"/>
        <v/>
      </c>
    </row>
    <row r="2212" spans="4:4" x14ac:dyDescent="0.3">
      <c r="D2212" t="str">
        <f t="shared" si="65"/>
        <v/>
      </c>
    </row>
    <row r="2213" spans="4:4" x14ac:dyDescent="0.3">
      <c r="D2213" t="str">
        <f t="shared" si="65"/>
        <v/>
      </c>
    </row>
    <row r="2214" spans="4:4" x14ac:dyDescent="0.3">
      <c r="D2214" t="str">
        <f t="shared" si="65"/>
        <v/>
      </c>
    </row>
    <row r="2215" spans="4:4" x14ac:dyDescent="0.3">
      <c r="D2215" t="str">
        <f t="shared" si="65"/>
        <v/>
      </c>
    </row>
    <row r="2216" spans="4:4" x14ac:dyDescent="0.3">
      <c r="D2216" t="str">
        <f t="shared" si="65"/>
        <v/>
      </c>
    </row>
    <row r="2217" spans="4:4" x14ac:dyDescent="0.3">
      <c r="D2217" t="str">
        <f t="shared" si="65"/>
        <v/>
      </c>
    </row>
    <row r="2218" spans="4:4" x14ac:dyDescent="0.3">
      <c r="D2218" t="str">
        <f t="shared" si="65"/>
        <v/>
      </c>
    </row>
    <row r="2219" spans="4:4" x14ac:dyDescent="0.3">
      <c r="D2219" t="str">
        <f t="shared" si="65"/>
        <v/>
      </c>
    </row>
    <row r="2220" spans="4:4" x14ac:dyDescent="0.3">
      <c r="D2220" t="str">
        <f t="shared" si="65"/>
        <v/>
      </c>
    </row>
    <row r="2221" spans="4:4" x14ac:dyDescent="0.3">
      <c r="D2221" t="str">
        <f t="shared" si="65"/>
        <v/>
      </c>
    </row>
    <row r="2222" spans="4:4" x14ac:dyDescent="0.3">
      <c r="D2222" t="str">
        <f t="shared" si="65"/>
        <v/>
      </c>
    </row>
    <row r="2223" spans="4:4" x14ac:dyDescent="0.3">
      <c r="D2223" t="str">
        <f t="shared" si="65"/>
        <v/>
      </c>
    </row>
    <row r="2224" spans="4:4" x14ac:dyDescent="0.3">
      <c r="D2224" t="str">
        <f t="shared" si="65"/>
        <v/>
      </c>
    </row>
    <row r="2225" spans="4:4" x14ac:dyDescent="0.3">
      <c r="D2225" t="str">
        <f t="shared" si="65"/>
        <v/>
      </c>
    </row>
    <row r="2226" spans="4:4" x14ac:dyDescent="0.3">
      <c r="D2226" t="str">
        <f t="shared" si="65"/>
        <v/>
      </c>
    </row>
    <row r="2227" spans="4:4" x14ac:dyDescent="0.3">
      <c r="D2227" t="str">
        <f t="shared" si="65"/>
        <v/>
      </c>
    </row>
    <row r="2228" spans="4:4" x14ac:dyDescent="0.3">
      <c r="D2228" t="str">
        <f t="shared" si="65"/>
        <v/>
      </c>
    </row>
    <row r="2229" spans="4:4" x14ac:dyDescent="0.3">
      <c r="D2229" t="str">
        <f t="shared" si="65"/>
        <v/>
      </c>
    </row>
    <row r="2230" spans="4:4" x14ac:dyDescent="0.3">
      <c r="D2230" t="str">
        <f t="shared" si="65"/>
        <v/>
      </c>
    </row>
    <row r="2231" spans="4:4" x14ac:dyDescent="0.3">
      <c r="D2231" t="str">
        <f t="shared" si="65"/>
        <v/>
      </c>
    </row>
    <row r="2232" spans="4:4" x14ac:dyDescent="0.3">
      <c r="D2232" t="str">
        <f t="shared" si="65"/>
        <v/>
      </c>
    </row>
    <row r="2233" spans="4:4" x14ac:dyDescent="0.3">
      <c r="D2233" t="str">
        <f t="shared" si="65"/>
        <v/>
      </c>
    </row>
    <row r="2234" spans="4:4" x14ac:dyDescent="0.3">
      <c r="D2234" t="str">
        <f t="shared" ref="D2234:D2297" si="66">IF(LEFT(A2234,2)="SP",MID(A2234,4,4),IF(LEFT(A2234,1)="X",MID(A2234,3,4),""))</f>
        <v/>
      </c>
    </row>
    <row r="2235" spans="4:4" x14ac:dyDescent="0.3">
      <c r="D2235" t="str">
        <f t="shared" si="66"/>
        <v/>
      </c>
    </row>
    <row r="2236" spans="4:4" x14ac:dyDescent="0.3">
      <c r="D2236" t="str">
        <f t="shared" si="66"/>
        <v/>
      </c>
    </row>
    <row r="2237" spans="4:4" x14ac:dyDescent="0.3">
      <c r="D2237" t="str">
        <f t="shared" si="66"/>
        <v/>
      </c>
    </row>
    <row r="2238" spans="4:4" x14ac:dyDescent="0.3">
      <c r="D2238" t="str">
        <f t="shared" si="66"/>
        <v/>
      </c>
    </row>
    <row r="2239" spans="4:4" x14ac:dyDescent="0.3">
      <c r="D2239" t="str">
        <f t="shared" si="66"/>
        <v/>
      </c>
    </row>
    <row r="2240" spans="4:4" x14ac:dyDescent="0.3">
      <c r="D2240" t="str">
        <f t="shared" si="66"/>
        <v/>
      </c>
    </row>
    <row r="2241" spans="4:4" x14ac:dyDescent="0.3">
      <c r="D2241" t="str">
        <f t="shared" si="66"/>
        <v/>
      </c>
    </row>
    <row r="2242" spans="4:4" x14ac:dyDescent="0.3">
      <c r="D2242" t="str">
        <f t="shared" si="66"/>
        <v/>
      </c>
    </row>
    <row r="2243" spans="4:4" x14ac:dyDescent="0.3">
      <c r="D2243" t="str">
        <f t="shared" si="66"/>
        <v/>
      </c>
    </row>
    <row r="2244" spans="4:4" x14ac:dyDescent="0.3">
      <c r="D2244" t="str">
        <f t="shared" si="66"/>
        <v/>
      </c>
    </row>
    <row r="2245" spans="4:4" x14ac:dyDescent="0.3">
      <c r="D2245" t="str">
        <f t="shared" si="66"/>
        <v/>
      </c>
    </row>
    <row r="2246" spans="4:4" x14ac:dyDescent="0.3">
      <c r="D2246" t="str">
        <f t="shared" si="66"/>
        <v/>
      </c>
    </row>
    <row r="2247" spans="4:4" x14ac:dyDescent="0.3">
      <c r="D2247" t="str">
        <f t="shared" si="66"/>
        <v/>
      </c>
    </row>
    <row r="2248" spans="4:4" x14ac:dyDescent="0.3">
      <c r="D2248" t="str">
        <f t="shared" si="66"/>
        <v/>
      </c>
    </row>
    <row r="2249" spans="4:4" x14ac:dyDescent="0.3">
      <c r="D2249" t="str">
        <f t="shared" si="66"/>
        <v/>
      </c>
    </row>
    <row r="2250" spans="4:4" x14ac:dyDescent="0.3">
      <c r="D2250" t="str">
        <f t="shared" si="66"/>
        <v/>
      </c>
    </row>
    <row r="2251" spans="4:4" x14ac:dyDescent="0.3">
      <c r="D2251" t="str">
        <f t="shared" si="66"/>
        <v/>
      </c>
    </row>
    <row r="2252" spans="4:4" x14ac:dyDescent="0.3">
      <c r="D2252" t="str">
        <f t="shared" si="66"/>
        <v/>
      </c>
    </row>
    <row r="2253" spans="4:4" x14ac:dyDescent="0.3">
      <c r="D2253" t="str">
        <f t="shared" si="66"/>
        <v/>
      </c>
    </row>
    <row r="2254" spans="4:4" x14ac:dyDescent="0.3">
      <c r="D2254" t="str">
        <f t="shared" si="66"/>
        <v/>
      </c>
    </row>
    <row r="2255" spans="4:4" x14ac:dyDescent="0.3">
      <c r="D2255" t="str">
        <f t="shared" si="66"/>
        <v/>
      </c>
    </row>
    <row r="2256" spans="4:4" x14ac:dyDescent="0.3">
      <c r="D2256" t="str">
        <f t="shared" si="66"/>
        <v/>
      </c>
    </row>
    <row r="2257" spans="4:4" x14ac:dyDescent="0.3">
      <c r="D2257" t="str">
        <f t="shared" si="66"/>
        <v/>
      </c>
    </row>
    <row r="2258" spans="4:4" x14ac:dyDescent="0.3">
      <c r="D2258" t="str">
        <f t="shared" si="66"/>
        <v/>
      </c>
    </row>
    <row r="2259" spans="4:4" x14ac:dyDescent="0.3">
      <c r="D2259" t="str">
        <f t="shared" si="66"/>
        <v/>
      </c>
    </row>
    <row r="2260" spans="4:4" x14ac:dyDescent="0.3">
      <c r="D2260" t="str">
        <f t="shared" si="66"/>
        <v/>
      </c>
    </row>
    <row r="2261" spans="4:4" x14ac:dyDescent="0.3">
      <c r="D2261" t="str">
        <f t="shared" si="66"/>
        <v/>
      </c>
    </row>
    <row r="2262" spans="4:4" x14ac:dyDescent="0.3">
      <c r="D2262" t="str">
        <f t="shared" si="66"/>
        <v/>
      </c>
    </row>
    <row r="2263" spans="4:4" x14ac:dyDescent="0.3">
      <c r="D2263" t="str">
        <f t="shared" si="66"/>
        <v/>
      </c>
    </row>
    <row r="2264" spans="4:4" x14ac:dyDescent="0.3">
      <c r="D2264" t="str">
        <f t="shared" si="66"/>
        <v/>
      </c>
    </row>
    <row r="2265" spans="4:4" x14ac:dyDescent="0.3">
      <c r="D2265" t="str">
        <f t="shared" si="66"/>
        <v/>
      </c>
    </row>
    <row r="2266" spans="4:4" x14ac:dyDescent="0.3">
      <c r="D2266" t="str">
        <f t="shared" si="66"/>
        <v/>
      </c>
    </row>
    <row r="2267" spans="4:4" x14ac:dyDescent="0.3">
      <c r="D2267" t="str">
        <f t="shared" si="66"/>
        <v/>
      </c>
    </row>
    <row r="2268" spans="4:4" x14ac:dyDescent="0.3">
      <c r="D2268" t="str">
        <f t="shared" si="66"/>
        <v/>
      </c>
    </row>
    <row r="2269" spans="4:4" x14ac:dyDescent="0.3">
      <c r="D2269" t="str">
        <f t="shared" si="66"/>
        <v/>
      </c>
    </row>
    <row r="2270" spans="4:4" x14ac:dyDescent="0.3">
      <c r="D2270" t="str">
        <f t="shared" si="66"/>
        <v/>
      </c>
    </row>
    <row r="2271" spans="4:4" x14ac:dyDescent="0.3">
      <c r="D2271" t="str">
        <f t="shared" si="66"/>
        <v/>
      </c>
    </row>
    <row r="2272" spans="4:4" x14ac:dyDescent="0.3">
      <c r="D2272" t="str">
        <f t="shared" si="66"/>
        <v/>
      </c>
    </row>
    <row r="2273" spans="4:4" x14ac:dyDescent="0.3">
      <c r="D2273" t="str">
        <f t="shared" si="66"/>
        <v/>
      </c>
    </row>
    <row r="2274" spans="4:4" x14ac:dyDescent="0.3">
      <c r="D2274" t="str">
        <f t="shared" si="66"/>
        <v/>
      </c>
    </row>
    <row r="2275" spans="4:4" x14ac:dyDescent="0.3">
      <c r="D2275" t="str">
        <f t="shared" si="66"/>
        <v/>
      </c>
    </row>
    <row r="2276" spans="4:4" x14ac:dyDescent="0.3">
      <c r="D2276" t="str">
        <f t="shared" si="66"/>
        <v/>
      </c>
    </row>
    <row r="2277" spans="4:4" x14ac:dyDescent="0.3">
      <c r="D2277" t="str">
        <f t="shared" si="66"/>
        <v/>
      </c>
    </row>
    <row r="2278" spans="4:4" x14ac:dyDescent="0.3">
      <c r="D2278" t="str">
        <f t="shared" si="66"/>
        <v/>
      </c>
    </row>
    <row r="2279" spans="4:4" x14ac:dyDescent="0.3">
      <c r="D2279" t="str">
        <f t="shared" si="66"/>
        <v/>
      </c>
    </row>
    <row r="2280" spans="4:4" x14ac:dyDescent="0.3">
      <c r="D2280" t="str">
        <f t="shared" si="66"/>
        <v/>
      </c>
    </row>
    <row r="2281" spans="4:4" x14ac:dyDescent="0.3">
      <c r="D2281" t="str">
        <f t="shared" si="66"/>
        <v/>
      </c>
    </row>
    <row r="2282" spans="4:4" x14ac:dyDescent="0.3">
      <c r="D2282" t="str">
        <f t="shared" si="66"/>
        <v/>
      </c>
    </row>
    <row r="2283" spans="4:4" x14ac:dyDescent="0.3">
      <c r="D2283" t="str">
        <f t="shared" si="66"/>
        <v/>
      </c>
    </row>
    <row r="2284" spans="4:4" x14ac:dyDescent="0.3">
      <c r="D2284" t="str">
        <f t="shared" si="66"/>
        <v/>
      </c>
    </row>
    <row r="2285" spans="4:4" x14ac:dyDescent="0.3">
      <c r="D2285" t="str">
        <f t="shared" si="66"/>
        <v/>
      </c>
    </row>
    <row r="2286" spans="4:4" x14ac:dyDescent="0.3">
      <c r="D2286" t="str">
        <f t="shared" si="66"/>
        <v/>
      </c>
    </row>
    <row r="2287" spans="4:4" x14ac:dyDescent="0.3">
      <c r="D2287" t="str">
        <f t="shared" si="66"/>
        <v/>
      </c>
    </row>
    <row r="2288" spans="4:4" x14ac:dyDescent="0.3">
      <c r="D2288" t="str">
        <f t="shared" si="66"/>
        <v/>
      </c>
    </row>
    <row r="2289" spans="4:4" x14ac:dyDescent="0.3">
      <c r="D2289" t="str">
        <f t="shared" si="66"/>
        <v/>
      </c>
    </row>
    <row r="2290" spans="4:4" x14ac:dyDescent="0.3">
      <c r="D2290" t="str">
        <f t="shared" si="66"/>
        <v/>
      </c>
    </row>
    <row r="2291" spans="4:4" x14ac:dyDescent="0.3">
      <c r="D2291" t="str">
        <f t="shared" si="66"/>
        <v/>
      </c>
    </row>
    <row r="2292" spans="4:4" x14ac:dyDescent="0.3">
      <c r="D2292" t="str">
        <f t="shared" si="66"/>
        <v/>
      </c>
    </row>
    <row r="2293" spans="4:4" x14ac:dyDescent="0.3">
      <c r="D2293" t="str">
        <f t="shared" si="66"/>
        <v/>
      </c>
    </row>
    <row r="2294" spans="4:4" x14ac:dyDescent="0.3">
      <c r="D2294" t="str">
        <f t="shared" si="66"/>
        <v/>
      </c>
    </row>
    <row r="2295" spans="4:4" x14ac:dyDescent="0.3">
      <c r="D2295" t="str">
        <f t="shared" si="66"/>
        <v/>
      </c>
    </row>
    <row r="2296" spans="4:4" x14ac:dyDescent="0.3">
      <c r="D2296" t="str">
        <f t="shared" si="66"/>
        <v/>
      </c>
    </row>
    <row r="2297" spans="4:4" x14ac:dyDescent="0.3">
      <c r="D2297" t="str">
        <f t="shared" si="66"/>
        <v/>
      </c>
    </row>
    <row r="2298" spans="4:4" x14ac:dyDescent="0.3">
      <c r="D2298" t="str">
        <f t="shared" ref="D2298:D2361" si="67">IF(LEFT(A2298,2)="SP",MID(A2298,4,4),IF(LEFT(A2298,1)="X",MID(A2298,3,4),""))</f>
        <v/>
      </c>
    </row>
    <row r="2299" spans="4:4" x14ac:dyDescent="0.3">
      <c r="D2299" t="str">
        <f t="shared" si="67"/>
        <v/>
      </c>
    </row>
    <row r="2300" spans="4:4" x14ac:dyDescent="0.3">
      <c r="D2300" t="str">
        <f t="shared" si="67"/>
        <v/>
      </c>
    </row>
    <row r="2301" spans="4:4" x14ac:dyDescent="0.3">
      <c r="D2301" t="str">
        <f t="shared" si="67"/>
        <v/>
      </c>
    </row>
    <row r="2302" spans="4:4" x14ac:dyDescent="0.3">
      <c r="D2302" t="str">
        <f t="shared" si="67"/>
        <v/>
      </c>
    </row>
    <row r="2303" spans="4:4" x14ac:dyDescent="0.3">
      <c r="D2303" t="str">
        <f t="shared" si="67"/>
        <v/>
      </c>
    </row>
    <row r="2304" spans="4:4" x14ac:dyDescent="0.3">
      <c r="D2304" t="str">
        <f t="shared" si="67"/>
        <v/>
      </c>
    </row>
    <row r="2305" spans="4:4" x14ac:dyDescent="0.3">
      <c r="D2305" t="str">
        <f t="shared" si="67"/>
        <v/>
      </c>
    </row>
    <row r="2306" spans="4:4" x14ac:dyDescent="0.3">
      <c r="D2306" t="str">
        <f t="shared" si="67"/>
        <v/>
      </c>
    </row>
    <row r="2307" spans="4:4" x14ac:dyDescent="0.3">
      <c r="D2307" t="str">
        <f t="shared" si="67"/>
        <v/>
      </c>
    </row>
    <row r="2308" spans="4:4" x14ac:dyDescent="0.3">
      <c r="D2308" t="str">
        <f t="shared" si="67"/>
        <v/>
      </c>
    </row>
    <row r="2309" spans="4:4" x14ac:dyDescent="0.3">
      <c r="D2309" t="str">
        <f t="shared" si="67"/>
        <v/>
      </c>
    </row>
    <row r="2310" spans="4:4" x14ac:dyDescent="0.3">
      <c r="D2310" t="str">
        <f t="shared" si="67"/>
        <v/>
      </c>
    </row>
    <row r="2311" spans="4:4" x14ac:dyDescent="0.3">
      <c r="D2311" t="str">
        <f t="shared" si="67"/>
        <v/>
      </c>
    </row>
    <row r="2312" spans="4:4" x14ac:dyDescent="0.3">
      <c r="D2312" t="str">
        <f t="shared" si="67"/>
        <v/>
      </c>
    </row>
    <row r="2313" spans="4:4" x14ac:dyDescent="0.3">
      <c r="D2313" t="str">
        <f t="shared" si="67"/>
        <v/>
      </c>
    </row>
    <row r="2314" spans="4:4" x14ac:dyDescent="0.3">
      <c r="D2314" t="str">
        <f t="shared" si="67"/>
        <v/>
      </c>
    </row>
    <row r="2315" spans="4:4" x14ac:dyDescent="0.3">
      <c r="D2315" t="str">
        <f t="shared" si="67"/>
        <v/>
      </c>
    </row>
    <row r="2316" spans="4:4" x14ac:dyDescent="0.3">
      <c r="D2316" t="str">
        <f t="shared" si="67"/>
        <v/>
      </c>
    </row>
    <row r="2317" spans="4:4" x14ac:dyDescent="0.3">
      <c r="D2317" t="str">
        <f t="shared" si="67"/>
        <v/>
      </c>
    </row>
    <row r="2318" spans="4:4" x14ac:dyDescent="0.3">
      <c r="D2318" t="str">
        <f t="shared" si="67"/>
        <v/>
      </c>
    </row>
    <row r="2319" spans="4:4" x14ac:dyDescent="0.3">
      <c r="D2319" t="str">
        <f t="shared" si="67"/>
        <v/>
      </c>
    </row>
    <row r="2320" spans="4:4" x14ac:dyDescent="0.3">
      <c r="D2320" t="str">
        <f t="shared" si="67"/>
        <v/>
      </c>
    </row>
    <row r="2321" spans="4:4" x14ac:dyDescent="0.3">
      <c r="D2321" t="str">
        <f t="shared" si="67"/>
        <v/>
      </c>
    </row>
    <row r="2322" spans="4:4" x14ac:dyDescent="0.3">
      <c r="D2322" t="str">
        <f t="shared" si="67"/>
        <v/>
      </c>
    </row>
    <row r="2323" spans="4:4" x14ac:dyDescent="0.3">
      <c r="D2323" t="str">
        <f t="shared" si="67"/>
        <v/>
      </c>
    </row>
    <row r="2324" spans="4:4" x14ac:dyDescent="0.3">
      <c r="D2324" t="str">
        <f t="shared" si="67"/>
        <v/>
      </c>
    </row>
    <row r="2325" spans="4:4" x14ac:dyDescent="0.3">
      <c r="D2325" t="str">
        <f t="shared" si="67"/>
        <v/>
      </c>
    </row>
    <row r="2326" spans="4:4" x14ac:dyDescent="0.3">
      <c r="D2326" t="str">
        <f t="shared" si="67"/>
        <v/>
      </c>
    </row>
    <row r="2327" spans="4:4" x14ac:dyDescent="0.3">
      <c r="D2327" t="str">
        <f t="shared" si="67"/>
        <v/>
      </c>
    </row>
    <row r="2328" spans="4:4" x14ac:dyDescent="0.3">
      <c r="D2328" t="str">
        <f t="shared" si="67"/>
        <v/>
      </c>
    </row>
    <row r="2329" spans="4:4" x14ac:dyDescent="0.3">
      <c r="D2329" t="str">
        <f t="shared" si="67"/>
        <v/>
      </c>
    </row>
    <row r="2330" spans="4:4" x14ac:dyDescent="0.3">
      <c r="D2330" t="str">
        <f t="shared" si="67"/>
        <v/>
      </c>
    </row>
    <row r="2331" spans="4:4" x14ac:dyDescent="0.3">
      <c r="D2331" t="str">
        <f t="shared" si="67"/>
        <v/>
      </c>
    </row>
    <row r="2332" spans="4:4" x14ac:dyDescent="0.3">
      <c r="D2332" t="str">
        <f t="shared" si="67"/>
        <v/>
      </c>
    </row>
    <row r="2333" spans="4:4" x14ac:dyDescent="0.3">
      <c r="D2333" t="str">
        <f t="shared" si="67"/>
        <v/>
      </c>
    </row>
    <row r="2334" spans="4:4" x14ac:dyDescent="0.3">
      <c r="D2334" t="str">
        <f t="shared" si="67"/>
        <v/>
      </c>
    </row>
    <row r="2335" spans="4:4" x14ac:dyDescent="0.3">
      <c r="D2335" t="str">
        <f t="shared" si="67"/>
        <v/>
      </c>
    </row>
    <row r="2336" spans="4:4" x14ac:dyDescent="0.3">
      <c r="D2336" t="str">
        <f t="shared" si="67"/>
        <v/>
      </c>
    </row>
    <row r="2337" spans="4:4" x14ac:dyDescent="0.3">
      <c r="D2337" t="str">
        <f t="shared" si="67"/>
        <v/>
      </c>
    </row>
    <row r="2338" spans="4:4" x14ac:dyDescent="0.3">
      <c r="D2338" t="str">
        <f t="shared" si="67"/>
        <v/>
      </c>
    </row>
    <row r="2339" spans="4:4" x14ac:dyDescent="0.3">
      <c r="D2339" t="str">
        <f t="shared" si="67"/>
        <v/>
      </c>
    </row>
    <row r="2340" spans="4:4" x14ac:dyDescent="0.3">
      <c r="D2340" t="str">
        <f t="shared" si="67"/>
        <v/>
      </c>
    </row>
    <row r="2341" spans="4:4" x14ac:dyDescent="0.3">
      <c r="D2341" t="str">
        <f t="shared" si="67"/>
        <v/>
      </c>
    </row>
    <row r="2342" spans="4:4" x14ac:dyDescent="0.3">
      <c r="D2342" t="str">
        <f t="shared" si="67"/>
        <v/>
      </c>
    </row>
    <row r="2343" spans="4:4" x14ac:dyDescent="0.3">
      <c r="D2343" t="str">
        <f t="shared" si="67"/>
        <v/>
      </c>
    </row>
    <row r="2344" spans="4:4" x14ac:dyDescent="0.3">
      <c r="D2344" t="str">
        <f t="shared" si="67"/>
        <v/>
      </c>
    </row>
    <row r="2345" spans="4:4" x14ac:dyDescent="0.3">
      <c r="D2345" t="str">
        <f t="shared" si="67"/>
        <v/>
      </c>
    </row>
    <row r="2346" spans="4:4" x14ac:dyDescent="0.3">
      <c r="D2346" t="str">
        <f t="shared" si="67"/>
        <v/>
      </c>
    </row>
    <row r="2347" spans="4:4" x14ac:dyDescent="0.3">
      <c r="D2347" t="str">
        <f t="shared" si="67"/>
        <v/>
      </c>
    </row>
    <row r="2348" spans="4:4" x14ac:dyDescent="0.3">
      <c r="D2348" t="str">
        <f t="shared" si="67"/>
        <v/>
      </c>
    </row>
    <row r="2349" spans="4:4" x14ac:dyDescent="0.3">
      <c r="D2349" t="str">
        <f t="shared" si="67"/>
        <v/>
      </c>
    </row>
    <row r="2350" spans="4:4" x14ac:dyDescent="0.3">
      <c r="D2350" t="str">
        <f t="shared" si="67"/>
        <v/>
      </c>
    </row>
    <row r="2351" spans="4:4" x14ac:dyDescent="0.3">
      <c r="D2351" t="str">
        <f t="shared" si="67"/>
        <v/>
      </c>
    </row>
    <row r="2352" spans="4:4" x14ac:dyDescent="0.3">
      <c r="D2352" t="str">
        <f t="shared" si="67"/>
        <v/>
      </c>
    </row>
    <row r="2353" spans="4:4" x14ac:dyDescent="0.3">
      <c r="D2353" t="str">
        <f t="shared" si="67"/>
        <v/>
      </c>
    </row>
    <row r="2354" spans="4:4" x14ac:dyDescent="0.3">
      <c r="D2354" t="str">
        <f t="shared" si="67"/>
        <v/>
      </c>
    </row>
    <row r="2355" spans="4:4" x14ac:dyDescent="0.3">
      <c r="D2355" t="str">
        <f t="shared" si="67"/>
        <v/>
      </c>
    </row>
    <row r="2356" spans="4:4" x14ac:dyDescent="0.3">
      <c r="D2356" t="str">
        <f t="shared" si="67"/>
        <v/>
      </c>
    </row>
    <row r="2357" spans="4:4" x14ac:dyDescent="0.3">
      <c r="D2357" t="str">
        <f t="shared" si="67"/>
        <v/>
      </c>
    </row>
    <row r="2358" spans="4:4" x14ac:dyDescent="0.3">
      <c r="D2358" t="str">
        <f t="shared" si="67"/>
        <v/>
      </c>
    </row>
    <row r="2359" spans="4:4" x14ac:dyDescent="0.3">
      <c r="D2359" t="str">
        <f t="shared" si="67"/>
        <v/>
      </c>
    </row>
    <row r="2360" spans="4:4" x14ac:dyDescent="0.3">
      <c r="D2360" t="str">
        <f t="shared" si="67"/>
        <v/>
      </c>
    </row>
    <row r="2361" spans="4:4" x14ac:dyDescent="0.3">
      <c r="D2361" t="str">
        <f t="shared" si="67"/>
        <v/>
      </c>
    </row>
    <row r="2362" spans="4:4" x14ac:dyDescent="0.3">
      <c r="D2362" t="str">
        <f t="shared" ref="D2362:D2425" si="68">IF(LEFT(A2362,2)="SP",MID(A2362,4,4),IF(LEFT(A2362,1)="X",MID(A2362,3,4),""))</f>
        <v/>
      </c>
    </row>
    <row r="2363" spans="4:4" x14ac:dyDescent="0.3">
      <c r="D2363" t="str">
        <f t="shared" si="68"/>
        <v/>
      </c>
    </row>
    <row r="2364" spans="4:4" x14ac:dyDescent="0.3">
      <c r="D2364" t="str">
        <f t="shared" si="68"/>
        <v/>
      </c>
    </row>
    <row r="2365" spans="4:4" x14ac:dyDescent="0.3">
      <c r="D2365" t="str">
        <f t="shared" si="68"/>
        <v/>
      </c>
    </row>
    <row r="2366" spans="4:4" x14ac:dyDescent="0.3">
      <c r="D2366" t="str">
        <f t="shared" si="68"/>
        <v/>
      </c>
    </row>
    <row r="2367" spans="4:4" x14ac:dyDescent="0.3">
      <c r="D2367" t="str">
        <f t="shared" si="68"/>
        <v/>
      </c>
    </row>
    <row r="2368" spans="4:4" x14ac:dyDescent="0.3">
      <c r="D2368" t="str">
        <f t="shared" si="68"/>
        <v/>
      </c>
    </row>
    <row r="2369" spans="4:4" x14ac:dyDescent="0.3">
      <c r="D2369" t="str">
        <f t="shared" si="68"/>
        <v/>
      </c>
    </row>
    <row r="2370" spans="4:4" x14ac:dyDescent="0.3">
      <c r="D2370" t="str">
        <f t="shared" si="68"/>
        <v/>
      </c>
    </row>
    <row r="2371" spans="4:4" x14ac:dyDescent="0.3">
      <c r="D2371" t="str">
        <f t="shared" si="68"/>
        <v/>
      </c>
    </row>
    <row r="2372" spans="4:4" x14ac:dyDescent="0.3">
      <c r="D2372" t="str">
        <f t="shared" si="68"/>
        <v/>
      </c>
    </row>
    <row r="2373" spans="4:4" x14ac:dyDescent="0.3">
      <c r="D2373" t="str">
        <f t="shared" si="68"/>
        <v/>
      </c>
    </row>
    <row r="2374" spans="4:4" x14ac:dyDescent="0.3">
      <c r="D2374" t="str">
        <f t="shared" si="68"/>
        <v/>
      </c>
    </row>
    <row r="2375" spans="4:4" x14ac:dyDescent="0.3">
      <c r="D2375" t="str">
        <f t="shared" si="68"/>
        <v/>
      </c>
    </row>
    <row r="2376" spans="4:4" x14ac:dyDescent="0.3">
      <c r="D2376" t="str">
        <f t="shared" si="68"/>
        <v/>
      </c>
    </row>
    <row r="2377" spans="4:4" x14ac:dyDescent="0.3">
      <c r="D2377" t="str">
        <f t="shared" si="68"/>
        <v/>
      </c>
    </row>
    <row r="2378" spans="4:4" x14ac:dyDescent="0.3">
      <c r="D2378" t="str">
        <f t="shared" si="68"/>
        <v/>
      </c>
    </row>
    <row r="2379" spans="4:4" x14ac:dyDescent="0.3">
      <c r="D2379" t="str">
        <f t="shared" si="68"/>
        <v/>
      </c>
    </row>
    <row r="2380" spans="4:4" x14ac:dyDescent="0.3">
      <c r="D2380" t="str">
        <f t="shared" si="68"/>
        <v/>
      </c>
    </row>
    <row r="2381" spans="4:4" x14ac:dyDescent="0.3">
      <c r="D2381" t="str">
        <f t="shared" si="68"/>
        <v/>
      </c>
    </row>
    <row r="2382" spans="4:4" x14ac:dyDescent="0.3">
      <c r="D2382" t="str">
        <f t="shared" si="68"/>
        <v/>
      </c>
    </row>
    <row r="2383" spans="4:4" x14ac:dyDescent="0.3">
      <c r="D2383" t="str">
        <f t="shared" si="68"/>
        <v/>
      </c>
    </row>
    <row r="2384" spans="4:4" x14ac:dyDescent="0.3">
      <c r="D2384" t="str">
        <f t="shared" si="68"/>
        <v/>
      </c>
    </row>
    <row r="2385" spans="4:4" x14ac:dyDescent="0.3">
      <c r="D2385" t="str">
        <f t="shared" si="68"/>
        <v/>
      </c>
    </row>
    <row r="2386" spans="4:4" x14ac:dyDescent="0.3">
      <c r="D2386" t="str">
        <f t="shared" si="68"/>
        <v/>
      </c>
    </row>
    <row r="2387" spans="4:4" x14ac:dyDescent="0.3">
      <c r="D2387" t="str">
        <f t="shared" si="68"/>
        <v/>
      </c>
    </row>
    <row r="2388" spans="4:4" x14ac:dyDescent="0.3">
      <c r="D2388" t="str">
        <f t="shared" si="68"/>
        <v/>
      </c>
    </row>
    <row r="2389" spans="4:4" x14ac:dyDescent="0.3">
      <c r="D2389" t="str">
        <f t="shared" si="68"/>
        <v/>
      </c>
    </row>
    <row r="2390" spans="4:4" x14ac:dyDescent="0.3">
      <c r="D2390" t="str">
        <f t="shared" si="68"/>
        <v/>
      </c>
    </row>
    <row r="2391" spans="4:4" x14ac:dyDescent="0.3">
      <c r="D2391" t="str">
        <f t="shared" si="68"/>
        <v/>
      </c>
    </row>
    <row r="2392" spans="4:4" x14ac:dyDescent="0.3">
      <c r="D2392" t="str">
        <f t="shared" si="68"/>
        <v/>
      </c>
    </row>
    <row r="2393" spans="4:4" x14ac:dyDescent="0.3">
      <c r="D2393" t="str">
        <f t="shared" si="68"/>
        <v/>
      </c>
    </row>
    <row r="2394" spans="4:4" x14ac:dyDescent="0.3">
      <c r="D2394" t="str">
        <f t="shared" si="68"/>
        <v/>
      </c>
    </row>
    <row r="2395" spans="4:4" x14ac:dyDescent="0.3">
      <c r="D2395" t="str">
        <f t="shared" si="68"/>
        <v/>
      </c>
    </row>
    <row r="2396" spans="4:4" x14ac:dyDescent="0.3">
      <c r="D2396" t="str">
        <f t="shared" si="68"/>
        <v/>
      </c>
    </row>
    <row r="2397" spans="4:4" x14ac:dyDescent="0.3">
      <c r="D2397" t="str">
        <f t="shared" si="68"/>
        <v/>
      </c>
    </row>
    <row r="2398" spans="4:4" x14ac:dyDescent="0.3">
      <c r="D2398" t="str">
        <f t="shared" si="68"/>
        <v/>
      </c>
    </row>
    <row r="2399" spans="4:4" x14ac:dyDescent="0.3">
      <c r="D2399" t="str">
        <f t="shared" si="68"/>
        <v/>
      </c>
    </row>
    <row r="2400" spans="4:4" x14ac:dyDescent="0.3">
      <c r="D2400" t="str">
        <f t="shared" si="68"/>
        <v/>
      </c>
    </row>
    <row r="2401" spans="4:4" x14ac:dyDescent="0.3">
      <c r="D2401" t="str">
        <f t="shared" si="68"/>
        <v/>
      </c>
    </row>
    <row r="2402" spans="4:4" x14ac:dyDescent="0.3">
      <c r="D2402" t="str">
        <f t="shared" si="68"/>
        <v/>
      </c>
    </row>
    <row r="2403" spans="4:4" x14ac:dyDescent="0.3">
      <c r="D2403" t="str">
        <f t="shared" si="68"/>
        <v/>
      </c>
    </row>
    <row r="2404" spans="4:4" x14ac:dyDescent="0.3">
      <c r="D2404" t="str">
        <f t="shared" si="68"/>
        <v/>
      </c>
    </row>
    <row r="2405" spans="4:4" x14ac:dyDescent="0.3">
      <c r="D2405" t="str">
        <f t="shared" si="68"/>
        <v/>
      </c>
    </row>
    <row r="2406" spans="4:4" x14ac:dyDescent="0.3">
      <c r="D2406" t="str">
        <f t="shared" si="68"/>
        <v/>
      </c>
    </row>
    <row r="2407" spans="4:4" x14ac:dyDescent="0.3">
      <c r="D2407" t="str">
        <f t="shared" si="68"/>
        <v/>
      </c>
    </row>
    <row r="2408" spans="4:4" x14ac:dyDescent="0.3">
      <c r="D2408" t="str">
        <f t="shared" si="68"/>
        <v/>
      </c>
    </row>
    <row r="2409" spans="4:4" x14ac:dyDescent="0.3">
      <c r="D2409" t="str">
        <f t="shared" si="68"/>
        <v/>
      </c>
    </row>
    <row r="2410" spans="4:4" x14ac:dyDescent="0.3">
      <c r="D2410" t="str">
        <f t="shared" si="68"/>
        <v/>
      </c>
    </row>
    <row r="2411" spans="4:4" x14ac:dyDescent="0.3">
      <c r="D2411" t="str">
        <f t="shared" si="68"/>
        <v/>
      </c>
    </row>
    <row r="2412" spans="4:4" x14ac:dyDescent="0.3">
      <c r="D2412" t="str">
        <f t="shared" si="68"/>
        <v/>
      </c>
    </row>
    <row r="2413" spans="4:4" x14ac:dyDescent="0.3">
      <c r="D2413" t="str">
        <f t="shared" si="68"/>
        <v/>
      </c>
    </row>
    <row r="2414" spans="4:4" x14ac:dyDescent="0.3">
      <c r="D2414" t="str">
        <f t="shared" si="68"/>
        <v/>
      </c>
    </row>
    <row r="2415" spans="4:4" x14ac:dyDescent="0.3">
      <c r="D2415" t="str">
        <f t="shared" si="68"/>
        <v/>
      </c>
    </row>
    <row r="2416" spans="4:4" x14ac:dyDescent="0.3">
      <c r="D2416" t="str">
        <f t="shared" si="68"/>
        <v/>
      </c>
    </row>
    <row r="2417" spans="4:4" x14ac:dyDescent="0.3">
      <c r="D2417" t="str">
        <f t="shared" si="68"/>
        <v/>
      </c>
    </row>
    <row r="2418" spans="4:4" x14ac:dyDescent="0.3">
      <c r="D2418" t="str">
        <f t="shared" si="68"/>
        <v/>
      </c>
    </row>
    <row r="2419" spans="4:4" x14ac:dyDescent="0.3">
      <c r="D2419" t="str">
        <f t="shared" si="68"/>
        <v/>
      </c>
    </row>
    <row r="2420" spans="4:4" x14ac:dyDescent="0.3">
      <c r="D2420" t="str">
        <f t="shared" si="68"/>
        <v/>
      </c>
    </row>
    <row r="2421" spans="4:4" x14ac:dyDescent="0.3">
      <c r="D2421" t="str">
        <f t="shared" si="68"/>
        <v/>
      </c>
    </row>
    <row r="2422" spans="4:4" x14ac:dyDescent="0.3">
      <c r="D2422" t="str">
        <f t="shared" si="68"/>
        <v/>
      </c>
    </row>
    <row r="2423" spans="4:4" x14ac:dyDescent="0.3">
      <c r="D2423" t="str">
        <f t="shared" si="68"/>
        <v/>
      </c>
    </row>
    <row r="2424" spans="4:4" x14ac:dyDescent="0.3">
      <c r="D2424" t="str">
        <f t="shared" si="68"/>
        <v/>
      </c>
    </row>
    <row r="2425" spans="4:4" x14ac:dyDescent="0.3">
      <c r="D2425" t="str">
        <f t="shared" si="68"/>
        <v/>
      </c>
    </row>
    <row r="2426" spans="4:4" x14ac:dyDescent="0.3">
      <c r="D2426" t="str">
        <f t="shared" ref="D2426:D2489" si="69">IF(LEFT(A2426,2)="SP",MID(A2426,4,4),IF(LEFT(A2426,1)="X",MID(A2426,3,4),""))</f>
        <v/>
      </c>
    </row>
    <row r="2427" spans="4:4" x14ac:dyDescent="0.3">
      <c r="D2427" t="str">
        <f t="shared" si="69"/>
        <v/>
      </c>
    </row>
    <row r="2428" spans="4:4" x14ac:dyDescent="0.3">
      <c r="D2428" t="str">
        <f t="shared" si="69"/>
        <v/>
      </c>
    </row>
    <row r="2429" spans="4:4" x14ac:dyDescent="0.3">
      <c r="D2429" t="str">
        <f t="shared" si="69"/>
        <v/>
      </c>
    </row>
    <row r="2430" spans="4:4" x14ac:dyDescent="0.3">
      <c r="D2430" t="str">
        <f t="shared" si="69"/>
        <v/>
      </c>
    </row>
    <row r="2431" spans="4:4" x14ac:dyDescent="0.3">
      <c r="D2431" t="str">
        <f t="shared" si="69"/>
        <v/>
      </c>
    </row>
    <row r="2432" spans="4:4" x14ac:dyDescent="0.3">
      <c r="D2432" t="str">
        <f t="shared" si="69"/>
        <v/>
      </c>
    </row>
    <row r="2433" spans="4:4" x14ac:dyDescent="0.3">
      <c r="D2433" t="str">
        <f t="shared" si="69"/>
        <v/>
      </c>
    </row>
    <row r="2434" spans="4:4" x14ac:dyDescent="0.3">
      <c r="D2434" t="str">
        <f t="shared" si="69"/>
        <v/>
      </c>
    </row>
    <row r="2435" spans="4:4" x14ac:dyDescent="0.3">
      <c r="D2435" t="str">
        <f t="shared" si="69"/>
        <v/>
      </c>
    </row>
    <row r="2436" spans="4:4" x14ac:dyDescent="0.3">
      <c r="D2436" t="str">
        <f t="shared" si="69"/>
        <v/>
      </c>
    </row>
    <row r="2437" spans="4:4" x14ac:dyDescent="0.3">
      <c r="D2437" t="str">
        <f t="shared" si="69"/>
        <v/>
      </c>
    </row>
    <row r="2438" spans="4:4" x14ac:dyDescent="0.3">
      <c r="D2438" t="str">
        <f t="shared" si="69"/>
        <v/>
      </c>
    </row>
    <row r="2439" spans="4:4" x14ac:dyDescent="0.3">
      <c r="D2439" t="str">
        <f t="shared" si="69"/>
        <v/>
      </c>
    </row>
    <row r="2440" spans="4:4" x14ac:dyDescent="0.3">
      <c r="D2440" t="str">
        <f t="shared" si="69"/>
        <v/>
      </c>
    </row>
    <row r="2441" spans="4:4" x14ac:dyDescent="0.3">
      <c r="D2441" t="str">
        <f t="shared" si="69"/>
        <v/>
      </c>
    </row>
    <row r="2442" spans="4:4" x14ac:dyDescent="0.3">
      <c r="D2442" t="str">
        <f t="shared" si="69"/>
        <v/>
      </c>
    </row>
    <row r="2443" spans="4:4" x14ac:dyDescent="0.3">
      <c r="D2443" t="str">
        <f t="shared" si="69"/>
        <v/>
      </c>
    </row>
    <row r="2444" spans="4:4" x14ac:dyDescent="0.3">
      <c r="D2444" t="str">
        <f t="shared" si="69"/>
        <v/>
      </c>
    </row>
    <row r="2445" spans="4:4" x14ac:dyDescent="0.3">
      <c r="D2445" t="str">
        <f t="shared" si="69"/>
        <v/>
      </c>
    </row>
    <row r="2446" spans="4:4" x14ac:dyDescent="0.3">
      <c r="D2446" t="str">
        <f t="shared" si="69"/>
        <v/>
      </c>
    </row>
    <row r="2447" spans="4:4" x14ac:dyDescent="0.3">
      <c r="D2447" t="str">
        <f t="shared" si="69"/>
        <v/>
      </c>
    </row>
    <row r="2448" spans="4:4" x14ac:dyDescent="0.3">
      <c r="D2448" t="str">
        <f t="shared" si="69"/>
        <v/>
      </c>
    </row>
    <row r="2449" spans="4:4" x14ac:dyDescent="0.3">
      <c r="D2449" t="str">
        <f t="shared" si="69"/>
        <v/>
      </c>
    </row>
    <row r="2450" spans="4:4" x14ac:dyDescent="0.3">
      <c r="D2450" t="str">
        <f t="shared" si="69"/>
        <v/>
      </c>
    </row>
    <row r="2451" spans="4:4" x14ac:dyDescent="0.3">
      <c r="D2451" t="str">
        <f t="shared" si="69"/>
        <v/>
      </c>
    </row>
    <row r="2452" spans="4:4" x14ac:dyDescent="0.3">
      <c r="D2452" t="str">
        <f t="shared" si="69"/>
        <v/>
      </c>
    </row>
    <row r="2453" spans="4:4" x14ac:dyDescent="0.3">
      <c r="D2453" t="str">
        <f t="shared" si="69"/>
        <v/>
      </c>
    </row>
    <row r="2454" spans="4:4" x14ac:dyDescent="0.3">
      <c r="D2454" t="str">
        <f t="shared" si="69"/>
        <v/>
      </c>
    </row>
    <row r="2455" spans="4:4" x14ac:dyDescent="0.3">
      <c r="D2455" t="str">
        <f t="shared" si="69"/>
        <v/>
      </c>
    </row>
    <row r="2456" spans="4:4" x14ac:dyDescent="0.3">
      <c r="D2456" t="str">
        <f t="shared" si="69"/>
        <v/>
      </c>
    </row>
    <row r="2457" spans="4:4" x14ac:dyDescent="0.3">
      <c r="D2457" t="str">
        <f t="shared" si="69"/>
        <v/>
      </c>
    </row>
    <row r="2458" spans="4:4" x14ac:dyDescent="0.3">
      <c r="D2458" t="str">
        <f t="shared" si="69"/>
        <v/>
      </c>
    </row>
    <row r="2459" spans="4:4" x14ac:dyDescent="0.3">
      <c r="D2459" t="str">
        <f t="shared" si="69"/>
        <v/>
      </c>
    </row>
    <row r="2460" spans="4:4" x14ac:dyDescent="0.3">
      <c r="D2460" t="str">
        <f t="shared" si="69"/>
        <v/>
      </c>
    </row>
    <row r="2461" spans="4:4" x14ac:dyDescent="0.3">
      <c r="D2461" t="str">
        <f t="shared" si="69"/>
        <v/>
      </c>
    </row>
    <row r="2462" spans="4:4" x14ac:dyDescent="0.3">
      <c r="D2462" t="str">
        <f t="shared" si="69"/>
        <v/>
      </c>
    </row>
    <row r="2463" spans="4:4" x14ac:dyDescent="0.3">
      <c r="D2463" t="str">
        <f t="shared" si="69"/>
        <v/>
      </c>
    </row>
    <row r="2464" spans="4:4" x14ac:dyDescent="0.3">
      <c r="D2464" t="str">
        <f t="shared" si="69"/>
        <v/>
      </c>
    </row>
    <row r="2465" spans="4:4" x14ac:dyDescent="0.3">
      <c r="D2465" t="str">
        <f t="shared" si="69"/>
        <v/>
      </c>
    </row>
    <row r="2466" spans="4:4" x14ac:dyDescent="0.3">
      <c r="D2466" t="str">
        <f t="shared" si="69"/>
        <v/>
      </c>
    </row>
    <row r="2467" spans="4:4" x14ac:dyDescent="0.3">
      <c r="D2467" t="str">
        <f t="shared" si="69"/>
        <v/>
      </c>
    </row>
    <row r="2468" spans="4:4" x14ac:dyDescent="0.3">
      <c r="D2468" t="str">
        <f t="shared" si="69"/>
        <v/>
      </c>
    </row>
    <row r="2469" spans="4:4" x14ac:dyDescent="0.3">
      <c r="D2469" t="str">
        <f t="shared" si="69"/>
        <v/>
      </c>
    </row>
    <row r="2470" spans="4:4" x14ac:dyDescent="0.3">
      <c r="D2470" t="str">
        <f t="shared" si="69"/>
        <v/>
      </c>
    </row>
    <row r="2471" spans="4:4" x14ac:dyDescent="0.3">
      <c r="D2471" t="str">
        <f t="shared" si="69"/>
        <v/>
      </c>
    </row>
    <row r="2472" spans="4:4" x14ac:dyDescent="0.3">
      <c r="D2472" t="str">
        <f t="shared" si="69"/>
        <v/>
      </c>
    </row>
    <row r="2473" spans="4:4" x14ac:dyDescent="0.3">
      <c r="D2473" t="str">
        <f t="shared" si="69"/>
        <v/>
      </c>
    </row>
    <row r="2474" spans="4:4" x14ac:dyDescent="0.3">
      <c r="D2474" t="str">
        <f t="shared" si="69"/>
        <v/>
      </c>
    </row>
    <row r="2475" spans="4:4" x14ac:dyDescent="0.3">
      <c r="D2475" t="str">
        <f t="shared" si="69"/>
        <v/>
      </c>
    </row>
    <row r="2476" spans="4:4" x14ac:dyDescent="0.3">
      <c r="D2476" t="str">
        <f t="shared" si="69"/>
        <v/>
      </c>
    </row>
    <row r="2477" spans="4:4" x14ac:dyDescent="0.3">
      <c r="D2477" t="str">
        <f t="shared" si="69"/>
        <v/>
      </c>
    </row>
    <row r="2478" spans="4:4" x14ac:dyDescent="0.3">
      <c r="D2478" t="str">
        <f t="shared" si="69"/>
        <v/>
      </c>
    </row>
    <row r="2479" spans="4:4" x14ac:dyDescent="0.3">
      <c r="D2479" t="str">
        <f t="shared" si="69"/>
        <v/>
      </c>
    </row>
    <row r="2480" spans="4:4" x14ac:dyDescent="0.3">
      <c r="D2480" t="str">
        <f t="shared" si="69"/>
        <v/>
      </c>
    </row>
    <row r="2481" spans="4:4" x14ac:dyDescent="0.3">
      <c r="D2481" t="str">
        <f t="shared" si="69"/>
        <v/>
      </c>
    </row>
    <row r="2482" spans="4:4" x14ac:dyDescent="0.3">
      <c r="D2482" t="str">
        <f t="shared" si="69"/>
        <v/>
      </c>
    </row>
    <row r="2483" spans="4:4" x14ac:dyDescent="0.3">
      <c r="D2483" t="str">
        <f t="shared" si="69"/>
        <v/>
      </c>
    </row>
    <row r="2484" spans="4:4" x14ac:dyDescent="0.3">
      <c r="D2484" t="str">
        <f t="shared" si="69"/>
        <v/>
      </c>
    </row>
    <row r="2485" spans="4:4" x14ac:dyDescent="0.3">
      <c r="D2485" t="str">
        <f t="shared" si="69"/>
        <v/>
      </c>
    </row>
    <row r="2486" spans="4:4" x14ac:dyDescent="0.3">
      <c r="D2486" t="str">
        <f t="shared" si="69"/>
        <v/>
      </c>
    </row>
    <row r="2487" spans="4:4" x14ac:dyDescent="0.3">
      <c r="D2487" t="str">
        <f t="shared" si="69"/>
        <v/>
      </c>
    </row>
    <row r="2488" spans="4:4" x14ac:dyDescent="0.3">
      <c r="D2488" t="str">
        <f t="shared" si="69"/>
        <v/>
      </c>
    </row>
    <row r="2489" spans="4:4" x14ac:dyDescent="0.3">
      <c r="D2489" t="str">
        <f t="shared" si="69"/>
        <v/>
      </c>
    </row>
    <row r="2490" spans="4:4" x14ac:dyDescent="0.3">
      <c r="D2490" t="str">
        <f t="shared" ref="D2490:D2553" si="70">IF(LEFT(A2490,2)="SP",MID(A2490,4,4),IF(LEFT(A2490,1)="X",MID(A2490,3,4),""))</f>
        <v/>
      </c>
    </row>
    <row r="2491" spans="4:4" x14ac:dyDescent="0.3">
      <c r="D2491" t="str">
        <f t="shared" si="70"/>
        <v/>
      </c>
    </row>
    <row r="2492" spans="4:4" x14ac:dyDescent="0.3">
      <c r="D2492" t="str">
        <f t="shared" si="70"/>
        <v/>
      </c>
    </row>
    <row r="2493" spans="4:4" x14ac:dyDescent="0.3">
      <c r="D2493" t="str">
        <f t="shared" si="70"/>
        <v/>
      </c>
    </row>
    <row r="2494" spans="4:4" x14ac:dyDescent="0.3">
      <c r="D2494" t="str">
        <f t="shared" si="70"/>
        <v/>
      </c>
    </row>
    <row r="2495" spans="4:4" x14ac:dyDescent="0.3">
      <c r="D2495" t="str">
        <f t="shared" si="70"/>
        <v/>
      </c>
    </row>
    <row r="2496" spans="4:4" x14ac:dyDescent="0.3">
      <c r="D2496" t="str">
        <f t="shared" si="70"/>
        <v/>
      </c>
    </row>
    <row r="2497" spans="4:4" x14ac:dyDescent="0.3">
      <c r="D2497" t="str">
        <f t="shared" si="70"/>
        <v/>
      </c>
    </row>
    <row r="2498" spans="4:4" x14ac:dyDescent="0.3">
      <c r="D2498" t="str">
        <f t="shared" si="70"/>
        <v/>
      </c>
    </row>
    <row r="2499" spans="4:4" x14ac:dyDescent="0.3">
      <c r="D2499" t="str">
        <f t="shared" si="70"/>
        <v/>
      </c>
    </row>
    <row r="2500" spans="4:4" x14ac:dyDescent="0.3">
      <c r="D2500" t="str">
        <f t="shared" si="70"/>
        <v/>
      </c>
    </row>
    <row r="2501" spans="4:4" x14ac:dyDescent="0.3">
      <c r="D2501" t="str">
        <f t="shared" si="70"/>
        <v/>
      </c>
    </row>
    <row r="2502" spans="4:4" x14ac:dyDescent="0.3">
      <c r="D2502" t="str">
        <f t="shared" si="70"/>
        <v/>
      </c>
    </row>
    <row r="2503" spans="4:4" x14ac:dyDescent="0.3">
      <c r="D2503" t="str">
        <f t="shared" si="70"/>
        <v/>
      </c>
    </row>
    <row r="2504" spans="4:4" x14ac:dyDescent="0.3">
      <c r="D2504" t="str">
        <f t="shared" si="70"/>
        <v/>
      </c>
    </row>
    <row r="2505" spans="4:4" x14ac:dyDescent="0.3">
      <c r="D2505" t="str">
        <f t="shared" si="70"/>
        <v/>
      </c>
    </row>
    <row r="2506" spans="4:4" x14ac:dyDescent="0.3">
      <c r="D2506" t="str">
        <f t="shared" si="70"/>
        <v/>
      </c>
    </row>
    <row r="2507" spans="4:4" x14ac:dyDescent="0.3">
      <c r="D2507" t="str">
        <f t="shared" si="70"/>
        <v/>
      </c>
    </row>
    <row r="2508" spans="4:4" x14ac:dyDescent="0.3">
      <c r="D2508" t="str">
        <f t="shared" si="70"/>
        <v/>
      </c>
    </row>
    <row r="2509" spans="4:4" x14ac:dyDescent="0.3">
      <c r="D2509" t="str">
        <f t="shared" si="70"/>
        <v/>
      </c>
    </row>
    <row r="2510" spans="4:4" x14ac:dyDescent="0.3">
      <c r="D2510" t="str">
        <f t="shared" si="70"/>
        <v/>
      </c>
    </row>
    <row r="2511" spans="4:4" x14ac:dyDescent="0.3">
      <c r="D2511" t="str">
        <f t="shared" si="70"/>
        <v/>
      </c>
    </row>
    <row r="2512" spans="4:4" x14ac:dyDescent="0.3">
      <c r="D2512" t="str">
        <f t="shared" si="70"/>
        <v/>
      </c>
    </row>
    <row r="2513" spans="4:4" x14ac:dyDescent="0.3">
      <c r="D2513" t="str">
        <f t="shared" si="70"/>
        <v/>
      </c>
    </row>
    <row r="2514" spans="4:4" x14ac:dyDescent="0.3">
      <c r="D2514" t="str">
        <f t="shared" si="70"/>
        <v/>
      </c>
    </row>
    <row r="2515" spans="4:4" x14ac:dyDescent="0.3">
      <c r="D2515" t="str">
        <f t="shared" si="70"/>
        <v/>
      </c>
    </row>
    <row r="2516" spans="4:4" x14ac:dyDescent="0.3">
      <c r="D2516" t="str">
        <f t="shared" si="70"/>
        <v/>
      </c>
    </row>
    <row r="2517" spans="4:4" x14ac:dyDescent="0.3">
      <c r="D2517" t="str">
        <f t="shared" si="70"/>
        <v/>
      </c>
    </row>
    <row r="2518" spans="4:4" x14ac:dyDescent="0.3">
      <c r="D2518" t="str">
        <f t="shared" si="70"/>
        <v/>
      </c>
    </row>
    <row r="2519" spans="4:4" x14ac:dyDescent="0.3">
      <c r="D2519" t="str">
        <f t="shared" si="70"/>
        <v/>
      </c>
    </row>
    <row r="2520" spans="4:4" x14ac:dyDescent="0.3">
      <c r="D2520" t="str">
        <f t="shared" si="70"/>
        <v/>
      </c>
    </row>
    <row r="2521" spans="4:4" x14ac:dyDescent="0.3">
      <c r="D2521" t="str">
        <f t="shared" si="70"/>
        <v/>
      </c>
    </row>
    <row r="2522" spans="4:4" x14ac:dyDescent="0.3">
      <c r="D2522" t="str">
        <f t="shared" si="70"/>
        <v/>
      </c>
    </row>
    <row r="2523" spans="4:4" x14ac:dyDescent="0.3">
      <c r="D2523" t="str">
        <f t="shared" si="70"/>
        <v/>
      </c>
    </row>
    <row r="2524" spans="4:4" x14ac:dyDescent="0.3">
      <c r="D2524" t="str">
        <f t="shared" si="70"/>
        <v/>
      </c>
    </row>
    <row r="2525" spans="4:4" x14ac:dyDescent="0.3">
      <c r="D2525" t="str">
        <f t="shared" si="70"/>
        <v/>
      </c>
    </row>
    <row r="2526" spans="4:4" x14ac:dyDescent="0.3">
      <c r="D2526" t="str">
        <f t="shared" si="70"/>
        <v/>
      </c>
    </row>
    <row r="2527" spans="4:4" x14ac:dyDescent="0.3">
      <c r="D2527" t="str">
        <f t="shared" si="70"/>
        <v/>
      </c>
    </row>
    <row r="2528" spans="4:4" x14ac:dyDescent="0.3">
      <c r="D2528" t="str">
        <f t="shared" si="70"/>
        <v/>
      </c>
    </row>
    <row r="2529" spans="4:4" x14ac:dyDescent="0.3">
      <c r="D2529" t="str">
        <f t="shared" si="70"/>
        <v/>
      </c>
    </row>
    <row r="2530" spans="4:4" x14ac:dyDescent="0.3">
      <c r="D2530" t="str">
        <f t="shared" si="70"/>
        <v/>
      </c>
    </row>
    <row r="2531" spans="4:4" x14ac:dyDescent="0.3">
      <c r="D2531" t="str">
        <f t="shared" si="70"/>
        <v/>
      </c>
    </row>
    <row r="2532" spans="4:4" x14ac:dyDescent="0.3">
      <c r="D2532" t="str">
        <f t="shared" si="70"/>
        <v/>
      </c>
    </row>
    <row r="2533" spans="4:4" x14ac:dyDescent="0.3">
      <c r="D2533" t="str">
        <f t="shared" si="70"/>
        <v/>
      </c>
    </row>
    <row r="2534" spans="4:4" x14ac:dyDescent="0.3">
      <c r="D2534" t="str">
        <f t="shared" si="70"/>
        <v/>
      </c>
    </row>
    <row r="2535" spans="4:4" x14ac:dyDescent="0.3">
      <c r="D2535" t="str">
        <f t="shared" si="70"/>
        <v/>
      </c>
    </row>
    <row r="2536" spans="4:4" x14ac:dyDescent="0.3">
      <c r="D2536" t="str">
        <f t="shared" si="70"/>
        <v/>
      </c>
    </row>
    <row r="2537" spans="4:4" x14ac:dyDescent="0.3">
      <c r="D2537" t="str">
        <f t="shared" si="70"/>
        <v/>
      </c>
    </row>
    <row r="2538" spans="4:4" x14ac:dyDescent="0.3">
      <c r="D2538" t="str">
        <f t="shared" si="70"/>
        <v/>
      </c>
    </row>
    <row r="2539" spans="4:4" x14ac:dyDescent="0.3">
      <c r="D2539" t="str">
        <f t="shared" si="70"/>
        <v/>
      </c>
    </row>
    <row r="2540" spans="4:4" x14ac:dyDescent="0.3">
      <c r="D2540" t="str">
        <f t="shared" si="70"/>
        <v/>
      </c>
    </row>
    <row r="2541" spans="4:4" x14ac:dyDescent="0.3">
      <c r="D2541" t="str">
        <f t="shared" si="70"/>
        <v/>
      </c>
    </row>
    <row r="2542" spans="4:4" x14ac:dyDescent="0.3">
      <c r="D2542" t="str">
        <f t="shared" si="70"/>
        <v/>
      </c>
    </row>
    <row r="2543" spans="4:4" x14ac:dyDescent="0.3">
      <c r="D2543" t="str">
        <f t="shared" si="70"/>
        <v/>
      </c>
    </row>
    <row r="2544" spans="4:4" x14ac:dyDescent="0.3">
      <c r="D2544" t="str">
        <f t="shared" si="70"/>
        <v/>
      </c>
    </row>
    <row r="2545" spans="4:4" x14ac:dyDescent="0.3">
      <c r="D2545" t="str">
        <f t="shared" si="70"/>
        <v/>
      </c>
    </row>
    <row r="2546" spans="4:4" x14ac:dyDescent="0.3">
      <c r="D2546" t="str">
        <f t="shared" si="70"/>
        <v/>
      </c>
    </row>
    <row r="2547" spans="4:4" x14ac:dyDescent="0.3">
      <c r="D2547" t="str">
        <f t="shared" si="70"/>
        <v/>
      </c>
    </row>
    <row r="2548" spans="4:4" x14ac:dyDescent="0.3">
      <c r="D2548" t="str">
        <f t="shared" si="70"/>
        <v/>
      </c>
    </row>
    <row r="2549" spans="4:4" x14ac:dyDescent="0.3">
      <c r="D2549" t="str">
        <f t="shared" si="70"/>
        <v/>
      </c>
    </row>
    <row r="2550" spans="4:4" x14ac:dyDescent="0.3">
      <c r="D2550" t="str">
        <f t="shared" si="70"/>
        <v/>
      </c>
    </row>
    <row r="2551" spans="4:4" x14ac:dyDescent="0.3">
      <c r="D2551" t="str">
        <f t="shared" si="70"/>
        <v/>
      </c>
    </row>
    <row r="2552" spans="4:4" x14ac:dyDescent="0.3">
      <c r="D2552" t="str">
        <f t="shared" si="70"/>
        <v/>
      </c>
    </row>
    <row r="2553" spans="4:4" x14ac:dyDescent="0.3">
      <c r="D2553" t="str">
        <f t="shared" si="70"/>
        <v/>
      </c>
    </row>
    <row r="2554" spans="4:4" x14ac:dyDescent="0.3">
      <c r="D2554" t="str">
        <f t="shared" ref="D2554:D2617" si="71">IF(LEFT(A2554,2)="SP",MID(A2554,4,4),IF(LEFT(A2554,1)="X",MID(A2554,3,4),""))</f>
        <v/>
      </c>
    </row>
    <row r="2555" spans="4:4" x14ac:dyDescent="0.3">
      <c r="D2555" t="str">
        <f t="shared" si="71"/>
        <v/>
      </c>
    </row>
    <row r="2556" spans="4:4" x14ac:dyDescent="0.3">
      <c r="D2556" t="str">
        <f t="shared" si="71"/>
        <v/>
      </c>
    </row>
    <row r="2557" spans="4:4" x14ac:dyDescent="0.3">
      <c r="D2557" t="str">
        <f t="shared" si="71"/>
        <v/>
      </c>
    </row>
    <row r="2558" spans="4:4" x14ac:dyDescent="0.3">
      <c r="D2558" t="str">
        <f t="shared" si="71"/>
        <v/>
      </c>
    </row>
    <row r="2559" spans="4:4" x14ac:dyDescent="0.3">
      <c r="D2559" t="str">
        <f t="shared" si="71"/>
        <v/>
      </c>
    </row>
    <row r="2560" spans="4:4" x14ac:dyDescent="0.3">
      <c r="D2560" t="str">
        <f t="shared" si="71"/>
        <v/>
      </c>
    </row>
    <row r="2561" spans="4:4" x14ac:dyDescent="0.3">
      <c r="D2561" t="str">
        <f t="shared" si="71"/>
        <v/>
      </c>
    </row>
    <row r="2562" spans="4:4" x14ac:dyDescent="0.3">
      <c r="D2562" t="str">
        <f t="shared" si="71"/>
        <v/>
      </c>
    </row>
    <row r="2563" spans="4:4" x14ac:dyDescent="0.3">
      <c r="D2563" t="str">
        <f t="shared" si="71"/>
        <v/>
      </c>
    </row>
    <row r="2564" spans="4:4" x14ac:dyDescent="0.3">
      <c r="D2564" t="str">
        <f t="shared" si="71"/>
        <v/>
      </c>
    </row>
    <row r="2565" spans="4:4" x14ac:dyDescent="0.3">
      <c r="D2565" t="str">
        <f t="shared" si="71"/>
        <v/>
      </c>
    </row>
    <row r="2566" spans="4:4" x14ac:dyDescent="0.3">
      <c r="D2566" t="str">
        <f t="shared" si="71"/>
        <v/>
      </c>
    </row>
    <row r="2567" spans="4:4" x14ac:dyDescent="0.3">
      <c r="D2567" t="str">
        <f t="shared" si="71"/>
        <v/>
      </c>
    </row>
    <row r="2568" spans="4:4" x14ac:dyDescent="0.3">
      <c r="D2568" t="str">
        <f t="shared" si="71"/>
        <v/>
      </c>
    </row>
    <row r="2569" spans="4:4" x14ac:dyDescent="0.3">
      <c r="D2569" t="str">
        <f t="shared" si="71"/>
        <v/>
      </c>
    </row>
    <row r="2570" spans="4:4" x14ac:dyDescent="0.3">
      <c r="D2570" t="str">
        <f t="shared" si="71"/>
        <v/>
      </c>
    </row>
    <row r="2571" spans="4:4" x14ac:dyDescent="0.3">
      <c r="D2571" t="str">
        <f t="shared" si="71"/>
        <v/>
      </c>
    </row>
    <row r="2572" spans="4:4" x14ac:dyDescent="0.3">
      <c r="D2572" t="str">
        <f t="shared" si="71"/>
        <v/>
      </c>
    </row>
    <row r="2573" spans="4:4" x14ac:dyDescent="0.3">
      <c r="D2573" t="str">
        <f t="shared" si="71"/>
        <v/>
      </c>
    </row>
    <row r="2574" spans="4:4" x14ac:dyDescent="0.3">
      <c r="D2574" t="str">
        <f t="shared" si="71"/>
        <v/>
      </c>
    </row>
    <row r="2575" spans="4:4" x14ac:dyDescent="0.3">
      <c r="D2575" t="str">
        <f t="shared" si="71"/>
        <v/>
      </c>
    </row>
    <row r="2576" spans="4:4" x14ac:dyDescent="0.3">
      <c r="D2576" t="str">
        <f t="shared" si="71"/>
        <v/>
      </c>
    </row>
    <row r="2577" spans="4:4" x14ac:dyDescent="0.3">
      <c r="D2577" t="str">
        <f t="shared" si="71"/>
        <v/>
      </c>
    </row>
    <row r="2578" spans="4:4" x14ac:dyDescent="0.3">
      <c r="D2578" t="str">
        <f t="shared" si="71"/>
        <v/>
      </c>
    </row>
    <row r="2579" spans="4:4" x14ac:dyDescent="0.3">
      <c r="D2579" t="str">
        <f t="shared" si="71"/>
        <v/>
      </c>
    </row>
    <row r="2580" spans="4:4" x14ac:dyDescent="0.3">
      <c r="D2580" t="str">
        <f t="shared" si="71"/>
        <v/>
      </c>
    </row>
    <row r="2581" spans="4:4" x14ac:dyDescent="0.3">
      <c r="D2581" t="str">
        <f t="shared" si="71"/>
        <v/>
      </c>
    </row>
    <row r="2582" spans="4:4" x14ac:dyDescent="0.3">
      <c r="D2582" t="str">
        <f t="shared" si="71"/>
        <v/>
      </c>
    </row>
    <row r="2583" spans="4:4" x14ac:dyDescent="0.3">
      <c r="D2583" t="str">
        <f t="shared" si="71"/>
        <v/>
      </c>
    </row>
    <row r="2584" spans="4:4" x14ac:dyDescent="0.3">
      <c r="D2584" t="str">
        <f t="shared" si="71"/>
        <v/>
      </c>
    </row>
    <row r="2585" spans="4:4" x14ac:dyDescent="0.3">
      <c r="D2585" t="str">
        <f t="shared" si="71"/>
        <v/>
      </c>
    </row>
    <row r="2586" spans="4:4" x14ac:dyDescent="0.3">
      <c r="D2586" t="str">
        <f t="shared" si="71"/>
        <v/>
      </c>
    </row>
    <row r="2587" spans="4:4" x14ac:dyDescent="0.3">
      <c r="D2587" t="str">
        <f t="shared" si="71"/>
        <v/>
      </c>
    </row>
    <row r="2588" spans="4:4" x14ac:dyDescent="0.3">
      <c r="D2588" t="str">
        <f t="shared" si="71"/>
        <v/>
      </c>
    </row>
    <row r="2589" spans="4:4" x14ac:dyDescent="0.3">
      <c r="D2589" t="str">
        <f t="shared" si="71"/>
        <v/>
      </c>
    </row>
    <row r="2590" spans="4:4" x14ac:dyDescent="0.3">
      <c r="D2590" t="str">
        <f t="shared" si="71"/>
        <v/>
      </c>
    </row>
    <row r="2591" spans="4:4" x14ac:dyDescent="0.3">
      <c r="D2591" t="str">
        <f t="shared" si="71"/>
        <v/>
      </c>
    </row>
    <row r="2592" spans="4:4" x14ac:dyDescent="0.3">
      <c r="D2592" t="str">
        <f t="shared" si="71"/>
        <v/>
      </c>
    </row>
    <row r="2593" spans="4:4" x14ac:dyDescent="0.3">
      <c r="D2593" t="str">
        <f t="shared" si="71"/>
        <v/>
      </c>
    </row>
    <row r="2594" spans="4:4" x14ac:dyDescent="0.3">
      <c r="D2594" t="str">
        <f t="shared" si="71"/>
        <v/>
      </c>
    </row>
    <row r="2595" spans="4:4" x14ac:dyDescent="0.3">
      <c r="D2595" t="str">
        <f t="shared" si="71"/>
        <v/>
      </c>
    </row>
    <row r="2596" spans="4:4" x14ac:dyDescent="0.3">
      <c r="D2596" t="str">
        <f t="shared" si="71"/>
        <v/>
      </c>
    </row>
    <row r="2597" spans="4:4" x14ac:dyDescent="0.3">
      <c r="D2597" t="str">
        <f t="shared" si="71"/>
        <v/>
      </c>
    </row>
    <row r="2598" spans="4:4" x14ac:dyDescent="0.3">
      <c r="D2598" t="str">
        <f t="shared" si="71"/>
        <v/>
      </c>
    </row>
    <row r="2599" spans="4:4" x14ac:dyDescent="0.3">
      <c r="D2599" t="str">
        <f t="shared" si="71"/>
        <v/>
      </c>
    </row>
    <row r="2600" spans="4:4" x14ac:dyDescent="0.3">
      <c r="D2600" t="str">
        <f t="shared" si="71"/>
        <v/>
      </c>
    </row>
    <row r="2601" spans="4:4" x14ac:dyDescent="0.3">
      <c r="D2601" t="str">
        <f t="shared" si="71"/>
        <v/>
      </c>
    </row>
    <row r="2602" spans="4:4" x14ac:dyDescent="0.3">
      <c r="D2602" t="str">
        <f t="shared" si="71"/>
        <v/>
      </c>
    </row>
    <row r="2603" spans="4:4" x14ac:dyDescent="0.3">
      <c r="D2603" t="str">
        <f t="shared" si="71"/>
        <v/>
      </c>
    </row>
    <row r="2604" spans="4:4" x14ac:dyDescent="0.3">
      <c r="D2604" t="str">
        <f t="shared" si="71"/>
        <v/>
      </c>
    </row>
    <row r="2605" spans="4:4" x14ac:dyDescent="0.3">
      <c r="D2605" t="str">
        <f t="shared" si="71"/>
        <v/>
      </c>
    </row>
    <row r="2606" spans="4:4" x14ac:dyDescent="0.3">
      <c r="D2606" t="str">
        <f t="shared" si="71"/>
        <v/>
      </c>
    </row>
    <row r="2607" spans="4:4" x14ac:dyDescent="0.3">
      <c r="D2607" t="str">
        <f t="shared" si="71"/>
        <v/>
      </c>
    </row>
    <row r="2608" spans="4:4" x14ac:dyDescent="0.3">
      <c r="D2608" t="str">
        <f t="shared" si="71"/>
        <v/>
      </c>
    </row>
    <row r="2609" spans="4:4" x14ac:dyDescent="0.3">
      <c r="D2609" t="str">
        <f t="shared" si="71"/>
        <v/>
      </c>
    </row>
    <row r="2610" spans="4:4" x14ac:dyDescent="0.3">
      <c r="D2610" t="str">
        <f t="shared" si="71"/>
        <v/>
      </c>
    </row>
    <row r="2611" spans="4:4" x14ac:dyDescent="0.3">
      <c r="D2611" t="str">
        <f t="shared" si="71"/>
        <v/>
      </c>
    </row>
    <row r="2612" spans="4:4" x14ac:dyDescent="0.3">
      <c r="D2612" t="str">
        <f t="shared" si="71"/>
        <v/>
      </c>
    </row>
    <row r="2613" spans="4:4" x14ac:dyDescent="0.3">
      <c r="D2613" t="str">
        <f t="shared" si="71"/>
        <v/>
      </c>
    </row>
    <row r="2614" spans="4:4" x14ac:dyDescent="0.3">
      <c r="D2614" t="str">
        <f t="shared" si="71"/>
        <v/>
      </c>
    </row>
    <row r="2615" spans="4:4" x14ac:dyDescent="0.3">
      <c r="D2615" t="str">
        <f t="shared" si="71"/>
        <v/>
      </c>
    </row>
    <row r="2616" spans="4:4" x14ac:dyDescent="0.3">
      <c r="D2616" t="str">
        <f t="shared" si="71"/>
        <v/>
      </c>
    </row>
    <row r="2617" spans="4:4" x14ac:dyDescent="0.3">
      <c r="D2617" t="str">
        <f t="shared" si="71"/>
        <v/>
      </c>
    </row>
    <row r="2618" spans="4:4" x14ac:dyDescent="0.3">
      <c r="D2618" t="str">
        <f t="shared" ref="D2618:D2681" si="72">IF(LEFT(A2618,2)="SP",MID(A2618,4,4),IF(LEFT(A2618,1)="X",MID(A2618,3,4),""))</f>
        <v/>
      </c>
    </row>
    <row r="2619" spans="4:4" x14ac:dyDescent="0.3">
      <c r="D2619" t="str">
        <f t="shared" si="72"/>
        <v/>
      </c>
    </row>
    <row r="2620" spans="4:4" x14ac:dyDescent="0.3">
      <c r="D2620" t="str">
        <f t="shared" si="72"/>
        <v/>
      </c>
    </row>
    <row r="2621" spans="4:4" x14ac:dyDescent="0.3">
      <c r="D2621" t="str">
        <f t="shared" si="72"/>
        <v/>
      </c>
    </row>
    <row r="2622" spans="4:4" x14ac:dyDescent="0.3">
      <c r="D2622" t="str">
        <f t="shared" si="72"/>
        <v/>
      </c>
    </row>
    <row r="2623" spans="4:4" x14ac:dyDescent="0.3">
      <c r="D2623" t="str">
        <f t="shared" si="72"/>
        <v/>
      </c>
    </row>
    <row r="2624" spans="4:4" x14ac:dyDescent="0.3">
      <c r="D2624" t="str">
        <f t="shared" si="72"/>
        <v/>
      </c>
    </row>
    <row r="2625" spans="4:4" x14ac:dyDescent="0.3">
      <c r="D2625" t="str">
        <f t="shared" si="72"/>
        <v/>
      </c>
    </row>
    <row r="2626" spans="4:4" x14ac:dyDescent="0.3">
      <c r="D2626" t="str">
        <f t="shared" si="72"/>
        <v/>
      </c>
    </row>
    <row r="2627" spans="4:4" x14ac:dyDescent="0.3">
      <c r="D2627" t="str">
        <f t="shared" si="72"/>
        <v/>
      </c>
    </row>
    <row r="2628" spans="4:4" x14ac:dyDescent="0.3">
      <c r="D2628" t="str">
        <f t="shared" si="72"/>
        <v/>
      </c>
    </row>
    <row r="2629" spans="4:4" x14ac:dyDescent="0.3">
      <c r="D2629" t="str">
        <f t="shared" si="72"/>
        <v/>
      </c>
    </row>
    <row r="2630" spans="4:4" x14ac:dyDescent="0.3">
      <c r="D2630" t="str">
        <f t="shared" si="72"/>
        <v/>
      </c>
    </row>
    <row r="2631" spans="4:4" x14ac:dyDescent="0.3">
      <c r="D2631" t="str">
        <f t="shared" si="72"/>
        <v/>
      </c>
    </row>
    <row r="2632" spans="4:4" x14ac:dyDescent="0.3">
      <c r="D2632" t="str">
        <f t="shared" si="72"/>
        <v/>
      </c>
    </row>
    <row r="2633" spans="4:4" x14ac:dyDescent="0.3">
      <c r="D2633" t="str">
        <f t="shared" si="72"/>
        <v/>
      </c>
    </row>
    <row r="2634" spans="4:4" x14ac:dyDescent="0.3">
      <c r="D2634" t="str">
        <f t="shared" si="72"/>
        <v/>
      </c>
    </row>
    <row r="2635" spans="4:4" x14ac:dyDescent="0.3">
      <c r="D2635" t="str">
        <f t="shared" si="72"/>
        <v/>
      </c>
    </row>
    <row r="2636" spans="4:4" x14ac:dyDescent="0.3">
      <c r="D2636" t="str">
        <f t="shared" si="72"/>
        <v/>
      </c>
    </row>
    <row r="2637" spans="4:4" x14ac:dyDescent="0.3">
      <c r="D2637" t="str">
        <f t="shared" si="72"/>
        <v/>
      </c>
    </row>
    <row r="2638" spans="4:4" x14ac:dyDescent="0.3">
      <c r="D2638" t="str">
        <f t="shared" si="72"/>
        <v/>
      </c>
    </row>
    <row r="2639" spans="4:4" x14ac:dyDescent="0.3">
      <c r="D2639" t="str">
        <f t="shared" si="72"/>
        <v/>
      </c>
    </row>
    <row r="2640" spans="4:4" x14ac:dyDescent="0.3">
      <c r="D2640" t="str">
        <f t="shared" si="72"/>
        <v/>
      </c>
    </row>
    <row r="2641" spans="4:4" x14ac:dyDescent="0.3">
      <c r="D2641" t="str">
        <f t="shared" si="72"/>
        <v/>
      </c>
    </row>
    <row r="2642" spans="4:4" x14ac:dyDescent="0.3">
      <c r="D2642" t="str">
        <f t="shared" si="72"/>
        <v/>
      </c>
    </row>
    <row r="2643" spans="4:4" x14ac:dyDescent="0.3">
      <c r="D2643" t="str">
        <f t="shared" si="72"/>
        <v/>
      </c>
    </row>
    <row r="2644" spans="4:4" x14ac:dyDescent="0.3">
      <c r="D2644" t="str">
        <f t="shared" si="72"/>
        <v/>
      </c>
    </row>
    <row r="2645" spans="4:4" x14ac:dyDescent="0.3">
      <c r="D2645" t="str">
        <f t="shared" si="72"/>
        <v/>
      </c>
    </row>
    <row r="2646" spans="4:4" x14ac:dyDescent="0.3">
      <c r="D2646" t="str">
        <f t="shared" si="72"/>
        <v/>
      </c>
    </row>
    <row r="2647" spans="4:4" x14ac:dyDescent="0.3">
      <c r="D2647" t="str">
        <f t="shared" si="72"/>
        <v/>
      </c>
    </row>
    <row r="2648" spans="4:4" x14ac:dyDescent="0.3">
      <c r="D2648" t="str">
        <f t="shared" si="72"/>
        <v/>
      </c>
    </row>
    <row r="2649" spans="4:4" x14ac:dyDescent="0.3">
      <c r="D2649" t="str">
        <f t="shared" si="72"/>
        <v/>
      </c>
    </row>
    <row r="2650" spans="4:4" x14ac:dyDescent="0.3">
      <c r="D2650" t="str">
        <f t="shared" si="72"/>
        <v/>
      </c>
    </row>
    <row r="2651" spans="4:4" x14ac:dyDescent="0.3">
      <c r="D2651" t="str">
        <f t="shared" si="72"/>
        <v/>
      </c>
    </row>
    <row r="2652" spans="4:4" x14ac:dyDescent="0.3">
      <c r="D2652" t="str">
        <f t="shared" si="72"/>
        <v/>
      </c>
    </row>
    <row r="2653" spans="4:4" x14ac:dyDescent="0.3">
      <c r="D2653" t="str">
        <f t="shared" si="72"/>
        <v/>
      </c>
    </row>
    <row r="2654" spans="4:4" x14ac:dyDescent="0.3">
      <c r="D2654" t="str">
        <f t="shared" si="72"/>
        <v/>
      </c>
    </row>
    <row r="2655" spans="4:4" x14ac:dyDescent="0.3">
      <c r="D2655" t="str">
        <f t="shared" si="72"/>
        <v/>
      </c>
    </row>
    <row r="2656" spans="4:4" x14ac:dyDescent="0.3">
      <c r="D2656" t="str">
        <f t="shared" si="72"/>
        <v/>
      </c>
    </row>
    <row r="2657" spans="4:4" x14ac:dyDescent="0.3">
      <c r="D2657" t="str">
        <f t="shared" si="72"/>
        <v/>
      </c>
    </row>
    <row r="2658" spans="4:4" x14ac:dyDescent="0.3">
      <c r="D2658" t="str">
        <f t="shared" si="72"/>
        <v/>
      </c>
    </row>
    <row r="2659" spans="4:4" x14ac:dyDescent="0.3">
      <c r="D2659" t="str">
        <f t="shared" si="72"/>
        <v/>
      </c>
    </row>
    <row r="2660" spans="4:4" x14ac:dyDescent="0.3">
      <c r="D2660" t="str">
        <f t="shared" si="72"/>
        <v/>
      </c>
    </row>
    <row r="2661" spans="4:4" x14ac:dyDescent="0.3">
      <c r="D2661" t="str">
        <f t="shared" si="72"/>
        <v/>
      </c>
    </row>
    <row r="2662" spans="4:4" x14ac:dyDescent="0.3">
      <c r="D2662" t="str">
        <f t="shared" si="72"/>
        <v/>
      </c>
    </row>
    <row r="2663" spans="4:4" x14ac:dyDescent="0.3">
      <c r="D2663" t="str">
        <f t="shared" si="72"/>
        <v/>
      </c>
    </row>
    <row r="2664" spans="4:4" x14ac:dyDescent="0.3">
      <c r="D2664" t="str">
        <f t="shared" si="72"/>
        <v/>
      </c>
    </row>
    <row r="2665" spans="4:4" x14ac:dyDescent="0.3">
      <c r="D2665" t="str">
        <f t="shared" si="72"/>
        <v/>
      </c>
    </row>
    <row r="2666" spans="4:4" x14ac:dyDescent="0.3">
      <c r="D2666" t="str">
        <f t="shared" si="72"/>
        <v/>
      </c>
    </row>
    <row r="2667" spans="4:4" x14ac:dyDescent="0.3">
      <c r="D2667" t="str">
        <f t="shared" si="72"/>
        <v/>
      </c>
    </row>
    <row r="2668" spans="4:4" x14ac:dyDescent="0.3">
      <c r="D2668" t="str">
        <f t="shared" si="72"/>
        <v/>
      </c>
    </row>
    <row r="2669" spans="4:4" x14ac:dyDescent="0.3">
      <c r="D2669" t="str">
        <f t="shared" si="72"/>
        <v/>
      </c>
    </row>
    <row r="2670" spans="4:4" x14ac:dyDescent="0.3">
      <c r="D2670" t="str">
        <f t="shared" si="72"/>
        <v/>
      </c>
    </row>
    <row r="2671" spans="4:4" x14ac:dyDescent="0.3">
      <c r="D2671" t="str">
        <f t="shared" si="72"/>
        <v/>
      </c>
    </row>
    <row r="2672" spans="4:4" x14ac:dyDescent="0.3">
      <c r="D2672" t="str">
        <f t="shared" si="72"/>
        <v/>
      </c>
    </row>
    <row r="2673" spans="4:4" x14ac:dyDescent="0.3">
      <c r="D2673" t="str">
        <f t="shared" si="72"/>
        <v/>
      </c>
    </row>
    <row r="2674" spans="4:4" x14ac:dyDescent="0.3">
      <c r="D2674" t="str">
        <f t="shared" si="72"/>
        <v/>
      </c>
    </row>
    <row r="2675" spans="4:4" x14ac:dyDescent="0.3">
      <c r="D2675" t="str">
        <f t="shared" si="72"/>
        <v/>
      </c>
    </row>
    <row r="2676" spans="4:4" x14ac:dyDescent="0.3">
      <c r="D2676" t="str">
        <f t="shared" si="72"/>
        <v/>
      </c>
    </row>
    <row r="2677" spans="4:4" x14ac:dyDescent="0.3">
      <c r="D2677" t="str">
        <f t="shared" si="72"/>
        <v/>
      </c>
    </row>
    <row r="2678" spans="4:4" x14ac:dyDescent="0.3">
      <c r="D2678" t="str">
        <f t="shared" si="72"/>
        <v/>
      </c>
    </row>
    <row r="2679" spans="4:4" x14ac:dyDescent="0.3">
      <c r="D2679" t="str">
        <f t="shared" si="72"/>
        <v/>
      </c>
    </row>
    <row r="2680" spans="4:4" x14ac:dyDescent="0.3">
      <c r="D2680" t="str">
        <f t="shared" si="72"/>
        <v/>
      </c>
    </row>
    <row r="2681" spans="4:4" x14ac:dyDescent="0.3">
      <c r="D2681" t="str">
        <f t="shared" si="72"/>
        <v/>
      </c>
    </row>
    <row r="2682" spans="4:4" x14ac:dyDescent="0.3">
      <c r="D2682" t="str">
        <f t="shared" ref="D2682:D2745" si="73">IF(LEFT(A2682,2)="SP",MID(A2682,4,4),IF(LEFT(A2682,1)="X",MID(A2682,3,4),""))</f>
        <v/>
      </c>
    </row>
    <row r="2683" spans="4:4" x14ac:dyDescent="0.3">
      <c r="D2683" t="str">
        <f t="shared" si="73"/>
        <v/>
      </c>
    </row>
    <row r="2684" spans="4:4" x14ac:dyDescent="0.3">
      <c r="D2684" t="str">
        <f t="shared" si="73"/>
        <v/>
      </c>
    </row>
    <row r="2685" spans="4:4" x14ac:dyDescent="0.3">
      <c r="D2685" t="str">
        <f t="shared" si="73"/>
        <v/>
      </c>
    </row>
    <row r="2686" spans="4:4" x14ac:dyDescent="0.3">
      <c r="D2686" t="str">
        <f t="shared" si="73"/>
        <v/>
      </c>
    </row>
    <row r="2687" spans="4:4" x14ac:dyDescent="0.3">
      <c r="D2687" t="str">
        <f t="shared" si="73"/>
        <v/>
      </c>
    </row>
    <row r="2688" spans="4:4" x14ac:dyDescent="0.3">
      <c r="D2688" t="str">
        <f t="shared" si="73"/>
        <v/>
      </c>
    </row>
    <row r="2689" spans="4:4" x14ac:dyDescent="0.3">
      <c r="D2689" t="str">
        <f t="shared" si="73"/>
        <v/>
      </c>
    </row>
    <row r="2690" spans="4:4" x14ac:dyDescent="0.3">
      <c r="D2690" t="str">
        <f t="shared" si="73"/>
        <v/>
      </c>
    </row>
    <row r="2691" spans="4:4" x14ac:dyDescent="0.3">
      <c r="D2691" t="str">
        <f t="shared" si="73"/>
        <v/>
      </c>
    </row>
    <row r="2692" spans="4:4" x14ac:dyDescent="0.3">
      <c r="D2692" t="str">
        <f t="shared" si="73"/>
        <v/>
      </c>
    </row>
    <row r="2693" spans="4:4" x14ac:dyDescent="0.3">
      <c r="D2693" t="str">
        <f t="shared" si="73"/>
        <v/>
      </c>
    </row>
    <row r="2694" spans="4:4" x14ac:dyDescent="0.3">
      <c r="D2694" t="str">
        <f t="shared" si="73"/>
        <v/>
      </c>
    </row>
    <row r="2695" spans="4:4" x14ac:dyDescent="0.3">
      <c r="D2695" t="str">
        <f t="shared" si="73"/>
        <v/>
      </c>
    </row>
    <row r="2696" spans="4:4" x14ac:dyDescent="0.3">
      <c r="D2696" t="str">
        <f t="shared" si="73"/>
        <v/>
      </c>
    </row>
    <row r="2697" spans="4:4" x14ac:dyDescent="0.3">
      <c r="D2697" t="str">
        <f t="shared" si="73"/>
        <v/>
      </c>
    </row>
    <row r="2698" spans="4:4" x14ac:dyDescent="0.3">
      <c r="D2698" t="str">
        <f t="shared" si="73"/>
        <v/>
      </c>
    </row>
    <row r="2699" spans="4:4" x14ac:dyDescent="0.3">
      <c r="D2699" t="str">
        <f t="shared" si="73"/>
        <v/>
      </c>
    </row>
    <row r="2700" spans="4:4" x14ac:dyDescent="0.3">
      <c r="D2700" t="str">
        <f t="shared" si="73"/>
        <v/>
      </c>
    </row>
    <row r="2701" spans="4:4" x14ac:dyDescent="0.3">
      <c r="D2701" t="str">
        <f t="shared" si="73"/>
        <v/>
      </c>
    </row>
    <row r="2702" spans="4:4" x14ac:dyDescent="0.3">
      <c r="D2702" t="str">
        <f t="shared" si="73"/>
        <v/>
      </c>
    </row>
    <row r="2703" spans="4:4" x14ac:dyDescent="0.3">
      <c r="D2703" t="str">
        <f t="shared" si="73"/>
        <v/>
      </c>
    </row>
    <row r="2704" spans="4:4" x14ac:dyDescent="0.3">
      <c r="D2704" t="str">
        <f t="shared" si="73"/>
        <v/>
      </c>
    </row>
    <row r="2705" spans="4:4" x14ac:dyDescent="0.3">
      <c r="D2705" t="str">
        <f t="shared" si="73"/>
        <v/>
      </c>
    </row>
    <row r="2706" spans="4:4" x14ac:dyDescent="0.3">
      <c r="D2706" t="str">
        <f t="shared" si="73"/>
        <v/>
      </c>
    </row>
    <row r="2707" spans="4:4" x14ac:dyDescent="0.3">
      <c r="D2707" t="str">
        <f t="shared" si="73"/>
        <v/>
      </c>
    </row>
    <row r="2708" spans="4:4" x14ac:dyDescent="0.3">
      <c r="D2708" t="str">
        <f t="shared" si="73"/>
        <v/>
      </c>
    </row>
    <row r="2709" spans="4:4" x14ac:dyDescent="0.3">
      <c r="D2709" t="str">
        <f t="shared" si="73"/>
        <v/>
      </c>
    </row>
    <row r="2710" spans="4:4" x14ac:dyDescent="0.3">
      <c r="D2710" t="str">
        <f t="shared" si="73"/>
        <v/>
      </c>
    </row>
    <row r="2711" spans="4:4" x14ac:dyDescent="0.3">
      <c r="D2711" t="str">
        <f t="shared" si="73"/>
        <v/>
      </c>
    </row>
    <row r="2712" spans="4:4" x14ac:dyDescent="0.3">
      <c r="D2712" t="str">
        <f t="shared" si="73"/>
        <v/>
      </c>
    </row>
    <row r="2713" spans="4:4" x14ac:dyDescent="0.3">
      <c r="D2713" t="str">
        <f t="shared" si="73"/>
        <v/>
      </c>
    </row>
    <row r="2714" spans="4:4" x14ac:dyDescent="0.3">
      <c r="D2714" t="str">
        <f t="shared" si="73"/>
        <v/>
      </c>
    </row>
    <row r="2715" spans="4:4" x14ac:dyDescent="0.3">
      <c r="D2715" t="str">
        <f t="shared" si="73"/>
        <v/>
      </c>
    </row>
    <row r="2716" spans="4:4" x14ac:dyDescent="0.3">
      <c r="D2716" t="str">
        <f t="shared" si="73"/>
        <v/>
      </c>
    </row>
    <row r="2717" spans="4:4" x14ac:dyDescent="0.3">
      <c r="D2717" t="str">
        <f t="shared" si="73"/>
        <v/>
      </c>
    </row>
    <row r="2718" spans="4:4" x14ac:dyDescent="0.3">
      <c r="D2718" t="str">
        <f t="shared" si="73"/>
        <v/>
      </c>
    </row>
    <row r="2719" spans="4:4" x14ac:dyDescent="0.3">
      <c r="D2719" t="str">
        <f t="shared" si="73"/>
        <v/>
      </c>
    </row>
    <row r="2720" spans="4:4" x14ac:dyDescent="0.3">
      <c r="D2720" t="str">
        <f t="shared" si="73"/>
        <v/>
      </c>
    </row>
    <row r="2721" spans="4:4" x14ac:dyDescent="0.3">
      <c r="D2721" t="str">
        <f t="shared" si="73"/>
        <v/>
      </c>
    </row>
    <row r="2722" spans="4:4" x14ac:dyDescent="0.3">
      <c r="D2722" t="str">
        <f t="shared" si="73"/>
        <v/>
      </c>
    </row>
    <row r="2723" spans="4:4" x14ac:dyDescent="0.3">
      <c r="D2723" t="str">
        <f t="shared" si="73"/>
        <v/>
      </c>
    </row>
    <row r="2724" spans="4:4" x14ac:dyDescent="0.3">
      <c r="D2724" t="str">
        <f t="shared" si="73"/>
        <v/>
      </c>
    </row>
    <row r="2725" spans="4:4" x14ac:dyDescent="0.3">
      <c r="D2725" t="str">
        <f t="shared" si="73"/>
        <v/>
      </c>
    </row>
    <row r="2726" spans="4:4" x14ac:dyDescent="0.3">
      <c r="D2726" t="str">
        <f t="shared" si="73"/>
        <v/>
      </c>
    </row>
    <row r="2727" spans="4:4" x14ac:dyDescent="0.3">
      <c r="D2727" t="str">
        <f t="shared" si="73"/>
        <v/>
      </c>
    </row>
    <row r="2728" spans="4:4" x14ac:dyDescent="0.3">
      <c r="D2728" t="str">
        <f t="shared" si="73"/>
        <v/>
      </c>
    </row>
    <row r="2729" spans="4:4" x14ac:dyDescent="0.3">
      <c r="D2729" t="str">
        <f t="shared" si="73"/>
        <v/>
      </c>
    </row>
    <row r="2730" spans="4:4" x14ac:dyDescent="0.3">
      <c r="D2730" t="str">
        <f t="shared" si="73"/>
        <v/>
      </c>
    </row>
    <row r="2731" spans="4:4" x14ac:dyDescent="0.3">
      <c r="D2731" t="str">
        <f t="shared" si="73"/>
        <v/>
      </c>
    </row>
    <row r="2732" spans="4:4" x14ac:dyDescent="0.3">
      <c r="D2732" t="str">
        <f t="shared" si="73"/>
        <v/>
      </c>
    </row>
    <row r="2733" spans="4:4" x14ac:dyDescent="0.3">
      <c r="D2733" t="str">
        <f t="shared" si="73"/>
        <v/>
      </c>
    </row>
    <row r="2734" spans="4:4" x14ac:dyDescent="0.3">
      <c r="D2734" t="str">
        <f t="shared" si="73"/>
        <v/>
      </c>
    </row>
    <row r="2735" spans="4:4" x14ac:dyDescent="0.3">
      <c r="D2735" t="str">
        <f t="shared" si="73"/>
        <v/>
      </c>
    </row>
    <row r="2736" spans="4:4" x14ac:dyDescent="0.3">
      <c r="D2736" t="str">
        <f t="shared" si="73"/>
        <v/>
      </c>
    </row>
    <row r="2737" spans="4:4" x14ac:dyDescent="0.3">
      <c r="D2737" t="str">
        <f t="shared" si="73"/>
        <v/>
      </c>
    </row>
    <row r="2738" spans="4:4" x14ac:dyDescent="0.3">
      <c r="D2738" t="str">
        <f t="shared" si="73"/>
        <v/>
      </c>
    </row>
    <row r="2739" spans="4:4" x14ac:dyDescent="0.3">
      <c r="D2739" t="str">
        <f t="shared" si="73"/>
        <v/>
      </c>
    </row>
    <row r="2740" spans="4:4" x14ac:dyDescent="0.3">
      <c r="D2740" t="str">
        <f t="shared" si="73"/>
        <v/>
      </c>
    </row>
    <row r="2741" spans="4:4" x14ac:dyDescent="0.3">
      <c r="D2741" t="str">
        <f t="shared" si="73"/>
        <v/>
      </c>
    </row>
    <row r="2742" spans="4:4" x14ac:dyDescent="0.3">
      <c r="D2742" t="str">
        <f t="shared" si="73"/>
        <v/>
      </c>
    </row>
    <row r="2743" spans="4:4" x14ac:dyDescent="0.3">
      <c r="D2743" t="str">
        <f t="shared" si="73"/>
        <v/>
      </c>
    </row>
    <row r="2744" spans="4:4" x14ac:dyDescent="0.3">
      <c r="D2744" t="str">
        <f t="shared" si="73"/>
        <v/>
      </c>
    </row>
    <row r="2745" spans="4:4" x14ac:dyDescent="0.3">
      <c r="D2745" t="str">
        <f t="shared" si="73"/>
        <v/>
      </c>
    </row>
    <row r="2746" spans="4:4" x14ac:dyDescent="0.3">
      <c r="D2746" t="str">
        <f t="shared" ref="D2746:D2809" si="74">IF(LEFT(A2746,2)="SP",MID(A2746,4,4),IF(LEFT(A2746,1)="X",MID(A2746,3,4),""))</f>
        <v/>
      </c>
    </row>
    <row r="2747" spans="4:4" x14ac:dyDescent="0.3">
      <c r="D2747" t="str">
        <f t="shared" si="74"/>
        <v/>
      </c>
    </row>
    <row r="2748" spans="4:4" x14ac:dyDescent="0.3">
      <c r="D2748" t="str">
        <f t="shared" si="74"/>
        <v/>
      </c>
    </row>
    <row r="2749" spans="4:4" x14ac:dyDescent="0.3">
      <c r="D2749" t="str">
        <f t="shared" si="74"/>
        <v/>
      </c>
    </row>
    <row r="2750" spans="4:4" x14ac:dyDescent="0.3">
      <c r="D2750" t="str">
        <f t="shared" si="74"/>
        <v/>
      </c>
    </row>
    <row r="2751" spans="4:4" x14ac:dyDescent="0.3">
      <c r="D2751" t="str">
        <f t="shared" si="74"/>
        <v/>
      </c>
    </row>
    <row r="2752" spans="4:4" x14ac:dyDescent="0.3">
      <c r="D2752" t="str">
        <f t="shared" si="74"/>
        <v/>
      </c>
    </row>
    <row r="2753" spans="4:4" x14ac:dyDescent="0.3">
      <c r="D2753" t="str">
        <f t="shared" si="74"/>
        <v/>
      </c>
    </row>
    <row r="2754" spans="4:4" x14ac:dyDescent="0.3">
      <c r="D2754" t="str">
        <f t="shared" si="74"/>
        <v/>
      </c>
    </row>
    <row r="2755" spans="4:4" x14ac:dyDescent="0.3">
      <c r="D2755" t="str">
        <f t="shared" si="74"/>
        <v/>
      </c>
    </row>
    <row r="2756" spans="4:4" x14ac:dyDescent="0.3">
      <c r="D2756" t="str">
        <f t="shared" si="74"/>
        <v/>
      </c>
    </row>
    <row r="2757" spans="4:4" x14ac:dyDescent="0.3">
      <c r="D2757" t="str">
        <f t="shared" si="74"/>
        <v/>
      </c>
    </row>
    <row r="2758" spans="4:4" x14ac:dyDescent="0.3">
      <c r="D2758" t="str">
        <f t="shared" si="74"/>
        <v/>
      </c>
    </row>
    <row r="2759" spans="4:4" x14ac:dyDescent="0.3">
      <c r="D2759" t="str">
        <f t="shared" si="74"/>
        <v/>
      </c>
    </row>
    <row r="2760" spans="4:4" x14ac:dyDescent="0.3">
      <c r="D2760" t="str">
        <f t="shared" si="74"/>
        <v/>
      </c>
    </row>
    <row r="2761" spans="4:4" x14ac:dyDescent="0.3">
      <c r="D2761" t="str">
        <f t="shared" si="74"/>
        <v/>
      </c>
    </row>
    <row r="2762" spans="4:4" x14ac:dyDescent="0.3">
      <c r="D2762" t="str">
        <f t="shared" si="74"/>
        <v/>
      </c>
    </row>
    <row r="2763" spans="4:4" x14ac:dyDescent="0.3">
      <c r="D2763" t="str">
        <f t="shared" si="74"/>
        <v/>
      </c>
    </row>
    <row r="2764" spans="4:4" x14ac:dyDescent="0.3">
      <c r="D2764" t="str">
        <f t="shared" si="74"/>
        <v/>
      </c>
    </row>
    <row r="2765" spans="4:4" x14ac:dyDescent="0.3">
      <c r="D2765" t="str">
        <f t="shared" si="74"/>
        <v/>
      </c>
    </row>
    <row r="2766" spans="4:4" x14ac:dyDescent="0.3">
      <c r="D2766" t="str">
        <f t="shared" si="74"/>
        <v/>
      </c>
    </row>
    <row r="2767" spans="4:4" x14ac:dyDescent="0.3">
      <c r="D2767" t="str">
        <f t="shared" si="74"/>
        <v/>
      </c>
    </row>
    <row r="2768" spans="4:4" x14ac:dyDescent="0.3">
      <c r="D2768" t="str">
        <f t="shared" si="74"/>
        <v/>
      </c>
    </row>
    <row r="2769" spans="4:4" x14ac:dyDescent="0.3">
      <c r="D2769" t="str">
        <f t="shared" si="74"/>
        <v/>
      </c>
    </row>
    <row r="2770" spans="4:4" x14ac:dyDescent="0.3">
      <c r="D2770" t="str">
        <f t="shared" si="74"/>
        <v/>
      </c>
    </row>
    <row r="2771" spans="4:4" x14ac:dyDescent="0.3">
      <c r="D2771" t="str">
        <f t="shared" si="74"/>
        <v/>
      </c>
    </row>
    <row r="2772" spans="4:4" x14ac:dyDescent="0.3">
      <c r="D2772" t="str">
        <f t="shared" si="74"/>
        <v/>
      </c>
    </row>
    <row r="2773" spans="4:4" x14ac:dyDescent="0.3">
      <c r="D2773" t="str">
        <f t="shared" si="74"/>
        <v/>
      </c>
    </row>
    <row r="2774" spans="4:4" x14ac:dyDescent="0.3">
      <c r="D2774" t="str">
        <f t="shared" si="74"/>
        <v/>
      </c>
    </row>
    <row r="2775" spans="4:4" x14ac:dyDescent="0.3">
      <c r="D2775" t="str">
        <f t="shared" si="74"/>
        <v/>
      </c>
    </row>
    <row r="2776" spans="4:4" x14ac:dyDescent="0.3">
      <c r="D2776" t="str">
        <f t="shared" si="74"/>
        <v/>
      </c>
    </row>
    <row r="2777" spans="4:4" x14ac:dyDescent="0.3">
      <c r="D2777" t="str">
        <f t="shared" si="74"/>
        <v/>
      </c>
    </row>
    <row r="2778" spans="4:4" x14ac:dyDescent="0.3">
      <c r="D2778" t="str">
        <f t="shared" si="74"/>
        <v/>
      </c>
    </row>
    <row r="2779" spans="4:4" x14ac:dyDescent="0.3">
      <c r="D2779" t="str">
        <f t="shared" si="74"/>
        <v/>
      </c>
    </row>
    <row r="2780" spans="4:4" x14ac:dyDescent="0.3">
      <c r="D2780" t="str">
        <f t="shared" si="74"/>
        <v/>
      </c>
    </row>
    <row r="2781" spans="4:4" x14ac:dyDescent="0.3">
      <c r="D2781" t="str">
        <f t="shared" si="74"/>
        <v/>
      </c>
    </row>
    <row r="2782" spans="4:4" x14ac:dyDescent="0.3">
      <c r="D2782" t="str">
        <f t="shared" si="74"/>
        <v/>
      </c>
    </row>
    <row r="2783" spans="4:4" x14ac:dyDescent="0.3">
      <c r="D2783" t="str">
        <f t="shared" si="74"/>
        <v/>
      </c>
    </row>
    <row r="2784" spans="4:4" x14ac:dyDescent="0.3">
      <c r="D2784" t="str">
        <f t="shared" si="74"/>
        <v/>
      </c>
    </row>
    <row r="2785" spans="4:4" x14ac:dyDescent="0.3">
      <c r="D2785" t="str">
        <f t="shared" si="74"/>
        <v/>
      </c>
    </row>
    <row r="2786" spans="4:4" x14ac:dyDescent="0.3">
      <c r="D2786" t="str">
        <f t="shared" si="74"/>
        <v/>
      </c>
    </row>
    <row r="2787" spans="4:4" x14ac:dyDescent="0.3">
      <c r="D2787" t="str">
        <f t="shared" si="74"/>
        <v/>
      </c>
    </row>
    <row r="2788" spans="4:4" x14ac:dyDescent="0.3">
      <c r="D2788" t="str">
        <f t="shared" si="74"/>
        <v/>
      </c>
    </row>
    <row r="2789" spans="4:4" x14ac:dyDescent="0.3">
      <c r="D2789" t="str">
        <f t="shared" si="74"/>
        <v/>
      </c>
    </row>
    <row r="2790" spans="4:4" x14ac:dyDescent="0.3">
      <c r="D2790" t="str">
        <f t="shared" si="74"/>
        <v/>
      </c>
    </row>
    <row r="2791" spans="4:4" x14ac:dyDescent="0.3">
      <c r="D2791" t="str">
        <f t="shared" si="74"/>
        <v/>
      </c>
    </row>
    <row r="2792" spans="4:4" x14ac:dyDescent="0.3">
      <c r="D2792" t="str">
        <f t="shared" si="74"/>
        <v/>
      </c>
    </row>
    <row r="2793" spans="4:4" x14ac:dyDescent="0.3">
      <c r="D2793" t="str">
        <f t="shared" si="74"/>
        <v/>
      </c>
    </row>
    <row r="2794" spans="4:4" x14ac:dyDescent="0.3">
      <c r="D2794" t="str">
        <f t="shared" si="74"/>
        <v/>
      </c>
    </row>
    <row r="2795" spans="4:4" x14ac:dyDescent="0.3">
      <c r="D2795" t="str">
        <f t="shared" si="74"/>
        <v/>
      </c>
    </row>
    <row r="2796" spans="4:4" x14ac:dyDescent="0.3">
      <c r="D2796" t="str">
        <f t="shared" si="74"/>
        <v/>
      </c>
    </row>
    <row r="2797" spans="4:4" x14ac:dyDescent="0.3">
      <c r="D2797" t="str">
        <f t="shared" si="74"/>
        <v/>
      </c>
    </row>
    <row r="2798" spans="4:4" x14ac:dyDescent="0.3">
      <c r="D2798" t="str">
        <f t="shared" si="74"/>
        <v/>
      </c>
    </row>
    <row r="2799" spans="4:4" x14ac:dyDescent="0.3">
      <c r="D2799" t="str">
        <f t="shared" si="74"/>
        <v/>
      </c>
    </row>
    <row r="2800" spans="4:4" x14ac:dyDescent="0.3">
      <c r="D2800" t="str">
        <f t="shared" si="74"/>
        <v/>
      </c>
    </row>
    <row r="2801" spans="4:4" x14ac:dyDescent="0.3">
      <c r="D2801" t="str">
        <f t="shared" si="74"/>
        <v/>
      </c>
    </row>
    <row r="2802" spans="4:4" x14ac:dyDescent="0.3">
      <c r="D2802" t="str">
        <f t="shared" si="74"/>
        <v/>
      </c>
    </row>
    <row r="2803" spans="4:4" x14ac:dyDescent="0.3">
      <c r="D2803" t="str">
        <f t="shared" si="74"/>
        <v/>
      </c>
    </row>
    <row r="2804" spans="4:4" x14ac:dyDescent="0.3">
      <c r="D2804" t="str">
        <f t="shared" si="74"/>
        <v/>
      </c>
    </row>
    <row r="2805" spans="4:4" x14ac:dyDescent="0.3">
      <c r="D2805" t="str">
        <f t="shared" si="74"/>
        <v/>
      </c>
    </row>
    <row r="2806" spans="4:4" x14ac:dyDescent="0.3">
      <c r="D2806" t="str">
        <f t="shared" si="74"/>
        <v/>
      </c>
    </row>
    <row r="2807" spans="4:4" x14ac:dyDescent="0.3">
      <c r="D2807" t="str">
        <f t="shared" si="74"/>
        <v/>
      </c>
    </row>
    <row r="2808" spans="4:4" x14ac:dyDescent="0.3">
      <c r="D2808" t="str">
        <f t="shared" si="74"/>
        <v/>
      </c>
    </row>
    <row r="2809" spans="4:4" x14ac:dyDescent="0.3">
      <c r="D2809" t="str">
        <f t="shared" si="74"/>
        <v/>
      </c>
    </row>
    <row r="2810" spans="4:4" x14ac:dyDescent="0.3">
      <c r="D2810" t="str">
        <f t="shared" ref="D2810:D2873" si="75">IF(LEFT(A2810,2)="SP",MID(A2810,4,4),IF(LEFT(A2810,1)="X",MID(A2810,3,4),""))</f>
        <v/>
      </c>
    </row>
    <row r="2811" spans="4:4" x14ac:dyDescent="0.3">
      <c r="D2811" t="str">
        <f t="shared" si="75"/>
        <v/>
      </c>
    </row>
    <row r="2812" spans="4:4" x14ac:dyDescent="0.3">
      <c r="D2812" t="str">
        <f t="shared" si="75"/>
        <v/>
      </c>
    </row>
    <row r="2813" spans="4:4" x14ac:dyDescent="0.3">
      <c r="D2813" t="str">
        <f t="shared" si="75"/>
        <v/>
      </c>
    </row>
    <row r="2814" spans="4:4" x14ac:dyDescent="0.3">
      <c r="D2814" t="str">
        <f t="shared" si="75"/>
        <v/>
      </c>
    </row>
    <row r="2815" spans="4:4" x14ac:dyDescent="0.3">
      <c r="D2815" t="str">
        <f t="shared" si="75"/>
        <v/>
      </c>
    </row>
    <row r="2816" spans="4:4" x14ac:dyDescent="0.3">
      <c r="D2816" t="str">
        <f t="shared" si="75"/>
        <v/>
      </c>
    </row>
    <row r="2817" spans="4:4" x14ac:dyDescent="0.3">
      <c r="D2817" t="str">
        <f t="shared" si="75"/>
        <v/>
      </c>
    </row>
    <row r="2818" spans="4:4" x14ac:dyDescent="0.3">
      <c r="D2818" t="str">
        <f t="shared" si="75"/>
        <v/>
      </c>
    </row>
    <row r="2819" spans="4:4" x14ac:dyDescent="0.3">
      <c r="D2819" t="str">
        <f t="shared" si="75"/>
        <v/>
      </c>
    </row>
    <row r="2820" spans="4:4" x14ac:dyDescent="0.3">
      <c r="D2820" t="str">
        <f t="shared" si="75"/>
        <v/>
      </c>
    </row>
    <row r="2821" spans="4:4" x14ac:dyDescent="0.3">
      <c r="D2821" t="str">
        <f t="shared" si="75"/>
        <v/>
      </c>
    </row>
    <row r="2822" spans="4:4" x14ac:dyDescent="0.3">
      <c r="D2822" t="str">
        <f t="shared" si="75"/>
        <v/>
      </c>
    </row>
    <row r="2823" spans="4:4" x14ac:dyDescent="0.3">
      <c r="D2823" t="str">
        <f t="shared" si="75"/>
        <v/>
      </c>
    </row>
    <row r="2824" spans="4:4" x14ac:dyDescent="0.3">
      <c r="D2824" t="str">
        <f t="shared" si="75"/>
        <v/>
      </c>
    </row>
    <row r="2825" spans="4:4" x14ac:dyDescent="0.3">
      <c r="D2825" t="str">
        <f t="shared" si="75"/>
        <v/>
      </c>
    </row>
    <row r="2826" spans="4:4" x14ac:dyDescent="0.3">
      <c r="D2826" t="str">
        <f t="shared" si="75"/>
        <v/>
      </c>
    </row>
    <row r="2827" spans="4:4" x14ac:dyDescent="0.3">
      <c r="D2827" t="str">
        <f t="shared" si="75"/>
        <v/>
      </c>
    </row>
    <row r="2828" spans="4:4" x14ac:dyDescent="0.3">
      <c r="D2828" t="str">
        <f t="shared" si="75"/>
        <v/>
      </c>
    </row>
    <row r="2829" spans="4:4" x14ac:dyDescent="0.3">
      <c r="D2829" t="str">
        <f t="shared" si="75"/>
        <v/>
      </c>
    </row>
    <row r="2830" spans="4:4" x14ac:dyDescent="0.3">
      <c r="D2830" t="str">
        <f t="shared" si="75"/>
        <v/>
      </c>
    </row>
    <row r="2831" spans="4:4" x14ac:dyDescent="0.3">
      <c r="D2831" t="str">
        <f t="shared" si="75"/>
        <v/>
      </c>
    </row>
    <row r="2832" spans="4:4" x14ac:dyDescent="0.3">
      <c r="D2832" t="str">
        <f t="shared" si="75"/>
        <v/>
      </c>
    </row>
    <row r="2833" spans="4:4" x14ac:dyDescent="0.3">
      <c r="D2833" t="str">
        <f t="shared" si="75"/>
        <v/>
      </c>
    </row>
    <row r="2834" spans="4:4" x14ac:dyDescent="0.3">
      <c r="D2834" t="str">
        <f t="shared" si="75"/>
        <v/>
      </c>
    </row>
    <row r="2835" spans="4:4" x14ac:dyDescent="0.3">
      <c r="D2835" t="str">
        <f t="shared" si="75"/>
        <v/>
      </c>
    </row>
    <row r="2836" spans="4:4" x14ac:dyDescent="0.3">
      <c r="D2836" t="str">
        <f t="shared" si="75"/>
        <v/>
      </c>
    </row>
    <row r="2837" spans="4:4" x14ac:dyDescent="0.3">
      <c r="D2837" t="str">
        <f t="shared" si="75"/>
        <v/>
      </c>
    </row>
    <row r="2838" spans="4:4" x14ac:dyDescent="0.3">
      <c r="D2838" t="str">
        <f t="shared" si="75"/>
        <v/>
      </c>
    </row>
    <row r="2839" spans="4:4" x14ac:dyDescent="0.3">
      <c r="D2839" t="str">
        <f t="shared" si="75"/>
        <v/>
      </c>
    </row>
    <row r="2840" spans="4:4" x14ac:dyDescent="0.3">
      <c r="D2840" t="str">
        <f t="shared" si="75"/>
        <v/>
      </c>
    </row>
    <row r="2841" spans="4:4" x14ac:dyDescent="0.3">
      <c r="D2841" t="str">
        <f t="shared" si="75"/>
        <v/>
      </c>
    </row>
    <row r="2842" spans="4:4" x14ac:dyDescent="0.3">
      <c r="D2842" t="str">
        <f t="shared" si="75"/>
        <v/>
      </c>
    </row>
    <row r="2843" spans="4:4" x14ac:dyDescent="0.3">
      <c r="D2843" t="str">
        <f t="shared" si="75"/>
        <v/>
      </c>
    </row>
    <row r="2844" spans="4:4" x14ac:dyDescent="0.3">
      <c r="D2844" t="str">
        <f t="shared" si="75"/>
        <v/>
      </c>
    </row>
    <row r="2845" spans="4:4" x14ac:dyDescent="0.3">
      <c r="D2845" t="str">
        <f t="shared" si="75"/>
        <v/>
      </c>
    </row>
    <row r="2846" spans="4:4" x14ac:dyDescent="0.3">
      <c r="D2846" t="str">
        <f t="shared" si="75"/>
        <v/>
      </c>
    </row>
    <row r="2847" spans="4:4" x14ac:dyDescent="0.3">
      <c r="D2847" t="str">
        <f t="shared" si="75"/>
        <v/>
      </c>
    </row>
    <row r="2848" spans="4:4" x14ac:dyDescent="0.3">
      <c r="D2848" t="str">
        <f t="shared" si="75"/>
        <v/>
      </c>
    </row>
    <row r="2849" spans="4:4" x14ac:dyDescent="0.3">
      <c r="D2849" t="str">
        <f t="shared" si="75"/>
        <v/>
      </c>
    </row>
    <row r="2850" spans="4:4" x14ac:dyDescent="0.3">
      <c r="D2850" t="str">
        <f t="shared" si="75"/>
        <v/>
      </c>
    </row>
    <row r="2851" spans="4:4" x14ac:dyDescent="0.3">
      <c r="D2851" t="str">
        <f t="shared" si="75"/>
        <v/>
      </c>
    </row>
    <row r="2852" spans="4:4" x14ac:dyDescent="0.3">
      <c r="D2852" t="str">
        <f t="shared" si="75"/>
        <v/>
      </c>
    </row>
    <row r="2853" spans="4:4" x14ac:dyDescent="0.3">
      <c r="D2853" t="str">
        <f t="shared" si="75"/>
        <v/>
      </c>
    </row>
    <row r="2854" spans="4:4" x14ac:dyDescent="0.3">
      <c r="D2854" t="str">
        <f t="shared" si="75"/>
        <v/>
      </c>
    </row>
    <row r="2855" spans="4:4" x14ac:dyDescent="0.3">
      <c r="D2855" t="str">
        <f t="shared" si="75"/>
        <v/>
      </c>
    </row>
    <row r="2856" spans="4:4" x14ac:dyDescent="0.3">
      <c r="D2856" t="str">
        <f t="shared" si="75"/>
        <v/>
      </c>
    </row>
    <row r="2857" spans="4:4" x14ac:dyDescent="0.3">
      <c r="D2857" t="str">
        <f t="shared" si="75"/>
        <v/>
      </c>
    </row>
    <row r="2858" spans="4:4" x14ac:dyDescent="0.3">
      <c r="D2858" t="str">
        <f t="shared" si="75"/>
        <v/>
      </c>
    </row>
    <row r="2859" spans="4:4" x14ac:dyDescent="0.3">
      <c r="D2859" t="str">
        <f t="shared" si="75"/>
        <v/>
      </c>
    </row>
    <row r="2860" spans="4:4" x14ac:dyDescent="0.3">
      <c r="D2860" t="str">
        <f t="shared" si="75"/>
        <v/>
      </c>
    </row>
    <row r="2861" spans="4:4" x14ac:dyDescent="0.3">
      <c r="D2861" t="str">
        <f t="shared" si="75"/>
        <v/>
      </c>
    </row>
    <row r="2862" spans="4:4" x14ac:dyDescent="0.3">
      <c r="D2862" t="str">
        <f t="shared" si="75"/>
        <v/>
      </c>
    </row>
    <row r="2863" spans="4:4" x14ac:dyDescent="0.3">
      <c r="D2863" t="str">
        <f t="shared" si="75"/>
        <v/>
      </c>
    </row>
    <row r="2864" spans="4:4" x14ac:dyDescent="0.3">
      <c r="D2864" t="str">
        <f t="shared" si="75"/>
        <v/>
      </c>
    </row>
    <row r="2865" spans="4:4" x14ac:dyDescent="0.3">
      <c r="D2865" t="str">
        <f t="shared" si="75"/>
        <v/>
      </c>
    </row>
    <row r="2866" spans="4:4" x14ac:dyDescent="0.3">
      <c r="D2866" t="str">
        <f t="shared" si="75"/>
        <v/>
      </c>
    </row>
    <row r="2867" spans="4:4" x14ac:dyDescent="0.3">
      <c r="D2867" t="str">
        <f t="shared" si="75"/>
        <v/>
      </c>
    </row>
    <row r="2868" spans="4:4" x14ac:dyDescent="0.3">
      <c r="D2868" t="str">
        <f t="shared" si="75"/>
        <v/>
      </c>
    </row>
    <row r="2869" spans="4:4" x14ac:dyDescent="0.3">
      <c r="D2869" t="str">
        <f t="shared" si="75"/>
        <v/>
      </c>
    </row>
    <row r="2870" spans="4:4" x14ac:dyDescent="0.3">
      <c r="D2870" t="str">
        <f t="shared" si="75"/>
        <v/>
      </c>
    </row>
    <row r="2871" spans="4:4" x14ac:dyDescent="0.3">
      <c r="D2871" t="str">
        <f t="shared" si="75"/>
        <v/>
      </c>
    </row>
    <row r="2872" spans="4:4" x14ac:dyDescent="0.3">
      <c r="D2872" t="str">
        <f t="shared" si="75"/>
        <v/>
      </c>
    </row>
    <row r="2873" spans="4:4" x14ac:dyDescent="0.3">
      <c r="D2873" t="str">
        <f t="shared" si="75"/>
        <v/>
      </c>
    </row>
    <row r="2874" spans="4:4" x14ac:dyDescent="0.3">
      <c r="D2874" t="str">
        <f t="shared" ref="D2874:D2937" si="76">IF(LEFT(A2874,2)="SP",MID(A2874,4,4),IF(LEFT(A2874,1)="X",MID(A2874,3,4),""))</f>
        <v/>
      </c>
    </row>
    <row r="2875" spans="4:4" x14ac:dyDescent="0.3">
      <c r="D2875" t="str">
        <f t="shared" si="76"/>
        <v/>
      </c>
    </row>
    <row r="2876" spans="4:4" x14ac:dyDescent="0.3">
      <c r="D2876" t="str">
        <f t="shared" si="76"/>
        <v/>
      </c>
    </row>
    <row r="2877" spans="4:4" x14ac:dyDescent="0.3">
      <c r="D2877" t="str">
        <f t="shared" si="76"/>
        <v/>
      </c>
    </row>
    <row r="2878" spans="4:4" x14ac:dyDescent="0.3">
      <c r="D2878" t="str">
        <f t="shared" si="76"/>
        <v/>
      </c>
    </row>
    <row r="2879" spans="4:4" x14ac:dyDescent="0.3">
      <c r="D2879" t="str">
        <f t="shared" si="76"/>
        <v/>
      </c>
    </row>
    <row r="2880" spans="4:4" x14ac:dyDescent="0.3">
      <c r="D2880" t="str">
        <f t="shared" si="76"/>
        <v/>
      </c>
    </row>
    <row r="2881" spans="4:4" x14ac:dyDescent="0.3">
      <c r="D2881" t="str">
        <f t="shared" si="76"/>
        <v/>
      </c>
    </row>
    <row r="2882" spans="4:4" x14ac:dyDescent="0.3">
      <c r="D2882" t="str">
        <f t="shared" si="76"/>
        <v/>
      </c>
    </row>
    <row r="2883" spans="4:4" x14ac:dyDescent="0.3">
      <c r="D2883" t="str">
        <f t="shared" si="76"/>
        <v/>
      </c>
    </row>
    <row r="2884" spans="4:4" x14ac:dyDescent="0.3">
      <c r="D2884" t="str">
        <f t="shared" si="76"/>
        <v/>
      </c>
    </row>
    <row r="2885" spans="4:4" x14ac:dyDescent="0.3">
      <c r="D2885" t="str">
        <f t="shared" si="76"/>
        <v/>
      </c>
    </row>
    <row r="2886" spans="4:4" x14ac:dyDescent="0.3">
      <c r="D2886" t="str">
        <f t="shared" si="76"/>
        <v/>
      </c>
    </row>
    <row r="2887" spans="4:4" x14ac:dyDescent="0.3">
      <c r="D2887" t="str">
        <f t="shared" si="76"/>
        <v/>
      </c>
    </row>
    <row r="2888" spans="4:4" x14ac:dyDescent="0.3">
      <c r="D2888" t="str">
        <f t="shared" si="76"/>
        <v/>
      </c>
    </row>
    <row r="2889" spans="4:4" x14ac:dyDescent="0.3">
      <c r="D2889" t="str">
        <f t="shared" si="76"/>
        <v/>
      </c>
    </row>
    <row r="2890" spans="4:4" x14ac:dyDescent="0.3">
      <c r="D2890" t="str">
        <f t="shared" si="76"/>
        <v/>
      </c>
    </row>
    <row r="2891" spans="4:4" x14ac:dyDescent="0.3">
      <c r="D2891" t="str">
        <f t="shared" si="76"/>
        <v/>
      </c>
    </row>
    <row r="2892" spans="4:4" x14ac:dyDescent="0.3">
      <c r="D2892" t="str">
        <f t="shared" si="76"/>
        <v/>
      </c>
    </row>
    <row r="2893" spans="4:4" x14ac:dyDescent="0.3">
      <c r="D2893" t="str">
        <f t="shared" si="76"/>
        <v/>
      </c>
    </row>
    <row r="2894" spans="4:4" x14ac:dyDescent="0.3">
      <c r="D2894" t="str">
        <f t="shared" si="76"/>
        <v/>
      </c>
    </row>
    <row r="2895" spans="4:4" x14ac:dyDescent="0.3">
      <c r="D2895" t="str">
        <f t="shared" si="76"/>
        <v/>
      </c>
    </row>
    <row r="2896" spans="4:4" x14ac:dyDescent="0.3">
      <c r="D2896" t="str">
        <f t="shared" si="76"/>
        <v/>
      </c>
    </row>
    <row r="2897" spans="4:4" x14ac:dyDescent="0.3">
      <c r="D2897" t="str">
        <f t="shared" si="76"/>
        <v/>
      </c>
    </row>
    <row r="2898" spans="4:4" x14ac:dyDescent="0.3">
      <c r="D2898" t="str">
        <f t="shared" si="76"/>
        <v/>
      </c>
    </row>
    <row r="2899" spans="4:4" x14ac:dyDescent="0.3">
      <c r="D2899" t="str">
        <f t="shared" si="76"/>
        <v/>
      </c>
    </row>
    <row r="2900" spans="4:4" x14ac:dyDescent="0.3">
      <c r="D2900" t="str">
        <f t="shared" si="76"/>
        <v/>
      </c>
    </row>
    <row r="2901" spans="4:4" x14ac:dyDescent="0.3">
      <c r="D2901" t="str">
        <f t="shared" si="76"/>
        <v/>
      </c>
    </row>
    <row r="2902" spans="4:4" x14ac:dyDescent="0.3">
      <c r="D2902" t="str">
        <f t="shared" si="76"/>
        <v/>
      </c>
    </row>
    <row r="2903" spans="4:4" x14ac:dyDescent="0.3">
      <c r="D2903" t="str">
        <f t="shared" si="76"/>
        <v/>
      </c>
    </row>
    <row r="2904" spans="4:4" x14ac:dyDescent="0.3">
      <c r="D2904" t="str">
        <f t="shared" si="76"/>
        <v/>
      </c>
    </row>
    <row r="2905" spans="4:4" x14ac:dyDescent="0.3">
      <c r="D2905" t="str">
        <f t="shared" si="76"/>
        <v/>
      </c>
    </row>
    <row r="2906" spans="4:4" x14ac:dyDescent="0.3">
      <c r="D2906" t="str">
        <f t="shared" si="76"/>
        <v/>
      </c>
    </row>
    <row r="2907" spans="4:4" x14ac:dyDescent="0.3">
      <c r="D2907" t="str">
        <f t="shared" si="76"/>
        <v/>
      </c>
    </row>
    <row r="2908" spans="4:4" x14ac:dyDescent="0.3">
      <c r="D2908" t="str">
        <f t="shared" si="76"/>
        <v/>
      </c>
    </row>
    <row r="2909" spans="4:4" x14ac:dyDescent="0.3">
      <c r="D2909" t="str">
        <f t="shared" si="76"/>
        <v/>
      </c>
    </row>
    <row r="2910" spans="4:4" x14ac:dyDescent="0.3">
      <c r="D2910" t="str">
        <f t="shared" si="76"/>
        <v/>
      </c>
    </row>
    <row r="2911" spans="4:4" x14ac:dyDescent="0.3">
      <c r="D2911" t="str">
        <f t="shared" si="76"/>
        <v/>
      </c>
    </row>
    <row r="2912" spans="4:4" x14ac:dyDescent="0.3">
      <c r="D2912" t="str">
        <f t="shared" si="76"/>
        <v/>
      </c>
    </row>
    <row r="2913" spans="4:4" x14ac:dyDescent="0.3">
      <c r="D2913" t="str">
        <f t="shared" si="76"/>
        <v/>
      </c>
    </row>
    <row r="2914" spans="4:4" x14ac:dyDescent="0.3">
      <c r="D2914" t="str">
        <f t="shared" si="76"/>
        <v/>
      </c>
    </row>
    <row r="2915" spans="4:4" x14ac:dyDescent="0.3">
      <c r="D2915" t="str">
        <f t="shared" si="76"/>
        <v/>
      </c>
    </row>
    <row r="2916" spans="4:4" x14ac:dyDescent="0.3">
      <c r="D2916" t="str">
        <f t="shared" si="76"/>
        <v/>
      </c>
    </row>
    <row r="2917" spans="4:4" x14ac:dyDescent="0.3">
      <c r="D2917" t="str">
        <f t="shared" si="76"/>
        <v/>
      </c>
    </row>
    <row r="2918" spans="4:4" x14ac:dyDescent="0.3">
      <c r="D2918" t="str">
        <f t="shared" si="76"/>
        <v/>
      </c>
    </row>
    <row r="2919" spans="4:4" x14ac:dyDescent="0.3">
      <c r="D2919" t="str">
        <f t="shared" si="76"/>
        <v/>
      </c>
    </row>
    <row r="2920" spans="4:4" x14ac:dyDescent="0.3">
      <c r="D2920" t="str">
        <f t="shared" si="76"/>
        <v/>
      </c>
    </row>
    <row r="2921" spans="4:4" x14ac:dyDescent="0.3">
      <c r="D2921" t="str">
        <f t="shared" si="76"/>
        <v/>
      </c>
    </row>
    <row r="2922" spans="4:4" x14ac:dyDescent="0.3">
      <c r="D2922" t="str">
        <f t="shared" si="76"/>
        <v/>
      </c>
    </row>
    <row r="2923" spans="4:4" x14ac:dyDescent="0.3">
      <c r="D2923" t="str">
        <f t="shared" si="76"/>
        <v/>
      </c>
    </row>
    <row r="2924" spans="4:4" x14ac:dyDescent="0.3">
      <c r="D2924" t="str">
        <f t="shared" si="76"/>
        <v/>
      </c>
    </row>
    <row r="2925" spans="4:4" x14ac:dyDescent="0.3">
      <c r="D2925" t="str">
        <f t="shared" si="76"/>
        <v/>
      </c>
    </row>
    <row r="2926" spans="4:4" x14ac:dyDescent="0.3">
      <c r="D2926" t="str">
        <f t="shared" si="76"/>
        <v/>
      </c>
    </row>
    <row r="2927" spans="4:4" x14ac:dyDescent="0.3">
      <c r="D2927" t="str">
        <f t="shared" si="76"/>
        <v/>
      </c>
    </row>
    <row r="2928" spans="4:4" x14ac:dyDescent="0.3">
      <c r="D2928" t="str">
        <f t="shared" si="76"/>
        <v/>
      </c>
    </row>
    <row r="2929" spans="4:4" x14ac:dyDescent="0.3">
      <c r="D2929" t="str">
        <f t="shared" si="76"/>
        <v/>
      </c>
    </row>
    <row r="2930" spans="4:4" x14ac:dyDescent="0.3">
      <c r="D2930" t="str">
        <f t="shared" si="76"/>
        <v/>
      </c>
    </row>
    <row r="2931" spans="4:4" x14ac:dyDescent="0.3">
      <c r="D2931" t="str">
        <f t="shared" si="76"/>
        <v/>
      </c>
    </row>
    <row r="2932" spans="4:4" x14ac:dyDescent="0.3">
      <c r="D2932" t="str">
        <f t="shared" si="76"/>
        <v/>
      </c>
    </row>
    <row r="2933" spans="4:4" x14ac:dyDescent="0.3">
      <c r="D2933" t="str">
        <f t="shared" si="76"/>
        <v/>
      </c>
    </row>
    <row r="2934" spans="4:4" x14ac:dyDescent="0.3">
      <c r="D2934" t="str">
        <f t="shared" si="76"/>
        <v/>
      </c>
    </row>
    <row r="2935" spans="4:4" x14ac:dyDescent="0.3">
      <c r="D2935" t="str">
        <f t="shared" si="76"/>
        <v/>
      </c>
    </row>
    <row r="2936" spans="4:4" x14ac:dyDescent="0.3">
      <c r="D2936" t="str">
        <f t="shared" si="76"/>
        <v/>
      </c>
    </row>
    <row r="2937" spans="4:4" x14ac:dyDescent="0.3">
      <c r="D2937" t="str">
        <f t="shared" si="76"/>
        <v/>
      </c>
    </row>
    <row r="2938" spans="4:4" x14ac:dyDescent="0.3">
      <c r="D2938" t="str">
        <f t="shared" ref="D2938:D3001" si="77">IF(LEFT(A2938,2)="SP",MID(A2938,4,4),IF(LEFT(A2938,1)="X",MID(A2938,3,4),""))</f>
        <v/>
      </c>
    </row>
    <row r="2939" spans="4:4" x14ac:dyDescent="0.3">
      <c r="D2939" t="str">
        <f t="shared" si="77"/>
        <v/>
      </c>
    </row>
    <row r="2940" spans="4:4" x14ac:dyDescent="0.3">
      <c r="D2940" t="str">
        <f t="shared" si="77"/>
        <v/>
      </c>
    </row>
    <row r="2941" spans="4:4" x14ac:dyDescent="0.3">
      <c r="D2941" t="str">
        <f t="shared" si="77"/>
        <v/>
      </c>
    </row>
    <row r="2942" spans="4:4" x14ac:dyDescent="0.3">
      <c r="D2942" t="str">
        <f t="shared" si="77"/>
        <v/>
      </c>
    </row>
    <row r="2943" spans="4:4" x14ac:dyDescent="0.3">
      <c r="D2943" t="str">
        <f t="shared" si="77"/>
        <v/>
      </c>
    </row>
    <row r="2944" spans="4:4" x14ac:dyDescent="0.3">
      <c r="D2944" t="str">
        <f t="shared" si="77"/>
        <v/>
      </c>
    </row>
    <row r="2945" spans="4:4" x14ac:dyDescent="0.3">
      <c r="D2945" t="str">
        <f t="shared" si="77"/>
        <v/>
      </c>
    </row>
    <row r="2946" spans="4:4" x14ac:dyDescent="0.3">
      <c r="D2946" t="str">
        <f t="shared" si="77"/>
        <v/>
      </c>
    </row>
    <row r="2947" spans="4:4" x14ac:dyDescent="0.3">
      <c r="D2947" t="str">
        <f t="shared" si="77"/>
        <v/>
      </c>
    </row>
    <row r="2948" spans="4:4" x14ac:dyDescent="0.3">
      <c r="D2948" t="str">
        <f t="shared" si="77"/>
        <v/>
      </c>
    </row>
    <row r="2949" spans="4:4" x14ac:dyDescent="0.3">
      <c r="D2949" t="str">
        <f t="shared" si="77"/>
        <v/>
      </c>
    </row>
    <row r="2950" spans="4:4" x14ac:dyDescent="0.3">
      <c r="D2950" t="str">
        <f t="shared" si="77"/>
        <v/>
      </c>
    </row>
    <row r="2951" spans="4:4" x14ac:dyDescent="0.3">
      <c r="D2951" t="str">
        <f t="shared" si="77"/>
        <v/>
      </c>
    </row>
    <row r="2952" spans="4:4" x14ac:dyDescent="0.3">
      <c r="D2952" t="str">
        <f t="shared" si="77"/>
        <v/>
      </c>
    </row>
    <row r="2953" spans="4:4" x14ac:dyDescent="0.3">
      <c r="D2953" t="str">
        <f t="shared" si="77"/>
        <v/>
      </c>
    </row>
    <row r="2954" spans="4:4" x14ac:dyDescent="0.3">
      <c r="D2954" t="str">
        <f t="shared" si="77"/>
        <v/>
      </c>
    </row>
    <row r="2955" spans="4:4" x14ac:dyDescent="0.3">
      <c r="D2955" t="str">
        <f t="shared" si="77"/>
        <v/>
      </c>
    </row>
    <row r="2956" spans="4:4" x14ac:dyDescent="0.3">
      <c r="D2956" t="str">
        <f t="shared" si="77"/>
        <v/>
      </c>
    </row>
    <row r="2957" spans="4:4" x14ac:dyDescent="0.3">
      <c r="D2957" t="str">
        <f t="shared" si="77"/>
        <v/>
      </c>
    </row>
    <row r="2958" spans="4:4" x14ac:dyDescent="0.3">
      <c r="D2958" t="str">
        <f t="shared" si="77"/>
        <v/>
      </c>
    </row>
    <row r="2959" spans="4:4" x14ac:dyDescent="0.3">
      <c r="D2959" t="str">
        <f t="shared" si="77"/>
        <v/>
      </c>
    </row>
    <row r="2960" spans="4:4" x14ac:dyDescent="0.3">
      <c r="D2960" t="str">
        <f t="shared" si="77"/>
        <v/>
      </c>
    </row>
    <row r="2961" spans="4:4" x14ac:dyDescent="0.3">
      <c r="D2961" t="str">
        <f t="shared" si="77"/>
        <v/>
      </c>
    </row>
    <row r="2962" spans="4:4" x14ac:dyDescent="0.3">
      <c r="D2962" t="str">
        <f t="shared" si="77"/>
        <v/>
      </c>
    </row>
    <row r="2963" spans="4:4" x14ac:dyDescent="0.3">
      <c r="D2963" t="str">
        <f t="shared" si="77"/>
        <v/>
      </c>
    </row>
    <row r="2964" spans="4:4" x14ac:dyDescent="0.3">
      <c r="D2964" t="str">
        <f t="shared" si="77"/>
        <v/>
      </c>
    </row>
    <row r="2965" spans="4:4" x14ac:dyDescent="0.3">
      <c r="D2965" t="str">
        <f t="shared" si="77"/>
        <v/>
      </c>
    </row>
    <row r="2966" spans="4:4" x14ac:dyDescent="0.3">
      <c r="D2966" t="str">
        <f t="shared" si="77"/>
        <v/>
      </c>
    </row>
    <row r="2967" spans="4:4" x14ac:dyDescent="0.3">
      <c r="D2967" t="str">
        <f t="shared" si="77"/>
        <v/>
      </c>
    </row>
    <row r="2968" spans="4:4" x14ac:dyDescent="0.3">
      <c r="D2968" t="str">
        <f t="shared" si="77"/>
        <v/>
      </c>
    </row>
    <row r="2969" spans="4:4" x14ac:dyDescent="0.3">
      <c r="D2969" t="str">
        <f t="shared" si="77"/>
        <v/>
      </c>
    </row>
    <row r="2970" spans="4:4" x14ac:dyDescent="0.3">
      <c r="D2970" t="str">
        <f t="shared" si="77"/>
        <v/>
      </c>
    </row>
    <row r="2971" spans="4:4" x14ac:dyDescent="0.3">
      <c r="D2971" t="str">
        <f t="shared" si="77"/>
        <v/>
      </c>
    </row>
    <row r="2972" spans="4:4" x14ac:dyDescent="0.3">
      <c r="D2972" t="str">
        <f t="shared" si="77"/>
        <v/>
      </c>
    </row>
    <row r="2973" spans="4:4" x14ac:dyDescent="0.3">
      <c r="D2973" t="str">
        <f t="shared" si="77"/>
        <v/>
      </c>
    </row>
    <row r="2974" spans="4:4" x14ac:dyDescent="0.3">
      <c r="D2974" t="str">
        <f t="shared" si="77"/>
        <v/>
      </c>
    </row>
    <row r="2975" spans="4:4" x14ac:dyDescent="0.3">
      <c r="D2975" t="str">
        <f t="shared" si="77"/>
        <v/>
      </c>
    </row>
    <row r="2976" spans="4:4" x14ac:dyDescent="0.3">
      <c r="D2976" t="str">
        <f t="shared" si="77"/>
        <v/>
      </c>
    </row>
    <row r="2977" spans="4:4" x14ac:dyDescent="0.3">
      <c r="D2977" t="str">
        <f t="shared" si="77"/>
        <v/>
      </c>
    </row>
    <row r="2978" spans="4:4" x14ac:dyDescent="0.3">
      <c r="D2978" t="str">
        <f t="shared" si="77"/>
        <v/>
      </c>
    </row>
    <row r="2979" spans="4:4" x14ac:dyDescent="0.3">
      <c r="D2979" t="str">
        <f t="shared" si="77"/>
        <v/>
      </c>
    </row>
    <row r="2980" spans="4:4" x14ac:dyDescent="0.3">
      <c r="D2980" t="str">
        <f t="shared" si="77"/>
        <v/>
      </c>
    </row>
    <row r="2981" spans="4:4" x14ac:dyDescent="0.3">
      <c r="D2981" t="str">
        <f t="shared" si="77"/>
        <v/>
      </c>
    </row>
    <row r="2982" spans="4:4" x14ac:dyDescent="0.3">
      <c r="D2982" t="str">
        <f t="shared" si="77"/>
        <v/>
      </c>
    </row>
    <row r="2983" spans="4:4" x14ac:dyDescent="0.3">
      <c r="D2983" t="str">
        <f t="shared" si="77"/>
        <v/>
      </c>
    </row>
    <row r="2984" spans="4:4" x14ac:dyDescent="0.3">
      <c r="D2984" t="str">
        <f t="shared" si="77"/>
        <v/>
      </c>
    </row>
    <row r="2985" spans="4:4" x14ac:dyDescent="0.3">
      <c r="D2985" t="str">
        <f t="shared" si="77"/>
        <v/>
      </c>
    </row>
    <row r="2986" spans="4:4" x14ac:dyDescent="0.3">
      <c r="D2986" t="str">
        <f t="shared" si="77"/>
        <v/>
      </c>
    </row>
    <row r="2987" spans="4:4" x14ac:dyDescent="0.3">
      <c r="D2987" t="str">
        <f t="shared" si="77"/>
        <v/>
      </c>
    </row>
    <row r="2988" spans="4:4" x14ac:dyDescent="0.3">
      <c r="D2988" t="str">
        <f t="shared" si="77"/>
        <v/>
      </c>
    </row>
    <row r="2989" spans="4:4" x14ac:dyDescent="0.3">
      <c r="D2989" t="str">
        <f t="shared" si="77"/>
        <v/>
      </c>
    </row>
    <row r="2990" spans="4:4" x14ac:dyDescent="0.3">
      <c r="D2990" t="str">
        <f t="shared" si="77"/>
        <v/>
      </c>
    </row>
    <row r="2991" spans="4:4" x14ac:dyDescent="0.3">
      <c r="D2991" t="str">
        <f t="shared" si="77"/>
        <v/>
      </c>
    </row>
    <row r="2992" spans="4:4" x14ac:dyDescent="0.3">
      <c r="D2992" t="str">
        <f t="shared" si="77"/>
        <v/>
      </c>
    </row>
    <row r="2993" spans="4:4" x14ac:dyDescent="0.3">
      <c r="D2993" t="str">
        <f t="shared" si="77"/>
        <v/>
      </c>
    </row>
    <row r="2994" spans="4:4" x14ac:dyDescent="0.3">
      <c r="D2994" t="str">
        <f t="shared" si="77"/>
        <v/>
      </c>
    </row>
    <row r="2995" spans="4:4" x14ac:dyDescent="0.3">
      <c r="D2995" t="str">
        <f t="shared" si="77"/>
        <v/>
      </c>
    </row>
    <row r="2996" spans="4:4" x14ac:dyDescent="0.3">
      <c r="D2996" t="str">
        <f t="shared" si="77"/>
        <v/>
      </c>
    </row>
    <row r="2997" spans="4:4" x14ac:dyDescent="0.3">
      <c r="D2997" t="str">
        <f t="shared" si="77"/>
        <v/>
      </c>
    </row>
    <row r="2998" spans="4:4" x14ac:dyDescent="0.3">
      <c r="D2998" t="str">
        <f t="shared" si="77"/>
        <v/>
      </c>
    </row>
    <row r="2999" spans="4:4" x14ac:dyDescent="0.3">
      <c r="D2999" t="str">
        <f t="shared" si="77"/>
        <v/>
      </c>
    </row>
    <row r="3000" spans="4:4" x14ac:dyDescent="0.3">
      <c r="D3000" t="str">
        <f t="shared" si="77"/>
        <v/>
      </c>
    </row>
    <row r="3001" spans="4:4" x14ac:dyDescent="0.3">
      <c r="D3001" t="str">
        <f t="shared" si="77"/>
        <v/>
      </c>
    </row>
    <row r="3002" spans="4:4" x14ac:dyDescent="0.3">
      <c r="D3002" t="str">
        <f t="shared" ref="D3002:D3065" si="78">IF(LEFT(A3002,2)="SP",MID(A3002,4,4),IF(LEFT(A3002,1)="X",MID(A3002,3,4),""))</f>
        <v/>
      </c>
    </row>
    <row r="3003" spans="4:4" x14ac:dyDescent="0.3">
      <c r="D3003" t="str">
        <f t="shared" si="78"/>
        <v/>
      </c>
    </row>
    <row r="3004" spans="4:4" x14ac:dyDescent="0.3">
      <c r="D3004" t="str">
        <f t="shared" si="78"/>
        <v/>
      </c>
    </row>
    <row r="3005" spans="4:4" x14ac:dyDescent="0.3">
      <c r="D3005" t="str">
        <f t="shared" si="78"/>
        <v/>
      </c>
    </row>
    <row r="3006" spans="4:4" x14ac:dyDescent="0.3">
      <c r="D3006" t="str">
        <f t="shared" si="78"/>
        <v/>
      </c>
    </row>
    <row r="3007" spans="4:4" x14ac:dyDescent="0.3">
      <c r="D3007" t="str">
        <f t="shared" si="78"/>
        <v/>
      </c>
    </row>
    <row r="3008" spans="4:4" x14ac:dyDescent="0.3">
      <c r="D3008" t="str">
        <f t="shared" si="78"/>
        <v/>
      </c>
    </row>
    <row r="3009" spans="4:4" x14ac:dyDescent="0.3">
      <c r="D3009" t="str">
        <f t="shared" si="78"/>
        <v/>
      </c>
    </row>
    <row r="3010" spans="4:4" x14ac:dyDescent="0.3">
      <c r="D3010" t="str">
        <f t="shared" si="78"/>
        <v/>
      </c>
    </row>
    <row r="3011" spans="4:4" x14ac:dyDescent="0.3">
      <c r="D3011" t="str">
        <f t="shared" si="78"/>
        <v/>
      </c>
    </row>
    <row r="3012" spans="4:4" x14ac:dyDescent="0.3">
      <c r="D3012" t="str">
        <f t="shared" si="78"/>
        <v/>
      </c>
    </row>
    <row r="3013" spans="4:4" x14ac:dyDescent="0.3">
      <c r="D3013" t="str">
        <f t="shared" si="78"/>
        <v/>
      </c>
    </row>
    <row r="3014" spans="4:4" x14ac:dyDescent="0.3">
      <c r="D3014" t="str">
        <f t="shared" si="78"/>
        <v/>
      </c>
    </row>
    <row r="3015" spans="4:4" x14ac:dyDescent="0.3">
      <c r="D3015" t="str">
        <f t="shared" si="78"/>
        <v/>
      </c>
    </row>
    <row r="3016" spans="4:4" x14ac:dyDescent="0.3">
      <c r="D3016" t="str">
        <f t="shared" si="78"/>
        <v/>
      </c>
    </row>
    <row r="3017" spans="4:4" x14ac:dyDescent="0.3">
      <c r="D3017" t="str">
        <f t="shared" si="78"/>
        <v/>
      </c>
    </row>
    <row r="3018" spans="4:4" x14ac:dyDescent="0.3">
      <c r="D3018" t="str">
        <f t="shared" si="78"/>
        <v/>
      </c>
    </row>
    <row r="3019" spans="4:4" x14ac:dyDescent="0.3">
      <c r="D3019" t="str">
        <f t="shared" si="78"/>
        <v/>
      </c>
    </row>
    <row r="3020" spans="4:4" x14ac:dyDescent="0.3">
      <c r="D3020" t="str">
        <f t="shared" si="78"/>
        <v/>
      </c>
    </row>
    <row r="3021" spans="4:4" x14ac:dyDescent="0.3">
      <c r="D3021" t="str">
        <f t="shared" si="78"/>
        <v/>
      </c>
    </row>
    <row r="3022" spans="4:4" x14ac:dyDescent="0.3">
      <c r="D3022" t="str">
        <f t="shared" si="78"/>
        <v/>
      </c>
    </row>
    <row r="3023" spans="4:4" x14ac:dyDescent="0.3">
      <c r="D3023" t="str">
        <f t="shared" si="78"/>
        <v/>
      </c>
    </row>
    <row r="3024" spans="4:4" x14ac:dyDescent="0.3">
      <c r="D3024" t="str">
        <f t="shared" si="78"/>
        <v/>
      </c>
    </row>
    <row r="3025" spans="4:4" x14ac:dyDescent="0.3">
      <c r="D3025" t="str">
        <f t="shared" si="78"/>
        <v/>
      </c>
    </row>
    <row r="3026" spans="4:4" x14ac:dyDescent="0.3">
      <c r="D3026" t="str">
        <f t="shared" si="78"/>
        <v/>
      </c>
    </row>
    <row r="3027" spans="4:4" x14ac:dyDescent="0.3">
      <c r="D3027" t="str">
        <f t="shared" si="78"/>
        <v/>
      </c>
    </row>
    <row r="3028" spans="4:4" x14ac:dyDescent="0.3">
      <c r="D3028" t="str">
        <f t="shared" si="78"/>
        <v/>
      </c>
    </row>
    <row r="3029" spans="4:4" x14ac:dyDescent="0.3">
      <c r="D3029" t="str">
        <f t="shared" si="78"/>
        <v/>
      </c>
    </row>
    <row r="3030" spans="4:4" x14ac:dyDescent="0.3">
      <c r="D3030" t="str">
        <f t="shared" si="78"/>
        <v/>
      </c>
    </row>
    <row r="3031" spans="4:4" x14ac:dyDescent="0.3">
      <c r="D3031" t="str">
        <f t="shared" si="78"/>
        <v/>
      </c>
    </row>
    <row r="3032" spans="4:4" x14ac:dyDescent="0.3">
      <c r="D3032" t="str">
        <f t="shared" si="78"/>
        <v/>
      </c>
    </row>
    <row r="3033" spans="4:4" x14ac:dyDescent="0.3">
      <c r="D3033" t="str">
        <f t="shared" si="78"/>
        <v/>
      </c>
    </row>
    <row r="3034" spans="4:4" x14ac:dyDescent="0.3">
      <c r="D3034" t="str">
        <f t="shared" si="78"/>
        <v/>
      </c>
    </row>
    <row r="3035" spans="4:4" x14ac:dyDescent="0.3">
      <c r="D3035" t="str">
        <f t="shared" si="78"/>
        <v/>
      </c>
    </row>
    <row r="3036" spans="4:4" x14ac:dyDescent="0.3">
      <c r="D3036" t="str">
        <f t="shared" si="78"/>
        <v/>
      </c>
    </row>
    <row r="3037" spans="4:4" x14ac:dyDescent="0.3">
      <c r="D3037" t="str">
        <f t="shared" si="78"/>
        <v/>
      </c>
    </row>
    <row r="3038" spans="4:4" x14ac:dyDescent="0.3">
      <c r="D3038" t="str">
        <f t="shared" si="78"/>
        <v/>
      </c>
    </row>
    <row r="3039" spans="4:4" x14ac:dyDescent="0.3">
      <c r="D3039" t="str">
        <f t="shared" si="78"/>
        <v/>
      </c>
    </row>
    <row r="3040" spans="4:4" x14ac:dyDescent="0.3">
      <c r="D3040" t="str">
        <f t="shared" si="78"/>
        <v/>
      </c>
    </row>
    <row r="3041" spans="4:4" x14ac:dyDescent="0.3">
      <c r="D3041" t="str">
        <f t="shared" si="78"/>
        <v/>
      </c>
    </row>
    <row r="3042" spans="4:4" x14ac:dyDescent="0.3">
      <c r="D3042" t="str">
        <f t="shared" si="78"/>
        <v/>
      </c>
    </row>
    <row r="3043" spans="4:4" x14ac:dyDescent="0.3">
      <c r="D3043" t="str">
        <f t="shared" si="78"/>
        <v/>
      </c>
    </row>
    <row r="3044" spans="4:4" x14ac:dyDescent="0.3">
      <c r="D3044" t="str">
        <f t="shared" si="78"/>
        <v/>
      </c>
    </row>
    <row r="3045" spans="4:4" x14ac:dyDescent="0.3">
      <c r="D3045" t="str">
        <f t="shared" si="78"/>
        <v/>
      </c>
    </row>
    <row r="3046" spans="4:4" x14ac:dyDescent="0.3">
      <c r="D3046" t="str">
        <f t="shared" si="78"/>
        <v/>
      </c>
    </row>
    <row r="3047" spans="4:4" x14ac:dyDescent="0.3">
      <c r="D3047" t="str">
        <f t="shared" si="78"/>
        <v/>
      </c>
    </row>
    <row r="3048" spans="4:4" x14ac:dyDescent="0.3">
      <c r="D3048" t="str">
        <f t="shared" si="78"/>
        <v/>
      </c>
    </row>
    <row r="3049" spans="4:4" x14ac:dyDescent="0.3">
      <c r="D3049" t="str">
        <f t="shared" si="78"/>
        <v/>
      </c>
    </row>
    <row r="3050" spans="4:4" x14ac:dyDescent="0.3">
      <c r="D3050" t="str">
        <f t="shared" si="78"/>
        <v/>
      </c>
    </row>
    <row r="3051" spans="4:4" x14ac:dyDescent="0.3">
      <c r="D3051" t="str">
        <f t="shared" si="78"/>
        <v/>
      </c>
    </row>
    <row r="3052" spans="4:4" x14ac:dyDescent="0.3">
      <c r="D3052" t="str">
        <f t="shared" si="78"/>
        <v/>
      </c>
    </row>
    <row r="3053" spans="4:4" x14ac:dyDescent="0.3">
      <c r="D3053" t="str">
        <f t="shared" si="78"/>
        <v/>
      </c>
    </row>
    <row r="3054" spans="4:4" x14ac:dyDescent="0.3">
      <c r="D3054" t="str">
        <f t="shared" si="78"/>
        <v/>
      </c>
    </row>
    <row r="3055" spans="4:4" x14ac:dyDescent="0.3">
      <c r="D3055" t="str">
        <f t="shared" si="78"/>
        <v/>
      </c>
    </row>
    <row r="3056" spans="4:4" x14ac:dyDescent="0.3">
      <c r="D3056" t="str">
        <f t="shared" si="78"/>
        <v/>
      </c>
    </row>
    <row r="3057" spans="4:4" x14ac:dyDescent="0.3">
      <c r="D3057" t="str">
        <f t="shared" si="78"/>
        <v/>
      </c>
    </row>
    <row r="3058" spans="4:4" x14ac:dyDescent="0.3">
      <c r="D3058" t="str">
        <f t="shared" si="78"/>
        <v/>
      </c>
    </row>
    <row r="3059" spans="4:4" x14ac:dyDescent="0.3">
      <c r="D3059" t="str">
        <f t="shared" si="78"/>
        <v/>
      </c>
    </row>
    <row r="3060" spans="4:4" x14ac:dyDescent="0.3">
      <c r="D3060" t="str">
        <f t="shared" si="78"/>
        <v/>
      </c>
    </row>
    <row r="3061" spans="4:4" x14ac:dyDescent="0.3">
      <c r="D3061" t="str">
        <f t="shared" si="78"/>
        <v/>
      </c>
    </row>
    <row r="3062" spans="4:4" x14ac:dyDescent="0.3">
      <c r="D3062" t="str">
        <f t="shared" si="78"/>
        <v/>
      </c>
    </row>
    <row r="3063" spans="4:4" x14ac:dyDescent="0.3">
      <c r="D3063" t="str">
        <f t="shared" si="78"/>
        <v/>
      </c>
    </row>
    <row r="3064" spans="4:4" x14ac:dyDescent="0.3">
      <c r="D3064" t="str">
        <f t="shared" si="78"/>
        <v/>
      </c>
    </row>
    <row r="3065" spans="4:4" x14ac:dyDescent="0.3">
      <c r="D3065" t="str">
        <f t="shared" si="78"/>
        <v/>
      </c>
    </row>
    <row r="3066" spans="4:4" x14ac:dyDescent="0.3">
      <c r="D3066" t="str">
        <f t="shared" ref="D3066:D3129" si="79">IF(LEFT(A3066,2)="SP",MID(A3066,4,4),IF(LEFT(A3066,1)="X",MID(A3066,3,4),""))</f>
        <v/>
      </c>
    </row>
    <row r="3067" spans="4:4" x14ac:dyDescent="0.3">
      <c r="D3067" t="str">
        <f t="shared" si="79"/>
        <v/>
      </c>
    </row>
    <row r="3068" spans="4:4" x14ac:dyDescent="0.3">
      <c r="D3068" t="str">
        <f t="shared" si="79"/>
        <v/>
      </c>
    </row>
    <row r="3069" spans="4:4" x14ac:dyDescent="0.3">
      <c r="D3069" t="str">
        <f t="shared" si="79"/>
        <v/>
      </c>
    </row>
    <row r="3070" spans="4:4" x14ac:dyDescent="0.3">
      <c r="D3070" t="str">
        <f t="shared" si="79"/>
        <v/>
      </c>
    </row>
    <row r="3071" spans="4:4" x14ac:dyDescent="0.3">
      <c r="D3071" t="str">
        <f t="shared" si="79"/>
        <v/>
      </c>
    </row>
    <row r="3072" spans="4:4" x14ac:dyDescent="0.3">
      <c r="D3072" t="str">
        <f t="shared" si="79"/>
        <v/>
      </c>
    </row>
    <row r="3073" spans="4:4" x14ac:dyDescent="0.3">
      <c r="D3073" t="str">
        <f t="shared" si="79"/>
        <v/>
      </c>
    </row>
    <row r="3074" spans="4:4" x14ac:dyDescent="0.3">
      <c r="D3074" t="str">
        <f t="shared" si="79"/>
        <v/>
      </c>
    </row>
    <row r="3075" spans="4:4" x14ac:dyDescent="0.3">
      <c r="D3075" t="str">
        <f t="shared" si="79"/>
        <v/>
      </c>
    </row>
    <row r="3076" spans="4:4" x14ac:dyDescent="0.3">
      <c r="D3076" t="str">
        <f t="shared" si="79"/>
        <v/>
      </c>
    </row>
    <row r="3077" spans="4:4" x14ac:dyDescent="0.3">
      <c r="D3077" t="str">
        <f t="shared" si="79"/>
        <v/>
      </c>
    </row>
    <row r="3078" spans="4:4" x14ac:dyDescent="0.3">
      <c r="D3078" t="str">
        <f t="shared" si="79"/>
        <v/>
      </c>
    </row>
    <row r="3079" spans="4:4" x14ac:dyDescent="0.3">
      <c r="D3079" t="str">
        <f t="shared" si="79"/>
        <v/>
      </c>
    </row>
    <row r="3080" spans="4:4" x14ac:dyDescent="0.3">
      <c r="D3080" t="str">
        <f t="shared" si="79"/>
        <v/>
      </c>
    </row>
    <row r="3081" spans="4:4" x14ac:dyDescent="0.3">
      <c r="D3081" t="str">
        <f t="shared" si="79"/>
        <v/>
      </c>
    </row>
    <row r="3082" spans="4:4" x14ac:dyDescent="0.3">
      <c r="D3082" t="str">
        <f t="shared" si="79"/>
        <v/>
      </c>
    </row>
    <row r="3083" spans="4:4" x14ac:dyDescent="0.3">
      <c r="D3083" t="str">
        <f t="shared" si="79"/>
        <v/>
      </c>
    </row>
    <row r="3084" spans="4:4" x14ac:dyDescent="0.3">
      <c r="D3084" t="str">
        <f t="shared" si="79"/>
        <v/>
      </c>
    </row>
    <row r="3085" spans="4:4" x14ac:dyDescent="0.3">
      <c r="D3085" t="str">
        <f t="shared" si="79"/>
        <v/>
      </c>
    </row>
    <row r="3086" spans="4:4" x14ac:dyDescent="0.3">
      <c r="D3086" t="str">
        <f t="shared" si="79"/>
        <v/>
      </c>
    </row>
    <row r="3087" spans="4:4" x14ac:dyDescent="0.3">
      <c r="D3087" t="str">
        <f t="shared" si="79"/>
        <v/>
      </c>
    </row>
    <row r="3088" spans="4:4" x14ac:dyDescent="0.3">
      <c r="D3088" t="str">
        <f t="shared" si="79"/>
        <v/>
      </c>
    </row>
    <row r="3089" spans="4:4" x14ac:dyDescent="0.3">
      <c r="D3089" t="str">
        <f t="shared" si="79"/>
        <v/>
      </c>
    </row>
    <row r="3090" spans="4:4" x14ac:dyDescent="0.3">
      <c r="D3090" t="str">
        <f t="shared" si="79"/>
        <v/>
      </c>
    </row>
    <row r="3091" spans="4:4" x14ac:dyDescent="0.3">
      <c r="D3091" t="str">
        <f t="shared" si="79"/>
        <v/>
      </c>
    </row>
    <row r="3092" spans="4:4" x14ac:dyDescent="0.3">
      <c r="D3092" t="str">
        <f t="shared" si="79"/>
        <v/>
      </c>
    </row>
    <row r="3093" spans="4:4" x14ac:dyDescent="0.3">
      <c r="D3093" t="str">
        <f t="shared" si="79"/>
        <v/>
      </c>
    </row>
    <row r="3094" spans="4:4" x14ac:dyDescent="0.3">
      <c r="D3094" t="str">
        <f t="shared" si="79"/>
        <v/>
      </c>
    </row>
    <row r="3095" spans="4:4" x14ac:dyDescent="0.3">
      <c r="D3095" t="str">
        <f t="shared" si="79"/>
        <v/>
      </c>
    </row>
    <row r="3096" spans="4:4" x14ac:dyDescent="0.3">
      <c r="D3096" t="str">
        <f t="shared" si="79"/>
        <v/>
      </c>
    </row>
    <row r="3097" spans="4:4" x14ac:dyDescent="0.3">
      <c r="D3097" t="str">
        <f t="shared" si="79"/>
        <v/>
      </c>
    </row>
    <row r="3098" spans="4:4" x14ac:dyDescent="0.3">
      <c r="D3098" t="str">
        <f t="shared" si="79"/>
        <v/>
      </c>
    </row>
    <row r="3099" spans="4:4" x14ac:dyDescent="0.3">
      <c r="D3099" t="str">
        <f t="shared" si="79"/>
        <v/>
      </c>
    </row>
    <row r="3100" spans="4:4" x14ac:dyDescent="0.3">
      <c r="D3100" t="str">
        <f t="shared" si="79"/>
        <v/>
      </c>
    </row>
    <row r="3101" spans="4:4" x14ac:dyDescent="0.3">
      <c r="D3101" t="str">
        <f t="shared" si="79"/>
        <v/>
      </c>
    </row>
    <row r="3102" spans="4:4" x14ac:dyDescent="0.3">
      <c r="D3102" t="str">
        <f t="shared" si="79"/>
        <v/>
      </c>
    </row>
    <row r="3103" spans="4:4" x14ac:dyDescent="0.3">
      <c r="D3103" t="str">
        <f t="shared" si="79"/>
        <v/>
      </c>
    </row>
    <row r="3104" spans="4:4" x14ac:dyDescent="0.3">
      <c r="D3104" t="str">
        <f t="shared" si="79"/>
        <v/>
      </c>
    </row>
    <row r="3105" spans="4:4" x14ac:dyDescent="0.3">
      <c r="D3105" t="str">
        <f t="shared" si="79"/>
        <v/>
      </c>
    </row>
    <row r="3106" spans="4:4" x14ac:dyDescent="0.3">
      <c r="D3106" t="str">
        <f t="shared" si="79"/>
        <v/>
      </c>
    </row>
    <row r="3107" spans="4:4" x14ac:dyDescent="0.3">
      <c r="D3107" t="str">
        <f t="shared" si="79"/>
        <v/>
      </c>
    </row>
    <row r="3108" spans="4:4" x14ac:dyDescent="0.3">
      <c r="D3108" t="str">
        <f t="shared" si="79"/>
        <v/>
      </c>
    </row>
    <row r="3109" spans="4:4" x14ac:dyDescent="0.3">
      <c r="D3109" t="str">
        <f t="shared" si="79"/>
        <v/>
      </c>
    </row>
    <row r="3110" spans="4:4" x14ac:dyDescent="0.3">
      <c r="D3110" t="str">
        <f t="shared" si="79"/>
        <v/>
      </c>
    </row>
    <row r="3111" spans="4:4" x14ac:dyDescent="0.3">
      <c r="D3111" t="str">
        <f t="shared" si="79"/>
        <v/>
      </c>
    </row>
    <row r="3112" spans="4:4" x14ac:dyDescent="0.3">
      <c r="D3112" t="str">
        <f t="shared" si="79"/>
        <v/>
      </c>
    </row>
    <row r="3113" spans="4:4" x14ac:dyDescent="0.3">
      <c r="D3113" t="str">
        <f t="shared" si="79"/>
        <v/>
      </c>
    </row>
    <row r="3114" spans="4:4" x14ac:dyDescent="0.3">
      <c r="D3114" t="str">
        <f t="shared" si="79"/>
        <v/>
      </c>
    </row>
    <row r="3115" spans="4:4" x14ac:dyDescent="0.3">
      <c r="D3115" t="str">
        <f t="shared" si="79"/>
        <v/>
      </c>
    </row>
    <row r="3116" spans="4:4" x14ac:dyDescent="0.3">
      <c r="D3116" t="str">
        <f t="shared" si="79"/>
        <v/>
      </c>
    </row>
    <row r="3117" spans="4:4" x14ac:dyDescent="0.3">
      <c r="D3117" t="str">
        <f t="shared" si="79"/>
        <v/>
      </c>
    </row>
    <row r="3118" spans="4:4" x14ac:dyDescent="0.3">
      <c r="D3118" t="str">
        <f t="shared" si="79"/>
        <v/>
      </c>
    </row>
    <row r="3119" spans="4:4" x14ac:dyDescent="0.3">
      <c r="D3119" t="str">
        <f t="shared" si="79"/>
        <v/>
      </c>
    </row>
    <row r="3120" spans="4:4" x14ac:dyDescent="0.3">
      <c r="D3120" t="str">
        <f t="shared" si="79"/>
        <v/>
      </c>
    </row>
    <row r="3121" spans="4:4" x14ac:dyDescent="0.3">
      <c r="D3121" t="str">
        <f t="shared" si="79"/>
        <v/>
      </c>
    </row>
    <row r="3122" spans="4:4" x14ac:dyDescent="0.3">
      <c r="D3122" t="str">
        <f t="shared" si="79"/>
        <v/>
      </c>
    </row>
    <row r="3123" spans="4:4" x14ac:dyDescent="0.3">
      <c r="D3123" t="str">
        <f t="shared" si="79"/>
        <v/>
      </c>
    </row>
    <row r="3124" spans="4:4" x14ac:dyDescent="0.3">
      <c r="D3124" t="str">
        <f t="shared" si="79"/>
        <v/>
      </c>
    </row>
    <row r="3125" spans="4:4" x14ac:dyDescent="0.3">
      <c r="D3125" t="str">
        <f t="shared" si="79"/>
        <v/>
      </c>
    </row>
    <row r="3126" spans="4:4" x14ac:dyDescent="0.3">
      <c r="D3126" t="str">
        <f t="shared" si="79"/>
        <v/>
      </c>
    </row>
    <row r="3127" spans="4:4" x14ac:dyDescent="0.3">
      <c r="D3127" t="str">
        <f t="shared" si="79"/>
        <v/>
      </c>
    </row>
    <row r="3128" spans="4:4" x14ac:dyDescent="0.3">
      <c r="D3128" t="str">
        <f t="shared" si="79"/>
        <v/>
      </c>
    </row>
    <row r="3129" spans="4:4" x14ac:dyDescent="0.3">
      <c r="D3129" t="str">
        <f t="shared" si="79"/>
        <v/>
      </c>
    </row>
    <row r="3130" spans="4:4" x14ac:dyDescent="0.3">
      <c r="D3130" t="str">
        <f t="shared" ref="D3130:D3193" si="80">IF(LEFT(A3130,2)="SP",MID(A3130,4,4),IF(LEFT(A3130,1)="X",MID(A3130,3,4),""))</f>
        <v/>
      </c>
    </row>
    <row r="3131" spans="4:4" x14ac:dyDescent="0.3">
      <c r="D3131" t="str">
        <f t="shared" si="80"/>
        <v/>
      </c>
    </row>
    <row r="3132" spans="4:4" x14ac:dyDescent="0.3">
      <c r="D3132" t="str">
        <f t="shared" si="80"/>
        <v/>
      </c>
    </row>
    <row r="3133" spans="4:4" x14ac:dyDescent="0.3">
      <c r="D3133" t="str">
        <f t="shared" si="80"/>
        <v/>
      </c>
    </row>
    <row r="3134" spans="4:4" x14ac:dyDescent="0.3">
      <c r="D3134" t="str">
        <f t="shared" si="80"/>
        <v/>
      </c>
    </row>
    <row r="3135" spans="4:4" x14ac:dyDescent="0.3">
      <c r="D3135" t="str">
        <f t="shared" si="80"/>
        <v/>
      </c>
    </row>
    <row r="3136" spans="4:4" x14ac:dyDescent="0.3">
      <c r="D3136" t="str">
        <f t="shared" si="80"/>
        <v/>
      </c>
    </row>
    <row r="3137" spans="4:4" x14ac:dyDescent="0.3">
      <c r="D3137" t="str">
        <f t="shared" si="80"/>
        <v/>
      </c>
    </row>
    <row r="3138" spans="4:4" x14ac:dyDescent="0.3">
      <c r="D3138" t="str">
        <f t="shared" si="80"/>
        <v/>
      </c>
    </row>
    <row r="3139" spans="4:4" x14ac:dyDescent="0.3">
      <c r="D3139" t="str">
        <f t="shared" si="80"/>
        <v/>
      </c>
    </row>
    <row r="3140" spans="4:4" x14ac:dyDescent="0.3">
      <c r="D3140" t="str">
        <f t="shared" si="80"/>
        <v/>
      </c>
    </row>
    <row r="3141" spans="4:4" x14ac:dyDescent="0.3">
      <c r="D3141" t="str">
        <f t="shared" si="80"/>
        <v/>
      </c>
    </row>
    <row r="3142" spans="4:4" x14ac:dyDescent="0.3">
      <c r="D3142" t="str">
        <f t="shared" si="80"/>
        <v/>
      </c>
    </row>
    <row r="3143" spans="4:4" x14ac:dyDescent="0.3">
      <c r="D3143" t="str">
        <f t="shared" si="80"/>
        <v/>
      </c>
    </row>
    <row r="3144" spans="4:4" x14ac:dyDescent="0.3">
      <c r="D3144" t="str">
        <f t="shared" si="80"/>
        <v/>
      </c>
    </row>
    <row r="3145" spans="4:4" x14ac:dyDescent="0.3">
      <c r="D3145" t="str">
        <f t="shared" si="80"/>
        <v/>
      </c>
    </row>
    <row r="3146" spans="4:4" x14ac:dyDescent="0.3">
      <c r="D3146" t="str">
        <f t="shared" si="80"/>
        <v/>
      </c>
    </row>
    <row r="3147" spans="4:4" x14ac:dyDescent="0.3">
      <c r="D3147" t="str">
        <f t="shared" si="80"/>
        <v/>
      </c>
    </row>
    <row r="3148" spans="4:4" x14ac:dyDescent="0.3">
      <c r="D3148" t="str">
        <f t="shared" si="80"/>
        <v/>
      </c>
    </row>
    <row r="3149" spans="4:4" x14ac:dyDescent="0.3">
      <c r="D3149" t="str">
        <f t="shared" si="80"/>
        <v/>
      </c>
    </row>
    <row r="3150" spans="4:4" x14ac:dyDescent="0.3">
      <c r="D3150" t="str">
        <f t="shared" si="80"/>
        <v/>
      </c>
    </row>
    <row r="3151" spans="4:4" x14ac:dyDescent="0.3">
      <c r="D3151" t="str">
        <f t="shared" si="80"/>
        <v/>
      </c>
    </row>
    <row r="3152" spans="4:4" x14ac:dyDescent="0.3">
      <c r="D3152" t="str">
        <f t="shared" si="80"/>
        <v/>
      </c>
    </row>
    <row r="3153" spans="4:4" x14ac:dyDescent="0.3">
      <c r="D3153" t="str">
        <f t="shared" si="80"/>
        <v/>
      </c>
    </row>
    <row r="3154" spans="4:4" x14ac:dyDescent="0.3">
      <c r="D3154" t="str">
        <f t="shared" si="80"/>
        <v/>
      </c>
    </row>
    <row r="3155" spans="4:4" x14ac:dyDescent="0.3">
      <c r="D3155" t="str">
        <f t="shared" si="80"/>
        <v/>
      </c>
    </row>
    <row r="3156" spans="4:4" x14ac:dyDescent="0.3">
      <c r="D3156" t="str">
        <f t="shared" si="80"/>
        <v/>
      </c>
    </row>
    <row r="3157" spans="4:4" x14ac:dyDescent="0.3">
      <c r="D3157" t="str">
        <f t="shared" si="80"/>
        <v/>
      </c>
    </row>
    <row r="3158" spans="4:4" x14ac:dyDescent="0.3">
      <c r="D3158" t="str">
        <f t="shared" si="80"/>
        <v/>
      </c>
    </row>
    <row r="3159" spans="4:4" x14ac:dyDescent="0.3">
      <c r="D3159" t="str">
        <f t="shared" si="80"/>
        <v/>
      </c>
    </row>
    <row r="3160" spans="4:4" x14ac:dyDescent="0.3">
      <c r="D3160" t="str">
        <f t="shared" si="80"/>
        <v/>
      </c>
    </row>
    <row r="3161" spans="4:4" x14ac:dyDescent="0.3">
      <c r="D3161" t="str">
        <f t="shared" si="80"/>
        <v/>
      </c>
    </row>
    <row r="3162" spans="4:4" x14ac:dyDescent="0.3">
      <c r="D3162" t="str">
        <f t="shared" si="80"/>
        <v/>
      </c>
    </row>
    <row r="3163" spans="4:4" x14ac:dyDescent="0.3">
      <c r="D3163" t="str">
        <f t="shared" si="80"/>
        <v/>
      </c>
    </row>
    <row r="3164" spans="4:4" x14ac:dyDescent="0.3">
      <c r="D3164" t="str">
        <f t="shared" si="80"/>
        <v/>
      </c>
    </row>
    <row r="3165" spans="4:4" x14ac:dyDescent="0.3">
      <c r="D3165" t="str">
        <f t="shared" si="80"/>
        <v/>
      </c>
    </row>
    <row r="3166" spans="4:4" x14ac:dyDescent="0.3">
      <c r="D3166" t="str">
        <f t="shared" si="80"/>
        <v/>
      </c>
    </row>
    <row r="3167" spans="4:4" x14ac:dyDescent="0.3">
      <c r="D3167" t="str">
        <f t="shared" si="80"/>
        <v/>
      </c>
    </row>
    <row r="3168" spans="4:4" x14ac:dyDescent="0.3">
      <c r="D3168" t="str">
        <f t="shared" si="80"/>
        <v/>
      </c>
    </row>
    <row r="3169" spans="4:4" x14ac:dyDescent="0.3">
      <c r="D3169" t="str">
        <f t="shared" si="80"/>
        <v/>
      </c>
    </row>
    <row r="3170" spans="4:4" x14ac:dyDescent="0.3">
      <c r="D3170" t="str">
        <f t="shared" si="80"/>
        <v/>
      </c>
    </row>
    <row r="3171" spans="4:4" x14ac:dyDescent="0.3">
      <c r="D3171" t="str">
        <f t="shared" si="80"/>
        <v/>
      </c>
    </row>
    <row r="3172" spans="4:4" x14ac:dyDescent="0.3">
      <c r="D3172" t="str">
        <f t="shared" si="80"/>
        <v/>
      </c>
    </row>
    <row r="3173" spans="4:4" x14ac:dyDescent="0.3">
      <c r="D3173" t="str">
        <f t="shared" si="80"/>
        <v/>
      </c>
    </row>
    <row r="3174" spans="4:4" x14ac:dyDescent="0.3">
      <c r="D3174" t="str">
        <f t="shared" si="80"/>
        <v/>
      </c>
    </row>
    <row r="3175" spans="4:4" x14ac:dyDescent="0.3">
      <c r="D3175" t="str">
        <f t="shared" si="80"/>
        <v/>
      </c>
    </row>
    <row r="3176" spans="4:4" x14ac:dyDescent="0.3">
      <c r="D3176" t="str">
        <f t="shared" si="80"/>
        <v/>
      </c>
    </row>
    <row r="3177" spans="4:4" x14ac:dyDescent="0.3">
      <c r="D3177" t="str">
        <f t="shared" si="80"/>
        <v/>
      </c>
    </row>
    <row r="3178" spans="4:4" x14ac:dyDescent="0.3">
      <c r="D3178" t="str">
        <f t="shared" si="80"/>
        <v/>
      </c>
    </row>
    <row r="3179" spans="4:4" x14ac:dyDescent="0.3">
      <c r="D3179" t="str">
        <f t="shared" si="80"/>
        <v/>
      </c>
    </row>
    <row r="3180" spans="4:4" x14ac:dyDescent="0.3">
      <c r="D3180" t="str">
        <f t="shared" si="80"/>
        <v/>
      </c>
    </row>
    <row r="3181" spans="4:4" x14ac:dyDescent="0.3">
      <c r="D3181" t="str">
        <f t="shared" si="80"/>
        <v/>
      </c>
    </row>
    <row r="3182" spans="4:4" x14ac:dyDescent="0.3">
      <c r="D3182" t="str">
        <f t="shared" si="80"/>
        <v/>
      </c>
    </row>
    <row r="3183" spans="4:4" x14ac:dyDescent="0.3">
      <c r="D3183" t="str">
        <f t="shared" si="80"/>
        <v/>
      </c>
    </row>
    <row r="3184" spans="4:4" x14ac:dyDescent="0.3">
      <c r="D3184" t="str">
        <f t="shared" si="80"/>
        <v/>
      </c>
    </row>
    <row r="3185" spans="4:4" x14ac:dyDescent="0.3">
      <c r="D3185" t="str">
        <f t="shared" si="80"/>
        <v/>
      </c>
    </row>
    <row r="3186" spans="4:4" x14ac:dyDescent="0.3">
      <c r="D3186" t="str">
        <f t="shared" si="80"/>
        <v/>
      </c>
    </row>
    <row r="3187" spans="4:4" x14ac:dyDescent="0.3">
      <c r="D3187" t="str">
        <f t="shared" si="80"/>
        <v/>
      </c>
    </row>
    <row r="3188" spans="4:4" x14ac:dyDescent="0.3">
      <c r="D3188" t="str">
        <f t="shared" si="80"/>
        <v/>
      </c>
    </row>
    <row r="3189" spans="4:4" x14ac:dyDescent="0.3">
      <c r="D3189" t="str">
        <f t="shared" si="80"/>
        <v/>
      </c>
    </row>
    <row r="3190" spans="4:4" x14ac:dyDescent="0.3">
      <c r="D3190" t="str">
        <f t="shared" si="80"/>
        <v/>
      </c>
    </row>
    <row r="3191" spans="4:4" x14ac:dyDescent="0.3">
      <c r="D3191" t="str">
        <f t="shared" si="80"/>
        <v/>
      </c>
    </row>
    <row r="3192" spans="4:4" x14ac:dyDescent="0.3">
      <c r="D3192" t="str">
        <f t="shared" si="80"/>
        <v/>
      </c>
    </row>
    <row r="3193" spans="4:4" x14ac:dyDescent="0.3">
      <c r="D3193" t="str">
        <f t="shared" si="80"/>
        <v/>
      </c>
    </row>
    <row r="3194" spans="4:4" x14ac:dyDescent="0.3">
      <c r="D3194" t="str">
        <f t="shared" ref="D3194:D3257" si="81">IF(LEFT(A3194,2)="SP",MID(A3194,4,4),IF(LEFT(A3194,1)="X",MID(A3194,3,4),""))</f>
        <v/>
      </c>
    </row>
    <row r="3195" spans="4:4" x14ac:dyDescent="0.3">
      <c r="D3195" t="str">
        <f t="shared" si="81"/>
        <v/>
      </c>
    </row>
    <row r="3196" spans="4:4" x14ac:dyDescent="0.3">
      <c r="D3196" t="str">
        <f t="shared" si="81"/>
        <v/>
      </c>
    </row>
    <row r="3197" spans="4:4" x14ac:dyDescent="0.3">
      <c r="D3197" t="str">
        <f t="shared" si="81"/>
        <v/>
      </c>
    </row>
    <row r="3198" spans="4:4" x14ac:dyDescent="0.3">
      <c r="D3198" t="str">
        <f t="shared" si="81"/>
        <v/>
      </c>
    </row>
    <row r="3199" spans="4:4" x14ac:dyDescent="0.3">
      <c r="D3199" t="str">
        <f t="shared" si="81"/>
        <v/>
      </c>
    </row>
    <row r="3200" spans="4:4" x14ac:dyDescent="0.3">
      <c r="D3200" t="str">
        <f t="shared" si="81"/>
        <v/>
      </c>
    </row>
    <row r="3201" spans="4:4" x14ac:dyDescent="0.3">
      <c r="D3201" t="str">
        <f t="shared" si="81"/>
        <v/>
      </c>
    </row>
    <row r="3202" spans="4:4" x14ac:dyDescent="0.3">
      <c r="D3202" t="str">
        <f t="shared" si="81"/>
        <v/>
      </c>
    </row>
    <row r="3203" spans="4:4" x14ac:dyDescent="0.3">
      <c r="D3203" t="str">
        <f t="shared" si="81"/>
        <v/>
      </c>
    </row>
    <row r="3204" spans="4:4" x14ac:dyDescent="0.3">
      <c r="D3204" t="str">
        <f t="shared" si="81"/>
        <v/>
      </c>
    </row>
    <row r="3205" spans="4:4" x14ac:dyDescent="0.3">
      <c r="D3205" t="str">
        <f t="shared" si="81"/>
        <v/>
      </c>
    </row>
    <row r="3206" spans="4:4" x14ac:dyDescent="0.3">
      <c r="D3206" t="str">
        <f t="shared" si="81"/>
        <v/>
      </c>
    </row>
    <row r="3207" spans="4:4" x14ac:dyDescent="0.3">
      <c r="D3207" t="str">
        <f t="shared" si="81"/>
        <v/>
      </c>
    </row>
    <row r="3208" spans="4:4" x14ac:dyDescent="0.3">
      <c r="D3208" t="str">
        <f t="shared" si="81"/>
        <v/>
      </c>
    </row>
    <row r="3209" spans="4:4" x14ac:dyDescent="0.3">
      <c r="D3209" t="str">
        <f t="shared" si="81"/>
        <v/>
      </c>
    </row>
    <row r="3210" spans="4:4" x14ac:dyDescent="0.3">
      <c r="D3210" t="str">
        <f t="shared" si="81"/>
        <v/>
      </c>
    </row>
    <row r="3211" spans="4:4" x14ac:dyDescent="0.3">
      <c r="D3211" t="str">
        <f t="shared" si="81"/>
        <v/>
      </c>
    </row>
    <row r="3212" spans="4:4" x14ac:dyDescent="0.3">
      <c r="D3212" t="str">
        <f t="shared" si="81"/>
        <v/>
      </c>
    </row>
    <row r="3213" spans="4:4" x14ac:dyDescent="0.3">
      <c r="D3213" t="str">
        <f t="shared" si="81"/>
        <v/>
      </c>
    </row>
    <row r="3214" spans="4:4" x14ac:dyDescent="0.3">
      <c r="D3214" t="str">
        <f t="shared" si="81"/>
        <v/>
      </c>
    </row>
    <row r="3215" spans="4:4" x14ac:dyDescent="0.3">
      <c r="D3215" t="str">
        <f t="shared" si="81"/>
        <v/>
      </c>
    </row>
    <row r="3216" spans="4:4" x14ac:dyDescent="0.3">
      <c r="D3216" t="str">
        <f t="shared" si="81"/>
        <v/>
      </c>
    </row>
    <row r="3217" spans="4:4" x14ac:dyDescent="0.3">
      <c r="D3217" t="str">
        <f t="shared" si="81"/>
        <v/>
      </c>
    </row>
    <row r="3218" spans="4:4" x14ac:dyDescent="0.3">
      <c r="D3218" t="str">
        <f t="shared" si="81"/>
        <v/>
      </c>
    </row>
    <row r="3219" spans="4:4" x14ac:dyDescent="0.3">
      <c r="D3219" t="str">
        <f t="shared" si="81"/>
        <v/>
      </c>
    </row>
    <row r="3220" spans="4:4" x14ac:dyDescent="0.3">
      <c r="D3220" t="str">
        <f t="shared" si="81"/>
        <v/>
      </c>
    </row>
    <row r="3221" spans="4:4" x14ac:dyDescent="0.3">
      <c r="D3221" t="str">
        <f t="shared" si="81"/>
        <v/>
      </c>
    </row>
    <row r="3222" spans="4:4" x14ac:dyDescent="0.3">
      <c r="D3222" t="str">
        <f t="shared" si="81"/>
        <v/>
      </c>
    </row>
    <row r="3223" spans="4:4" x14ac:dyDescent="0.3">
      <c r="D3223" t="str">
        <f t="shared" si="81"/>
        <v/>
      </c>
    </row>
    <row r="3224" spans="4:4" x14ac:dyDescent="0.3">
      <c r="D3224" t="str">
        <f t="shared" si="81"/>
        <v/>
      </c>
    </row>
    <row r="3225" spans="4:4" x14ac:dyDescent="0.3">
      <c r="D3225" t="str">
        <f t="shared" si="81"/>
        <v/>
      </c>
    </row>
    <row r="3226" spans="4:4" x14ac:dyDescent="0.3">
      <c r="D3226" t="str">
        <f t="shared" si="81"/>
        <v/>
      </c>
    </row>
    <row r="3227" spans="4:4" x14ac:dyDescent="0.3">
      <c r="D3227" t="str">
        <f t="shared" si="81"/>
        <v/>
      </c>
    </row>
    <row r="3228" spans="4:4" x14ac:dyDescent="0.3">
      <c r="D3228" t="str">
        <f t="shared" si="81"/>
        <v/>
      </c>
    </row>
    <row r="3229" spans="4:4" x14ac:dyDescent="0.3">
      <c r="D3229" t="str">
        <f t="shared" si="81"/>
        <v/>
      </c>
    </row>
    <row r="3230" spans="4:4" x14ac:dyDescent="0.3">
      <c r="D3230" t="str">
        <f t="shared" si="81"/>
        <v/>
      </c>
    </row>
    <row r="3231" spans="4:4" x14ac:dyDescent="0.3">
      <c r="D3231" t="str">
        <f t="shared" si="81"/>
        <v/>
      </c>
    </row>
    <row r="3232" spans="4:4" x14ac:dyDescent="0.3">
      <c r="D3232" t="str">
        <f t="shared" si="81"/>
        <v/>
      </c>
    </row>
    <row r="3233" spans="4:4" x14ac:dyDescent="0.3">
      <c r="D3233" t="str">
        <f t="shared" si="81"/>
        <v/>
      </c>
    </row>
    <row r="3234" spans="4:4" x14ac:dyDescent="0.3">
      <c r="D3234" t="str">
        <f t="shared" si="81"/>
        <v/>
      </c>
    </row>
    <row r="3235" spans="4:4" x14ac:dyDescent="0.3">
      <c r="D3235" t="str">
        <f t="shared" si="81"/>
        <v/>
      </c>
    </row>
    <row r="3236" spans="4:4" x14ac:dyDescent="0.3">
      <c r="D3236" t="str">
        <f t="shared" si="81"/>
        <v/>
      </c>
    </row>
    <row r="3237" spans="4:4" x14ac:dyDescent="0.3">
      <c r="D3237" t="str">
        <f t="shared" si="81"/>
        <v/>
      </c>
    </row>
    <row r="3238" spans="4:4" x14ac:dyDescent="0.3">
      <c r="D3238" t="str">
        <f t="shared" si="81"/>
        <v/>
      </c>
    </row>
    <row r="3239" spans="4:4" x14ac:dyDescent="0.3">
      <c r="D3239" t="str">
        <f t="shared" si="81"/>
        <v/>
      </c>
    </row>
    <row r="3240" spans="4:4" x14ac:dyDescent="0.3">
      <c r="D3240" t="str">
        <f t="shared" si="81"/>
        <v/>
      </c>
    </row>
    <row r="3241" spans="4:4" x14ac:dyDescent="0.3">
      <c r="D3241" t="str">
        <f t="shared" si="81"/>
        <v/>
      </c>
    </row>
    <row r="3242" spans="4:4" x14ac:dyDescent="0.3">
      <c r="D3242" t="str">
        <f t="shared" si="81"/>
        <v/>
      </c>
    </row>
    <row r="3243" spans="4:4" x14ac:dyDescent="0.3">
      <c r="D3243" t="str">
        <f t="shared" si="81"/>
        <v/>
      </c>
    </row>
    <row r="3244" spans="4:4" x14ac:dyDescent="0.3">
      <c r="D3244" t="str">
        <f t="shared" si="81"/>
        <v/>
      </c>
    </row>
    <row r="3245" spans="4:4" x14ac:dyDescent="0.3">
      <c r="D3245" t="str">
        <f t="shared" si="81"/>
        <v/>
      </c>
    </row>
    <row r="3246" spans="4:4" x14ac:dyDescent="0.3">
      <c r="D3246" t="str">
        <f t="shared" si="81"/>
        <v/>
      </c>
    </row>
    <row r="3247" spans="4:4" x14ac:dyDescent="0.3">
      <c r="D3247" t="str">
        <f t="shared" si="81"/>
        <v/>
      </c>
    </row>
    <row r="3248" spans="4:4" x14ac:dyDescent="0.3">
      <c r="D3248" t="str">
        <f t="shared" si="81"/>
        <v/>
      </c>
    </row>
    <row r="3249" spans="4:4" x14ac:dyDescent="0.3">
      <c r="D3249" t="str">
        <f t="shared" si="81"/>
        <v/>
      </c>
    </row>
    <row r="3250" spans="4:4" x14ac:dyDescent="0.3">
      <c r="D3250" t="str">
        <f t="shared" si="81"/>
        <v/>
      </c>
    </row>
    <row r="3251" spans="4:4" x14ac:dyDescent="0.3">
      <c r="D3251" t="str">
        <f t="shared" si="81"/>
        <v/>
      </c>
    </row>
    <row r="3252" spans="4:4" x14ac:dyDescent="0.3">
      <c r="D3252" t="str">
        <f t="shared" si="81"/>
        <v/>
      </c>
    </row>
    <row r="3253" spans="4:4" x14ac:dyDescent="0.3">
      <c r="D3253" t="str">
        <f t="shared" si="81"/>
        <v/>
      </c>
    </row>
    <row r="3254" spans="4:4" x14ac:dyDescent="0.3">
      <c r="D3254" t="str">
        <f t="shared" si="81"/>
        <v/>
      </c>
    </row>
    <row r="3255" spans="4:4" x14ac:dyDescent="0.3">
      <c r="D3255" t="str">
        <f t="shared" si="81"/>
        <v/>
      </c>
    </row>
    <row r="3256" spans="4:4" x14ac:dyDescent="0.3">
      <c r="D3256" t="str">
        <f t="shared" si="81"/>
        <v/>
      </c>
    </row>
    <row r="3257" spans="4:4" x14ac:dyDescent="0.3">
      <c r="D3257" t="str">
        <f t="shared" si="81"/>
        <v/>
      </c>
    </row>
    <row r="3258" spans="4:4" x14ac:dyDescent="0.3">
      <c r="D3258" t="str">
        <f t="shared" ref="D3258:D3321" si="82">IF(LEFT(A3258,2)="SP",MID(A3258,4,4),IF(LEFT(A3258,1)="X",MID(A3258,3,4),""))</f>
        <v/>
      </c>
    </row>
    <row r="3259" spans="4:4" x14ac:dyDescent="0.3">
      <c r="D3259" t="str">
        <f t="shared" si="82"/>
        <v/>
      </c>
    </row>
    <row r="3260" spans="4:4" x14ac:dyDescent="0.3">
      <c r="D3260" t="str">
        <f t="shared" si="82"/>
        <v/>
      </c>
    </row>
    <row r="3261" spans="4:4" x14ac:dyDescent="0.3">
      <c r="D3261" t="str">
        <f t="shared" si="82"/>
        <v/>
      </c>
    </row>
    <row r="3262" spans="4:4" x14ac:dyDescent="0.3">
      <c r="D3262" t="str">
        <f t="shared" si="82"/>
        <v/>
      </c>
    </row>
    <row r="3263" spans="4:4" x14ac:dyDescent="0.3">
      <c r="D3263" t="str">
        <f t="shared" si="82"/>
        <v/>
      </c>
    </row>
    <row r="3264" spans="4:4" x14ac:dyDescent="0.3">
      <c r="D3264" t="str">
        <f t="shared" si="82"/>
        <v/>
      </c>
    </row>
    <row r="3265" spans="4:4" x14ac:dyDescent="0.3">
      <c r="D3265" t="str">
        <f t="shared" si="82"/>
        <v/>
      </c>
    </row>
    <row r="3266" spans="4:4" x14ac:dyDescent="0.3">
      <c r="D3266" t="str">
        <f t="shared" si="82"/>
        <v/>
      </c>
    </row>
    <row r="3267" spans="4:4" x14ac:dyDescent="0.3">
      <c r="D3267" t="str">
        <f t="shared" si="82"/>
        <v/>
      </c>
    </row>
    <row r="3268" spans="4:4" x14ac:dyDescent="0.3">
      <c r="D3268" t="str">
        <f t="shared" si="82"/>
        <v/>
      </c>
    </row>
    <row r="3269" spans="4:4" x14ac:dyDescent="0.3">
      <c r="D3269" t="str">
        <f t="shared" si="82"/>
        <v/>
      </c>
    </row>
    <row r="3270" spans="4:4" x14ac:dyDescent="0.3">
      <c r="D3270" t="str">
        <f t="shared" si="82"/>
        <v/>
      </c>
    </row>
    <row r="3271" spans="4:4" x14ac:dyDescent="0.3">
      <c r="D3271" t="str">
        <f t="shared" si="82"/>
        <v/>
      </c>
    </row>
    <row r="3272" spans="4:4" x14ac:dyDescent="0.3">
      <c r="D3272" t="str">
        <f t="shared" si="82"/>
        <v/>
      </c>
    </row>
    <row r="3273" spans="4:4" x14ac:dyDescent="0.3">
      <c r="D3273" t="str">
        <f t="shared" si="82"/>
        <v/>
      </c>
    </row>
    <row r="3274" spans="4:4" x14ac:dyDescent="0.3">
      <c r="D3274" t="str">
        <f t="shared" si="82"/>
        <v/>
      </c>
    </row>
    <row r="3275" spans="4:4" x14ac:dyDescent="0.3">
      <c r="D3275" t="str">
        <f t="shared" si="82"/>
        <v/>
      </c>
    </row>
    <row r="3276" spans="4:4" x14ac:dyDescent="0.3">
      <c r="D3276" t="str">
        <f t="shared" si="82"/>
        <v/>
      </c>
    </row>
    <row r="3277" spans="4:4" x14ac:dyDescent="0.3">
      <c r="D3277" t="str">
        <f t="shared" si="82"/>
        <v/>
      </c>
    </row>
    <row r="3278" spans="4:4" x14ac:dyDescent="0.3">
      <c r="D3278" t="str">
        <f t="shared" si="82"/>
        <v/>
      </c>
    </row>
    <row r="3279" spans="4:4" x14ac:dyDescent="0.3">
      <c r="D3279" t="str">
        <f t="shared" si="82"/>
        <v/>
      </c>
    </row>
    <row r="3280" spans="4:4" x14ac:dyDescent="0.3">
      <c r="D3280" t="str">
        <f t="shared" si="82"/>
        <v/>
      </c>
    </row>
    <row r="3281" spans="4:4" x14ac:dyDescent="0.3">
      <c r="D3281" t="str">
        <f t="shared" si="82"/>
        <v/>
      </c>
    </row>
    <row r="3282" spans="4:4" x14ac:dyDescent="0.3">
      <c r="D3282" t="str">
        <f t="shared" si="82"/>
        <v/>
      </c>
    </row>
    <row r="3283" spans="4:4" x14ac:dyDescent="0.3">
      <c r="D3283" t="str">
        <f t="shared" si="82"/>
        <v/>
      </c>
    </row>
    <row r="3284" spans="4:4" x14ac:dyDescent="0.3">
      <c r="D3284" t="str">
        <f t="shared" si="82"/>
        <v/>
      </c>
    </row>
    <row r="3285" spans="4:4" x14ac:dyDescent="0.3">
      <c r="D3285" t="str">
        <f t="shared" si="82"/>
        <v/>
      </c>
    </row>
    <row r="3286" spans="4:4" x14ac:dyDescent="0.3">
      <c r="D3286" t="str">
        <f t="shared" si="82"/>
        <v/>
      </c>
    </row>
    <row r="3287" spans="4:4" x14ac:dyDescent="0.3">
      <c r="D3287" t="str">
        <f t="shared" si="82"/>
        <v/>
      </c>
    </row>
    <row r="3288" spans="4:4" x14ac:dyDescent="0.3">
      <c r="D3288" t="str">
        <f t="shared" si="82"/>
        <v/>
      </c>
    </row>
    <row r="3289" spans="4:4" x14ac:dyDescent="0.3">
      <c r="D3289" t="str">
        <f t="shared" si="82"/>
        <v/>
      </c>
    </row>
    <row r="3290" spans="4:4" x14ac:dyDescent="0.3">
      <c r="D3290" t="str">
        <f t="shared" si="82"/>
        <v/>
      </c>
    </row>
    <row r="3291" spans="4:4" x14ac:dyDescent="0.3">
      <c r="D3291" t="str">
        <f t="shared" si="82"/>
        <v/>
      </c>
    </row>
    <row r="3292" spans="4:4" x14ac:dyDescent="0.3">
      <c r="D3292" t="str">
        <f t="shared" si="82"/>
        <v/>
      </c>
    </row>
    <row r="3293" spans="4:4" x14ac:dyDescent="0.3">
      <c r="D3293" t="str">
        <f t="shared" si="82"/>
        <v/>
      </c>
    </row>
    <row r="3294" spans="4:4" x14ac:dyDescent="0.3">
      <c r="D3294" t="str">
        <f t="shared" si="82"/>
        <v/>
      </c>
    </row>
    <row r="3295" spans="4:4" x14ac:dyDescent="0.3">
      <c r="D3295" t="str">
        <f t="shared" si="82"/>
        <v/>
      </c>
    </row>
    <row r="3296" spans="4:4" x14ac:dyDescent="0.3">
      <c r="D3296" t="str">
        <f t="shared" si="82"/>
        <v/>
      </c>
    </row>
    <row r="3297" spans="4:4" x14ac:dyDescent="0.3">
      <c r="D3297" t="str">
        <f t="shared" si="82"/>
        <v/>
      </c>
    </row>
    <row r="3298" spans="4:4" x14ac:dyDescent="0.3">
      <c r="D3298" t="str">
        <f t="shared" si="82"/>
        <v/>
      </c>
    </row>
    <row r="3299" spans="4:4" x14ac:dyDescent="0.3">
      <c r="D3299" t="str">
        <f t="shared" si="82"/>
        <v/>
      </c>
    </row>
    <row r="3300" spans="4:4" x14ac:dyDescent="0.3">
      <c r="D3300" t="str">
        <f t="shared" si="82"/>
        <v/>
      </c>
    </row>
    <row r="3301" spans="4:4" x14ac:dyDescent="0.3">
      <c r="D3301" t="str">
        <f t="shared" si="82"/>
        <v/>
      </c>
    </row>
    <row r="3302" spans="4:4" x14ac:dyDescent="0.3">
      <c r="D3302" t="str">
        <f t="shared" si="82"/>
        <v/>
      </c>
    </row>
    <row r="3303" spans="4:4" x14ac:dyDescent="0.3">
      <c r="D3303" t="str">
        <f t="shared" si="82"/>
        <v/>
      </c>
    </row>
    <row r="3304" spans="4:4" x14ac:dyDescent="0.3">
      <c r="D3304" t="str">
        <f t="shared" si="82"/>
        <v/>
      </c>
    </row>
    <row r="3305" spans="4:4" x14ac:dyDescent="0.3">
      <c r="D3305" t="str">
        <f t="shared" si="82"/>
        <v/>
      </c>
    </row>
    <row r="3306" spans="4:4" x14ac:dyDescent="0.3">
      <c r="D3306" t="str">
        <f t="shared" si="82"/>
        <v/>
      </c>
    </row>
    <row r="3307" spans="4:4" x14ac:dyDescent="0.3">
      <c r="D3307" t="str">
        <f t="shared" si="82"/>
        <v/>
      </c>
    </row>
    <row r="3308" spans="4:4" x14ac:dyDescent="0.3">
      <c r="D3308" t="str">
        <f t="shared" si="82"/>
        <v/>
      </c>
    </row>
    <row r="3309" spans="4:4" x14ac:dyDescent="0.3">
      <c r="D3309" t="str">
        <f t="shared" si="82"/>
        <v/>
      </c>
    </row>
    <row r="3310" spans="4:4" x14ac:dyDescent="0.3">
      <c r="D3310" t="str">
        <f t="shared" si="82"/>
        <v/>
      </c>
    </row>
    <row r="3311" spans="4:4" x14ac:dyDescent="0.3">
      <c r="D3311" t="str">
        <f t="shared" si="82"/>
        <v/>
      </c>
    </row>
    <row r="3312" spans="4:4" x14ac:dyDescent="0.3">
      <c r="D3312" t="str">
        <f t="shared" si="82"/>
        <v/>
      </c>
    </row>
    <row r="3313" spans="4:4" x14ac:dyDescent="0.3">
      <c r="D3313" t="str">
        <f t="shared" si="82"/>
        <v/>
      </c>
    </row>
    <row r="3314" spans="4:4" x14ac:dyDescent="0.3">
      <c r="D3314" t="str">
        <f t="shared" si="82"/>
        <v/>
      </c>
    </row>
    <row r="3315" spans="4:4" x14ac:dyDescent="0.3">
      <c r="D3315" t="str">
        <f t="shared" si="82"/>
        <v/>
      </c>
    </row>
    <row r="3316" spans="4:4" x14ac:dyDescent="0.3">
      <c r="D3316" t="str">
        <f t="shared" si="82"/>
        <v/>
      </c>
    </row>
    <row r="3317" spans="4:4" x14ac:dyDescent="0.3">
      <c r="D3317" t="str">
        <f t="shared" si="82"/>
        <v/>
      </c>
    </row>
    <row r="3318" spans="4:4" x14ac:dyDescent="0.3">
      <c r="D3318" t="str">
        <f t="shared" si="82"/>
        <v/>
      </c>
    </row>
    <row r="3319" spans="4:4" x14ac:dyDescent="0.3">
      <c r="D3319" t="str">
        <f t="shared" si="82"/>
        <v/>
      </c>
    </row>
    <row r="3320" spans="4:4" x14ac:dyDescent="0.3">
      <c r="D3320" t="str">
        <f t="shared" si="82"/>
        <v/>
      </c>
    </row>
    <row r="3321" spans="4:4" x14ac:dyDescent="0.3">
      <c r="D3321" t="str">
        <f t="shared" si="82"/>
        <v/>
      </c>
    </row>
    <row r="3322" spans="4:4" x14ac:dyDescent="0.3">
      <c r="D3322" t="str">
        <f t="shared" ref="D3322:D3385" si="83">IF(LEFT(A3322,2)="SP",MID(A3322,4,4),IF(LEFT(A3322,1)="X",MID(A3322,3,4),""))</f>
        <v/>
      </c>
    </row>
    <row r="3323" spans="4:4" x14ac:dyDescent="0.3">
      <c r="D3323" t="str">
        <f t="shared" si="83"/>
        <v/>
      </c>
    </row>
    <row r="3324" spans="4:4" x14ac:dyDescent="0.3">
      <c r="D3324" t="str">
        <f t="shared" si="83"/>
        <v/>
      </c>
    </row>
    <row r="3325" spans="4:4" x14ac:dyDescent="0.3">
      <c r="D3325" t="str">
        <f t="shared" si="83"/>
        <v/>
      </c>
    </row>
    <row r="3326" spans="4:4" x14ac:dyDescent="0.3">
      <c r="D3326" t="str">
        <f t="shared" si="83"/>
        <v/>
      </c>
    </row>
    <row r="3327" spans="4:4" x14ac:dyDescent="0.3">
      <c r="D3327" t="str">
        <f t="shared" si="83"/>
        <v/>
      </c>
    </row>
    <row r="3328" spans="4:4" x14ac:dyDescent="0.3">
      <c r="D3328" t="str">
        <f t="shared" si="83"/>
        <v/>
      </c>
    </row>
    <row r="3329" spans="4:4" x14ac:dyDescent="0.3">
      <c r="D3329" t="str">
        <f t="shared" si="83"/>
        <v/>
      </c>
    </row>
    <row r="3330" spans="4:4" x14ac:dyDescent="0.3">
      <c r="D3330" t="str">
        <f t="shared" si="83"/>
        <v/>
      </c>
    </row>
    <row r="3331" spans="4:4" x14ac:dyDescent="0.3">
      <c r="D3331" t="str">
        <f t="shared" si="83"/>
        <v/>
      </c>
    </row>
    <row r="3332" spans="4:4" x14ac:dyDescent="0.3">
      <c r="D3332" t="str">
        <f t="shared" si="83"/>
        <v/>
      </c>
    </row>
    <row r="3333" spans="4:4" x14ac:dyDescent="0.3">
      <c r="D3333" t="str">
        <f t="shared" si="83"/>
        <v/>
      </c>
    </row>
    <row r="3334" spans="4:4" x14ac:dyDescent="0.3">
      <c r="D3334" t="str">
        <f t="shared" si="83"/>
        <v/>
      </c>
    </row>
    <row r="3335" spans="4:4" x14ac:dyDescent="0.3">
      <c r="D3335" t="str">
        <f t="shared" si="83"/>
        <v/>
      </c>
    </row>
    <row r="3336" spans="4:4" x14ac:dyDescent="0.3">
      <c r="D3336" t="str">
        <f t="shared" si="83"/>
        <v/>
      </c>
    </row>
    <row r="3337" spans="4:4" x14ac:dyDescent="0.3">
      <c r="D3337" t="str">
        <f t="shared" si="83"/>
        <v/>
      </c>
    </row>
    <row r="3338" spans="4:4" x14ac:dyDescent="0.3">
      <c r="D3338" t="str">
        <f t="shared" si="83"/>
        <v/>
      </c>
    </row>
    <row r="3339" spans="4:4" x14ac:dyDescent="0.3">
      <c r="D3339" t="str">
        <f t="shared" si="83"/>
        <v/>
      </c>
    </row>
    <row r="3340" spans="4:4" x14ac:dyDescent="0.3">
      <c r="D3340" t="str">
        <f t="shared" si="83"/>
        <v/>
      </c>
    </row>
    <row r="3341" spans="4:4" x14ac:dyDescent="0.3">
      <c r="D3341" t="str">
        <f t="shared" si="83"/>
        <v/>
      </c>
    </row>
    <row r="3342" spans="4:4" x14ac:dyDescent="0.3">
      <c r="D3342" t="str">
        <f t="shared" si="83"/>
        <v/>
      </c>
    </row>
    <row r="3343" spans="4:4" x14ac:dyDescent="0.3">
      <c r="D3343" t="str">
        <f t="shared" si="83"/>
        <v/>
      </c>
    </row>
    <row r="3344" spans="4:4" x14ac:dyDescent="0.3">
      <c r="D3344" t="str">
        <f t="shared" si="83"/>
        <v/>
      </c>
    </row>
    <row r="3345" spans="4:4" x14ac:dyDescent="0.3">
      <c r="D3345" t="str">
        <f t="shared" si="83"/>
        <v/>
      </c>
    </row>
    <row r="3346" spans="4:4" x14ac:dyDescent="0.3">
      <c r="D3346" t="str">
        <f t="shared" si="83"/>
        <v/>
      </c>
    </row>
    <row r="3347" spans="4:4" x14ac:dyDescent="0.3">
      <c r="D3347" t="str">
        <f t="shared" si="83"/>
        <v/>
      </c>
    </row>
    <row r="3348" spans="4:4" x14ac:dyDescent="0.3">
      <c r="D3348" t="str">
        <f t="shared" si="83"/>
        <v/>
      </c>
    </row>
    <row r="3349" spans="4:4" x14ac:dyDescent="0.3">
      <c r="D3349" t="str">
        <f t="shared" si="83"/>
        <v/>
      </c>
    </row>
    <row r="3350" spans="4:4" x14ac:dyDescent="0.3">
      <c r="D3350" t="str">
        <f t="shared" si="83"/>
        <v/>
      </c>
    </row>
    <row r="3351" spans="4:4" x14ac:dyDescent="0.3">
      <c r="D3351" t="str">
        <f t="shared" si="83"/>
        <v/>
      </c>
    </row>
    <row r="3352" spans="4:4" x14ac:dyDescent="0.3">
      <c r="D3352" t="str">
        <f t="shared" si="83"/>
        <v/>
      </c>
    </row>
    <row r="3353" spans="4:4" x14ac:dyDescent="0.3">
      <c r="D3353" t="str">
        <f t="shared" si="83"/>
        <v/>
      </c>
    </row>
    <row r="3354" spans="4:4" x14ac:dyDescent="0.3">
      <c r="D3354" t="str">
        <f t="shared" si="83"/>
        <v/>
      </c>
    </row>
    <row r="3355" spans="4:4" x14ac:dyDescent="0.3">
      <c r="D3355" t="str">
        <f t="shared" si="83"/>
        <v/>
      </c>
    </row>
    <row r="3356" spans="4:4" x14ac:dyDescent="0.3">
      <c r="D3356" t="str">
        <f t="shared" si="83"/>
        <v/>
      </c>
    </row>
    <row r="3357" spans="4:4" x14ac:dyDescent="0.3">
      <c r="D3357" t="str">
        <f t="shared" si="83"/>
        <v/>
      </c>
    </row>
    <row r="3358" spans="4:4" x14ac:dyDescent="0.3">
      <c r="D3358" t="str">
        <f t="shared" si="83"/>
        <v/>
      </c>
    </row>
    <row r="3359" spans="4:4" x14ac:dyDescent="0.3">
      <c r="D3359" t="str">
        <f t="shared" si="83"/>
        <v/>
      </c>
    </row>
    <row r="3360" spans="4:4" x14ac:dyDescent="0.3">
      <c r="D3360" t="str">
        <f t="shared" si="83"/>
        <v/>
      </c>
    </row>
    <row r="3361" spans="4:4" x14ac:dyDescent="0.3">
      <c r="D3361" t="str">
        <f t="shared" si="83"/>
        <v/>
      </c>
    </row>
    <row r="3362" spans="4:4" x14ac:dyDescent="0.3">
      <c r="D3362" t="str">
        <f t="shared" si="83"/>
        <v/>
      </c>
    </row>
    <row r="3363" spans="4:4" x14ac:dyDescent="0.3">
      <c r="D3363" t="str">
        <f t="shared" si="83"/>
        <v/>
      </c>
    </row>
    <row r="3364" spans="4:4" x14ac:dyDescent="0.3">
      <c r="D3364" t="str">
        <f t="shared" si="83"/>
        <v/>
      </c>
    </row>
    <row r="3365" spans="4:4" x14ac:dyDescent="0.3">
      <c r="D3365" t="str">
        <f t="shared" si="83"/>
        <v/>
      </c>
    </row>
    <row r="3366" spans="4:4" x14ac:dyDescent="0.3">
      <c r="D3366" t="str">
        <f t="shared" si="83"/>
        <v/>
      </c>
    </row>
    <row r="3367" spans="4:4" x14ac:dyDescent="0.3">
      <c r="D3367" t="str">
        <f t="shared" si="83"/>
        <v/>
      </c>
    </row>
    <row r="3368" spans="4:4" x14ac:dyDescent="0.3">
      <c r="D3368" t="str">
        <f t="shared" si="83"/>
        <v/>
      </c>
    </row>
    <row r="3369" spans="4:4" x14ac:dyDescent="0.3">
      <c r="D3369" t="str">
        <f t="shared" si="83"/>
        <v/>
      </c>
    </row>
    <row r="3370" spans="4:4" x14ac:dyDescent="0.3">
      <c r="D3370" t="str">
        <f t="shared" si="83"/>
        <v/>
      </c>
    </row>
    <row r="3371" spans="4:4" x14ac:dyDescent="0.3">
      <c r="D3371" t="str">
        <f t="shared" si="83"/>
        <v/>
      </c>
    </row>
    <row r="3372" spans="4:4" x14ac:dyDescent="0.3">
      <c r="D3372" t="str">
        <f t="shared" si="83"/>
        <v/>
      </c>
    </row>
    <row r="3373" spans="4:4" x14ac:dyDescent="0.3">
      <c r="D3373" t="str">
        <f t="shared" si="83"/>
        <v/>
      </c>
    </row>
    <row r="3374" spans="4:4" x14ac:dyDescent="0.3">
      <c r="D3374" t="str">
        <f t="shared" si="83"/>
        <v/>
      </c>
    </row>
    <row r="3375" spans="4:4" x14ac:dyDescent="0.3">
      <c r="D3375" t="str">
        <f t="shared" si="83"/>
        <v/>
      </c>
    </row>
    <row r="3376" spans="4:4" x14ac:dyDescent="0.3">
      <c r="D3376" t="str">
        <f t="shared" si="83"/>
        <v/>
      </c>
    </row>
    <row r="3377" spans="4:4" x14ac:dyDescent="0.3">
      <c r="D3377" t="str">
        <f t="shared" si="83"/>
        <v/>
      </c>
    </row>
    <row r="3378" spans="4:4" x14ac:dyDescent="0.3">
      <c r="D3378" t="str">
        <f t="shared" si="83"/>
        <v/>
      </c>
    </row>
    <row r="3379" spans="4:4" x14ac:dyDescent="0.3">
      <c r="D3379" t="str">
        <f t="shared" si="83"/>
        <v/>
      </c>
    </row>
    <row r="3380" spans="4:4" x14ac:dyDescent="0.3">
      <c r="D3380" t="str">
        <f t="shared" si="83"/>
        <v/>
      </c>
    </row>
    <row r="3381" spans="4:4" x14ac:dyDescent="0.3">
      <c r="D3381" t="str">
        <f t="shared" si="83"/>
        <v/>
      </c>
    </row>
    <row r="3382" spans="4:4" x14ac:dyDescent="0.3">
      <c r="D3382" t="str">
        <f t="shared" si="83"/>
        <v/>
      </c>
    </row>
    <row r="3383" spans="4:4" x14ac:dyDescent="0.3">
      <c r="D3383" t="str">
        <f t="shared" si="83"/>
        <v/>
      </c>
    </row>
    <row r="3384" spans="4:4" x14ac:dyDescent="0.3">
      <c r="D3384" t="str">
        <f t="shared" si="83"/>
        <v/>
      </c>
    </row>
    <row r="3385" spans="4:4" x14ac:dyDescent="0.3">
      <c r="D3385" t="str">
        <f t="shared" si="83"/>
        <v/>
      </c>
    </row>
    <row r="3386" spans="4:4" x14ac:dyDescent="0.3">
      <c r="D3386" t="str">
        <f t="shared" ref="D3386:D3449" si="84">IF(LEFT(A3386,2)="SP",MID(A3386,4,4),IF(LEFT(A3386,1)="X",MID(A3386,3,4),""))</f>
        <v/>
      </c>
    </row>
    <row r="3387" spans="4:4" x14ac:dyDescent="0.3">
      <c r="D3387" t="str">
        <f t="shared" si="84"/>
        <v/>
      </c>
    </row>
    <row r="3388" spans="4:4" x14ac:dyDescent="0.3">
      <c r="D3388" t="str">
        <f t="shared" si="84"/>
        <v/>
      </c>
    </row>
    <row r="3389" spans="4:4" x14ac:dyDescent="0.3">
      <c r="D3389" t="str">
        <f t="shared" si="84"/>
        <v/>
      </c>
    </row>
    <row r="3390" spans="4:4" x14ac:dyDescent="0.3">
      <c r="D3390" t="str">
        <f t="shared" si="84"/>
        <v/>
      </c>
    </row>
    <row r="3391" spans="4:4" x14ac:dyDescent="0.3">
      <c r="D3391" t="str">
        <f t="shared" si="84"/>
        <v/>
      </c>
    </row>
    <row r="3392" spans="4:4" x14ac:dyDescent="0.3">
      <c r="D3392" t="str">
        <f t="shared" si="84"/>
        <v/>
      </c>
    </row>
    <row r="3393" spans="4:4" x14ac:dyDescent="0.3">
      <c r="D3393" t="str">
        <f t="shared" si="84"/>
        <v/>
      </c>
    </row>
    <row r="3394" spans="4:4" x14ac:dyDescent="0.3">
      <c r="D3394" t="str">
        <f t="shared" si="84"/>
        <v/>
      </c>
    </row>
    <row r="3395" spans="4:4" x14ac:dyDescent="0.3">
      <c r="D3395" t="str">
        <f t="shared" si="84"/>
        <v/>
      </c>
    </row>
    <row r="3396" spans="4:4" x14ac:dyDescent="0.3">
      <c r="D3396" t="str">
        <f t="shared" si="84"/>
        <v/>
      </c>
    </row>
    <row r="3397" spans="4:4" x14ac:dyDescent="0.3">
      <c r="D3397" t="str">
        <f t="shared" si="84"/>
        <v/>
      </c>
    </row>
    <row r="3398" spans="4:4" x14ac:dyDescent="0.3">
      <c r="D3398" t="str">
        <f t="shared" si="84"/>
        <v/>
      </c>
    </row>
    <row r="3399" spans="4:4" x14ac:dyDescent="0.3">
      <c r="D3399" t="str">
        <f t="shared" si="84"/>
        <v/>
      </c>
    </row>
    <row r="3400" spans="4:4" x14ac:dyDescent="0.3">
      <c r="D3400" t="str">
        <f t="shared" si="84"/>
        <v/>
      </c>
    </row>
    <row r="3401" spans="4:4" x14ac:dyDescent="0.3">
      <c r="D3401" t="str">
        <f t="shared" si="84"/>
        <v/>
      </c>
    </row>
    <row r="3402" spans="4:4" x14ac:dyDescent="0.3">
      <c r="D3402" t="str">
        <f t="shared" si="84"/>
        <v/>
      </c>
    </row>
    <row r="3403" spans="4:4" x14ac:dyDescent="0.3">
      <c r="D3403" t="str">
        <f t="shared" si="84"/>
        <v/>
      </c>
    </row>
    <row r="3404" spans="4:4" x14ac:dyDescent="0.3">
      <c r="D3404" t="str">
        <f t="shared" si="84"/>
        <v/>
      </c>
    </row>
    <row r="3405" spans="4:4" x14ac:dyDescent="0.3">
      <c r="D3405" t="str">
        <f t="shared" si="84"/>
        <v/>
      </c>
    </row>
    <row r="3406" spans="4:4" x14ac:dyDescent="0.3">
      <c r="D3406" t="str">
        <f t="shared" si="84"/>
        <v/>
      </c>
    </row>
    <row r="3407" spans="4:4" x14ac:dyDescent="0.3">
      <c r="D3407" t="str">
        <f t="shared" si="84"/>
        <v/>
      </c>
    </row>
    <row r="3408" spans="4:4" x14ac:dyDescent="0.3">
      <c r="D3408" t="str">
        <f t="shared" si="84"/>
        <v/>
      </c>
    </row>
    <row r="3409" spans="4:4" x14ac:dyDescent="0.3">
      <c r="D3409" t="str">
        <f t="shared" si="84"/>
        <v/>
      </c>
    </row>
    <row r="3410" spans="4:4" x14ac:dyDescent="0.3">
      <c r="D3410" t="str">
        <f t="shared" si="84"/>
        <v/>
      </c>
    </row>
    <row r="3411" spans="4:4" x14ac:dyDescent="0.3">
      <c r="D3411" t="str">
        <f t="shared" si="84"/>
        <v/>
      </c>
    </row>
    <row r="3412" spans="4:4" x14ac:dyDescent="0.3">
      <c r="D3412" t="str">
        <f t="shared" si="84"/>
        <v/>
      </c>
    </row>
    <row r="3413" spans="4:4" x14ac:dyDescent="0.3">
      <c r="D3413" t="str">
        <f t="shared" si="84"/>
        <v/>
      </c>
    </row>
    <row r="3414" spans="4:4" x14ac:dyDescent="0.3">
      <c r="D3414" t="str">
        <f t="shared" si="84"/>
        <v/>
      </c>
    </row>
    <row r="3415" spans="4:4" x14ac:dyDescent="0.3">
      <c r="D3415" t="str">
        <f t="shared" si="84"/>
        <v/>
      </c>
    </row>
    <row r="3416" spans="4:4" x14ac:dyDescent="0.3">
      <c r="D3416" t="str">
        <f t="shared" si="84"/>
        <v/>
      </c>
    </row>
    <row r="3417" spans="4:4" x14ac:dyDescent="0.3">
      <c r="D3417" t="str">
        <f t="shared" si="84"/>
        <v/>
      </c>
    </row>
    <row r="3418" spans="4:4" x14ac:dyDescent="0.3">
      <c r="D3418" t="str">
        <f t="shared" si="84"/>
        <v/>
      </c>
    </row>
    <row r="3419" spans="4:4" x14ac:dyDescent="0.3">
      <c r="D3419" t="str">
        <f t="shared" si="84"/>
        <v/>
      </c>
    </row>
    <row r="3420" spans="4:4" x14ac:dyDescent="0.3">
      <c r="D3420" t="str">
        <f t="shared" si="84"/>
        <v/>
      </c>
    </row>
    <row r="3421" spans="4:4" x14ac:dyDescent="0.3">
      <c r="D3421" t="str">
        <f t="shared" si="84"/>
        <v/>
      </c>
    </row>
    <row r="3422" spans="4:4" x14ac:dyDescent="0.3">
      <c r="D3422" t="str">
        <f t="shared" si="84"/>
        <v/>
      </c>
    </row>
    <row r="3423" spans="4:4" x14ac:dyDescent="0.3">
      <c r="D3423" t="str">
        <f t="shared" si="84"/>
        <v/>
      </c>
    </row>
    <row r="3424" spans="4:4" x14ac:dyDescent="0.3">
      <c r="D3424" t="str">
        <f t="shared" si="84"/>
        <v/>
      </c>
    </row>
    <row r="3425" spans="4:4" x14ac:dyDescent="0.3">
      <c r="D3425" t="str">
        <f t="shared" si="84"/>
        <v/>
      </c>
    </row>
    <row r="3426" spans="4:4" x14ac:dyDescent="0.3">
      <c r="D3426" t="str">
        <f t="shared" si="84"/>
        <v/>
      </c>
    </row>
    <row r="3427" spans="4:4" x14ac:dyDescent="0.3">
      <c r="D3427" t="str">
        <f t="shared" si="84"/>
        <v/>
      </c>
    </row>
    <row r="3428" spans="4:4" x14ac:dyDescent="0.3">
      <c r="D3428" t="str">
        <f t="shared" si="84"/>
        <v/>
      </c>
    </row>
    <row r="3429" spans="4:4" x14ac:dyDescent="0.3">
      <c r="D3429" t="str">
        <f t="shared" si="84"/>
        <v/>
      </c>
    </row>
    <row r="3430" spans="4:4" x14ac:dyDescent="0.3">
      <c r="D3430" t="str">
        <f t="shared" si="84"/>
        <v/>
      </c>
    </row>
    <row r="3431" spans="4:4" x14ac:dyDescent="0.3">
      <c r="D3431" t="str">
        <f t="shared" si="84"/>
        <v/>
      </c>
    </row>
    <row r="3432" spans="4:4" x14ac:dyDescent="0.3">
      <c r="D3432" t="str">
        <f t="shared" si="84"/>
        <v/>
      </c>
    </row>
    <row r="3433" spans="4:4" x14ac:dyDescent="0.3">
      <c r="D3433" t="str">
        <f t="shared" si="84"/>
        <v/>
      </c>
    </row>
    <row r="3434" spans="4:4" x14ac:dyDescent="0.3">
      <c r="D3434" t="str">
        <f t="shared" si="84"/>
        <v/>
      </c>
    </row>
    <row r="3435" spans="4:4" x14ac:dyDescent="0.3">
      <c r="D3435" t="str">
        <f t="shared" si="84"/>
        <v/>
      </c>
    </row>
    <row r="3436" spans="4:4" x14ac:dyDescent="0.3">
      <c r="D3436" t="str">
        <f t="shared" si="84"/>
        <v/>
      </c>
    </row>
    <row r="3437" spans="4:4" x14ac:dyDescent="0.3">
      <c r="D3437" t="str">
        <f t="shared" si="84"/>
        <v/>
      </c>
    </row>
    <row r="3438" spans="4:4" x14ac:dyDescent="0.3">
      <c r="D3438" t="str">
        <f t="shared" si="84"/>
        <v/>
      </c>
    </row>
    <row r="3439" spans="4:4" x14ac:dyDescent="0.3">
      <c r="D3439" t="str">
        <f t="shared" si="84"/>
        <v/>
      </c>
    </row>
    <row r="3440" spans="4:4" x14ac:dyDescent="0.3">
      <c r="D3440" t="str">
        <f t="shared" si="84"/>
        <v/>
      </c>
    </row>
    <row r="3441" spans="4:4" x14ac:dyDescent="0.3">
      <c r="D3441" t="str">
        <f t="shared" si="84"/>
        <v/>
      </c>
    </row>
    <row r="3442" spans="4:4" x14ac:dyDescent="0.3">
      <c r="D3442" t="str">
        <f t="shared" si="84"/>
        <v/>
      </c>
    </row>
    <row r="3443" spans="4:4" x14ac:dyDescent="0.3">
      <c r="D3443" t="str">
        <f t="shared" si="84"/>
        <v/>
      </c>
    </row>
    <row r="3444" spans="4:4" x14ac:dyDescent="0.3">
      <c r="D3444" t="str">
        <f t="shared" si="84"/>
        <v/>
      </c>
    </row>
    <row r="3445" spans="4:4" x14ac:dyDescent="0.3">
      <c r="D3445" t="str">
        <f t="shared" si="84"/>
        <v/>
      </c>
    </row>
    <row r="3446" spans="4:4" x14ac:dyDescent="0.3">
      <c r="D3446" t="str">
        <f t="shared" si="84"/>
        <v/>
      </c>
    </row>
    <row r="3447" spans="4:4" x14ac:dyDescent="0.3">
      <c r="D3447" t="str">
        <f t="shared" si="84"/>
        <v/>
      </c>
    </row>
    <row r="3448" spans="4:4" x14ac:dyDescent="0.3">
      <c r="D3448" t="str">
        <f t="shared" si="84"/>
        <v/>
      </c>
    </row>
    <row r="3449" spans="4:4" x14ac:dyDescent="0.3">
      <c r="D3449" t="str">
        <f t="shared" si="84"/>
        <v/>
      </c>
    </row>
    <row r="3450" spans="4:4" x14ac:dyDescent="0.3">
      <c r="D3450" t="str">
        <f t="shared" ref="D3450:D3513" si="85">IF(LEFT(A3450,2)="SP",MID(A3450,4,4),IF(LEFT(A3450,1)="X",MID(A3450,3,4),""))</f>
        <v/>
      </c>
    </row>
    <row r="3451" spans="4:4" x14ac:dyDescent="0.3">
      <c r="D3451" t="str">
        <f t="shared" si="85"/>
        <v/>
      </c>
    </row>
    <row r="3452" spans="4:4" x14ac:dyDescent="0.3">
      <c r="D3452" t="str">
        <f t="shared" si="85"/>
        <v/>
      </c>
    </row>
    <row r="3453" spans="4:4" x14ac:dyDescent="0.3">
      <c r="D3453" t="str">
        <f t="shared" si="85"/>
        <v/>
      </c>
    </row>
    <row r="3454" spans="4:4" x14ac:dyDescent="0.3">
      <c r="D3454" t="str">
        <f t="shared" si="85"/>
        <v/>
      </c>
    </row>
    <row r="3455" spans="4:4" x14ac:dyDescent="0.3">
      <c r="D3455" t="str">
        <f t="shared" si="85"/>
        <v/>
      </c>
    </row>
    <row r="3456" spans="4:4" x14ac:dyDescent="0.3">
      <c r="D3456" t="str">
        <f t="shared" si="85"/>
        <v/>
      </c>
    </row>
    <row r="3457" spans="4:4" x14ac:dyDescent="0.3">
      <c r="D3457" t="str">
        <f t="shared" si="85"/>
        <v/>
      </c>
    </row>
    <row r="3458" spans="4:4" x14ac:dyDescent="0.3">
      <c r="D3458" t="str">
        <f t="shared" si="85"/>
        <v/>
      </c>
    </row>
    <row r="3459" spans="4:4" x14ac:dyDescent="0.3">
      <c r="D3459" t="str">
        <f t="shared" si="85"/>
        <v/>
      </c>
    </row>
    <row r="3460" spans="4:4" x14ac:dyDescent="0.3">
      <c r="D3460" t="str">
        <f t="shared" si="85"/>
        <v/>
      </c>
    </row>
    <row r="3461" spans="4:4" x14ac:dyDescent="0.3">
      <c r="D3461" t="str">
        <f t="shared" si="85"/>
        <v/>
      </c>
    </row>
    <row r="3462" spans="4:4" x14ac:dyDescent="0.3">
      <c r="D3462" t="str">
        <f t="shared" si="85"/>
        <v/>
      </c>
    </row>
    <row r="3463" spans="4:4" x14ac:dyDescent="0.3">
      <c r="D3463" t="str">
        <f t="shared" si="85"/>
        <v/>
      </c>
    </row>
    <row r="3464" spans="4:4" x14ac:dyDescent="0.3">
      <c r="D3464" t="str">
        <f t="shared" si="85"/>
        <v/>
      </c>
    </row>
    <row r="3465" spans="4:4" x14ac:dyDescent="0.3">
      <c r="D3465" t="str">
        <f t="shared" si="85"/>
        <v/>
      </c>
    </row>
    <row r="3466" spans="4:4" x14ac:dyDescent="0.3">
      <c r="D3466" t="str">
        <f t="shared" si="85"/>
        <v/>
      </c>
    </row>
    <row r="3467" spans="4:4" x14ac:dyDescent="0.3">
      <c r="D3467" t="str">
        <f t="shared" si="85"/>
        <v/>
      </c>
    </row>
    <row r="3468" spans="4:4" x14ac:dyDescent="0.3">
      <c r="D3468" t="str">
        <f t="shared" si="85"/>
        <v/>
      </c>
    </row>
    <row r="3469" spans="4:4" x14ac:dyDescent="0.3">
      <c r="D3469" t="str">
        <f t="shared" si="85"/>
        <v/>
      </c>
    </row>
    <row r="3470" spans="4:4" x14ac:dyDescent="0.3">
      <c r="D3470" t="str">
        <f t="shared" si="85"/>
        <v/>
      </c>
    </row>
    <row r="3471" spans="4:4" x14ac:dyDescent="0.3">
      <c r="D3471" t="str">
        <f t="shared" si="85"/>
        <v/>
      </c>
    </row>
    <row r="3472" spans="4:4" x14ac:dyDescent="0.3">
      <c r="D3472" t="str">
        <f t="shared" si="85"/>
        <v/>
      </c>
    </row>
    <row r="3473" spans="4:4" x14ac:dyDescent="0.3">
      <c r="D3473" t="str">
        <f t="shared" si="85"/>
        <v/>
      </c>
    </row>
    <row r="3474" spans="4:4" x14ac:dyDescent="0.3">
      <c r="D3474" t="str">
        <f t="shared" si="85"/>
        <v/>
      </c>
    </row>
    <row r="3475" spans="4:4" x14ac:dyDescent="0.3">
      <c r="D3475" t="str">
        <f t="shared" si="85"/>
        <v/>
      </c>
    </row>
    <row r="3476" spans="4:4" x14ac:dyDescent="0.3">
      <c r="D3476" t="str">
        <f t="shared" si="85"/>
        <v/>
      </c>
    </row>
    <row r="3477" spans="4:4" x14ac:dyDescent="0.3">
      <c r="D3477" t="str">
        <f t="shared" si="85"/>
        <v/>
      </c>
    </row>
    <row r="3478" spans="4:4" x14ac:dyDescent="0.3">
      <c r="D3478" t="str">
        <f t="shared" si="85"/>
        <v/>
      </c>
    </row>
    <row r="3479" spans="4:4" x14ac:dyDescent="0.3">
      <c r="D3479" t="str">
        <f t="shared" si="85"/>
        <v/>
      </c>
    </row>
    <row r="3480" spans="4:4" x14ac:dyDescent="0.3">
      <c r="D3480" t="str">
        <f t="shared" si="85"/>
        <v/>
      </c>
    </row>
    <row r="3481" spans="4:4" x14ac:dyDescent="0.3">
      <c r="D3481" t="str">
        <f t="shared" si="85"/>
        <v/>
      </c>
    </row>
    <row r="3482" spans="4:4" x14ac:dyDescent="0.3">
      <c r="D3482" t="str">
        <f t="shared" si="85"/>
        <v/>
      </c>
    </row>
    <row r="3483" spans="4:4" x14ac:dyDescent="0.3">
      <c r="D3483" t="str">
        <f t="shared" si="85"/>
        <v/>
      </c>
    </row>
    <row r="3484" spans="4:4" x14ac:dyDescent="0.3">
      <c r="D3484" t="str">
        <f t="shared" si="85"/>
        <v/>
      </c>
    </row>
    <row r="3485" spans="4:4" x14ac:dyDescent="0.3">
      <c r="D3485" t="str">
        <f t="shared" si="85"/>
        <v/>
      </c>
    </row>
    <row r="3486" spans="4:4" x14ac:dyDescent="0.3">
      <c r="D3486" t="str">
        <f t="shared" si="85"/>
        <v/>
      </c>
    </row>
    <row r="3487" spans="4:4" x14ac:dyDescent="0.3">
      <c r="D3487" t="str">
        <f t="shared" si="85"/>
        <v/>
      </c>
    </row>
    <row r="3488" spans="4:4" x14ac:dyDescent="0.3">
      <c r="D3488" t="str">
        <f t="shared" si="85"/>
        <v/>
      </c>
    </row>
    <row r="3489" spans="4:4" x14ac:dyDescent="0.3">
      <c r="D3489" t="str">
        <f t="shared" si="85"/>
        <v/>
      </c>
    </row>
    <row r="3490" spans="4:4" x14ac:dyDescent="0.3">
      <c r="D3490" t="str">
        <f t="shared" si="85"/>
        <v/>
      </c>
    </row>
    <row r="3491" spans="4:4" x14ac:dyDescent="0.3">
      <c r="D3491" t="str">
        <f t="shared" si="85"/>
        <v/>
      </c>
    </row>
    <row r="3492" spans="4:4" x14ac:dyDescent="0.3">
      <c r="D3492" t="str">
        <f t="shared" si="85"/>
        <v/>
      </c>
    </row>
    <row r="3493" spans="4:4" x14ac:dyDescent="0.3">
      <c r="D3493" t="str">
        <f t="shared" si="85"/>
        <v/>
      </c>
    </row>
    <row r="3494" spans="4:4" x14ac:dyDescent="0.3">
      <c r="D3494" t="str">
        <f t="shared" si="85"/>
        <v/>
      </c>
    </row>
    <row r="3495" spans="4:4" x14ac:dyDescent="0.3">
      <c r="D3495" t="str">
        <f t="shared" si="85"/>
        <v/>
      </c>
    </row>
    <row r="3496" spans="4:4" x14ac:dyDescent="0.3">
      <c r="D3496" t="str">
        <f t="shared" si="85"/>
        <v/>
      </c>
    </row>
    <row r="3497" spans="4:4" x14ac:dyDescent="0.3">
      <c r="D3497" t="str">
        <f t="shared" si="85"/>
        <v/>
      </c>
    </row>
    <row r="3498" spans="4:4" x14ac:dyDescent="0.3">
      <c r="D3498" t="str">
        <f t="shared" si="85"/>
        <v/>
      </c>
    </row>
    <row r="3499" spans="4:4" x14ac:dyDescent="0.3">
      <c r="D3499" t="str">
        <f t="shared" si="85"/>
        <v/>
      </c>
    </row>
    <row r="3500" spans="4:4" x14ac:dyDescent="0.3">
      <c r="D3500" t="str">
        <f t="shared" si="85"/>
        <v/>
      </c>
    </row>
    <row r="3501" spans="4:4" x14ac:dyDescent="0.3">
      <c r="D3501" t="str">
        <f t="shared" si="85"/>
        <v/>
      </c>
    </row>
    <row r="3502" spans="4:4" x14ac:dyDescent="0.3">
      <c r="D3502" t="str">
        <f t="shared" si="85"/>
        <v/>
      </c>
    </row>
    <row r="3503" spans="4:4" x14ac:dyDescent="0.3">
      <c r="D3503" t="str">
        <f t="shared" si="85"/>
        <v/>
      </c>
    </row>
    <row r="3504" spans="4:4" x14ac:dyDescent="0.3">
      <c r="D3504" t="str">
        <f t="shared" si="85"/>
        <v/>
      </c>
    </row>
    <row r="3505" spans="4:4" x14ac:dyDescent="0.3">
      <c r="D3505" t="str">
        <f t="shared" si="85"/>
        <v/>
      </c>
    </row>
    <row r="3506" spans="4:4" x14ac:dyDescent="0.3">
      <c r="D3506" t="str">
        <f t="shared" si="85"/>
        <v/>
      </c>
    </row>
    <row r="3507" spans="4:4" x14ac:dyDescent="0.3">
      <c r="D3507" t="str">
        <f t="shared" si="85"/>
        <v/>
      </c>
    </row>
    <row r="3508" spans="4:4" x14ac:dyDescent="0.3">
      <c r="D3508" t="str">
        <f t="shared" si="85"/>
        <v/>
      </c>
    </row>
    <row r="3509" spans="4:4" x14ac:dyDescent="0.3">
      <c r="D3509" t="str">
        <f t="shared" si="85"/>
        <v/>
      </c>
    </row>
    <row r="3510" spans="4:4" x14ac:dyDescent="0.3">
      <c r="D3510" t="str">
        <f t="shared" si="85"/>
        <v/>
      </c>
    </row>
    <row r="3511" spans="4:4" x14ac:dyDescent="0.3">
      <c r="D3511" t="str">
        <f t="shared" si="85"/>
        <v/>
      </c>
    </row>
    <row r="3512" spans="4:4" x14ac:dyDescent="0.3">
      <c r="D3512" t="str">
        <f t="shared" si="85"/>
        <v/>
      </c>
    </row>
    <row r="3513" spans="4:4" x14ac:dyDescent="0.3">
      <c r="D3513" t="str">
        <f t="shared" si="85"/>
        <v/>
      </c>
    </row>
    <row r="3514" spans="4:4" x14ac:dyDescent="0.3">
      <c r="D3514" t="str">
        <f t="shared" ref="D3514:D3577" si="86">IF(LEFT(A3514,2)="SP",MID(A3514,4,4),IF(LEFT(A3514,1)="X",MID(A3514,3,4),""))</f>
        <v/>
      </c>
    </row>
    <row r="3515" spans="4:4" x14ac:dyDescent="0.3">
      <c r="D3515" t="str">
        <f t="shared" si="86"/>
        <v/>
      </c>
    </row>
    <row r="3516" spans="4:4" x14ac:dyDescent="0.3">
      <c r="D3516" t="str">
        <f t="shared" si="86"/>
        <v/>
      </c>
    </row>
    <row r="3517" spans="4:4" x14ac:dyDescent="0.3">
      <c r="D3517" t="str">
        <f t="shared" si="86"/>
        <v/>
      </c>
    </row>
    <row r="3518" spans="4:4" x14ac:dyDescent="0.3">
      <c r="D3518" t="str">
        <f t="shared" si="86"/>
        <v/>
      </c>
    </row>
    <row r="3519" spans="4:4" x14ac:dyDescent="0.3">
      <c r="D3519" t="str">
        <f t="shared" si="86"/>
        <v/>
      </c>
    </row>
    <row r="3520" spans="4:4" x14ac:dyDescent="0.3">
      <c r="D3520" t="str">
        <f t="shared" si="86"/>
        <v/>
      </c>
    </row>
    <row r="3521" spans="4:4" x14ac:dyDescent="0.3">
      <c r="D3521" t="str">
        <f t="shared" si="86"/>
        <v/>
      </c>
    </row>
    <row r="3522" spans="4:4" x14ac:dyDescent="0.3">
      <c r="D3522" t="str">
        <f t="shared" si="86"/>
        <v/>
      </c>
    </row>
    <row r="3523" spans="4:4" x14ac:dyDescent="0.3">
      <c r="D3523" t="str">
        <f t="shared" si="86"/>
        <v/>
      </c>
    </row>
    <row r="3524" spans="4:4" x14ac:dyDescent="0.3">
      <c r="D3524" t="str">
        <f t="shared" si="86"/>
        <v/>
      </c>
    </row>
    <row r="3525" spans="4:4" x14ac:dyDescent="0.3">
      <c r="D3525" t="str">
        <f t="shared" si="86"/>
        <v/>
      </c>
    </row>
    <row r="3526" spans="4:4" x14ac:dyDescent="0.3">
      <c r="D3526" t="str">
        <f t="shared" si="86"/>
        <v/>
      </c>
    </row>
    <row r="3527" spans="4:4" x14ac:dyDescent="0.3">
      <c r="D3527" t="str">
        <f t="shared" si="86"/>
        <v/>
      </c>
    </row>
    <row r="3528" spans="4:4" x14ac:dyDescent="0.3">
      <c r="D3528" t="str">
        <f t="shared" si="86"/>
        <v/>
      </c>
    </row>
    <row r="3529" spans="4:4" x14ac:dyDescent="0.3">
      <c r="D3529" t="str">
        <f t="shared" si="86"/>
        <v/>
      </c>
    </row>
    <row r="3530" spans="4:4" x14ac:dyDescent="0.3">
      <c r="D3530" t="str">
        <f t="shared" si="86"/>
        <v/>
      </c>
    </row>
    <row r="3531" spans="4:4" x14ac:dyDescent="0.3">
      <c r="D3531" t="str">
        <f t="shared" si="86"/>
        <v/>
      </c>
    </row>
    <row r="3532" spans="4:4" x14ac:dyDescent="0.3">
      <c r="D3532" t="str">
        <f t="shared" si="86"/>
        <v/>
      </c>
    </row>
    <row r="3533" spans="4:4" x14ac:dyDescent="0.3">
      <c r="D3533" t="str">
        <f t="shared" si="86"/>
        <v/>
      </c>
    </row>
    <row r="3534" spans="4:4" x14ac:dyDescent="0.3">
      <c r="D3534" t="str">
        <f t="shared" si="86"/>
        <v/>
      </c>
    </row>
    <row r="3535" spans="4:4" x14ac:dyDescent="0.3">
      <c r="D3535" t="str">
        <f t="shared" si="86"/>
        <v/>
      </c>
    </row>
    <row r="3536" spans="4:4" x14ac:dyDescent="0.3">
      <c r="D3536" t="str">
        <f t="shared" si="86"/>
        <v/>
      </c>
    </row>
    <row r="3537" spans="4:4" x14ac:dyDescent="0.3">
      <c r="D3537" t="str">
        <f t="shared" si="86"/>
        <v/>
      </c>
    </row>
    <row r="3538" spans="4:4" x14ac:dyDescent="0.3">
      <c r="D3538" t="str">
        <f t="shared" si="86"/>
        <v/>
      </c>
    </row>
    <row r="3539" spans="4:4" x14ac:dyDescent="0.3">
      <c r="D3539" t="str">
        <f t="shared" si="86"/>
        <v/>
      </c>
    </row>
    <row r="3540" spans="4:4" x14ac:dyDescent="0.3">
      <c r="D3540" t="str">
        <f t="shared" si="86"/>
        <v/>
      </c>
    </row>
    <row r="3541" spans="4:4" x14ac:dyDescent="0.3">
      <c r="D3541" t="str">
        <f t="shared" si="86"/>
        <v/>
      </c>
    </row>
    <row r="3542" spans="4:4" x14ac:dyDescent="0.3">
      <c r="D3542" t="str">
        <f t="shared" si="86"/>
        <v/>
      </c>
    </row>
    <row r="3543" spans="4:4" x14ac:dyDescent="0.3">
      <c r="D3543" t="str">
        <f t="shared" si="86"/>
        <v/>
      </c>
    </row>
    <row r="3544" spans="4:4" x14ac:dyDescent="0.3">
      <c r="D3544" t="str">
        <f t="shared" si="86"/>
        <v/>
      </c>
    </row>
    <row r="3545" spans="4:4" x14ac:dyDescent="0.3">
      <c r="D3545" t="str">
        <f t="shared" si="86"/>
        <v/>
      </c>
    </row>
    <row r="3546" spans="4:4" x14ac:dyDescent="0.3">
      <c r="D3546" t="str">
        <f t="shared" si="86"/>
        <v/>
      </c>
    </row>
    <row r="3547" spans="4:4" x14ac:dyDescent="0.3">
      <c r="D3547" t="str">
        <f t="shared" si="86"/>
        <v/>
      </c>
    </row>
    <row r="3548" spans="4:4" x14ac:dyDescent="0.3">
      <c r="D3548" t="str">
        <f t="shared" si="86"/>
        <v/>
      </c>
    </row>
    <row r="3549" spans="4:4" x14ac:dyDescent="0.3">
      <c r="D3549" t="str">
        <f t="shared" si="86"/>
        <v/>
      </c>
    </row>
    <row r="3550" spans="4:4" x14ac:dyDescent="0.3">
      <c r="D3550" t="str">
        <f t="shared" si="86"/>
        <v/>
      </c>
    </row>
    <row r="3551" spans="4:4" x14ac:dyDescent="0.3">
      <c r="D3551" t="str">
        <f t="shared" si="86"/>
        <v/>
      </c>
    </row>
    <row r="3552" spans="4:4" x14ac:dyDescent="0.3">
      <c r="D3552" t="str">
        <f t="shared" si="86"/>
        <v/>
      </c>
    </row>
    <row r="3553" spans="4:4" x14ac:dyDescent="0.3">
      <c r="D3553" t="str">
        <f t="shared" si="86"/>
        <v/>
      </c>
    </row>
    <row r="3554" spans="4:4" x14ac:dyDescent="0.3">
      <c r="D3554" t="str">
        <f t="shared" si="86"/>
        <v/>
      </c>
    </row>
    <row r="3555" spans="4:4" x14ac:dyDescent="0.3">
      <c r="D3555" t="str">
        <f t="shared" si="86"/>
        <v/>
      </c>
    </row>
    <row r="3556" spans="4:4" x14ac:dyDescent="0.3">
      <c r="D3556" t="str">
        <f t="shared" si="86"/>
        <v/>
      </c>
    </row>
    <row r="3557" spans="4:4" x14ac:dyDescent="0.3">
      <c r="D3557" t="str">
        <f t="shared" si="86"/>
        <v/>
      </c>
    </row>
    <row r="3558" spans="4:4" x14ac:dyDescent="0.3">
      <c r="D3558" t="str">
        <f t="shared" si="86"/>
        <v/>
      </c>
    </row>
    <row r="3559" spans="4:4" x14ac:dyDescent="0.3">
      <c r="D3559" t="str">
        <f t="shared" si="86"/>
        <v/>
      </c>
    </row>
    <row r="3560" spans="4:4" x14ac:dyDescent="0.3">
      <c r="D3560" t="str">
        <f t="shared" si="86"/>
        <v/>
      </c>
    </row>
    <row r="3561" spans="4:4" x14ac:dyDescent="0.3">
      <c r="D3561" t="str">
        <f t="shared" si="86"/>
        <v/>
      </c>
    </row>
    <row r="3562" spans="4:4" x14ac:dyDescent="0.3">
      <c r="D3562" t="str">
        <f t="shared" si="86"/>
        <v/>
      </c>
    </row>
    <row r="3563" spans="4:4" x14ac:dyDescent="0.3">
      <c r="D3563" t="str">
        <f t="shared" si="86"/>
        <v/>
      </c>
    </row>
    <row r="3564" spans="4:4" x14ac:dyDescent="0.3">
      <c r="D3564" t="str">
        <f t="shared" si="86"/>
        <v/>
      </c>
    </row>
    <row r="3565" spans="4:4" x14ac:dyDescent="0.3">
      <c r="D3565" t="str">
        <f t="shared" si="86"/>
        <v/>
      </c>
    </row>
    <row r="3566" spans="4:4" x14ac:dyDescent="0.3">
      <c r="D3566" t="str">
        <f t="shared" si="86"/>
        <v/>
      </c>
    </row>
    <row r="3567" spans="4:4" x14ac:dyDescent="0.3">
      <c r="D3567" t="str">
        <f t="shared" si="86"/>
        <v/>
      </c>
    </row>
    <row r="3568" spans="4:4" x14ac:dyDescent="0.3">
      <c r="D3568" t="str">
        <f t="shared" si="86"/>
        <v/>
      </c>
    </row>
    <row r="3569" spans="4:4" x14ac:dyDescent="0.3">
      <c r="D3569" t="str">
        <f t="shared" si="86"/>
        <v/>
      </c>
    </row>
    <row r="3570" spans="4:4" x14ac:dyDescent="0.3">
      <c r="D3570" t="str">
        <f t="shared" si="86"/>
        <v/>
      </c>
    </row>
    <row r="3571" spans="4:4" x14ac:dyDescent="0.3">
      <c r="D3571" t="str">
        <f t="shared" si="86"/>
        <v/>
      </c>
    </row>
    <row r="3572" spans="4:4" x14ac:dyDescent="0.3">
      <c r="D3572" t="str">
        <f t="shared" si="86"/>
        <v/>
      </c>
    </row>
    <row r="3573" spans="4:4" x14ac:dyDescent="0.3">
      <c r="D3573" t="str">
        <f t="shared" si="86"/>
        <v/>
      </c>
    </row>
    <row r="3574" spans="4:4" x14ac:dyDescent="0.3">
      <c r="D3574" t="str">
        <f t="shared" si="86"/>
        <v/>
      </c>
    </row>
    <row r="3575" spans="4:4" x14ac:dyDescent="0.3">
      <c r="D3575" t="str">
        <f t="shared" si="86"/>
        <v/>
      </c>
    </row>
    <row r="3576" spans="4:4" x14ac:dyDescent="0.3">
      <c r="D3576" t="str">
        <f t="shared" si="86"/>
        <v/>
      </c>
    </row>
    <row r="3577" spans="4:4" x14ac:dyDescent="0.3">
      <c r="D3577" t="str">
        <f t="shared" si="86"/>
        <v/>
      </c>
    </row>
    <row r="3578" spans="4:4" x14ac:dyDescent="0.3">
      <c r="D3578" t="str">
        <f t="shared" ref="D3578:D3641" si="87">IF(LEFT(A3578,2)="SP",MID(A3578,4,4),IF(LEFT(A3578,1)="X",MID(A3578,3,4),""))</f>
        <v/>
      </c>
    </row>
    <row r="3579" spans="4:4" x14ac:dyDescent="0.3">
      <c r="D3579" t="str">
        <f t="shared" si="87"/>
        <v/>
      </c>
    </row>
    <row r="3580" spans="4:4" x14ac:dyDescent="0.3">
      <c r="D3580" t="str">
        <f t="shared" si="87"/>
        <v/>
      </c>
    </row>
    <row r="3581" spans="4:4" x14ac:dyDescent="0.3">
      <c r="D3581" t="str">
        <f t="shared" si="87"/>
        <v/>
      </c>
    </row>
    <row r="3582" spans="4:4" x14ac:dyDescent="0.3">
      <c r="D3582" t="str">
        <f t="shared" si="87"/>
        <v/>
      </c>
    </row>
    <row r="3583" spans="4:4" x14ac:dyDescent="0.3">
      <c r="D3583" t="str">
        <f t="shared" si="87"/>
        <v/>
      </c>
    </row>
    <row r="3584" spans="4:4" x14ac:dyDescent="0.3">
      <c r="D3584" t="str">
        <f t="shared" si="87"/>
        <v/>
      </c>
    </row>
    <row r="3585" spans="4:4" x14ac:dyDescent="0.3">
      <c r="D3585" t="str">
        <f t="shared" si="87"/>
        <v/>
      </c>
    </row>
    <row r="3586" spans="4:4" x14ac:dyDescent="0.3">
      <c r="D3586" t="str">
        <f t="shared" si="87"/>
        <v/>
      </c>
    </row>
    <row r="3587" spans="4:4" x14ac:dyDescent="0.3">
      <c r="D3587" t="str">
        <f t="shared" si="87"/>
        <v/>
      </c>
    </row>
    <row r="3588" spans="4:4" x14ac:dyDescent="0.3">
      <c r="D3588" t="str">
        <f t="shared" si="87"/>
        <v/>
      </c>
    </row>
    <row r="3589" spans="4:4" x14ac:dyDescent="0.3">
      <c r="D3589" t="str">
        <f t="shared" si="87"/>
        <v/>
      </c>
    </row>
    <row r="3590" spans="4:4" x14ac:dyDescent="0.3">
      <c r="D3590" t="str">
        <f t="shared" si="87"/>
        <v/>
      </c>
    </row>
    <row r="3591" spans="4:4" x14ac:dyDescent="0.3">
      <c r="D3591" t="str">
        <f t="shared" si="87"/>
        <v/>
      </c>
    </row>
    <row r="3592" spans="4:4" x14ac:dyDescent="0.3">
      <c r="D3592" t="str">
        <f t="shared" si="87"/>
        <v/>
      </c>
    </row>
    <row r="3593" spans="4:4" x14ac:dyDescent="0.3">
      <c r="D3593" t="str">
        <f t="shared" si="87"/>
        <v/>
      </c>
    </row>
    <row r="3594" spans="4:4" x14ac:dyDescent="0.3">
      <c r="D3594" t="str">
        <f t="shared" si="87"/>
        <v/>
      </c>
    </row>
    <row r="3595" spans="4:4" x14ac:dyDescent="0.3">
      <c r="D3595" t="str">
        <f t="shared" si="87"/>
        <v/>
      </c>
    </row>
    <row r="3596" spans="4:4" x14ac:dyDescent="0.3">
      <c r="D3596" t="str">
        <f t="shared" si="87"/>
        <v/>
      </c>
    </row>
    <row r="3597" spans="4:4" x14ac:dyDescent="0.3">
      <c r="D3597" t="str">
        <f t="shared" si="87"/>
        <v/>
      </c>
    </row>
    <row r="3598" spans="4:4" x14ac:dyDescent="0.3">
      <c r="D3598" t="str">
        <f t="shared" si="87"/>
        <v/>
      </c>
    </row>
    <row r="3599" spans="4:4" x14ac:dyDescent="0.3">
      <c r="D3599" t="str">
        <f t="shared" si="87"/>
        <v/>
      </c>
    </row>
    <row r="3600" spans="4:4" x14ac:dyDescent="0.3">
      <c r="D3600" t="str">
        <f t="shared" si="87"/>
        <v/>
      </c>
    </row>
    <row r="3601" spans="4:4" x14ac:dyDescent="0.3">
      <c r="D3601" t="str">
        <f t="shared" si="87"/>
        <v/>
      </c>
    </row>
    <row r="3602" spans="4:4" x14ac:dyDescent="0.3">
      <c r="D3602" t="str">
        <f t="shared" si="87"/>
        <v/>
      </c>
    </row>
    <row r="3603" spans="4:4" x14ac:dyDescent="0.3">
      <c r="D3603" t="str">
        <f t="shared" si="87"/>
        <v/>
      </c>
    </row>
    <row r="3604" spans="4:4" x14ac:dyDescent="0.3">
      <c r="D3604" t="str">
        <f t="shared" si="87"/>
        <v/>
      </c>
    </row>
    <row r="3605" spans="4:4" x14ac:dyDescent="0.3">
      <c r="D3605" t="str">
        <f t="shared" si="87"/>
        <v/>
      </c>
    </row>
    <row r="3606" spans="4:4" x14ac:dyDescent="0.3">
      <c r="D3606" t="str">
        <f t="shared" si="87"/>
        <v/>
      </c>
    </row>
    <row r="3607" spans="4:4" x14ac:dyDescent="0.3">
      <c r="D3607" t="str">
        <f t="shared" si="87"/>
        <v/>
      </c>
    </row>
    <row r="3608" spans="4:4" x14ac:dyDescent="0.3">
      <c r="D3608" t="str">
        <f t="shared" si="87"/>
        <v/>
      </c>
    </row>
    <row r="3609" spans="4:4" x14ac:dyDescent="0.3">
      <c r="D3609" t="str">
        <f t="shared" si="87"/>
        <v/>
      </c>
    </row>
    <row r="3610" spans="4:4" x14ac:dyDescent="0.3">
      <c r="D3610" t="str">
        <f t="shared" si="87"/>
        <v/>
      </c>
    </row>
    <row r="3611" spans="4:4" x14ac:dyDescent="0.3">
      <c r="D3611" t="str">
        <f t="shared" si="87"/>
        <v/>
      </c>
    </row>
    <row r="3612" spans="4:4" x14ac:dyDescent="0.3">
      <c r="D3612" t="str">
        <f t="shared" si="87"/>
        <v/>
      </c>
    </row>
    <row r="3613" spans="4:4" x14ac:dyDescent="0.3">
      <c r="D3613" t="str">
        <f t="shared" si="87"/>
        <v/>
      </c>
    </row>
    <row r="3614" spans="4:4" x14ac:dyDescent="0.3">
      <c r="D3614" t="str">
        <f t="shared" si="87"/>
        <v/>
      </c>
    </row>
    <row r="3615" spans="4:4" x14ac:dyDescent="0.3">
      <c r="D3615" t="str">
        <f t="shared" si="87"/>
        <v/>
      </c>
    </row>
    <row r="3616" spans="4:4" x14ac:dyDescent="0.3">
      <c r="D3616" t="str">
        <f t="shared" si="87"/>
        <v/>
      </c>
    </row>
    <row r="3617" spans="4:4" x14ac:dyDescent="0.3">
      <c r="D3617" t="str">
        <f t="shared" si="87"/>
        <v/>
      </c>
    </row>
    <row r="3618" spans="4:4" x14ac:dyDescent="0.3">
      <c r="D3618" t="str">
        <f t="shared" si="87"/>
        <v/>
      </c>
    </row>
    <row r="3619" spans="4:4" x14ac:dyDescent="0.3">
      <c r="D3619" t="str">
        <f t="shared" si="87"/>
        <v/>
      </c>
    </row>
    <row r="3620" spans="4:4" x14ac:dyDescent="0.3">
      <c r="D3620" t="str">
        <f t="shared" si="87"/>
        <v/>
      </c>
    </row>
    <row r="3621" spans="4:4" x14ac:dyDescent="0.3">
      <c r="D3621" t="str">
        <f t="shared" si="87"/>
        <v/>
      </c>
    </row>
    <row r="3622" spans="4:4" x14ac:dyDescent="0.3">
      <c r="D3622" t="str">
        <f t="shared" si="87"/>
        <v/>
      </c>
    </row>
    <row r="3623" spans="4:4" x14ac:dyDescent="0.3">
      <c r="D3623" t="str">
        <f t="shared" si="87"/>
        <v/>
      </c>
    </row>
    <row r="3624" spans="4:4" x14ac:dyDescent="0.3">
      <c r="D3624" t="str">
        <f t="shared" si="87"/>
        <v/>
      </c>
    </row>
    <row r="3625" spans="4:4" x14ac:dyDescent="0.3">
      <c r="D3625" t="str">
        <f t="shared" si="87"/>
        <v/>
      </c>
    </row>
    <row r="3626" spans="4:4" x14ac:dyDescent="0.3">
      <c r="D3626" t="str">
        <f t="shared" si="87"/>
        <v/>
      </c>
    </row>
    <row r="3627" spans="4:4" x14ac:dyDescent="0.3">
      <c r="D3627" t="str">
        <f t="shared" si="87"/>
        <v/>
      </c>
    </row>
    <row r="3628" spans="4:4" x14ac:dyDescent="0.3">
      <c r="D3628" t="str">
        <f t="shared" si="87"/>
        <v/>
      </c>
    </row>
    <row r="3629" spans="4:4" x14ac:dyDescent="0.3">
      <c r="D3629" t="str">
        <f t="shared" si="87"/>
        <v/>
      </c>
    </row>
    <row r="3630" spans="4:4" x14ac:dyDescent="0.3">
      <c r="D3630" t="str">
        <f t="shared" si="87"/>
        <v/>
      </c>
    </row>
    <row r="3631" spans="4:4" x14ac:dyDescent="0.3">
      <c r="D3631" t="str">
        <f t="shared" si="87"/>
        <v/>
      </c>
    </row>
    <row r="3632" spans="4:4" x14ac:dyDescent="0.3">
      <c r="D3632" t="str">
        <f t="shared" si="87"/>
        <v/>
      </c>
    </row>
    <row r="3633" spans="4:4" x14ac:dyDescent="0.3">
      <c r="D3633" t="str">
        <f t="shared" si="87"/>
        <v/>
      </c>
    </row>
    <row r="3634" spans="4:4" x14ac:dyDescent="0.3">
      <c r="D3634" t="str">
        <f t="shared" si="87"/>
        <v/>
      </c>
    </row>
    <row r="3635" spans="4:4" x14ac:dyDescent="0.3">
      <c r="D3635" t="str">
        <f t="shared" si="87"/>
        <v/>
      </c>
    </row>
    <row r="3636" spans="4:4" x14ac:dyDescent="0.3">
      <c r="D3636" t="str">
        <f t="shared" si="87"/>
        <v/>
      </c>
    </row>
    <row r="3637" spans="4:4" x14ac:dyDescent="0.3">
      <c r="D3637" t="str">
        <f t="shared" si="87"/>
        <v/>
      </c>
    </row>
    <row r="3638" spans="4:4" x14ac:dyDescent="0.3">
      <c r="D3638" t="str">
        <f t="shared" si="87"/>
        <v/>
      </c>
    </row>
    <row r="3639" spans="4:4" x14ac:dyDescent="0.3">
      <c r="D3639" t="str">
        <f t="shared" si="87"/>
        <v/>
      </c>
    </row>
    <row r="3640" spans="4:4" x14ac:dyDescent="0.3">
      <c r="D3640" t="str">
        <f t="shared" si="87"/>
        <v/>
      </c>
    </row>
    <row r="3641" spans="4:4" x14ac:dyDescent="0.3">
      <c r="D3641" t="str">
        <f t="shared" si="87"/>
        <v/>
      </c>
    </row>
    <row r="3642" spans="4:4" x14ac:dyDescent="0.3">
      <c r="D3642" t="str">
        <f t="shared" ref="D3642:D3705" si="88">IF(LEFT(A3642,2)="SP",MID(A3642,4,4),IF(LEFT(A3642,1)="X",MID(A3642,3,4),""))</f>
        <v/>
      </c>
    </row>
    <row r="3643" spans="4:4" x14ac:dyDescent="0.3">
      <c r="D3643" t="str">
        <f t="shared" si="88"/>
        <v/>
      </c>
    </row>
    <row r="3644" spans="4:4" x14ac:dyDescent="0.3">
      <c r="D3644" t="str">
        <f t="shared" si="88"/>
        <v/>
      </c>
    </row>
    <row r="3645" spans="4:4" x14ac:dyDescent="0.3">
      <c r="D3645" t="str">
        <f t="shared" si="88"/>
        <v/>
      </c>
    </row>
    <row r="3646" spans="4:4" x14ac:dyDescent="0.3">
      <c r="D3646" t="str">
        <f t="shared" si="88"/>
        <v/>
      </c>
    </row>
    <row r="3647" spans="4:4" x14ac:dyDescent="0.3">
      <c r="D3647" t="str">
        <f t="shared" si="88"/>
        <v/>
      </c>
    </row>
    <row r="3648" spans="4:4" x14ac:dyDescent="0.3">
      <c r="D3648" t="str">
        <f t="shared" si="88"/>
        <v/>
      </c>
    </row>
    <row r="3649" spans="4:4" x14ac:dyDescent="0.3">
      <c r="D3649" t="str">
        <f t="shared" si="88"/>
        <v/>
      </c>
    </row>
    <row r="3650" spans="4:4" x14ac:dyDescent="0.3">
      <c r="D3650" t="str">
        <f t="shared" si="88"/>
        <v/>
      </c>
    </row>
    <row r="3651" spans="4:4" x14ac:dyDescent="0.3">
      <c r="D3651" t="str">
        <f t="shared" si="88"/>
        <v/>
      </c>
    </row>
    <row r="3652" spans="4:4" x14ac:dyDescent="0.3">
      <c r="D3652" t="str">
        <f t="shared" si="88"/>
        <v/>
      </c>
    </row>
    <row r="3653" spans="4:4" x14ac:dyDescent="0.3">
      <c r="D3653" t="str">
        <f t="shared" si="88"/>
        <v/>
      </c>
    </row>
    <row r="3654" spans="4:4" x14ac:dyDescent="0.3">
      <c r="D3654" t="str">
        <f t="shared" si="88"/>
        <v/>
      </c>
    </row>
    <row r="3655" spans="4:4" x14ac:dyDescent="0.3">
      <c r="D3655" t="str">
        <f t="shared" si="88"/>
        <v/>
      </c>
    </row>
    <row r="3656" spans="4:4" x14ac:dyDescent="0.3">
      <c r="D3656" t="str">
        <f t="shared" si="88"/>
        <v/>
      </c>
    </row>
    <row r="3657" spans="4:4" x14ac:dyDescent="0.3">
      <c r="D3657" t="str">
        <f t="shared" si="88"/>
        <v/>
      </c>
    </row>
    <row r="3658" spans="4:4" x14ac:dyDescent="0.3">
      <c r="D3658" t="str">
        <f t="shared" si="88"/>
        <v/>
      </c>
    </row>
    <row r="3659" spans="4:4" x14ac:dyDescent="0.3">
      <c r="D3659" t="str">
        <f t="shared" si="88"/>
        <v/>
      </c>
    </row>
    <row r="3660" spans="4:4" x14ac:dyDescent="0.3">
      <c r="D3660" t="str">
        <f t="shared" si="88"/>
        <v/>
      </c>
    </row>
    <row r="3661" spans="4:4" x14ac:dyDescent="0.3">
      <c r="D3661" t="str">
        <f t="shared" si="88"/>
        <v/>
      </c>
    </row>
    <row r="3662" spans="4:4" x14ac:dyDescent="0.3">
      <c r="D3662" t="str">
        <f t="shared" si="88"/>
        <v/>
      </c>
    </row>
    <row r="3663" spans="4:4" x14ac:dyDescent="0.3">
      <c r="D3663" t="str">
        <f t="shared" si="88"/>
        <v/>
      </c>
    </row>
    <row r="3664" spans="4:4" x14ac:dyDescent="0.3">
      <c r="D3664" t="str">
        <f t="shared" si="88"/>
        <v/>
      </c>
    </row>
    <row r="3665" spans="4:4" x14ac:dyDescent="0.3">
      <c r="D3665" t="str">
        <f t="shared" si="88"/>
        <v/>
      </c>
    </row>
    <row r="3666" spans="4:4" x14ac:dyDescent="0.3">
      <c r="D3666" t="str">
        <f t="shared" si="88"/>
        <v/>
      </c>
    </row>
    <row r="3667" spans="4:4" x14ac:dyDescent="0.3">
      <c r="D3667" t="str">
        <f t="shared" si="88"/>
        <v/>
      </c>
    </row>
    <row r="3668" spans="4:4" x14ac:dyDescent="0.3">
      <c r="D3668" t="str">
        <f t="shared" si="88"/>
        <v/>
      </c>
    </row>
    <row r="3669" spans="4:4" x14ac:dyDescent="0.3">
      <c r="D3669" t="str">
        <f t="shared" si="88"/>
        <v/>
      </c>
    </row>
    <row r="3670" spans="4:4" x14ac:dyDescent="0.3">
      <c r="D3670" t="str">
        <f t="shared" si="88"/>
        <v/>
      </c>
    </row>
    <row r="3671" spans="4:4" x14ac:dyDescent="0.3">
      <c r="D3671" t="str">
        <f t="shared" si="88"/>
        <v/>
      </c>
    </row>
    <row r="3672" spans="4:4" x14ac:dyDescent="0.3">
      <c r="D3672" t="str">
        <f t="shared" si="88"/>
        <v/>
      </c>
    </row>
    <row r="3673" spans="4:4" x14ac:dyDescent="0.3">
      <c r="D3673" t="str">
        <f t="shared" si="88"/>
        <v/>
      </c>
    </row>
    <row r="3674" spans="4:4" x14ac:dyDescent="0.3">
      <c r="D3674" t="str">
        <f t="shared" si="88"/>
        <v/>
      </c>
    </row>
    <row r="3675" spans="4:4" x14ac:dyDescent="0.3">
      <c r="D3675" t="str">
        <f t="shared" si="88"/>
        <v/>
      </c>
    </row>
    <row r="3676" spans="4:4" x14ac:dyDescent="0.3">
      <c r="D3676" t="str">
        <f t="shared" si="88"/>
        <v/>
      </c>
    </row>
    <row r="3677" spans="4:4" x14ac:dyDescent="0.3">
      <c r="D3677" t="str">
        <f t="shared" si="88"/>
        <v/>
      </c>
    </row>
    <row r="3678" spans="4:4" x14ac:dyDescent="0.3">
      <c r="D3678" t="str">
        <f t="shared" si="88"/>
        <v/>
      </c>
    </row>
    <row r="3679" spans="4:4" x14ac:dyDescent="0.3">
      <c r="D3679" t="str">
        <f t="shared" si="88"/>
        <v/>
      </c>
    </row>
    <row r="3680" spans="4:4" x14ac:dyDescent="0.3">
      <c r="D3680" t="str">
        <f t="shared" si="88"/>
        <v/>
      </c>
    </row>
    <row r="3681" spans="4:4" x14ac:dyDescent="0.3">
      <c r="D3681" t="str">
        <f t="shared" si="88"/>
        <v/>
      </c>
    </row>
    <row r="3682" spans="4:4" x14ac:dyDescent="0.3">
      <c r="D3682" t="str">
        <f t="shared" si="88"/>
        <v/>
      </c>
    </row>
    <row r="3683" spans="4:4" x14ac:dyDescent="0.3">
      <c r="D3683" t="str">
        <f t="shared" si="88"/>
        <v/>
      </c>
    </row>
    <row r="3684" spans="4:4" x14ac:dyDescent="0.3">
      <c r="D3684" t="str">
        <f t="shared" si="88"/>
        <v/>
      </c>
    </row>
    <row r="3685" spans="4:4" x14ac:dyDescent="0.3">
      <c r="D3685" t="str">
        <f t="shared" si="88"/>
        <v/>
      </c>
    </row>
    <row r="3686" spans="4:4" x14ac:dyDescent="0.3">
      <c r="D3686" t="str">
        <f t="shared" si="88"/>
        <v/>
      </c>
    </row>
    <row r="3687" spans="4:4" x14ac:dyDescent="0.3">
      <c r="D3687" t="str">
        <f t="shared" si="88"/>
        <v/>
      </c>
    </row>
    <row r="3688" spans="4:4" x14ac:dyDescent="0.3">
      <c r="D3688" t="str">
        <f t="shared" si="88"/>
        <v/>
      </c>
    </row>
    <row r="3689" spans="4:4" x14ac:dyDescent="0.3">
      <c r="D3689" t="str">
        <f t="shared" si="88"/>
        <v/>
      </c>
    </row>
    <row r="3690" spans="4:4" x14ac:dyDescent="0.3">
      <c r="D3690" t="str">
        <f t="shared" si="88"/>
        <v/>
      </c>
    </row>
    <row r="3691" spans="4:4" x14ac:dyDescent="0.3">
      <c r="D3691" t="str">
        <f t="shared" si="88"/>
        <v/>
      </c>
    </row>
    <row r="3692" spans="4:4" x14ac:dyDescent="0.3">
      <c r="D3692" t="str">
        <f t="shared" si="88"/>
        <v/>
      </c>
    </row>
    <row r="3693" spans="4:4" x14ac:dyDescent="0.3">
      <c r="D3693" t="str">
        <f t="shared" si="88"/>
        <v/>
      </c>
    </row>
    <row r="3694" spans="4:4" x14ac:dyDescent="0.3">
      <c r="D3694" t="str">
        <f t="shared" si="88"/>
        <v/>
      </c>
    </row>
    <row r="3695" spans="4:4" x14ac:dyDescent="0.3">
      <c r="D3695" t="str">
        <f t="shared" si="88"/>
        <v/>
      </c>
    </row>
    <row r="3696" spans="4:4" x14ac:dyDescent="0.3">
      <c r="D3696" t="str">
        <f t="shared" si="88"/>
        <v/>
      </c>
    </row>
    <row r="3697" spans="4:4" x14ac:dyDescent="0.3">
      <c r="D3697" t="str">
        <f t="shared" si="88"/>
        <v/>
      </c>
    </row>
    <row r="3698" spans="4:4" x14ac:dyDescent="0.3">
      <c r="D3698" t="str">
        <f t="shared" si="88"/>
        <v/>
      </c>
    </row>
    <row r="3699" spans="4:4" x14ac:dyDescent="0.3">
      <c r="D3699" t="str">
        <f t="shared" si="88"/>
        <v/>
      </c>
    </row>
    <row r="3700" spans="4:4" x14ac:dyDescent="0.3">
      <c r="D3700" t="str">
        <f t="shared" si="88"/>
        <v/>
      </c>
    </row>
    <row r="3701" spans="4:4" x14ac:dyDescent="0.3">
      <c r="D3701" t="str">
        <f t="shared" si="88"/>
        <v/>
      </c>
    </row>
    <row r="3702" spans="4:4" x14ac:dyDescent="0.3">
      <c r="D3702" t="str">
        <f t="shared" si="88"/>
        <v/>
      </c>
    </row>
    <row r="3703" spans="4:4" x14ac:dyDescent="0.3">
      <c r="D3703" t="str">
        <f t="shared" si="88"/>
        <v/>
      </c>
    </row>
    <row r="3704" spans="4:4" x14ac:dyDescent="0.3">
      <c r="D3704" t="str">
        <f t="shared" si="88"/>
        <v/>
      </c>
    </row>
    <row r="3705" spans="4:4" x14ac:dyDescent="0.3">
      <c r="D3705" t="str">
        <f t="shared" si="88"/>
        <v/>
      </c>
    </row>
    <row r="3706" spans="4:4" x14ac:dyDescent="0.3">
      <c r="D3706" t="str">
        <f t="shared" ref="D3706:D3769" si="89">IF(LEFT(A3706,2)="SP",MID(A3706,4,4),IF(LEFT(A3706,1)="X",MID(A3706,3,4),""))</f>
        <v/>
      </c>
    </row>
    <row r="3707" spans="4:4" x14ac:dyDescent="0.3">
      <c r="D3707" t="str">
        <f t="shared" si="89"/>
        <v/>
      </c>
    </row>
    <row r="3708" spans="4:4" x14ac:dyDescent="0.3">
      <c r="D3708" t="str">
        <f t="shared" si="89"/>
        <v/>
      </c>
    </row>
    <row r="3709" spans="4:4" x14ac:dyDescent="0.3">
      <c r="D3709" t="str">
        <f t="shared" si="89"/>
        <v/>
      </c>
    </row>
    <row r="3710" spans="4:4" x14ac:dyDescent="0.3">
      <c r="D3710" t="str">
        <f t="shared" si="89"/>
        <v/>
      </c>
    </row>
    <row r="3711" spans="4:4" x14ac:dyDescent="0.3">
      <c r="D3711" t="str">
        <f t="shared" si="89"/>
        <v/>
      </c>
    </row>
    <row r="3712" spans="4:4" x14ac:dyDescent="0.3">
      <c r="D3712" t="str">
        <f t="shared" si="89"/>
        <v/>
      </c>
    </row>
    <row r="3713" spans="4:4" x14ac:dyDescent="0.3">
      <c r="D3713" t="str">
        <f t="shared" si="89"/>
        <v/>
      </c>
    </row>
    <row r="3714" spans="4:4" x14ac:dyDescent="0.3">
      <c r="D3714" t="str">
        <f t="shared" si="89"/>
        <v/>
      </c>
    </row>
    <row r="3715" spans="4:4" x14ac:dyDescent="0.3">
      <c r="D3715" t="str">
        <f t="shared" si="89"/>
        <v/>
      </c>
    </row>
    <row r="3716" spans="4:4" x14ac:dyDescent="0.3">
      <c r="D3716" t="str">
        <f t="shared" si="89"/>
        <v/>
      </c>
    </row>
    <row r="3717" spans="4:4" x14ac:dyDescent="0.3">
      <c r="D3717" t="str">
        <f t="shared" si="89"/>
        <v/>
      </c>
    </row>
    <row r="3718" spans="4:4" x14ac:dyDescent="0.3">
      <c r="D3718" t="str">
        <f t="shared" si="89"/>
        <v/>
      </c>
    </row>
    <row r="3719" spans="4:4" x14ac:dyDescent="0.3">
      <c r="D3719" t="str">
        <f t="shared" si="89"/>
        <v/>
      </c>
    </row>
    <row r="3720" spans="4:4" x14ac:dyDescent="0.3">
      <c r="D3720" t="str">
        <f t="shared" si="89"/>
        <v/>
      </c>
    </row>
    <row r="3721" spans="4:4" x14ac:dyDescent="0.3">
      <c r="D3721" t="str">
        <f t="shared" si="89"/>
        <v/>
      </c>
    </row>
    <row r="3722" spans="4:4" x14ac:dyDescent="0.3">
      <c r="D3722" t="str">
        <f t="shared" si="89"/>
        <v/>
      </c>
    </row>
    <row r="3723" spans="4:4" x14ac:dyDescent="0.3">
      <c r="D3723" t="str">
        <f t="shared" si="89"/>
        <v/>
      </c>
    </row>
    <row r="3724" spans="4:4" x14ac:dyDescent="0.3">
      <c r="D3724" t="str">
        <f t="shared" si="89"/>
        <v/>
      </c>
    </row>
    <row r="3725" spans="4:4" x14ac:dyDescent="0.3">
      <c r="D3725" t="str">
        <f t="shared" si="89"/>
        <v/>
      </c>
    </row>
    <row r="3726" spans="4:4" x14ac:dyDescent="0.3">
      <c r="D3726" t="str">
        <f t="shared" si="89"/>
        <v/>
      </c>
    </row>
    <row r="3727" spans="4:4" x14ac:dyDescent="0.3">
      <c r="D3727" t="str">
        <f t="shared" si="89"/>
        <v/>
      </c>
    </row>
    <row r="3728" spans="4:4" x14ac:dyDescent="0.3">
      <c r="D3728" t="str">
        <f t="shared" si="89"/>
        <v/>
      </c>
    </row>
    <row r="3729" spans="4:4" x14ac:dyDescent="0.3">
      <c r="D3729" t="str">
        <f t="shared" si="89"/>
        <v/>
      </c>
    </row>
    <row r="3730" spans="4:4" x14ac:dyDescent="0.3">
      <c r="D3730" t="str">
        <f t="shared" si="89"/>
        <v/>
      </c>
    </row>
    <row r="3731" spans="4:4" x14ac:dyDescent="0.3">
      <c r="D3731" t="str">
        <f t="shared" si="89"/>
        <v/>
      </c>
    </row>
    <row r="3732" spans="4:4" x14ac:dyDescent="0.3">
      <c r="D3732" t="str">
        <f t="shared" si="89"/>
        <v/>
      </c>
    </row>
    <row r="3733" spans="4:4" x14ac:dyDescent="0.3">
      <c r="D3733" t="str">
        <f t="shared" si="89"/>
        <v/>
      </c>
    </row>
    <row r="3734" spans="4:4" x14ac:dyDescent="0.3">
      <c r="D3734" t="str">
        <f t="shared" si="89"/>
        <v/>
      </c>
    </row>
    <row r="3735" spans="4:4" x14ac:dyDescent="0.3">
      <c r="D3735" t="str">
        <f t="shared" si="89"/>
        <v/>
      </c>
    </row>
    <row r="3736" spans="4:4" x14ac:dyDescent="0.3">
      <c r="D3736" t="str">
        <f t="shared" si="89"/>
        <v/>
      </c>
    </row>
    <row r="3737" spans="4:4" x14ac:dyDescent="0.3">
      <c r="D3737" t="str">
        <f t="shared" si="89"/>
        <v/>
      </c>
    </row>
    <row r="3738" spans="4:4" x14ac:dyDescent="0.3">
      <c r="D3738" t="str">
        <f t="shared" si="89"/>
        <v/>
      </c>
    </row>
    <row r="3739" spans="4:4" x14ac:dyDescent="0.3">
      <c r="D3739" t="str">
        <f t="shared" si="89"/>
        <v/>
      </c>
    </row>
    <row r="3740" spans="4:4" x14ac:dyDescent="0.3">
      <c r="D3740" t="str">
        <f t="shared" si="89"/>
        <v/>
      </c>
    </row>
    <row r="3741" spans="4:4" x14ac:dyDescent="0.3">
      <c r="D3741" t="str">
        <f t="shared" si="89"/>
        <v/>
      </c>
    </row>
    <row r="3742" spans="4:4" x14ac:dyDescent="0.3">
      <c r="D3742" t="str">
        <f t="shared" si="89"/>
        <v/>
      </c>
    </row>
    <row r="3743" spans="4:4" x14ac:dyDescent="0.3">
      <c r="D3743" t="str">
        <f t="shared" si="89"/>
        <v/>
      </c>
    </row>
    <row r="3744" spans="4:4" x14ac:dyDescent="0.3">
      <c r="D3744" t="str">
        <f t="shared" si="89"/>
        <v/>
      </c>
    </row>
    <row r="3745" spans="4:4" x14ac:dyDescent="0.3">
      <c r="D3745" t="str">
        <f t="shared" si="89"/>
        <v/>
      </c>
    </row>
    <row r="3746" spans="4:4" x14ac:dyDescent="0.3">
      <c r="D3746" t="str">
        <f t="shared" si="89"/>
        <v/>
      </c>
    </row>
    <row r="3747" spans="4:4" x14ac:dyDescent="0.3">
      <c r="D3747" t="str">
        <f t="shared" si="89"/>
        <v/>
      </c>
    </row>
    <row r="3748" spans="4:4" x14ac:dyDescent="0.3">
      <c r="D3748" t="str">
        <f t="shared" si="89"/>
        <v/>
      </c>
    </row>
    <row r="3749" spans="4:4" x14ac:dyDescent="0.3">
      <c r="D3749" t="str">
        <f t="shared" si="89"/>
        <v/>
      </c>
    </row>
    <row r="3750" spans="4:4" x14ac:dyDescent="0.3">
      <c r="D3750" t="str">
        <f t="shared" si="89"/>
        <v/>
      </c>
    </row>
    <row r="3751" spans="4:4" x14ac:dyDescent="0.3">
      <c r="D3751" t="str">
        <f t="shared" si="89"/>
        <v/>
      </c>
    </row>
    <row r="3752" spans="4:4" x14ac:dyDescent="0.3">
      <c r="D3752" t="str">
        <f t="shared" si="89"/>
        <v/>
      </c>
    </row>
    <row r="3753" spans="4:4" x14ac:dyDescent="0.3">
      <c r="D3753" t="str">
        <f t="shared" si="89"/>
        <v/>
      </c>
    </row>
    <row r="3754" spans="4:4" x14ac:dyDescent="0.3">
      <c r="D3754" t="str">
        <f t="shared" si="89"/>
        <v/>
      </c>
    </row>
    <row r="3755" spans="4:4" x14ac:dyDescent="0.3">
      <c r="D3755" t="str">
        <f t="shared" si="89"/>
        <v/>
      </c>
    </row>
    <row r="3756" spans="4:4" x14ac:dyDescent="0.3">
      <c r="D3756" t="str">
        <f t="shared" si="89"/>
        <v/>
      </c>
    </row>
    <row r="3757" spans="4:4" x14ac:dyDescent="0.3">
      <c r="D3757" t="str">
        <f t="shared" si="89"/>
        <v/>
      </c>
    </row>
    <row r="3758" spans="4:4" x14ac:dyDescent="0.3">
      <c r="D3758" t="str">
        <f t="shared" si="89"/>
        <v/>
      </c>
    </row>
    <row r="3759" spans="4:4" x14ac:dyDescent="0.3">
      <c r="D3759" t="str">
        <f t="shared" si="89"/>
        <v/>
      </c>
    </row>
    <row r="3760" spans="4:4" x14ac:dyDescent="0.3">
      <c r="D3760" t="str">
        <f t="shared" si="89"/>
        <v/>
      </c>
    </row>
    <row r="3761" spans="4:4" x14ac:dyDescent="0.3">
      <c r="D3761" t="str">
        <f t="shared" si="89"/>
        <v/>
      </c>
    </row>
    <row r="3762" spans="4:4" x14ac:dyDescent="0.3">
      <c r="D3762" t="str">
        <f t="shared" si="89"/>
        <v/>
      </c>
    </row>
    <row r="3763" spans="4:4" x14ac:dyDescent="0.3">
      <c r="D3763" t="str">
        <f t="shared" si="89"/>
        <v/>
      </c>
    </row>
    <row r="3764" spans="4:4" x14ac:dyDescent="0.3">
      <c r="D3764" t="str">
        <f t="shared" si="89"/>
        <v/>
      </c>
    </row>
    <row r="3765" spans="4:4" x14ac:dyDescent="0.3">
      <c r="D3765" t="str">
        <f t="shared" si="89"/>
        <v/>
      </c>
    </row>
    <row r="3766" spans="4:4" x14ac:dyDescent="0.3">
      <c r="D3766" t="str">
        <f t="shared" si="89"/>
        <v/>
      </c>
    </row>
    <row r="3767" spans="4:4" x14ac:dyDescent="0.3">
      <c r="D3767" t="str">
        <f t="shared" si="89"/>
        <v/>
      </c>
    </row>
    <row r="3768" spans="4:4" x14ac:dyDescent="0.3">
      <c r="D3768" t="str">
        <f t="shared" si="89"/>
        <v/>
      </c>
    </row>
    <row r="3769" spans="4:4" x14ac:dyDescent="0.3">
      <c r="D3769" t="str">
        <f t="shared" si="89"/>
        <v/>
      </c>
    </row>
    <row r="3770" spans="4:4" x14ac:dyDescent="0.3">
      <c r="D3770" t="str">
        <f t="shared" ref="D3770:D3833" si="90">IF(LEFT(A3770,2)="SP",MID(A3770,4,4),IF(LEFT(A3770,1)="X",MID(A3770,3,4),""))</f>
        <v/>
      </c>
    </row>
    <row r="3771" spans="4:4" x14ac:dyDescent="0.3">
      <c r="D3771" t="str">
        <f t="shared" si="90"/>
        <v/>
      </c>
    </row>
    <row r="3772" spans="4:4" x14ac:dyDescent="0.3">
      <c r="D3772" t="str">
        <f t="shared" si="90"/>
        <v/>
      </c>
    </row>
    <row r="3773" spans="4:4" x14ac:dyDescent="0.3">
      <c r="D3773" t="str">
        <f t="shared" si="90"/>
        <v/>
      </c>
    </row>
    <row r="3774" spans="4:4" x14ac:dyDescent="0.3">
      <c r="D3774" t="str">
        <f t="shared" si="90"/>
        <v/>
      </c>
    </row>
    <row r="3775" spans="4:4" x14ac:dyDescent="0.3">
      <c r="D3775" t="str">
        <f t="shared" si="90"/>
        <v/>
      </c>
    </row>
    <row r="3776" spans="4:4" x14ac:dyDescent="0.3">
      <c r="D3776" t="str">
        <f t="shared" si="90"/>
        <v/>
      </c>
    </row>
    <row r="3777" spans="4:4" x14ac:dyDescent="0.3">
      <c r="D3777" t="str">
        <f t="shared" si="90"/>
        <v/>
      </c>
    </row>
    <row r="3778" spans="4:4" x14ac:dyDescent="0.3">
      <c r="D3778" t="str">
        <f t="shared" si="90"/>
        <v/>
      </c>
    </row>
    <row r="3779" spans="4:4" x14ac:dyDescent="0.3">
      <c r="D3779" t="str">
        <f t="shared" si="90"/>
        <v/>
      </c>
    </row>
    <row r="3780" spans="4:4" x14ac:dyDescent="0.3">
      <c r="D3780" t="str">
        <f t="shared" si="90"/>
        <v/>
      </c>
    </row>
    <row r="3781" spans="4:4" x14ac:dyDescent="0.3">
      <c r="D3781" t="str">
        <f t="shared" si="90"/>
        <v/>
      </c>
    </row>
    <row r="3782" spans="4:4" x14ac:dyDescent="0.3">
      <c r="D3782" t="str">
        <f t="shared" si="90"/>
        <v/>
      </c>
    </row>
    <row r="3783" spans="4:4" x14ac:dyDescent="0.3">
      <c r="D3783" t="str">
        <f t="shared" si="90"/>
        <v/>
      </c>
    </row>
    <row r="3784" spans="4:4" x14ac:dyDescent="0.3">
      <c r="D3784" t="str">
        <f t="shared" si="90"/>
        <v/>
      </c>
    </row>
    <row r="3785" spans="4:4" x14ac:dyDescent="0.3">
      <c r="D3785" t="str">
        <f t="shared" si="90"/>
        <v/>
      </c>
    </row>
    <row r="3786" spans="4:4" x14ac:dyDescent="0.3">
      <c r="D3786" t="str">
        <f t="shared" si="90"/>
        <v/>
      </c>
    </row>
    <row r="3787" spans="4:4" x14ac:dyDescent="0.3">
      <c r="D3787" t="str">
        <f t="shared" si="90"/>
        <v/>
      </c>
    </row>
    <row r="3788" spans="4:4" x14ac:dyDescent="0.3">
      <c r="D3788" t="str">
        <f t="shared" si="90"/>
        <v/>
      </c>
    </row>
    <row r="3789" spans="4:4" x14ac:dyDescent="0.3">
      <c r="D3789" t="str">
        <f t="shared" si="90"/>
        <v/>
      </c>
    </row>
    <row r="3790" spans="4:4" x14ac:dyDescent="0.3">
      <c r="D3790" t="str">
        <f t="shared" si="90"/>
        <v/>
      </c>
    </row>
    <row r="3791" spans="4:4" x14ac:dyDescent="0.3">
      <c r="D3791" t="str">
        <f t="shared" si="90"/>
        <v/>
      </c>
    </row>
    <row r="3792" spans="4:4" x14ac:dyDescent="0.3">
      <c r="D3792" t="str">
        <f t="shared" si="90"/>
        <v/>
      </c>
    </row>
    <row r="3793" spans="4:4" x14ac:dyDescent="0.3">
      <c r="D3793" t="str">
        <f t="shared" si="90"/>
        <v/>
      </c>
    </row>
    <row r="3794" spans="4:4" x14ac:dyDescent="0.3">
      <c r="D3794" t="str">
        <f t="shared" si="90"/>
        <v/>
      </c>
    </row>
    <row r="3795" spans="4:4" x14ac:dyDescent="0.3">
      <c r="D3795" t="str">
        <f t="shared" si="90"/>
        <v/>
      </c>
    </row>
    <row r="3796" spans="4:4" x14ac:dyDescent="0.3">
      <c r="D3796" t="str">
        <f t="shared" si="90"/>
        <v/>
      </c>
    </row>
    <row r="3797" spans="4:4" x14ac:dyDescent="0.3">
      <c r="D3797" t="str">
        <f t="shared" si="90"/>
        <v/>
      </c>
    </row>
    <row r="3798" spans="4:4" x14ac:dyDescent="0.3">
      <c r="D3798" t="str">
        <f t="shared" si="90"/>
        <v/>
      </c>
    </row>
    <row r="3799" spans="4:4" x14ac:dyDescent="0.3">
      <c r="D3799" t="str">
        <f t="shared" si="90"/>
        <v/>
      </c>
    </row>
    <row r="3800" spans="4:4" x14ac:dyDescent="0.3">
      <c r="D3800" t="str">
        <f t="shared" si="90"/>
        <v/>
      </c>
    </row>
    <row r="3801" spans="4:4" x14ac:dyDescent="0.3">
      <c r="D3801" t="str">
        <f t="shared" si="90"/>
        <v/>
      </c>
    </row>
    <row r="3802" spans="4:4" x14ac:dyDescent="0.3">
      <c r="D3802" t="str">
        <f t="shared" si="90"/>
        <v/>
      </c>
    </row>
    <row r="3803" spans="4:4" x14ac:dyDescent="0.3">
      <c r="D3803" t="str">
        <f t="shared" si="90"/>
        <v/>
      </c>
    </row>
    <row r="3804" spans="4:4" x14ac:dyDescent="0.3">
      <c r="D3804" t="str">
        <f t="shared" si="90"/>
        <v/>
      </c>
    </row>
    <row r="3805" spans="4:4" x14ac:dyDescent="0.3">
      <c r="D3805" t="str">
        <f t="shared" si="90"/>
        <v/>
      </c>
    </row>
    <row r="3806" spans="4:4" x14ac:dyDescent="0.3">
      <c r="D3806" t="str">
        <f t="shared" si="90"/>
        <v/>
      </c>
    </row>
    <row r="3807" spans="4:4" x14ac:dyDescent="0.3">
      <c r="D3807" t="str">
        <f t="shared" si="90"/>
        <v/>
      </c>
    </row>
    <row r="3808" spans="4:4" x14ac:dyDescent="0.3">
      <c r="D3808" t="str">
        <f t="shared" si="90"/>
        <v/>
      </c>
    </row>
    <row r="3809" spans="4:4" x14ac:dyDescent="0.3">
      <c r="D3809" t="str">
        <f t="shared" si="90"/>
        <v/>
      </c>
    </row>
    <row r="3810" spans="4:4" x14ac:dyDescent="0.3">
      <c r="D3810" t="str">
        <f t="shared" si="90"/>
        <v/>
      </c>
    </row>
    <row r="3811" spans="4:4" x14ac:dyDescent="0.3">
      <c r="D3811" t="str">
        <f t="shared" si="90"/>
        <v/>
      </c>
    </row>
    <row r="3812" spans="4:4" x14ac:dyDescent="0.3">
      <c r="D3812" t="str">
        <f t="shared" si="90"/>
        <v/>
      </c>
    </row>
    <row r="3813" spans="4:4" x14ac:dyDescent="0.3">
      <c r="D3813" t="str">
        <f t="shared" si="90"/>
        <v/>
      </c>
    </row>
    <row r="3814" spans="4:4" x14ac:dyDescent="0.3">
      <c r="D3814" t="str">
        <f t="shared" si="90"/>
        <v/>
      </c>
    </row>
    <row r="3815" spans="4:4" x14ac:dyDescent="0.3">
      <c r="D3815" t="str">
        <f t="shared" si="90"/>
        <v/>
      </c>
    </row>
    <row r="3816" spans="4:4" x14ac:dyDescent="0.3">
      <c r="D3816" t="str">
        <f t="shared" si="90"/>
        <v/>
      </c>
    </row>
    <row r="3817" spans="4:4" x14ac:dyDescent="0.3">
      <c r="D3817" t="str">
        <f t="shared" si="90"/>
        <v/>
      </c>
    </row>
    <row r="3818" spans="4:4" x14ac:dyDescent="0.3">
      <c r="D3818" t="str">
        <f t="shared" si="90"/>
        <v/>
      </c>
    </row>
    <row r="3819" spans="4:4" x14ac:dyDescent="0.3">
      <c r="D3819" t="str">
        <f t="shared" si="90"/>
        <v/>
      </c>
    </row>
    <row r="3820" spans="4:4" x14ac:dyDescent="0.3">
      <c r="D3820" t="str">
        <f t="shared" si="90"/>
        <v/>
      </c>
    </row>
    <row r="3821" spans="4:4" x14ac:dyDescent="0.3">
      <c r="D3821" t="str">
        <f t="shared" si="90"/>
        <v/>
      </c>
    </row>
    <row r="3822" spans="4:4" x14ac:dyDescent="0.3">
      <c r="D3822" t="str">
        <f t="shared" si="90"/>
        <v/>
      </c>
    </row>
    <row r="3823" spans="4:4" x14ac:dyDescent="0.3">
      <c r="D3823" t="str">
        <f t="shared" si="90"/>
        <v/>
      </c>
    </row>
    <row r="3824" spans="4:4" x14ac:dyDescent="0.3">
      <c r="D3824" t="str">
        <f t="shared" si="90"/>
        <v/>
      </c>
    </row>
    <row r="3825" spans="4:4" x14ac:dyDescent="0.3">
      <c r="D3825" t="str">
        <f t="shared" si="90"/>
        <v/>
      </c>
    </row>
    <row r="3826" spans="4:4" x14ac:dyDescent="0.3">
      <c r="D3826" t="str">
        <f t="shared" si="90"/>
        <v/>
      </c>
    </row>
    <row r="3827" spans="4:4" x14ac:dyDescent="0.3">
      <c r="D3827" t="str">
        <f t="shared" si="90"/>
        <v/>
      </c>
    </row>
    <row r="3828" spans="4:4" x14ac:dyDescent="0.3">
      <c r="D3828" t="str">
        <f t="shared" si="90"/>
        <v/>
      </c>
    </row>
    <row r="3829" spans="4:4" x14ac:dyDescent="0.3">
      <c r="D3829" t="str">
        <f t="shared" si="90"/>
        <v/>
      </c>
    </row>
    <row r="3830" spans="4:4" x14ac:dyDescent="0.3">
      <c r="D3830" t="str">
        <f t="shared" si="90"/>
        <v/>
      </c>
    </row>
    <row r="3831" spans="4:4" x14ac:dyDescent="0.3">
      <c r="D3831" t="str">
        <f t="shared" si="90"/>
        <v/>
      </c>
    </row>
    <row r="3832" spans="4:4" x14ac:dyDescent="0.3">
      <c r="D3832" t="str">
        <f t="shared" si="90"/>
        <v/>
      </c>
    </row>
    <row r="3833" spans="4:4" x14ac:dyDescent="0.3">
      <c r="D3833" t="str">
        <f t="shared" si="90"/>
        <v/>
      </c>
    </row>
    <row r="3834" spans="4:4" x14ac:dyDescent="0.3">
      <c r="D3834" t="str">
        <f t="shared" ref="D3834:D3897" si="91">IF(LEFT(A3834,2)="SP",MID(A3834,4,4),IF(LEFT(A3834,1)="X",MID(A3834,3,4),""))</f>
        <v/>
      </c>
    </row>
    <row r="3835" spans="4:4" x14ac:dyDescent="0.3">
      <c r="D3835" t="str">
        <f t="shared" si="91"/>
        <v/>
      </c>
    </row>
    <row r="3836" spans="4:4" x14ac:dyDescent="0.3">
      <c r="D3836" t="str">
        <f t="shared" si="91"/>
        <v/>
      </c>
    </row>
    <row r="3837" spans="4:4" x14ac:dyDescent="0.3">
      <c r="D3837" t="str">
        <f t="shared" si="91"/>
        <v/>
      </c>
    </row>
    <row r="3838" spans="4:4" x14ac:dyDescent="0.3">
      <c r="D3838" t="str">
        <f t="shared" si="91"/>
        <v/>
      </c>
    </row>
    <row r="3839" spans="4:4" x14ac:dyDescent="0.3">
      <c r="D3839" t="str">
        <f t="shared" si="91"/>
        <v/>
      </c>
    </row>
    <row r="3840" spans="4:4" x14ac:dyDescent="0.3">
      <c r="D3840" t="str">
        <f t="shared" si="91"/>
        <v/>
      </c>
    </row>
    <row r="3841" spans="4:4" x14ac:dyDescent="0.3">
      <c r="D3841" t="str">
        <f t="shared" si="91"/>
        <v/>
      </c>
    </row>
    <row r="3842" spans="4:4" x14ac:dyDescent="0.3">
      <c r="D3842" t="str">
        <f t="shared" si="91"/>
        <v/>
      </c>
    </row>
    <row r="3843" spans="4:4" x14ac:dyDescent="0.3">
      <c r="D3843" t="str">
        <f t="shared" si="91"/>
        <v/>
      </c>
    </row>
    <row r="3844" spans="4:4" x14ac:dyDescent="0.3">
      <c r="D3844" t="str">
        <f t="shared" si="91"/>
        <v/>
      </c>
    </row>
    <row r="3845" spans="4:4" x14ac:dyDescent="0.3">
      <c r="D3845" t="str">
        <f t="shared" si="91"/>
        <v/>
      </c>
    </row>
    <row r="3846" spans="4:4" x14ac:dyDescent="0.3">
      <c r="D3846" t="str">
        <f t="shared" si="91"/>
        <v/>
      </c>
    </row>
    <row r="3847" spans="4:4" x14ac:dyDescent="0.3">
      <c r="D3847" t="str">
        <f t="shared" si="91"/>
        <v/>
      </c>
    </row>
    <row r="3848" spans="4:4" x14ac:dyDescent="0.3">
      <c r="D3848" t="str">
        <f t="shared" si="91"/>
        <v/>
      </c>
    </row>
    <row r="3849" spans="4:4" x14ac:dyDescent="0.3">
      <c r="D3849" t="str">
        <f t="shared" si="91"/>
        <v/>
      </c>
    </row>
    <row r="3850" spans="4:4" x14ac:dyDescent="0.3">
      <c r="D3850" t="str">
        <f t="shared" si="91"/>
        <v/>
      </c>
    </row>
    <row r="3851" spans="4:4" x14ac:dyDescent="0.3">
      <c r="D3851" t="str">
        <f t="shared" si="91"/>
        <v/>
      </c>
    </row>
    <row r="3852" spans="4:4" x14ac:dyDescent="0.3">
      <c r="D3852" t="str">
        <f t="shared" si="91"/>
        <v/>
      </c>
    </row>
    <row r="3853" spans="4:4" x14ac:dyDescent="0.3">
      <c r="D3853" t="str">
        <f t="shared" si="91"/>
        <v/>
      </c>
    </row>
    <row r="3854" spans="4:4" x14ac:dyDescent="0.3">
      <c r="D3854" t="str">
        <f t="shared" si="91"/>
        <v/>
      </c>
    </row>
    <row r="3855" spans="4:4" x14ac:dyDescent="0.3">
      <c r="D3855" t="str">
        <f t="shared" si="91"/>
        <v/>
      </c>
    </row>
    <row r="3856" spans="4:4" x14ac:dyDescent="0.3">
      <c r="D3856" t="str">
        <f t="shared" si="91"/>
        <v/>
      </c>
    </row>
    <row r="3857" spans="4:4" x14ac:dyDescent="0.3">
      <c r="D3857" t="str">
        <f t="shared" si="91"/>
        <v/>
      </c>
    </row>
    <row r="3858" spans="4:4" x14ac:dyDescent="0.3">
      <c r="D3858" t="str">
        <f t="shared" si="91"/>
        <v/>
      </c>
    </row>
    <row r="3859" spans="4:4" x14ac:dyDescent="0.3">
      <c r="D3859" t="str">
        <f t="shared" si="91"/>
        <v/>
      </c>
    </row>
    <row r="3860" spans="4:4" x14ac:dyDescent="0.3">
      <c r="D3860" t="str">
        <f t="shared" si="91"/>
        <v/>
      </c>
    </row>
    <row r="3861" spans="4:4" x14ac:dyDescent="0.3">
      <c r="D3861" t="str">
        <f t="shared" si="91"/>
        <v/>
      </c>
    </row>
    <row r="3862" spans="4:4" x14ac:dyDescent="0.3">
      <c r="D3862" t="str">
        <f t="shared" si="91"/>
        <v/>
      </c>
    </row>
    <row r="3863" spans="4:4" x14ac:dyDescent="0.3">
      <c r="D3863" t="str">
        <f t="shared" si="91"/>
        <v/>
      </c>
    </row>
    <row r="3864" spans="4:4" x14ac:dyDescent="0.3">
      <c r="D3864" t="str">
        <f t="shared" si="91"/>
        <v/>
      </c>
    </row>
    <row r="3865" spans="4:4" x14ac:dyDescent="0.3">
      <c r="D3865" t="str">
        <f t="shared" si="91"/>
        <v/>
      </c>
    </row>
    <row r="3866" spans="4:4" x14ac:dyDescent="0.3">
      <c r="D3866" t="str">
        <f t="shared" si="91"/>
        <v/>
      </c>
    </row>
    <row r="3867" spans="4:4" x14ac:dyDescent="0.3">
      <c r="D3867" t="str">
        <f t="shared" si="91"/>
        <v/>
      </c>
    </row>
    <row r="3868" spans="4:4" x14ac:dyDescent="0.3">
      <c r="D3868" t="str">
        <f t="shared" si="91"/>
        <v/>
      </c>
    </row>
    <row r="3869" spans="4:4" x14ac:dyDescent="0.3">
      <c r="D3869" t="str">
        <f t="shared" si="91"/>
        <v/>
      </c>
    </row>
    <row r="3870" spans="4:4" x14ac:dyDescent="0.3">
      <c r="D3870" t="str">
        <f t="shared" si="91"/>
        <v/>
      </c>
    </row>
    <row r="3871" spans="4:4" x14ac:dyDescent="0.3">
      <c r="D3871" t="str">
        <f t="shared" si="91"/>
        <v/>
      </c>
    </row>
    <row r="3872" spans="4:4" x14ac:dyDescent="0.3">
      <c r="D3872" t="str">
        <f t="shared" si="91"/>
        <v/>
      </c>
    </row>
    <row r="3873" spans="4:4" x14ac:dyDescent="0.3">
      <c r="D3873" t="str">
        <f t="shared" si="91"/>
        <v/>
      </c>
    </row>
    <row r="3874" spans="4:4" x14ac:dyDescent="0.3">
      <c r="D3874" t="str">
        <f t="shared" si="91"/>
        <v/>
      </c>
    </row>
    <row r="3875" spans="4:4" x14ac:dyDescent="0.3">
      <c r="D3875" t="str">
        <f t="shared" si="91"/>
        <v/>
      </c>
    </row>
    <row r="3876" spans="4:4" x14ac:dyDescent="0.3">
      <c r="D3876" t="str">
        <f t="shared" si="91"/>
        <v/>
      </c>
    </row>
    <row r="3877" spans="4:4" x14ac:dyDescent="0.3">
      <c r="D3877" t="str">
        <f t="shared" si="91"/>
        <v/>
      </c>
    </row>
    <row r="3878" spans="4:4" x14ac:dyDescent="0.3">
      <c r="D3878" t="str">
        <f t="shared" si="91"/>
        <v/>
      </c>
    </row>
    <row r="3879" spans="4:4" x14ac:dyDescent="0.3">
      <c r="D3879" t="str">
        <f t="shared" si="91"/>
        <v/>
      </c>
    </row>
    <row r="3880" spans="4:4" x14ac:dyDescent="0.3">
      <c r="D3880" t="str">
        <f t="shared" si="91"/>
        <v/>
      </c>
    </row>
    <row r="3881" spans="4:4" x14ac:dyDescent="0.3">
      <c r="D3881" t="str">
        <f t="shared" si="91"/>
        <v/>
      </c>
    </row>
    <row r="3882" spans="4:4" x14ac:dyDescent="0.3">
      <c r="D3882" t="str">
        <f t="shared" si="91"/>
        <v/>
      </c>
    </row>
    <row r="3883" spans="4:4" x14ac:dyDescent="0.3">
      <c r="D3883" t="str">
        <f t="shared" si="91"/>
        <v/>
      </c>
    </row>
    <row r="3884" spans="4:4" x14ac:dyDescent="0.3">
      <c r="D3884" t="str">
        <f t="shared" si="91"/>
        <v/>
      </c>
    </row>
    <row r="3885" spans="4:4" x14ac:dyDescent="0.3">
      <c r="D3885" t="str">
        <f t="shared" si="91"/>
        <v/>
      </c>
    </row>
    <row r="3886" spans="4:4" x14ac:dyDescent="0.3">
      <c r="D3886" t="str">
        <f t="shared" si="91"/>
        <v/>
      </c>
    </row>
    <row r="3887" spans="4:4" x14ac:dyDescent="0.3">
      <c r="D3887" t="str">
        <f t="shared" si="91"/>
        <v/>
      </c>
    </row>
    <row r="3888" spans="4:4" x14ac:dyDescent="0.3">
      <c r="D3888" t="str">
        <f t="shared" si="91"/>
        <v/>
      </c>
    </row>
    <row r="3889" spans="4:4" x14ac:dyDescent="0.3">
      <c r="D3889" t="str">
        <f t="shared" si="91"/>
        <v/>
      </c>
    </row>
    <row r="3890" spans="4:4" x14ac:dyDescent="0.3">
      <c r="D3890" t="str">
        <f t="shared" si="91"/>
        <v/>
      </c>
    </row>
    <row r="3891" spans="4:4" x14ac:dyDescent="0.3">
      <c r="D3891" t="str">
        <f t="shared" si="91"/>
        <v/>
      </c>
    </row>
    <row r="3892" spans="4:4" x14ac:dyDescent="0.3">
      <c r="D3892" t="str">
        <f t="shared" si="91"/>
        <v/>
      </c>
    </row>
    <row r="3893" spans="4:4" x14ac:dyDescent="0.3">
      <c r="D3893" t="str">
        <f t="shared" si="91"/>
        <v/>
      </c>
    </row>
    <row r="3894" spans="4:4" x14ac:dyDescent="0.3">
      <c r="D3894" t="str">
        <f t="shared" si="91"/>
        <v/>
      </c>
    </row>
    <row r="3895" spans="4:4" x14ac:dyDescent="0.3">
      <c r="D3895" t="str">
        <f t="shared" si="91"/>
        <v/>
      </c>
    </row>
    <row r="3896" spans="4:4" x14ac:dyDescent="0.3">
      <c r="D3896" t="str">
        <f t="shared" si="91"/>
        <v/>
      </c>
    </row>
    <row r="3897" spans="4:4" x14ac:dyDescent="0.3">
      <c r="D3897" t="str">
        <f t="shared" si="91"/>
        <v/>
      </c>
    </row>
    <row r="3898" spans="4:4" x14ac:dyDescent="0.3">
      <c r="D3898" t="str">
        <f t="shared" ref="D3898:D3961" si="92">IF(LEFT(A3898,2)="SP",MID(A3898,4,4),IF(LEFT(A3898,1)="X",MID(A3898,3,4),""))</f>
        <v/>
      </c>
    </row>
    <row r="3899" spans="4:4" x14ac:dyDescent="0.3">
      <c r="D3899" t="str">
        <f t="shared" si="92"/>
        <v/>
      </c>
    </row>
    <row r="3900" spans="4:4" x14ac:dyDescent="0.3">
      <c r="D3900" t="str">
        <f t="shared" si="92"/>
        <v/>
      </c>
    </row>
    <row r="3901" spans="4:4" x14ac:dyDescent="0.3">
      <c r="D3901" t="str">
        <f t="shared" si="92"/>
        <v/>
      </c>
    </row>
    <row r="3902" spans="4:4" x14ac:dyDescent="0.3">
      <c r="D3902" t="str">
        <f t="shared" si="92"/>
        <v/>
      </c>
    </row>
    <row r="3903" spans="4:4" x14ac:dyDescent="0.3">
      <c r="D3903" t="str">
        <f t="shared" si="92"/>
        <v/>
      </c>
    </row>
    <row r="3904" spans="4:4" x14ac:dyDescent="0.3">
      <c r="D3904" t="str">
        <f t="shared" si="92"/>
        <v/>
      </c>
    </row>
    <row r="3905" spans="4:4" x14ac:dyDescent="0.3">
      <c r="D3905" t="str">
        <f t="shared" si="92"/>
        <v/>
      </c>
    </row>
    <row r="3906" spans="4:4" x14ac:dyDescent="0.3">
      <c r="D3906" t="str">
        <f t="shared" si="92"/>
        <v/>
      </c>
    </row>
    <row r="3907" spans="4:4" x14ac:dyDescent="0.3">
      <c r="D3907" t="str">
        <f t="shared" si="92"/>
        <v/>
      </c>
    </row>
    <row r="3908" spans="4:4" x14ac:dyDescent="0.3">
      <c r="D3908" t="str">
        <f t="shared" si="92"/>
        <v/>
      </c>
    </row>
    <row r="3909" spans="4:4" x14ac:dyDescent="0.3">
      <c r="D3909" t="str">
        <f t="shared" si="92"/>
        <v/>
      </c>
    </row>
    <row r="3910" spans="4:4" x14ac:dyDescent="0.3">
      <c r="D3910" t="str">
        <f t="shared" si="92"/>
        <v/>
      </c>
    </row>
    <row r="3911" spans="4:4" x14ac:dyDescent="0.3">
      <c r="D3911" t="str">
        <f t="shared" si="92"/>
        <v/>
      </c>
    </row>
    <row r="3912" spans="4:4" x14ac:dyDescent="0.3">
      <c r="D3912" t="str">
        <f t="shared" si="92"/>
        <v/>
      </c>
    </row>
    <row r="3913" spans="4:4" x14ac:dyDescent="0.3">
      <c r="D3913" t="str">
        <f t="shared" si="92"/>
        <v/>
      </c>
    </row>
    <row r="3914" spans="4:4" x14ac:dyDescent="0.3">
      <c r="D3914" t="str">
        <f t="shared" si="92"/>
        <v/>
      </c>
    </row>
    <row r="3915" spans="4:4" x14ac:dyDescent="0.3">
      <c r="D3915" t="str">
        <f t="shared" si="92"/>
        <v/>
      </c>
    </row>
    <row r="3916" spans="4:4" x14ac:dyDescent="0.3">
      <c r="D3916" t="str">
        <f t="shared" si="92"/>
        <v/>
      </c>
    </row>
    <row r="3917" spans="4:4" x14ac:dyDescent="0.3">
      <c r="D3917" t="str">
        <f t="shared" si="92"/>
        <v/>
      </c>
    </row>
    <row r="3918" spans="4:4" x14ac:dyDescent="0.3">
      <c r="D3918" t="str">
        <f t="shared" si="92"/>
        <v/>
      </c>
    </row>
    <row r="3919" spans="4:4" x14ac:dyDescent="0.3">
      <c r="D3919" t="str">
        <f t="shared" si="92"/>
        <v/>
      </c>
    </row>
    <row r="3920" spans="4:4" x14ac:dyDescent="0.3">
      <c r="D3920" t="str">
        <f t="shared" si="92"/>
        <v/>
      </c>
    </row>
    <row r="3921" spans="4:4" x14ac:dyDescent="0.3">
      <c r="D3921" t="str">
        <f t="shared" si="92"/>
        <v/>
      </c>
    </row>
    <row r="3922" spans="4:4" x14ac:dyDescent="0.3">
      <c r="D3922" t="str">
        <f t="shared" si="92"/>
        <v/>
      </c>
    </row>
    <row r="3923" spans="4:4" x14ac:dyDescent="0.3">
      <c r="D3923" t="str">
        <f t="shared" si="92"/>
        <v/>
      </c>
    </row>
    <row r="3924" spans="4:4" x14ac:dyDescent="0.3">
      <c r="D3924" t="str">
        <f t="shared" si="92"/>
        <v/>
      </c>
    </row>
    <row r="3925" spans="4:4" x14ac:dyDescent="0.3">
      <c r="D3925" t="str">
        <f t="shared" si="92"/>
        <v/>
      </c>
    </row>
    <row r="3926" spans="4:4" x14ac:dyDescent="0.3">
      <c r="D3926" t="str">
        <f t="shared" si="92"/>
        <v/>
      </c>
    </row>
    <row r="3927" spans="4:4" x14ac:dyDescent="0.3">
      <c r="D3927" t="str">
        <f t="shared" si="92"/>
        <v/>
      </c>
    </row>
    <row r="3928" spans="4:4" x14ac:dyDescent="0.3">
      <c r="D3928" t="str">
        <f t="shared" si="92"/>
        <v/>
      </c>
    </row>
    <row r="3929" spans="4:4" x14ac:dyDescent="0.3">
      <c r="D3929" t="str">
        <f t="shared" si="92"/>
        <v/>
      </c>
    </row>
    <row r="3930" spans="4:4" x14ac:dyDescent="0.3">
      <c r="D3930" t="str">
        <f t="shared" si="92"/>
        <v/>
      </c>
    </row>
    <row r="3931" spans="4:4" x14ac:dyDescent="0.3">
      <c r="D3931" t="str">
        <f t="shared" si="92"/>
        <v/>
      </c>
    </row>
    <row r="3932" spans="4:4" x14ac:dyDescent="0.3">
      <c r="D3932" t="str">
        <f t="shared" si="92"/>
        <v/>
      </c>
    </row>
    <row r="3933" spans="4:4" x14ac:dyDescent="0.3">
      <c r="D3933" t="str">
        <f t="shared" si="92"/>
        <v/>
      </c>
    </row>
    <row r="3934" spans="4:4" x14ac:dyDescent="0.3">
      <c r="D3934" t="str">
        <f t="shared" si="92"/>
        <v/>
      </c>
    </row>
    <row r="3935" spans="4:4" x14ac:dyDescent="0.3">
      <c r="D3935" t="str">
        <f t="shared" si="92"/>
        <v/>
      </c>
    </row>
    <row r="3936" spans="4:4" x14ac:dyDescent="0.3">
      <c r="D3936" t="str">
        <f t="shared" si="92"/>
        <v/>
      </c>
    </row>
    <row r="3937" spans="4:4" x14ac:dyDescent="0.3">
      <c r="D3937" t="str">
        <f t="shared" si="92"/>
        <v/>
      </c>
    </row>
    <row r="3938" spans="4:4" x14ac:dyDescent="0.3">
      <c r="D3938" t="str">
        <f t="shared" si="92"/>
        <v/>
      </c>
    </row>
    <row r="3939" spans="4:4" x14ac:dyDescent="0.3">
      <c r="D3939" t="str">
        <f t="shared" si="92"/>
        <v/>
      </c>
    </row>
    <row r="3940" spans="4:4" x14ac:dyDescent="0.3">
      <c r="D3940" t="str">
        <f t="shared" si="92"/>
        <v/>
      </c>
    </row>
    <row r="3941" spans="4:4" x14ac:dyDescent="0.3">
      <c r="D3941" t="str">
        <f t="shared" si="92"/>
        <v/>
      </c>
    </row>
    <row r="3942" spans="4:4" x14ac:dyDescent="0.3">
      <c r="D3942" t="str">
        <f t="shared" si="92"/>
        <v/>
      </c>
    </row>
    <row r="3943" spans="4:4" x14ac:dyDescent="0.3">
      <c r="D3943" t="str">
        <f t="shared" si="92"/>
        <v/>
      </c>
    </row>
    <row r="3944" spans="4:4" x14ac:dyDescent="0.3">
      <c r="D3944" t="str">
        <f t="shared" si="92"/>
        <v/>
      </c>
    </row>
    <row r="3945" spans="4:4" x14ac:dyDescent="0.3">
      <c r="D3945" t="str">
        <f t="shared" si="92"/>
        <v/>
      </c>
    </row>
    <row r="3946" spans="4:4" x14ac:dyDescent="0.3">
      <c r="D3946" t="str">
        <f t="shared" si="92"/>
        <v/>
      </c>
    </row>
    <row r="3947" spans="4:4" x14ac:dyDescent="0.3">
      <c r="D3947" t="str">
        <f t="shared" si="92"/>
        <v/>
      </c>
    </row>
    <row r="3948" spans="4:4" x14ac:dyDescent="0.3">
      <c r="D3948" t="str">
        <f t="shared" si="92"/>
        <v/>
      </c>
    </row>
    <row r="3949" spans="4:4" x14ac:dyDescent="0.3">
      <c r="D3949" t="str">
        <f t="shared" si="92"/>
        <v/>
      </c>
    </row>
    <row r="3950" spans="4:4" x14ac:dyDescent="0.3">
      <c r="D3950" t="str">
        <f t="shared" si="92"/>
        <v/>
      </c>
    </row>
    <row r="3951" spans="4:4" x14ac:dyDescent="0.3">
      <c r="D3951" t="str">
        <f t="shared" si="92"/>
        <v/>
      </c>
    </row>
    <row r="3952" spans="4:4" x14ac:dyDescent="0.3">
      <c r="D3952" t="str">
        <f t="shared" si="92"/>
        <v/>
      </c>
    </row>
    <row r="3953" spans="4:4" x14ac:dyDescent="0.3">
      <c r="D3953" t="str">
        <f t="shared" si="92"/>
        <v/>
      </c>
    </row>
    <row r="3954" spans="4:4" x14ac:dyDescent="0.3">
      <c r="D3954" t="str">
        <f t="shared" si="92"/>
        <v/>
      </c>
    </row>
    <row r="3955" spans="4:4" x14ac:dyDescent="0.3">
      <c r="D3955" t="str">
        <f t="shared" si="92"/>
        <v/>
      </c>
    </row>
    <row r="3956" spans="4:4" x14ac:dyDescent="0.3">
      <c r="D3956" t="str">
        <f t="shared" si="92"/>
        <v/>
      </c>
    </row>
    <row r="3957" spans="4:4" x14ac:dyDescent="0.3">
      <c r="D3957" t="str">
        <f t="shared" si="92"/>
        <v/>
      </c>
    </row>
    <row r="3958" spans="4:4" x14ac:dyDescent="0.3">
      <c r="D3958" t="str">
        <f t="shared" si="92"/>
        <v/>
      </c>
    </row>
    <row r="3959" spans="4:4" x14ac:dyDescent="0.3">
      <c r="D3959" t="str">
        <f t="shared" si="92"/>
        <v/>
      </c>
    </row>
    <row r="3960" spans="4:4" x14ac:dyDescent="0.3">
      <c r="D3960" t="str">
        <f t="shared" si="92"/>
        <v/>
      </c>
    </row>
    <row r="3961" spans="4:4" x14ac:dyDescent="0.3">
      <c r="D3961" t="str">
        <f t="shared" si="92"/>
        <v/>
      </c>
    </row>
    <row r="3962" spans="4:4" x14ac:dyDescent="0.3">
      <c r="D3962" t="str">
        <f t="shared" ref="D3962:D4025" si="93">IF(LEFT(A3962,2)="SP",MID(A3962,4,4),IF(LEFT(A3962,1)="X",MID(A3962,3,4),""))</f>
        <v/>
      </c>
    </row>
    <row r="3963" spans="4:4" x14ac:dyDescent="0.3">
      <c r="D3963" t="str">
        <f t="shared" si="93"/>
        <v/>
      </c>
    </row>
    <row r="3964" spans="4:4" x14ac:dyDescent="0.3">
      <c r="D3964" t="str">
        <f t="shared" si="93"/>
        <v/>
      </c>
    </row>
    <row r="3965" spans="4:4" x14ac:dyDescent="0.3">
      <c r="D3965" t="str">
        <f t="shared" si="93"/>
        <v/>
      </c>
    </row>
    <row r="3966" spans="4:4" x14ac:dyDescent="0.3">
      <c r="D3966" t="str">
        <f t="shared" si="93"/>
        <v/>
      </c>
    </row>
    <row r="3967" spans="4:4" x14ac:dyDescent="0.3">
      <c r="D3967" t="str">
        <f t="shared" si="93"/>
        <v/>
      </c>
    </row>
    <row r="3968" spans="4:4" x14ac:dyDescent="0.3">
      <c r="D3968" t="str">
        <f t="shared" si="93"/>
        <v/>
      </c>
    </row>
    <row r="3969" spans="4:4" x14ac:dyDescent="0.3">
      <c r="D3969" t="str">
        <f t="shared" si="93"/>
        <v/>
      </c>
    </row>
    <row r="3970" spans="4:4" x14ac:dyDescent="0.3">
      <c r="D3970" t="str">
        <f t="shared" si="93"/>
        <v/>
      </c>
    </row>
    <row r="3971" spans="4:4" x14ac:dyDescent="0.3">
      <c r="D3971" t="str">
        <f t="shared" si="93"/>
        <v/>
      </c>
    </row>
    <row r="3972" spans="4:4" x14ac:dyDescent="0.3">
      <c r="D3972" t="str">
        <f t="shared" si="93"/>
        <v/>
      </c>
    </row>
    <row r="3973" spans="4:4" x14ac:dyDescent="0.3">
      <c r="D3973" t="str">
        <f t="shared" si="93"/>
        <v/>
      </c>
    </row>
    <row r="3974" spans="4:4" x14ac:dyDescent="0.3">
      <c r="D3974" t="str">
        <f t="shared" si="93"/>
        <v/>
      </c>
    </row>
    <row r="3975" spans="4:4" x14ac:dyDescent="0.3">
      <c r="D3975" t="str">
        <f t="shared" si="93"/>
        <v/>
      </c>
    </row>
    <row r="3976" spans="4:4" x14ac:dyDescent="0.3">
      <c r="D3976" t="str">
        <f t="shared" si="93"/>
        <v/>
      </c>
    </row>
    <row r="3977" spans="4:4" x14ac:dyDescent="0.3">
      <c r="D3977" t="str">
        <f t="shared" si="93"/>
        <v/>
      </c>
    </row>
    <row r="3978" spans="4:4" x14ac:dyDescent="0.3">
      <c r="D3978" t="str">
        <f t="shared" si="93"/>
        <v/>
      </c>
    </row>
    <row r="3979" spans="4:4" x14ac:dyDescent="0.3">
      <c r="D3979" t="str">
        <f t="shared" si="93"/>
        <v/>
      </c>
    </row>
    <row r="3980" spans="4:4" x14ac:dyDescent="0.3">
      <c r="D3980" t="str">
        <f t="shared" si="93"/>
        <v/>
      </c>
    </row>
    <row r="3981" spans="4:4" x14ac:dyDescent="0.3">
      <c r="D3981" t="str">
        <f t="shared" si="93"/>
        <v/>
      </c>
    </row>
    <row r="3982" spans="4:4" x14ac:dyDescent="0.3">
      <c r="D3982" t="str">
        <f t="shared" si="93"/>
        <v/>
      </c>
    </row>
    <row r="3983" spans="4:4" x14ac:dyDescent="0.3">
      <c r="D3983" t="str">
        <f t="shared" si="93"/>
        <v/>
      </c>
    </row>
    <row r="3984" spans="4:4" x14ac:dyDescent="0.3">
      <c r="D3984" t="str">
        <f t="shared" si="93"/>
        <v/>
      </c>
    </row>
    <row r="3985" spans="4:4" x14ac:dyDescent="0.3">
      <c r="D3985" t="str">
        <f t="shared" si="93"/>
        <v/>
      </c>
    </row>
    <row r="3986" spans="4:4" x14ac:dyDescent="0.3">
      <c r="D3986" t="str">
        <f t="shared" si="93"/>
        <v/>
      </c>
    </row>
    <row r="3987" spans="4:4" x14ac:dyDescent="0.3">
      <c r="D3987" t="str">
        <f t="shared" si="93"/>
        <v/>
      </c>
    </row>
    <row r="3988" spans="4:4" x14ac:dyDescent="0.3">
      <c r="D3988" t="str">
        <f t="shared" si="93"/>
        <v/>
      </c>
    </row>
    <row r="3989" spans="4:4" x14ac:dyDescent="0.3">
      <c r="D3989" t="str">
        <f t="shared" si="93"/>
        <v/>
      </c>
    </row>
    <row r="3990" spans="4:4" x14ac:dyDescent="0.3">
      <c r="D3990" t="str">
        <f t="shared" si="93"/>
        <v/>
      </c>
    </row>
    <row r="3991" spans="4:4" x14ac:dyDescent="0.3">
      <c r="D3991" t="str">
        <f t="shared" si="93"/>
        <v/>
      </c>
    </row>
    <row r="3992" spans="4:4" x14ac:dyDescent="0.3">
      <c r="D3992" t="str">
        <f t="shared" si="93"/>
        <v/>
      </c>
    </row>
    <row r="3993" spans="4:4" x14ac:dyDescent="0.3">
      <c r="D3993" t="str">
        <f t="shared" si="93"/>
        <v/>
      </c>
    </row>
    <row r="3994" spans="4:4" x14ac:dyDescent="0.3">
      <c r="D3994" t="str">
        <f t="shared" si="93"/>
        <v/>
      </c>
    </row>
    <row r="3995" spans="4:4" x14ac:dyDescent="0.3">
      <c r="D3995" t="str">
        <f t="shared" si="93"/>
        <v/>
      </c>
    </row>
    <row r="3996" spans="4:4" x14ac:dyDescent="0.3">
      <c r="D3996" t="str">
        <f t="shared" si="93"/>
        <v/>
      </c>
    </row>
    <row r="3997" spans="4:4" x14ac:dyDescent="0.3">
      <c r="D3997" t="str">
        <f t="shared" si="93"/>
        <v/>
      </c>
    </row>
    <row r="3998" spans="4:4" x14ac:dyDescent="0.3">
      <c r="D3998" t="str">
        <f t="shared" si="93"/>
        <v/>
      </c>
    </row>
    <row r="3999" spans="4:4" x14ac:dyDescent="0.3">
      <c r="D3999" t="str">
        <f t="shared" si="93"/>
        <v/>
      </c>
    </row>
    <row r="4000" spans="4:4" x14ac:dyDescent="0.3">
      <c r="D4000" t="str">
        <f t="shared" si="93"/>
        <v/>
      </c>
    </row>
    <row r="4001" spans="4:4" x14ac:dyDescent="0.3">
      <c r="D4001" t="str">
        <f t="shared" si="93"/>
        <v/>
      </c>
    </row>
    <row r="4002" spans="4:4" x14ac:dyDescent="0.3">
      <c r="D4002" t="str">
        <f t="shared" si="93"/>
        <v/>
      </c>
    </row>
    <row r="4003" spans="4:4" x14ac:dyDescent="0.3">
      <c r="D4003" t="str">
        <f t="shared" si="93"/>
        <v/>
      </c>
    </row>
    <row r="4004" spans="4:4" x14ac:dyDescent="0.3">
      <c r="D4004" t="str">
        <f t="shared" si="93"/>
        <v/>
      </c>
    </row>
    <row r="4005" spans="4:4" x14ac:dyDescent="0.3">
      <c r="D4005" t="str">
        <f t="shared" si="93"/>
        <v/>
      </c>
    </row>
    <row r="4006" spans="4:4" x14ac:dyDescent="0.3">
      <c r="D4006" t="str">
        <f t="shared" si="93"/>
        <v/>
      </c>
    </row>
    <row r="4007" spans="4:4" x14ac:dyDescent="0.3">
      <c r="D4007" t="str">
        <f t="shared" si="93"/>
        <v/>
      </c>
    </row>
    <row r="4008" spans="4:4" x14ac:dyDescent="0.3">
      <c r="D4008" t="str">
        <f t="shared" si="93"/>
        <v/>
      </c>
    </row>
    <row r="4009" spans="4:4" x14ac:dyDescent="0.3">
      <c r="D4009" t="str">
        <f t="shared" si="93"/>
        <v/>
      </c>
    </row>
    <row r="4010" spans="4:4" x14ac:dyDescent="0.3">
      <c r="D4010" t="str">
        <f t="shared" si="93"/>
        <v/>
      </c>
    </row>
    <row r="4011" spans="4:4" x14ac:dyDescent="0.3">
      <c r="D4011" t="str">
        <f t="shared" si="93"/>
        <v/>
      </c>
    </row>
    <row r="4012" spans="4:4" x14ac:dyDescent="0.3">
      <c r="D4012" t="str">
        <f t="shared" si="93"/>
        <v/>
      </c>
    </row>
    <row r="4013" spans="4:4" x14ac:dyDescent="0.3">
      <c r="D4013" t="str">
        <f t="shared" si="93"/>
        <v/>
      </c>
    </row>
    <row r="4014" spans="4:4" x14ac:dyDescent="0.3">
      <c r="D4014" t="str">
        <f t="shared" si="93"/>
        <v/>
      </c>
    </row>
    <row r="4015" spans="4:4" x14ac:dyDescent="0.3">
      <c r="D4015" t="str">
        <f t="shared" si="93"/>
        <v/>
      </c>
    </row>
    <row r="4016" spans="4:4" x14ac:dyDescent="0.3">
      <c r="D4016" t="str">
        <f t="shared" si="93"/>
        <v/>
      </c>
    </row>
    <row r="4017" spans="4:4" x14ac:dyDescent="0.3">
      <c r="D4017" t="str">
        <f t="shared" si="93"/>
        <v/>
      </c>
    </row>
    <row r="4018" spans="4:4" x14ac:dyDescent="0.3">
      <c r="D4018" t="str">
        <f t="shared" si="93"/>
        <v/>
      </c>
    </row>
    <row r="4019" spans="4:4" x14ac:dyDescent="0.3">
      <c r="D4019" t="str">
        <f t="shared" si="93"/>
        <v/>
      </c>
    </row>
    <row r="4020" spans="4:4" x14ac:dyDescent="0.3">
      <c r="D4020" t="str">
        <f t="shared" si="93"/>
        <v/>
      </c>
    </row>
    <row r="4021" spans="4:4" x14ac:dyDescent="0.3">
      <c r="D4021" t="str">
        <f t="shared" si="93"/>
        <v/>
      </c>
    </row>
    <row r="4022" spans="4:4" x14ac:dyDescent="0.3">
      <c r="D4022" t="str">
        <f t="shared" si="93"/>
        <v/>
      </c>
    </row>
    <row r="4023" spans="4:4" x14ac:dyDescent="0.3">
      <c r="D4023" t="str">
        <f t="shared" si="93"/>
        <v/>
      </c>
    </row>
    <row r="4024" spans="4:4" x14ac:dyDescent="0.3">
      <c r="D4024" t="str">
        <f t="shared" si="93"/>
        <v/>
      </c>
    </row>
    <row r="4025" spans="4:4" x14ac:dyDescent="0.3">
      <c r="D4025" t="str">
        <f t="shared" si="93"/>
        <v/>
      </c>
    </row>
    <row r="4026" spans="4:4" x14ac:dyDescent="0.3">
      <c r="D4026" t="str">
        <f t="shared" ref="D4026:D4089" si="94">IF(LEFT(A4026,2)="SP",MID(A4026,4,4),IF(LEFT(A4026,1)="X",MID(A4026,3,4),""))</f>
        <v/>
      </c>
    </row>
    <row r="4027" spans="4:4" x14ac:dyDescent="0.3">
      <c r="D4027" t="str">
        <f t="shared" si="94"/>
        <v/>
      </c>
    </row>
    <row r="4028" spans="4:4" x14ac:dyDescent="0.3">
      <c r="D4028" t="str">
        <f t="shared" si="94"/>
        <v/>
      </c>
    </row>
    <row r="4029" spans="4:4" x14ac:dyDescent="0.3">
      <c r="D4029" t="str">
        <f t="shared" si="94"/>
        <v/>
      </c>
    </row>
    <row r="4030" spans="4:4" x14ac:dyDescent="0.3">
      <c r="D4030" t="str">
        <f t="shared" si="94"/>
        <v/>
      </c>
    </row>
    <row r="4031" spans="4:4" x14ac:dyDescent="0.3">
      <c r="D4031" t="str">
        <f t="shared" si="94"/>
        <v/>
      </c>
    </row>
    <row r="4032" spans="4:4" x14ac:dyDescent="0.3">
      <c r="D4032" t="str">
        <f t="shared" si="94"/>
        <v/>
      </c>
    </row>
    <row r="4033" spans="4:4" x14ac:dyDescent="0.3">
      <c r="D4033" t="str">
        <f t="shared" si="94"/>
        <v/>
      </c>
    </row>
    <row r="4034" spans="4:4" x14ac:dyDescent="0.3">
      <c r="D4034" t="str">
        <f t="shared" si="94"/>
        <v/>
      </c>
    </row>
    <row r="4035" spans="4:4" x14ac:dyDescent="0.3">
      <c r="D4035" t="str">
        <f t="shared" si="94"/>
        <v/>
      </c>
    </row>
    <row r="4036" spans="4:4" x14ac:dyDescent="0.3">
      <c r="D4036" t="str">
        <f t="shared" si="94"/>
        <v/>
      </c>
    </row>
    <row r="4037" spans="4:4" x14ac:dyDescent="0.3">
      <c r="D4037" t="str">
        <f t="shared" si="94"/>
        <v/>
      </c>
    </row>
    <row r="4038" spans="4:4" x14ac:dyDescent="0.3">
      <c r="D4038" t="str">
        <f t="shared" si="94"/>
        <v/>
      </c>
    </row>
    <row r="4039" spans="4:4" x14ac:dyDescent="0.3">
      <c r="D4039" t="str">
        <f t="shared" si="94"/>
        <v/>
      </c>
    </row>
    <row r="4040" spans="4:4" x14ac:dyDescent="0.3">
      <c r="D4040" t="str">
        <f t="shared" si="94"/>
        <v/>
      </c>
    </row>
    <row r="4041" spans="4:4" x14ac:dyDescent="0.3">
      <c r="D4041" t="str">
        <f t="shared" si="94"/>
        <v/>
      </c>
    </row>
    <row r="4042" spans="4:4" x14ac:dyDescent="0.3">
      <c r="D4042" t="str">
        <f t="shared" si="94"/>
        <v/>
      </c>
    </row>
    <row r="4043" spans="4:4" x14ac:dyDescent="0.3">
      <c r="D4043" t="str">
        <f t="shared" si="94"/>
        <v/>
      </c>
    </row>
    <row r="4044" spans="4:4" x14ac:dyDescent="0.3">
      <c r="D4044" t="str">
        <f t="shared" si="94"/>
        <v/>
      </c>
    </row>
    <row r="4045" spans="4:4" x14ac:dyDescent="0.3">
      <c r="D4045" t="str">
        <f t="shared" si="94"/>
        <v/>
      </c>
    </row>
    <row r="4046" spans="4:4" x14ac:dyDescent="0.3">
      <c r="D4046" t="str">
        <f t="shared" si="94"/>
        <v/>
      </c>
    </row>
    <row r="4047" spans="4:4" x14ac:dyDescent="0.3">
      <c r="D4047" t="str">
        <f t="shared" si="94"/>
        <v/>
      </c>
    </row>
    <row r="4048" spans="4:4" x14ac:dyDescent="0.3">
      <c r="D4048" t="str">
        <f t="shared" si="94"/>
        <v/>
      </c>
    </row>
    <row r="4049" spans="4:4" x14ac:dyDescent="0.3">
      <c r="D4049" t="str">
        <f t="shared" si="94"/>
        <v/>
      </c>
    </row>
    <row r="4050" spans="4:4" x14ac:dyDescent="0.3">
      <c r="D4050" t="str">
        <f t="shared" si="94"/>
        <v/>
      </c>
    </row>
    <row r="4051" spans="4:4" x14ac:dyDescent="0.3">
      <c r="D4051" t="str">
        <f t="shared" si="94"/>
        <v/>
      </c>
    </row>
    <row r="4052" spans="4:4" x14ac:dyDescent="0.3">
      <c r="D4052" t="str">
        <f t="shared" si="94"/>
        <v/>
      </c>
    </row>
    <row r="4053" spans="4:4" x14ac:dyDescent="0.3">
      <c r="D4053" t="str">
        <f t="shared" si="94"/>
        <v/>
      </c>
    </row>
    <row r="4054" spans="4:4" x14ac:dyDescent="0.3">
      <c r="D4054" t="str">
        <f t="shared" si="94"/>
        <v/>
      </c>
    </row>
    <row r="4055" spans="4:4" x14ac:dyDescent="0.3">
      <c r="D4055" t="str">
        <f t="shared" si="94"/>
        <v/>
      </c>
    </row>
    <row r="4056" spans="4:4" x14ac:dyDescent="0.3">
      <c r="D4056" t="str">
        <f t="shared" si="94"/>
        <v/>
      </c>
    </row>
    <row r="4057" spans="4:4" x14ac:dyDescent="0.3">
      <c r="D4057" t="str">
        <f t="shared" si="94"/>
        <v/>
      </c>
    </row>
    <row r="4058" spans="4:4" x14ac:dyDescent="0.3">
      <c r="D4058" t="str">
        <f t="shared" si="94"/>
        <v/>
      </c>
    </row>
    <row r="4059" spans="4:4" x14ac:dyDescent="0.3">
      <c r="D4059" t="str">
        <f t="shared" si="94"/>
        <v/>
      </c>
    </row>
    <row r="4060" spans="4:4" x14ac:dyDescent="0.3">
      <c r="D4060" t="str">
        <f t="shared" si="94"/>
        <v/>
      </c>
    </row>
    <row r="4061" spans="4:4" x14ac:dyDescent="0.3">
      <c r="D4061" t="str">
        <f t="shared" si="94"/>
        <v/>
      </c>
    </row>
    <row r="4062" spans="4:4" x14ac:dyDescent="0.3">
      <c r="D4062" t="str">
        <f t="shared" si="94"/>
        <v/>
      </c>
    </row>
    <row r="4063" spans="4:4" x14ac:dyDescent="0.3">
      <c r="D4063" t="str">
        <f t="shared" si="94"/>
        <v/>
      </c>
    </row>
    <row r="4064" spans="4:4" x14ac:dyDescent="0.3">
      <c r="D4064" t="str">
        <f t="shared" si="94"/>
        <v/>
      </c>
    </row>
    <row r="4065" spans="4:4" x14ac:dyDescent="0.3">
      <c r="D4065" t="str">
        <f t="shared" si="94"/>
        <v/>
      </c>
    </row>
    <row r="4066" spans="4:4" x14ac:dyDescent="0.3">
      <c r="D4066" t="str">
        <f t="shared" si="94"/>
        <v/>
      </c>
    </row>
    <row r="4067" spans="4:4" x14ac:dyDescent="0.3">
      <c r="D4067" t="str">
        <f t="shared" si="94"/>
        <v/>
      </c>
    </row>
    <row r="4068" spans="4:4" x14ac:dyDescent="0.3">
      <c r="D4068" t="str">
        <f t="shared" si="94"/>
        <v/>
      </c>
    </row>
    <row r="4069" spans="4:4" x14ac:dyDescent="0.3">
      <c r="D4069" t="str">
        <f t="shared" si="94"/>
        <v/>
      </c>
    </row>
    <row r="4070" spans="4:4" x14ac:dyDescent="0.3">
      <c r="D4070" t="str">
        <f t="shared" si="94"/>
        <v/>
      </c>
    </row>
    <row r="4071" spans="4:4" x14ac:dyDescent="0.3">
      <c r="D4071" t="str">
        <f t="shared" si="94"/>
        <v/>
      </c>
    </row>
    <row r="4072" spans="4:4" x14ac:dyDescent="0.3">
      <c r="D4072" t="str">
        <f t="shared" si="94"/>
        <v/>
      </c>
    </row>
    <row r="4073" spans="4:4" x14ac:dyDescent="0.3">
      <c r="D4073" t="str">
        <f t="shared" si="94"/>
        <v/>
      </c>
    </row>
    <row r="4074" spans="4:4" x14ac:dyDescent="0.3">
      <c r="D4074" t="str">
        <f t="shared" si="94"/>
        <v/>
      </c>
    </row>
    <row r="4075" spans="4:4" x14ac:dyDescent="0.3">
      <c r="D4075" t="str">
        <f t="shared" si="94"/>
        <v/>
      </c>
    </row>
    <row r="4076" spans="4:4" x14ac:dyDescent="0.3">
      <c r="D4076" t="str">
        <f t="shared" si="94"/>
        <v/>
      </c>
    </row>
    <row r="4077" spans="4:4" x14ac:dyDescent="0.3">
      <c r="D4077" t="str">
        <f t="shared" si="94"/>
        <v/>
      </c>
    </row>
    <row r="4078" spans="4:4" x14ac:dyDescent="0.3">
      <c r="D4078" t="str">
        <f t="shared" si="94"/>
        <v/>
      </c>
    </row>
    <row r="4079" spans="4:4" x14ac:dyDescent="0.3">
      <c r="D4079" t="str">
        <f t="shared" si="94"/>
        <v/>
      </c>
    </row>
    <row r="4080" spans="4:4" x14ac:dyDescent="0.3">
      <c r="D4080" t="str">
        <f t="shared" si="94"/>
        <v/>
      </c>
    </row>
    <row r="4081" spans="4:4" x14ac:dyDescent="0.3">
      <c r="D4081" t="str">
        <f t="shared" si="94"/>
        <v/>
      </c>
    </row>
    <row r="4082" spans="4:4" x14ac:dyDescent="0.3">
      <c r="D4082" t="str">
        <f t="shared" si="94"/>
        <v/>
      </c>
    </row>
    <row r="4083" spans="4:4" x14ac:dyDescent="0.3">
      <c r="D4083" t="str">
        <f t="shared" si="94"/>
        <v/>
      </c>
    </row>
    <row r="4084" spans="4:4" x14ac:dyDescent="0.3">
      <c r="D4084" t="str">
        <f t="shared" si="94"/>
        <v/>
      </c>
    </row>
    <row r="4085" spans="4:4" x14ac:dyDescent="0.3">
      <c r="D4085" t="str">
        <f t="shared" si="94"/>
        <v/>
      </c>
    </row>
    <row r="4086" spans="4:4" x14ac:dyDescent="0.3">
      <c r="D4086" t="str">
        <f t="shared" si="94"/>
        <v/>
      </c>
    </row>
    <row r="4087" spans="4:4" x14ac:dyDescent="0.3">
      <c r="D4087" t="str">
        <f t="shared" si="94"/>
        <v/>
      </c>
    </row>
    <row r="4088" spans="4:4" x14ac:dyDescent="0.3">
      <c r="D4088" t="str">
        <f t="shared" si="94"/>
        <v/>
      </c>
    </row>
    <row r="4089" spans="4:4" x14ac:dyDescent="0.3">
      <c r="D4089" t="str">
        <f t="shared" si="94"/>
        <v/>
      </c>
    </row>
    <row r="4090" spans="4:4" x14ac:dyDescent="0.3">
      <c r="D4090" t="str">
        <f t="shared" ref="D4090:D4153" si="95">IF(LEFT(A4090,2)="SP",MID(A4090,4,4),IF(LEFT(A4090,1)="X",MID(A4090,3,4),""))</f>
        <v/>
      </c>
    </row>
    <row r="4091" spans="4:4" x14ac:dyDescent="0.3">
      <c r="D4091" t="str">
        <f t="shared" si="95"/>
        <v/>
      </c>
    </row>
    <row r="4092" spans="4:4" x14ac:dyDescent="0.3">
      <c r="D4092" t="str">
        <f t="shared" si="95"/>
        <v/>
      </c>
    </row>
    <row r="4093" spans="4:4" x14ac:dyDescent="0.3">
      <c r="D4093" t="str">
        <f t="shared" si="95"/>
        <v/>
      </c>
    </row>
    <row r="4094" spans="4:4" x14ac:dyDescent="0.3">
      <c r="D4094" t="str">
        <f t="shared" si="95"/>
        <v/>
      </c>
    </row>
    <row r="4095" spans="4:4" x14ac:dyDescent="0.3">
      <c r="D4095" t="str">
        <f t="shared" si="95"/>
        <v/>
      </c>
    </row>
    <row r="4096" spans="4:4" x14ac:dyDescent="0.3">
      <c r="D4096" t="str">
        <f t="shared" si="95"/>
        <v/>
      </c>
    </row>
    <row r="4097" spans="4:4" x14ac:dyDescent="0.3">
      <c r="D4097" t="str">
        <f t="shared" si="95"/>
        <v/>
      </c>
    </row>
    <row r="4098" spans="4:4" x14ac:dyDescent="0.3">
      <c r="D4098" t="str">
        <f t="shared" si="95"/>
        <v/>
      </c>
    </row>
    <row r="4099" spans="4:4" x14ac:dyDescent="0.3">
      <c r="D4099" t="str">
        <f t="shared" si="95"/>
        <v/>
      </c>
    </row>
    <row r="4100" spans="4:4" x14ac:dyDescent="0.3">
      <c r="D4100" t="str">
        <f t="shared" si="95"/>
        <v/>
      </c>
    </row>
    <row r="4101" spans="4:4" x14ac:dyDescent="0.3">
      <c r="D4101" t="str">
        <f t="shared" si="95"/>
        <v/>
      </c>
    </row>
    <row r="4102" spans="4:4" x14ac:dyDescent="0.3">
      <c r="D4102" t="str">
        <f t="shared" si="95"/>
        <v/>
      </c>
    </row>
    <row r="4103" spans="4:4" x14ac:dyDescent="0.3">
      <c r="D4103" t="str">
        <f t="shared" si="95"/>
        <v/>
      </c>
    </row>
    <row r="4104" spans="4:4" x14ac:dyDescent="0.3">
      <c r="D4104" t="str">
        <f t="shared" si="95"/>
        <v/>
      </c>
    </row>
    <row r="4105" spans="4:4" x14ac:dyDescent="0.3">
      <c r="D4105" t="str">
        <f t="shared" si="95"/>
        <v/>
      </c>
    </row>
    <row r="4106" spans="4:4" x14ac:dyDescent="0.3">
      <c r="D4106" t="str">
        <f t="shared" si="95"/>
        <v/>
      </c>
    </row>
    <row r="4107" spans="4:4" x14ac:dyDescent="0.3">
      <c r="D4107" t="str">
        <f t="shared" si="95"/>
        <v/>
      </c>
    </row>
    <row r="4108" spans="4:4" x14ac:dyDescent="0.3">
      <c r="D4108" t="str">
        <f t="shared" si="95"/>
        <v/>
      </c>
    </row>
    <row r="4109" spans="4:4" x14ac:dyDescent="0.3">
      <c r="D4109" t="str">
        <f t="shared" si="95"/>
        <v/>
      </c>
    </row>
    <row r="4110" spans="4:4" x14ac:dyDescent="0.3">
      <c r="D4110" t="str">
        <f t="shared" si="95"/>
        <v/>
      </c>
    </row>
    <row r="4111" spans="4:4" x14ac:dyDescent="0.3">
      <c r="D4111" t="str">
        <f t="shared" si="95"/>
        <v/>
      </c>
    </row>
    <row r="4112" spans="4:4" x14ac:dyDescent="0.3">
      <c r="D4112" t="str">
        <f t="shared" si="95"/>
        <v/>
      </c>
    </row>
    <row r="4113" spans="4:4" x14ac:dyDescent="0.3">
      <c r="D4113" t="str">
        <f t="shared" si="95"/>
        <v/>
      </c>
    </row>
    <row r="4114" spans="4:4" x14ac:dyDescent="0.3">
      <c r="D4114" t="str">
        <f t="shared" si="95"/>
        <v/>
      </c>
    </row>
    <row r="4115" spans="4:4" x14ac:dyDescent="0.3">
      <c r="D4115" t="str">
        <f t="shared" si="95"/>
        <v/>
      </c>
    </row>
    <row r="4116" spans="4:4" x14ac:dyDescent="0.3">
      <c r="D4116" t="str">
        <f t="shared" si="95"/>
        <v/>
      </c>
    </row>
    <row r="4117" spans="4:4" x14ac:dyDescent="0.3">
      <c r="D4117" t="str">
        <f t="shared" si="95"/>
        <v/>
      </c>
    </row>
    <row r="4118" spans="4:4" x14ac:dyDescent="0.3">
      <c r="D4118" t="str">
        <f t="shared" si="95"/>
        <v/>
      </c>
    </row>
    <row r="4119" spans="4:4" x14ac:dyDescent="0.3">
      <c r="D4119" t="str">
        <f t="shared" si="95"/>
        <v/>
      </c>
    </row>
    <row r="4120" spans="4:4" x14ac:dyDescent="0.3">
      <c r="D4120" t="str">
        <f t="shared" si="95"/>
        <v/>
      </c>
    </row>
    <row r="4121" spans="4:4" x14ac:dyDescent="0.3">
      <c r="D4121" t="str">
        <f t="shared" si="95"/>
        <v/>
      </c>
    </row>
    <row r="4122" spans="4:4" x14ac:dyDescent="0.3">
      <c r="D4122" t="str">
        <f t="shared" si="95"/>
        <v/>
      </c>
    </row>
    <row r="4123" spans="4:4" x14ac:dyDescent="0.3">
      <c r="D4123" t="str">
        <f t="shared" si="95"/>
        <v/>
      </c>
    </row>
    <row r="4124" spans="4:4" x14ac:dyDescent="0.3">
      <c r="D4124" t="str">
        <f t="shared" si="95"/>
        <v/>
      </c>
    </row>
    <row r="4125" spans="4:4" x14ac:dyDescent="0.3">
      <c r="D4125" t="str">
        <f t="shared" si="95"/>
        <v/>
      </c>
    </row>
    <row r="4126" spans="4:4" x14ac:dyDescent="0.3">
      <c r="D4126" t="str">
        <f t="shared" si="95"/>
        <v/>
      </c>
    </row>
    <row r="4127" spans="4:4" x14ac:dyDescent="0.3">
      <c r="D4127" t="str">
        <f t="shared" si="95"/>
        <v/>
      </c>
    </row>
    <row r="4128" spans="4:4" x14ac:dyDescent="0.3">
      <c r="D4128" t="str">
        <f t="shared" si="95"/>
        <v/>
      </c>
    </row>
    <row r="4129" spans="4:4" x14ac:dyDescent="0.3">
      <c r="D4129" t="str">
        <f t="shared" si="95"/>
        <v/>
      </c>
    </row>
    <row r="4130" spans="4:4" x14ac:dyDescent="0.3">
      <c r="D4130" t="str">
        <f t="shared" si="95"/>
        <v/>
      </c>
    </row>
    <row r="4131" spans="4:4" x14ac:dyDescent="0.3">
      <c r="D4131" t="str">
        <f t="shared" si="95"/>
        <v/>
      </c>
    </row>
    <row r="4132" spans="4:4" x14ac:dyDescent="0.3">
      <c r="D4132" t="str">
        <f t="shared" si="95"/>
        <v/>
      </c>
    </row>
    <row r="4133" spans="4:4" x14ac:dyDescent="0.3">
      <c r="D4133" t="str">
        <f t="shared" si="95"/>
        <v/>
      </c>
    </row>
    <row r="4134" spans="4:4" x14ac:dyDescent="0.3">
      <c r="D4134" t="str">
        <f t="shared" si="95"/>
        <v/>
      </c>
    </row>
    <row r="4135" spans="4:4" x14ac:dyDescent="0.3">
      <c r="D4135" t="str">
        <f t="shared" si="95"/>
        <v/>
      </c>
    </row>
    <row r="4136" spans="4:4" x14ac:dyDescent="0.3">
      <c r="D4136" t="str">
        <f t="shared" si="95"/>
        <v/>
      </c>
    </row>
    <row r="4137" spans="4:4" x14ac:dyDescent="0.3">
      <c r="D4137" t="str">
        <f t="shared" si="95"/>
        <v/>
      </c>
    </row>
    <row r="4138" spans="4:4" x14ac:dyDescent="0.3">
      <c r="D4138" t="str">
        <f t="shared" si="95"/>
        <v/>
      </c>
    </row>
    <row r="4139" spans="4:4" x14ac:dyDescent="0.3">
      <c r="D4139" t="str">
        <f t="shared" si="95"/>
        <v/>
      </c>
    </row>
    <row r="4140" spans="4:4" x14ac:dyDescent="0.3">
      <c r="D4140" t="str">
        <f t="shared" si="95"/>
        <v/>
      </c>
    </row>
    <row r="4141" spans="4:4" x14ac:dyDescent="0.3">
      <c r="D4141" t="str">
        <f t="shared" si="95"/>
        <v/>
      </c>
    </row>
    <row r="4142" spans="4:4" x14ac:dyDescent="0.3">
      <c r="D4142" t="str">
        <f t="shared" si="95"/>
        <v/>
      </c>
    </row>
    <row r="4143" spans="4:4" x14ac:dyDescent="0.3">
      <c r="D4143" t="str">
        <f t="shared" si="95"/>
        <v/>
      </c>
    </row>
    <row r="4144" spans="4:4" x14ac:dyDescent="0.3">
      <c r="D4144" t="str">
        <f t="shared" si="95"/>
        <v/>
      </c>
    </row>
    <row r="4145" spans="4:4" x14ac:dyDescent="0.3">
      <c r="D4145" t="str">
        <f t="shared" si="95"/>
        <v/>
      </c>
    </row>
    <row r="4146" spans="4:4" x14ac:dyDescent="0.3">
      <c r="D4146" t="str">
        <f t="shared" si="95"/>
        <v/>
      </c>
    </row>
    <row r="4147" spans="4:4" x14ac:dyDescent="0.3">
      <c r="D4147" t="str">
        <f t="shared" si="95"/>
        <v/>
      </c>
    </row>
    <row r="4148" spans="4:4" x14ac:dyDescent="0.3">
      <c r="D4148" t="str">
        <f t="shared" si="95"/>
        <v/>
      </c>
    </row>
    <row r="4149" spans="4:4" x14ac:dyDescent="0.3">
      <c r="D4149" t="str">
        <f t="shared" si="95"/>
        <v/>
      </c>
    </row>
    <row r="4150" spans="4:4" x14ac:dyDescent="0.3">
      <c r="D4150" t="str">
        <f t="shared" si="95"/>
        <v/>
      </c>
    </row>
    <row r="4151" spans="4:4" x14ac:dyDescent="0.3">
      <c r="D4151" t="str">
        <f t="shared" si="95"/>
        <v/>
      </c>
    </row>
    <row r="4152" spans="4:4" x14ac:dyDescent="0.3">
      <c r="D4152" t="str">
        <f t="shared" si="95"/>
        <v/>
      </c>
    </row>
    <row r="4153" spans="4:4" x14ac:dyDescent="0.3">
      <c r="D4153" t="str">
        <f t="shared" si="95"/>
        <v/>
      </c>
    </row>
    <row r="4154" spans="4:4" x14ac:dyDescent="0.3">
      <c r="D4154" t="str">
        <f t="shared" ref="D4154:D4217" si="96">IF(LEFT(A4154,2)="SP",MID(A4154,4,4),IF(LEFT(A4154,1)="X",MID(A4154,3,4),""))</f>
        <v/>
      </c>
    </row>
    <row r="4155" spans="4:4" x14ac:dyDescent="0.3">
      <c r="D4155" t="str">
        <f t="shared" si="96"/>
        <v/>
      </c>
    </row>
    <row r="4156" spans="4:4" x14ac:dyDescent="0.3">
      <c r="D4156" t="str">
        <f t="shared" si="96"/>
        <v/>
      </c>
    </row>
    <row r="4157" spans="4:4" x14ac:dyDescent="0.3">
      <c r="D4157" t="str">
        <f t="shared" si="96"/>
        <v/>
      </c>
    </row>
    <row r="4158" spans="4:4" x14ac:dyDescent="0.3">
      <c r="D4158" t="str">
        <f t="shared" si="96"/>
        <v/>
      </c>
    </row>
    <row r="4159" spans="4:4" x14ac:dyDescent="0.3">
      <c r="D4159" t="str">
        <f t="shared" si="96"/>
        <v/>
      </c>
    </row>
    <row r="4160" spans="4:4" x14ac:dyDescent="0.3">
      <c r="D4160" t="str">
        <f t="shared" si="96"/>
        <v/>
      </c>
    </row>
    <row r="4161" spans="4:4" x14ac:dyDescent="0.3">
      <c r="D4161" t="str">
        <f t="shared" si="96"/>
        <v/>
      </c>
    </row>
    <row r="4162" spans="4:4" x14ac:dyDescent="0.3">
      <c r="D4162" t="str">
        <f t="shared" si="96"/>
        <v/>
      </c>
    </row>
    <row r="4163" spans="4:4" x14ac:dyDescent="0.3">
      <c r="D4163" t="str">
        <f t="shared" si="96"/>
        <v/>
      </c>
    </row>
    <row r="4164" spans="4:4" x14ac:dyDescent="0.3">
      <c r="D4164" t="str">
        <f t="shared" si="96"/>
        <v/>
      </c>
    </row>
    <row r="4165" spans="4:4" x14ac:dyDescent="0.3">
      <c r="D4165" t="str">
        <f t="shared" si="96"/>
        <v/>
      </c>
    </row>
    <row r="4166" spans="4:4" x14ac:dyDescent="0.3">
      <c r="D4166" t="str">
        <f t="shared" si="96"/>
        <v/>
      </c>
    </row>
    <row r="4167" spans="4:4" x14ac:dyDescent="0.3">
      <c r="D4167" t="str">
        <f t="shared" si="96"/>
        <v/>
      </c>
    </row>
    <row r="4168" spans="4:4" x14ac:dyDescent="0.3">
      <c r="D4168" t="str">
        <f t="shared" si="96"/>
        <v/>
      </c>
    </row>
    <row r="4169" spans="4:4" x14ac:dyDescent="0.3">
      <c r="D4169" t="str">
        <f t="shared" si="96"/>
        <v/>
      </c>
    </row>
    <row r="4170" spans="4:4" x14ac:dyDescent="0.3">
      <c r="D4170" t="str">
        <f t="shared" si="96"/>
        <v/>
      </c>
    </row>
    <row r="4171" spans="4:4" x14ac:dyDescent="0.3">
      <c r="D4171" t="str">
        <f t="shared" si="96"/>
        <v/>
      </c>
    </row>
    <row r="4172" spans="4:4" x14ac:dyDescent="0.3">
      <c r="D4172" t="str">
        <f t="shared" si="96"/>
        <v/>
      </c>
    </row>
    <row r="4173" spans="4:4" x14ac:dyDescent="0.3">
      <c r="D4173" t="str">
        <f t="shared" si="96"/>
        <v/>
      </c>
    </row>
    <row r="4174" spans="4:4" x14ac:dyDescent="0.3">
      <c r="D4174" t="str">
        <f t="shared" si="96"/>
        <v/>
      </c>
    </row>
    <row r="4175" spans="4:4" x14ac:dyDescent="0.3">
      <c r="D4175" t="str">
        <f t="shared" si="96"/>
        <v/>
      </c>
    </row>
    <row r="4176" spans="4:4" x14ac:dyDescent="0.3">
      <c r="D4176" t="str">
        <f t="shared" si="96"/>
        <v/>
      </c>
    </row>
    <row r="4177" spans="4:4" x14ac:dyDescent="0.3">
      <c r="D4177" t="str">
        <f t="shared" si="96"/>
        <v/>
      </c>
    </row>
    <row r="4178" spans="4:4" x14ac:dyDescent="0.3">
      <c r="D4178" t="str">
        <f t="shared" si="96"/>
        <v/>
      </c>
    </row>
    <row r="4179" spans="4:4" x14ac:dyDescent="0.3">
      <c r="D4179" t="str">
        <f t="shared" si="96"/>
        <v/>
      </c>
    </row>
    <row r="4180" spans="4:4" x14ac:dyDescent="0.3">
      <c r="D4180" t="str">
        <f t="shared" si="96"/>
        <v/>
      </c>
    </row>
    <row r="4181" spans="4:4" x14ac:dyDescent="0.3">
      <c r="D4181" t="str">
        <f t="shared" si="96"/>
        <v/>
      </c>
    </row>
    <row r="4182" spans="4:4" x14ac:dyDescent="0.3">
      <c r="D4182" t="str">
        <f t="shared" si="96"/>
        <v/>
      </c>
    </row>
    <row r="4183" spans="4:4" x14ac:dyDescent="0.3">
      <c r="D4183" t="str">
        <f t="shared" si="96"/>
        <v/>
      </c>
    </row>
    <row r="4184" spans="4:4" x14ac:dyDescent="0.3">
      <c r="D4184" t="str">
        <f t="shared" si="96"/>
        <v/>
      </c>
    </row>
    <row r="4185" spans="4:4" x14ac:dyDescent="0.3">
      <c r="D4185" t="str">
        <f t="shared" si="96"/>
        <v/>
      </c>
    </row>
    <row r="4186" spans="4:4" x14ac:dyDescent="0.3">
      <c r="D4186" t="str">
        <f t="shared" si="96"/>
        <v/>
      </c>
    </row>
    <row r="4187" spans="4:4" x14ac:dyDescent="0.3">
      <c r="D4187" t="str">
        <f t="shared" si="96"/>
        <v/>
      </c>
    </row>
    <row r="4188" spans="4:4" x14ac:dyDescent="0.3">
      <c r="D4188" t="str">
        <f t="shared" si="96"/>
        <v/>
      </c>
    </row>
    <row r="4189" spans="4:4" x14ac:dyDescent="0.3">
      <c r="D4189" t="str">
        <f t="shared" si="96"/>
        <v/>
      </c>
    </row>
    <row r="4190" spans="4:4" x14ac:dyDescent="0.3">
      <c r="D4190" t="str">
        <f t="shared" si="96"/>
        <v/>
      </c>
    </row>
    <row r="4191" spans="4:4" x14ac:dyDescent="0.3">
      <c r="D4191" t="str">
        <f t="shared" si="96"/>
        <v/>
      </c>
    </row>
    <row r="4192" spans="4:4" x14ac:dyDescent="0.3">
      <c r="D4192" t="str">
        <f t="shared" si="96"/>
        <v/>
      </c>
    </row>
    <row r="4193" spans="4:4" x14ac:dyDescent="0.3">
      <c r="D4193" t="str">
        <f t="shared" si="96"/>
        <v/>
      </c>
    </row>
    <row r="4194" spans="4:4" x14ac:dyDescent="0.3">
      <c r="D4194" t="str">
        <f t="shared" si="96"/>
        <v/>
      </c>
    </row>
    <row r="4195" spans="4:4" x14ac:dyDescent="0.3">
      <c r="D4195" t="str">
        <f t="shared" si="96"/>
        <v/>
      </c>
    </row>
    <row r="4196" spans="4:4" x14ac:dyDescent="0.3">
      <c r="D4196" t="str">
        <f t="shared" si="96"/>
        <v/>
      </c>
    </row>
    <row r="4197" spans="4:4" x14ac:dyDescent="0.3">
      <c r="D4197" t="str">
        <f t="shared" si="96"/>
        <v/>
      </c>
    </row>
    <row r="4198" spans="4:4" x14ac:dyDescent="0.3">
      <c r="D4198" t="str">
        <f t="shared" si="96"/>
        <v/>
      </c>
    </row>
    <row r="4199" spans="4:4" x14ac:dyDescent="0.3">
      <c r="D4199" t="str">
        <f t="shared" si="96"/>
        <v/>
      </c>
    </row>
    <row r="4200" spans="4:4" x14ac:dyDescent="0.3">
      <c r="D4200" t="str">
        <f t="shared" si="96"/>
        <v/>
      </c>
    </row>
    <row r="4201" spans="4:4" x14ac:dyDescent="0.3">
      <c r="D4201" t="str">
        <f t="shared" si="96"/>
        <v/>
      </c>
    </row>
    <row r="4202" spans="4:4" x14ac:dyDescent="0.3">
      <c r="D4202" t="str">
        <f t="shared" si="96"/>
        <v/>
      </c>
    </row>
    <row r="4203" spans="4:4" x14ac:dyDescent="0.3">
      <c r="D4203" t="str">
        <f t="shared" si="96"/>
        <v/>
      </c>
    </row>
    <row r="4204" spans="4:4" x14ac:dyDescent="0.3">
      <c r="D4204" t="str">
        <f t="shared" si="96"/>
        <v/>
      </c>
    </row>
    <row r="4205" spans="4:4" x14ac:dyDescent="0.3">
      <c r="D4205" t="str">
        <f t="shared" si="96"/>
        <v/>
      </c>
    </row>
    <row r="4206" spans="4:4" x14ac:dyDescent="0.3">
      <c r="D4206" t="str">
        <f t="shared" si="96"/>
        <v/>
      </c>
    </row>
    <row r="4207" spans="4:4" x14ac:dyDescent="0.3">
      <c r="D4207" t="str">
        <f t="shared" si="96"/>
        <v/>
      </c>
    </row>
    <row r="4208" spans="4:4" x14ac:dyDescent="0.3">
      <c r="D4208" t="str">
        <f t="shared" si="96"/>
        <v/>
      </c>
    </row>
    <row r="4209" spans="4:4" x14ac:dyDescent="0.3">
      <c r="D4209" t="str">
        <f t="shared" si="96"/>
        <v/>
      </c>
    </row>
    <row r="4210" spans="4:4" x14ac:dyDescent="0.3">
      <c r="D4210" t="str">
        <f t="shared" si="96"/>
        <v/>
      </c>
    </row>
    <row r="4211" spans="4:4" x14ac:dyDescent="0.3">
      <c r="D4211" t="str">
        <f t="shared" si="96"/>
        <v/>
      </c>
    </row>
    <row r="4212" spans="4:4" x14ac:dyDescent="0.3">
      <c r="D4212" t="str">
        <f t="shared" si="96"/>
        <v/>
      </c>
    </row>
    <row r="4213" spans="4:4" x14ac:dyDescent="0.3">
      <c r="D4213" t="str">
        <f t="shared" si="96"/>
        <v/>
      </c>
    </row>
    <row r="4214" spans="4:4" x14ac:dyDescent="0.3">
      <c r="D4214" t="str">
        <f t="shared" si="96"/>
        <v/>
      </c>
    </row>
    <row r="4215" spans="4:4" x14ac:dyDescent="0.3">
      <c r="D4215" t="str">
        <f t="shared" si="96"/>
        <v/>
      </c>
    </row>
    <row r="4216" spans="4:4" x14ac:dyDescent="0.3">
      <c r="D4216" t="str">
        <f t="shared" si="96"/>
        <v/>
      </c>
    </row>
    <row r="4217" spans="4:4" x14ac:dyDescent="0.3">
      <c r="D4217" t="str">
        <f t="shared" si="96"/>
        <v/>
      </c>
    </row>
    <row r="4218" spans="4:4" x14ac:dyDescent="0.3">
      <c r="D4218" t="str">
        <f t="shared" ref="D4218:D4281" si="97">IF(LEFT(A4218,2)="SP",MID(A4218,4,4),IF(LEFT(A4218,1)="X",MID(A4218,3,4),""))</f>
        <v/>
      </c>
    </row>
    <row r="4219" spans="4:4" x14ac:dyDescent="0.3">
      <c r="D4219" t="str">
        <f t="shared" si="97"/>
        <v/>
      </c>
    </row>
    <row r="4220" spans="4:4" x14ac:dyDescent="0.3">
      <c r="D4220" t="str">
        <f t="shared" si="97"/>
        <v/>
      </c>
    </row>
    <row r="4221" spans="4:4" x14ac:dyDescent="0.3">
      <c r="D4221" t="str">
        <f t="shared" si="97"/>
        <v/>
      </c>
    </row>
    <row r="4222" spans="4:4" x14ac:dyDescent="0.3">
      <c r="D4222" t="str">
        <f t="shared" si="97"/>
        <v/>
      </c>
    </row>
    <row r="4223" spans="4:4" x14ac:dyDescent="0.3">
      <c r="D4223" t="str">
        <f t="shared" si="97"/>
        <v/>
      </c>
    </row>
    <row r="4224" spans="4:4" x14ac:dyDescent="0.3">
      <c r="D4224" t="str">
        <f t="shared" si="97"/>
        <v/>
      </c>
    </row>
    <row r="4225" spans="4:4" x14ac:dyDescent="0.3">
      <c r="D4225" t="str">
        <f t="shared" si="97"/>
        <v/>
      </c>
    </row>
    <row r="4226" spans="4:4" x14ac:dyDescent="0.3">
      <c r="D4226" t="str">
        <f t="shared" si="97"/>
        <v/>
      </c>
    </row>
    <row r="4227" spans="4:4" x14ac:dyDescent="0.3">
      <c r="D4227" t="str">
        <f t="shared" si="97"/>
        <v/>
      </c>
    </row>
    <row r="4228" spans="4:4" x14ac:dyDescent="0.3">
      <c r="D4228" t="str">
        <f t="shared" si="97"/>
        <v/>
      </c>
    </row>
    <row r="4229" spans="4:4" x14ac:dyDescent="0.3">
      <c r="D4229" t="str">
        <f t="shared" si="97"/>
        <v/>
      </c>
    </row>
    <row r="4230" spans="4:4" x14ac:dyDescent="0.3">
      <c r="D4230" t="str">
        <f t="shared" si="97"/>
        <v/>
      </c>
    </row>
    <row r="4231" spans="4:4" x14ac:dyDescent="0.3">
      <c r="D4231" t="str">
        <f t="shared" si="97"/>
        <v/>
      </c>
    </row>
    <row r="4232" spans="4:4" x14ac:dyDescent="0.3">
      <c r="D4232" t="str">
        <f t="shared" si="97"/>
        <v/>
      </c>
    </row>
    <row r="4233" spans="4:4" x14ac:dyDescent="0.3">
      <c r="D4233" t="str">
        <f t="shared" si="97"/>
        <v/>
      </c>
    </row>
    <row r="4234" spans="4:4" x14ac:dyDescent="0.3">
      <c r="D4234" t="str">
        <f t="shared" si="97"/>
        <v/>
      </c>
    </row>
    <row r="4235" spans="4:4" x14ac:dyDescent="0.3">
      <c r="D4235" t="str">
        <f t="shared" si="97"/>
        <v/>
      </c>
    </row>
    <row r="4236" spans="4:4" x14ac:dyDescent="0.3">
      <c r="D4236" t="str">
        <f t="shared" si="97"/>
        <v/>
      </c>
    </row>
    <row r="4237" spans="4:4" x14ac:dyDescent="0.3">
      <c r="D4237" t="str">
        <f t="shared" si="97"/>
        <v/>
      </c>
    </row>
    <row r="4238" spans="4:4" x14ac:dyDescent="0.3">
      <c r="D4238" t="str">
        <f t="shared" si="97"/>
        <v/>
      </c>
    </row>
    <row r="4239" spans="4:4" x14ac:dyDescent="0.3">
      <c r="D4239" t="str">
        <f t="shared" si="97"/>
        <v/>
      </c>
    </row>
    <row r="4240" spans="4:4" x14ac:dyDescent="0.3">
      <c r="D4240" t="str">
        <f t="shared" si="97"/>
        <v/>
      </c>
    </row>
    <row r="4241" spans="4:4" x14ac:dyDescent="0.3">
      <c r="D4241" t="str">
        <f t="shared" si="97"/>
        <v/>
      </c>
    </row>
    <row r="4242" spans="4:4" x14ac:dyDescent="0.3">
      <c r="D4242" t="str">
        <f t="shared" si="97"/>
        <v/>
      </c>
    </row>
    <row r="4243" spans="4:4" x14ac:dyDescent="0.3">
      <c r="D4243" t="str">
        <f t="shared" si="97"/>
        <v/>
      </c>
    </row>
    <row r="4244" spans="4:4" x14ac:dyDescent="0.3">
      <c r="D4244" t="str">
        <f t="shared" si="97"/>
        <v/>
      </c>
    </row>
    <row r="4245" spans="4:4" x14ac:dyDescent="0.3">
      <c r="D4245" t="str">
        <f t="shared" si="97"/>
        <v/>
      </c>
    </row>
    <row r="4246" spans="4:4" x14ac:dyDescent="0.3">
      <c r="D4246" t="str">
        <f t="shared" si="97"/>
        <v/>
      </c>
    </row>
    <row r="4247" spans="4:4" x14ac:dyDescent="0.3">
      <c r="D4247" t="str">
        <f t="shared" si="97"/>
        <v/>
      </c>
    </row>
    <row r="4248" spans="4:4" x14ac:dyDescent="0.3">
      <c r="D4248" t="str">
        <f t="shared" si="97"/>
        <v/>
      </c>
    </row>
    <row r="4249" spans="4:4" x14ac:dyDescent="0.3">
      <c r="D4249" t="str">
        <f t="shared" si="97"/>
        <v/>
      </c>
    </row>
    <row r="4250" spans="4:4" x14ac:dyDescent="0.3">
      <c r="D4250" t="str">
        <f t="shared" si="97"/>
        <v/>
      </c>
    </row>
    <row r="4251" spans="4:4" x14ac:dyDescent="0.3">
      <c r="D4251" t="str">
        <f t="shared" si="97"/>
        <v/>
      </c>
    </row>
    <row r="4252" spans="4:4" x14ac:dyDescent="0.3">
      <c r="D4252" t="str">
        <f t="shared" si="97"/>
        <v/>
      </c>
    </row>
    <row r="4253" spans="4:4" x14ac:dyDescent="0.3">
      <c r="D4253" t="str">
        <f t="shared" si="97"/>
        <v/>
      </c>
    </row>
    <row r="4254" spans="4:4" x14ac:dyDescent="0.3">
      <c r="D4254" t="str">
        <f t="shared" si="97"/>
        <v/>
      </c>
    </row>
    <row r="4255" spans="4:4" x14ac:dyDescent="0.3">
      <c r="D4255" t="str">
        <f t="shared" si="97"/>
        <v/>
      </c>
    </row>
    <row r="4256" spans="4:4" x14ac:dyDescent="0.3">
      <c r="D4256" t="str">
        <f t="shared" si="97"/>
        <v/>
      </c>
    </row>
    <row r="4257" spans="4:4" x14ac:dyDescent="0.3">
      <c r="D4257" t="str">
        <f t="shared" si="97"/>
        <v/>
      </c>
    </row>
    <row r="4258" spans="4:4" x14ac:dyDescent="0.3">
      <c r="D4258" t="str">
        <f t="shared" si="97"/>
        <v/>
      </c>
    </row>
    <row r="4259" spans="4:4" x14ac:dyDescent="0.3">
      <c r="D4259" t="str">
        <f t="shared" si="97"/>
        <v/>
      </c>
    </row>
    <row r="4260" spans="4:4" x14ac:dyDescent="0.3">
      <c r="D4260" t="str">
        <f t="shared" si="97"/>
        <v/>
      </c>
    </row>
    <row r="4261" spans="4:4" x14ac:dyDescent="0.3">
      <c r="D4261" t="str">
        <f t="shared" si="97"/>
        <v/>
      </c>
    </row>
    <row r="4262" spans="4:4" x14ac:dyDescent="0.3">
      <c r="D4262" t="str">
        <f t="shared" si="97"/>
        <v/>
      </c>
    </row>
    <row r="4263" spans="4:4" x14ac:dyDescent="0.3">
      <c r="D4263" t="str">
        <f t="shared" si="97"/>
        <v/>
      </c>
    </row>
    <row r="4264" spans="4:4" x14ac:dyDescent="0.3">
      <c r="D4264" t="str">
        <f t="shared" si="97"/>
        <v/>
      </c>
    </row>
    <row r="4265" spans="4:4" x14ac:dyDescent="0.3">
      <c r="D4265" t="str">
        <f t="shared" si="97"/>
        <v/>
      </c>
    </row>
    <row r="4266" spans="4:4" x14ac:dyDescent="0.3">
      <c r="D4266" t="str">
        <f t="shared" si="97"/>
        <v/>
      </c>
    </row>
    <row r="4267" spans="4:4" x14ac:dyDescent="0.3">
      <c r="D4267" t="str">
        <f t="shared" si="97"/>
        <v/>
      </c>
    </row>
    <row r="4268" spans="4:4" x14ac:dyDescent="0.3">
      <c r="D4268" t="str">
        <f t="shared" si="97"/>
        <v/>
      </c>
    </row>
    <row r="4269" spans="4:4" x14ac:dyDescent="0.3">
      <c r="D4269" t="str">
        <f t="shared" si="97"/>
        <v/>
      </c>
    </row>
    <row r="4270" spans="4:4" x14ac:dyDescent="0.3">
      <c r="D4270" t="str">
        <f t="shared" si="97"/>
        <v/>
      </c>
    </row>
    <row r="4271" spans="4:4" x14ac:dyDescent="0.3">
      <c r="D4271" t="str">
        <f t="shared" si="97"/>
        <v/>
      </c>
    </row>
    <row r="4272" spans="4:4" x14ac:dyDescent="0.3">
      <c r="D4272" t="str">
        <f t="shared" si="97"/>
        <v/>
      </c>
    </row>
    <row r="4273" spans="4:4" x14ac:dyDescent="0.3">
      <c r="D4273" t="str">
        <f t="shared" si="97"/>
        <v/>
      </c>
    </row>
    <row r="4274" spans="4:4" x14ac:dyDescent="0.3">
      <c r="D4274" t="str">
        <f t="shared" si="97"/>
        <v/>
      </c>
    </row>
    <row r="4275" spans="4:4" x14ac:dyDescent="0.3">
      <c r="D4275" t="str">
        <f t="shared" si="97"/>
        <v/>
      </c>
    </row>
    <row r="4276" spans="4:4" x14ac:dyDescent="0.3">
      <c r="D4276" t="str">
        <f t="shared" si="97"/>
        <v/>
      </c>
    </row>
    <row r="4277" spans="4:4" x14ac:dyDescent="0.3">
      <c r="D4277" t="str">
        <f t="shared" si="97"/>
        <v/>
      </c>
    </row>
    <row r="4278" spans="4:4" x14ac:dyDescent="0.3">
      <c r="D4278" t="str">
        <f t="shared" si="97"/>
        <v/>
      </c>
    </row>
    <row r="4279" spans="4:4" x14ac:dyDescent="0.3">
      <c r="D4279" t="str">
        <f t="shared" si="97"/>
        <v/>
      </c>
    </row>
    <row r="4280" spans="4:4" x14ac:dyDescent="0.3">
      <c r="D4280" t="str">
        <f t="shared" si="97"/>
        <v/>
      </c>
    </row>
    <row r="4281" spans="4:4" x14ac:dyDescent="0.3">
      <c r="D4281" t="str">
        <f t="shared" si="97"/>
        <v/>
      </c>
    </row>
    <row r="4282" spans="4:4" x14ac:dyDescent="0.3">
      <c r="D4282" t="str">
        <f t="shared" ref="D4282:D4345" si="98">IF(LEFT(A4282,2)="SP",MID(A4282,4,4),IF(LEFT(A4282,1)="X",MID(A4282,3,4),""))</f>
        <v/>
      </c>
    </row>
    <row r="4283" spans="4:4" x14ac:dyDescent="0.3">
      <c r="D4283" t="str">
        <f t="shared" si="98"/>
        <v/>
      </c>
    </row>
    <row r="4284" spans="4:4" x14ac:dyDescent="0.3">
      <c r="D4284" t="str">
        <f t="shared" si="98"/>
        <v/>
      </c>
    </row>
    <row r="4285" spans="4:4" x14ac:dyDescent="0.3">
      <c r="D4285" t="str">
        <f t="shared" si="98"/>
        <v/>
      </c>
    </row>
    <row r="4286" spans="4:4" x14ac:dyDescent="0.3">
      <c r="D4286" t="str">
        <f t="shared" si="98"/>
        <v/>
      </c>
    </row>
    <row r="4287" spans="4:4" x14ac:dyDescent="0.3">
      <c r="D4287" t="str">
        <f t="shared" si="98"/>
        <v/>
      </c>
    </row>
    <row r="4288" spans="4:4" x14ac:dyDescent="0.3">
      <c r="D4288" t="str">
        <f t="shared" si="98"/>
        <v/>
      </c>
    </row>
    <row r="4289" spans="4:4" x14ac:dyDescent="0.3">
      <c r="D4289" t="str">
        <f t="shared" si="98"/>
        <v/>
      </c>
    </row>
    <row r="4290" spans="4:4" x14ac:dyDescent="0.3">
      <c r="D4290" t="str">
        <f t="shared" si="98"/>
        <v/>
      </c>
    </row>
    <row r="4291" spans="4:4" x14ac:dyDescent="0.3">
      <c r="D4291" t="str">
        <f t="shared" si="98"/>
        <v/>
      </c>
    </row>
    <row r="4292" spans="4:4" x14ac:dyDescent="0.3">
      <c r="D4292" t="str">
        <f t="shared" si="98"/>
        <v/>
      </c>
    </row>
    <row r="4293" spans="4:4" x14ac:dyDescent="0.3">
      <c r="D4293" t="str">
        <f t="shared" si="98"/>
        <v/>
      </c>
    </row>
    <row r="4294" spans="4:4" x14ac:dyDescent="0.3">
      <c r="D4294" t="str">
        <f t="shared" si="98"/>
        <v/>
      </c>
    </row>
    <row r="4295" spans="4:4" x14ac:dyDescent="0.3">
      <c r="D4295" t="str">
        <f t="shared" si="98"/>
        <v/>
      </c>
    </row>
    <row r="4296" spans="4:4" x14ac:dyDescent="0.3">
      <c r="D4296" t="str">
        <f t="shared" si="98"/>
        <v/>
      </c>
    </row>
    <row r="4297" spans="4:4" x14ac:dyDescent="0.3">
      <c r="D4297" t="str">
        <f t="shared" si="98"/>
        <v/>
      </c>
    </row>
    <row r="4298" spans="4:4" x14ac:dyDescent="0.3">
      <c r="D4298" t="str">
        <f t="shared" si="98"/>
        <v/>
      </c>
    </row>
    <row r="4299" spans="4:4" x14ac:dyDescent="0.3">
      <c r="D4299" t="str">
        <f t="shared" si="98"/>
        <v/>
      </c>
    </row>
    <row r="4300" spans="4:4" x14ac:dyDescent="0.3">
      <c r="D4300" t="str">
        <f t="shared" si="98"/>
        <v/>
      </c>
    </row>
    <row r="4301" spans="4:4" x14ac:dyDescent="0.3">
      <c r="D4301" t="str">
        <f t="shared" si="98"/>
        <v/>
      </c>
    </row>
    <row r="4302" spans="4:4" x14ac:dyDescent="0.3">
      <c r="D4302" t="str">
        <f t="shared" si="98"/>
        <v/>
      </c>
    </row>
    <row r="4303" spans="4:4" x14ac:dyDescent="0.3">
      <c r="D4303" t="str">
        <f t="shared" si="98"/>
        <v/>
      </c>
    </row>
    <row r="4304" spans="4:4" x14ac:dyDescent="0.3">
      <c r="D4304" t="str">
        <f t="shared" si="98"/>
        <v/>
      </c>
    </row>
    <row r="4305" spans="4:4" x14ac:dyDescent="0.3">
      <c r="D4305" t="str">
        <f t="shared" si="98"/>
        <v/>
      </c>
    </row>
    <row r="4306" spans="4:4" x14ac:dyDescent="0.3">
      <c r="D4306" t="str">
        <f t="shared" si="98"/>
        <v/>
      </c>
    </row>
    <row r="4307" spans="4:4" x14ac:dyDescent="0.3">
      <c r="D4307" t="str">
        <f t="shared" si="98"/>
        <v/>
      </c>
    </row>
    <row r="4308" spans="4:4" x14ac:dyDescent="0.3">
      <c r="D4308" t="str">
        <f t="shared" si="98"/>
        <v/>
      </c>
    </row>
    <row r="4309" spans="4:4" x14ac:dyDescent="0.3">
      <c r="D4309" t="str">
        <f t="shared" si="98"/>
        <v/>
      </c>
    </row>
    <row r="4310" spans="4:4" x14ac:dyDescent="0.3">
      <c r="D4310" t="str">
        <f t="shared" si="98"/>
        <v/>
      </c>
    </row>
    <row r="4311" spans="4:4" x14ac:dyDescent="0.3">
      <c r="D4311" t="str">
        <f t="shared" si="98"/>
        <v/>
      </c>
    </row>
    <row r="4312" spans="4:4" x14ac:dyDescent="0.3">
      <c r="D4312" t="str">
        <f t="shared" si="98"/>
        <v/>
      </c>
    </row>
    <row r="4313" spans="4:4" x14ac:dyDescent="0.3">
      <c r="D4313" t="str">
        <f t="shared" si="98"/>
        <v/>
      </c>
    </row>
    <row r="4314" spans="4:4" x14ac:dyDescent="0.3">
      <c r="D4314" t="str">
        <f t="shared" si="98"/>
        <v/>
      </c>
    </row>
    <row r="4315" spans="4:4" x14ac:dyDescent="0.3">
      <c r="D4315" t="str">
        <f t="shared" si="98"/>
        <v/>
      </c>
    </row>
    <row r="4316" spans="4:4" x14ac:dyDescent="0.3">
      <c r="D4316" t="str">
        <f t="shared" si="98"/>
        <v/>
      </c>
    </row>
    <row r="4317" spans="4:4" x14ac:dyDescent="0.3">
      <c r="D4317" t="str">
        <f t="shared" si="98"/>
        <v/>
      </c>
    </row>
    <row r="4318" spans="4:4" x14ac:dyDescent="0.3">
      <c r="D4318" t="str">
        <f t="shared" si="98"/>
        <v/>
      </c>
    </row>
    <row r="4319" spans="4:4" x14ac:dyDescent="0.3">
      <c r="D4319" t="str">
        <f t="shared" si="98"/>
        <v/>
      </c>
    </row>
    <row r="4320" spans="4:4" x14ac:dyDescent="0.3">
      <c r="D4320" t="str">
        <f t="shared" si="98"/>
        <v/>
      </c>
    </row>
    <row r="4321" spans="4:4" x14ac:dyDescent="0.3">
      <c r="D4321" t="str">
        <f t="shared" si="98"/>
        <v/>
      </c>
    </row>
    <row r="4322" spans="4:4" x14ac:dyDescent="0.3">
      <c r="D4322" t="str">
        <f t="shared" si="98"/>
        <v/>
      </c>
    </row>
    <row r="4323" spans="4:4" x14ac:dyDescent="0.3">
      <c r="D4323" t="str">
        <f t="shared" si="98"/>
        <v/>
      </c>
    </row>
    <row r="4324" spans="4:4" x14ac:dyDescent="0.3">
      <c r="D4324" t="str">
        <f t="shared" si="98"/>
        <v/>
      </c>
    </row>
    <row r="4325" spans="4:4" x14ac:dyDescent="0.3">
      <c r="D4325" t="str">
        <f t="shared" si="98"/>
        <v/>
      </c>
    </row>
    <row r="4326" spans="4:4" x14ac:dyDescent="0.3">
      <c r="D4326" t="str">
        <f t="shared" si="98"/>
        <v/>
      </c>
    </row>
    <row r="4327" spans="4:4" x14ac:dyDescent="0.3">
      <c r="D4327" t="str">
        <f t="shared" si="98"/>
        <v/>
      </c>
    </row>
    <row r="4328" spans="4:4" x14ac:dyDescent="0.3">
      <c r="D4328" t="str">
        <f t="shared" si="98"/>
        <v/>
      </c>
    </row>
    <row r="4329" spans="4:4" x14ac:dyDescent="0.3">
      <c r="D4329" t="str">
        <f t="shared" si="98"/>
        <v/>
      </c>
    </row>
    <row r="4330" spans="4:4" x14ac:dyDescent="0.3">
      <c r="D4330" t="str">
        <f t="shared" si="98"/>
        <v/>
      </c>
    </row>
    <row r="4331" spans="4:4" x14ac:dyDescent="0.3">
      <c r="D4331" t="str">
        <f t="shared" si="98"/>
        <v/>
      </c>
    </row>
    <row r="4332" spans="4:4" x14ac:dyDescent="0.3">
      <c r="D4332" t="str">
        <f t="shared" si="98"/>
        <v/>
      </c>
    </row>
    <row r="4333" spans="4:4" x14ac:dyDescent="0.3">
      <c r="D4333" t="str">
        <f t="shared" si="98"/>
        <v/>
      </c>
    </row>
    <row r="4334" spans="4:4" x14ac:dyDescent="0.3">
      <c r="D4334" t="str">
        <f t="shared" si="98"/>
        <v/>
      </c>
    </row>
    <row r="4335" spans="4:4" x14ac:dyDescent="0.3">
      <c r="D4335" t="str">
        <f t="shared" si="98"/>
        <v/>
      </c>
    </row>
    <row r="4336" spans="4:4" x14ac:dyDescent="0.3">
      <c r="D4336" t="str">
        <f t="shared" si="98"/>
        <v/>
      </c>
    </row>
    <row r="4337" spans="4:4" x14ac:dyDescent="0.3">
      <c r="D4337" t="str">
        <f t="shared" si="98"/>
        <v/>
      </c>
    </row>
    <row r="4338" spans="4:4" x14ac:dyDescent="0.3">
      <c r="D4338" t="str">
        <f t="shared" si="98"/>
        <v/>
      </c>
    </row>
    <row r="4339" spans="4:4" x14ac:dyDescent="0.3">
      <c r="D4339" t="str">
        <f t="shared" si="98"/>
        <v/>
      </c>
    </row>
    <row r="4340" spans="4:4" x14ac:dyDescent="0.3">
      <c r="D4340" t="str">
        <f t="shared" si="98"/>
        <v/>
      </c>
    </row>
    <row r="4341" spans="4:4" x14ac:dyDescent="0.3">
      <c r="D4341" t="str">
        <f t="shared" si="98"/>
        <v/>
      </c>
    </row>
    <row r="4342" spans="4:4" x14ac:dyDescent="0.3">
      <c r="D4342" t="str">
        <f t="shared" si="98"/>
        <v/>
      </c>
    </row>
    <row r="4343" spans="4:4" x14ac:dyDescent="0.3">
      <c r="D4343" t="str">
        <f t="shared" si="98"/>
        <v/>
      </c>
    </row>
    <row r="4344" spans="4:4" x14ac:dyDescent="0.3">
      <c r="D4344" t="str">
        <f t="shared" si="98"/>
        <v/>
      </c>
    </row>
    <row r="4345" spans="4:4" x14ac:dyDescent="0.3">
      <c r="D4345" t="str">
        <f t="shared" si="98"/>
        <v/>
      </c>
    </row>
    <row r="4346" spans="4:4" x14ac:dyDescent="0.3">
      <c r="D4346" t="str">
        <f t="shared" ref="D4346:D4409" si="99">IF(LEFT(A4346,2)="SP",MID(A4346,4,4),IF(LEFT(A4346,1)="X",MID(A4346,3,4),""))</f>
        <v/>
      </c>
    </row>
    <row r="4347" spans="4:4" x14ac:dyDescent="0.3">
      <c r="D4347" t="str">
        <f t="shared" si="99"/>
        <v/>
      </c>
    </row>
    <row r="4348" spans="4:4" x14ac:dyDescent="0.3">
      <c r="D4348" t="str">
        <f t="shared" si="99"/>
        <v/>
      </c>
    </row>
    <row r="4349" spans="4:4" x14ac:dyDescent="0.3">
      <c r="D4349" t="str">
        <f t="shared" si="99"/>
        <v/>
      </c>
    </row>
    <row r="4350" spans="4:4" x14ac:dyDescent="0.3">
      <c r="D4350" t="str">
        <f t="shared" si="99"/>
        <v/>
      </c>
    </row>
    <row r="4351" spans="4:4" x14ac:dyDescent="0.3">
      <c r="D4351" t="str">
        <f t="shared" si="99"/>
        <v/>
      </c>
    </row>
    <row r="4352" spans="4:4" x14ac:dyDescent="0.3">
      <c r="D4352" t="str">
        <f t="shared" si="99"/>
        <v/>
      </c>
    </row>
    <row r="4353" spans="4:4" x14ac:dyDescent="0.3">
      <c r="D4353" t="str">
        <f t="shared" si="99"/>
        <v/>
      </c>
    </row>
    <row r="4354" spans="4:4" x14ac:dyDescent="0.3">
      <c r="D4354" t="str">
        <f t="shared" si="99"/>
        <v/>
      </c>
    </row>
    <row r="4355" spans="4:4" x14ac:dyDescent="0.3">
      <c r="D4355" t="str">
        <f t="shared" si="99"/>
        <v/>
      </c>
    </row>
    <row r="4356" spans="4:4" x14ac:dyDescent="0.3">
      <c r="D4356" t="str">
        <f t="shared" si="99"/>
        <v/>
      </c>
    </row>
    <row r="4357" spans="4:4" x14ac:dyDescent="0.3">
      <c r="D4357" t="str">
        <f t="shared" si="99"/>
        <v/>
      </c>
    </row>
    <row r="4358" spans="4:4" x14ac:dyDescent="0.3">
      <c r="D4358" t="str">
        <f t="shared" si="99"/>
        <v/>
      </c>
    </row>
    <row r="4359" spans="4:4" x14ac:dyDescent="0.3">
      <c r="D4359" t="str">
        <f t="shared" si="99"/>
        <v/>
      </c>
    </row>
    <row r="4360" spans="4:4" x14ac:dyDescent="0.3">
      <c r="D4360" t="str">
        <f t="shared" si="99"/>
        <v/>
      </c>
    </row>
    <row r="4361" spans="4:4" x14ac:dyDescent="0.3">
      <c r="D4361" t="str">
        <f t="shared" si="99"/>
        <v/>
      </c>
    </row>
    <row r="4362" spans="4:4" x14ac:dyDescent="0.3">
      <c r="D4362" t="str">
        <f t="shared" si="99"/>
        <v/>
      </c>
    </row>
    <row r="4363" spans="4:4" x14ac:dyDescent="0.3">
      <c r="D4363" t="str">
        <f t="shared" si="99"/>
        <v/>
      </c>
    </row>
    <row r="4364" spans="4:4" x14ac:dyDescent="0.3">
      <c r="D4364" t="str">
        <f t="shared" si="99"/>
        <v/>
      </c>
    </row>
    <row r="4365" spans="4:4" x14ac:dyDescent="0.3">
      <c r="D4365" t="str">
        <f t="shared" si="99"/>
        <v/>
      </c>
    </row>
    <row r="4366" spans="4:4" x14ac:dyDescent="0.3">
      <c r="D4366" t="str">
        <f t="shared" si="99"/>
        <v/>
      </c>
    </row>
    <row r="4367" spans="4:4" x14ac:dyDescent="0.3">
      <c r="D4367" t="str">
        <f t="shared" si="99"/>
        <v/>
      </c>
    </row>
    <row r="4368" spans="4:4" x14ac:dyDescent="0.3">
      <c r="D4368" t="str">
        <f t="shared" si="99"/>
        <v/>
      </c>
    </row>
    <row r="4369" spans="4:4" x14ac:dyDescent="0.3">
      <c r="D4369" t="str">
        <f t="shared" si="99"/>
        <v/>
      </c>
    </row>
    <row r="4370" spans="4:4" x14ac:dyDescent="0.3">
      <c r="D4370" t="str">
        <f t="shared" si="99"/>
        <v/>
      </c>
    </row>
    <row r="4371" spans="4:4" x14ac:dyDescent="0.3">
      <c r="D4371" t="str">
        <f t="shared" si="99"/>
        <v/>
      </c>
    </row>
    <row r="4372" spans="4:4" x14ac:dyDescent="0.3">
      <c r="D4372" t="str">
        <f t="shared" si="99"/>
        <v/>
      </c>
    </row>
    <row r="4373" spans="4:4" x14ac:dyDescent="0.3">
      <c r="D4373" t="str">
        <f t="shared" si="99"/>
        <v/>
      </c>
    </row>
    <row r="4374" spans="4:4" x14ac:dyDescent="0.3">
      <c r="D4374" t="str">
        <f t="shared" si="99"/>
        <v/>
      </c>
    </row>
    <row r="4375" spans="4:4" x14ac:dyDescent="0.3">
      <c r="D4375" t="str">
        <f t="shared" si="99"/>
        <v/>
      </c>
    </row>
    <row r="4376" spans="4:4" x14ac:dyDescent="0.3">
      <c r="D4376" t="str">
        <f t="shared" si="99"/>
        <v/>
      </c>
    </row>
    <row r="4377" spans="4:4" x14ac:dyDescent="0.3">
      <c r="D4377" t="str">
        <f t="shared" si="99"/>
        <v/>
      </c>
    </row>
    <row r="4378" spans="4:4" x14ac:dyDescent="0.3">
      <c r="D4378" t="str">
        <f t="shared" si="99"/>
        <v/>
      </c>
    </row>
    <row r="4379" spans="4:4" x14ac:dyDescent="0.3">
      <c r="D4379" t="str">
        <f t="shared" si="99"/>
        <v/>
      </c>
    </row>
    <row r="4380" spans="4:4" x14ac:dyDescent="0.3">
      <c r="D4380" t="str">
        <f t="shared" si="99"/>
        <v/>
      </c>
    </row>
    <row r="4381" spans="4:4" x14ac:dyDescent="0.3">
      <c r="D4381" t="str">
        <f t="shared" si="99"/>
        <v/>
      </c>
    </row>
    <row r="4382" spans="4:4" x14ac:dyDescent="0.3">
      <c r="D4382" t="str">
        <f t="shared" si="99"/>
        <v/>
      </c>
    </row>
    <row r="4383" spans="4:4" x14ac:dyDescent="0.3">
      <c r="D4383" t="str">
        <f t="shared" si="99"/>
        <v/>
      </c>
    </row>
    <row r="4384" spans="4:4" x14ac:dyDescent="0.3">
      <c r="D4384" t="str">
        <f t="shared" si="99"/>
        <v/>
      </c>
    </row>
    <row r="4385" spans="4:4" x14ac:dyDescent="0.3">
      <c r="D4385" t="str">
        <f t="shared" si="99"/>
        <v/>
      </c>
    </row>
    <row r="4386" spans="4:4" x14ac:dyDescent="0.3">
      <c r="D4386" t="str">
        <f t="shared" si="99"/>
        <v/>
      </c>
    </row>
    <row r="4387" spans="4:4" x14ac:dyDescent="0.3">
      <c r="D4387" t="str">
        <f t="shared" si="99"/>
        <v/>
      </c>
    </row>
    <row r="4388" spans="4:4" x14ac:dyDescent="0.3">
      <c r="D4388" t="str">
        <f t="shared" si="99"/>
        <v/>
      </c>
    </row>
    <row r="4389" spans="4:4" x14ac:dyDescent="0.3">
      <c r="D4389" t="str">
        <f t="shared" si="99"/>
        <v/>
      </c>
    </row>
    <row r="4390" spans="4:4" x14ac:dyDescent="0.3">
      <c r="D4390" t="str">
        <f t="shared" si="99"/>
        <v/>
      </c>
    </row>
    <row r="4391" spans="4:4" x14ac:dyDescent="0.3">
      <c r="D4391" t="str">
        <f t="shared" si="99"/>
        <v/>
      </c>
    </row>
    <row r="4392" spans="4:4" x14ac:dyDescent="0.3">
      <c r="D4392" t="str">
        <f t="shared" si="99"/>
        <v/>
      </c>
    </row>
    <row r="4393" spans="4:4" x14ac:dyDescent="0.3">
      <c r="D4393" t="str">
        <f t="shared" si="99"/>
        <v/>
      </c>
    </row>
    <row r="4394" spans="4:4" x14ac:dyDescent="0.3">
      <c r="D4394" t="str">
        <f t="shared" si="99"/>
        <v/>
      </c>
    </row>
    <row r="4395" spans="4:4" x14ac:dyDescent="0.3">
      <c r="D4395" t="str">
        <f t="shared" si="99"/>
        <v/>
      </c>
    </row>
    <row r="4396" spans="4:4" x14ac:dyDescent="0.3">
      <c r="D4396" t="str">
        <f t="shared" si="99"/>
        <v/>
      </c>
    </row>
    <row r="4397" spans="4:4" x14ac:dyDescent="0.3">
      <c r="D4397" t="str">
        <f t="shared" si="99"/>
        <v/>
      </c>
    </row>
    <row r="4398" spans="4:4" x14ac:dyDescent="0.3">
      <c r="D4398" t="str">
        <f t="shared" si="99"/>
        <v/>
      </c>
    </row>
    <row r="4399" spans="4:4" x14ac:dyDescent="0.3">
      <c r="D4399" t="str">
        <f t="shared" si="99"/>
        <v/>
      </c>
    </row>
    <row r="4400" spans="4:4" x14ac:dyDescent="0.3">
      <c r="D4400" t="str">
        <f t="shared" si="99"/>
        <v/>
      </c>
    </row>
    <row r="4401" spans="4:4" x14ac:dyDescent="0.3">
      <c r="D4401" t="str">
        <f t="shared" si="99"/>
        <v/>
      </c>
    </row>
    <row r="4402" spans="4:4" x14ac:dyDescent="0.3">
      <c r="D4402" t="str">
        <f t="shared" si="99"/>
        <v/>
      </c>
    </row>
    <row r="4403" spans="4:4" x14ac:dyDescent="0.3">
      <c r="D4403" t="str">
        <f t="shared" si="99"/>
        <v/>
      </c>
    </row>
    <row r="4404" spans="4:4" x14ac:dyDescent="0.3">
      <c r="D4404" t="str">
        <f t="shared" si="99"/>
        <v/>
      </c>
    </row>
    <row r="4405" spans="4:4" x14ac:dyDescent="0.3">
      <c r="D4405" t="str">
        <f t="shared" si="99"/>
        <v/>
      </c>
    </row>
    <row r="4406" spans="4:4" x14ac:dyDescent="0.3">
      <c r="D4406" t="str">
        <f t="shared" si="99"/>
        <v/>
      </c>
    </row>
    <row r="4407" spans="4:4" x14ac:dyDescent="0.3">
      <c r="D4407" t="str">
        <f t="shared" si="99"/>
        <v/>
      </c>
    </row>
    <row r="4408" spans="4:4" x14ac:dyDescent="0.3">
      <c r="D4408" t="str">
        <f t="shared" si="99"/>
        <v/>
      </c>
    </row>
    <row r="4409" spans="4:4" x14ac:dyDescent="0.3">
      <c r="D4409" t="str">
        <f t="shared" si="99"/>
        <v/>
      </c>
    </row>
    <row r="4410" spans="4:4" x14ac:dyDescent="0.3">
      <c r="D4410" t="str">
        <f t="shared" ref="D4410:D4473" si="100">IF(LEFT(A4410,2)="SP",MID(A4410,4,4),IF(LEFT(A4410,1)="X",MID(A4410,3,4),""))</f>
        <v/>
      </c>
    </row>
    <row r="4411" spans="4:4" x14ac:dyDescent="0.3">
      <c r="D4411" t="str">
        <f t="shared" si="100"/>
        <v/>
      </c>
    </row>
    <row r="4412" spans="4:4" x14ac:dyDescent="0.3">
      <c r="D4412" t="str">
        <f t="shared" si="100"/>
        <v/>
      </c>
    </row>
    <row r="4413" spans="4:4" x14ac:dyDescent="0.3">
      <c r="D4413" t="str">
        <f t="shared" si="100"/>
        <v/>
      </c>
    </row>
    <row r="4414" spans="4:4" x14ac:dyDescent="0.3">
      <c r="D4414" t="str">
        <f t="shared" si="100"/>
        <v/>
      </c>
    </row>
    <row r="4415" spans="4:4" x14ac:dyDescent="0.3">
      <c r="D4415" t="str">
        <f t="shared" si="100"/>
        <v/>
      </c>
    </row>
    <row r="4416" spans="4:4" x14ac:dyDescent="0.3">
      <c r="D4416" t="str">
        <f t="shared" si="100"/>
        <v/>
      </c>
    </row>
    <row r="4417" spans="4:4" x14ac:dyDescent="0.3">
      <c r="D4417" t="str">
        <f t="shared" si="100"/>
        <v/>
      </c>
    </row>
    <row r="4418" spans="4:4" x14ac:dyDescent="0.3">
      <c r="D4418" t="str">
        <f t="shared" si="100"/>
        <v/>
      </c>
    </row>
    <row r="4419" spans="4:4" x14ac:dyDescent="0.3">
      <c r="D4419" t="str">
        <f t="shared" si="100"/>
        <v/>
      </c>
    </row>
    <row r="4420" spans="4:4" x14ac:dyDescent="0.3">
      <c r="D4420" t="str">
        <f t="shared" si="100"/>
        <v/>
      </c>
    </row>
    <row r="4421" spans="4:4" x14ac:dyDescent="0.3">
      <c r="D4421" t="str">
        <f t="shared" si="100"/>
        <v/>
      </c>
    </row>
    <row r="4422" spans="4:4" x14ac:dyDescent="0.3">
      <c r="D4422" t="str">
        <f t="shared" si="100"/>
        <v/>
      </c>
    </row>
    <row r="4423" spans="4:4" x14ac:dyDescent="0.3">
      <c r="D4423" t="str">
        <f t="shared" si="100"/>
        <v/>
      </c>
    </row>
    <row r="4424" spans="4:4" x14ac:dyDescent="0.3">
      <c r="D4424" t="str">
        <f t="shared" si="100"/>
        <v/>
      </c>
    </row>
    <row r="4425" spans="4:4" x14ac:dyDescent="0.3">
      <c r="D4425" t="str">
        <f t="shared" si="100"/>
        <v/>
      </c>
    </row>
    <row r="4426" spans="4:4" x14ac:dyDescent="0.3">
      <c r="D4426" t="str">
        <f t="shared" si="100"/>
        <v/>
      </c>
    </row>
    <row r="4427" spans="4:4" x14ac:dyDescent="0.3">
      <c r="D4427" t="str">
        <f t="shared" si="100"/>
        <v/>
      </c>
    </row>
    <row r="4428" spans="4:4" x14ac:dyDescent="0.3">
      <c r="D4428" t="str">
        <f t="shared" si="100"/>
        <v/>
      </c>
    </row>
    <row r="4429" spans="4:4" x14ac:dyDescent="0.3">
      <c r="D4429" t="str">
        <f t="shared" si="100"/>
        <v/>
      </c>
    </row>
    <row r="4430" spans="4:4" x14ac:dyDescent="0.3">
      <c r="D4430" t="str">
        <f t="shared" si="100"/>
        <v/>
      </c>
    </row>
    <row r="4431" spans="4:4" x14ac:dyDescent="0.3">
      <c r="D4431" t="str">
        <f t="shared" si="100"/>
        <v/>
      </c>
    </row>
    <row r="4432" spans="4:4" x14ac:dyDescent="0.3">
      <c r="D4432" t="str">
        <f t="shared" si="100"/>
        <v/>
      </c>
    </row>
    <row r="4433" spans="4:4" x14ac:dyDescent="0.3">
      <c r="D4433" t="str">
        <f t="shared" si="100"/>
        <v/>
      </c>
    </row>
    <row r="4434" spans="4:4" x14ac:dyDescent="0.3">
      <c r="D4434" t="str">
        <f t="shared" si="100"/>
        <v/>
      </c>
    </row>
    <row r="4435" spans="4:4" x14ac:dyDescent="0.3">
      <c r="D4435" t="str">
        <f t="shared" si="100"/>
        <v/>
      </c>
    </row>
    <row r="4436" spans="4:4" x14ac:dyDescent="0.3">
      <c r="D4436" t="str">
        <f t="shared" si="100"/>
        <v/>
      </c>
    </row>
    <row r="4437" spans="4:4" x14ac:dyDescent="0.3">
      <c r="D4437" t="str">
        <f t="shared" si="100"/>
        <v/>
      </c>
    </row>
    <row r="4438" spans="4:4" x14ac:dyDescent="0.3">
      <c r="D4438" t="str">
        <f t="shared" si="100"/>
        <v/>
      </c>
    </row>
    <row r="4439" spans="4:4" x14ac:dyDescent="0.3">
      <c r="D4439" t="str">
        <f t="shared" si="100"/>
        <v/>
      </c>
    </row>
    <row r="4440" spans="4:4" x14ac:dyDescent="0.3">
      <c r="D4440" t="str">
        <f t="shared" si="100"/>
        <v/>
      </c>
    </row>
    <row r="4441" spans="4:4" x14ac:dyDescent="0.3">
      <c r="D4441" t="str">
        <f t="shared" si="100"/>
        <v/>
      </c>
    </row>
    <row r="4442" spans="4:4" x14ac:dyDescent="0.3">
      <c r="D4442" t="str">
        <f t="shared" si="100"/>
        <v/>
      </c>
    </row>
    <row r="4443" spans="4:4" x14ac:dyDescent="0.3">
      <c r="D4443" t="str">
        <f t="shared" si="100"/>
        <v/>
      </c>
    </row>
    <row r="4444" spans="4:4" x14ac:dyDescent="0.3">
      <c r="D4444" t="str">
        <f t="shared" si="100"/>
        <v/>
      </c>
    </row>
    <row r="4445" spans="4:4" x14ac:dyDescent="0.3">
      <c r="D4445" t="str">
        <f t="shared" si="100"/>
        <v/>
      </c>
    </row>
    <row r="4446" spans="4:4" x14ac:dyDescent="0.3">
      <c r="D4446" t="str">
        <f t="shared" si="100"/>
        <v/>
      </c>
    </row>
    <row r="4447" spans="4:4" x14ac:dyDescent="0.3">
      <c r="D4447" t="str">
        <f t="shared" si="100"/>
        <v/>
      </c>
    </row>
    <row r="4448" spans="4:4" x14ac:dyDescent="0.3">
      <c r="D4448" t="str">
        <f t="shared" si="100"/>
        <v/>
      </c>
    </row>
    <row r="4449" spans="4:4" x14ac:dyDescent="0.3">
      <c r="D4449" t="str">
        <f t="shared" si="100"/>
        <v/>
      </c>
    </row>
    <row r="4450" spans="4:4" x14ac:dyDescent="0.3">
      <c r="D4450" t="str">
        <f t="shared" si="100"/>
        <v/>
      </c>
    </row>
    <row r="4451" spans="4:4" x14ac:dyDescent="0.3">
      <c r="D4451" t="str">
        <f t="shared" si="100"/>
        <v/>
      </c>
    </row>
    <row r="4452" spans="4:4" x14ac:dyDescent="0.3">
      <c r="D4452" t="str">
        <f t="shared" si="100"/>
        <v/>
      </c>
    </row>
    <row r="4453" spans="4:4" x14ac:dyDescent="0.3">
      <c r="D4453" t="str">
        <f t="shared" si="100"/>
        <v/>
      </c>
    </row>
    <row r="4454" spans="4:4" x14ac:dyDescent="0.3">
      <c r="D4454" t="str">
        <f t="shared" si="100"/>
        <v/>
      </c>
    </row>
    <row r="4455" spans="4:4" x14ac:dyDescent="0.3">
      <c r="D4455" t="str">
        <f t="shared" si="100"/>
        <v/>
      </c>
    </row>
    <row r="4456" spans="4:4" x14ac:dyDescent="0.3">
      <c r="D4456" t="str">
        <f t="shared" si="100"/>
        <v/>
      </c>
    </row>
    <row r="4457" spans="4:4" x14ac:dyDescent="0.3">
      <c r="D4457" t="str">
        <f t="shared" si="100"/>
        <v/>
      </c>
    </row>
    <row r="4458" spans="4:4" x14ac:dyDescent="0.3">
      <c r="D4458" t="str">
        <f t="shared" si="100"/>
        <v/>
      </c>
    </row>
    <row r="4459" spans="4:4" x14ac:dyDescent="0.3">
      <c r="D4459" t="str">
        <f t="shared" si="100"/>
        <v/>
      </c>
    </row>
    <row r="4460" spans="4:4" x14ac:dyDescent="0.3">
      <c r="D4460" t="str">
        <f t="shared" si="100"/>
        <v/>
      </c>
    </row>
    <row r="4461" spans="4:4" x14ac:dyDescent="0.3">
      <c r="D4461" t="str">
        <f t="shared" si="100"/>
        <v/>
      </c>
    </row>
    <row r="4462" spans="4:4" x14ac:dyDescent="0.3">
      <c r="D4462" t="str">
        <f t="shared" si="100"/>
        <v/>
      </c>
    </row>
    <row r="4463" spans="4:4" x14ac:dyDescent="0.3">
      <c r="D4463" t="str">
        <f t="shared" si="100"/>
        <v/>
      </c>
    </row>
    <row r="4464" spans="4:4" x14ac:dyDescent="0.3">
      <c r="D4464" t="str">
        <f t="shared" si="100"/>
        <v/>
      </c>
    </row>
    <row r="4465" spans="4:4" x14ac:dyDescent="0.3">
      <c r="D4465" t="str">
        <f t="shared" si="100"/>
        <v/>
      </c>
    </row>
    <row r="4466" spans="4:4" x14ac:dyDescent="0.3">
      <c r="D4466" t="str">
        <f t="shared" si="100"/>
        <v/>
      </c>
    </row>
    <row r="4467" spans="4:4" x14ac:dyDescent="0.3">
      <c r="D4467" t="str">
        <f t="shared" si="100"/>
        <v/>
      </c>
    </row>
    <row r="4468" spans="4:4" x14ac:dyDescent="0.3">
      <c r="D4468" t="str">
        <f t="shared" si="100"/>
        <v/>
      </c>
    </row>
    <row r="4469" spans="4:4" x14ac:dyDescent="0.3">
      <c r="D4469" t="str">
        <f t="shared" si="100"/>
        <v/>
      </c>
    </row>
    <row r="4470" spans="4:4" x14ac:dyDescent="0.3">
      <c r="D4470" t="str">
        <f t="shared" si="100"/>
        <v/>
      </c>
    </row>
    <row r="4471" spans="4:4" x14ac:dyDescent="0.3">
      <c r="D4471" t="str">
        <f t="shared" si="100"/>
        <v/>
      </c>
    </row>
    <row r="4472" spans="4:4" x14ac:dyDescent="0.3">
      <c r="D4472" t="str">
        <f t="shared" si="100"/>
        <v/>
      </c>
    </row>
    <row r="4473" spans="4:4" x14ac:dyDescent="0.3">
      <c r="D4473" t="str">
        <f t="shared" si="100"/>
        <v/>
      </c>
    </row>
    <row r="4474" spans="4:4" x14ac:dyDescent="0.3">
      <c r="D4474" t="str">
        <f t="shared" ref="D4474:D4537" si="101">IF(LEFT(A4474,2)="SP",MID(A4474,4,4),IF(LEFT(A4474,1)="X",MID(A4474,3,4),""))</f>
        <v/>
      </c>
    </row>
    <row r="4475" spans="4:4" x14ac:dyDescent="0.3">
      <c r="D4475" t="str">
        <f t="shared" si="101"/>
        <v/>
      </c>
    </row>
    <row r="4476" spans="4:4" x14ac:dyDescent="0.3">
      <c r="D4476" t="str">
        <f t="shared" si="101"/>
        <v/>
      </c>
    </row>
    <row r="4477" spans="4:4" x14ac:dyDescent="0.3">
      <c r="D4477" t="str">
        <f t="shared" si="101"/>
        <v/>
      </c>
    </row>
    <row r="4478" spans="4:4" x14ac:dyDescent="0.3">
      <c r="D4478" t="str">
        <f t="shared" si="101"/>
        <v/>
      </c>
    </row>
    <row r="4479" spans="4:4" x14ac:dyDescent="0.3">
      <c r="D4479" t="str">
        <f t="shared" si="101"/>
        <v/>
      </c>
    </row>
    <row r="4480" spans="4:4" x14ac:dyDescent="0.3">
      <c r="D4480" t="str">
        <f t="shared" si="101"/>
        <v/>
      </c>
    </row>
    <row r="4481" spans="4:4" x14ac:dyDescent="0.3">
      <c r="D4481" t="str">
        <f t="shared" si="101"/>
        <v/>
      </c>
    </row>
    <row r="4482" spans="4:4" x14ac:dyDescent="0.3">
      <c r="D4482" t="str">
        <f t="shared" si="101"/>
        <v/>
      </c>
    </row>
    <row r="4483" spans="4:4" x14ac:dyDescent="0.3">
      <c r="D4483" t="str">
        <f t="shared" si="101"/>
        <v/>
      </c>
    </row>
    <row r="4484" spans="4:4" x14ac:dyDescent="0.3">
      <c r="D4484" t="str">
        <f t="shared" si="101"/>
        <v/>
      </c>
    </row>
    <row r="4485" spans="4:4" x14ac:dyDescent="0.3">
      <c r="D4485" t="str">
        <f t="shared" si="101"/>
        <v/>
      </c>
    </row>
    <row r="4486" spans="4:4" x14ac:dyDescent="0.3">
      <c r="D4486" t="str">
        <f t="shared" si="101"/>
        <v/>
      </c>
    </row>
    <row r="4487" spans="4:4" x14ac:dyDescent="0.3">
      <c r="D4487" t="str">
        <f t="shared" si="101"/>
        <v/>
      </c>
    </row>
    <row r="4488" spans="4:4" x14ac:dyDescent="0.3">
      <c r="D4488" t="str">
        <f t="shared" si="101"/>
        <v/>
      </c>
    </row>
    <row r="4489" spans="4:4" x14ac:dyDescent="0.3">
      <c r="D4489" t="str">
        <f t="shared" si="101"/>
        <v/>
      </c>
    </row>
    <row r="4490" spans="4:4" x14ac:dyDescent="0.3">
      <c r="D4490" t="str">
        <f t="shared" si="101"/>
        <v/>
      </c>
    </row>
    <row r="4491" spans="4:4" x14ac:dyDescent="0.3">
      <c r="D4491" t="str">
        <f t="shared" si="101"/>
        <v/>
      </c>
    </row>
    <row r="4492" spans="4:4" x14ac:dyDescent="0.3">
      <c r="D4492" t="str">
        <f t="shared" si="101"/>
        <v/>
      </c>
    </row>
    <row r="4493" spans="4:4" x14ac:dyDescent="0.3">
      <c r="D4493" t="str">
        <f t="shared" si="101"/>
        <v/>
      </c>
    </row>
    <row r="4494" spans="4:4" x14ac:dyDescent="0.3">
      <c r="D4494" t="str">
        <f t="shared" si="101"/>
        <v/>
      </c>
    </row>
    <row r="4495" spans="4:4" x14ac:dyDescent="0.3">
      <c r="D4495" t="str">
        <f t="shared" si="101"/>
        <v/>
      </c>
    </row>
    <row r="4496" spans="4:4" x14ac:dyDescent="0.3">
      <c r="D4496" t="str">
        <f t="shared" si="101"/>
        <v/>
      </c>
    </row>
    <row r="4497" spans="4:4" x14ac:dyDescent="0.3">
      <c r="D4497" t="str">
        <f t="shared" si="101"/>
        <v/>
      </c>
    </row>
    <row r="4498" spans="4:4" x14ac:dyDescent="0.3">
      <c r="D4498" t="str">
        <f t="shared" si="101"/>
        <v/>
      </c>
    </row>
    <row r="4499" spans="4:4" x14ac:dyDescent="0.3">
      <c r="D4499" t="str">
        <f t="shared" si="101"/>
        <v/>
      </c>
    </row>
    <row r="4500" spans="4:4" x14ac:dyDescent="0.3">
      <c r="D4500" t="str">
        <f t="shared" si="101"/>
        <v/>
      </c>
    </row>
    <row r="4501" spans="4:4" x14ac:dyDescent="0.3">
      <c r="D4501" t="str">
        <f t="shared" si="101"/>
        <v/>
      </c>
    </row>
    <row r="4502" spans="4:4" x14ac:dyDescent="0.3">
      <c r="D4502" t="str">
        <f t="shared" si="101"/>
        <v/>
      </c>
    </row>
    <row r="4503" spans="4:4" x14ac:dyDescent="0.3">
      <c r="D4503" t="str">
        <f t="shared" si="101"/>
        <v/>
      </c>
    </row>
    <row r="4504" spans="4:4" x14ac:dyDescent="0.3">
      <c r="D4504" t="str">
        <f t="shared" si="101"/>
        <v/>
      </c>
    </row>
    <row r="4505" spans="4:4" x14ac:dyDescent="0.3">
      <c r="D4505" t="str">
        <f t="shared" si="101"/>
        <v/>
      </c>
    </row>
    <row r="4506" spans="4:4" x14ac:dyDescent="0.3">
      <c r="D4506" t="str">
        <f t="shared" si="101"/>
        <v/>
      </c>
    </row>
    <row r="4507" spans="4:4" x14ac:dyDescent="0.3">
      <c r="D4507" t="str">
        <f t="shared" si="101"/>
        <v/>
      </c>
    </row>
    <row r="4508" spans="4:4" x14ac:dyDescent="0.3">
      <c r="D4508" t="str">
        <f t="shared" si="101"/>
        <v/>
      </c>
    </row>
    <row r="4509" spans="4:4" x14ac:dyDescent="0.3">
      <c r="D4509" t="str">
        <f t="shared" si="101"/>
        <v/>
      </c>
    </row>
    <row r="4510" spans="4:4" x14ac:dyDescent="0.3">
      <c r="D4510" t="str">
        <f t="shared" si="101"/>
        <v/>
      </c>
    </row>
    <row r="4511" spans="4:4" x14ac:dyDescent="0.3">
      <c r="D4511" t="str">
        <f t="shared" si="101"/>
        <v/>
      </c>
    </row>
    <row r="4512" spans="4:4" x14ac:dyDescent="0.3">
      <c r="D4512" t="str">
        <f t="shared" si="101"/>
        <v/>
      </c>
    </row>
    <row r="4513" spans="4:4" x14ac:dyDescent="0.3">
      <c r="D4513" t="str">
        <f t="shared" si="101"/>
        <v/>
      </c>
    </row>
    <row r="4514" spans="4:4" x14ac:dyDescent="0.3">
      <c r="D4514" t="str">
        <f t="shared" si="101"/>
        <v/>
      </c>
    </row>
    <row r="4515" spans="4:4" x14ac:dyDescent="0.3">
      <c r="D4515" t="str">
        <f t="shared" si="101"/>
        <v/>
      </c>
    </row>
    <row r="4516" spans="4:4" x14ac:dyDescent="0.3">
      <c r="D4516" t="str">
        <f t="shared" si="101"/>
        <v/>
      </c>
    </row>
    <row r="4517" spans="4:4" x14ac:dyDescent="0.3">
      <c r="D4517" t="str">
        <f t="shared" si="101"/>
        <v/>
      </c>
    </row>
    <row r="4518" spans="4:4" x14ac:dyDescent="0.3">
      <c r="D4518" t="str">
        <f t="shared" si="101"/>
        <v/>
      </c>
    </row>
    <row r="4519" spans="4:4" x14ac:dyDescent="0.3">
      <c r="D4519" t="str">
        <f t="shared" si="101"/>
        <v/>
      </c>
    </row>
    <row r="4520" spans="4:4" x14ac:dyDescent="0.3">
      <c r="D4520" t="str">
        <f t="shared" si="101"/>
        <v/>
      </c>
    </row>
    <row r="4521" spans="4:4" x14ac:dyDescent="0.3">
      <c r="D4521" t="str">
        <f t="shared" si="101"/>
        <v/>
      </c>
    </row>
    <row r="4522" spans="4:4" x14ac:dyDescent="0.3">
      <c r="D4522" t="str">
        <f t="shared" si="101"/>
        <v/>
      </c>
    </row>
    <row r="4523" spans="4:4" x14ac:dyDescent="0.3">
      <c r="D4523" t="str">
        <f t="shared" si="101"/>
        <v/>
      </c>
    </row>
    <row r="4524" spans="4:4" x14ac:dyDescent="0.3">
      <c r="D4524" t="str">
        <f t="shared" si="101"/>
        <v/>
      </c>
    </row>
    <row r="4525" spans="4:4" x14ac:dyDescent="0.3">
      <c r="D4525" t="str">
        <f t="shared" si="101"/>
        <v/>
      </c>
    </row>
    <row r="4526" spans="4:4" x14ac:dyDescent="0.3">
      <c r="D4526" t="str">
        <f t="shared" si="101"/>
        <v/>
      </c>
    </row>
    <row r="4527" spans="4:4" x14ac:dyDescent="0.3">
      <c r="D4527" t="str">
        <f t="shared" si="101"/>
        <v/>
      </c>
    </row>
    <row r="4528" spans="4:4" x14ac:dyDescent="0.3">
      <c r="D4528" t="str">
        <f t="shared" si="101"/>
        <v/>
      </c>
    </row>
    <row r="4529" spans="4:4" x14ac:dyDescent="0.3">
      <c r="D4529" t="str">
        <f t="shared" si="101"/>
        <v/>
      </c>
    </row>
    <row r="4530" spans="4:4" x14ac:dyDescent="0.3">
      <c r="D4530" t="str">
        <f t="shared" si="101"/>
        <v/>
      </c>
    </row>
    <row r="4531" spans="4:4" x14ac:dyDescent="0.3">
      <c r="D4531" t="str">
        <f t="shared" si="101"/>
        <v/>
      </c>
    </row>
    <row r="4532" spans="4:4" x14ac:dyDescent="0.3">
      <c r="D4532" t="str">
        <f t="shared" si="101"/>
        <v/>
      </c>
    </row>
    <row r="4533" spans="4:4" x14ac:dyDescent="0.3">
      <c r="D4533" t="str">
        <f t="shared" si="101"/>
        <v/>
      </c>
    </row>
    <row r="4534" spans="4:4" x14ac:dyDescent="0.3">
      <c r="D4534" t="str">
        <f t="shared" si="101"/>
        <v/>
      </c>
    </row>
    <row r="4535" spans="4:4" x14ac:dyDescent="0.3">
      <c r="D4535" t="str">
        <f t="shared" si="101"/>
        <v/>
      </c>
    </row>
    <row r="4536" spans="4:4" x14ac:dyDescent="0.3">
      <c r="D4536" t="str">
        <f t="shared" si="101"/>
        <v/>
      </c>
    </row>
    <row r="4537" spans="4:4" x14ac:dyDescent="0.3">
      <c r="D4537" t="str">
        <f t="shared" si="101"/>
        <v/>
      </c>
    </row>
    <row r="4538" spans="4:4" x14ac:dyDescent="0.3">
      <c r="D4538" t="str">
        <f t="shared" ref="D4538:D4601" si="102">IF(LEFT(A4538,2)="SP",MID(A4538,4,4),IF(LEFT(A4538,1)="X",MID(A4538,3,4),""))</f>
        <v/>
      </c>
    </row>
    <row r="4539" spans="4:4" x14ac:dyDescent="0.3">
      <c r="D4539" t="str">
        <f t="shared" si="102"/>
        <v/>
      </c>
    </row>
    <row r="4540" spans="4:4" x14ac:dyDescent="0.3">
      <c r="D4540" t="str">
        <f t="shared" si="102"/>
        <v/>
      </c>
    </row>
    <row r="4541" spans="4:4" x14ac:dyDescent="0.3">
      <c r="D4541" t="str">
        <f t="shared" si="102"/>
        <v/>
      </c>
    </row>
    <row r="4542" spans="4:4" x14ac:dyDescent="0.3">
      <c r="D4542" t="str">
        <f t="shared" si="102"/>
        <v/>
      </c>
    </row>
    <row r="4543" spans="4:4" x14ac:dyDescent="0.3">
      <c r="D4543" t="str">
        <f t="shared" si="102"/>
        <v/>
      </c>
    </row>
    <row r="4544" spans="4:4" x14ac:dyDescent="0.3">
      <c r="D4544" t="str">
        <f t="shared" si="102"/>
        <v/>
      </c>
    </row>
    <row r="4545" spans="4:4" x14ac:dyDescent="0.3">
      <c r="D4545" t="str">
        <f t="shared" si="102"/>
        <v/>
      </c>
    </row>
    <row r="4546" spans="4:4" x14ac:dyDescent="0.3">
      <c r="D4546" t="str">
        <f t="shared" si="102"/>
        <v/>
      </c>
    </row>
    <row r="4547" spans="4:4" x14ac:dyDescent="0.3">
      <c r="D4547" t="str">
        <f t="shared" si="102"/>
        <v/>
      </c>
    </row>
    <row r="4548" spans="4:4" x14ac:dyDescent="0.3">
      <c r="D4548" t="str">
        <f t="shared" si="102"/>
        <v/>
      </c>
    </row>
    <row r="4549" spans="4:4" x14ac:dyDescent="0.3">
      <c r="D4549" t="str">
        <f t="shared" si="102"/>
        <v/>
      </c>
    </row>
    <row r="4550" spans="4:4" x14ac:dyDescent="0.3">
      <c r="D4550" t="str">
        <f t="shared" si="102"/>
        <v/>
      </c>
    </row>
    <row r="4551" spans="4:4" x14ac:dyDescent="0.3">
      <c r="D4551" t="str">
        <f t="shared" si="102"/>
        <v/>
      </c>
    </row>
    <row r="4552" spans="4:4" x14ac:dyDescent="0.3">
      <c r="D4552" t="str">
        <f t="shared" si="102"/>
        <v/>
      </c>
    </row>
    <row r="4553" spans="4:4" x14ac:dyDescent="0.3">
      <c r="D4553" t="str">
        <f t="shared" si="102"/>
        <v/>
      </c>
    </row>
    <row r="4554" spans="4:4" x14ac:dyDescent="0.3">
      <c r="D4554" t="str">
        <f t="shared" si="102"/>
        <v/>
      </c>
    </row>
    <row r="4555" spans="4:4" x14ac:dyDescent="0.3">
      <c r="D4555" t="str">
        <f t="shared" si="102"/>
        <v/>
      </c>
    </row>
    <row r="4556" spans="4:4" x14ac:dyDescent="0.3">
      <c r="D4556" t="str">
        <f t="shared" si="102"/>
        <v/>
      </c>
    </row>
    <row r="4557" spans="4:4" x14ac:dyDescent="0.3">
      <c r="D4557" t="str">
        <f t="shared" si="102"/>
        <v/>
      </c>
    </row>
    <row r="4558" spans="4:4" x14ac:dyDescent="0.3">
      <c r="D4558" t="str">
        <f t="shared" si="102"/>
        <v/>
      </c>
    </row>
    <row r="4559" spans="4:4" x14ac:dyDescent="0.3">
      <c r="D4559" t="str">
        <f t="shared" si="102"/>
        <v/>
      </c>
    </row>
    <row r="4560" spans="4:4" x14ac:dyDescent="0.3">
      <c r="D4560" t="str">
        <f t="shared" si="102"/>
        <v/>
      </c>
    </row>
    <row r="4561" spans="4:4" x14ac:dyDescent="0.3">
      <c r="D4561" t="str">
        <f t="shared" si="102"/>
        <v/>
      </c>
    </row>
    <row r="4562" spans="4:4" x14ac:dyDescent="0.3">
      <c r="D4562" t="str">
        <f t="shared" si="102"/>
        <v/>
      </c>
    </row>
    <row r="4563" spans="4:4" x14ac:dyDescent="0.3">
      <c r="D4563" t="str">
        <f t="shared" si="102"/>
        <v/>
      </c>
    </row>
    <row r="4564" spans="4:4" x14ac:dyDescent="0.3">
      <c r="D4564" t="str">
        <f t="shared" si="102"/>
        <v/>
      </c>
    </row>
    <row r="4565" spans="4:4" x14ac:dyDescent="0.3">
      <c r="D4565" t="str">
        <f t="shared" si="102"/>
        <v/>
      </c>
    </row>
    <row r="4566" spans="4:4" x14ac:dyDescent="0.3">
      <c r="D4566" t="str">
        <f t="shared" si="102"/>
        <v/>
      </c>
    </row>
    <row r="4567" spans="4:4" x14ac:dyDescent="0.3">
      <c r="D4567" t="str">
        <f t="shared" si="102"/>
        <v/>
      </c>
    </row>
    <row r="4568" spans="4:4" x14ac:dyDescent="0.3">
      <c r="D4568" t="str">
        <f t="shared" si="102"/>
        <v/>
      </c>
    </row>
    <row r="4569" spans="4:4" x14ac:dyDescent="0.3">
      <c r="D4569" t="str">
        <f t="shared" si="102"/>
        <v/>
      </c>
    </row>
    <row r="4570" spans="4:4" x14ac:dyDescent="0.3">
      <c r="D4570" t="str">
        <f t="shared" si="102"/>
        <v/>
      </c>
    </row>
    <row r="4571" spans="4:4" x14ac:dyDescent="0.3">
      <c r="D4571" t="str">
        <f t="shared" si="102"/>
        <v/>
      </c>
    </row>
    <row r="4572" spans="4:4" x14ac:dyDescent="0.3">
      <c r="D4572" t="str">
        <f t="shared" si="102"/>
        <v/>
      </c>
    </row>
    <row r="4573" spans="4:4" x14ac:dyDescent="0.3">
      <c r="D4573" t="str">
        <f t="shared" si="102"/>
        <v/>
      </c>
    </row>
    <row r="4574" spans="4:4" x14ac:dyDescent="0.3">
      <c r="D4574" t="str">
        <f t="shared" si="102"/>
        <v/>
      </c>
    </row>
    <row r="4575" spans="4:4" x14ac:dyDescent="0.3">
      <c r="D4575" t="str">
        <f t="shared" si="102"/>
        <v/>
      </c>
    </row>
    <row r="4576" spans="4:4" x14ac:dyDescent="0.3">
      <c r="D4576" t="str">
        <f t="shared" si="102"/>
        <v/>
      </c>
    </row>
    <row r="4577" spans="4:4" x14ac:dyDescent="0.3">
      <c r="D4577" t="str">
        <f t="shared" si="102"/>
        <v/>
      </c>
    </row>
    <row r="4578" spans="4:4" x14ac:dyDescent="0.3">
      <c r="D4578" t="str">
        <f t="shared" si="102"/>
        <v/>
      </c>
    </row>
    <row r="4579" spans="4:4" x14ac:dyDescent="0.3">
      <c r="D4579" t="str">
        <f t="shared" si="102"/>
        <v/>
      </c>
    </row>
    <row r="4580" spans="4:4" x14ac:dyDescent="0.3">
      <c r="D4580" t="str">
        <f t="shared" si="102"/>
        <v/>
      </c>
    </row>
    <row r="4581" spans="4:4" x14ac:dyDescent="0.3">
      <c r="D4581" t="str">
        <f t="shared" si="102"/>
        <v/>
      </c>
    </row>
    <row r="4582" spans="4:4" x14ac:dyDescent="0.3">
      <c r="D4582" t="str">
        <f t="shared" si="102"/>
        <v/>
      </c>
    </row>
    <row r="4583" spans="4:4" x14ac:dyDescent="0.3">
      <c r="D4583" t="str">
        <f t="shared" si="102"/>
        <v/>
      </c>
    </row>
    <row r="4584" spans="4:4" x14ac:dyDescent="0.3">
      <c r="D4584" t="str">
        <f t="shared" si="102"/>
        <v/>
      </c>
    </row>
    <row r="4585" spans="4:4" x14ac:dyDescent="0.3">
      <c r="D4585" t="str">
        <f t="shared" si="102"/>
        <v/>
      </c>
    </row>
    <row r="4586" spans="4:4" x14ac:dyDescent="0.3">
      <c r="D4586" t="str">
        <f t="shared" si="102"/>
        <v/>
      </c>
    </row>
    <row r="4587" spans="4:4" x14ac:dyDescent="0.3">
      <c r="D4587" t="str">
        <f t="shared" si="102"/>
        <v/>
      </c>
    </row>
    <row r="4588" spans="4:4" x14ac:dyDescent="0.3">
      <c r="D4588" t="str">
        <f t="shared" si="102"/>
        <v/>
      </c>
    </row>
    <row r="4589" spans="4:4" x14ac:dyDescent="0.3">
      <c r="D4589" t="str">
        <f t="shared" si="102"/>
        <v/>
      </c>
    </row>
    <row r="4590" spans="4:4" x14ac:dyDescent="0.3">
      <c r="D4590" t="str">
        <f t="shared" si="102"/>
        <v/>
      </c>
    </row>
    <row r="4591" spans="4:4" x14ac:dyDescent="0.3">
      <c r="D4591" t="str">
        <f t="shared" si="102"/>
        <v/>
      </c>
    </row>
    <row r="4592" spans="4:4" x14ac:dyDescent="0.3">
      <c r="D4592" t="str">
        <f t="shared" si="102"/>
        <v/>
      </c>
    </row>
    <row r="4593" spans="4:4" x14ac:dyDescent="0.3">
      <c r="D4593" t="str">
        <f t="shared" si="102"/>
        <v/>
      </c>
    </row>
    <row r="4594" spans="4:4" x14ac:dyDescent="0.3">
      <c r="D4594" t="str">
        <f t="shared" si="102"/>
        <v/>
      </c>
    </row>
    <row r="4595" spans="4:4" x14ac:dyDescent="0.3">
      <c r="D4595" t="str">
        <f t="shared" si="102"/>
        <v/>
      </c>
    </row>
    <row r="4596" spans="4:4" x14ac:dyDescent="0.3">
      <c r="D4596" t="str">
        <f t="shared" si="102"/>
        <v/>
      </c>
    </row>
    <row r="4597" spans="4:4" x14ac:dyDescent="0.3">
      <c r="D4597" t="str">
        <f t="shared" si="102"/>
        <v/>
      </c>
    </row>
    <row r="4598" spans="4:4" x14ac:dyDescent="0.3">
      <c r="D4598" t="str">
        <f t="shared" si="102"/>
        <v/>
      </c>
    </row>
    <row r="4599" spans="4:4" x14ac:dyDescent="0.3">
      <c r="D4599" t="str">
        <f t="shared" si="102"/>
        <v/>
      </c>
    </row>
    <row r="4600" spans="4:4" x14ac:dyDescent="0.3">
      <c r="D4600" t="str">
        <f t="shared" si="102"/>
        <v/>
      </c>
    </row>
    <row r="4601" spans="4:4" x14ac:dyDescent="0.3">
      <c r="D4601" t="str">
        <f t="shared" si="102"/>
        <v/>
      </c>
    </row>
    <row r="4602" spans="4:4" x14ac:dyDescent="0.3">
      <c r="D4602" t="str">
        <f t="shared" ref="D4602:D4665" si="103">IF(LEFT(A4602,2)="SP",MID(A4602,4,4),IF(LEFT(A4602,1)="X",MID(A4602,3,4),""))</f>
        <v/>
      </c>
    </row>
    <row r="4603" spans="4:4" x14ac:dyDescent="0.3">
      <c r="D4603" t="str">
        <f t="shared" si="103"/>
        <v/>
      </c>
    </row>
    <row r="4604" spans="4:4" x14ac:dyDescent="0.3">
      <c r="D4604" t="str">
        <f t="shared" si="103"/>
        <v/>
      </c>
    </row>
    <row r="4605" spans="4:4" x14ac:dyDescent="0.3">
      <c r="D4605" t="str">
        <f t="shared" si="103"/>
        <v/>
      </c>
    </row>
    <row r="4606" spans="4:4" x14ac:dyDescent="0.3">
      <c r="D4606" t="str">
        <f t="shared" si="103"/>
        <v/>
      </c>
    </row>
    <row r="4607" spans="4:4" x14ac:dyDescent="0.3">
      <c r="D4607" t="str">
        <f t="shared" si="103"/>
        <v/>
      </c>
    </row>
    <row r="4608" spans="4:4" x14ac:dyDescent="0.3">
      <c r="D4608" t="str">
        <f t="shared" si="103"/>
        <v/>
      </c>
    </row>
    <row r="4609" spans="4:4" x14ac:dyDescent="0.3">
      <c r="D4609" t="str">
        <f t="shared" si="103"/>
        <v/>
      </c>
    </row>
    <row r="4610" spans="4:4" x14ac:dyDescent="0.3">
      <c r="D4610" t="str">
        <f t="shared" si="103"/>
        <v/>
      </c>
    </row>
    <row r="4611" spans="4:4" x14ac:dyDescent="0.3">
      <c r="D4611" t="str">
        <f t="shared" si="103"/>
        <v/>
      </c>
    </row>
    <row r="4612" spans="4:4" x14ac:dyDescent="0.3">
      <c r="D4612" t="str">
        <f t="shared" si="103"/>
        <v/>
      </c>
    </row>
    <row r="4613" spans="4:4" x14ac:dyDescent="0.3">
      <c r="D4613" t="str">
        <f t="shared" si="103"/>
        <v/>
      </c>
    </row>
    <row r="4614" spans="4:4" x14ac:dyDescent="0.3">
      <c r="D4614" t="str">
        <f t="shared" si="103"/>
        <v/>
      </c>
    </row>
    <row r="4615" spans="4:4" x14ac:dyDescent="0.3">
      <c r="D4615" t="str">
        <f t="shared" si="103"/>
        <v/>
      </c>
    </row>
    <row r="4616" spans="4:4" x14ac:dyDescent="0.3">
      <c r="D4616" t="str">
        <f t="shared" si="103"/>
        <v/>
      </c>
    </row>
    <row r="4617" spans="4:4" x14ac:dyDescent="0.3">
      <c r="D4617" t="str">
        <f t="shared" si="103"/>
        <v/>
      </c>
    </row>
    <row r="4618" spans="4:4" x14ac:dyDescent="0.3">
      <c r="D4618" t="str">
        <f t="shared" si="103"/>
        <v/>
      </c>
    </row>
    <row r="4619" spans="4:4" x14ac:dyDescent="0.3">
      <c r="D4619" t="str">
        <f t="shared" si="103"/>
        <v/>
      </c>
    </row>
    <row r="4620" spans="4:4" x14ac:dyDescent="0.3">
      <c r="D4620" t="str">
        <f t="shared" si="103"/>
        <v/>
      </c>
    </row>
    <row r="4621" spans="4:4" x14ac:dyDescent="0.3">
      <c r="D4621" t="str">
        <f t="shared" si="103"/>
        <v/>
      </c>
    </row>
    <row r="4622" spans="4:4" x14ac:dyDescent="0.3">
      <c r="D4622" t="str">
        <f t="shared" si="103"/>
        <v/>
      </c>
    </row>
    <row r="4623" spans="4:4" x14ac:dyDescent="0.3">
      <c r="D4623" t="str">
        <f t="shared" si="103"/>
        <v/>
      </c>
    </row>
    <row r="4624" spans="4:4" x14ac:dyDescent="0.3">
      <c r="D4624" t="str">
        <f t="shared" si="103"/>
        <v/>
      </c>
    </row>
    <row r="4625" spans="4:4" x14ac:dyDescent="0.3">
      <c r="D4625" t="str">
        <f t="shared" si="103"/>
        <v/>
      </c>
    </row>
    <row r="4626" spans="4:4" x14ac:dyDescent="0.3">
      <c r="D4626" t="str">
        <f t="shared" si="103"/>
        <v/>
      </c>
    </row>
    <row r="4627" spans="4:4" x14ac:dyDescent="0.3">
      <c r="D4627" t="str">
        <f t="shared" si="103"/>
        <v/>
      </c>
    </row>
    <row r="4628" spans="4:4" x14ac:dyDescent="0.3">
      <c r="D4628" t="str">
        <f t="shared" si="103"/>
        <v/>
      </c>
    </row>
    <row r="4629" spans="4:4" x14ac:dyDescent="0.3">
      <c r="D4629" t="str">
        <f t="shared" si="103"/>
        <v/>
      </c>
    </row>
    <row r="4630" spans="4:4" x14ac:dyDescent="0.3">
      <c r="D4630" t="str">
        <f t="shared" si="103"/>
        <v/>
      </c>
    </row>
    <row r="4631" spans="4:4" x14ac:dyDescent="0.3">
      <c r="D4631" t="str">
        <f t="shared" si="103"/>
        <v/>
      </c>
    </row>
    <row r="4632" spans="4:4" x14ac:dyDescent="0.3">
      <c r="D4632" t="str">
        <f t="shared" si="103"/>
        <v/>
      </c>
    </row>
    <row r="4633" spans="4:4" x14ac:dyDescent="0.3">
      <c r="D4633" t="str">
        <f t="shared" si="103"/>
        <v/>
      </c>
    </row>
    <row r="4634" spans="4:4" x14ac:dyDescent="0.3">
      <c r="D4634" t="str">
        <f t="shared" si="103"/>
        <v/>
      </c>
    </row>
    <row r="4635" spans="4:4" x14ac:dyDescent="0.3">
      <c r="D4635" t="str">
        <f t="shared" si="103"/>
        <v/>
      </c>
    </row>
    <row r="4636" spans="4:4" x14ac:dyDescent="0.3">
      <c r="D4636" t="str">
        <f t="shared" si="103"/>
        <v/>
      </c>
    </row>
    <row r="4637" spans="4:4" x14ac:dyDescent="0.3">
      <c r="D4637" t="str">
        <f t="shared" si="103"/>
        <v/>
      </c>
    </row>
    <row r="4638" spans="4:4" x14ac:dyDescent="0.3">
      <c r="D4638" t="str">
        <f t="shared" si="103"/>
        <v/>
      </c>
    </row>
    <row r="4639" spans="4:4" x14ac:dyDescent="0.3">
      <c r="D4639" t="str">
        <f t="shared" si="103"/>
        <v/>
      </c>
    </row>
    <row r="4640" spans="4:4" x14ac:dyDescent="0.3">
      <c r="D4640" t="str">
        <f t="shared" si="103"/>
        <v/>
      </c>
    </row>
    <row r="4641" spans="4:4" x14ac:dyDescent="0.3">
      <c r="D4641" t="str">
        <f t="shared" si="103"/>
        <v/>
      </c>
    </row>
    <row r="4642" spans="4:4" x14ac:dyDescent="0.3">
      <c r="D4642" t="str">
        <f t="shared" si="103"/>
        <v/>
      </c>
    </row>
    <row r="4643" spans="4:4" x14ac:dyDescent="0.3">
      <c r="D4643" t="str">
        <f t="shared" si="103"/>
        <v/>
      </c>
    </row>
    <row r="4644" spans="4:4" x14ac:dyDescent="0.3">
      <c r="D4644" t="str">
        <f t="shared" si="103"/>
        <v/>
      </c>
    </row>
    <row r="4645" spans="4:4" x14ac:dyDescent="0.3">
      <c r="D4645" t="str">
        <f t="shared" si="103"/>
        <v/>
      </c>
    </row>
    <row r="4646" spans="4:4" x14ac:dyDescent="0.3">
      <c r="D4646" t="str">
        <f t="shared" si="103"/>
        <v/>
      </c>
    </row>
    <row r="4647" spans="4:4" x14ac:dyDescent="0.3">
      <c r="D4647" t="str">
        <f t="shared" si="103"/>
        <v/>
      </c>
    </row>
    <row r="4648" spans="4:4" x14ac:dyDescent="0.3">
      <c r="D4648" t="str">
        <f t="shared" si="103"/>
        <v/>
      </c>
    </row>
    <row r="4649" spans="4:4" x14ac:dyDescent="0.3">
      <c r="D4649" t="str">
        <f t="shared" si="103"/>
        <v/>
      </c>
    </row>
    <row r="4650" spans="4:4" x14ac:dyDescent="0.3">
      <c r="D4650" t="str">
        <f t="shared" si="103"/>
        <v/>
      </c>
    </row>
    <row r="4651" spans="4:4" x14ac:dyDescent="0.3">
      <c r="D4651" t="str">
        <f t="shared" si="103"/>
        <v/>
      </c>
    </row>
    <row r="4652" spans="4:4" x14ac:dyDescent="0.3">
      <c r="D4652" t="str">
        <f t="shared" si="103"/>
        <v/>
      </c>
    </row>
    <row r="4653" spans="4:4" x14ac:dyDescent="0.3">
      <c r="D4653" t="str">
        <f t="shared" si="103"/>
        <v/>
      </c>
    </row>
    <row r="4654" spans="4:4" x14ac:dyDescent="0.3">
      <c r="D4654" t="str">
        <f t="shared" si="103"/>
        <v/>
      </c>
    </row>
    <row r="4655" spans="4:4" x14ac:dyDescent="0.3">
      <c r="D4655" t="str">
        <f t="shared" si="103"/>
        <v/>
      </c>
    </row>
    <row r="4656" spans="4:4" x14ac:dyDescent="0.3">
      <c r="D4656" t="str">
        <f t="shared" si="103"/>
        <v/>
      </c>
    </row>
    <row r="4657" spans="4:4" x14ac:dyDescent="0.3">
      <c r="D4657" t="str">
        <f t="shared" si="103"/>
        <v/>
      </c>
    </row>
    <row r="4658" spans="4:4" x14ac:dyDescent="0.3">
      <c r="D4658" t="str">
        <f t="shared" si="103"/>
        <v/>
      </c>
    </row>
    <row r="4659" spans="4:4" x14ac:dyDescent="0.3">
      <c r="D4659" t="str">
        <f t="shared" si="103"/>
        <v/>
      </c>
    </row>
    <row r="4660" spans="4:4" x14ac:dyDescent="0.3">
      <c r="D4660" t="str">
        <f t="shared" si="103"/>
        <v/>
      </c>
    </row>
    <row r="4661" spans="4:4" x14ac:dyDescent="0.3">
      <c r="D4661" t="str">
        <f t="shared" si="103"/>
        <v/>
      </c>
    </row>
    <row r="4662" spans="4:4" x14ac:dyDescent="0.3">
      <c r="D4662" t="str">
        <f t="shared" si="103"/>
        <v/>
      </c>
    </row>
    <row r="4663" spans="4:4" x14ac:dyDescent="0.3">
      <c r="D4663" t="str">
        <f t="shared" si="103"/>
        <v/>
      </c>
    </row>
    <row r="4664" spans="4:4" x14ac:dyDescent="0.3">
      <c r="D4664" t="str">
        <f t="shared" si="103"/>
        <v/>
      </c>
    </row>
    <row r="4665" spans="4:4" x14ac:dyDescent="0.3">
      <c r="D4665" t="str">
        <f t="shared" si="103"/>
        <v/>
      </c>
    </row>
    <row r="4666" spans="4:4" x14ac:dyDescent="0.3">
      <c r="D4666" t="str">
        <f t="shared" ref="D4666:D4729" si="104">IF(LEFT(A4666,2)="SP",MID(A4666,4,4),IF(LEFT(A4666,1)="X",MID(A4666,3,4),""))</f>
        <v/>
      </c>
    </row>
    <row r="4667" spans="4:4" x14ac:dyDescent="0.3">
      <c r="D4667" t="str">
        <f t="shared" si="104"/>
        <v/>
      </c>
    </row>
    <row r="4668" spans="4:4" x14ac:dyDescent="0.3">
      <c r="D4668" t="str">
        <f t="shared" si="104"/>
        <v/>
      </c>
    </row>
    <row r="4669" spans="4:4" x14ac:dyDescent="0.3">
      <c r="D4669" t="str">
        <f t="shared" si="104"/>
        <v/>
      </c>
    </row>
    <row r="4670" spans="4:4" x14ac:dyDescent="0.3">
      <c r="D4670" t="str">
        <f t="shared" si="104"/>
        <v/>
      </c>
    </row>
    <row r="4671" spans="4:4" x14ac:dyDescent="0.3">
      <c r="D4671" t="str">
        <f t="shared" si="104"/>
        <v/>
      </c>
    </row>
    <row r="4672" spans="4:4" x14ac:dyDescent="0.3">
      <c r="D4672" t="str">
        <f t="shared" si="104"/>
        <v/>
      </c>
    </row>
    <row r="4673" spans="4:4" x14ac:dyDescent="0.3">
      <c r="D4673" t="str">
        <f t="shared" si="104"/>
        <v/>
      </c>
    </row>
    <row r="4674" spans="4:4" x14ac:dyDescent="0.3">
      <c r="D4674" t="str">
        <f t="shared" si="104"/>
        <v/>
      </c>
    </row>
    <row r="4675" spans="4:4" x14ac:dyDescent="0.3">
      <c r="D4675" t="str">
        <f t="shared" si="104"/>
        <v/>
      </c>
    </row>
    <row r="4676" spans="4:4" x14ac:dyDescent="0.3">
      <c r="D4676" t="str">
        <f t="shared" si="104"/>
        <v/>
      </c>
    </row>
    <row r="4677" spans="4:4" x14ac:dyDescent="0.3">
      <c r="D4677" t="str">
        <f t="shared" si="104"/>
        <v/>
      </c>
    </row>
    <row r="4678" spans="4:4" x14ac:dyDescent="0.3">
      <c r="D4678" t="str">
        <f t="shared" si="104"/>
        <v/>
      </c>
    </row>
    <row r="4679" spans="4:4" x14ac:dyDescent="0.3">
      <c r="D4679" t="str">
        <f t="shared" si="104"/>
        <v/>
      </c>
    </row>
    <row r="4680" spans="4:4" x14ac:dyDescent="0.3">
      <c r="D4680" t="str">
        <f t="shared" si="104"/>
        <v/>
      </c>
    </row>
    <row r="4681" spans="4:4" x14ac:dyDescent="0.3">
      <c r="D4681" t="str">
        <f t="shared" si="104"/>
        <v/>
      </c>
    </row>
    <row r="4682" spans="4:4" x14ac:dyDescent="0.3">
      <c r="D4682" t="str">
        <f t="shared" si="104"/>
        <v/>
      </c>
    </row>
    <row r="4683" spans="4:4" x14ac:dyDescent="0.3">
      <c r="D4683" t="str">
        <f t="shared" si="104"/>
        <v/>
      </c>
    </row>
    <row r="4684" spans="4:4" x14ac:dyDescent="0.3">
      <c r="D4684" t="str">
        <f t="shared" si="104"/>
        <v/>
      </c>
    </row>
    <row r="4685" spans="4:4" x14ac:dyDescent="0.3">
      <c r="D4685" t="str">
        <f t="shared" si="104"/>
        <v/>
      </c>
    </row>
    <row r="4686" spans="4:4" x14ac:dyDescent="0.3">
      <c r="D4686" t="str">
        <f t="shared" si="104"/>
        <v/>
      </c>
    </row>
    <row r="4687" spans="4:4" x14ac:dyDescent="0.3">
      <c r="D4687" t="str">
        <f t="shared" si="104"/>
        <v/>
      </c>
    </row>
    <row r="4688" spans="4:4" x14ac:dyDescent="0.3">
      <c r="D4688" t="str">
        <f t="shared" si="104"/>
        <v/>
      </c>
    </row>
    <row r="4689" spans="4:4" x14ac:dyDescent="0.3">
      <c r="D4689" t="str">
        <f t="shared" si="104"/>
        <v/>
      </c>
    </row>
    <row r="4690" spans="4:4" x14ac:dyDescent="0.3">
      <c r="D4690" t="str">
        <f t="shared" si="104"/>
        <v/>
      </c>
    </row>
    <row r="4691" spans="4:4" x14ac:dyDescent="0.3">
      <c r="D4691" t="str">
        <f t="shared" si="104"/>
        <v/>
      </c>
    </row>
    <row r="4692" spans="4:4" x14ac:dyDescent="0.3">
      <c r="D4692" t="str">
        <f t="shared" si="104"/>
        <v/>
      </c>
    </row>
    <row r="4693" spans="4:4" x14ac:dyDescent="0.3">
      <c r="D4693" t="str">
        <f t="shared" si="104"/>
        <v/>
      </c>
    </row>
    <row r="4694" spans="4:4" x14ac:dyDescent="0.3">
      <c r="D4694" t="str">
        <f t="shared" si="104"/>
        <v/>
      </c>
    </row>
    <row r="4695" spans="4:4" x14ac:dyDescent="0.3">
      <c r="D4695" t="str">
        <f t="shared" si="104"/>
        <v/>
      </c>
    </row>
    <row r="4696" spans="4:4" x14ac:dyDescent="0.3">
      <c r="D4696" t="str">
        <f t="shared" si="104"/>
        <v/>
      </c>
    </row>
    <row r="4697" spans="4:4" x14ac:dyDescent="0.3">
      <c r="D4697" t="str">
        <f t="shared" si="104"/>
        <v/>
      </c>
    </row>
    <row r="4698" spans="4:4" x14ac:dyDescent="0.3">
      <c r="D4698" t="str">
        <f t="shared" si="104"/>
        <v/>
      </c>
    </row>
    <row r="4699" spans="4:4" x14ac:dyDescent="0.3">
      <c r="D4699" t="str">
        <f t="shared" si="104"/>
        <v/>
      </c>
    </row>
    <row r="4700" spans="4:4" x14ac:dyDescent="0.3">
      <c r="D4700" t="str">
        <f t="shared" si="104"/>
        <v/>
      </c>
    </row>
    <row r="4701" spans="4:4" x14ac:dyDescent="0.3">
      <c r="D4701" t="str">
        <f t="shared" si="104"/>
        <v/>
      </c>
    </row>
    <row r="4702" spans="4:4" x14ac:dyDescent="0.3">
      <c r="D4702" t="str">
        <f t="shared" si="104"/>
        <v/>
      </c>
    </row>
    <row r="4703" spans="4:4" x14ac:dyDescent="0.3">
      <c r="D4703" t="str">
        <f t="shared" si="104"/>
        <v/>
      </c>
    </row>
    <row r="4704" spans="4:4" x14ac:dyDescent="0.3">
      <c r="D4704" t="str">
        <f t="shared" si="104"/>
        <v/>
      </c>
    </row>
    <row r="4705" spans="4:4" x14ac:dyDescent="0.3">
      <c r="D4705" t="str">
        <f t="shared" si="104"/>
        <v/>
      </c>
    </row>
    <row r="4706" spans="4:4" x14ac:dyDescent="0.3">
      <c r="D4706" t="str">
        <f t="shared" si="104"/>
        <v/>
      </c>
    </row>
    <row r="4707" spans="4:4" x14ac:dyDescent="0.3">
      <c r="D4707" t="str">
        <f t="shared" si="104"/>
        <v/>
      </c>
    </row>
    <row r="4708" spans="4:4" x14ac:dyDescent="0.3">
      <c r="D4708" t="str">
        <f t="shared" si="104"/>
        <v/>
      </c>
    </row>
    <row r="4709" spans="4:4" x14ac:dyDescent="0.3">
      <c r="D4709" t="str">
        <f t="shared" si="104"/>
        <v/>
      </c>
    </row>
    <row r="4710" spans="4:4" x14ac:dyDescent="0.3">
      <c r="D4710" t="str">
        <f t="shared" si="104"/>
        <v/>
      </c>
    </row>
    <row r="4711" spans="4:4" x14ac:dyDescent="0.3">
      <c r="D4711" t="str">
        <f t="shared" si="104"/>
        <v/>
      </c>
    </row>
    <row r="4712" spans="4:4" x14ac:dyDescent="0.3">
      <c r="D4712" t="str">
        <f t="shared" si="104"/>
        <v/>
      </c>
    </row>
    <row r="4713" spans="4:4" x14ac:dyDescent="0.3">
      <c r="D4713" t="str">
        <f t="shared" si="104"/>
        <v/>
      </c>
    </row>
    <row r="4714" spans="4:4" x14ac:dyDescent="0.3">
      <c r="D4714" t="str">
        <f t="shared" si="104"/>
        <v/>
      </c>
    </row>
    <row r="4715" spans="4:4" x14ac:dyDescent="0.3">
      <c r="D4715" t="str">
        <f t="shared" si="104"/>
        <v/>
      </c>
    </row>
    <row r="4716" spans="4:4" x14ac:dyDescent="0.3">
      <c r="D4716" t="str">
        <f t="shared" si="104"/>
        <v/>
      </c>
    </row>
    <row r="4717" spans="4:4" x14ac:dyDescent="0.3">
      <c r="D4717" t="str">
        <f t="shared" si="104"/>
        <v/>
      </c>
    </row>
    <row r="4718" spans="4:4" x14ac:dyDescent="0.3">
      <c r="D4718" t="str">
        <f t="shared" si="104"/>
        <v/>
      </c>
    </row>
    <row r="4719" spans="4:4" x14ac:dyDescent="0.3">
      <c r="D4719" t="str">
        <f t="shared" si="104"/>
        <v/>
      </c>
    </row>
    <row r="4720" spans="4:4" x14ac:dyDescent="0.3">
      <c r="D4720" t="str">
        <f t="shared" si="104"/>
        <v/>
      </c>
    </row>
    <row r="4721" spans="4:4" x14ac:dyDescent="0.3">
      <c r="D4721" t="str">
        <f t="shared" si="104"/>
        <v/>
      </c>
    </row>
    <row r="4722" spans="4:4" x14ac:dyDescent="0.3">
      <c r="D4722" t="str">
        <f t="shared" si="104"/>
        <v/>
      </c>
    </row>
    <row r="4723" spans="4:4" x14ac:dyDescent="0.3">
      <c r="D4723" t="str">
        <f t="shared" si="104"/>
        <v/>
      </c>
    </row>
    <row r="4724" spans="4:4" x14ac:dyDescent="0.3">
      <c r="D4724" t="str">
        <f t="shared" si="104"/>
        <v/>
      </c>
    </row>
    <row r="4725" spans="4:4" x14ac:dyDescent="0.3">
      <c r="D4725" t="str">
        <f t="shared" si="104"/>
        <v/>
      </c>
    </row>
    <row r="4726" spans="4:4" x14ac:dyDescent="0.3">
      <c r="D4726" t="str">
        <f t="shared" si="104"/>
        <v/>
      </c>
    </row>
    <row r="4727" spans="4:4" x14ac:dyDescent="0.3">
      <c r="D4727" t="str">
        <f t="shared" si="104"/>
        <v/>
      </c>
    </row>
    <row r="4728" spans="4:4" x14ac:dyDescent="0.3">
      <c r="D4728" t="str">
        <f t="shared" si="104"/>
        <v/>
      </c>
    </row>
    <row r="4729" spans="4:4" x14ac:dyDescent="0.3">
      <c r="D4729" t="str">
        <f t="shared" si="104"/>
        <v/>
      </c>
    </row>
    <row r="4730" spans="4:4" x14ac:dyDescent="0.3">
      <c r="D4730" t="str">
        <f t="shared" ref="D4730:D4793" si="105">IF(LEFT(A4730,2)="SP",MID(A4730,4,4),IF(LEFT(A4730,1)="X",MID(A4730,3,4),""))</f>
        <v/>
      </c>
    </row>
    <row r="4731" spans="4:4" x14ac:dyDescent="0.3">
      <c r="D4731" t="str">
        <f t="shared" si="105"/>
        <v/>
      </c>
    </row>
    <row r="4732" spans="4:4" x14ac:dyDescent="0.3">
      <c r="D4732" t="str">
        <f t="shared" si="105"/>
        <v/>
      </c>
    </row>
    <row r="4733" spans="4:4" x14ac:dyDescent="0.3">
      <c r="D4733" t="str">
        <f t="shared" si="105"/>
        <v/>
      </c>
    </row>
    <row r="4734" spans="4:4" x14ac:dyDescent="0.3">
      <c r="D4734" t="str">
        <f t="shared" si="105"/>
        <v/>
      </c>
    </row>
    <row r="4735" spans="4:4" x14ac:dyDescent="0.3">
      <c r="D4735" t="str">
        <f t="shared" si="105"/>
        <v/>
      </c>
    </row>
    <row r="4736" spans="4:4" x14ac:dyDescent="0.3">
      <c r="D4736" t="str">
        <f t="shared" si="105"/>
        <v/>
      </c>
    </row>
    <row r="4737" spans="4:4" x14ac:dyDescent="0.3">
      <c r="D4737" t="str">
        <f t="shared" si="105"/>
        <v/>
      </c>
    </row>
    <row r="4738" spans="4:4" x14ac:dyDescent="0.3">
      <c r="D4738" t="str">
        <f t="shared" si="105"/>
        <v/>
      </c>
    </row>
    <row r="4739" spans="4:4" x14ac:dyDescent="0.3">
      <c r="D4739" t="str">
        <f t="shared" si="105"/>
        <v/>
      </c>
    </row>
    <row r="4740" spans="4:4" x14ac:dyDescent="0.3">
      <c r="D4740" t="str">
        <f t="shared" si="105"/>
        <v/>
      </c>
    </row>
    <row r="4741" spans="4:4" x14ac:dyDescent="0.3">
      <c r="D4741" t="str">
        <f t="shared" si="105"/>
        <v/>
      </c>
    </row>
    <row r="4742" spans="4:4" x14ac:dyDescent="0.3">
      <c r="D4742" t="str">
        <f t="shared" si="105"/>
        <v/>
      </c>
    </row>
    <row r="4743" spans="4:4" x14ac:dyDescent="0.3">
      <c r="D4743" t="str">
        <f t="shared" si="105"/>
        <v/>
      </c>
    </row>
    <row r="4744" spans="4:4" x14ac:dyDescent="0.3">
      <c r="D4744" t="str">
        <f t="shared" si="105"/>
        <v/>
      </c>
    </row>
    <row r="4745" spans="4:4" x14ac:dyDescent="0.3">
      <c r="D4745" t="str">
        <f t="shared" si="105"/>
        <v/>
      </c>
    </row>
    <row r="4746" spans="4:4" x14ac:dyDescent="0.3">
      <c r="D4746" t="str">
        <f t="shared" si="105"/>
        <v/>
      </c>
    </row>
    <row r="4747" spans="4:4" x14ac:dyDescent="0.3">
      <c r="D4747" t="str">
        <f t="shared" si="105"/>
        <v/>
      </c>
    </row>
    <row r="4748" spans="4:4" x14ac:dyDescent="0.3">
      <c r="D4748" t="str">
        <f t="shared" si="105"/>
        <v/>
      </c>
    </row>
    <row r="4749" spans="4:4" x14ac:dyDescent="0.3">
      <c r="D4749" t="str">
        <f t="shared" si="105"/>
        <v/>
      </c>
    </row>
    <row r="4750" spans="4:4" x14ac:dyDescent="0.3">
      <c r="D4750" t="str">
        <f t="shared" si="105"/>
        <v/>
      </c>
    </row>
    <row r="4751" spans="4:4" x14ac:dyDescent="0.3">
      <c r="D4751" t="str">
        <f t="shared" si="105"/>
        <v/>
      </c>
    </row>
    <row r="4752" spans="4:4" x14ac:dyDescent="0.3">
      <c r="D4752" t="str">
        <f t="shared" si="105"/>
        <v/>
      </c>
    </row>
    <row r="4753" spans="4:4" x14ac:dyDescent="0.3">
      <c r="D4753" t="str">
        <f t="shared" si="105"/>
        <v/>
      </c>
    </row>
    <row r="4754" spans="4:4" x14ac:dyDescent="0.3">
      <c r="D4754" t="str">
        <f t="shared" si="105"/>
        <v/>
      </c>
    </row>
    <row r="4755" spans="4:4" x14ac:dyDescent="0.3">
      <c r="D4755" t="str">
        <f t="shared" si="105"/>
        <v/>
      </c>
    </row>
    <row r="4756" spans="4:4" x14ac:dyDescent="0.3">
      <c r="D4756" t="str">
        <f t="shared" si="105"/>
        <v/>
      </c>
    </row>
    <row r="4757" spans="4:4" x14ac:dyDescent="0.3">
      <c r="D4757" t="str">
        <f t="shared" si="105"/>
        <v/>
      </c>
    </row>
    <row r="4758" spans="4:4" x14ac:dyDescent="0.3">
      <c r="D4758" t="str">
        <f t="shared" si="105"/>
        <v/>
      </c>
    </row>
    <row r="4759" spans="4:4" x14ac:dyDescent="0.3">
      <c r="D4759" t="str">
        <f t="shared" si="105"/>
        <v/>
      </c>
    </row>
    <row r="4760" spans="4:4" x14ac:dyDescent="0.3">
      <c r="D4760" t="str">
        <f t="shared" si="105"/>
        <v/>
      </c>
    </row>
    <row r="4761" spans="4:4" x14ac:dyDescent="0.3">
      <c r="D4761" t="str">
        <f t="shared" si="105"/>
        <v/>
      </c>
    </row>
    <row r="4762" spans="4:4" x14ac:dyDescent="0.3">
      <c r="D4762" t="str">
        <f t="shared" si="105"/>
        <v/>
      </c>
    </row>
    <row r="4763" spans="4:4" x14ac:dyDescent="0.3">
      <c r="D4763" t="str">
        <f t="shared" si="105"/>
        <v/>
      </c>
    </row>
    <row r="4764" spans="4:4" x14ac:dyDescent="0.3">
      <c r="D4764" t="str">
        <f t="shared" si="105"/>
        <v/>
      </c>
    </row>
    <row r="4765" spans="4:4" x14ac:dyDescent="0.3">
      <c r="D4765" t="str">
        <f t="shared" si="105"/>
        <v/>
      </c>
    </row>
    <row r="4766" spans="4:4" x14ac:dyDescent="0.3">
      <c r="D4766" t="str">
        <f t="shared" si="105"/>
        <v/>
      </c>
    </row>
    <row r="4767" spans="4:4" x14ac:dyDescent="0.3">
      <c r="D4767" t="str">
        <f t="shared" si="105"/>
        <v/>
      </c>
    </row>
    <row r="4768" spans="4:4" x14ac:dyDescent="0.3">
      <c r="D4768" t="str">
        <f t="shared" si="105"/>
        <v/>
      </c>
    </row>
    <row r="4769" spans="4:4" x14ac:dyDescent="0.3">
      <c r="D4769" t="str">
        <f t="shared" si="105"/>
        <v/>
      </c>
    </row>
    <row r="4770" spans="4:4" x14ac:dyDescent="0.3">
      <c r="D4770" t="str">
        <f t="shared" si="105"/>
        <v/>
      </c>
    </row>
    <row r="4771" spans="4:4" x14ac:dyDescent="0.3">
      <c r="D4771" t="str">
        <f t="shared" si="105"/>
        <v/>
      </c>
    </row>
    <row r="4772" spans="4:4" x14ac:dyDescent="0.3">
      <c r="D4772" t="str">
        <f t="shared" si="105"/>
        <v/>
      </c>
    </row>
    <row r="4773" spans="4:4" x14ac:dyDescent="0.3">
      <c r="D4773" t="str">
        <f t="shared" si="105"/>
        <v/>
      </c>
    </row>
    <row r="4774" spans="4:4" x14ac:dyDescent="0.3">
      <c r="D4774" t="str">
        <f t="shared" si="105"/>
        <v/>
      </c>
    </row>
    <row r="4775" spans="4:4" x14ac:dyDescent="0.3">
      <c r="D4775" t="str">
        <f t="shared" si="105"/>
        <v/>
      </c>
    </row>
    <row r="4776" spans="4:4" x14ac:dyDescent="0.3">
      <c r="D4776" t="str">
        <f t="shared" si="105"/>
        <v/>
      </c>
    </row>
    <row r="4777" spans="4:4" x14ac:dyDescent="0.3">
      <c r="D4777" t="str">
        <f t="shared" si="105"/>
        <v/>
      </c>
    </row>
    <row r="4778" spans="4:4" x14ac:dyDescent="0.3">
      <c r="D4778" t="str">
        <f t="shared" si="105"/>
        <v/>
      </c>
    </row>
    <row r="4779" spans="4:4" x14ac:dyDescent="0.3">
      <c r="D4779" t="str">
        <f t="shared" si="105"/>
        <v/>
      </c>
    </row>
    <row r="4780" spans="4:4" x14ac:dyDescent="0.3">
      <c r="D4780" t="str">
        <f t="shared" si="105"/>
        <v/>
      </c>
    </row>
    <row r="4781" spans="4:4" x14ac:dyDescent="0.3">
      <c r="D4781" t="str">
        <f t="shared" si="105"/>
        <v/>
      </c>
    </row>
    <row r="4782" spans="4:4" x14ac:dyDescent="0.3">
      <c r="D4782" t="str">
        <f t="shared" si="105"/>
        <v/>
      </c>
    </row>
    <row r="4783" spans="4:4" x14ac:dyDescent="0.3">
      <c r="D4783" t="str">
        <f t="shared" si="105"/>
        <v/>
      </c>
    </row>
    <row r="4784" spans="4:4" x14ac:dyDescent="0.3">
      <c r="D4784" t="str">
        <f t="shared" si="105"/>
        <v/>
      </c>
    </row>
    <row r="4785" spans="4:4" x14ac:dyDescent="0.3">
      <c r="D4785" t="str">
        <f t="shared" si="105"/>
        <v/>
      </c>
    </row>
    <row r="4786" spans="4:4" x14ac:dyDescent="0.3">
      <c r="D4786" t="str">
        <f t="shared" si="105"/>
        <v/>
      </c>
    </row>
    <row r="4787" spans="4:4" x14ac:dyDescent="0.3">
      <c r="D4787" t="str">
        <f t="shared" si="105"/>
        <v/>
      </c>
    </row>
    <row r="4788" spans="4:4" x14ac:dyDescent="0.3">
      <c r="D4788" t="str">
        <f t="shared" si="105"/>
        <v/>
      </c>
    </row>
    <row r="4789" spans="4:4" x14ac:dyDescent="0.3">
      <c r="D4789" t="str">
        <f t="shared" si="105"/>
        <v/>
      </c>
    </row>
    <row r="4790" spans="4:4" x14ac:dyDescent="0.3">
      <c r="D4790" t="str">
        <f t="shared" si="105"/>
        <v/>
      </c>
    </row>
    <row r="4791" spans="4:4" x14ac:dyDescent="0.3">
      <c r="D4791" t="str">
        <f t="shared" si="105"/>
        <v/>
      </c>
    </row>
    <row r="4792" spans="4:4" x14ac:dyDescent="0.3">
      <c r="D4792" t="str">
        <f t="shared" si="105"/>
        <v/>
      </c>
    </row>
    <row r="4793" spans="4:4" x14ac:dyDescent="0.3">
      <c r="D4793" t="str">
        <f t="shared" si="105"/>
        <v/>
      </c>
    </row>
    <row r="4794" spans="4:4" x14ac:dyDescent="0.3">
      <c r="D4794" t="str">
        <f t="shared" ref="D4794:D4857" si="106">IF(LEFT(A4794,2)="SP",MID(A4794,4,4),IF(LEFT(A4794,1)="X",MID(A4794,3,4),""))</f>
        <v/>
      </c>
    </row>
    <row r="4795" spans="4:4" x14ac:dyDescent="0.3">
      <c r="D4795" t="str">
        <f t="shared" si="106"/>
        <v/>
      </c>
    </row>
    <row r="4796" spans="4:4" x14ac:dyDescent="0.3">
      <c r="D4796" t="str">
        <f t="shared" si="106"/>
        <v/>
      </c>
    </row>
    <row r="4797" spans="4:4" x14ac:dyDescent="0.3">
      <c r="D4797" t="str">
        <f t="shared" si="106"/>
        <v/>
      </c>
    </row>
    <row r="4798" spans="4:4" x14ac:dyDescent="0.3">
      <c r="D4798" t="str">
        <f t="shared" si="106"/>
        <v/>
      </c>
    </row>
    <row r="4799" spans="4:4" x14ac:dyDescent="0.3">
      <c r="D4799" t="str">
        <f t="shared" si="106"/>
        <v/>
      </c>
    </row>
    <row r="4800" spans="4:4" x14ac:dyDescent="0.3">
      <c r="D4800" t="str">
        <f t="shared" si="106"/>
        <v/>
      </c>
    </row>
    <row r="4801" spans="4:4" x14ac:dyDescent="0.3">
      <c r="D4801" t="str">
        <f t="shared" si="106"/>
        <v/>
      </c>
    </row>
    <row r="4802" spans="4:4" x14ac:dyDescent="0.3">
      <c r="D4802" t="str">
        <f t="shared" si="106"/>
        <v/>
      </c>
    </row>
    <row r="4803" spans="4:4" x14ac:dyDescent="0.3">
      <c r="D4803" t="str">
        <f t="shared" si="106"/>
        <v/>
      </c>
    </row>
    <row r="4804" spans="4:4" x14ac:dyDescent="0.3">
      <c r="D4804" t="str">
        <f t="shared" si="106"/>
        <v/>
      </c>
    </row>
    <row r="4805" spans="4:4" x14ac:dyDescent="0.3">
      <c r="D4805" t="str">
        <f t="shared" si="106"/>
        <v/>
      </c>
    </row>
    <row r="4806" spans="4:4" x14ac:dyDescent="0.3">
      <c r="D4806" t="str">
        <f t="shared" si="106"/>
        <v/>
      </c>
    </row>
    <row r="4807" spans="4:4" x14ac:dyDescent="0.3">
      <c r="D4807" t="str">
        <f t="shared" si="106"/>
        <v/>
      </c>
    </row>
    <row r="4808" spans="4:4" x14ac:dyDescent="0.3">
      <c r="D4808" t="str">
        <f t="shared" si="106"/>
        <v/>
      </c>
    </row>
    <row r="4809" spans="4:4" x14ac:dyDescent="0.3">
      <c r="D4809" t="str">
        <f t="shared" si="106"/>
        <v/>
      </c>
    </row>
    <row r="4810" spans="4:4" x14ac:dyDescent="0.3">
      <c r="D4810" t="str">
        <f t="shared" si="106"/>
        <v/>
      </c>
    </row>
    <row r="4811" spans="4:4" x14ac:dyDescent="0.3">
      <c r="D4811" t="str">
        <f t="shared" si="106"/>
        <v/>
      </c>
    </row>
    <row r="4812" spans="4:4" x14ac:dyDescent="0.3">
      <c r="D4812" t="str">
        <f t="shared" si="106"/>
        <v/>
      </c>
    </row>
    <row r="4813" spans="4:4" x14ac:dyDescent="0.3">
      <c r="D4813" t="str">
        <f t="shared" si="106"/>
        <v/>
      </c>
    </row>
    <row r="4814" spans="4:4" x14ac:dyDescent="0.3">
      <c r="D4814" t="str">
        <f t="shared" si="106"/>
        <v/>
      </c>
    </row>
    <row r="4815" spans="4:4" x14ac:dyDescent="0.3">
      <c r="D4815" t="str">
        <f t="shared" si="106"/>
        <v/>
      </c>
    </row>
    <row r="4816" spans="4:4" x14ac:dyDescent="0.3">
      <c r="D4816" t="str">
        <f t="shared" si="106"/>
        <v/>
      </c>
    </row>
    <row r="4817" spans="4:4" x14ac:dyDescent="0.3">
      <c r="D4817" t="str">
        <f t="shared" si="106"/>
        <v/>
      </c>
    </row>
    <row r="4818" spans="4:4" x14ac:dyDescent="0.3">
      <c r="D4818" t="str">
        <f t="shared" si="106"/>
        <v/>
      </c>
    </row>
    <row r="4819" spans="4:4" x14ac:dyDescent="0.3">
      <c r="D4819" t="str">
        <f t="shared" si="106"/>
        <v/>
      </c>
    </row>
    <row r="4820" spans="4:4" x14ac:dyDescent="0.3">
      <c r="D4820" t="str">
        <f t="shared" si="106"/>
        <v/>
      </c>
    </row>
    <row r="4821" spans="4:4" x14ac:dyDescent="0.3">
      <c r="D4821" t="str">
        <f t="shared" si="106"/>
        <v/>
      </c>
    </row>
    <row r="4822" spans="4:4" x14ac:dyDescent="0.3">
      <c r="D4822" t="str">
        <f t="shared" si="106"/>
        <v/>
      </c>
    </row>
    <row r="4823" spans="4:4" x14ac:dyDescent="0.3">
      <c r="D4823" t="str">
        <f t="shared" si="106"/>
        <v/>
      </c>
    </row>
    <row r="4824" spans="4:4" x14ac:dyDescent="0.3">
      <c r="D4824" t="str">
        <f t="shared" si="106"/>
        <v/>
      </c>
    </row>
    <row r="4825" spans="4:4" x14ac:dyDescent="0.3">
      <c r="D4825" t="str">
        <f t="shared" si="106"/>
        <v/>
      </c>
    </row>
    <row r="4826" spans="4:4" x14ac:dyDescent="0.3">
      <c r="D4826" t="str">
        <f t="shared" si="106"/>
        <v/>
      </c>
    </row>
    <row r="4827" spans="4:4" x14ac:dyDescent="0.3">
      <c r="D4827" t="str">
        <f t="shared" si="106"/>
        <v/>
      </c>
    </row>
    <row r="4828" spans="4:4" x14ac:dyDescent="0.3">
      <c r="D4828" t="str">
        <f t="shared" si="106"/>
        <v/>
      </c>
    </row>
    <row r="4829" spans="4:4" x14ac:dyDescent="0.3">
      <c r="D4829" t="str">
        <f t="shared" si="106"/>
        <v/>
      </c>
    </row>
    <row r="4830" spans="4:4" x14ac:dyDescent="0.3">
      <c r="D4830" t="str">
        <f t="shared" si="106"/>
        <v/>
      </c>
    </row>
    <row r="4831" spans="4:4" x14ac:dyDescent="0.3">
      <c r="D4831" t="str">
        <f t="shared" si="106"/>
        <v/>
      </c>
    </row>
    <row r="4832" spans="4:4" x14ac:dyDescent="0.3">
      <c r="D4832" t="str">
        <f t="shared" si="106"/>
        <v/>
      </c>
    </row>
    <row r="4833" spans="4:4" x14ac:dyDescent="0.3">
      <c r="D4833" t="str">
        <f t="shared" si="106"/>
        <v/>
      </c>
    </row>
    <row r="4834" spans="4:4" x14ac:dyDescent="0.3">
      <c r="D4834" t="str">
        <f t="shared" si="106"/>
        <v/>
      </c>
    </row>
    <row r="4835" spans="4:4" x14ac:dyDescent="0.3">
      <c r="D4835" t="str">
        <f t="shared" si="106"/>
        <v/>
      </c>
    </row>
    <row r="4836" spans="4:4" x14ac:dyDescent="0.3">
      <c r="D4836" t="str">
        <f t="shared" si="106"/>
        <v/>
      </c>
    </row>
    <row r="4837" spans="4:4" x14ac:dyDescent="0.3">
      <c r="D4837" t="str">
        <f t="shared" si="106"/>
        <v/>
      </c>
    </row>
    <row r="4838" spans="4:4" x14ac:dyDescent="0.3">
      <c r="D4838" t="str">
        <f t="shared" si="106"/>
        <v/>
      </c>
    </row>
    <row r="4839" spans="4:4" x14ac:dyDescent="0.3">
      <c r="D4839" t="str">
        <f t="shared" si="106"/>
        <v/>
      </c>
    </row>
    <row r="4840" spans="4:4" x14ac:dyDescent="0.3">
      <c r="D4840" t="str">
        <f t="shared" si="106"/>
        <v/>
      </c>
    </row>
    <row r="4841" spans="4:4" x14ac:dyDescent="0.3">
      <c r="D4841" t="str">
        <f t="shared" si="106"/>
        <v/>
      </c>
    </row>
    <row r="4842" spans="4:4" x14ac:dyDescent="0.3">
      <c r="D4842" t="str">
        <f t="shared" si="106"/>
        <v/>
      </c>
    </row>
    <row r="4843" spans="4:4" x14ac:dyDescent="0.3">
      <c r="D4843" t="str">
        <f t="shared" si="106"/>
        <v/>
      </c>
    </row>
    <row r="4844" spans="4:4" x14ac:dyDescent="0.3">
      <c r="D4844" t="str">
        <f t="shared" si="106"/>
        <v/>
      </c>
    </row>
    <row r="4845" spans="4:4" x14ac:dyDescent="0.3">
      <c r="D4845" t="str">
        <f t="shared" si="106"/>
        <v/>
      </c>
    </row>
    <row r="4846" spans="4:4" x14ac:dyDescent="0.3">
      <c r="D4846" t="str">
        <f t="shared" si="106"/>
        <v/>
      </c>
    </row>
    <row r="4847" spans="4:4" x14ac:dyDescent="0.3">
      <c r="D4847" t="str">
        <f t="shared" si="106"/>
        <v/>
      </c>
    </row>
    <row r="4848" spans="4:4" x14ac:dyDescent="0.3">
      <c r="D4848" t="str">
        <f t="shared" si="106"/>
        <v/>
      </c>
    </row>
    <row r="4849" spans="4:4" x14ac:dyDescent="0.3">
      <c r="D4849" t="str">
        <f t="shared" si="106"/>
        <v/>
      </c>
    </row>
    <row r="4850" spans="4:4" x14ac:dyDescent="0.3">
      <c r="D4850" t="str">
        <f t="shared" si="106"/>
        <v/>
      </c>
    </row>
    <row r="4851" spans="4:4" x14ac:dyDescent="0.3">
      <c r="D4851" t="str">
        <f t="shared" si="106"/>
        <v/>
      </c>
    </row>
    <row r="4852" spans="4:4" x14ac:dyDescent="0.3">
      <c r="D4852" t="str">
        <f t="shared" si="106"/>
        <v/>
      </c>
    </row>
    <row r="4853" spans="4:4" x14ac:dyDescent="0.3">
      <c r="D4853" t="str">
        <f t="shared" si="106"/>
        <v/>
      </c>
    </row>
    <row r="4854" spans="4:4" x14ac:dyDescent="0.3">
      <c r="D4854" t="str">
        <f t="shared" si="106"/>
        <v/>
      </c>
    </row>
    <row r="4855" spans="4:4" x14ac:dyDescent="0.3">
      <c r="D4855" t="str">
        <f t="shared" si="106"/>
        <v/>
      </c>
    </row>
    <row r="4856" spans="4:4" x14ac:dyDescent="0.3">
      <c r="D4856" t="str">
        <f t="shared" si="106"/>
        <v/>
      </c>
    </row>
    <row r="4857" spans="4:4" x14ac:dyDescent="0.3">
      <c r="D4857" t="str">
        <f t="shared" si="106"/>
        <v/>
      </c>
    </row>
    <row r="4858" spans="4:4" x14ac:dyDescent="0.3">
      <c r="D4858" t="str">
        <f t="shared" ref="D4858:D4921" si="107">IF(LEFT(A4858,2)="SP",MID(A4858,4,4),IF(LEFT(A4858,1)="X",MID(A4858,3,4),""))</f>
        <v/>
      </c>
    </row>
    <row r="4859" spans="4:4" x14ac:dyDescent="0.3">
      <c r="D4859" t="str">
        <f t="shared" si="107"/>
        <v/>
      </c>
    </row>
    <row r="4860" spans="4:4" x14ac:dyDescent="0.3">
      <c r="D4860" t="str">
        <f t="shared" si="107"/>
        <v/>
      </c>
    </row>
    <row r="4861" spans="4:4" x14ac:dyDescent="0.3">
      <c r="D4861" t="str">
        <f t="shared" si="107"/>
        <v/>
      </c>
    </row>
    <row r="4862" spans="4:4" x14ac:dyDescent="0.3">
      <c r="D4862" t="str">
        <f t="shared" si="107"/>
        <v/>
      </c>
    </row>
    <row r="4863" spans="4:4" x14ac:dyDescent="0.3">
      <c r="D4863" t="str">
        <f t="shared" si="107"/>
        <v/>
      </c>
    </row>
    <row r="4864" spans="4:4" x14ac:dyDescent="0.3">
      <c r="D4864" t="str">
        <f t="shared" si="107"/>
        <v/>
      </c>
    </row>
    <row r="4865" spans="4:4" x14ac:dyDescent="0.3">
      <c r="D4865" t="str">
        <f t="shared" si="107"/>
        <v/>
      </c>
    </row>
    <row r="4866" spans="4:4" x14ac:dyDescent="0.3">
      <c r="D4866" t="str">
        <f t="shared" si="107"/>
        <v/>
      </c>
    </row>
    <row r="4867" spans="4:4" x14ac:dyDescent="0.3">
      <c r="D4867" t="str">
        <f t="shared" si="107"/>
        <v/>
      </c>
    </row>
    <row r="4868" spans="4:4" x14ac:dyDescent="0.3">
      <c r="D4868" t="str">
        <f t="shared" si="107"/>
        <v/>
      </c>
    </row>
    <row r="4869" spans="4:4" x14ac:dyDescent="0.3">
      <c r="D4869" t="str">
        <f t="shared" si="107"/>
        <v/>
      </c>
    </row>
    <row r="4870" spans="4:4" x14ac:dyDescent="0.3">
      <c r="D4870" t="str">
        <f t="shared" si="107"/>
        <v/>
      </c>
    </row>
    <row r="4871" spans="4:4" x14ac:dyDescent="0.3">
      <c r="D4871" t="str">
        <f t="shared" si="107"/>
        <v/>
      </c>
    </row>
    <row r="4872" spans="4:4" x14ac:dyDescent="0.3">
      <c r="D4872" t="str">
        <f t="shared" si="107"/>
        <v/>
      </c>
    </row>
    <row r="4873" spans="4:4" x14ac:dyDescent="0.3">
      <c r="D4873" t="str">
        <f t="shared" si="107"/>
        <v/>
      </c>
    </row>
    <row r="4874" spans="4:4" x14ac:dyDescent="0.3">
      <c r="D4874" t="str">
        <f t="shared" si="107"/>
        <v/>
      </c>
    </row>
    <row r="4875" spans="4:4" x14ac:dyDescent="0.3">
      <c r="D4875" t="str">
        <f t="shared" si="107"/>
        <v/>
      </c>
    </row>
    <row r="4876" spans="4:4" x14ac:dyDescent="0.3">
      <c r="D4876" t="str">
        <f t="shared" si="107"/>
        <v/>
      </c>
    </row>
    <row r="4877" spans="4:4" x14ac:dyDescent="0.3">
      <c r="D4877" t="str">
        <f t="shared" si="107"/>
        <v/>
      </c>
    </row>
    <row r="4878" spans="4:4" x14ac:dyDescent="0.3">
      <c r="D4878" t="str">
        <f t="shared" si="107"/>
        <v/>
      </c>
    </row>
    <row r="4879" spans="4:4" x14ac:dyDescent="0.3">
      <c r="D4879" t="str">
        <f t="shared" si="107"/>
        <v/>
      </c>
    </row>
    <row r="4880" spans="4:4" x14ac:dyDescent="0.3">
      <c r="D4880" t="str">
        <f t="shared" si="107"/>
        <v/>
      </c>
    </row>
    <row r="4881" spans="4:4" x14ac:dyDescent="0.3">
      <c r="D4881" t="str">
        <f t="shared" si="107"/>
        <v/>
      </c>
    </row>
    <row r="4882" spans="4:4" x14ac:dyDescent="0.3">
      <c r="D4882" t="str">
        <f t="shared" si="107"/>
        <v/>
      </c>
    </row>
    <row r="4883" spans="4:4" x14ac:dyDescent="0.3">
      <c r="D4883" t="str">
        <f t="shared" si="107"/>
        <v/>
      </c>
    </row>
    <row r="4884" spans="4:4" x14ac:dyDescent="0.3">
      <c r="D4884" t="str">
        <f t="shared" si="107"/>
        <v/>
      </c>
    </row>
    <row r="4885" spans="4:4" x14ac:dyDescent="0.3">
      <c r="D4885" t="str">
        <f t="shared" si="107"/>
        <v/>
      </c>
    </row>
    <row r="4886" spans="4:4" x14ac:dyDescent="0.3">
      <c r="D4886" t="str">
        <f t="shared" si="107"/>
        <v/>
      </c>
    </row>
    <row r="4887" spans="4:4" x14ac:dyDescent="0.3">
      <c r="D4887" t="str">
        <f t="shared" si="107"/>
        <v/>
      </c>
    </row>
    <row r="4888" spans="4:4" x14ac:dyDescent="0.3">
      <c r="D4888" t="str">
        <f t="shared" si="107"/>
        <v/>
      </c>
    </row>
    <row r="4889" spans="4:4" x14ac:dyDescent="0.3">
      <c r="D4889" t="str">
        <f t="shared" si="107"/>
        <v/>
      </c>
    </row>
    <row r="4890" spans="4:4" x14ac:dyDescent="0.3">
      <c r="D4890" t="str">
        <f t="shared" si="107"/>
        <v/>
      </c>
    </row>
    <row r="4891" spans="4:4" x14ac:dyDescent="0.3">
      <c r="D4891" t="str">
        <f t="shared" si="107"/>
        <v/>
      </c>
    </row>
    <row r="4892" spans="4:4" x14ac:dyDescent="0.3">
      <c r="D4892" t="str">
        <f t="shared" si="107"/>
        <v/>
      </c>
    </row>
    <row r="4893" spans="4:4" x14ac:dyDescent="0.3">
      <c r="D4893" t="str">
        <f t="shared" si="107"/>
        <v/>
      </c>
    </row>
    <row r="4894" spans="4:4" x14ac:dyDescent="0.3">
      <c r="D4894" t="str">
        <f t="shared" si="107"/>
        <v/>
      </c>
    </row>
    <row r="4895" spans="4:4" x14ac:dyDescent="0.3">
      <c r="D4895" t="str">
        <f t="shared" si="107"/>
        <v/>
      </c>
    </row>
    <row r="4896" spans="4:4" x14ac:dyDescent="0.3">
      <c r="D4896" t="str">
        <f t="shared" si="107"/>
        <v/>
      </c>
    </row>
    <row r="4897" spans="4:4" x14ac:dyDescent="0.3">
      <c r="D4897" t="str">
        <f t="shared" si="107"/>
        <v/>
      </c>
    </row>
    <row r="4898" spans="4:4" x14ac:dyDescent="0.3">
      <c r="D4898" t="str">
        <f t="shared" si="107"/>
        <v/>
      </c>
    </row>
    <row r="4899" spans="4:4" x14ac:dyDescent="0.3">
      <c r="D4899" t="str">
        <f t="shared" si="107"/>
        <v/>
      </c>
    </row>
    <row r="4900" spans="4:4" x14ac:dyDescent="0.3">
      <c r="D4900" t="str">
        <f t="shared" si="107"/>
        <v/>
      </c>
    </row>
    <row r="4901" spans="4:4" x14ac:dyDescent="0.3">
      <c r="D4901" t="str">
        <f t="shared" si="107"/>
        <v/>
      </c>
    </row>
    <row r="4902" spans="4:4" x14ac:dyDescent="0.3">
      <c r="D4902" t="str">
        <f t="shared" si="107"/>
        <v/>
      </c>
    </row>
    <row r="4903" spans="4:4" x14ac:dyDescent="0.3">
      <c r="D4903" t="str">
        <f t="shared" si="107"/>
        <v/>
      </c>
    </row>
    <row r="4904" spans="4:4" x14ac:dyDescent="0.3">
      <c r="D4904" t="str">
        <f t="shared" si="107"/>
        <v/>
      </c>
    </row>
    <row r="4905" spans="4:4" x14ac:dyDescent="0.3">
      <c r="D4905" t="str">
        <f t="shared" si="107"/>
        <v/>
      </c>
    </row>
    <row r="4906" spans="4:4" x14ac:dyDescent="0.3">
      <c r="D4906" t="str">
        <f t="shared" si="107"/>
        <v/>
      </c>
    </row>
    <row r="4907" spans="4:4" x14ac:dyDescent="0.3">
      <c r="D4907" t="str">
        <f t="shared" si="107"/>
        <v/>
      </c>
    </row>
    <row r="4908" spans="4:4" x14ac:dyDescent="0.3">
      <c r="D4908" t="str">
        <f t="shared" si="107"/>
        <v/>
      </c>
    </row>
    <row r="4909" spans="4:4" x14ac:dyDescent="0.3">
      <c r="D4909" t="str">
        <f t="shared" si="107"/>
        <v/>
      </c>
    </row>
    <row r="4910" spans="4:4" x14ac:dyDescent="0.3">
      <c r="D4910" t="str">
        <f t="shared" si="107"/>
        <v/>
      </c>
    </row>
    <row r="4911" spans="4:4" x14ac:dyDescent="0.3">
      <c r="D4911" t="str">
        <f t="shared" si="107"/>
        <v/>
      </c>
    </row>
    <row r="4912" spans="4:4" x14ac:dyDescent="0.3">
      <c r="D4912" t="str">
        <f t="shared" si="107"/>
        <v/>
      </c>
    </row>
    <row r="4913" spans="4:4" x14ac:dyDescent="0.3">
      <c r="D4913" t="str">
        <f t="shared" si="107"/>
        <v/>
      </c>
    </row>
    <row r="4914" spans="4:4" x14ac:dyDescent="0.3">
      <c r="D4914" t="str">
        <f t="shared" si="107"/>
        <v/>
      </c>
    </row>
    <row r="4915" spans="4:4" x14ac:dyDescent="0.3">
      <c r="D4915" t="str">
        <f t="shared" si="107"/>
        <v/>
      </c>
    </row>
    <row r="4916" spans="4:4" x14ac:dyDescent="0.3">
      <c r="D4916" t="str">
        <f t="shared" si="107"/>
        <v/>
      </c>
    </row>
    <row r="4917" spans="4:4" x14ac:dyDescent="0.3">
      <c r="D4917" t="str">
        <f t="shared" si="107"/>
        <v/>
      </c>
    </row>
    <row r="4918" spans="4:4" x14ac:dyDescent="0.3">
      <c r="D4918" t="str">
        <f t="shared" si="107"/>
        <v/>
      </c>
    </row>
    <row r="4919" spans="4:4" x14ac:dyDescent="0.3">
      <c r="D4919" t="str">
        <f t="shared" si="107"/>
        <v/>
      </c>
    </row>
    <row r="4920" spans="4:4" x14ac:dyDescent="0.3">
      <c r="D4920" t="str">
        <f t="shared" si="107"/>
        <v/>
      </c>
    </row>
    <row r="4921" spans="4:4" x14ac:dyDescent="0.3">
      <c r="D4921" t="str">
        <f t="shared" si="107"/>
        <v/>
      </c>
    </row>
    <row r="4922" spans="4:4" x14ac:dyDescent="0.3">
      <c r="D4922" t="str">
        <f t="shared" ref="D4922:D4985" si="108">IF(LEFT(A4922,2)="SP",MID(A4922,4,4),IF(LEFT(A4922,1)="X",MID(A4922,3,4),""))</f>
        <v/>
      </c>
    </row>
    <row r="4923" spans="4:4" x14ac:dyDescent="0.3">
      <c r="D4923" t="str">
        <f t="shared" si="108"/>
        <v/>
      </c>
    </row>
    <row r="4924" spans="4:4" x14ac:dyDescent="0.3">
      <c r="D4924" t="str">
        <f t="shared" si="108"/>
        <v/>
      </c>
    </row>
    <row r="4925" spans="4:4" x14ac:dyDescent="0.3">
      <c r="D4925" t="str">
        <f t="shared" si="108"/>
        <v/>
      </c>
    </row>
    <row r="4926" spans="4:4" x14ac:dyDescent="0.3">
      <c r="D4926" t="str">
        <f t="shared" si="108"/>
        <v/>
      </c>
    </row>
    <row r="4927" spans="4:4" x14ac:dyDescent="0.3">
      <c r="D4927" t="str">
        <f t="shared" si="108"/>
        <v/>
      </c>
    </row>
    <row r="4928" spans="4:4" x14ac:dyDescent="0.3">
      <c r="D4928" t="str">
        <f t="shared" si="108"/>
        <v/>
      </c>
    </row>
    <row r="4929" spans="4:4" x14ac:dyDescent="0.3">
      <c r="D4929" t="str">
        <f t="shared" si="108"/>
        <v/>
      </c>
    </row>
    <row r="4930" spans="4:4" x14ac:dyDescent="0.3">
      <c r="D4930" t="str">
        <f t="shared" si="108"/>
        <v/>
      </c>
    </row>
    <row r="4931" spans="4:4" x14ac:dyDescent="0.3">
      <c r="D4931" t="str">
        <f t="shared" si="108"/>
        <v/>
      </c>
    </row>
    <row r="4932" spans="4:4" x14ac:dyDescent="0.3">
      <c r="D4932" t="str">
        <f t="shared" si="108"/>
        <v/>
      </c>
    </row>
    <row r="4933" spans="4:4" x14ac:dyDescent="0.3">
      <c r="D4933" t="str">
        <f t="shared" si="108"/>
        <v/>
      </c>
    </row>
    <row r="4934" spans="4:4" x14ac:dyDescent="0.3">
      <c r="D4934" t="str">
        <f t="shared" si="108"/>
        <v/>
      </c>
    </row>
    <row r="4935" spans="4:4" x14ac:dyDescent="0.3">
      <c r="D4935" t="str">
        <f t="shared" si="108"/>
        <v/>
      </c>
    </row>
    <row r="4936" spans="4:4" x14ac:dyDescent="0.3">
      <c r="D4936" t="str">
        <f t="shared" si="108"/>
        <v/>
      </c>
    </row>
    <row r="4937" spans="4:4" x14ac:dyDescent="0.3">
      <c r="D4937" t="str">
        <f t="shared" si="108"/>
        <v/>
      </c>
    </row>
    <row r="4938" spans="4:4" x14ac:dyDescent="0.3">
      <c r="D4938" t="str">
        <f t="shared" si="108"/>
        <v/>
      </c>
    </row>
    <row r="4939" spans="4:4" x14ac:dyDescent="0.3">
      <c r="D4939" t="str">
        <f t="shared" si="108"/>
        <v/>
      </c>
    </row>
    <row r="4940" spans="4:4" x14ac:dyDescent="0.3">
      <c r="D4940" t="str">
        <f t="shared" si="108"/>
        <v/>
      </c>
    </row>
    <row r="4941" spans="4:4" x14ac:dyDescent="0.3">
      <c r="D4941" t="str">
        <f t="shared" si="108"/>
        <v/>
      </c>
    </row>
    <row r="4942" spans="4:4" x14ac:dyDescent="0.3">
      <c r="D4942" t="str">
        <f t="shared" si="108"/>
        <v/>
      </c>
    </row>
    <row r="4943" spans="4:4" x14ac:dyDescent="0.3">
      <c r="D4943" t="str">
        <f t="shared" si="108"/>
        <v/>
      </c>
    </row>
    <row r="4944" spans="4:4" x14ac:dyDescent="0.3">
      <c r="D4944" t="str">
        <f t="shared" si="108"/>
        <v/>
      </c>
    </row>
    <row r="4945" spans="4:4" x14ac:dyDescent="0.3">
      <c r="D4945" t="str">
        <f t="shared" si="108"/>
        <v/>
      </c>
    </row>
    <row r="4946" spans="4:4" x14ac:dyDescent="0.3">
      <c r="D4946" t="str">
        <f t="shared" si="108"/>
        <v/>
      </c>
    </row>
    <row r="4947" spans="4:4" x14ac:dyDescent="0.3">
      <c r="D4947" t="str">
        <f t="shared" si="108"/>
        <v/>
      </c>
    </row>
    <row r="4948" spans="4:4" x14ac:dyDescent="0.3">
      <c r="D4948" t="str">
        <f t="shared" si="108"/>
        <v/>
      </c>
    </row>
    <row r="4949" spans="4:4" x14ac:dyDescent="0.3">
      <c r="D4949" t="str">
        <f t="shared" si="108"/>
        <v/>
      </c>
    </row>
    <row r="4950" spans="4:4" x14ac:dyDescent="0.3">
      <c r="D4950" t="str">
        <f t="shared" si="108"/>
        <v/>
      </c>
    </row>
    <row r="4951" spans="4:4" x14ac:dyDescent="0.3">
      <c r="D4951" t="str">
        <f t="shared" si="108"/>
        <v/>
      </c>
    </row>
    <row r="4952" spans="4:4" x14ac:dyDescent="0.3">
      <c r="D4952" t="str">
        <f t="shared" si="108"/>
        <v/>
      </c>
    </row>
    <row r="4953" spans="4:4" x14ac:dyDescent="0.3">
      <c r="D4953" t="str">
        <f t="shared" si="108"/>
        <v/>
      </c>
    </row>
    <row r="4954" spans="4:4" x14ac:dyDescent="0.3">
      <c r="D4954" t="str">
        <f t="shared" si="108"/>
        <v/>
      </c>
    </row>
    <row r="4955" spans="4:4" x14ac:dyDescent="0.3">
      <c r="D4955" t="str">
        <f t="shared" si="108"/>
        <v/>
      </c>
    </row>
    <row r="4956" spans="4:4" x14ac:dyDescent="0.3">
      <c r="D4956" t="str">
        <f t="shared" si="108"/>
        <v/>
      </c>
    </row>
    <row r="4957" spans="4:4" x14ac:dyDescent="0.3">
      <c r="D4957" t="str">
        <f t="shared" si="108"/>
        <v/>
      </c>
    </row>
    <row r="4958" spans="4:4" x14ac:dyDescent="0.3">
      <c r="D4958" t="str">
        <f t="shared" si="108"/>
        <v/>
      </c>
    </row>
    <row r="4959" spans="4:4" x14ac:dyDescent="0.3">
      <c r="D4959" t="str">
        <f t="shared" si="108"/>
        <v/>
      </c>
    </row>
    <row r="4960" spans="4:4" x14ac:dyDescent="0.3">
      <c r="D4960" t="str">
        <f t="shared" si="108"/>
        <v/>
      </c>
    </row>
    <row r="4961" spans="4:4" x14ac:dyDescent="0.3">
      <c r="D4961" t="str">
        <f t="shared" si="108"/>
        <v/>
      </c>
    </row>
    <row r="4962" spans="4:4" x14ac:dyDescent="0.3">
      <c r="D4962" t="str">
        <f t="shared" si="108"/>
        <v/>
      </c>
    </row>
    <row r="4963" spans="4:4" x14ac:dyDescent="0.3">
      <c r="D4963" t="str">
        <f t="shared" si="108"/>
        <v/>
      </c>
    </row>
    <row r="4964" spans="4:4" x14ac:dyDescent="0.3">
      <c r="D4964" t="str">
        <f t="shared" si="108"/>
        <v/>
      </c>
    </row>
    <row r="4965" spans="4:4" x14ac:dyDescent="0.3">
      <c r="D4965" t="str">
        <f t="shared" si="108"/>
        <v/>
      </c>
    </row>
    <row r="4966" spans="4:4" x14ac:dyDescent="0.3">
      <c r="D4966" t="str">
        <f t="shared" si="108"/>
        <v/>
      </c>
    </row>
    <row r="4967" spans="4:4" x14ac:dyDescent="0.3">
      <c r="D4967" t="str">
        <f t="shared" si="108"/>
        <v/>
      </c>
    </row>
    <row r="4968" spans="4:4" x14ac:dyDescent="0.3">
      <c r="D4968" t="str">
        <f t="shared" si="108"/>
        <v/>
      </c>
    </row>
    <row r="4969" spans="4:4" x14ac:dyDescent="0.3">
      <c r="D4969" t="str">
        <f t="shared" si="108"/>
        <v/>
      </c>
    </row>
    <row r="4970" spans="4:4" x14ac:dyDescent="0.3">
      <c r="D4970" t="str">
        <f t="shared" si="108"/>
        <v/>
      </c>
    </row>
    <row r="4971" spans="4:4" x14ac:dyDescent="0.3">
      <c r="D4971" t="str">
        <f t="shared" si="108"/>
        <v/>
      </c>
    </row>
    <row r="4972" spans="4:4" x14ac:dyDescent="0.3">
      <c r="D4972" t="str">
        <f t="shared" si="108"/>
        <v/>
      </c>
    </row>
    <row r="4973" spans="4:4" x14ac:dyDescent="0.3">
      <c r="D4973" t="str">
        <f t="shared" si="108"/>
        <v/>
      </c>
    </row>
    <row r="4974" spans="4:4" x14ac:dyDescent="0.3">
      <c r="D4974" t="str">
        <f t="shared" si="108"/>
        <v/>
      </c>
    </row>
    <row r="4975" spans="4:4" x14ac:dyDescent="0.3">
      <c r="D4975" t="str">
        <f t="shared" si="108"/>
        <v/>
      </c>
    </row>
    <row r="4976" spans="4:4" x14ac:dyDescent="0.3">
      <c r="D4976" t="str">
        <f t="shared" si="108"/>
        <v/>
      </c>
    </row>
    <row r="4977" spans="4:4" x14ac:dyDescent="0.3">
      <c r="D4977" t="str">
        <f t="shared" si="108"/>
        <v/>
      </c>
    </row>
    <row r="4978" spans="4:4" x14ac:dyDescent="0.3">
      <c r="D4978" t="str">
        <f t="shared" si="108"/>
        <v/>
      </c>
    </row>
    <row r="4979" spans="4:4" x14ac:dyDescent="0.3">
      <c r="D4979" t="str">
        <f t="shared" si="108"/>
        <v/>
      </c>
    </row>
    <row r="4980" spans="4:4" x14ac:dyDescent="0.3">
      <c r="D4980" t="str">
        <f t="shared" si="108"/>
        <v/>
      </c>
    </row>
    <row r="4981" spans="4:4" x14ac:dyDescent="0.3">
      <c r="D4981" t="str">
        <f t="shared" si="108"/>
        <v/>
      </c>
    </row>
    <row r="4982" spans="4:4" x14ac:dyDescent="0.3">
      <c r="D4982" t="str">
        <f t="shared" si="108"/>
        <v/>
      </c>
    </row>
    <row r="4983" spans="4:4" x14ac:dyDescent="0.3">
      <c r="D4983" t="str">
        <f t="shared" si="108"/>
        <v/>
      </c>
    </row>
    <row r="4984" spans="4:4" x14ac:dyDescent="0.3">
      <c r="D4984" t="str">
        <f t="shared" si="108"/>
        <v/>
      </c>
    </row>
    <row r="4985" spans="4:4" x14ac:dyDescent="0.3">
      <c r="D4985" t="str">
        <f t="shared" si="108"/>
        <v/>
      </c>
    </row>
    <row r="4986" spans="4:4" x14ac:dyDescent="0.3">
      <c r="D4986" t="str">
        <f t="shared" ref="D4986:D5049" si="109">IF(LEFT(A4986,2)="SP",MID(A4986,4,4),IF(LEFT(A4986,1)="X",MID(A4986,3,4),""))</f>
        <v/>
      </c>
    </row>
    <row r="4987" spans="4:4" x14ac:dyDescent="0.3">
      <c r="D4987" t="str">
        <f t="shared" si="109"/>
        <v/>
      </c>
    </row>
    <row r="4988" spans="4:4" x14ac:dyDescent="0.3">
      <c r="D4988" t="str">
        <f t="shared" si="109"/>
        <v/>
      </c>
    </row>
    <row r="4989" spans="4:4" x14ac:dyDescent="0.3">
      <c r="D4989" t="str">
        <f t="shared" si="109"/>
        <v/>
      </c>
    </row>
    <row r="4990" spans="4:4" x14ac:dyDescent="0.3">
      <c r="D4990" t="str">
        <f t="shared" si="109"/>
        <v/>
      </c>
    </row>
    <row r="4991" spans="4:4" x14ac:dyDescent="0.3">
      <c r="D4991" t="str">
        <f t="shared" si="109"/>
        <v/>
      </c>
    </row>
    <row r="4992" spans="4:4" x14ac:dyDescent="0.3">
      <c r="D4992" t="str">
        <f t="shared" si="109"/>
        <v/>
      </c>
    </row>
    <row r="4993" spans="4:4" x14ac:dyDescent="0.3">
      <c r="D4993" t="str">
        <f t="shared" si="109"/>
        <v/>
      </c>
    </row>
    <row r="4994" spans="4:4" x14ac:dyDescent="0.3">
      <c r="D4994" t="str">
        <f t="shared" si="109"/>
        <v/>
      </c>
    </row>
    <row r="4995" spans="4:4" x14ac:dyDescent="0.3">
      <c r="D4995" t="str">
        <f t="shared" si="109"/>
        <v/>
      </c>
    </row>
    <row r="4996" spans="4:4" x14ac:dyDescent="0.3">
      <c r="D4996" t="str">
        <f t="shared" si="109"/>
        <v/>
      </c>
    </row>
    <row r="4997" spans="4:4" x14ac:dyDescent="0.3">
      <c r="D4997" t="str">
        <f t="shared" si="109"/>
        <v/>
      </c>
    </row>
    <row r="4998" spans="4:4" x14ac:dyDescent="0.3">
      <c r="D4998" t="str">
        <f t="shared" si="109"/>
        <v/>
      </c>
    </row>
    <row r="4999" spans="4:4" x14ac:dyDescent="0.3">
      <c r="D4999" t="str">
        <f t="shared" si="109"/>
        <v/>
      </c>
    </row>
    <row r="5000" spans="4:4" x14ac:dyDescent="0.3">
      <c r="D5000" t="str">
        <f t="shared" si="109"/>
        <v/>
      </c>
    </row>
    <row r="5001" spans="4:4" x14ac:dyDescent="0.3">
      <c r="D5001" t="str">
        <f t="shared" si="109"/>
        <v/>
      </c>
    </row>
    <row r="5002" spans="4:4" x14ac:dyDescent="0.3">
      <c r="D5002" t="str">
        <f t="shared" si="109"/>
        <v/>
      </c>
    </row>
    <row r="5003" spans="4:4" x14ac:dyDescent="0.3">
      <c r="D5003" t="str">
        <f t="shared" si="109"/>
        <v/>
      </c>
    </row>
    <row r="5004" spans="4:4" x14ac:dyDescent="0.3">
      <c r="D5004" t="str">
        <f t="shared" si="109"/>
        <v/>
      </c>
    </row>
    <row r="5005" spans="4:4" x14ac:dyDescent="0.3">
      <c r="D5005" t="str">
        <f t="shared" si="109"/>
        <v/>
      </c>
    </row>
    <row r="5006" spans="4:4" x14ac:dyDescent="0.3">
      <c r="D5006" t="str">
        <f t="shared" si="109"/>
        <v/>
      </c>
    </row>
    <row r="5007" spans="4:4" x14ac:dyDescent="0.3">
      <c r="D5007" t="str">
        <f t="shared" si="109"/>
        <v/>
      </c>
    </row>
    <row r="5008" spans="4:4" x14ac:dyDescent="0.3">
      <c r="D5008" t="str">
        <f t="shared" si="109"/>
        <v/>
      </c>
    </row>
    <row r="5009" spans="4:4" x14ac:dyDescent="0.3">
      <c r="D5009" t="str">
        <f t="shared" si="109"/>
        <v/>
      </c>
    </row>
    <row r="5010" spans="4:4" x14ac:dyDescent="0.3">
      <c r="D5010" t="str">
        <f t="shared" si="109"/>
        <v/>
      </c>
    </row>
    <row r="5011" spans="4:4" x14ac:dyDescent="0.3">
      <c r="D5011" t="str">
        <f t="shared" si="109"/>
        <v/>
      </c>
    </row>
    <row r="5012" spans="4:4" x14ac:dyDescent="0.3">
      <c r="D5012" t="str">
        <f t="shared" si="109"/>
        <v/>
      </c>
    </row>
    <row r="5013" spans="4:4" x14ac:dyDescent="0.3">
      <c r="D5013" t="str">
        <f t="shared" si="109"/>
        <v/>
      </c>
    </row>
    <row r="5014" spans="4:4" x14ac:dyDescent="0.3">
      <c r="D5014" t="str">
        <f t="shared" si="109"/>
        <v/>
      </c>
    </row>
    <row r="5015" spans="4:4" x14ac:dyDescent="0.3">
      <c r="D5015" t="str">
        <f t="shared" si="109"/>
        <v/>
      </c>
    </row>
    <row r="5016" spans="4:4" x14ac:dyDescent="0.3">
      <c r="D5016" t="str">
        <f t="shared" si="109"/>
        <v/>
      </c>
    </row>
    <row r="5017" spans="4:4" x14ac:dyDescent="0.3">
      <c r="D5017" t="str">
        <f t="shared" si="109"/>
        <v/>
      </c>
    </row>
    <row r="5018" spans="4:4" x14ac:dyDescent="0.3">
      <c r="D5018" t="str">
        <f t="shared" si="109"/>
        <v/>
      </c>
    </row>
    <row r="5019" spans="4:4" x14ac:dyDescent="0.3">
      <c r="D5019" t="str">
        <f t="shared" si="109"/>
        <v/>
      </c>
    </row>
    <row r="5020" spans="4:4" x14ac:dyDescent="0.3">
      <c r="D5020" t="str">
        <f t="shared" si="109"/>
        <v/>
      </c>
    </row>
    <row r="5021" spans="4:4" x14ac:dyDescent="0.3">
      <c r="D5021" t="str">
        <f t="shared" si="109"/>
        <v/>
      </c>
    </row>
    <row r="5022" spans="4:4" x14ac:dyDescent="0.3">
      <c r="D5022" t="str">
        <f t="shared" si="109"/>
        <v/>
      </c>
    </row>
    <row r="5023" spans="4:4" x14ac:dyDescent="0.3">
      <c r="D5023" t="str">
        <f t="shared" si="109"/>
        <v/>
      </c>
    </row>
    <row r="5024" spans="4:4" x14ac:dyDescent="0.3">
      <c r="D5024" t="str">
        <f t="shared" si="109"/>
        <v/>
      </c>
    </row>
    <row r="5025" spans="4:4" x14ac:dyDescent="0.3">
      <c r="D5025" t="str">
        <f t="shared" si="109"/>
        <v/>
      </c>
    </row>
    <row r="5026" spans="4:4" x14ac:dyDescent="0.3">
      <c r="D5026" t="str">
        <f t="shared" si="109"/>
        <v/>
      </c>
    </row>
    <row r="5027" spans="4:4" x14ac:dyDescent="0.3">
      <c r="D5027" t="str">
        <f t="shared" si="109"/>
        <v/>
      </c>
    </row>
    <row r="5028" spans="4:4" x14ac:dyDescent="0.3">
      <c r="D5028" t="str">
        <f t="shared" si="109"/>
        <v/>
      </c>
    </row>
    <row r="5029" spans="4:4" x14ac:dyDescent="0.3">
      <c r="D5029" t="str">
        <f t="shared" si="109"/>
        <v/>
      </c>
    </row>
    <row r="5030" spans="4:4" x14ac:dyDescent="0.3">
      <c r="D5030" t="str">
        <f t="shared" si="109"/>
        <v/>
      </c>
    </row>
    <row r="5031" spans="4:4" x14ac:dyDescent="0.3">
      <c r="D5031" t="str">
        <f t="shared" si="109"/>
        <v/>
      </c>
    </row>
    <row r="5032" spans="4:4" x14ac:dyDescent="0.3">
      <c r="D5032" t="str">
        <f t="shared" si="109"/>
        <v/>
      </c>
    </row>
    <row r="5033" spans="4:4" x14ac:dyDescent="0.3">
      <c r="D5033" t="str">
        <f t="shared" si="109"/>
        <v/>
      </c>
    </row>
    <row r="5034" spans="4:4" x14ac:dyDescent="0.3">
      <c r="D5034" t="str">
        <f t="shared" si="109"/>
        <v/>
      </c>
    </row>
    <row r="5035" spans="4:4" x14ac:dyDescent="0.3">
      <c r="D5035" t="str">
        <f t="shared" si="109"/>
        <v/>
      </c>
    </row>
    <row r="5036" spans="4:4" x14ac:dyDescent="0.3">
      <c r="D5036" t="str">
        <f t="shared" si="109"/>
        <v/>
      </c>
    </row>
    <row r="5037" spans="4:4" x14ac:dyDescent="0.3">
      <c r="D5037" t="str">
        <f t="shared" si="109"/>
        <v/>
      </c>
    </row>
    <row r="5038" spans="4:4" x14ac:dyDescent="0.3">
      <c r="D5038" t="str">
        <f t="shared" si="109"/>
        <v/>
      </c>
    </row>
    <row r="5039" spans="4:4" x14ac:dyDescent="0.3">
      <c r="D5039" t="str">
        <f t="shared" si="109"/>
        <v/>
      </c>
    </row>
    <row r="5040" spans="4:4" x14ac:dyDescent="0.3">
      <c r="D5040" t="str">
        <f t="shared" si="109"/>
        <v/>
      </c>
    </row>
    <row r="5041" spans="4:4" x14ac:dyDescent="0.3">
      <c r="D5041" t="str">
        <f t="shared" si="109"/>
        <v/>
      </c>
    </row>
    <row r="5042" spans="4:4" x14ac:dyDescent="0.3">
      <c r="D5042" t="str">
        <f t="shared" si="109"/>
        <v/>
      </c>
    </row>
    <row r="5043" spans="4:4" x14ac:dyDescent="0.3">
      <c r="D5043" t="str">
        <f t="shared" si="109"/>
        <v/>
      </c>
    </row>
    <row r="5044" spans="4:4" x14ac:dyDescent="0.3">
      <c r="D5044" t="str">
        <f t="shared" si="109"/>
        <v/>
      </c>
    </row>
    <row r="5045" spans="4:4" x14ac:dyDescent="0.3">
      <c r="D5045" t="str">
        <f t="shared" si="109"/>
        <v/>
      </c>
    </row>
    <row r="5046" spans="4:4" x14ac:dyDescent="0.3">
      <c r="D5046" t="str">
        <f t="shared" si="109"/>
        <v/>
      </c>
    </row>
    <row r="5047" spans="4:4" x14ac:dyDescent="0.3">
      <c r="D5047" t="str">
        <f t="shared" si="109"/>
        <v/>
      </c>
    </row>
    <row r="5048" spans="4:4" x14ac:dyDescent="0.3">
      <c r="D5048" t="str">
        <f t="shared" si="109"/>
        <v/>
      </c>
    </row>
    <row r="5049" spans="4:4" x14ac:dyDescent="0.3">
      <c r="D5049" t="str">
        <f t="shared" si="109"/>
        <v/>
      </c>
    </row>
    <row r="5050" spans="4:4" x14ac:dyDescent="0.3">
      <c r="D5050" t="str">
        <f t="shared" ref="D5050:D5113" si="110">IF(LEFT(A5050,2)="SP",MID(A5050,4,4),IF(LEFT(A5050,1)="X",MID(A5050,3,4),""))</f>
        <v/>
      </c>
    </row>
    <row r="5051" spans="4:4" x14ac:dyDescent="0.3">
      <c r="D5051" t="str">
        <f t="shared" si="110"/>
        <v/>
      </c>
    </row>
    <row r="5052" spans="4:4" x14ac:dyDescent="0.3">
      <c r="D5052" t="str">
        <f t="shared" si="110"/>
        <v/>
      </c>
    </row>
    <row r="5053" spans="4:4" x14ac:dyDescent="0.3">
      <c r="D5053" t="str">
        <f t="shared" si="110"/>
        <v/>
      </c>
    </row>
    <row r="5054" spans="4:4" x14ac:dyDescent="0.3">
      <c r="D5054" t="str">
        <f t="shared" si="110"/>
        <v/>
      </c>
    </row>
    <row r="5055" spans="4:4" x14ac:dyDescent="0.3">
      <c r="D5055" t="str">
        <f t="shared" si="110"/>
        <v/>
      </c>
    </row>
    <row r="5056" spans="4:4" x14ac:dyDescent="0.3">
      <c r="D5056" t="str">
        <f t="shared" si="110"/>
        <v/>
      </c>
    </row>
    <row r="5057" spans="4:4" x14ac:dyDescent="0.3">
      <c r="D5057" t="str">
        <f t="shared" si="110"/>
        <v/>
      </c>
    </row>
    <row r="5058" spans="4:4" x14ac:dyDescent="0.3">
      <c r="D5058" t="str">
        <f t="shared" si="110"/>
        <v/>
      </c>
    </row>
    <row r="5059" spans="4:4" x14ac:dyDescent="0.3">
      <c r="D5059" t="str">
        <f t="shared" si="110"/>
        <v/>
      </c>
    </row>
    <row r="5060" spans="4:4" x14ac:dyDescent="0.3">
      <c r="D5060" t="str">
        <f t="shared" si="110"/>
        <v/>
      </c>
    </row>
    <row r="5061" spans="4:4" x14ac:dyDescent="0.3">
      <c r="D5061" t="str">
        <f t="shared" si="110"/>
        <v/>
      </c>
    </row>
    <row r="5062" spans="4:4" x14ac:dyDescent="0.3">
      <c r="D5062" t="str">
        <f t="shared" si="110"/>
        <v/>
      </c>
    </row>
    <row r="5063" spans="4:4" x14ac:dyDescent="0.3">
      <c r="D5063" t="str">
        <f t="shared" si="110"/>
        <v/>
      </c>
    </row>
    <row r="5064" spans="4:4" x14ac:dyDescent="0.3">
      <c r="D5064" t="str">
        <f t="shared" si="110"/>
        <v/>
      </c>
    </row>
    <row r="5065" spans="4:4" x14ac:dyDescent="0.3">
      <c r="D5065" t="str">
        <f t="shared" si="110"/>
        <v/>
      </c>
    </row>
    <row r="5066" spans="4:4" x14ac:dyDescent="0.3">
      <c r="D5066" t="str">
        <f t="shared" si="110"/>
        <v/>
      </c>
    </row>
    <row r="5067" spans="4:4" x14ac:dyDescent="0.3">
      <c r="D5067" t="str">
        <f t="shared" si="110"/>
        <v/>
      </c>
    </row>
    <row r="5068" spans="4:4" x14ac:dyDescent="0.3">
      <c r="D5068" t="str">
        <f t="shared" si="110"/>
        <v/>
      </c>
    </row>
    <row r="5069" spans="4:4" x14ac:dyDescent="0.3">
      <c r="D5069" t="str">
        <f t="shared" si="110"/>
        <v/>
      </c>
    </row>
    <row r="5070" spans="4:4" x14ac:dyDescent="0.3">
      <c r="D5070" t="str">
        <f t="shared" si="110"/>
        <v/>
      </c>
    </row>
    <row r="5071" spans="4:4" x14ac:dyDescent="0.3">
      <c r="D5071" t="str">
        <f t="shared" si="110"/>
        <v/>
      </c>
    </row>
    <row r="5072" spans="4:4" x14ac:dyDescent="0.3">
      <c r="D5072" t="str">
        <f t="shared" si="110"/>
        <v/>
      </c>
    </row>
    <row r="5073" spans="4:4" x14ac:dyDescent="0.3">
      <c r="D5073" t="str">
        <f t="shared" si="110"/>
        <v/>
      </c>
    </row>
    <row r="5074" spans="4:4" x14ac:dyDescent="0.3">
      <c r="D5074" t="str">
        <f t="shared" si="110"/>
        <v/>
      </c>
    </row>
    <row r="5075" spans="4:4" x14ac:dyDescent="0.3">
      <c r="D5075" t="str">
        <f t="shared" si="110"/>
        <v/>
      </c>
    </row>
    <row r="5076" spans="4:4" x14ac:dyDescent="0.3">
      <c r="D5076" t="str">
        <f t="shared" si="110"/>
        <v/>
      </c>
    </row>
    <row r="5077" spans="4:4" x14ac:dyDescent="0.3">
      <c r="D5077" t="str">
        <f t="shared" si="110"/>
        <v/>
      </c>
    </row>
    <row r="5078" spans="4:4" x14ac:dyDescent="0.3">
      <c r="D5078" t="str">
        <f t="shared" si="110"/>
        <v/>
      </c>
    </row>
    <row r="5079" spans="4:4" x14ac:dyDescent="0.3">
      <c r="D5079" t="str">
        <f t="shared" si="110"/>
        <v/>
      </c>
    </row>
    <row r="5080" spans="4:4" x14ac:dyDescent="0.3">
      <c r="D5080" t="str">
        <f t="shared" si="110"/>
        <v/>
      </c>
    </row>
    <row r="5081" spans="4:4" x14ac:dyDescent="0.3">
      <c r="D5081" t="str">
        <f t="shared" si="110"/>
        <v/>
      </c>
    </row>
    <row r="5082" spans="4:4" x14ac:dyDescent="0.3">
      <c r="D5082" t="str">
        <f t="shared" si="110"/>
        <v/>
      </c>
    </row>
    <row r="5083" spans="4:4" x14ac:dyDescent="0.3">
      <c r="D5083" t="str">
        <f t="shared" si="110"/>
        <v/>
      </c>
    </row>
    <row r="5084" spans="4:4" x14ac:dyDescent="0.3">
      <c r="D5084" t="str">
        <f t="shared" si="110"/>
        <v/>
      </c>
    </row>
    <row r="5085" spans="4:4" x14ac:dyDescent="0.3">
      <c r="D5085" t="str">
        <f t="shared" si="110"/>
        <v/>
      </c>
    </row>
    <row r="5086" spans="4:4" x14ac:dyDescent="0.3">
      <c r="D5086" t="str">
        <f t="shared" si="110"/>
        <v/>
      </c>
    </row>
    <row r="5087" spans="4:4" x14ac:dyDescent="0.3">
      <c r="D5087" t="str">
        <f t="shared" si="110"/>
        <v/>
      </c>
    </row>
    <row r="5088" spans="4:4" x14ac:dyDescent="0.3">
      <c r="D5088" t="str">
        <f t="shared" si="110"/>
        <v/>
      </c>
    </row>
    <row r="5089" spans="4:4" x14ac:dyDescent="0.3">
      <c r="D5089" t="str">
        <f t="shared" si="110"/>
        <v/>
      </c>
    </row>
    <row r="5090" spans="4:4" x14ac:dyDescent="0.3">
      <c r="D5090" t="str">
        <f t="shared" si="110"/>
        <v/>
      </c>
    </row>
    <row r="5091" spans="4:4" x14ac:dyDescent="0.3">
      <c r="D5091" t="str">
        <f t="shared" si="110"/>
        <v/>
      </c>
    </row>
    <row r="5092" spans="4:4" x14ac:dyDescent="0.3">
      <c r="D5092" t="str">
        <f t="shared" si="110"/>
        <v/>
      </c>
    </row>
    <row r="5093" spans="4:4" x14ac:dyDescent="0.3">
      <c r="D5093" t="str">
        <f t="shared" si="110"/>
        <v/>
      </c>
    </row>
    <row r="5094" spans="4:4" x14ac:dyDescent="0.3">
      <c r="D5094" t="str">
        <f t="shared" si="110"/>
        <v/>
      </c>
    </row>
    <row r="5095" spans="4:4" x14ac:dyDescent="0.3">
      <c r="D5095" t="str">
        <f t="shared" si="110"/>
        <v/>
      </c>
    </row>
    <row r="5096" spans="4:4" x14ac:dyDescent="0.3">
      <c r="D5096" t="str">
        <f t="shared" si="110"/>
        <v/>
      </c>
    </row>
    <row r="5097" spans="4:4" x14ac:dyDescent="0.3">
      <c r="D5097" t="str">
        <f t="shared" si="110"/>
        <v/>
      </c>
    </row>
    <row r="5098" spans="4:4" x14ac:dyDescent="0.3">
      <c r="D5098" t="str">
        <f t="shared" si="110"/>
        <v/>
      </c>
    </row>
    <row r="5099" spans="4:4" x14ac:dyDescent="0.3">
      <c r="D5099" t="str">
        <f t="shared" si="110"/>
        <v/>
      </c>
    </row>
    <row r="5100" spans="4:4" x14ac:dyDescent="0.3">
      <c r="D5100" t="str">
        <f t="shared" si="110"/>
        <v/>
      </c>
    </row>
    <row r="5101" spans="4:4" x14ac:dyDescent="0.3">
      <c r="D5101" t="str">
        <f t="shared" si="110"/>
        <v/>
      </c>
    </row>
    <row r="5102" spans="4:4" x14ac:dyDescent="0.3">
      <c r="D5102" t="str">
        <f t="shared" si="110"/>
        <v/>
      </c>
    </row>
    <row r="5103" spans="4:4" x14ac:dyDescent="0.3">
      <c r="D5103" t="str">
        <f t="shared" si="110"/>
        <v/>
      </c>
    </row>
    <row r="5104" spans="4:4" x14ac:dyDescent="0.3">
      <c r="D5104" t="str">
        <f t="shared" si="110"/>
        <v/>
      </c>
    </row>
    <row r="5105" spans="4:4" x14ac:dyDescent="0.3">
      <c r="D5105" t="str">
        <f t="shared" si="110"/>
        <v/>
      </c>
    </row>
    <row r="5106" spans="4:4" x14ac:dyDescent="0.3">
      <c r="D5106" t="str">
        <f t="shared" si="110"/>
        <v/>
      </c>
    </row>
    <row r="5107" spans="4:4" x14ac:dyDescent="0.3">
      <c r="D5107" t="str">
        <f t="shared" si="110"/>
        <v/>
      </c>
    </row>
    <row r="5108" spans="4:4" x14ac:dyDescent="0.3">
      <c r="D5108" t="str">
        <f t="shared" si="110"/>
        <v/>
      </c>
    </row>
    <row r="5109" spans="4:4" x14ac:dyDescent="0.3">
      <c r="D5109" t="str">
        <f t="shared" si="110"/>
        <v/>
      </c>
    </row>
    <row r="5110" spans="4:4" x14ac:dyDescent="0.3">
      <c r="D5110" t="str">
        <f t="shared" si="110"/>
        <v/>
      </c>
    </row>
    <row r="5111" spans="4:4" x14ac:dyDescent="0.3">
      <c r="D5111" t="str">
        <f t="shared" si="110"/>
        <v/>
      </c>
    </row>
    <row r="5112" spans="4:4" x14ac:dyDescent="0.3">
      <c r="D5112" t="str">
        <f t="shared" si="110"/>
        <v/>
      </c>
    </row>
    <row r="5113" spans="4:4" x14ac:dyDescent="0.3">
      <c r="D5113" t="str">
        <f t="shared" si="110"/>
        <v/>
      </c>
    </row>
    <row r="5114" spans="4:4" x14ac:dyDescent="0.3">
      <c r="D5114" t="str">
        <f t="shared" ref="D5114:D5177" si="111">IF(LEFT(A5114,2)="SP",MID(A5114,4,4),IF(LEFT(A5114,1)="X",MID(A5114,3,4),""))</f>
        <v/>
      </c>
    </row>
    <row r="5115" spans="4:4" x14ac:dyDescent="0.3">
      <c r="D5115" t="str">
        <f t="shared" si="111"/>
        <v/>
      </c>
    </row>
    <row r="5116" spans="4:4" x14ac:dyDescent="0.3">
      <c r="D5116" t="str">
        <f t="shared" si="111"/>
        <v/>
      </c>
    </row>
    <row r="5117" spans="4:4" x14ac:dyDescent="0.3">
      <c r="D5117" t="str">
        <f t="shared" si="111"/>
        <v/>
      </c>
    </row>
    <row r="5118" spans="4:4" x14ac:dyDescent="0.3">
      <c r="D5118" t="str">
        <f t="shared" si="111"/>
        <v/>
      </c>
    </row>
    <row r="5119" spans="4:4" x14ac:dyDescent="0.3">
      <c r="D5119" t="str">
        <f t="shared" si="111"/>
        <v/>
      </c>
    </row>
    <row r="5120" spans="4:4" x14ac:dyDescent="0.3">
      <c r="D5120" t="str">
        <f t="shared" si="111"/>
        <v/>
      </c>
    </row>
    <row r="5121" spans="4:4" x14ac:dyDescent="0.3">
      <c r="D5121" t="str">
        <f t="shared" si="111"/>
        <v/>
      </c>
    </row>
    <row r="5122" spans="4:4" x14ac:dyDescent="0.3">
      <c r="D5122" t="str">
        <f t="shared" si="111"/>
        <v/>
      </c>
    </row>
    <row r="5123" spans="4:4" x14ac:dyDescent="0.3">
      <c r="D5123" t="str">
        <f t="shared" si="111"/>
        <v/>
      </c>
    </row>
    <row r="5124" spans="4:4" x14ac:dyDescent="0.3">
      <c r="D5124" t="str">
        <f t="shared" si="111"/>
        <v/>
      </c>
    </row>
    <row r="5125" spans="4:4" x14ac:dyDescent="0.3">
      <c r="D5125" t="str">
        <f t="shared" si="111"/>
        <v/>
      </c>
    </row>
    <row r="5126" spans="4:4" x14ac:dyDescent="0.3">
      <c r="D5126" t="str">
        <f t="shared" si="111"/>
        <v/>
      </c>
    </row>
    <row r="5127" spans="4:4" x14ac:dyDescent="0.3">
      <c r="D5127" t="str">
        <f t="shared" si="111"/>
        <v/>
      </c>
    </row>
    <row r="5128" spans="4:4" x14ac:dyDescent="0.3">
      <c r="D5128" t="str">
        <f t="shared" si="111"/>
        <v/>
      </c>
    </row>
    <row r="5129" spans="4:4" x14ac:dyDescent="0.3">
      <c r="D5129" t="str">
        <f t="shared" si="111"/>
        <v/>
      </c>
    </row>
    <row r="5130" spans="4:4" x14ac:dyDescent="0.3">
      <c r="D5130" t="str">
        <f t="shared" si="111"/>
        <v/>
      </c>
    </row>
    <row r="5131" spans="4:4" x14ac:dyDescent="0.3">
      <c r="D5131" t="str">
        <f t="shared" si="111"/>
        <v/>
      </c>
    </row>
    <row r="5132" spans="4:4" x14ac:dyDescent="0.3">
      <c r="D5132" t="str">
        <f t="shared" si="111"/>
        <v/>
      </c>
    </row>
    <row r="5133" spans="4:4" x14ac:dyDescent="0.3">
      <c r="D5133" t="str">
        <f t="shared" si="111"/>
        <v/>
      </c>
    </row>
    <row r="5134" spans="4:4" x14ac:dyDescent="0.3">
      <c r="D5134" t="str">
        <f t="shared" si="111"/>
        <v/>
      </c>
    </row>
    <row r="5135" spans="4:4" x14ac:dyDescent="0.3">
      <c r="D5135" t="str">
        <f t="shared" si="111"/>
        <v/>
      </c>
    </row>
    <row r="5136" spans="4:4" x14ac:dyDescent="0.3">
      <c r="D5136" t="str">
        <f t="shared" si="111"/>
        <v/>
      </c>
    </row>
    <row r="5137" spans="4:4" x14ac:dyDescent="0.3">
      <c r="D5137" t="str">
        <f t="shared" si="111"/>
        <v/>
      </c>
    </row>
    <row r="5138" spans="4:4" x14ac:dyDescent="0.3">
      <c r="D5138" t="str">
        <f t="shared" si="111"/>
        <v/>
      </c>
    </row>
    <row r="5139" spans="4:4" x14ac:dyDescent="0.3">
      <c r="D5139" t="str">
        <f t="shared" si="111"/>
        <v/>
      </c>
    </row>
    <row r="5140" spans="4:4" x14ac:dyDescent="0.3">
      <c r="D5140" t="str">
        <f t="shared" si="111"/>
        <v/>
      </c>
    </row>
    <row r="5141" spans="4:4" x14ac:dyDescent="0.3">
      <c r="D5141" t="str">
        <f t="shared" si="111"/>
        <v/>
      </c>
    </row>
    <row r="5142" spans="4:4" x14ac:dyDescent="0.3">
      <c r="D5142" t="str">
        <f t="shared" si="111"/>
        <v/>
      </c>
    </row>
    <row r="5143" spans="4:4" x14ac:dyDescent="0.3">
      <c r="D5143" t="str">
        <f t="shared" si="111"/>
        <v/>
      </c>
    </row>
    <row r="5144" spans="4:4" x14ac:dyDescent="0.3">
      <c r="D5144" t="str">
        <f t="shared" si="111"/>
        <v/>
      </c>
    </row>
    <row r="5145" spans="4:4" x14ac:dyDescent="0.3">
      <c r="D5145" t="str">
        <f t="shared" si="111"/>
        <v/>
      </c>
    </row>
    <row r="5146" spans="4:4" x14ac:dyDescent="0.3">
      <c r="D5146" t="str">
        <f t="shared" si="111"/>
        <v/>
      </c>
    </row>
    <row r="5147" spans="4:4" x14ac:dyDescent="0.3">
      <c r="D5147" t="str">
        <f t="shared" si="111"/>
        <v/>
      </c>
    </row>
    <row r="5148" spans="4:4" x14ac:dyDescent="0.3">
      <c r="D5148" t="str">
        <f t="shared" si="111"/>
        <v/>
      </c>
    </row>
    <row r="5149" spans="4:4" x14ac:dyDescent="0.3">
      <c r="D5149" t="str">
        <f t="shared" si="111"/>
        <v/>
      </c>
    </row>
    <row r="5150" spans="4:4" x14ac:dyDescent="0.3">
      <c r="D5150" t="str">
        <f t="shared" si="111"/>
        <v/>
      </c>
    </row>
    <row r="5151" spans="4:4" x14ac:dyDescent="0.3">
      <c r="D5151" t="str">
        <f t="shared" si="111"/>
        <v/>
      </c>
    </row>
    <row r="5152" spans="4:4" x14ac:dyDescent="0.3">
      <c r="D5152" t="str">
        <f t="shared" si="111"/>
        <v/>
      </c>
    </row>
    <row r="5153" spans="4:4" x14ac:dyDescent="0.3">
      <c r="D5153" t="str">
        <f t="shared" si="111"/>
        <v/>
      </c>
    </row>
    <row r="5154" spans="4:4" x14ac:dyDescent="0.3">
      <c r="D5154" t="str">
        <f t="shared" si="111"/>
        <v/>
      </c>
    </row>
    <row r="5155" spans="4:4" x14ac:dyDescent="0.3">
      <c r="D5155" t="str">
        <f t="shared" si="111"/>
        <v/>
      </c>
    </row>
    <row r="5156" spans="4:4" x14ac:dyDescent="0.3">
      <c r="D5156" t="str">
        <f t="shared" si="111"/>
        <v/>
      </c>
    </row>
    <row r="5157" spans="4:4" x14ac:dyDescent="0.3">
      <c r="D5157" t="str">
        <f t="shared" si="111"/>
        <v/>
      </c>
    </row>
    <row r="5158" spans="4:4" x14ac:dyDescent="0.3">
      <c r="D5158" t="str">
        <f t="shared" si="111"/>
        <v/>
      </c>
    </row>
    <row r="5159" spans="4:4" x14ac:dyDescent="0.3">
      <c r="D5159" t="str">
        <f t="shared" si="111"/>
        <v/>
      </c>
    </row>
    <row r="5160" spans="4:4" x14ac:dyDescent="0.3">
      <c r="D5160" t="str">
        <f t="shared" si="111"/>
        <v/>
      </c>
    </row>
    <row r="5161" spans="4:4" x14ac:dyDescent="0.3">
      <c r="D5161" t="str">
        <f t="shared" si="111"/>
        <v/>
      </c>
    </row>
    <row r="5162" spans="4:4" x14ac:dyDescent="0.3">
      <c r="D5162" t="str">
        <f t="shared" si="111"/>
        <v/>
      </c>
    </row>
    <row r="5163" spans="4:4" x14ac:dyDescent="0.3">
      <c r="D5163" t="str">
        <f t="shared" si="111"/>
        <v/>
      </c>
    </row>
    <row r="5164" spans="4:4" x14ac:dyDescent="0.3">
      <c r="D5164" t="str">
        <f t="shared" si="111"/>
        <v/>
      </c>
    </row>
    <row r="5165" spans="4:4" x14ac:dyDescent="0.3">
      <c r="D5165" t="str">
        <f t="shared" si="111"/>
        <v/>
      </c>
    </row>
    <row r="5166" spans="4:4" x14ac:dyDescent="0.3">
      <c r="D5166" t="str">
        <f t="shared" si="111"/>
        <v/>
      </c>
    </row>
    <row r="5167" spans="4:4" x14ac:dyDescent="0.3">
      <c r="D5167" t="str">
        <f t="shared" si="111"/>
        <v/>
      </c>
    </row>
    <row r="5168" spans="4:4" x14ac:dyDescent="0.3">
      <c r="D5168" t="str">
        <f t="shared" si="111"/>
        <v/>
      </c>
    </row>
    <row r="5169" spans="4:4" x14ac:dyDescent="0.3">
      <c r="D5169" t="str">
        <f t="shared" si="111"/>
        <v/>
      </c>
    </row>
    <row r="5170" spans="4:4" x14ac:dyDescent="0.3">
      <c r="D5170" t="str">
        <f t="shared" si="111"/>
        <v/>
      </c>
    </row>
    <row r="5171" spans="4:4" x14ac:dyDescent="0.3">
      <c r="D5171" t="str">
        <f t="shared" si="111"/>
        <v/>
      </c>
    </row>
    <row r="5172" spans="4:4" x14ac:dyDescent="0.3">
      <c r="D5172" t="str">
        <f t="shared" si="111"/>
        <v/>
      </c>
    </row>
    <row r="5173" spans="4:4" x14ac:dyDescent="0.3">
      <c r="D5173" t="str">
        <f t="shared" si="111"/>
        <v/>
      </c>
    </row>
    <row r="5174" spans="4:4" x14ac:dyDescent="0.3">
      <c r="D5174" t="str">
        <f t="shared" si="111"/>
        <v/>
      </c>
    </row>
    <row r="5175" spans="4:4" x14ac:dyDescent="0.3">
      <c r="D5175" t="str">
        <f t="shared" si="111"/>
        <v/>
      </c>
    </row>
    <row r="5176" spans="4:4" x14ac:dyDescent="0.3">
      <c r="D5176" t="str">
        <f t="shared" si="111"/>
        <v/>
      </c>
    </row>
    <row r="5177" spans="4:4" x14ac:dyDescent="0.3">
      <c r="D5177" t="str">
        <f t="shared" si="111"/>
        <v/>
      </c>
    </row>
    <row r="5178" spans="4:4" x14ac:dyDescent="0.3">
      <c r="D5178" t="str">
        <f t="shared" ref="D5178:D5241" si="112">IF(LEFT(A5178,2)="SP",MID(A5178,4,4),IF(LEFT(A5178,1)="X",MID(A5178,3,4),""))</f>
        <v/>
      </c>
    </row>
    <row r="5179" spans="4:4" x14ac:dyDescent="0.3">
      <c r="D5179" t="str">
        <f t="shared" si="112"/>
        <v/>
      </c>
    </row>
    <row r="5180" spans="4:4" x14ac:dyDescent="0.3">
      <c r="D5180" t="str">
        <f t="shared" si="112"/>
        <v/>
      </c>
    </row>
    <row r="5181" spans="4:4" x14ac:dyDescent="0.3">
      <c r="D5181" t="str">
        <f t="shared" si="112"/>
        <v/>
      </c>
    </row>
    <row r="5182" spans="4:4" x14ac:dyDescent="0.3">
      <c r="D5182" t="str">
        <f t="shared" si="112"/>
        <v/>
      </c>
    </row>
    <row r="5183" spans="4:4" x14ac:dyDescent="0.3">
      <c r="D5183" t="str">
        <f t="shared" si="112"/>
        <v/>
      </c>
    </row>
    <row r="5184" spans="4:4" x14ac:dyDescent="0.3">
      <c r="D5184" t="str">
        <f t="shared" si="112"/>
        <v/>
      </c>
    </row>
    <row r="5185" spans="4:4" x14ac:dyDescent="0.3">
      <c r="D5185" t="str">
        <f t="shared" si="112"/>
        <v/>
      </c>
    </row>
    <row r="5186" spans="4:4" x14ac:dyDescent="0.3">
      <c r="D5186" t="str">
        <f t="shared" si="112"/>
        <v/>
      </c>
    </row>
    <row r="5187" spans="4:4" x14ac:dyDescent="0.3">
      <c r="D5187" t="str">
        <f t="shared" si="112"/>
        <v/>
      </c>
    </row>
    <row r="5188" spans="4:4" x14ac:dyDescent="0.3">
      <c r="D5188" t="str">
        <f t="shared" si="112"/>
        <v/>
      </c>
    </row>
    <row r="5189" spans="4:4" x14ac:dyDescent="0.3">
      <c r="D5189" t="str">
        <f t="shared" si="112"/>
        <v/>
      </c>
    </row>
    <row r="5190" spans="4:4" x14ac:dyDescent="0.3">
      <c r="D5190" t="str">
        <f t="shared" si="112"/>
        <v/>
      </c>
    </row>
    <row r="5191" spans="4:4" x14ac:dyDescent="0.3">
      <c r="D5191" t="str">
        <f t="shared" si="112"/>
        <v/>
      </c>
    </row>
    <row r="5192" spans="4:4" x14ac:dyDescent="0.3">
      <c r="D5192" t="str">
        <f t="shared" si="112"/>
        <v/>
      </c>
    </row>
    <row r="5193" spans="4:4" x14ac:dyDescent="0.3">
      <c r="D5193" t="str">
        <f t="shared" si="112"/>
        <v/>
      </c>
    </row>
    <row r="5194" spans="4:4" x14ac:dyDescent="0.3">
      <c r="D5194" t="str">
        <f t="shared" si="112"/>
        <v/>
      </c>
    </row>
    <row r="5195" spans="4:4" x14ac:dyDescent="0.3">
      <c r="D5195" t="str">
        <f t="shared" si="112"/>
        <v/>
      </c>
    </row>
    <row r="5196" spans="4:4" x14ac:dyDescent="0.3">
      <c r="D5196" t="str">
        <f t="shared" si="112"/>
        <v/>
      </c>
    </row>
    <row r="5197" spans="4:4" x14ac:dyDescent="0.3">
      <c r="D5197" t="str">
        <f t="shared" si="112"/>
        <v/>
      </c>
    </row>
    <row r="5198" spans="4:4" x14ac:dyDescent="0.3">
      <c r="D5198" t="str">
        <f t="shared" si="112"/>
        <v/>
      </c>
    </row>
    <row r="5199" spans="4:4" x14ac:dyDescent="0.3">
      <c r="D5199" t="str">
        <f t="shared" si="112"/>
        <v/>
      </c>
    </row>
    <row r="5200" spans="4:4" x14ac:dyDescent="0.3">
      <c r="D5200" t="str">
        <f t="shared" si="112"/>
        <v/>
      </c>
    </row>
    <row r="5201" spans="4:4" x14ac:dyDescent="0.3">
      <c r="D5201" t="str">
        <f t="shared" si="112"/>
        <v/>
      </c>
    </row>
    <row r="5202" spans="4:4" x14ac:dyDescent="0.3">
      <c r="D5202" t="str">
        <f t="shared" si="112"/>
        <v/>
      </c>
    </row>
    <row r="5203" spans="4:4" x14ac:dyDescent="0.3">
      <c r="D5203" t="str">
        <f t="shared" si="112"/>
        <v/>
      </c>
    </row>
    <row r="5204" spans="4:4" x14ac:dyDescent="0.3">
      <c r="D5204" t="str">
        <f t="shared" si="112"/>
        <v/>
      </c>
    </row>
    <row r="5205" spans="4:4" x14ac:dyDescent="0.3">
      <c r="D5205" t="str">
        <f t="shared" si="112"/>
        <v/>
      </c>
    </row>
    <row r="5206" spans="4:4" x14ac:dyDescent="0.3">
      <c r="D5206" t="str">
        <f t="shared" si="112"/>
        <v/>
      </c>
    </row>
    <row r="5207" spans="4:4" x14ac:dyDescent="0.3">
      <c r="D5207" t="str">
        <f t="shared" si="112"/>
        <v/>
      </c>
    </row>
    <row r="5208" spans="4:4" x14ac:dyDescent="0.3">
      <c r="D5208" t="str">
        <f t="shared" si="112"/>
        <v/>
      </c>
    </row>
    <row r="5209" spans="4:4" x14ac:dyDescent="0.3">
      <c r="D5209" t="str">
        <f t="shared" si="112"/>
        <v/>
      </c>
    </row>
    <row r="5210" spans="4:4" x14ac:dyDescent="0.3">
      <c r="D5210" t="str">
        <f t="shared" si="112"/>
        <v/>
      </c>
    </row>
    <row r="5211" spans="4:4" x14ac:dyDescent="0.3">
      <c r="D5211" t="str">
        <f t="shared" si="112"/>
        <v/>
      </c>
    </row>
    <row r="5212" spans="4:4" x14ac:dyDescent="0.3">
      <c r="D5212" t="str">
        <f t="shared" si="112"/>
        <v/>
      </c>
    </row>
    <row r="5213" spans="4:4" x14ac:dyDescent="0.3">
      <c r="D5213" t="str">
        <f t="shared" si="112"/>
        <v/>
      </c>
    </row>
    <row r="5214" spans="4:4" x14ac:dyDescent="0.3">
      <c r="D5214" t="str">
        <f t="shared" si="112"/>
        <v/>
      </c>
    </row>
    <row r="5215" spans="4:4" x14ac:dyDescent="0.3">
      <c r="D5215" t="str">
        <f t="shared" si="112"/>
        <v/>
      </c>
    </row>
    <row r="5216" spans="4:4" x14ac:dyDescent="0.3">
      <c r="D5216" t="str">
        <f t="shared" si="112"/>
        <v/>
      </c>
    </row>
    <row r="5217" spans="4:4" x14ac:dyDescent="0.3">
      <c r="D5217" t="str">
        <f t="shared" si="112"/>
        <v/>
      </c>
    </row>
    <row r="5218" spans="4:4" x14ac:dyDescent="0.3">
      <c r="D5218" t="str">
        <f t="shared" si="112"/>
        <v/>
      </c>
    </row>
    <row r="5219" spans="4:4" x14ac:dyDescent="0.3">
      <c r="D5219" t="str">
        <f t="shared" si="112"/>
        <v/>
      </c>
    </row>
    <row r="5220" spans="4:4" x14ac:dyDescent="0.3">
      <c r="D5220" t="str">
        <f t="shared" si="112"/>
        <v/>
      </c>
    </row>
    <row r="5221" spans="4:4" x14ac:dyDescent="0.3">
      <c r="D5221" t="str">
        <f t="shared" si="112"/>
        <v/>
      </c>
    </row>
    <row r="5222" spans="4:4" x14ac:dyDescent="0.3">
      <c r="D5222" t="str">
        <f t="shared" si="112"/>
        <v/>
      </c>
    </row>
    <row r="5223" spans="4:4" x14ac:dyDescent="0.3">
      <c r="D5223" t="str">
        <f t="shared" si="112"/>
        <v/>
      </c>
    </row>
    <row r="5224" spans="4:4" x14ac:dyDescent="0.3">
      <c r="D5224" t="str">
        <f t="shared" si="112"/>
        <v/>
      </c>
    </row>
    <row r="5225" spans="4:4" x14ac:dyDescent="0.3">
      <c r="D5225" t="str">
        <f t="shared" si="112"/>
        <v/>
      </c>
    </row>
    <row r="5226" spans="4:4" x14ac:dyDescent="0.3">
      <c r="D5226" t="str">
        <f t="shared" si="112"/>
        <v/>
      </c>
    </row>
    <row r="5227" spans="4:4" x14ac:dyDescent="0.3">
      <c r="D5227" t="str">
        <f t="shared" si="112"/>
        <v/>
      </c>
    </row>
    <row r="5228" spans="4:4" x14ac:dyDescent="0.3">
      <c r="D5228" t="str">
        <f t="shared" si="112"/>
        <v/>
      </c>
    </row>
    <row r="5229" spans="4:4" x14ac:dyDescent="0.3">
      <c r="D5229" t="str">
        <f t="shared" si="112"/>
        <v/>
      </c>
    </row>
    <row r="5230" spans="4:4" x14ac:dyDescent="0.3">
      <c r="D5230" t="str">
        <f t="shared" si="112"/>
        <v/>
      </c>
    </row>
    <row r="5231" spans="4:4" x14ac:dyDescent="0.3">
      <c r="D5231" t="str">
        <f t="shared" si="112"/>
        <v/>
      </c>
    </row>
    <row r="5232" spans="4:4" x14ac:dyDescent="0.3">
      <c r="D5232" t="str">
        <f t="shared" si="112"/>
        <v/>
      </c>
    </row>
    <row r="5233" spans="4:4" x14ac:dyDescent="0.3">
      <c r="D5233" t="str">
        <f t="shared" si="112"/>
        <v/>
      </c>
    </row>
    <row r="5234" spans="4:4" x14ac:dyDescent="0.3">
      <c r="D5234" t="str">
        <f t="shared" si="112"/>
        <v/>
      </c>
    </row>
    <row r="5235" spans="4:4" x14ac:dyDescent="0.3">
      <c r="D5235" t="str">
        <f t="shared" si="112"/>
        <v/>
      </c>
    </row>
    <row r="5236" spans="4:4" x14ac:dyDescent="0.3">
      <c r="D5236" t="str">
        <f t="shared" si="112"/>
        <v/>
      </c>
    </row>
    <row r="5237" spans="4:4" x14ac:dyDescent="0.3">
      <c r="D5237" t="str">
        <f t="shared" si="112"/>
        <v/>
      </c>
    </row>
    <row r="5238" spans="4:4" x14ac:dyDescent="0.3">
      <c r="D5238" t="str">
        <f t="shared" si="112"/>
        <v/>
      </c>
    </row>
    <row r="5239" spans="4:4" x14ac:dyDescent="0.3">
      <c r="D5239" t="str">
        <f t="shared" si="112"/>
        <v/>
      </c>
    </row>
    <row r="5240" spans="4:4" x14ac:dyDescent="0.3">
      <c r="D5240" t="str">
        <f t="shared" si="112"/>
        <v/>
      </c>
    </row>
    <row r="5241" spans="4:4" x14ac:dyDescent="0.3">
      <c r="D5241" t="str">
        <f t="shared" si="112"/>
        <v/>
      </c>
    </row>
    <row r="5242" spans="4:4" x14ac:dyDescent="0.3">
      <c r="D5242" t="str">
        <f t="shared" ref="D5242:D5305" si="113">IF(LEFT(A5242,2)="SP",MID(A5242,4,4),IF(LEFT(A5242,1)="X",MID(A5242,3,4),""))</f>
        <v/>
      </c>
    </row>
    <row r="5243" spans="4:4" x14ac:dyDescent="0.3">
      <c r="D5243" t="str">
        <f t="shared" si="113"/>
        <v/>
      </c>
    </row>
    <row r="5244" spans="4:4" x14ac:dyDescent="0.3">
      <c r="D5244" t="str">
        <f t="shared" si="113"/>
        <v/>
      </c>
    </row>
    <row r="5245" spans="4:4" x14ac:dyDescent="0.3">
      <c r="D5245" t="str">
        <f t="shared" si="113"/>
        <v/>
      </c>
    </row>
    <row r="5246" spans="4:4" x14ac:dyDescent="0.3">
      <c r="D5246" t="str">
        <f t="shared" si="113"/>
        <v/>
      </c>
    </row>
    <row r="5247" spans="4:4" x14ac:dyDescent="0.3">
      <c r="D5247" t="str">
        <f t="shared" si="113"/>
        <v/>
      </c>
    </row>
    <row r="5248" spans="4:4" x14ac:dyDescent="0.3">
      <c r="D5248" t="str">
        <f t="shared" si="113"/>
        <v/>
      </c>
    </row>
    <row r="5249" spans="4:4" x14ac:dyDescent="0.3">
      <c r="D5249" t="str">
        <f t="shared" si="113"/>
        <v/>
      </c>
    </row>
    <row r="5250" spans="4:4" x14ac:dyDescent="0.3">
      <c r="D5250" t="str">
        <f t="shared" si="113"/>
        <v/>
      </c>
    </row>
    <row r="5251" spans="4:4" x14ac:dyDescent="0.3">
      <c r="D5251" t="str">
        <f t="shared" si="113"/>
        <v/>
      </c>
    </row>
    <row r="5252" spans="4:4" x14ac:dyDescent="0.3">
      <c r="D5252" t="str">
        <f t="shared" si="113"/>
        <v/>
      </c>
    </row>
    <row r="5253" spans="4:4" x14ac:dyDescent="0.3">
      <c r="D5253" t="str">
        <f t="shared" si="113"/>
        <v/>
      </c>
    </row>
    <row r="5254" spans="4:4" x14ac:dyDescent="0.3">
      <c r="D5254" t="str">
        <f t="shared" si="113"/>
        <v/>
      </c>
    </row>
    <row r="5255" spans="4:4" x14ac:dyDescent="0.3">
      <c r="D5255" t="str">
        <f t="shared" si="113"/>
        <v/>
      </c>
    </row>
    <row r="5256" spans="4:4" x14ac:dyDescent="0.3">
      <c r="D5256" t="str">
        <f t="shared" si="113"/>
        <v/>
      </c>
    </row>
    <row r="5257" spans="4:4" x14ac:dyDescent="0.3">
      <c r="D5257" t="str">
        <f t="shared" si="113"/>
        <v/>
      </c>
    </row>
    <row r="5258" spans="4:4" x14ac:dyDescent="0.3">
      <c r="D5258" t="str">
        <f t="shared" si="113"/>
        <v/>
      </c>
    </row>
    <row r="5259" spans="4:4" x14ac:dyDescent="0.3">
      <c r="D5259" t="str">
        <f t="shared" si="113"/>
        <v/>
      </c>
    </row>
    <row r="5260" spans="4:4" x14ac:dyDescent="0.3">
      <c r="D5260" t="str">
        <f t="shared" si="113"/>
        <v/>
      </c>
    </row>
    <row r="5261" spans="4:4" x14ac:dyDescent="0.3">
      <c r="D5261" t="str">
        <f t="shared" si="113"/>
        <v/>
      </c>
    </row>
    <row r="5262" spans="4:4" x14ac:dyDescent="0.3">
      <c r="D5262" t="str">
        <f t="shared" si="113"/>
        <v/>
      </c>
    </row>
    <row r="5263" spans="4:4" x14ac:dyDescent="0.3">
      <c r="D5263" t="str">
        <f t="shared" si="113"/>
        <v/>
      </c>
    </row>
    <row r="5264" spans="4:4" x14ac:dyDescent="0.3">
      <c r="D5264" t="str">
        <f t="shared" si="113"/>
        <v/>
      </c>
    </row>
    <row r="5265" spans="4:4" x14ac:dyDescent="0.3">
      <c r="D5265" t="str">
        <f t="shared" si="113"/>
        <v/>
      </c>
    </row>
    <row r="5266" spans="4:4" x14ac:dyDescent="0.3">
      <c r="D5266" t="str">
        <f t="shared" si="113"/>
        <v/>
      </c>
    </row>
    <row r="5267" spans="4:4" x14ac:dyDescent="0.3">
      <c r="D5267" t="str">
        <f t="shared" si="113"/>
        <v/>
      </c>
    </row>
    <row r="5268" spans="4:4" x14ac:dyDescent="0.3">
      <c r="D5268" t="str">
        <f t="shared" si="113"/>
        <v/>
      </c>
    </row>
    <row r="5269" spans="4:4" x14ac:dyDescent="0.3">
      <c r="D5269" t="str">
        <f t="shared" si="113"/>
        <v/>
      </c>
    </row>
    <row r="5270" spans="4:4" x14ac:dyDescent="0.3">
      <c r="D5270" t="str">
        <f t="shared" si="113"/>
        <v/>
      </c>
    </row>
    <row r="5271" spans="4:4" x14ac:dyDescent="0.3">
      <c r="D5271" t="str">
        <f t="shared" si="113"/>
        <v/>
      </c>
    </row>
    <row r="5272" spans="4:4" x14ac:dyDescent="0.3">
      <c r="D5272" t="str">
        <f t="shared" si="113"/>
        <v/>
      </c>
    </row>
    <row r="5273" spans="4:4" x14ac:dyDescent="0.3">
      <c r="D5273" t="str">
        <f t="shared" si="113"/>
        <v/>
      </c>
    </row>
    <row r="5274" spans="4:4" x14ac:dyDescent="0.3">
      <c r="D5274" t="str">
        <f t="shared" si="113"/>
        <v/>
      </c>
    </row>
    <row r="5275" spans="4:4" x14ac:dyDescent="0.3">
      <c r="D5275" t="str">
        <f t="shared" si="113"/>
        <v/>
      </c>
    </row>
    <row r="5276" spans="4:4" x14ac:dyDescent="0.3">
      <c r="D5276" t="str">
        <f t="shared" si="113"/>
        <v/>
      </c>
    </row>
    <row r="5277" spans="4:4" x14ac:dyDescent="0.3">
      <c r="D5277" t="str">
        <f t="shared" si="113"/>
        <v/>
      </c>
    </row>
    <row r="5278" spans="4:4" x14ac:dyDescent="0.3">
      <c r="D5278" t="str">
        <f t="shared" si="113"/>
        <v/>
      </c>
    </row>
    <row r="5279" spans="4:4" x14ac:dyDescent="0.3">
      <c r="D5279" t="str">
        <f t="shared" si="113"/>
        <v/>
      </c>
    </row>
    <row r="5280" spans="4:4" x14ac:dyDescent="0.3">
      <c r="D5280" t="str">
        <f t="shared" si="113"/>
        <v/>
      </c>
    </row>
    <row r="5281" spans="4:4" x14ac:dyDescent="0.3">
      <c r="D5281" t="str">
        <f t="shared" si="113"/>
        <v/>
      </c>
    </row>
    <row r="5282" spans="4:4" x14ac:dyDescent="0.3">
      <c r="D5282" t="str">
        <f t="shared" si="113"/>
        <v/>
      </c>
    </row>
    <row r="5283" spans="4:4" x14ac:dyDescent="0.3">
      <c r="D5283" t="str">
        <f t="shared" si="113"/>
        <v/>
      </c>
    </row>
    <row r="5284" spans="4:4" x14ac:dyDescent="0.3">
      <c r="D5284" t="str">
        <f t="shared" si="113"/>
        <v/>
      </c>
    </row>
    <row r="5285" spans="4:4" x14ac:dyDescent="0.3">
      <c r="D5285" t="str">
        <f t="shared" si="113"/>
        <v/>
      </c>
    </row>
    <row r="5286" spans="4:4" x14ac:dyDescent="0.3">
      <c r="D5286" t="str">
        <f t="shared" si="113"/>
        <v/>
      </c>
    </row>
    <row r="5287" spans="4:4" x14ac:dyDescent="0.3">
      <c r="D5287" t="str">
        <f t="shared" si="113"/>
        <v/>
      </c>
    </row>
    <row r="5288" spans="4:4" x14ac:dyDescent="0.3">
      <c r="D5288" t="str">
        <f t="shared" si="113"/>
        <v/>
      </c>
    </row>
    <row r="5289" spans="4:4" x14ac:dyDescent="0.3">
      <c r="D5289" t="str">
        <f t="shared" si="113"/>
        <v/>
      </c>
    </row>
    <row r="5290" spans="4:4" x14ac:dyDescent="0.3">
      <c r="D5290" t="str">
        <f t="shared" si="113"/>
        <v/>
      </c>
    </row>
    <row r="5291" spans="4:4" x14ac:dyDescent="0.3">
      <c r="D5291" t="str">
        <f t="shared" si="113"/>
        <v/>
      </c>
    </row>
    <row r="5292" spans="4:4" x14ac:dyDescent="0.3">
      <c r="D5292" t="str">
        <f t="shared" si="113"/>
        <v/>
      </c>
    </row>
    <row r="5293" spans="4:4" x14ac:dyDescent="0.3">
      <c r="D5293" t="str">
        <f t="shared" si="113"/>
        <v/>
      </c>
    </row>
    <row r="5294" spans="4:4" x14ac:dyDescent="0.3">
      <c r="D5294" t="str">
        <f t="shared" si="113"/>
        <v/>
      </c>
    </row>
    <row r="5295" spans="4:4" x14ac:dyDescent="0.3">
      <c r="D5295" t="str">
        <f t="shared" si="113"/>
        <v/>
      </c>
    </row>
    <row r="5296" spans="4:4" x14ac:dyDescent="0.3">
      <c r="D5296" t="str">
        <f t="shared" si="113"/>
        <v/>
      </c>
    </row>
    <row r="5297" spans="4:4" x14ac:dyDescent="0.3">
      <c r="D5297" t="str">
        <f t="shared" si="113"/>
        <v/>
      </c>
    </row>
    <row r="5298" spans="4:4" x14ac:dyDescent="0.3">
      <c r="D5298" t="str">
        <f t="shared" si="113"/>
        <v/>
      </c>
    </row>
    <row r="5299" spans="4:4" x14ac:dyDescent="0.3">
      <c r="D5299" t="str">
        <f t="shared" si="113"/>
        <v/>
      </c>
    </row>
    <row r="5300" spans="4:4" x14ac:dyDescent="0.3">
      <c r="D5300" t="str">
        <f t="shared" si="113"/>
        <v/>
      </c>
    </row>
    <row r="5301" spans="4:4" x14ac:dyDescent="0.3">
      <c r="D5301" t="str">
        <f t="shared" si="113"/>
        <v/>
      </c>
    </row>
    <row r="5302" spans="4:4" x14ac:dyDescent="0.3">
      <c r="D5302" t="str">
        <f t="shared" si="113"/>
        <v/>
      </c>
    </row>
    <row r="5303" spans="4:4" x14ac:dyDescent="0.3">
      <c r="D5303" t="str">
        <f t="shared" si="113"/>
        <v/>
      </c>
    </row>
    <row r="5304" spans="4:4" x14ac:dyDescent="0.3">
      <c r="D5304" t="str">
        <f t="shared" si="113"/>
        <v/>
      </c>
    </row>
    <row r="5305" spans="4:4" x14ac:dyDescent="0.3">
      <c r="D5305" t="str">
        <f t="shared" si="113"/>
        <v/>
      </c>
    </row>
    <row r="5306" spans="4:4" x14ac:dyDescent="0.3">
      <c r="D5306" t="str">
        <f t="shared" ref="D5306:D5369" si="114">IF(LEFT(A5306,2)="SP",MID(A5306,4,4),IF(LEFT(A5306,1)="X",MID(A5306,3,4),""))</f>
        <v/>
      </c>
    </row>
    <row r="5307" spans="4:4" x14ac:dyDescent="0.3">
      <c r="D5307" t="str">
        <f t="shared" si="114"/>
        <v/>
      </c>
    </row>
    <row r="5308" spans="4:4" x14ac:dyDescent="0.3">
      <c r="D5308" t="str">
        <f t="shared" si="114"/>
        <v/>
      </c>
    </row>
    <row r="5309" spans="4:4" x14ac:dyDescent="0.3">
      <c r="D5309" t="str">
        <f t="shared" si="114"/>
        <v/>
      </c>
    </row>
    <row r="5310" spans="4:4" x14ac:dyDescent="0.3">
      <c r="D5310" t="str">
        <f t="shared" si="114"/>
        <v/>
      </c>
    </row>
    <row r="5311" spans="4:4" x14ac:dyDescent="0.3">
      <c r="D5311" t="str">
        <f t="shared" si="114"/>
        <v/>
      </c>
    </row>
    <row r="5312" spans="4:4" x14ac:dyDescent="0.3">
      <c r="D5312" t="str">
        <f t="shared" si="114"/>
        <v/>
      </c>
    </row>
    <row r="5313" spans="4:4" x14ac:dyDescent="0.3">
      <c r="D5313" t="str">
        <f t="shared" si="114"/>
        <v/>
      </c>
    </row>
    <row r="5314" spans="4:4" x14ac:dyDescent="0.3">
      <c r="D5314" t="str">
        <f t="shared" si="114"/>
        <v/>
      </c>
    </row>
    <row r="5315" spans="4:4" x14ac:dyDescent="0.3">
      <c r="D5315" t="str">
        <f t="shared" si="114"/>
        <v/>
      </c>
    </row>
    <row r="5316" spans="4:4" x14ac:dyDescent="0.3">
      <c r="D5316" t="str">
        <f t="shared" si="114"/>
        <v/>
      </c>
    </row>
    <row r="5317" spans="4:4" x14ac:dyDescent="0.3">
      <c r="D5317" t="str">
        <f t="shared" si="114"/>
        <v/>
      </c>
    </row>
    <row r="5318" spans="4:4" x14ac:dyDescent="0.3">
      <c r="D5318" t="str">
        <f t="shared" si="114"/>
        <v/>
      </c>
    </row>
    <row r="5319" spans="4:4" x14ac:dyDescent="0.3">
      <c r="D5319" t="str">
        <f t="shared" si="114"/>
        <v/>
      </c>
    </row>
    <row r="5320" spans="4:4" x14ac:dyDescent="0.3">
      <c r="D5320" t="str">
        <f t="shared" si="114"/>
        <v/>
      </c>
    </row>
    <row r="5321" spans="4:4" x14ac:dyDescent="0.3">
      <c r="D5321" t="str">
        <f t="shared" si="114"/>
        <v/>
      </c>
    </row>
    <row r="5322" spans="4:4" x14ac:dyDescent="0.3">
      <c r="D5322" t="str">
        <f t="shared" si="114"/>
        <v/>
      </c>
    </row>
    <row r="5323" spans="4:4" x14ac:dyDescent="0.3">
      <c r="D5323" t="str">
        <f t="shared" si="114"/>
        <v/>
      </c>
    </row>
    <row r="5324" spans="4:4" x14ac:dyDescent="0.3">
      <c r="D5324" t="str">
        <f t="shared" si="114"/>
        <v/>
      </c>
    </row>
    <row r="5325" spans="4:4" x14ac:dyDescent="0.3">
      <c r="D5325" t="str">
        <f t="shared" si="114"/>
        <v/>
      </c>
    </row>
    <row r="5326" spans="4:4" x14ac:dyDescent="0.3">
      <c r="D5326" t="str">
        <f t="shared" si="114"/>
        <v/>
      </c>
    </row>
    <row r="5327" spans="4:4" x14ac:dyDescent="0.3">
      <c r="D5327" t="str">
        <f t="shared" si="114"/>
        <v/>
      </c>
    </row>
    <row r="5328" spans="4:4" x14ac:dyDescent="0.3">
      <c r="D5328" t="str">
        <f t="shared" si="114"/>
        <v/>
      </c>
    </row>
    <row r="5329" spans="4:4" x14ac:dyDescent="0.3">
      <c r="D5329" t="str">
        <f t="shared" si="114"/>
        <v/>
      </c>
    </row>
    <row r="5330" spans="4:4" x14ac:dyDescent="0.3">
      <c r="D5330" t="str">
        <f t="shared" si="114"/>
        <v/>
      </c>
    </row>
    <row r="5331" spans="4:4" x14ac:dyDescent="0.3">
      <c r="D5331" t="str">
        <f t="shared" si="114"/>
        <v/>
      </c>
    </row>
    <row r="5332" spans="4:4" x14ac:dyDescent="0.3">
      <c r="D5332" t="str">
        <f t="shared" si="114"/>
        <v/>
      </c>
    </row>
    <row r="5333" spans="4:4" x14ac:dyDescent="0.3">
      <c r="D5333" t="str">
        <f t="shared" si="114"/>
        <v/>
      </c>
    </row>
    <row r="5334" spans="4:4" x14ac:dyDescent="0.3">
      <c r="D5334" t="str">
        <f t="shared" si="114"/>
        <v/>
      </c>
    </row>
    <row r="5335" spans="4:4" x14ac:dyDescent="0.3">
      <c r="D5335" t="str">
        <f t="shared" si="114"/>
        <v/>
      </c>
    </row>
    <row r="5336" spans="4:4" x14ac:dyDescent="0.3">
      <c r="D5336" t="str">
        <f t="shared" si="114"/>
        <v/>
      </c>
    </row>
    <row r="5337" spans="4:4" x14ac:dyDescent="0.3">
      <c r="D5337" t="str">
        <f t="shared" si="114"/>
        <v/>
      </c>
    </row>
    <row r="5338" spans="4:4" x14ac:dyDescent="0.3">
      <c r="D5338" t="str">
        <f t="shared" si="114"/>
        <v/>
      </c>
    </row>
    <row r="5339" spans="4:4" x14ac:dyDescent="0.3">
      <c r="D5339" t="str">
        <f t="shared" si="114"/>
        <v/>
      </c>
    </row>
    <row r="5340" spans="4:4" x14ac:dyDescent="0.3">
      <c r="D5340" t="str">
        <f t="shared" si="114"/>
        <v/>
      </c>
    </row>
    <row r="5341" spans="4:4" x14ac:dyDescent="0.3">
      <c r="D5341" t="str">
        <f t="shared" si="114"/>
        <v/>
      </c>
    </row>
    <row r="5342" spans="4:4" x14ac:dyDescent="0.3">
      <c r="D5342" t="str">
        <f t="shared" si="114"/>
        <v/>
      </c>
    </row>
    <row r="5343" spans="4:4" x14ac:dyDescent="0.3">
      <c r="D5343" t="str">
        <f t="shared" si="114"/>
        <v/>
      </c>
    </row>
    <row r="5344" spans="4:4" x14ac:dyDescent="0.3">
      <c r="D5344" t="str">
        <f t="shared" si="114"/>
        <v/>
      </c>
    </row>
    <row r="5345" spans="4:4" x14ac:dyDescent="0.3">
      <c r="D5345" t="str">
        <f t="shared" si="114"/>
        <v/>
      </c>
    </row>
    <row r="5346" spans="4:4" x14ac:dyDescent="0.3">
      <c r="D5346" t="str">
        <f t="shared" si="114"/>
        <v/>
      </c>
    </row>
    <row r="5347" spans="4:4" x14ac:dyDescent="0.3">
      <c r="D5347" t="str">
        <f t="shared" si="114"/>
        <v/>
      </c>
    </row>
    <row r="5348" spans="4:4" x14ac:dyDescent="0.3">
      <c r="D5348" t="str">
        <f t="shared" si="114"/>
        <v/>
      </c>
    </row>
    <row r="5349" spans="4:4" x14ac:dyDescent="0.3">
      <c r="D5349" t="str">
        <f t="shared" si="114"/>
        <v/>
      </c>
    </row>
    <row r="5350" spans="4:4" x14ac:dyDescent="0.3">
      <c r="D5350" t="str">
        <f t="shared" si="114"/>
        <v/>
      </c>
    </row>
    <row r="5351" spans="4:4" x14ac:dyDescent="0.3">
      <c r="D5351" t="str">
        <f t="shared" si="114"/>
        <v/>
      </c>
    </row>
    <row r="5352" spans="4:4" x14ac:dyDescent="0.3">
      <c r="D5352" t="str">
        <f t="shared" si="114"/>
        <v/>
      </c>
    </row>
    <row r="5353" spans="4:4" x14ac:dyDescent="0.3">
      <c r="D5353" t="str">
        <f t="shared" si="114"/>
        <v/>
      </c>
    </row>
    <row r="5354" spans="4:4" x14ac:dyDescent="0.3">
      <c r="D5354" t="str">
        <f t="shared" si="114"/>
        <v/>
      </c>
    </row>
    <row r="5355" spans="4:4" x14ac:dyDescent="0.3">
      <c r="D5355" t="str">
        <f t="shared" si="114"/>
        <v/>
      </c>
    </row>
    <row r="5356" spans="4:4" x14ac:dyDescent="0.3">
      <c r="D5356" t="str">
        <f t="shared" si="114"/>
        <v/>
      </c>
    </row>
    <row r="5357" spans="4:4" x14ac:dyDescent="0.3">
      <c r="D5357" t="str">
        <f t="shared" si="114"/>
        <v/>
      </c>
    </row>
    <row r="5358" spans="4:4" x14ac:dyDescent="0.3">
      <c r="D5358" t="str">
        <f t="shared" si="114"/>
        <v/>
      </c>
    </row>
    <row r="5359" spans="4:4" x14ac:dyDescent="0.3">
      <c r="D5359" t="str">
        <f t="shared" si="114"/>
        <v/>
      </c>
    </row>
    <row r="5360" spans="4:4" x14ac:dyDescent="0.3">
      <c r="D5360" t="str">
        <f t="shared" si="114"/>
        <v/>
      </c>
    </row>
    <row r="5361" spans="4:4" x14ac:dyDescent="0.3">
      <c r="D5361" t="str">
        <f t="shared" si="114"/>
        <v/>
      </c>
    </row>
    <row r="5362" spans="4:4" x14ac:dyDescent="0.3">
      <c r="D5362" t="str">
        <f t="shared" si="114"/>
        <v/>
      </c>
    </row>
    <row r="5363" spans="4:4" x14ac:dyDescent="0.3">
      <c r="D5363" t="str">
        <f t="shared" si="114"/>
        <v/>
      </c>
    </row>
    <row r="5364" spans="4:4" x14ac:dyDescent="0.3">
      <c r="D5364" t="str">
        <f t="shared" si="114"/>
        <v/>
      </c>
    </row>
    <row r="5365" spans="4:4" x14ac:dyDescent="0.3">
      <c r="D5365" t="str">
        <f t="shared" si="114"/>
        <v/>
      </c>
    </row>
    <row r="5366" spans="4:4" x14ac:dyDescent="0.3">
      <c r="D5366" t="str">
        <f t="shared" si="114"/>
        <v/>
      </c>
    </row>
    <row r="5367" spans="4:4" x14ac:dyDescent="0.3">
      <c r="D5367" t="str">
        <f t="shared" si="114"/>
        <v/>
      </c>
    </row>
    <row r="5368" spans="4:4" x14ac:dyDescent="0.3">
      <c r="D5368" t="str">
        <f t="shared" si="114"/>
        <v/>
      </c>
    </row>
    <row r="5369" spans="4:4" x14ac:dyDescent="0.3">
      <c r="D5369" t="str">
        <f t="shared" si="114"/>
        <v/>
      </c>
    </row>
    <row r="5370" spans="4:4" x14ac:dyDescent="0.3">
      <c r="D5370" t="str">
        <f t="shared" ref="D5370:D5433" si="115">IF(LEFT(A5370,2)="SP",MID(A5370,4,4),IF(LEFT(A5370,1)="X",MID(A5370,3,4),""))</f>
        <v/>
      </c>
    </row>
    <row r="5371" spans="4:4" x14ac:dyDescent="0.3">
      <c r="D5371" t="str">
        <f t="shared" si="115"/>
        <v/>
      </c>
    </row>
    <row r="5372" spans="4:4" x14ac:dyDescent="0.3">
      <c r="D5372" t="str">
        <f t="shared" si="115"/>
        <v/>
      </c>
    </row>
    <row r="5373" spans="4:4" x14ac:dyDescent="0.3">
      <c r="D5373" t="str">
        <f t="shared" si="115"/>
        <v/>
      </c>
    </row>
    <row r="5374" spans="4:4" x14ac:dyDescent="0.3">
      <c r="D5374" t="str">
        <f t="shared" si="115"/>
        <v/>
      </c>
    </row>
    <row r="5375" spans="4:4" x14ac:dyDescent="0.3">
      <c r="D5375" t="str">
        <f t="shared" si="115"/>
        <v/>
      </c>
    </row>
    <row r="5376" spans="4:4" x14ac:dyDescent="0.3">
      <c r="D5376" t="str">
        <f t="shared" si="115"/>
        <v/>
      </c>
    </row>
    <row r="5377" spans="4:4" x14ac:dyDescent="0.3">
      <c r="D5377" t="str">
        <f t="shared" si="115"/>
        <v/>
      </c>
    </row>
    <row r="5378" spans="4:4" x14ac:dyDescent="0.3">
      <c r="D5378" t="str">
        <f t="shared" si="115"/>
        <v/>
      </c>
    </row>
    <row r="5379" spans="4:4" x14ac:dyDescent="0.3">
      <c r="D5379" t="str">
        <f t="shared" si="115"/>
        <v/>
      </c>
    </row>
    <row r="5380" spans="4:4" x14ac:dyDescent="0.3">
      <c r="D5380" t="str">
        <f t="shared" si="115"/>
        <v/>
      </c>
    </row>
    <row r="5381" spans="4:4" x14ac:dyDescent="0.3">
      <c r="D5381" t="str">
        <f t="shared" si="115"/>
        <v/>
      </c>
    </row>
    <row r="5382" spans="4:4" x14ac:dyDescent="0.3">
      <c r="D5382" t="str">
        <f t="shared" si="115"/>
        <v/>
      </c>
    </row>
    <row r="5383" spans="4:4" x14ac:dyDescent="0.3">
      <c r="D5383" t="str">
        <f t="shared" si="115"/>
        <v/>
      </c>
    </row>
    <row r="5384" spans="4:4" x14ac:dyDescent="0.3">
      <c r="D5384" t="str">
        <f t="shared" si="115"/>
        <v/>
      </c>
    </row>
    <row r="5385" spans="4:4" x14ac:dyDescent="0.3">
      <c r="D5385" t="str">
        <f t="shared" si="115"/>
        <v/>
      </c>
    </row>
    <row r="5386" spans="4:4" x14ac:dyDescent="0.3">
      <c r="D5386" t="str">
        <f t="shared" si="115"/>
        <v/>
      </c>
    </row>
    <row r="5387" spans="4:4" x14ac:dyDescent="0.3">
      <c r="D5387" t="str">
        <f t="shared" si="115"/>
        <v/>
      </c>
    </row>
    <row r="5388" spans="4:4" x14ac:dyDescent="0.3">
      <c r="D5388" t="str">
        <f t="shared" si="115"/>
        <v/>
      </c>
    </row>
    <row r="5389" spans="4:4" x14ac:dyDescent="0.3">
      <c r="D5389" t="str">
        <f t="shared" si="115"/>
        <v/>
      </c>
    </row>
    <row r="5390" spans="4:4" x14ac:dyDescent="0.3">
      <c r="D5390" t="str">
        <f t="shared" si="115"/>
        <v/>
      </c>
    </row>
    <row r="5391" spans="4:4" x14ac:dyDescent="0.3">
      <c r="D5391" t="str">
        <f t="shared" si="115"/>
        <v/>
      </c>
    </row>
    <row r="5392" spans="4:4" x14ac:dyDescent="0.3">
      <c r="D5392" t="str">
        <f t="shared" si="115"/>
        <v/>
      </c>
    </row>
    <row r="5393" spans="4:4" x14ac:dyDescent="0.3">
      <c r="D5393" t="str">
        <f t="shared" si="115"/>
        <v/>
      </c>
    </row>
    <row r="5394" spans="4:4" x14ac:dyDescent="0.3">
      <c r="D5394" t="str">
        <f t="shared" si="115"/>
        <v/>
      </c>
    </row>
    <row r="5395" spans="4:4" x14ac:dyDescent="0.3">
      <c r="D5395" t="str">
        <f t="shared" si="115"/>
        <v/>
      </c>
    </row>
    <row r="5396" spans="4:4" x14ac:dyDescent="0.3">
      <c r="D5396" t="str">
        <f t="shared" si="115"/>
        <v/>
      </c>
    </row>
    <row r="5397" spans="4:4" x14ac:dyDescent="0.3">
      <c r="D5397" t="str">
        <f t="shared" si="115"/>
        <v/>
      </c>
    </row>
    <row r="5398" spans="4:4" x14ac:dyDescent="0.3">
      <c r="D5398" t="str">
        <f t="shared" si="115"/>
        <v/>
      </c>
    </row>
    <row r="5399" spans="4:4" x14ac:dyDescent="0.3">
      <c r="D5399" t="str">
        <f t="shared" si="115"/>
        <v/>
      </c>
    </row>
    <row r="5400" spans="4:4" x14ac:dyDescent="0.3">
      <c r="D5400" t="str">
        <f t="shared" si="115"/>
        <v/>
      </c>
    </row>
    <row r="5401" spans="4:4" x14ac:dyDescent="0.3">
      <c r="D5401" t="str">
        <f t="shared" si="115"/>
        <v/>
      </c>
    </row>
    <row r="5402" spans="4:4" x14ac:dyDescent="0.3">
      <c r="D5402" t="str">
        <f t="shared" si="115"/>
        <v/>
      </c>
    </row>
    <row r="5403" spans="4:4" x14ac:dyDescent="0.3">
      <c r="D5403" t="str">
        <f t="shared" si="115"/>
        <v/>
      </c>
    </row>
    <row r="5404" spans="4:4" x14ac:dyDescent="0.3">
      <c r="D5404" t="str">
        <f t="shared" si="115"/>
        <v/>
      </c>
    </row>
    <row r="5405" spans="4:4" x14ac:dyDescent="0.3">
      <c r="D5405" t="str">
        <f t="shared" si="115"/>
        <v/>
      </c>
    </row>
    <row r="5406" spans="4:4" x14ac:dyDescent="0.3">
      <c r="D5406" t="str">
        <f t="shared" si="115"/>
        <v/>
      </c>
    </row>
    <row r="5407" spans="4:4" x14ac:dyDescent="0.3">
      <c r="D5407" t="str">
        <f t="shared" si="115"/>
        <v/>
      </c>
    </row>
    <row r="5408" spans="4:4" x14ac:dyDescent="0.3">
      <c r="D5408" t="str">
        <f t="shared" si="115"/>
        <v/>
      </c>
    </row>
    <row r="5409" spans="4:4" x14ac:dyDescent="0.3">
      <c r="D5409" t="str">
        <f t="shared" si="115"/>
        <v/>
      </c>
    </row>
    <row r="5410" spans="4:4" x14ac:dyDescent="0.3">
      <c r="D5410" t="str">
        <f t="shared" si="115"/>
        <v/>
      </c>
    </row>
    <row r="5411" spans="4:4" x14ac:dyDescent="0.3">
      <c r="D5411" t="str">
        <f t="shared" si="115"/>
        <v/>
      </c>
    </row>
    <row r="5412" spans="4:4" x14ac:dyDescent="0.3">
      <c r="D5412" t="str">
        <f t="shared" si="115"/>
        <v/>
      </c>
    </row>
    <row r="5413" spans="4:4" x14ac:dyDescent="0.3">
      <c r="D5413" t="str">
        <f t="shared" si="115"/>
        <v/>
      </c>
    </row>
    <row r="5414" spans="4:4" x14ac:dyDescent="0.3">
      <c r="D5414" t="str">
        <f t="shared" si="115"/>
        <v/>
      </c>
    </row>
    <row r="5415" spans="4:4" x14ac:dyDescent="0.3">
      <c r="D5415" t="str">
        <f t="shared" si="115"/>
        <v/>
      </c>
    </row>
    <row r="5416" spans="4:4" x14ac:dyDescent="0.3">
      <c r="D5416" t="str">
        <f t="shared" si="115"/>
        <v/>
      </c>
    </row>
    <row r="5417" spans="4:4" x14ac:dyDescent="0.3">
      <c r="D5417" t="str">
        <f t="shared" si="115"/>
        <v/>
      </c>
    </row>
    <row r="5418" spans="4:4" x14ac:dyDescent="0.3">
      <c r="D5418" t="str">
        <f t="shared" si="115"/>
        <v/>
      </c>
    </row>
    <row r="5419" spans="4:4" x14ac:dyDescent="0.3">
      <c r="D5419" t="str">
        <f t="shared" si="115"/>
        <v/>
      </c>
    </row>
    <row r="5420" spans="4:4" x14ac:dyDescent="0.3">
      <c r="D5420" t="str">
        <f t="shared" si="115"/>
        <v/>
      </c>
    </row>
    <row r="5421" spans="4:4" x14ac:dyDescent="0.3">
      <c r="D5421" t="str">
        <f t="shared" si="115"/>
        <v/>
      </c>
    </row>
    <row r="5422" spans="4:4" x14ac:dyDescent="0.3">
      <c r="D5422" t="str">
        <f t="shared" si="115"/>
        <v/>
      </c>
    </row>
    <row r="5423" spans="4:4" x14ac:dyDescent="0.3">
      <c r="D5423" t="str">
        <f t="shared" si="115"/>
        <v/>
      </c>
    </row>
    <row r="5424" spans="4:4" x14ac:dyDescent="0.3">
      <c r="D5424" t="str">
        <f t="shared" si="115"/>
        <v/>
      </c>
    </row>
    <row r="5425" spans="4:4" x14ac:dyDescent="0.3">
      <c r="D5425" t="str">
        <f t="shared" si="115"/>
        <v/>
      </c>
    </row>
    <row r="5426" spans="4:4" x14ac:dyDescent="0.3">
      <c r="D5426" t="str">
        <f t="shared" si="115"/>
        <v/>
      </c>
    </row>
    <row r="5427" spans="4:4" x14ac:dyDescent="0.3">
      <c r="D5427" t="str">
        <f t="shared" si="115"/>
        <v/>
      </c>
    </row>
    <row r="5428" spans="4:4" x14ac:dyDescent="0.3">
      <c r="D5428" t="str">
        <f t="shared" si="115"/>
        <v/>
      </c>
    </row>
    <row r="5429" spans="4:4" x14ac:dyDescent="0.3">
      <c r="D5429" t="str">
        <f t="shared" si="115"/>
        <v/>
      </c>
    </row>
    <row r="5430" spans="4:4" x14ac:dyDescent="0.3">
      <c r="D5430" t="str">
        <f t="shared" si="115"/>
        <v/>
      </c>
    </row>
    <row r="5431" spans="4:4" x14ac:dyDescent="0.3">
      <c r="D5431" t="str">
        <f t="shared" si="115"/>
        <v/>
      </c>
    </row>
    <row r="5432" spans="4:4" x14ac:dyDescent="0.3">
      <c r="D5432" t="str">
        <f t="shared" si="115"/>
        <v/>
      </c>
    </row>
    <row r="5433" spans="4:4" x14ac:dyDescent="0.3">
      <c r="D5433" t="str">
        <f t="shared" si="115"/>
        <v/>
      </c>
    </row>
    <row r="5434" spans="4:4" x14ac:dyDescent="0.3">
      <c r="D5434" t="str">
        <f t="shared" ref="D5434:D5497" si="116">IF(LEFT(A5434,2)="SP",MID(A5434,4,4),IF(LEFT(A5434,1)="X",MID(A5434,3,4),""))</f>
        <v/>
      </c>
    </row>
    <row r="5435" spans="4:4" x14ac:dyDescent="0.3">
      <c r="D5435" t="str">
        <f t="shared" si="116"/>
        <v/>
      </c>
    </row>
    <row r="5436" spans="4:4" x14ac:dyDescent="0.3">
      <c r="D5436" t="str">
        <f t="shared" si="116"/>
        <v/>
      </c>
    </row>
    <row r="5437" spans="4:4" x14ac:dyDescent="0.3">
      <c r="D5437" t="str">
        <f t="shared" si="116"/>
        <v/>
      </c>
    </row>
    <row r="5438" spans="4:4" x14ac:dyDescent="0.3">
      <c r="D5438" t="str">
        <f t="shared" si="116"/>
        <v/>
      </c>
    </row>
    <row r="5439" spans="4:4" x14ac:dyDescent="0.3">
      <c r="D5439" t="str">
        <f t="shared" si="116"/>
        <v/>
      </c>
    </row>
    <row r="5440" spans="4:4" x14ac:dyDescent="0.3">
      <c r="D5440" t="str">
        <f t="shared" si="116"/>
        <v/>
      </c>
    </row>
    <row r="5441" spans="4:4" x14ac:dyDescent="0.3">
      <c r="D5441" t="str">
        <f t="shared" si="116"/>
        <v/>
      </c>
    </row>
    <row r="5442" spans="4:4" x14ac:dyDescent="0.3">
      <c r="D5442" t="str">
        <f t="shared" si="116"/>
        <v/>
      </c>
    </row>
    <row r="5443" spans="4:4" x14ac:dyDescent="0.3">
      <c r="D5443" t="str">
        <f t="shared" si="116"/>
        <v/>
      </c>
    </row>
    <row r="5444" spans="4:4" x14ac:dyDescent="0.3">
      <c r="D5444" t="str">
        <f t="shared" si="116"/>
        <v/>
      </c>
    </row>
    <row r="5445" spans="4:4" x14ac:dyDescent="0.3">
      <c r="D5445" t="str">
        <f t="shared" si="116"/>
        <v/>
      </c>
    </row>
    <row r="5446" spans="4:4" x14ac:dyDescent="0.3">
      <c r="D5446" t="str">
        <f t="shared" si="116"/>
        <v/>
      </c>
    </row>
    <row r="5447" spans="4:4" x14ac:dyDescent="0.3">
      <c r="D5447" t="str">
        <f t="shared" si="116"/>
        <v/>
      </c>
    </row>
    <row r="5448" spans="4:4" x14ac:dyDescent="0.3">
      <c r="D5448" t="str">
        <f t="shared" si="116"/>
        <v/>
      </c>
    </row>
    <row r="5449" spans="4:4" x14ac:dyDescent="0.3">
      <c r="D5449" t="str">
        <f t="shared" si="116"/>
        <v/>
      </c>
    </row>
    <row r="5450" spans="4:4" x14ac:dyDescent="0.3">
      <c r="D5450" t="str">
        <f t="shared" si="116"/>
        <v/>
      </c>
    </row>
    <row r="5451" spans="4:4" x14ac:dyDescent="0.3">
      <c r="D5451" t="str">
        <f t="shared" si="116"/>
        <v/>
      </c>
    </row>
    <row r="5452" spans="4:4" x14ac:dyDescent="0.3">
      <c r="D5452" t="str">
        <f t="shared" si="116"/>
        <v/>
      </c>
    </row>
    <row r="5453" spans="4:4" x14ac:dyDescent="0.3">
      <c r="D5453" t="str">
        <f t="shared" si="116"/>
        <v/>
      </c>
    </row>
    <row r="5454" spans="4:4" x14ac:dyDescent="0.3">
      <c r="D5454" t="str">
        <f t="shared" si="116"/>
        <v/>
      </c>
    </row>
    <row r="5455" spans="4:4" x14ac:dyDescent="0.3">
      <c r="D5455" t="str">
        <f t="shared" si="116"/>
        <v/>
      </c>
    </row>
    <row r="5456" spans="4:4" x14ac:dyDescent="0.3">
      <c r="D5456" t="str">
        <f t="shared" si="116"/>
        <v/>
      </c>
    </row>
    <row r="5457" spans="4:4" x14ac:dyDescent="0.3">
      <c r="D5457" t="str">
        <f t="shared" si="116"/>
        <v/>
      </c>
    </row>
    <row r="5458" spans="4:4" x14ac:dyDescent="0.3">
      <c r="D5458" t="str">
        <f t="shared" si="116"/>
        <v/>
      </c>
    </row>
    <row r="5459" spans="4:4" x14ac:dyDescent="0.3">
      <c r="D5459" t="str">
        <f t="shared" si="116"/>
        <v/>
      </c>
    </row>
    <row r="5460" spans="4:4" x14ac:dyDescent="0.3">
      <c r="D5460" t="str">
        <f t="shared" si="116"/>
        <v/>
      </c>
    </row>
    <row r="5461" spans="4:4" x14ac:dyDescent="0.3">
      <c r="D5461" t="str">
        <f t="shared" si="116"/>
        <v/>
      </c>
    </row>
    <row r="5462" spans="4:4" x14ac:dyDescent="0.3">
      <c r="D5462" t="str">
        <f t="shared" si="116"/>
        <v/>
      </c>
    </row>
    <row r="5463" spans="4:4" x14ac:dyDescent="0.3">
      <c r="D5463" t="str">
        <f t="shared" si="116"/>
        <v/>
      </c>
    </row>
    <row r="5464" spans="4:4" x14ac:dyDescent="0.3">
      <c r="D5464" t="str">
        <f t="shared" si="116"/>
        <v/>
      </c>
    </row>
    <row r="5465" spans="4:4" x14ac:dyDescent="0.3">
      <c r="D5465" t="str">
        <f t="shared" si="116"/>
        <v/>
      </c>
    </row>
    <row r="5466" spans="4:4" x14ac:dyDescent="0.3">
      <c r="D5466" t="str">
        <f t="shared" si="116"/>
        <v/>
      </c>
    </row>
    <row r="5467" spans="4:4" x14ac:dyDescent="0.3">
      <c r="D5467" t="str">
        <f t="shared" si="116"/>
        <v/>
      </c>
    </row>
    <row r="5468" spans="4:4" x14ac:dyDescent="0.3">
      <c r="D5468" t="str">
        <f t="shared" si="116"/>
        <v/>
      </c>
    </row>
    <row r="5469" spans="4:4" x14ac:dyDescent="0.3">
      <c r="D5469" t="str">
        <f t="shared" si="116"/>
        <v/>
      </c>
    </row>
    <row r="5470" spans="4:4" x14ac:dyDescent="0.3">
      <c r="D5470" t="str">
        <f t="shared" si="116"/>
        <v/>
      </c>
    </row>
    <row r="5471" spans="4:4" x14ac:dyDescent="0.3">
      <c r="D5471" t="str">
        <f t="shared" si="116"/>
        <v/>
      </c>
    </row>
    <row r="5472" spans="4:4" x14ac:dyDescent="0.3">
      <c r="D5472" t="str">
        <f t="shared" si="116"/>
        <v/>
      </c>
    </row>
    <row r="5473" spans="4:4" x14ac:dyDescent="0.3">
      <c r="D5473" t="str">
        <f t="shared" si="116"/>
        <v/>
      </c>
    </row>
    <row r="5474" spans="4:4" x14ac:dyDescent="0.3">
      <c r="D5474" t="str">
        <f t="shared" si="116"/>
        <v/>
      </c>
    </row>
    <row r="5475" spans="4:4" x14ac:dyDescent="0.3">
      <c r="D5475" t="str">
        <f t="shared" si="116"/>
        <v/>
      </c>
    </row>
    <row r="5476" spans="4:4" x14ac:dyDescent="0.3">
      <c r="D5476" t="str">
        <f t="shared" si="116"/>
        <v/>
      </c>
    </row>
    <row r="5477" spans="4:4" x14ac:dyDescent="0.3">
      <c r="D5477" t="str">
        <f t="shared" si="116"/>
        <v/>
      </c>
    </row>
    <row r="5478" spans="4:4" x14ac:dyDescent="0.3">
      <c r="D5478" t="str">
        <f t="shared" si="116"/>
        <v/>
      </c>
    </row>
    <row r="5479" spans="4:4" x14ac:dyDescent="0.3">
      <c r="D5479" t="str">
        <f t="shared" si="116"/>
        <v/>
      </c>
    </row>
    <row r="5480" spans="4:4" x14ac:dyDescent="0.3">
      <c r="D5480" t="str">
        <f t="shared" si="116"/>
        <v/>
      </c>
    </row>
    <row r="5481" spans="4:4" x14ac:dyDescent="0.3">
      <c r="D5481" t="str">
        <f t="shared" si="116"/>
        <v/>
      </c>
    </row>
    <row r="5482" spans="4:4" x14ac:dyDescent="0.3">
      <c r="D5482" t="str">
        <f t="shared" si="116"/>
        <v/>
      </c>
    </row>
    <row r="5483" spans="4:4" x14ac:dyDescent="0.3">
      <c r="D5483" t="str">
        <f t="shared" si="116"/>
        <v/>
      </c>
    </row>
    <row r="5484" spans="4:4" x14ac:dyDescent="0.3">
      <c r="D5484" t="str">
        <f t="shared" si="116"/>
        <v/>
      </c>
    </row>
    <row r="5485" spans="4:4" x14ac:dyDescent="0.3">
      <c r="D5485" t="str">
        <f t="shared" si="116"/>
        <v/>
      </c>
    </row>
    <row r="5486" spans="4:4" x14ac:dyDescent="0.3">
      <c r="D5486" t="str">
        <f t="shared" si="116"/>
        <v/>
      </c>
    </row>
    <row r="5487" spans="4:4" x14ac:dyDescent="0.3">
      <c r="D5487" t="str">
        <f t="shared" si="116"/>
        <v/>
      </c>
    </row>
    <row r="5488" spans="4:4" x14ac:dyDescent="0.3">
      <c r="D5488" t="str">
        <f t="shared" si="116"/>
        <v/>
      </c>
    </row>
    <row r="5489" spans="4:4" x14ac:dyDescent="0.3">
      <c r="D5489" t="str">
        <f t="shared" si="116"/>
        <v/>
      </c>
    </row>
    <row r="5490" spans="4:4" x14ac:dyDescent="0.3">
      <c r="D5490" t="str">
        <f t="shared" si="116"/>
        <v/>
      </c>
    </row>
    <row r="5491" spans="4:4" x14ac:dyDescent="0.3">
      <c r="D5491" t="str">
        <f t="shared" si="116"/>
        <v/>
      </c>
    </row>
    <row r="5492" spans="4:4" x14ac:dyDescent="0.3">
      <c r="D5492" t="str">
        <f t="shared" si="116"/>
        <v/>
      </c>
    </row>
    <row r="5493" spans="4:4" x14ac:dyDescent="0.3">
      <c r="D5493" t="str">
        <f t="shared" si="116"/>
        <v/>
      </c>
    </row>
    <row r="5494" spans="4:4" x14ac:dyDescent="0.3">
      <c r="D5494" t="str">
        <f t="shared" si="116"/>
        <v/>
      </c>
    </row>
    <row r="5495" spans="4:4" x14ac:dyDescent="0.3">
      <c r="D5495" t="str">
        <f t="shared" si="116"/>
        <v/>
      </c>
    </row>
    <row r="5496" spans="4:4" x14ac:dyDescent="0.3">
      <c r="D5496" t="str">
        <f t="shared" si="116"/>
        <v/>
      </c>
    </row>
    <row r="5497" spans="4:4" x14ac:dyDescent="0.3">
      <c r="D5497" t="str">
        <f t="shared" si="116"/>
        <v/>
      </c>
    </row>
    <row r="5498" spans="4:4" x14ac:dyDescent="0.3">
      <c r="D5498" t="str">
        <f t="shared" ref="D5498:D5561" si="117">IF(LEFT(A5498,2)="SP",MID(A5498,4,4),IF(LEFT(A5498,1)="X",MID(A5498,3,4),""))</f>
        <v/>
      </c>
    </row>
    <row r="5499" spans="4:4" x14ac:dyDescent="0.3">
      <c r="D5499" t="str">
        <f t="shared" si="117"/>
        <v/>
      </c>
    </row>
    <row r="5500" spans="4:4" x14ac:dyDescent="0.3">
      <c r="D5500" t="str">
        <f t="shared" si="117"/>
        <v/>
      </c>
    </row>
    <row r="5501" spans="4:4" x14ac:dyDescent="0.3">
      <c r="D5501" t="str">
        <f t="shared" si="117"/>
        <v/>
      </c>
    </row>
    <row r="5502" spans="4:4" x14ac:dyDescent="0.3">
      <c r="D5502" t="str">
        <f t="shared" si="117"/>
        <v/>
      </c>
    </row>
    <row r="5503" spans="4:4" x14ac:dyDescent="0.3">
      <c r="D5503" t="str">
        <f t="shared" si="117"/>
        <v/>
      </c>
    </row>
    <row r="5504" spans="4:4" x14ac:dyDescent="0.3">
      <c r="D5504" t="str">
        <f t="shared" si="117"/>
        <v/>
      </c>
    </row>
    <row r="5505" spans="4:4" x14ac:dyDescent="0.3">
      <c r="D5505" t="str">
        <f t="shared" si="117"/>
        <v/>
      </c>
    </row>
    <row r="5506" spans="4:4" x14ac:dyDescent="0.3">
      <c r="D5506" t="str">
        <f t="shared" si="117"/>
        <v/>
      </c>
    </row>
    <row r="5507" spans="4:4" x14ac:dyDescent="0.3">
      <c r="D5507" t="str">
        <f t="shared" si="117"/>
        <v/>
      </c>
    </row>
    <row r="5508" spans="4:4" x14ac:dyDescent="0.3">
      <c r="D5508" t="str">
        <f t="shared" si="117"/>
        <v/>
      </c>
    </row>
    <row r="5509" spans="4:4" x14ac:dyDescent="0.3">
      <c r="D5509" t="str">
        <f t="shared" si="117"/>
        <v/>
      </c>
    </row>
    <row r="5510" spans="4:4" x14ac:dyDescent="0.3">
      <c r="D5510" t="str">
        <f t="shared" si="117"/>
        <v/>
      </c>
    </row>
    <row r="5511" spans="4:4" x14ac:dyDescent="0.3">
      <c r="D5511" t="str">
        <f t="shared" si="117"/>
        <v/>
      </c>
    </row>
    <row r="5512" spans="4:4" x14ac:dyDescent="0.3">
      <c r="D5512" t="str">
        <f t="shared" si="117"/>
        <v/>
      </c>
    </row>
    <row r="5513" spans="4:4" x14ac:dyDescent="0.3">
      <c r="D5513" t="str">
        <f t="shared" si="117"/>
        <v/>
      </c>
    </row>
    <row r="5514" spans="4:4" x14ac:dyDescent="0.3">
      <c r="D5514" t="str">
        <f t="shared" si="117"/>
        <v/>
      </c>
    </row>
    <row r="5515" spans="4:4" x14ac:dyDescent="0.3">
      <c r="D5515" t="str">
        <f t="shared" si="117"/>
        <v/>
      </c>
    </row>
    <row r="5516" spans="4:4" x14ac:dyDescent="0.3">
      <c r="D5516" t="str">
        <f t="shared" si="117"/>
        <v/>
      </c>
    </row>
    <row r="5517" spans="4:4" x14ac:dyDescent="0.3">
      <c r="D5517" t="str">
        <f t="shared" si="117"/>
        <v/>
      </c>
    </row>
    <row r="5518" spans="4:4" x14ac:dyDescent="0.3">
      <c r="D5518" t="str">
        <f t="shared" si="117"/>
        <v/>
      </c>
    </row>
    <row r="5519" spans="4:4" x14ac:dyDescent="0.3">
      <c r="D5519" t="str">
        <f t="shared" si="117"/>
        <v/>
      </c>
    </row>
    <row r="5520" spans="4:4" x14ac:dyDescent="0.3">
      <c r="D5520" t="str">
        <f t="shared" si="117"/>
        <v/>
      </c>
    </row>
    <row r="5521" spans="4:4" x14ac:dyDescent="0.3">
      <c r="D5521" t="str">
        <f t="shared" si="117"/>
        <v/>
      </c>
    </row>
    <row r="5522" spans="4:4" x14ac:dyDescent="0.3">
      <c r="D5522" t="str">
        <f t="shared" si="117"/>
        <v/>
      </c>
    </row>
    <row r="5523" spans="4:4" x14ac:dyDescent="0.3">
      <c r="D5523" t="str">
        <f t="shared" si="117"/>
        <v/>
      </c>
    </row>
    <row r="5524" spans="4:4" x14ac:dyDescent="0.3">
      <c r="D5524" t="str">
        <f t="shared" si="117"/>
        <v/>
      </c>
    </row>
    <row r="5525" spans="4:4" x14ac:dyDescent="0.3">
      <c r="D5525" t="str">
        <f t="shared" si="117"/>
        <v/>
      </c>
    </row>
    <row r="5526" spans="4:4" x14ac:dyDescent="0.3">
      <c r="D5526" t="str">
        <f t="shared" si="117"/>
        <v/>
      </c>
    </row>
    <row r="5527" spans="4:4" x14ac:dyDescent="0.3">
      <c r="D5527" t="str">
        <f t="shared" si="117"/>
        <v/>
      </c>
    </row>
    <row r="5528" spans="4:4" x14ac:dyDescent="0.3">
      <c r="D5528" t="str">
        <f t="shared" si="117"/>
        <v/>
      </c>
    </row>
    <row r="5529" spans="4:4" x14ac:dyDescent="0.3">
      <c r="D5529" t="str">
        <f t="shared" si="117"/>
        <v/>
      </c>
    </row>
    <row r="5530" spans="4:4" x14ac:dyDescent="0.3">
      <c r="D5530" t="str">
        <f t="shared" si="117"/>
        <v/>
      </c>
    </row>
    <row r="5531" spans="4:4" x14ac:dyDescent="0.3">
      <c r="D5531" t="str">
        <f t="shared" si="117"/>
        <v/>
      </c>
    </row>
    <row r="5532" spans="4:4" x14ac:dyDescent="0.3">
      <c r="D5532" t="str">
        <f t="shared" si="117"/>
        <v/>
      </c>
    </row>
    <row r="5533" spans="4:4" x14ac:dyDescent="0.3">
      <c r="D5533" t="str">
        <f t="shared" si="117"/>
        <v/>
      </c>
    </row>
    <row r="5534" spans="4:4" x14ac:dyDescent="0.3">
      <c r="D5534" t="str">
        <f t="shared" si="117"/>
        <v/>
      </c>
    </row>
    <row r="5535" spans="4:4" x14ac:dyDescent="0.3">
      <c r="D5535" t="str">
        <f t="shared" si="117"/>
        <v/>
      </c>
    </row>
    <row r="5536" spans="4:4" x14ac:dyDescent="0.3">
      <c r="D5536" t="str">
        <f t="shared" si="117"/>
        <v/>
      </c>
    </row>
    <row r="5537" spans="4:4" x14ac:dyDescent="0.3">
      <c r="D5537" t="str">
        <f t="shared" si="117"/>
        <v/>
      </c>
    </row>
    <row r="5538" spans="4:4" x14ac:dyDescent="0.3">
      <c r="D5538" t="str">
        <f t="shared" si="117"/>
        <v/>
      </c>
    </row>
    <row r="5539" spans="4:4" x14ac:dyDescent="0.3">
      <c r="D5539" t="str">
        <f t="shared" si="117"/>
        <v/>
      </c>
    </row>
    <row r="5540" spans="4:4" x14ac:dyDescent="0.3">
      <c r="D5540" t="str">
        <f t="shared" si="117"/>
        <v/>
      </c>
    </row>
    <row r="5541" spans="4:4" x14ac:dyDescent="0.3">
      <c r="D5541" t="str">
        <f t="shared" si="117"/>
        <v/>
      </c>
    </row>
    <row r="5542" spans="4:4" x14ac:dyDescent="0.3">
      <c r="D5542" t="str">
        <f t="shared" si="117"/>
        <v/>
      </c>
    </row>
    <row r="5543" spans="4:4" x14ac:dyDescent="0.3">
      <c r="D5543" t="str">
        <f t="shared" si="117"/>
        <v/>
      </c>
    </row>
    <row r="5544" spans="4:4" x14ac:dyDescent="0.3">
      <c r="D5544" t="str">
        <f t="shared" si="117"/>
        <v/>
      </c>
    </row>
    <row r="5545" spans="4:4" x14ac:dyDescent="0.3">
      <c r="D5545" t="str">
        <f t="shared" si="117"/>
        <v/>
      </c>
    </row>
    <row r="5546" spans="4:4" x14ac:dyDescent="0.3">
      <c r="D5546" t="str">
        <f t="shared" si="117"/>
        <v/>
      </c>
    </row>
    <row r="5547" spans="4:4" x14ac:dyDescent="0.3">
      <c r="D5547" t="str">
        <f t="shared" si="117"/>
        <v/>
      </c>
    </row>
    <row r="5548" spans="4:4" x14ac:dyDescent="0.3">
      <c r="D5548" t="str">
        <f t="shared" si="117"/>
        <v/>
      </c>
    </row>
    <row r="5549" spans="4:4" x14ac:dyDescent="0.3">
      <c r="D5549" t="str">
        <f t="shared" si="117"/>
        <v/>
      </c>
    </row>
    <row r="5550" spans="4:4" x14ac:dyDescent="0.3">
      <c r="D5550" t="str">
        <f t="shared" si="117"/>
        <v/>
      </c>
    </row>
    <row r="5551" spans="4:4" x14ac:dyDescent="0.3">
      <c r="D5551" t="str">
        <f t="shared" si="117"/>
        <v/>
      </c>
    </row>
    <row r="5552" spans="4:4" x14ac:dyDescent="0.3">
      <c r="D5552" t="str">
        <f t="shared" si="117"/>
        <v/>
      </c>
    </row>
    <row r="5553" spans="4:4" x14ac:dyDescent="0.3">
      <c r="D5553" t="str">
        <f t="shared" si="117"/>
        <v/>
      </c>
    </row>
    <row r="5554" spans="4:4" x14ac:dyDescent="0.3">
      <c r="D5554" t="str">
        <f t="shared" si="117"/>
        <v/>
      </c>
    </row>
    <row r="5555" spans="4:4" x14ac:dyDescent="0.3">
      <c r="D5555" t="str">
        <f t="shared" si="117"/>
        <v/>
      </c>
    </row>
    <row r="5556" spans="4:4" x14ac:dyDescent="0.3">
      <c r="D5556" t="str">
        <f t="shared" si="117"/>
        <v/>
      </c>
    </row>
    <row r="5557" spans="4:4" x14ac:dyDescent="0.3">
      <c r="D5557" t="str">
        <f t="shared" si="117"/>
        <v/>
      </c>
    </row>
    <row r="5558" spans="4:4" x14ac:dyDescent="0.3">
      <c r="D5558" t="str">
        <f t="shared" si="117"/>
        <v/>
      </c>
    </row>
    <row r="5559" spans="4:4" x14ac:dyDescent="0.3">
      <c r="D5559" t="str">
        <f t="shared" si="117"/>
        <v/>
      </c>
    </row>
    <row r="5560" spans="4:4" x14ac:dyDescent="0.3">
      <c r="D5560" t="str">
        <f t="shared" si="117"/>
        <v/>
      </c>
    </row>
    <row r="5561" spans="4:4" x14ac:dyDescent="0.3">
      <c r="D5561" t="str">
        <f t="shared" si="117"/>
        <v/>
      </c>
    </row>
    <row r="5562" spans="4:4" x14ac:dyDescent="0.3">
      <c r="D5562" t="str">
        <f t="shared" ref="D5562:D5625" si="118">IF(LEFT(A5562,2)="SP",MID(A5562,4,4),IF(LEFT(A5562,1)="X",MID(A5562,3,4),""))</f>
        <v/>
      </c>
    </row>
    <row r="5563" spans="4:4" x14ac:dyDescent="0.3">
      <c r="D5563" t="str">
        <f t="shared" si="118"/>
        <v/>
      </c>
    </row>
    <row r="5564" spans="4:4" x14ac:dyDescent="0.3">
      <c r="D5564" t="str">
        <f t="shared" si="118"/>
        <v/>
      </c>
    </row>
    <row r="5565" spans="4:4" x14ac:dyDescent="0.3">
      <c r="D5565" t="str">
        <f t="shared" si="118"/>
        <v/>
      </c>
    </row>
    <row r="5566" spans="4:4" x14ac:dyDescent="0.3">
      <c r="D5566" t="str">
        <f t="shared" si="118"/>
        <v/>
      </c>
    </row>
    <row r="5567" spans="4:4" x14ac:dyDescent="0.3">
      <c r="D5567" t="str">
        <f t="shared" si="118"/>
        <v/>
      </c>
    </row>
    <row r="5568" spans="4:4" x14ac:dyDescent="0.3">
      <c r="D5568" t="str">
        <f t="shared" si="118"/>
        <v/>
      </c>
    </row>
    <row r="5569" spans="4:4" x14ac:dyDescent="0.3">
      <c r="D5569" t="str">
        <f t="shared" si="118"/>
        <v/>
      </c>
    </row>
    <row r="5570" spans="4:4" x14ac:dyDescent="0.3">
      <c r="D5570" t="str">
        <f t="shared" si="118"/>
        <v/>
      </c>
    </row>
    <row r="5571" spans="4:4" x14ac:dyDescent="0.3">
      <c r="D5571" t="str">
        <f t="shared" si="118"/>
        <v/>
      </c>
    </row>
    <row r="5572" spans="4:4" x14ac:dyDescent="0.3">
      <c r="D5572" t="str">
        <f t="shared" si="118"/>
        <v/>
      </c>
    </row>
    <row r="5573" spans="4:4" x14ac:dyDescent="0.3">
      <c r="D5573" t="str">
        <f t="shared" si="118"/>
        <v/>
      </c>
    </row>
    <row r="5574" spans="4:4" x14ac:dyDescent="0.3">
      <c r="D5574" t="str">
        <f t="shared" si="118"/>
        <v/>
      </c>
    </row>
    <row r="5575" spans="4:4" x14ac:dyDescent="0.3">
      <c r="D5575" t="str">
        <f t="shared" si="118"/>
        <v/>
      </c>
    </row>
    <row r="5576" spans="4:4" x14ac:dyDescent="0.3">
      <c r="D5576" t="str">
        <f t="shared" si="118"/>
        <v/>
      </c>
    </row>
    <row r="5577" spans="4:4" x14ac:dyDescent="0.3">
      <c r="D5577" t="str">
        <f t="shared" si="118"/>
        <v/>
      </c>
    </row>
    <row r="5578" spans="4:4" x14ac:dyDescent="0.3">
      <c r="D5578" t="str">
        <f t="shared" si="118"/>
        <v/>
      </c>
    </row>
    <row r="5579" spans="4:4" x14ac:dyDescent="0.3">
      <c r="D5579" t="str">
        <f t="shared" si="118"/>
        <v/>
      </c>
    </row>
    <row r="5580" spans="4:4" x14ac:dyDescent="0.3">
      <c r="D5580" t="str">
        <f t="shared" si="118"/>
        <v/>
      </c>
    </row>
    <row r="5581" spans="4:4" x14ac:dyDescent="0.3">
      <c r="D5581" t="str">
        <f t="shared" si="118"/>
        <v/>
      </c>
    </row>
    <row r="5582" spans="4:4" x14ac:dyDescent="0.3">
      <c r="D5582" t="str">
        <f t="shared" si="118"/>
        <v/>
      </c>
    </row>
    <row r="5583" spans="4:4" x14ac:dyDescent="0.3">
      <c r="D5583" t="str">
        <f t="shared" si="118"/>
        <v/>
      </c>
    </row>
    <row r="5584" spans="4:4" x14ac:dyDescent="0.3">
      <c r="D5584" t="str">
        <f t="shared" si="118"/>
        <v/>
      </c>
    </row>
    <row r="5585" spans="4:4" x14ac:dyDescent="0.3">
      <c r="D5585" t="str">
        <f t="shared" si="118"/>
        <v/>
      </c>
    </row>
    <row r="5586" spans="4:4" x14ac:dyDescent="0.3">
      <c r="D5586" t="str">
        <f t="shared" si="118"/>
        <v/>
      </c>
    </row>
    <row r="5587" spans="4:4" x14ac:dyDescent="0.3">
      <c r="D5587" t="str">
        <f t="shared" si="118"/>
        <v/>
      </c>
    </row>
    <row r="5588" spans="4:4" x14ac:dyDescent="0.3">
      <c r="D5588" t="str">
        <f t="shared" si="118"/>
        <v/>
      </c>
    </row>
    <row r="5589" spans="4:4" x14ac:dyDescent="0.3">
      <c r="D5589" t="str">
        <f t="shared" si="118"/>
        <v/>
      </c>
    </row>
    <row r="5590" spans="4:4" x14ac:dyDescent="0.3">
      <c r="D5590" t="str">
        <f t="shared" si="118"/>
        <v/>
      </c>
    </row>
    <row r="5591" spans="4:4" x14ac:dyDescent="0.3">
      <c r="D5591" t="str">
        <f t="shared" si="118"/>
        <v/>
      </c>
    </row>
    <row r="5592" spans="4:4" x14ac:dyDescent="0.3">
      <c r="D5592" t="str">
        <f t="shared" si="118"/>
        <v/>
      </c>
    </row>
    <row r="5593" spans="4:4" x14ac:dyDescent="0.3">
      <c r="D5593" t="str">
        <f t="shared" si="118"/>
        <v/>
      </c>
    </row>
    <row r="5594" spans="4:4" x14ac:dyDescent="0.3">
      <c r="D5594" t="str">
        <f t="shared" si="118"/>
        <v/>
      </c>
    </row>
    <row r="5595" spans="4:4" x14ac:dyDescent="0.3">
      <c r="D5595" t="str">
        <f t="shared" si="118"/>
        <v/>
      </c>
    </row>
    <row r="5596" spans="4:4" x14ac:dyDescent="0.3">
      <c r="D5596" t="str">
        <f t="shared" si="118"/>
        <v/>
      </c>
    </row>
    <row r="5597" spans="4:4" x14ac:dyDescent="0.3">
      <c r="D5597" t="str">
        <f t="shared" si="118"/>
        <v/>
      </c>
    </row>
    <row r="5598" spans="4:4" x14ac:dyDescent="0.3">
      <c r="D5598" t="str">
        <f t="shared" si="118"/>
        <v/>
      </c>
    </row>
    <row r="5599" spans="4:4" x14ac:dyDescent="0.3">
      <c r="D5599" t="str">
        <f t="shared" si="118"/>
        <v/>
      </c>
    </row>
    <row r="5600" spans="4:4" x14ac:dyDescent="0.3">
      <c r="D5600" t="str">
        <f t="shared" si="118"/>
        <v/>
      </c>
    </row>
    <row r="5601" spans="4:4" x14ac:dyDescent="0.3">
      <c r="D5601" t="str">
        <f t="shared" si="118"/>
        <v/>
      </c>
    </row>
    <row r="5602" spans="4:4" x14ac:dyDescent="0.3">
      <c r="D5602" t="str">
        <f t="shared" si="118"/>
        <v/>
      </c>
    </row>
    <row r="5603" spans="4:4" x14ac:dyDescent="0.3">
      <c r="D5603" t="str">
        <f t="shared" si="118"/>
        <v/>
      </c>
    </row>
    <row r="5604" spans="4:4" x14ac:dyDescent="0.3">
      <c r="D5604" t="str">
        <f t="shared" si="118"/>
        <v/>
      </c>
    </row>
    <row r="5605" spans="4:4" x14ac:dyDescent="0.3">
      <c r="D5605" t="str">
        <f t="shared" si="118"/>
        <v/>
      </c>
    </row>
    <row r="5606" spans="4:4" x14ac:dyDescent="0.3">
      <c r="D5606" t="str">
        <f t="shared" si="118"/>
        <v/>
      </c>
    </row>
    <row r="5607" spans="4:4" x14ac:dyDescent="0.3">
      <c r="D5607" t="str">
        <f t="shared" si="118"/>
        <v/>
      </c>
    </row>
    <row r="5608" spans="4:4" x14ac:dyDescent="0.3">
      <c r="D5608" t="str">
        <f t="shared" si="118"/>
        <v/>
      </c>
    </row>
    <row r="5609" spans="4:4" x14ac:dyDescent="0.3">
      <c r="D5609" t="str">
        <f t="shared" si="118"/>
        <v/>
      </c>
    </row>
    <row r="5610" spans="4:4" x14ac:dyDescent="0.3">
      <c r="D5610" t="str">
        <f t="shared" si="118"/>
        <v/>
      </c>
    </row>
    <row r="5611" spans="4:4" x14ac:dyDescent="0.3">
      <c r="D5611" t="str">
        <f t="shared" si="118"/>
        <v/>
      </c>
    </row>
    <row r="5612" spans="4:4" x14ac:dyDescent="0.3">
      <c r="D5612" t="str">
        <f t="shared" si="118"/>
        <v/>
      </c>
    </row>
    <row r="5613" spans="4:4" x14ac:dyDescent="0.3">
      <c r="D5613" t="str">
        <f t="shared" si="118"/>
        <v/>
      </c>
    </row>
    <row r="5614" spans="4:4" x14ac:dyDescent="0.3">
      <c r="D5614" t="str">
        <f t="shared" si="118"/>
        <v/>
      </c>
    </row>
    <row r="5615" spans="4:4" x14ac:dyDescent="0.3">
      <c r="D5615" t="str">
        <f t="shared" si="118"/>
        <v/>
      </c>
    </row>
    <row r="5616" spans="4:4" x14ac:dyDescent="0.3">
      <c r="D5616" t="str">
        <f t="shared" si="118"/>
        <v/>
      </c>
    </row>
    <row r="5617" spans="4:4" x14ac:dyDescent="0.3">
      <c r="D5617" t="str">
        <f t="shared" si="118"/>
        <v/>
      </c>
    </row>
    <row r="5618" spans="4:4" x14ac:dyDescent="0.3">
      <c r="D5618" t="str">
        <f t="shared" si="118"/>
        <v/>
      </c>
    </row>
    <row r="5619" spans="4:4" x14ac:dyDescent="0.3">
      <c r="D5619" t="str">
        <f t="shared" si="118"/>
        <v/>
      </c>
    </row>
    <row r="5620" spans="4:4" x14ac:dyDescent="0.3">
      <c r="D5620" t="str">
        <f t="shared" si="118"/>
        <v/>
      </c>
    </row>
    <row r="5621" spans="4:4" x14ac:dyDescent="0.3">
      <c r="D5621" t="str">
        <f t="shared" si="118"/>
        <v/>
      </c>
    </row>
    <row r="5622" spans="4:4" x14ac:dyDescent="0.3">
      <c r="D5622" t="str">
        <f t="shared" si="118"/>
        <v/>
      </c>
    </row>
    <row r="5623" spans="4:4" x14ac:dyDescent="0.3">
      <c r="D5623" t="str">
        <f t="shared" si="118"/>
        <v/>
      </c>
    </row>
    <row r="5624" spans="4:4" x14ac:dyDescent="0.3">
      <c r="D5624" t="str">
        <f t="shared" si="118"/>
        <v/>
      </c>
    </row>
    <row r="5625" spans="4:4" x14ac:dyDescent="0.3">
      <c r="D5625" t="str">
        <f t="shared" si="118"/>
        <v/>
      </c>
    </row>
    <row r="5626" spans="4:4" x14ac:dyDescent="0.3">
      <c r="D5626" t="str">
        <f t="shared" ref="D5626:D5689" si="119">IF(LEFT(A5626,2)="SP",MID(A5626,4,4),IF(LEFT(A5626,1)="X",MID(A5626,3,4),""))</f>
        <v/>
      </c>
    </row>
    <row r="5627" spans="4:4" x14ac:dyDescent="0.3">
      <c r="D5627" t="str">
        <f t="shared" si="119"/>
        <v/>
      </c>
    </row>
    <row r="5628" spans="4:4" x14ac:dyDescent="0.3">
      <c r="D5628" t="str">
        <f t="shared" si="119"/>
        <v/>
      </c>
    </row>
    <row r="5629" spans="4:4" x14ac:dyDescent="0.3">
      <c r="D5629" t="str">
        <f t="shared" si="119"/>
        <v/>
      </c>
    </row>
    <row r="5630" spans="4:4" x14ac:dyDescent="0.3">
      <c r="D5630" t="str">
        <f t="shared" si="119"/>
        <v/>
      </c>
    </row>
    <row r="5631" spans="4:4" x14ac:dyDescent="0.3">
      <c r="D5631" t="str">
        <f t="shared" si="119"/>
        <v/>
      </c>
    </row>
    <row r="5632" spans="4:4" x14ac:dyDescent="0.3">
      <c r="D5632" t="str">
        <f t="shared" si="119"/>
        <v/>
      </c>
    </row>
    <row r="5633" spans="4:4" x14ac:dyDescent="0.3">
      <c r="D5633" t="str">
        <f t="shared" si="119"/>
        <v/>
      </c>
    </row>
    <row r="5634" spans="4:4" x14ac:dyDescent="0.3">
      <c r="D5634" t="str">
        <f t="shared" si="119"/>
        <v/>
      </c>
    </row>
    <row r="5635" spans="4:4" x14ac:dyDescent="0.3">
      <c r="D5635" t="str">
        <f t="shared" si="119"/>
        <v/>
      </c>
    </row>
    <row r="5636" spans="4:4" x14ac:dyDescent="0.3">
      <c r="D5636" t="str">
        <f t="shared" si="119"/>
        <v/>
      </c>
    </row>
    <row r="5637" spans="4:4" x14ac:dyDescent="0.3">
      <c r="D5637" t="str">
        <f t="shared" si="119"/>
        <v/>
      </c>
    </row>
    <row r="5638" spans="4:4" x14ac:dyDescent="0.3">
      <c r="D5638" t="str">
        <f t="shared" si="119"/>
        <v/>
      </c>
    </row>
    <row r="5639" spans="4:4" x14ac:dyDescent="0.3">
      <c r="D5639" t="str">
        <f t="shared" si="119"/>
        <v/>
      </c>
    </row>
    <row r="5640" spans="4:4" x14ac:dyDescent="0.3">
      <c r="D5640" t="str">
        <f t="shared" si="119"/>
        <v/>
      </c>
    </row>
    <row r="5641" spans="4:4" x14ac:dyDescent="0.3">
      <c r="D5641" t="str">
        <f t="shared" si="119"/>
        <v/>
      </c>
    </row>
    <row r="5642" spans="4:4" x14ac:dyDescent="0.3">
      <c r="D5642" t="str">
        <f t="shared" si="119"/>
        <v/>
      </c>
    </row>
    <row r="5643" spans="4:4" x14ac:dyDescent="0.3">
      <c r="D5643" t="str">
        <f t="shared" si="119"/>
        <v/>
      </c>
    </row>
    <row r="5644" spans="4:4" x14ac:dyDescent="0.3">
      <c r="D5644" t="str">
        <f t="shared" si="119"/>
        <v/>
      </c>
    </row>
    <row r="5645" spans="4:4" x14ac:dyDescent="0.3">
      <c r="D5645" t="str">
        <f t="shared" si="119"/>
        <v/>
      </c>
    </row>
    <row r="5646" spans="4:4" x14ac:dyDescent="0.3">
      <c r="D5646" t="str">
        <f t="shared" si="119"/>
        <v/>
      </c>
    </row>
    <row r="5647" spans="4:4" x14ac:dyDescent="0.3">
      <c r="D5647" t="str">
        <f t="shared" si="119"/>
        <v/>
      </c>
    </row>
    <row r="5648" spans="4:4" x14ac:dyDescent="0.3">
      <c r="D5648" t="str">
        <f t="shared" si="119"/>
        <v/>
      </c>
    </row>
    <row r="5649" spans="4:4" x14ac:dyDescent="0.3">
      <c r="D5649" t="str">
        <f t="shared" si="119"/>
        <v/>
      </c>
    </row>
    <row r="5650" spans="4:4" x14ac:dyDescent="0.3">
      <c r="D5650" t="str">
        <f t="shared" si="119"/>
        <v/>
      </c>
    </row>
    <row r="5651" spans="4:4" x14ac:dyDescent="0.3">
      <c r="D5651" t="str">
        <f t="shared" si="119"/>
        <v/>
      </c>
    </row>
    <row r="5652" spans="4:4" x14ac:dyDescent="0.3">
      <c r="D5652" t="str">
        <f t="shared" si="119"/>
        <v/>
      </c>
    </row>
    <row r="5653" spans="4:4" x14ac:dyDescent="0.3">
      <c r="D5653" t="str">
        <f t="shared" si="119"/>
        <v/>
      </c>
    </row>
    <row r="5654" spans="4:4" x14ac:dyDescent="0.3">
      <c r="D5654" t="str">
        <f t="shared" si="119"/>
        <v/>
      </c>
    </row>
    <row r="5655" spans="4:4" x14ac:dyDescent="0.3">
      <c r="D5655" t="str">
        <f t="shared" si="119"/>
        <v/>
      </c>
    </row>
    <row r="5656" spans="4:4" x14ac:dyDescent="0.3">
      <c r="D5656" t="str">
        <f t="shared" si="119"/>
        <v/>
      </c>
    </row>
    <row r="5657" spans="4:4" x14ac:dyDescent="0.3">
      <c r="D5657" t="str">
        <f t="shared" si="119"/>
        <v/>
      </c>
    </row>
    <row r="5658" spans="4:4" x14ac:dyDescent="0.3">
      <c r="D5658" t="str">
        <f t="shared" si="119"/>
        <v/>
      </c>
    </row>
    <row r="5659" spans="4:4" x14ac:dyDescent="0.3">
      <c r="D5659" t="str">
        <f t="shared" si="119"/>
        <v/>
      </c>
    </row>
    <row r="5660" spans="4:4" x14ac:dyDescent="0.3">
      <c r="D5660" t="str">
        <f t="shared" si="119"/>
        <v/>
      </c>
    </row>
    <row r="5661" spans="4:4" x14ac:dyDescent="0.3">
      <c r="D5661" t="str">
        <f t="shared" si="119"/>
        <v/>
      </c>
    </row>
    <row r="5662" spans="4:4" x14ac:dyDescent="0.3">
      <c r="D5662" t="str">
        <f t="shared" si="119"/>
        <v/>
      </c>
    </row>
    <row r="5663" spans="4:4" x14ac:dyDescent="0.3">
      <c r="D5663" t="str">
        <f t="shared" si="119"/>
        <v/>
      </c>
    </row>
    <row r="5664" spans="4:4" x14ac:dyDescent="0.3">
      <c r="D5664" t="str">
        <f t="shared" si="119"/>
        <v/>
      </c>
    </row>
    <row r="5665" spans="4:4" x14ac:dyDescent="0.3">
      <c r="D5665" t="str">
        <f t="shared" si="119"/>
        <v/>
      </c>
    </row>
    <row r="5666" spans="4:4" x14ac:dyDescent="0.3">
      <c r="D5666" t="str">
        <f t="shared" si="119"/>
        <v/>
      </c>
    </row>
    <row r="5667" spans="4:4" x14ac:dyDescent="0.3">
      <c r="D5667" t="str">
        <f t="shared" si="119"/>
        <v/>
      </c>
    </row>
    <row r="5668" spans="4:4" x14ac:dyDescent="0.3">
      <c r="D5668" t="str">
        <f t="shared" si="119"/>
        <v/>
      </c>
    </row>
    <row r="5669" spans="4:4" x14ac:dyDescent="0.3">
      <c r="D5669" t="str">
        <f t="shared" si="119"/>
        <v/>
      </c>
    </row>
    <row r="5670" spans="4:4" x14ac:dyDescent="0.3">
      <c r="D5670" t="str">
        <f t="shared" si="119"/>
        <v/>
      </c>
    </row>
    <row r="5671" spans="4:4" x14ac:dyDescent="0.3">
      <c r="D5671" t="str">
        <f t="shared" si="119"/>
        <v/>
      </c>
    </row>
    <row r="5672" spans="4:4" x14ac:dyDescent="0.3">
      <c r="D5672" t="str">
        <f t="shared" si="119"/>
        <v/>
      </c>
    </row>
    <row r="5673" spans="4:4" x14ac:dyDescent="0.3">
      <c r="D5673" t="str">
        <f t="shared" si="119"/>
        <v/>
      </c>
    </row>
    <row r="5674" spans="4:4" x14ac:dyDescent="0.3">
      <c r="D5674" t="str">
        <f t="shared" si="119"/>
        <v/>
      </c>
    </row>
    <row r="5675" spans="4:4" x14ac:dyDescent="0.3">
      <c r="D5675" t="str">
        <f t="shared" si="119"/>
        <v/>
      </c>
    </row>
    <row r="5676" spans="4:4" x14ac:dyDescent="0.3">
      <c r="D5676" t="str">
        <f t="shared" si="119"/>
        <v/>
      </c>
    </row>
    <row r="5677" spans="4:4" x14ac:dyDescent="0.3">
      <c r="D5677" t="str">
        <f t="shared" si="119"/>
        <v/>
      </c>
    </row>
    <row r="5678" spans="4:4" x14ac:dyDescent="0.3">
      <c r="D5678" t="str">
        <f t="shared" si="119"/>
        <v/>
      </c>
    </row>
    <row r="5679" spans="4:4" x14ac:dyDescent="0.3">
      <c r="D5679" t="str">
        <f t="shared" si="119"/>
        <v/>
      </c>
    </row>
    <row r="5680" spans="4:4" x14ac:dyDescent="0.3">
      <c r="D5680" t="str">
        <f t="shared" si="119"/>
        <v/>
      </c>
    </row>
    <row r="5681" spans="4:4" x14ac:dyDescent="0.3">
      <c r="D5681" t="str">
        <f t="shared" si="119"/>
        <v/>
      </c>
    </row>
    <row r="5682" spans="4:4" x14ac:dyDescent="0.3">
      <c r="D5682" t="str">
        <f t="shared" si="119"/>
        <v/>
      </c>
    </row>
    <row r="5683" spans="4:4" x14ac:dyDescent="0.3">
      <c r="D5683" t="str">
        <f t="shared" si="119"/>
        <v/>
      </c>
    </row>
    <row r="5684" spans="4:4" x14ac:dyDescent="0.3">
      <c r="D5684" t="str">
        <f t="shared" si="119"/>
        <v/>
      </c>
    </row>
    <row r="5685" spans="4:4" x14ac:dyDescent="0.3">
      <c r="D5685" t="str">
        <f t="shared" si="119"/>
        <v/>
      </c>
    </row>
    <row r="5686" spans="4:4" x14ac:dyDescent="0.3">
      <c r="D5686" t="str">
        <f t="shared" si="119"/>
        <v/>
      </c>
    </row>
    <row r="5687" spans="4:4" x14ac:dyDescent="0.3">
      <c r="D5687" t="str">
        <f t="shared" si="119"/>
        <v/>
      </c>
    </row>
    <row r="5688" spans="4:4" x14ac:dyDescent="0.3">
      <c r="D5688" t="str">
        <f t="shared" si="119"/>
        <v/>
      </c>
    </row>
    <row r="5689" spans="4:4" x14ac:dyDescent="0.3">
      <c r="D5689" t="str">
        <f t="shared" si="119"/>
        <v/>
      </c>
    </row>
    <row r="5690" spans="4:4" x14ac:dyDescent="0.3">
      <c r="D5690" t="str">
        <f t="shared" ref="D5690:D5753" si="120">IF(LEFT(A5690,2)="SP",MID(A5690,4,4),IF(LEFT(A5690,1)="X",MID(A5690,3,4),""))</f>
        <v/>
      </c>
    </row>
    <row r="5691" spans="4:4" x14ac:dyDescent="0.3">
      <c r="D5691" t="str">
        <f t="shared" si="120"/>
        <v/>
      </c>
    </row>
    <row r="5692" spans="4:4" x14ac:dyDescent="0.3">
      <c r="D5692" t="str">
        <f t="shared" si="120"/>
        <v/>
      </c>
    </row>
    <row r="5693" spans="4:4" x14ac:dyDescent="0.3">
      <c r="D5693" t="str">
        <f t="shared" si="120"/>
        <v/>
      </c>
    </row>
    <row r="5694" spans="4:4" x14ac:dyDescent="0.3">
      <c r="D5694" t="str">
        <f t="shared" si="120"/>
        <v/>
      </c>
    </row>
    <row r="5695" spans="4:4" x14ac:dyDescent="0.3">
      <c r="D5695" t="str">
        <f t="shared" si="120"/>
        <v/>
      </c>
    </row>
    <row r="5696" spans="4:4" x14ac:dyDescent="0.3">
      <c r="D5696" t="str">
        <f t="shared" si="120"/>
        <v/>
      </c>
    </row>
    <row r="5697" spans="4:4" x14ac:dyDescent="0.3">
      <c r="D5697" t="str">
        <f t="shared" si="120"/>
        <v/>
      </c>
    </row>
    <row r="5698" spans="4:4" x14ac:dyDescent="0.3">
      <c r="D5698" t="str">
        <f t="shared" si="120"/>
        <v/>
      </c>
    </row>
    <row r="5699" spans="4:4" x14ac:dyDescent="0.3">
      <c r="D5699" t="str">
        <f t="shared" si="120"/>
        <v/>
      </c>
    </row>
    <row r="5700" spans="4:4" x14ac:dyDescent="0.3">
      <c r="D5700" t="str">
        <f t="shared" si="120"/>
        <v/>
      </c>
    </row>
    <row r="5701" spans="4:4" x14ac:dyDescent="0.3">
      <c r="D5701" t="str">
        <f t="shared" si="120"/>
        <v/>
      </c>
    </row>
    <row r="5702" spans="4:4" x14ac:dyDescent="0.3">
      <c r="D5702" t="str">
        <f t="shared" si="120"/>
        <v/>
      </c>
    </row>
    <row r="5703" spans="4:4" x14ac:dyDescent="0.3">
      <c r="D5703" t="str">
        <f t="shared" si="120"/>
        <v/>
      </c>
    </row>
    <row r="5704" spans="4:4" x14ac:dyDescent="0.3">
      <c r="D5704" t="str">
        <f t="shared" si="120"/>
        <v/>
      </c>
    </row>
    <row r="5705" spans="4:4" x14ac:dyDescent="0.3">
      <c r="D5705" t="str">
        <f t="shared" si="120"/>
        <v/>
      </c>
    </row>
    <row r="5706" spans="4:4" x14ac:dyDescent="0.3">
      <c r="D5706" t="str">
        <f t="shared" si="120"/>
        <v/>
      </c>
    </row>
    <row r="5707" spans="4:4" x14ac:dyDescent="0.3">
      <c r="D5707" t="str">
        <f t="shared" si="120"/>
        <v/>
      </c>
    </row>
    <row r="5708" spans="4:4" x14ac:dyDescent="0.3">
      <c r="D5708" t="str">
        <f t="shared" si="120"/>
        <v/>
      </c>
    </row>
    <row r="5709" spans="4:4" x14ac:dyDescent="0.3">
      <c r="D5709" t="str">
        <f t="shared" si="120"/>
        <v/>
      </c>
    </row>
    <row r="5710" spans="4:4" x14ac:dyDescent="0.3">
      <c r="D5710" t="str">
        <f t="shared" si="120"/>
        <v/>
      </c>
    </row>
    <row r="5711" spans="4:4" x14ac:dyDescent="0.3">
      <c r="D5711" t="str">
        <f t="shared" si="120"/>
        <v/>
      </c>
    </row>
    <row r="5712" spans="4:4" x14ac:dyDescent="0.3">
      <c r="D5712" t="str">
        <f t="shared" si="120"/>
        <v/>
      </c>
    </row>
    <row r="5713" spans="4:4" x14ac:dyDescent="0.3">
      <c r="D5713" t="str">
        <f t="shared" si="120"/>
        <v/>
      </c>
    </row>
    <row r="5714" spans="4:4" x14ac:dyDescent="0.3">
      <c r="D5714" t="str">
        <f t="shared" si="120"/>
        <v/>
      </c>
    </row>
    <row r="5715" spans="4:4" x14ac:dyDescent="0.3">
      <c r="D5715" t="str">
        <f t="shared" si="120"/>
        <v/>
      </c>
    </row>
    <row r="5716" spans="4:4" x14ac:dyDescent="0.3">
      <c r="D5716" t="str">
        <f t="shared" si="120"/>
        <v/>
      </c>
    </row>
    <row r="5717" spans="4:4" x14ac:dyDescent="0.3">
      <c r="D5717" t="str">
        <f t="shared" si="120"/>
        <v/>
      </c>
    </row>
    <row r="5718" spans="4:4" x14ac:dyDescent="0.3">
      <c r="D5718" t="str">
        <f t="shared" si="120"/>
        <v/>
      </c>
    </row>
    <row r="5719" spans="4:4" x14ac:dyDescent="0.3">
      <c r="D5719" t="str">
        <f t="shared" si="120"/>
        <v/>
      </c>
    </row>
    <row r="5720" spans="4:4" x14ac:dyDescent="0.3">
      <c r="D5720" t="str">
        <f t="shared" si="120"/>
        <v/>
      </c>
    </row>
    <row r="5721" spans="4:4" x14ac:dyDescent="0.3">
      <c r="D5721" t="str">
        <f t="shared" si="120"/>
        <v/>
      </c>
    </row>
    <row r="5722" spans="4:4" x14ac:dyDescent="0.3">
      <c r="D5722" t="str">
        <f t="shared" si="120"/>
        <v/>
      </c>
    </row>
    <row r="5723" spans="4:4" x14ac:dyDescent="0.3">
      <c r="D5723" t="str">
        <f t="shared" si="120"/>
        <v/>
      </c>
    </row>
    <row r="5724" spans="4:4" x14ac:dyDescent="0.3">
      <c r="D5724" t="str">
        <f t="shared" si="120"/>
        <v/>
      </c>
    </row>
    <row r="5725" spans="4:4" x14ac:dyDescent="0.3">
      <c r="D5725" t="str">
        <f t="shared" si="120"/>
        <v/>
      </c>
    </row>
    <row r="5726" spans="4:4" x14ac:dyDescent="0.3">
      <c r="D5726" t="str">
        <f t="shared" si="120"/>
        <v/>
      </c>
    </row>
    <row r="5727" spans="4:4" x14ac:dyDescent="0.3">
      <c r="D5727" t="str">
        <f t="shared" si="120"/>
        <v/>
      </c>
    </row>
    <row r="5728" spans="4:4" x14ac:dyDescent="0.3">
      <c r="D5728" t="str">
        <f t="shared" si="120"/>
        <v/>
      </c>
    </row>
    <row r="5729" spans="4:4" x14ac:dyDescent="0.3">
      <c r="D5729" t="str">
        <f t="shared" si="120"/>
        <v/>
      </c>
    </row>
    <row r="5730" spans="4:4" x14ac:dyDescent="0.3">
      <c r="D5730" t="str">
        <f t="shared" si="120"/>
        <v/>
      </c>
    </row>
    <row r="5731" spans="4:4" x14ac:dyDescent="0.3">
      <c r="D5731" t="str">
        <f t="shared" si="120"/>
        <v/>
      </c>
    </row>
    <row r="5732" spans="4:4" x14ac:dyDescent="0.3">
      <c r="D5732" t="str">
        <f t="shared" si="120"/>
        <v/>
      </c>
    </row>
    <row r="5733" spans="4:4" x14ac:dyDescent="0.3">
      <c r="D5733" t="str">
        <f t="shared" si="120"/>
        <v/>
      </c>
    </row>
    <row r="5734" spans="4:4" x14ac:dyDescent="0.3">
      <c r="D5734" t="str">
        <f t="shared" si="120"/>
        <v/>
      </c>
    </row>
    <row r="5735" spans="4:4" x14ac:dyDescent="0.3">
      <c r="D5735" t="str">
        <f t="shared" si="120"/>
        <v/>
      </c>
    </row>
    <row r="5736" spans="4:4" x14ac:dyDescent="0.3">
      <c r="D5736" t="str">
        <f t="shared" si="120"/>
        <v/>
      </c>
    </row>
    <row r="5737" spans="4:4" x14ac:dyDescent="0.3">
      <c r="D5737" t="str">
        <f t="shared" si="120"/>
        <v/>
      </c>
    </row>
    <row r="5738" spans="4:4" x14ac:dyDescent="0.3">
      <c r="D5738" t="str">
        <f t="shared" si="120"/>
        <v/>
      </c>
    </row>
    <row r="5739" spans="4:4" x14ac:dyDescent="0.3">
      <c r="D5739" t="str">
        <f t="shared" si="120"/>
        <v/>
      </c>
    </row>
    <row r="5740" spans="4:4" x14ac:dyDescent="0.3">
      <c r="D5740" t="str">
        <f t="shared" si="120"/>
        <v/>
      </c>
    </row>
    <row r="5741" spans="4:4" x14ac:dyDescent="0.3">
      <c r="D5741" t="str">
        <f t="shared" si="120"/>
        <v/>
      </c>
    </row>
    <row r="5742" spans="4:4" x14ac:dyDescent="0.3">
      <c r="D5742" t="str">
        <f t="shared" si="120"/>
        <v/>
      </c>
    </row>
    <row r="5743" spans="4:4" x14ac:dyDescent="0.3">
      <c r="D5743" t="str">
        <f t="shared" si="120"/>
        <v/>
      </c>
    </row>
    <row r="5744" spans="4:4" x14ac:dyDescent="0.3">
      <c r="D5744" t="str">
        <f t="shared" si="120"/>
        <v/>
      </c>
    </row>
    <row r="5745" spans="4:4" x14ac:dyDescent="0.3">
      <c r="D5745" t="str">
        <f t="shared" si="120"/>
        <v/>
      </c>
    </row>
    <row r="5746" spans="4:4" x14ac:dyDescent="0.3">
      <c r="D5746" t="str">
        <f t="shared" si="120"/>
        <v/>
      </c>
    </row>
    <row r="5747" spans="4:4" x14ac:dyDescent="0.3">
      <c r="D5747" t="str">
        <f t="shared" si="120"/>
        <v/>
      </c>
    </row>
    <row r="5748" spans="4:4" x14ac:dyDescent="0.3">
      <c r="D5748" t="str">
        <f t="shared" si="120"/>
        <v/>
      </c>
    </row>
    <row r="5749" spans="4:4" x14ac:dyDescent="0.3">
      <c r="D5749" t="str">
        <f t="shared" si="120"/>
        <v/>
      </c>
    </row>
    <row r="5750" spans="4:4" x14ac:dyDescent="0.3">
      <c r="D5750" t="str">
        <f t="shared" si="120"/>
        <v/>
      </c>
    </row>
    <row r="5751" spans="4:4" x14ac:dyDescent="0.3">
      <c r="D5751" t="str">
        <f t="shared" si="120"/>
        <v/>
      </c>
    </row>
    <row r="5752" spans="4:4" x14ac:dyDescent="0.3">
      <c r="D5752" t="str">
        <f t="shared" si="120"/>
        <v/>
      </c>
    </row>
    <row r="5753" spans="4:4" x14ac:dyDescent="0.3">
      <c r="D5753" t="str">
        <f t="shared" si="120"/>
        <v/>
      </c>
    </row>
    <row r="5754" spans="4:4" x14ac:dyDescent="0.3">
      <c r="D5754" t="str">
        <f t="shared" ref="D5754:D5817" si="121">IF(LEFT(A5754,2)="SP",MID(A5754,4,4),IF(LEFT(A5754,1)="X",MID(A5754,3,4),""))</f>
        <v/>
      </c>
    </row>
    <row r="5755" spans="4:4" x14ac:dyDescent="0.3">
      <c r="D5755" t="str">
        <f t="shared" si="121"/>
        <v/>
      </c>
    </row>
    <row r="5756" spans="4:4" x14ac:dyDescent="0.3">
      <c r="D5756" t="str">
        <f t="shared" si="121"/>
        <v/>
      </c>
    </row>
    <row r="5757" spans="4:4" x14ac:dyDescent="0.3">
      <c r="D5757" t="str">
        <f t="shared" si="121"/>
        <v/>
      </c>
    </row>
    <row r="5758" spans="4:4" x14ac:dyDescent="0.3">
      <c r="D5758" t="str">
        <f t="shared" si="121"/>
        <v/>
      </c>
    </row>
    <row r="5759" spans="4:4" x14ac:dyDescent="0.3">
      <c r="D5759" t="str">
        <f t="shared" si="121"/>
        <v/>
      </c>
    </row>
    <row r="5760" spans="4:4" x14ac:dyDescent="0.3">
      <c r="D5760" t="str">
        <f t="shared" si="121"/>
        <v/>
      </c>
    </row>
    <row r="5761" spans="4:4" x14ac:dyDescent="0.3">
      <c r="D5761" t="str">
        <f t="shared" si="121"/>
        <v/>
      </c>
    </row>
    <row r="5762" spans="4:4" x14ac:dyDescent="0.3">
      <c r="D5762" t="str">
        <f t="shared" si="121"/>
        <v/>
      </c>
    </row>
    <row r="5763" spans="4:4" x14ac:dyDescent="0.3">
      <c r="D5763" t="str">
        <f t="shared" si="121"/>
        <v/>
      </c>
    </row>
    <row r="5764" spans="4:4" x14ac:dyDescent="0.3">
      <c r="D5764" t="str">
        <f t="shared" si="121"/>
        <v/>
      </c>
    </row>
    <row r="5765" spans="4:4" x14ac:dyDescent="0.3">
      <c r="D5765" t="str">
        <f t="shared" si="121"/>
        <v/>
      </c>
    </row>
    <row r="5766" spans="4:4" x14ac:dyDescent="0.3">
      <c r="D5766" t="str">
        <f t="shared" si="121"/>
        <v/>
      </c>
    </row>
    <row r="5767" spans="4:4" x14ac:dyDescent="0.3">
      <c r="D5767" t="str">
        <f t="shared" si="121"/>
        <v/>
      </c>
    </row>
    <row r="5768" spans="4:4" x14ac:dyDescent="0.3">
      <c r="D5768" t="str">
        <f t="shared" si="121"/>
        <v/>
      </c>
    </row>
    <row r="5769" spans="4:4" x14ac:dyDescent="0.3">
      <c r="D5769" t="str">
        <f t="shared" si="121"/>
        <v/>
      </c>
    </row>
    <row r="5770" spans="4:4" x14ac:dyDescent="0.3">
      <c r="D5770" t="str">
        <f t="shared" si="121"/>
        <v/>
      </c>
    </row>
    <row r="5771" spans="4:4" x14ac:dyDescent="0.3">
      <c r="D5771" t="str">
        <f t="shared" si="121"/>
        <v/>
      </c>
    </row>
    <row r="5772" spans="4:4" x14ac:dyDescent="0.3">
      <c r="D5772" t="str">
        <f t="shared" si="121"/>
        <v/>
      </c>
    </row>
    <row r="5773" spans="4:4" x14ac:dyDescent="0.3">
      <c r="D5773" t="str">
        <f t="shared" si="121"/>
        <v/>
      </c>
    </row>
    <row r="5774" spans="4:4" x14ac:dyDescent="0.3">
      <c r="D5774" t="str">
        <f t="shared" si="121"/>
        <v/>
      </c>
    </row>
    <row r="5775" spans="4:4" x14ac:dyDescent="0.3">
      <c r="D5775" t="str">
        <f t="shared" si="121"/>
        <v/>
      </c>
    </row>
    <row r="5776" spans="4:4" x14ac:dyDescent="0.3">
      <c r="D5776" t="str">
        <f t="shared" si="121"/>
        <v/>
      </c>
    </row>
    <row r="5777" spans="4:4" x14ac:dyDescent="0.3">
      <c r="D5777" t="str">
        <f t="shared" si="121"/>
        <v/>
      </c>
    </row>
    <row r="5778" spans="4:4" x14ac:dyDescent="0.3">
      <c r="D5778" t="str">
        <f t="shared" si="121"/>
        <v/>
      </c>
    </row>
    <row r="5779" spans="4:4" x14ac:dyDescent="0.3">
      <c r="D5779" t="str">
        <f t="shared" si="121"/>
        <v/>
      </c>
    </row>
    <row r="5780" spans="4:4" x14ac:dyDescent="0.3">
      <c r="D5780" t="str">
        <f t="shared" si="121"/>
        <v/>
      </c>
    </row>
    <row r="5781" spans="4:4" x14ac:dyDescent="0.3">
      <c r="D5781" t="str">
        <f t="shared" si="121"/>
        <v/>
      </c>
    </row>
    <row r="5782" spans="4:4" x14ac:dyDescent="0.3">
      <c r="D5782" t="str">
        <f t="shared" si="121"/>
        <v/>
      </c>
    </row>
    <row r="5783" spans="4:4" x14ac:dyDescent="0.3">
      <c r="D5783" t="str">
        <f t="shared" si="121"/>
        <v/>
      </c>
    </row>
    <row r="5784" spans="4:4" x14ac:dyDescent="0.3">
      <c r="D5784" t="str">
        <f t="shared" si="121"/>
        <v/>
      </c>
    </row>
    <row r="5785" spans="4:4" x14ac:dyDescent="0.3">
      <c r="D5785" t="str">
        <f t="shared" si="121"/>
        <v/>
      </c>
    </row>
    <row r="5786" spans="4:4" x14ac:dyDescent="0.3">
      <c r="D5786" t="str">
        <f t="shared" si="121"/>
        <v/>
      </c>
    </row>
    <row r="5787" spans="4:4" x14ac:dyDescent="0.3">
      <c r="D5787" t="str">
        <f t="shared" si="121"/>
        <v/>
      </c>
    </row>
    <row r="5788" spans="4:4" x14ac:dyDescent="0.3">
      <c r="D5788" t="str">
        <f t="shared" si="121"/>
        <v/>
      </c>
    </row>
    <row r="5789" spans="4:4" x14ac:dyDescent="0.3">
      <c r="D5789" t="str">
        <f t="shared" si="121"/>
        <v/>
      </c>
    </row>
    <row r="5790" spans="4:4" x14ac:dyDescent="0.3">
      <c r="D5790" t="str">
        <f t="shared" si="121"/>
        <v/>
      </c>
    </row>
    <row r="5791" spans="4:4" x14ac:dyDescent="0.3">
      <c r="D5791" t="str">
        <f t="shared" si="121"/>
        <v/>
      </c>
    </row>
    <row r="5792" spans="4:4" x14ac:dyDescent="0.3">
      <c r="D5792" t="str">
        <f t="shared" si="121"/>
        <v/>
      </c>
    </row>
    <row r="5793" spans="4:4" x14ac:dyDescent="0.3">
      <c r="D5793" t="str">
        <f t="shared" si="121"/>
        <v/>
      </c>
    </row>
    <row r="5794" spans="4:4" x14ac:dyDescent="0.3">
      <c r="D5794" t="str">
        <f t="shared" si="121"/>
        <v/>
      </c>
    </row>
    <row r="5795" spans="4:4" x14ac:dyDescent="0.3">
      <c r="D5795" t="str">
        <f t="shared" si="121"/>
        <v/>
      </c>
    </row>
    <row r="5796" spans="4:4" x14ac:dyDescent="0.3">
      <c r="D5796" t="str">
        <f t="shared" si="121"/>
        <v/>
      </c>
    </row>
    <row r="5797" spans="4:4" x14ac:dyDescent="0.3">
      <c r="D5797" t="str">
        <f t="shared" si="121"/>
        <v/>
      </c>
    </row>
    <row r="5798" spans="4:4" x14ac:dyDescent="0.3">
      <c r="D5798" t="str">
        <f t="shared" si="121"/>
        <v/>
      </c>
    </row>
    <row r="5799" spans="4:4" x14ac:dyDescent="0.3">
      <c r="D5799" t="str">
        <f t="shared" si="121"/>
        <v/>
      </c>
    </row>
    <row r="5800" spans="4:4" x14ac:dyDescent="0.3">
      <c r="D5800" t="str">
        <f t="shared" si="121"/>
        <v/>
      </c>
    </row>
    <row r="5801" spans="4:4" x14ac:dyDescent="0.3">
      <c r="D5801" t="str">
        <f t="shared" si="121"/>
        <v/>
      </c>
    </row>
    <row r="5802" spans="4:4" x14ac:dyDescent="0.3">
      <c r="D5802" t="str">
        <f t="shared" si="121"/>
        <v/>
      </c>
    </row>
    <row r="5803" spans="4:4" x14ac:dyDescent="0.3">
      <c r="D5803" t="str">
        <f t="shared" si="121"/>
        <v/>
      </c>
    </row>
    <row r="5804" spans="4:4" x14ac:dyDescent="0.3">
      <c r="D5804" t="str">
        <f t="shared" si="121"/>
        <v/>
      </c>
    </row>
    <row r="5805" spans="4:4" x14ac:dyDescent="0.3">
      <c r="D5805" t="str">
        <f t="shared" si="121"/>
        <v/>
      </c>
    </row>
    <row r="5806" spans="4:4" x14ac:dyDescent="0.3">
      <c r="D5806" t="str">
        <f t="shared" si="121"/>
        <v/>
      </c>
    </row>
    <row r="5807" spans="4:4" x14ac:dyDescent="0.3">
      <c r="D5807" t="str">
        <f t="shared" si="121"/>
        <v/>
      </c>
    </row>
    <row r="5808" spans="4:4" x14ac:dyDescent="0.3">
      <c r="D5808" t="str">
        <f t="shared" si="121"/>
        <v/>
      </c>
    </row>
    <row r="5809" spans="4:4" x14ac:dyDescent="0.3">
      <c r="D5809" t="str">
        <f t="shared" si="121"/>
        <v/>
      </c>
    </row>
    <row r="5810" spans="4:4" x14ac:dyDescent="0.3">
      <c r="D5810" t="str">
        <f t="shared" si="121"/>
        <v/>
      </c>
    </row>
    <row r="5811" spans="4:4" x14ac:dyDescent="0.3">
      <c r="D5811" t="str">
        <f t="shared" si="121"/>
        <v/>
      </c>
    </row>
    <row r="5812" spans="4:4" x14ac:dyDescent="0.3">
      <c r="D5812" t="str">
        <f t="shared" si="121"/>
        <v/>
      </c>
    </row>
    <row r="5813" spans="4:4" x14ac:dyDescent="0.3">
      <c r="D5813" t="str">
        <f t="shared" si="121"/>
        <v/>
      </c>
    </row>
    <row r="5814" spans="4:4" x14ac:dyDescent="0.3">
      <c r="D5814" t="str">
        <f t="shared" si="121"/>
        <v/>
      </c>
    </row>
    <row r="5815" spans="4:4" x14ac:dyDescent="0.3">
      <c r="D5815" t="str">
        <f t="shared" si="121"/>
        <v/>
      </c>
    </row>
    <row r="5816" spans="4:4" x14ac:dyDescent="0.3">
      <c r="D5816" t="str">
        <f t="shared" si="121"/>
        <v/>
      </c>
    </row>
    <row r="5817" spans="4:4" x14ac:dyDescent="0.3">
      <c r="D5817" t="str">
        <f t="shared" si="121"/>
        <v/>
      </c>
    </row>
    <row r="5818" spans="4:4" x14ac:dyDescent="0.3">
      <c r="D5818" t="str">
        <f t="shared" ref="D5818:D5881" si="122">IF(LEFT(A5818,2)="SP",MID(A5818,4,4),IF(LEFT(A5818,1)="X",MID(A5818,3,4),""))</f>
        <v/>
      </c>
    </row>
    <row r="5819" spans="4:4" x14ac:dyDescent="0.3">
      <c r="D5819" t="str">
        <f t="shared" si="122"/>
        <v/>
      </c>
    </row>
    <row r="5820" spans="4:4" x14ac:dyDescent="0.3">
      <c r="D5820" t="str">
        <f t="shared" si="122"/>
        <v/>
      </c>
    </row>
    <row r="5821" spans="4:4" x14ac:dyDescent="0.3">
      <c r="D5821" t="str">
        <f t="shared" si="122"/>
        <v/>
      </c>
    </row>
    <row r="5822" spans="4:4" x14ac:dyDescent="0.3">
      <c r="D5822" t="str">
        <f t="shared" si="122"/>
        <v/>
      </c>
    </row>
    <row r="5823" spans="4:4" x14ac:dyDescent="0.3">
      <c r="D5823" t="str">
        <f t="shared" si="122"/>
        <v/>
      </c>
    </row>
    <row r="5824" spans="4:4" x14ac:dyDescent="0.3">
      <c r="D5824" t="str">
        <f t="shared" si="122"/>
        <v/>
      </c>
    </row>
    <row r="5825" spans="4:4" x14ac:dyDescent="0.3">
      <c r="D5825" t="str">
        <f t="shared" si="122"/>
        <v/>
      </c>
    </row>
    <row r="5826" spans="4:4" x14ac:dyDescent="0.3">
      <c r="D5826" t="str">
        <f t="shared" si="122"/>
        <v/>
      </c>
    </row>
    <row r="5827" spans="4:4" x14ac:dyDescent="0.3">
      <c r="D5827" t="str">
        <f t="shared" si="122"/>
        <v/>
      </c>
    </row>
    <row r="5828" spans="4:4" x14ac:dyDescent="0.3">
      <c r="D5828" t="str">
        <f t="shared" si="122"/>
        <v/>
      </c>
    </row>
    <row r="5829" spans="4:4" x14ac:dyDescent="0.3">
      <c r="D5829" t="str">
        <f t="shared" si="122"/>
        <v/>
      </c>
    </row>
    <row r="5830" spans="4:4" x14ac:dyDescent="0.3">
      <c r="D5830" t="str">
        <f t="shared" si="122"/>
        <v/>
      </c>
    </row>
    <row r="5831" spans="4:4" x14ac:dyDescent="0.3">
      <c r="D5831" t="str">
        <f t="shared" si="122"/>
        <v/>
      </c>
    </row>
    <row r="5832" spans="4:4" x14ac:dyDescent="0.3">
      <c r="D5832" t="str">
        <f t="shared" si="122"/>
        <v/>
      </c>
    </row>
    <row r="5833" spans="4:4" x14ac:dyDescent="0.3">
      <c r="D5833" t="str">
        <f t="shared" si="122"/>
        <v/>
      </c>
    </row>
    <row r="5834" spans="4:4" x14ac:dyDescent="0.3">
      <c r="D5834" t="str">
        <f t="shared" si="122"/>
        <v/>
      </c>
    </row>
    <row r="5835" spans="4:4" x14ac:dyDescent="0.3">
      <c r="D5835" t="str">
        <f t="shared" si="122"/>
        <v/>
      </c>
    </row>
    <row r="5836" spans="4:4" x14ac:dyDescent="0.3">
      <c r="D5836" t="str">
        <f t="shared" si="122"/>
        <v/>
      </c>
    </row>
    <row r="5837" spans="4:4" x14ac:dyDescent="0.3">
      <c r="D5837" t="str">
        <f t="shared" si="122"/>
        <v/>
      </c>
    </row>
    <row r="5838" spans="4:4" x14ac:dyDescent="0.3">
      <c r="D5838" t="str">
        <f t="shared" si="122"/>
        <v/>
      </c>
    </row>
    <row r="5839" spans="4:4" x14ac:dyDescent="0.3">
      <c r="D5839" t="str">
        <f t="shared" si="122"/>
        <v/>
      </c>
    </row>
    <row r="5840" spans="4:4" x14ac:dyDescent="0.3">
      <c r="D5840" t="str">
        <f t="shared" si="122"/>
        <v/>
      </c>
    </row>
    <row r="5841" spans="4:4" x14ac:dyDescent="0.3">
      <c r="D5841" t="str">
        <f t="shared" si="122"/>
        <v/>
      </c>
    </row>
    <row r="5842" spans="4:4" x14ac:dyDescent="0.3">
      <c r="D5842" t="str">
        <f t="shared" si="122"/>
        <v/>
      </c>
    </row>
    <row r="5843" spans="4:4" x14ac:dyDescent="0.3">
      <c r="D5843" t="str">
        <f t="shared" si="122"/>
        <v/>
      </c>
    </row>
    <row r="5844" spans="4:4" x14ac:dyDescent="0.3">
      <c r="D5844" t="str">
        <f t="shared" si="122"/>
        <v/>
      </c>
    </row>
    <row r="5845" spans="4:4" x14ac:dyDescent="0.3">
      <c r="D5845" t="str">
        <f t="shared" si="122"/>
        <v/>
      </c>
    </row>
    <row r="5846" spans="4:4" x14ac:dyDescent="0.3">
      <c r="D5846" t="str">
        <f t="shared" si="122"/>
        <v/>
      </c>
    </row>
    <row r="5847" spans="4:4" x14ac:dyDescent="0.3">
      <c r="D5847" t="str">
        <f t="shared" si="122"/>
        <v/>
      </c>
    </row>
    <row r="5848" spans="4:4" x14ac:dyDescent="0.3">
      <c r="D5848" t="str">
        <f t="shared" si="122"/>
        <v/>
      </c>
    </row>
    <row r="5849" spans="4:4" x14ac:dyDescent="0.3">
      <c r="D5849" t="str">
        <f t="shared" si="122"/>
        <v/>
      </c>
    </row>
    <row r="5850" spans="4:4" x14ac:dyDescent="0.3">
      <c r="D5850" t="str">
        <f t="shared" si="122"/>
        <v/>
      </c>
    </row>
    <row r="5851" spans="4:4" x14ac:dyDescent="0.3">
      <c r="D5851" t="str">
        <f t="shared" si="122"/>
        <v/>
      </c>
    </row>
    <row r="5852" spans="4:4" x14ac:dyDescent="0.3">
      <c r="D5852" t="str">
        <f t="shared" si="122"/>
        <v/>
      </c>
    </row>
    <row r="5853" spans="4:4" x14ac:dyDescent="0.3">
      <c r="D5853" t="str">
        <f t="shared" si="122"/>
        <v/>
      </c>
    </row>
    <row r="5854" spans="4:4" x14ac:dyDescent="0.3">
      <c r="D5854" t="str">
        <f t="shared" si="122"/>
        <v/>
      </c>
    </row>
    <row r="5855" spans="4:4" x14ac:dyDescent="0.3">
      <c r="D5855" t="str">
        <f t="shared" si="122"/>
        <v/>
      </c>
    </row>
    <row r="5856" spans="4:4" x14ac:dyDescent="0.3">
      <c r="D5856" t="str">
        <f t="shared" si="122"/>
        <v/>
      </c>
    </row>
    <row r="5857" spans="4:4" x14ac:dyDescent="0.3">
      <c r="D5857" t="str">
        <f t="shared" si="122"/>
        <v/>
      </c>
    </row>
    <row r="5858" spans="4:4" x14ac:dyDescent="0.3">
      <c r="D5858" t="str">
        <f t="shared" si="122"/>
        <v/>
      </c>
    </row>
    <row r="5859" spans="4:4" x14ac:dyDescent="0.3">
      <c r="D5859" t="str">
        <f t="shared" si="122"/>
        <v/>
      </c>
    </row>
    <row r="5860" spans="4:4" x14ac:dyDescent="0.3">
      <c r="D5860" t="str">
        <f t="shared" si="122"/>
        <v/>
      </c>
    </row>
    <row r="5861" spans="4:4" x14ac:dyDescent="0.3">
      <c r="D5861" t="str">
        <f t="shared" si="122"/>
        <v/>
      </c>
    </row>
    <row r="5862" spans="4:4" x14ac:dyDescent="0.3">
      <c r="D5862" t="str">
        <f t="shared" si="122"/>
        <v/>
      </c>
    </row>
    <row r="5863" spans="4:4" x14ac:dyDescent="0.3">
      <c r="D5863" t="str">
        <f t="shared" si="122"/>
        <v/>
      </c>
    </row>
    <row r="5864" spans="4:4" x14ac:dyDescent="0.3">
      <c r="D5864" t="str">
        <f t="shared" si="122"/>
        <v/>
      </c>
    </row>
    <row r="5865" spans="4:4" x14ac:dyDescent="0.3">
      <c r="D5865" t="str">
        <f t="shared" si="122"/>
        <v/>
      </c>
    </row>
    <row r="5866" spans="4:4" x14ac:dyDescent="0.3">
      <c r="D5866" t="str">
        <f t="shared" si="122"/>
        <v/>
      </c>
    </row>
    <row r="5867" spans="4:4" x14ac:dyDescent="0.3">
      <c r="D5867" t="str">
        <f t="shared" si="122"/>
        <v/>
      </c>
    </row>
    <row r="5868" spans="4:4" x14ac:dyDescent="0.3">
      <c r="D5868" t="str">
        <f t="shared" si="122"/>
        <v/>
      </c>
    </row>
    <row r="5869" spans="4:4" x14ac:dyDescent="0.3">
      <c r="D5869" t="str">
        <f t="shared" si="122"/>
        <v/>
      </c>
    </row>
    <row r="5870" spans="4:4" x14ac:dyDescent="0.3">
      <c r="D5870" t="str">
        <f t="shared" si="122"/>
        <v/>
      </c>
    </row>
    <row r="5871" spans="4:4" x14ac:dyDescent="0.3">
      <c r="D5871" t="str">
        <f t="shared" si="122"/>
        <v/>
      </c>
    </row>
    <row r="5872" spans="4:4" x14ac:dyDescent="0.3">
      <c r="D5872" t="str">
        <f t="shared" si="122"/>
        <v/>
      </c>
    </row>
    <row r="5873" spans="4:4" x14ac:dyDescent="0.3">
      <c r="D5873" t="str">
        <f t="shared" si="122"/>
        <v/>
      </c>
    </row>
    <row r="5874" spans="4:4" x14ac:dyDescent="0.3">
      <c r="D5874" t="str">
        <f t="shared" si="122"/>
        <v/>
      </c>
    </row>
    <row r="5875" spans="4:4" x14ac:dyDescent="0.3">
      <c r="D5875" t="str">
        <f t="shared" si="122"/>
        <v/>
      </c>
    </row>
    <row r="5876" spans="4:4" x14ac:dyDescent="0.3">
      <c r="D5876" t="str">
        <f t="shared" si="122"/>
        <v/>
      </c>
    </row>
    <row r="5877" spans="4:4" x14ac:dyDescent="0.3">
      <c r="D5877" t="str">
        <f t="shared" si="122"/>
        <v/>
      </c>
    </row>
    <row r="5878" spans="4:4" x14ac:dyDescent="0.3">
      <c r="D5878" t="str">
        <f t="shared" si="122"/>
        <v/>
      </c>
    </row>
    <row r="5879" spans="4:4" x14ac:dyDescent="0.3">
      <c r="D5879" t="str">
        <f t="shared" si="122"/>
        <v/>
      </c>
    </row>
    <row r="5880" spans="4:4" x14ac:dyDescent="0.3">
      <c r="D5880" t="str">
        <f t="shared" si="122"/>
        <v/>
      </c>
    </row>
    <row r="5881" spans="4:4" x14ac:dyDescent="0.3">
      <c r="D5881" t="str">
        <f t="shared" si="122"/>
        <v/>
      </c>
    </row>
    <row r="5882" spans="4:4" x14ac:dyDescent="0.3">
      <c r="D5882" t="str">
        <f t="shared" ref="D5882:D5945" si="123">IF(LEFT(A5882,2)="SP",MID(A5882,4,4),IF(LEFT(A5882,1)="X",MID(A5882,3,4),""))</f>
        <v/>
      </c>
    </row>
    <row r="5883" spans="4:4" x14ac:dyDescent="0.3">
      <c r="D5883" t="str">
        <f t="shared" si="123"/>
        <v/>
      </c>
    </row>
    <row r="5884" spans="4:4" x14ac:dyDescent="0.3">
      <c r="D5884" t="str">
        <f t="shared" si="123"/>
        <v/>
      </c>
    </row>
    <row r="5885" spans="4:4" x14ac:dyDescent="0.3">
      <c r="D5885" t="str">
        <f t="shared" si="123"/>
        <v/>
      </c>
    </row>
    <row r="5886" spans="4:4" x14ac:dyDescent="0.3">
      <c r="D5886" t="str">
        <f t="shared" si="123"/>
        <v/>
      </c>
    </row>
    <row r="5887" spans="4:4" x14ac:dyDescent="0.3">
      <c r="D5887" t="str">
        <f t="shared" si="123"/>
        <v/>
      </c>
    </row>
    <row r="5888" spans="4:4" x14ac:dyDescent="0.3">
      <c r="D5888" t="str">
        <f t="shared" si="123"/>
        <v/>
      </c>
    </row>
    <row r="5889" spans="4:4" x14ac:dyDescent="0.3">
      <c r="D5889" t="str">
        <f t="shared" si="123"/>
        <v/>
      </c>
    </row>
    <row r="5890" spans="4:4" x14ac:dyDescent="0.3">
      <c r="D5890" t="str">
        <f t="shared" si="123"/>
        <v/>
      </c>
    </row>
    <row r="5891" spans="4:4" x14ac:dyDescent="0.3">
      <c r="D5891" t="str">
        <f t="shared" si="123"/>
        <v/>
      </c>
    </row>
    <row r="5892" spans="4:4" x14ac:dyDescent="0.3">
      <c r="D5892" t="str">
        <f t="shared" si="123"/>
        <v/>
      </c>
    </row>
    <row r="5893" spans="4:4" x14ac:dyDescent="0.3">
      <c r="D5893" t="str">
        <f t="shared" si="123"/>
        <v/>
      </c>
    </row>
    <row r="5894" spans="4:4" x14ac:dyDescent="0.3">
      <c r="D5894" t="str">
        <f t="shared" si="123"/>
        <v/>
      </c>
    </row>
    <row r="5895" spans="4:4" x14ac:dyDescent="0.3">
      <c r="D5895" t="str">
        <f t="shared" si="123"/>
        <v/>
      </c>
    </row>
    <row r="5896" spans="4:4" x14ac:dyDescent="0.3">
      <c r="D5896" t="str">
        <f t="shared" si="123"/>
        <v/>
      </c>
    </row>
    <row r="5897" spans="4:4" x14ac:dyDescent="0.3">
      <c r="D5897" t="str">
        <f t="shared" si="123"/>
        <v/>
      </c>
    </row>
    <row r="5898" spans="4:4" x14ac:dyDescent="0.3">
      <c r="D5898" t="str">
        <f t="shared" si="123"/>
        <v/>
      </c>
    </row>
    <row r="5899" spans="4:4" x14ac:dyDescent="0.3">
      <c r="D5899" t="str">
        <f t="shared" si="123"/>
        <v/>
      </c>
    </row>
    <row r="5900" spans="4:4" x14ac:dyDescent="0.3">
      <c r="D5900" t="str">
        <f t="shared" si="123"/>
        <v/>
      </c>
    </row>
    <row r="5901" spans="4:4" x14ac:dyDescent="0.3">
      <c r="D5901" t="str">
        <f t="shared" si="123"/>
        <v/>
      </c>
    </row>
    <row r="5902" spans="4:4" x14ac:dyDescent="0.3">
      <c r="D5902" t="str">
        <f t="shared" si="123"/>
        <v/>
      </c>
    </row>
    <row r="5903" spans="4:4" x14ac:dyDescent="0.3">
      <c r="D5903" t="str">
        <f t="shared" si="123"/>
        <v/>
      </c>
    </row>
    <row r="5904" spans="4:4" x14ac:dyDescent="0.3">
      <c r="D5904" t="str">
        <f t="shared" si="123"/>
        <v/>
      </c>
    </row>
    <row r="5905" spans="4:4" x14ac:dyDescent="0.3">
      <c r="D5905" t="str">
        <f t="shared" si="123"/>
        <v/>
      </c>
    </row>
    <row r="5906" spans="4:4" x14ac:dyDescent="0.3">
      <c r="D5906" t="str">
        <f t="shared" si="123"/>
        <v/>
      </c>
    </row>
    <row r="5907" spans="4:4" x14ac:dyDescent="0.3">
      <c r="D5907" t="str">
        <f t="shared" si="123"/>
        <v/>
      </c>
    </row>
    <row r="5908" spans="4:4" x14ac:dyDescent="0.3">
      <c r="D5908" t="str">
        <f t="shared" si="123"/>
        <v/>
      </c>
    </row>
    <row r="5909" spans="4:4" x14ac:dyDescent="0.3">
      <c r="D5909" t="str">
        <f t="shared" si="123"/>
        <v/>
      </c>
    </row>
    <row r="5910" spans="4:4" x14ac:dyDescent="0.3">
      <c r="D5910" t="str">
        <f t="shared" si="123"/>
        <v/>
      </c>
    </row>
    <row r="5911" spans="4:4" x14ac:dyDescent="0.3">
      <c r="D5911" t="str">
        <f t="shared" si="123"/>
        <v/>
      </c>
    </row>
    <row r="5912" spans="4:4" x14ac:dyDescent="0.3">
      <c r="D5912" t="str">
        <f t="shared" si="123"/>
        <v/>
      </c>
    </row>
    <row r="5913" spans="4:4" x14ac:dyDescent="0.3">
      <c r="D5913" t="str">
        <f t="shared" si="123"/>
        <v/>
      </c>
    </row>
    <row r="5914" spans="4:4" x14ac:dyDescent="0.3">
      <c r="D5914" t="str">
        <f t="shared" si="123"/>
        <v/>
      </c>
    </row>
    <row r="5915" spans="4:4" x14ac:dyDescent="0.3">
      <c r="D5915" t="str">
        <f t="shared" si="123"/>
        <v/>
      </c>
    </row>
    <row r="5916" spans="4:4" x14ac:dyDescent="0.3">
      <c r="D5916" t="str">
        <f t="shared" si="123"/>
        <v/>
      </c>
    </row>
    <row r="5917" spans="4:4" x14ac:dyDescent="0.3">
      <c r="D5917" t="str">
        <f t="shared" si="123"/>
        <v/>
      </c>
    </row>
    <row r="5918" spans="4:4" x14ac:dyDescent="0.3">
      <c r="D5918" t="str">
        <f t="shared" si="123"/>
        <v/>
      </c>
    </row>
    <row r="5919" spans="4:4" x14ac:dyDescent="0.3">
      <c r="D5919" t="str">
        <f t="shared" si="123"/>
        <v/>
      </c>
    </row>
    <row r="5920" spans="4:4" x14ac:dyDescent="0.3">
      <c r="D5920" t="str">
        <f t="shared" si="123"/>
        <v/>
      </c>
    </row>
    <row r="5921" spans="4:4" x14ac:dyDescent="0.3">
      <c r="D5921" t="str">
        <f t="shared" si="123"/>
        <v/>
      </c>
    </row>
    <row r="5922" spans="4:4" x14ac:dyDescent="0.3">
      <c r="D5922" t="str">
        <f t="shared" si="123"/>
        <v/>
      </c>
    </row>
    <row r="5923" spans="4:4" x14ac:dyDescent="0.3">
      <c r="D5923" t="str">
        <f t="shared" si="123"/>
        <v/>
      </c>
    </row>
    <row r="5924" spans="4:4" x14ac:dyDescent="0.3">
      <c r="D5924" t="str">
        <f t="shared" si="123"/>
        <v/>
      </c>
    </row>
    <row r="5925" spans="4:4" x14ac:dyDescent="0.3">
      <c r="D5925" t="str">
        <f t="shared" si="123"/>
        <v/>
      </c>
    </row>
    <row r="5926" spans="4:4" x14ac:dyDescent="0.3">
      <c r="D5926" t="str">
        <f t="shared" si="123"/>
        <v/>
      </c>
    </row>
    <row r="5927" spans="4:4" x14ac:dyDescent="0.3">
      <c r="D5927" t="str">
        <f t="shared" si="123"/>
        <v/>
      </c>
    </row>
    <row r="5928" spans="4:4" x14ac:dyDescent="0.3">
      <c r="D5928" t="str">
        <f t="shared" si="123"/>
        <v/>
      </c>
    </row>
    <row r="5929" spans="4:4" x14ac:dyDescent="0.3">
      <c r="D5929" t="str">
        <f t="shared" si="123"/>
        <v/>
      </c>
    </row>
    <row r="5930" spans="4:4" x14ac:dyDescent="0.3">
      <c r="D5930" t="str">
        <f t="shared" si="123"/>
        <v/>
      </c>
    </row>
    <row r="5931" spans="4:4" x14ac:dyDescent="0.3">
      <c r="D5931" t="str">
        <f t="shared" si="123"/>
        <v/>
      </c>
    </row>
    <row r="5932" spans="4:4" x14ac:dyDescent="0.3">
      <c r="D5932" t="str">
        <f t="shared" si="123"/>
        <v/>
      </c>
    </row>
    <row r="5933" spans="4:4" x14ac:dyDescent="0.3">
      <c r="D5933" t="str">
        <f t="shared" si="123"/>
        <v/>
      </c>
    </row>
    <row r="5934" spans="4:4" x14ac:dyDescent="0.3">
      <c r="D5934" t="str">
        <f t="shared" si="123"/>
        <v/>
      </c>
    </row>
    <row r="5935" spans="4:4" x14ac:dyDescent="0.3">
      <c r="D5935" t="str">
        <f t="shared" si="123"/>
        <v/>
      </c>
    </row>
    <row r="5936" spans="4:4" x14ac:dyDescent="0.3">
      <c r="D5936" t="str">
        <f t="shared" si="123"/>
        <v/>
      </c>
    </row>
    <row r="5937" spans="4:4" x14ac:dyDescent="0.3">
      <c r="D5937" t="str">
        <f t="shared" si="123"/>
        <v/>
      </c>
    </row>
    <row r="5938" spans="4:4" x14ac:dyDescent="0.3">
      <c r="D5938" t="str">
        <f t="shared" si="123"/>
        <v/>
      </c>
    </row>
    <row r="5939" spans="4:4" x14ac:dyDescent="0.3">
      <c r="D5939" t="str">
        <f t="shared" si="123"/>
        <v/>
      </c>
    </row>
    <row r="5940" spans="4:4" x14ac:dyDescent="0.3">
      <c r="D5940" t="str">
        <f t="shared" si="123"/>
        <v/>
      </c>
    </row>
    <row r="5941" spans="4:4" x14ac:dyDescent="0.3">
      <c r="D5941" t="str">
        <f t="shared" si="123"/>
        <v/>
      </c>
    </row>
    <row r="5942" spans="4:4" x14ac:dyDescent="0.3">
      <c r="D5942" t="str">
        <f t="shared" si="123"/>
        <v/>
      </c>
    </row>
    <row r="5943" spans="4:4" x14ac:dyDescent="0.3">
      <c r="D5943" t="str">
        <f t="shared" si="123"/>
        <v/>
      </c>
    </row>
    <row r="5944" spans="4:4" x14ac:dyDescent="0.3">
      <c r="D5944" t="str">
        <f t="shared" si="123"/>
        <v/>
      </c>
    </row>
    <row r="5945" spans="4:4" x14ac:dyDescent="0.3">
      <c r="D5945" t="str">
        <f t="shared" si="123"/>
        <v/>
      </c>
    </row>
    <row r="5946" spans="4:4" x14ac:dyDescent="0.3">
      <c r="D5946" t="str">
        <f t="shared" ref="D5946:D6009" si="124">IF(LEFT(A5946,2)="SP",MID(A5946,4,4),IF(LEFT(A5946,1)="X",MID(A5946,3,4),""))</f>
        <v/>
      </c>
    </row>
    <row r="5947" spans="4:4" x14ac:dyDescent="0.3">
      <c r="D5947" t="str">
        <f t="shared" si="124"/>
        <v/>
      </c>
    </row>
    <row r="5948" spans="4:4" x14ac:dyDescent="0.3">
      <c r="D5948" t="str">
        <f t="shared" si="124"/>
        <v/>
      </c>
    </row>
    <row r="5949" spans="4:4" x14ac:dyDescent="0.3">
      <c r="D5949" t="str">
        <f t="shared" si="124"/>
        <v/>
      </c>
    </row>
    <row r="5950" spans="4:4" x14ac:dyDescent="0.3">
      <c r="D5950" t="str">
        <f t="shared" si="124"/>
        <v/>
      </c>
    </row>
    <row r="5951" spans="4:4" x14ac:dyDescent="0.3">
      <c r="D5951" t="str">
        <f t="shared" si="124"/>
        <v/>
      </c>
    </row>
    <row r="5952" spans="4:4" x14ac:dyDescent="0.3">
      <c r="D5952" t="str">
        <f t="shared" si="124"/>
        <v/>
      </c>
    </row>
    <row r="5953" spans="4:4" x14ac:dyDescent="0.3">
      <c r="D5953" t="str">
        <f t="shared" si="124"/>
        <v/>
      </c>
    </row>
    <row r="5954" spans="4:4" x14ac:dyDescent="0.3">
      <c r="D5954" t="str">
        <f t="shared" si="124"/>
        <v/>
      </c>
    </row>
    <row r="5955" spans="4:4" x14ac:dyDescent="0.3">
      <c r="D5955" t="str">
        <f t="shared" si="124"/>
        <v/>
      </c>
    </row>
    <row r="5956" spans="4:4" x14ac:dyDescent="0.3">
      <c r="D5956" t="str">
        <f t="shared" si="124"/>
        <v/>
      </c>
    </row>
    <row r="5957" spans="4:4" x14ac:dyDescent="0.3">
      <c r="D5957" t="str">
        <f t="shared" si="124"/>
        <v/>
      </c>
    </row>
    <row r="5958" spans="4:4" x14ac:dyDescent="0.3">
      <c r="D5958" t="str">
        <f t="shared" si="124"/>
        <v/>
      </c>
    </row>
    <row r="5959" spans="4:4" x14ac:dyDescent="0.3">
      <c r="D5959" t="str">
        <f t="shared" si="124"/>
        <v/>
      </c>
    </row>
    <row r="5960" spans="4:4" x14ac:dyDescent="0.3">
      <c r="D5960" t="str">
        <f t="shared" si="124"/>
        <v/>
      </c>
    </row>
    <row r="5961" spans="4:4" x14ac:dyDescent="0.3">
      <c r="D5961" t="str">
        <f t="shared" si="124"/>
        <v/>
      </c>
    </row>
    <row r="5962" spans="4:4" x14ac:dyDescent="0.3">
      <c r="D5962" t="str">
        <f t="shared" si="124"/>
        <v/>
      </c>
    </row>
    <row r="5963" spans="4:4" x14ac:dyDescent="0.3">
      <c r="D5963" t="str">
        <f t="shared" si="124"/>
        <v/>
      </c>
    </row>
    <row r="5964" spans="4:4" x14ac:dyDescent="0.3">
      <c r="D5964" t="str">
        <f t="shared" si="124"/>
        <v/>
      </c>
    </row>
    <row r="5965" spans="4:4" x14ac:dyDescent="0.3">
      <c r="D5965" t="str">
        <f t="shared" si="124"/>
        <v/>
      </c>
    </row>
    <row r="5966" spans="4:4" x14ac:dyDescent="0.3">
      <c r="D5966" t="str">
        <f t="shared" si="124"/>
        <v/>
      </c>
    </row>
    <row r="5967" spans="4:4" x14ac:dyDescent="0.3">
      <c r="D5967" t="str">
        <f t="shared" si="124"/>
        <v/>
      </c>
    </row>
    <row r="5968" spans="4:4" x14ac:dyDescent="0.3">
      <c r="D5968" t="str">
        <f t="shared" si="124"/>
        <v/>
      </c>
    </row>
    <row r="5969" spans="4:4" x14ac:dyDescent="0.3">
      <c r="D5969" t="str">
        <f t="shared" si="124"/>
        <v/>
      </c>
    </row>
    <row r="5970" spans="4:4" x14ac:dyDescent="0.3">
      <c r="D5970" t="str">
        <f t="shared" si="124"/>
        <v/>
      </c>
    </row>
    <row r="5971" spans="4:4" x14ac:dyDescent="0.3">
      <c r="D5971" t="str">
        <f t="shared" si="124"/>
        <v/>
      </c>
    </row>
    <row r="5972" spans="4:4" x14ac:dyDescent="0.3">
      <c r="D5972" t="str">
        <f t="shared" si="124"/>
        <v/>
      </c>
    </row>
    <row r="5973" spans="4:4" x14ac:dyDescent="0.3">
      <c r="D5973" t="str">
        <f t="shared" si="124"/>
        <v/>
      </c>
    </row>
    <row r="5974" spans="4:4" x14ac:dyDescent="0.3">
      <c r="D5974" t="str">
        <f t="shared" si="124"/>
        <v/>
      </c>
    </row>
    <row r="5975" spans="4:4" x14ac:dyDescent="0.3">
      <c r="D5975" t="str">
        <f t="shared" si="124"/>
        <v/>
      </c>
    </row>
    <row r="5976" spans="4:4" x14ac:dyDescent="0.3">
      <c r="D5976" t="str">
        <f t="shared" si="124"/>
        <v/>
      </c>
    </row>
    <row r="5977" spans="4:4" x14ac:dyDescent="0.3">
      <c r="D5977" t="str">
        <f t="shared" si="124"/>
        <v/>
      </c>
    </row>
    <row r="5978" spans="4:4" x14ac:dyDescent="0.3">
      <c r="D5978" t="str">
        <f t="shared" si="124"/>
        <v/>
      </c>
    </row>
    <row r="5979" spans="4:4" x14ac:dyDescent="0.3">
      <c r="D5979" t="str">
        <f t="shared" si="124"/>
        <v/>
      </c>
    </row>
    <row r="5980" spans="4:4" x14ac:dyDescent="0.3">
      <c r="D5980" t="str">
        <f t="shared" si="124"/>
        <v/>
      </c>
    </row>
    <row r="5981" spans="4:4" x14ac:dyDescent="0.3">
      <c r="D5981" t="str">
        <f t="shared" si="124"/>
        <v/>
      </c>
    </row>
    <row r="5982" spans="4:4" x14ac:dyDescent="0.3">
      <c r="D5982" t="str">
        <f t="shared" si="124"/>
        <v/>
      </c>
    </row>
    <row r="5983" spans="4:4" x14ac:dyDescent="0.3">
      <c r="D5983" t="str">
        <f t="shared" si="124"/>
        <v/>
      </c>
    </row>
    <row r="5984" spans="4:4" x14ac:dyDescent="0.3">
      <c r="D5984" t="str">
        <f t="shared" si="124"/>
        <v/>
      </c>
    </row>
    <row r="5985" spans="4:4" x14ac:dyDescent="0.3">
      <c r="D5985" t="str">
        <f t="shared" si="124"/>
        <v/>
      </c>
    </row>
    <row r="5986" spans="4:4" x14ac:dyDescent="0.3">
      <c r="D5986" t="str">
        <f t="shared" si="124"/>
        <v/>
      </c>
    </row>
    <row r="5987" spans="4:4" x14ac:dyDescent="0.3">
      <c r="D5987" t="str">
        <f t="shared" si="124"/>
        <v/>
      </c>
    </row>
    <row r="5988" spans="4:4" x14ac:dyDescent="0.3">
      <c r="D5988" t="str">
        <f t="shared" si="124"/>
        <v/>
      </c>
    </row>
    <row r="5989" spans="4:4" x14ac:dyDescent="0.3">
      <c r="D5989" t="str">
        <f t="shared" si="124"/>
        <v/>
      </c>
    </row>
    <row r="5990" spans="4:4" x14ac:dyDescent="0.3">
      <c r="D5990" t="str">
        <f t="shared" si="124"/>
        <v/>
      </c>
    </row>
    <row r="5991" spans="4:4" x14ac:dyDescent="0.3">
      <c r="D5991" t="str">
        <f t="shared" si="124"/>
        <v/>
      </c>
    </row>
    <row r="5992" spans="4:4" x14ac:dyDescent="0.3">
      <c r="D5992" t="str">
        <f t="shared" si="124"/>
        <v/>
      </c>
    </row>
    <row r="5993" spans="4:4" x14ac:dyDescent="0.3">
      <c r="D5993" t="str">
        <f t="shared" si="124"/>
        <v/>
      </c>
    </row>
    <row r="5994" spans="4:4" x14ac:dyDescent="0.3">
      <c r="D5994" t="str">
        <f t="shared" si="124"/>
        <v/>
      </c>
    </row>
    <row r="5995" spans="4:4" x14ac:dyDescent="0.3">
      <c r="D5995" t="str">
        <f t="shared" si="124"/>
        <v/>
      </c>
    </row>
    <row r="5996" spans="4:4" x14ac:dyDescent="0.3">
      <c r="D5996" t="str">
        <f t="shared" si="124"/>
        <v/>
      </c>
    </row>
    <row r="5997" spans="4:4" x14ac:dyDescent="0.3">
      <c r="D5997" t="str">
        <f t="shared" si="124"/>
        <v/>
      </c>
    </row>
    <row r="5998" spans="4:4" x14ac:dyDescent="0.3">
      <c r="D5998" t="str">
        <f t="shared" si="124"/>
        <v/>
      </c>
    </row>
    <row r="5999" spans="4:4" x14ac:dyDescent="0.3">
      <c r="D5999" t="str">
        <f t="shared" si="124"/>
        <v/>
      </c>
    </row>
    <row r="6000" spans="4:4" x14ac:dyDescent="0.3">
      <c r="D6000" t="str">
        <f t="shared" si="124"/>
        <v/>
      </c>
    </row>
    <row r="6001" spans="4:4" x14ac:dyDescent="0.3">
      <c r="D6001" t="str">
        <f t="shared" si="124"/>
        <v/>
      </c>
    </row>
    <row r="6002" spans="4:4" x14ac:dyDescent="0.3">
      <c r="D6002" t="str">
        <f t="shared" si="124"/>
        <v/>
      </c>
    </row>
    <row r="6003" spans="4:4" x14ac:dyDescent="0.3">
      <c r="D6003" t="str">
        <f t="shared" si="124"/>
        <v/>
      </c>
    </row>
    <row r="6004" spans="4:4" x14ac:dyDescent="0.3">
      <c r="D6004" t="str">
        <f t="shared" si="124"/>
        <v/>
      </c>
    </row>
    <row r="6005" spans="4:4" x14ac:dyDescent="0.3">
      <c r="D6005" t="str">
        <f t="shared" si="124"/>
        <v/>
      </c>
    </row>
    <row r="6006" spans="4:4" x14ac:dyDescent="0.3">
      <c r="D6006" t="str">
        <f t="shared" si="124"/>
        <v/>
      </c>
    </row>
    <row r="6007" spans="4:4" x14ac:dyDescent="0.3">
      <c r="D6007" t="str">
        <f t="shared" si="124"/>
        <v/>
      </c>
    </row>
    <row r="6008" spans="4:4" x14ac:dyDescent="0.3">
      <c r="D6008" t="str">
        <f t="shared" si="124"/>
        <v/>
      </c>
    </row>
    <row r="6009" spans="4:4" x14ac:dyDescent="0.3">
      <c r="D6009" t="str">
        <f t="shared" si="124"/>
        <v/>
      </c>
    </row>
    <row r="6010" spans="4:4" x14ac:dyDescent="0.3">
      <c r="D6010" t="str">
        <f t="shared" ref="D6010:D6073" si="125">IF(LEFT(A6010,2)="SP",MID(A6010,4,4),IF(LEFT(A6010,1)="X",MID(A6010,3,4),""))</f>
        <v/>
      </c>
    </row>
    <row r="6011" spans="4:4" x14ac:dyDescent="0.3">
      <c r="D6011" t="str">
        <f t="shared" si="125"/>
        <v/>
      </c>
    </row>
    <row r="6012" spans="4:4" x14ac:dyDescent="0.3">
      <c r="D6012" t="str">
        <f t="shared" si="125"/>
        <v/>
      </c>
    </row>
    <row r="6013" spans="4:4" x14ac:dyDescent="0.3">
      <c r="D6013" t="str">
        <f t="shared" si="125"/>
        <v/>
      </c>
    </row>
    <row r="6014" spans="4:4" x14ac:dyDescent="0.3">
      <c r="D6014" t="str">
        <f t="shared" si="125"/>
        <v/>
      </c>
    </row>
    <row r="6015" spans="4:4" x14ac:dyDescent="0.3">
      <c r="D6015" t="str">
        <f t="shared" si="125"/>
        <v/>
      </c>
    </row>
    <row r="6016" spans="4:4" x14ac:dyDescent="0.3">
      <c r="D6016" t="str">
        <f t="shared" si="125"/>
        <v/>
      </c>
    </row>
    <row r="6017" spans="4:4" x14ac:dyDescent="0.3">
      <c r="D6017" t="str">
        <f t="shared" si="125"/>
        <v/>
      </c>
    </row>
    <row r="6018" spans="4:4" x14ac:dyDescent="0.3">
      <c r="D6018" t="str">
        <f t="shared" si="125"/>
        <v/>
      </c>
    </row>
    <row r="6019" spans="4:4" x14ac:dyDescent="0.3">
      <c r="D6019" t="str">
        <f t="shared" si="125"/>
        <v/>
      </c>
    </row>
    <row r="6020" spans="4:4" x14ac:dyDescent="0.3">
      <c r="D6020" t="str">
        <f t="shared" si="125"/>
        <v/>
      </c>
    </row>
    <row r="6021" spans="4:4" x14ac:dyDescent="0.3">
      <c r="D6021" t="str">
        <f t="shared" si="125"/>
        <v/>
      </c>
    </row>
    <row r="6022" spans="4:4" x14ac:dyDescent="0.3">
      <c r="D6022" t="str">
        <f t="shared" si="125"/>
        <v/>
      </c>
    </row>
    <row r="6023" spans="4:4" x14ac:dyDescent="0.3">
      <c r="D6023" t="str">
        <f t="shared" si="125"/>
        <v/>
      </c>
    </row>
    <row r="6024" spans="4:4" x14ac:dyDescent="0.3">
      <c r="D6024" t="str">
        <f t="shared" si="125"/>
        <v/>
      </c>
    </row>
    <row r="6025" spans="4:4" x14ac:dyDescent="0.3">
      <c r="D6025" t="str">
        <f t="shared" si="125"/>
        <v/>
      </c>
    </row>
    <row r="6026" spans="4:4" x14ac:dyDescent="0.3">
      <c r="D6026" t="str">
        <f t="shared" si="125"/>
        <v/>
      </c>
    </row>
    <row r="6027" spans="4:4" x14ac:dyDescent="0.3">
      <c r="D6027" t="str">
        <f t="shared" si="125"/>
        <v/>
      </c>
    </row>
    <row r="6028" spans="4:4" x14ac:dyDescent="0.3">
      <c r="D6028" t="str">
        <f t="shared" si="125"/>
        <v/>
      </c>
    </row>
    <row r="6029" spans="4:4" x14ac:dyDescent="0.3">
      <c r="D6029" t="str">
        <f t="shared" si="125"/>
        <v/>
      </c>
    </row>
    <row r="6030" spans="4:4" x14ac:dyDescent="0.3">
      <c r="D6030" t="str">
        <f t="shared" si="125"/>
        <v/>
      </c>
    </row>
    <row r="6031" spans="4:4" x14ac:dyDescent="0.3">
      <c r="D6031" t="str">
        <f t="shared" si="125"/>
        <v/>
      </c>
    </row>
    <row r="6032" spans="4:4" x14ac:dyDescent="0.3">
      <c r="D6032" t="str">
        <f t="shared" si="125"/>
        <v/>
      </c>
    </row>
    <row r="6033" spans="4:4" x14ac:dyDescent="0.3">
      <c r="D6033" t="str">
        <f t="shared" si="125"/>
        <v/>
      </c>
    </row>
    <row r="6034" spans="4:4" x14ac:dyDescent="0.3">
      <c r="D6034" t="str">
        <f t="shared" si="125"/>
        <v/>
      </c>
    </row>
    <row r="6035" spans="4:4" x14ac:dyDescent="0.3">
      <c r="D6035" t="str">
        <f t="shared" si="125"/>
        <v/>
      </c>
    </row>
    <row r="6036" spans="4:4" x14ac:dyDescent="0.3">
      <c r="D6036" t="str">
        <f t="shared" si="125"/>
        <v/>
      </c>
    </row>
    <row r="6037" spans="4:4" x14ac:dyDescent="0.3">
      <c r="D6037" t="str">
        <f t="shared" si="125"/>
        <v/>
      </c>
    </row>
    <row r="6038" spans="4:4" x14ac:dyDescent="0.3">
      <c r="D6038" t="str">
        <f t="shared" si="125"/>
        <v/>
      </c>
    </row>
    <row r="6039" spans="4:4" x14ac:dyDescent="0.3">
      <c r="D6039" t="str">
        <f t="shared" si="125"/>
        <v/>
      </c>
    </row>
    <row r="6040" spans="4:4" x14ac:dyDescent="0.3">
      <c r="D6040" t="str">
        <f t="shared" si="125"/>
        <v/>
      </c>
    </row>
    <row r="6041" spans="4:4" x14ac:dyDescent="0.3">
      <c r="D6041" t="str">
        <f t="shared" si="125"/>
        <v/>
      </c>
    </row>
    <row r="6042" spans="4:4" x14ac:dyDescent="0.3">
      <c r="D6042" t="str">
        <f t="shared" si="125"/>
        <v/>
      </c>
    </row>
    <row r="6043" spans="4:4" x14ac:dyDescent="0.3">
      <c r="D6043" t="str">
        <f t="shared" si="125"/>
        <v/>
      </c>
    </row>
    <row r="6044" spans="4:4" x14ac:dyDescent="0.3">
      <c r="D6044" t="str">
        <f t="shared" si="125"/>
        <v/>
      </c>
    </row>
    <row r="6045" spans="4:4" x14ac:dyDescent="0.3">
      <c r="D6045" t="str">
        <f t="shared" si="125"/>
        <v/>
      </c>
    </row>
    <row r="6046" spans="4:4" x14ac:dyDescent="0.3">
      <c r="D6046" t="str">
        <f t="shared" si="125"/>
        <v/>
      </c>
    </row>
    <row r="6047" spans="4:4" x14ac:dyDescent="0.3">
      <c r="D6047" t="str">
        <f t="shared" si="125"/>
        <v/>
      </c>
    </row>
    <row r="6048" spans="4:4" x14ac:dyDescent="0.3">
      <c r="D6048" t="str">
        <f t="shared" si="125"/>
        <v/>
      </c>
    </row>
    <row r="6049" spans="4:4" x14ac:dyDescent="0.3">
      <c r="D6049" t="str">
        <f t="shared" si="125"/>
        <v/>
      </c>
    </row>
    <row r="6050" spans="4:4" x14ac:dyDescent="0.3">
      <c r="D6050" t="str">
        <f t="shared" si="125"/>
        <v/>
      </c>
    </row>
    <row r="6051" spans="4:4" x14ac:dyDescent="0.3">
      <c r="D6051" t="str">
        <f t="shared" si="125"/>
        <v/>
      </c>
    </row>
    <row r="6052" spans="4:4" x14ac:dyDescent="0.3">
      <c r="D6052" t="str">
        <f t="shared" si="125"/>
        <v/>
      </c>
    </row>
    <row r="6053" spans="4:4" x14ac:dyDescent="0.3">
      <c r="D6053" t="str">
        <f t="shared" si="125"/>
        <v/>
      </c>
    </row>
    <row r="6054" spans="4:4" x14ac:dyDescent="0.3">
      <c r="D6054" t="str">
        <f t="shared" si="125"/>
        <v/>
      </c>
    </row>
    <row r="6055" spans="4:4" x14ac:dyDescent="0.3">
      <c r="D6055" t="str">
        <f t="shared" si="125"/>
        <v/>
      </c>
    </row>
    <row r="6056" spans="4:4" x14ac:dyDescent="0.3">
      <c r="D6056" t="str">
        <f t="shared" si="125"/>
        <v/>
      </c>
    </row>
    <row r="6057" spans="4:4" x14ac:dyDescent="0.3">
      <c r="D6057" t="str">
        <f t="shared" si="125"/>
        <v/>
      </c>
    </row>
    <row r="6058" spans="4:4" x14ac:dyDescent="0.3">
      <c r="D6058" t="str">
        <f t="shared" si="125"/>
        <v/>
      </c>
    </row>
    <row r="6059" spans="4:4" x14ac:dyDescent="0.3">
      <c r="D6059" t="str">
        <f t="shared" si="125"/>
        <v/>
      </c>
    </row>
    <row r="6060" spans="4:4" x14ac:dyDescent="0.3">
      <c r="D6060" t="str">
        <f t="shared" si="125"/>
        <v/>
      </c>
    </row>
    <row r="6061" spans="4:4" x14ac:dyDescent="0.3">
      <c r="D6061" t="str">
        <f t="shared" si="125"/>
        <v/>
      </c>
    </row>
    <row r="6062" spans="4:4" x14ac:dyDescent="0.3">
      <c r="D6062" t="str">
        <f t="shared" si="125"/>
        <v/>
      </c>
    </row>
    <row r="6063" spans="4:4" x14ac:dyDescent="0.3">
      <c r="D6063" t="str">
        <f t="shared" si="125"/>
        <v/>
      </c>
    </row>
    <row r="6064" spans="4:4" x14ac:dyDescent="0.3">
      <c r="D6064" t="str">
        <f t="shared" si="125"/>
        <v/>
      </c>
    </row>
    <row r="6065" spans="4:4" x14ac:dyDescent="0.3">
      <c r="D6065" t="str">
        <f t="shared" si="125"/>
        <v/>
      </c>
    </row>
    <row r="6066" spans="4:4" x14ac:dyDescent="0.3">
      <c r="D6066" t="str">
        <f t="shared" si="125"/>
        <v/>
      </c>
    </row>
    <row r="6067" spans="4:4" x14ac:dyDescent="0.3">
      <c r="D6067" t="str">
        <f t="shared" si="125"/>
        <v/>
      </c>
    </row>
    <row r="6068" spans="4:4" x14ac:dyDescent="0.3">
      <c r="D6068" t="str">
        <f t="shared" si="125"/>
        <v/>
      </c>
    </row>
    <row r="6069" spans="4:4" x14ac:dyDescent="0.3">
      <c r="D6069" t="str">
        <f t="shared" si="125"/>
        <v/>
      </c>
    </row>
    <row r="6070" spans="4:4" x14ac:dyDescent="0.3">
      <c r="D6070" t="str">
        <f t="shared" si="125"/>
        <v/>
      </c>
    </row>
    <row r="6071" spans="4:4" x14ac:dyDescent="0.3">
      <c r="D6071" t="str">
        <f t="shared" si="125"/>
        <v/>
      </c>
    </row>
    <row r="6072" spans="4:4" x14ac:dyDescent="0.3">
      <c r="D6072" t="str">
        <f t="shared" si="125"/>
        <v/>
      </c>
    </row>
    <row r="6073" spans="4:4" x14ac:dyDescent="0.3">
      <c r="D6073" t="str">
        <f t="shared" si="125"/>
        <v/>
      </c>
    </row>
    <row r="6074" spans="4:4" x14ac:dyDescent="0.3">
      <c r="D6074" t="str">
        <f t="shared" ref="D6074:D6137" si="126">IF(LEFT(A6074,2)="SP",MID(A6074,4,4),IF(LEFT(A6074,1)="X",MID(A6074,3,4),""))</f>
        <v/>
      </c>
    </row>
    <row r="6075" spans="4:4" x14ac:dyDescent="0.3">
      <c r="D6075" t="str">
        <f t="shared" si="126"/>
        <v/>
      </c>
    </row>
    <row r="6076" spans="4:4" x14ac:dyDescent="0.3">
      <c r="D6076" t="str">
        <f t="shared" si="126"/>
        <v/>
      </c>
    </row>
    <row r="6077" spans="4:4" x14ac:dyDescent="0.3">
      <c r="D6077" t="str">
        <f t="shared" si="126"/>
        <v/>
      </c>
    </row>
    <row r="6078" spans="4:4" x14ac:dyDescent="0.3">
      <c r="D6078" t="str">
        <f t="shared" si="126"/>
        <v/>
      </c>
    </row>
    <row r="6079" spans="4:4" x14ac:dyDescent="0.3">
      <c r="D6079" t="str">
        <f t="shared" si="126"/>
        <v/>
      </c>
    </row>
    <row r="6080" spans="4:4" x14ac:dyDescent="0.3">
      <c r="D6080" t="str">
        <f t="shared" si="126"/>
        <v/>
      </c>
    </row>
    <row r="6081" spans="4:4" x14ac:dyDescent="0.3">
      <c r="D6081" t="str">
        <f t="shared" si="126"/>
        <v/>
      </c>
    </row>
    <row r="6082" spans="4:4" x14ac:dyDescent="0.3">
      <c r="D6082" t="str">
        <f t="shared" si="126"/>
        <v/>
      </c>
    </row>
    <row r="6083" spans="4:4" x14ac:dyDescent="0.3">
      <c r="D6083" t="str">
        <f t="shared" si="126"/>
        <v/>
      </c>
    </row>
    <row r="6084" spans="4:4" x14ac:dyDescent="0.3">
      <c r="D6084" t="str">
        <f t="shared" si="126"/>
        <v/>
      </c>
    </row>
    <row r="6085" spans="4:4" x14ac:dyDescent="0.3">
      <c r="D6085" t="str">
        <f t="shared" si="126"/>
        <v/>
      </c>
    </row>
    <row r="6086" spans="4:4" x14ac:dyDescent="0.3">
      <c r="D6086" t="str">
        <f t="shared" si="126"/>
        <v/>
      </c>
    </row>
    <row r="6087" spans="4:4" x14ac:dyDescent="0.3">
      <c r="D6087" t="str">
        <f t="shared" si="126"/>
        <v/>
      </c>
    </row>
    <row r="6088" spans="4:4" x14ac:dyDescent="0.3">
      <c r="D6088" t="str">
        <f t="shared" si="126"/>
        <v/>
      </c>
    </row>
    <row r="6089" spans="4:4" x14ac:dyDescent="0.3">
      <c r="D6089" t="str">
        <f t="shared" si="126"/>
        <v/>
      </c>
    </row>
    <row r="6090" spans="4:4" x14ac:dyDescent="0.3">
      <c r="D6090" t="str">
        <f t="shared" si="126"/>
        <v/>
      </c>
    </row>
    <row r="6091" spans="4:4" x14ac:dyDescent="0.3">
      <c r="D6091" t="str">
        <f t="shared" si="126"/>
        <v/>
      </c>
    </row>
    <row r="6092" spans="4:4" x14ac:dyDescent="0.3">
      <c r="D6092" t="str">
        <f t="shared" si="126"/>
        <v/>
      </c>
    </row>
    <row r="6093" spans="4:4" x14ac:dyDescent="0.3">
      <c r="D6093" t="str">
        <f t="shared" si="126"/>
        <v/>
      </c>
    </row>
    <row r="6094" spans="4:4" x14ac:dyDescent="0.3">
      <c r="D6094" t="str">
        <f t="shared" si="126"/>
        <v/>
      </c>
    </row>
    <row r="6095" spans="4:4" x14ac:dyDescent="0.3">
      <c r="D6095" t="str">
        <f t="shared" si="126"/>
        <v/>
      </c>
    </row>
    <row r="6096" spans="4:4" x14ac:dyDescent="0.3">
      <c r="D6096" t="str">
        <f t="shared" si="126"/>
        <v/>
      </c>
    </row>
    <row r="6097" spans="4:4" x14ac:dyDescent="0.3">
      <c r="D6097" t="str">
        <f t="shared" si="126"/>
        <v/>
      </c>
    </row>
    <row r="6098" spans="4:4" x14ac:dyDescent="0.3">
      <c r="D6098" t="str">
        <f t="shared" si="126"/>
        <v/>
      </c>
    </row>
    <row r="6099" spans="4:4" x14ac:dyDescent="0.3">
      <c r="D6099" t="str">
        <f t="shared" si="126"/>
        <v/>
      </c>
    </row>
    <row r="6100" spans="4:4" x14ac:dyDescent="0.3">
      <c r="D6100" t="str">
        <f t="shared" si="126"/>
        <v/>
      </c>
    </row>
    <row r="6101" spans="4:4" x14ac:dyDescent="0.3">
      <c r="D6101" t="str">
        <f t="shared" si="126"/>
        <v/>
      </c>
    </row>
    <row r="6102" spans="4:4" x14ac:dyDescent="0.3">
      <c r="D6102" t="str">
        <f t="shared" si="126"/>
        <v/>
      </c>
    </row>
    <row r="6103" spans="4:4" x14ac:dyDescent="0.3">
      <c r="D6103" t="str">
        <f t="shared" si="126"/>
        <v/>
      </c>
    </row>
    <row r="6104" spans="4:4" x14ac:dyDescent="0.3">
      <c r="D6104" t="str">
        <f t="shared" si="126"/>
        <v/>
      </c>
    </row>
    <row r="6105" spans="4:4" x14ac:dyDescent="0.3">
      <c r="D6105" t="str">
        <f t="shared" si="126"/>
        <v/>
      </c>
    </row>
    <row r="6106" spans="4:4" x14ac:dyDescent="0.3">
      <c r="D6106" t="str">
        <f t="shared" si="126"/>
        <v/>
      </c>
    </row>
    <row r="6107" spans="4:4" x14ac:dyDescent="0.3">
      <c r="D6107" t="str">
        <f t="shared" si="126"/>
        <v/>
      </c>
    </row>
    <row r="6108" spans="4:4" x14ac:dyDescent="0.3">
      <c r="D6108" t="str">
        <f t="shared" si="126"/>
        <v/>
      </c>
    </row>
    <row r="6109" spans="4:4" x14ac:dyDescent="0.3">
      <c r="D6109" t="str">
        <f t="shared" si="126"/>
        <v/>
      </c>
    </row>
    <row r="6110" spans="4:4" x14ac:dyDescent="0.3">
      <c r="D6110" t="str">
        <f t="shared" si="126"/>
        <v/>
      </c>
    </row>
    <row r="6111" spans="4:4" x14ac:dyDescent="0.3">
      <c r="D6111" t="str">
        <f t="shared" si="126"/>
        <v/>
      </c>
    </row>
    <row r="6112" spans="4:4" x14ac:dyDescent="0.3">
      <c r="D6112" t="str">
        <f t="shared" si="126"/>
        <v/>
      </c>
    </row>
    <row r="6113" spans="4:4" x14ac:dyDescent="0.3">
      <c r="D6113" t="str">
        <f t="shared" si="126"/>
        <v/>
      </c>
    </row>
    <row r="6114" spans="4:4" x14ac:dyDescent="0.3">
      <c r="D6114" t="str">
        <f t="shared" si="126"/>
        <v/>
      </c>
    </row>
    <row r="6115" spans="4:4" x14ac:dyDescent="0.3">
      <c r="D6115" t="str">
        <f t="shared" si="126"/>
        <v/>
      </c>
    </row>
    <row r="6116" spans="4:4" x14ac:dyDescent="0.3">
      <c r="D6116" t="str">
        <f t="shared" si="126"/>
        <v/>
      </c>
    </row>
    <row r="6117" spans="4:4" x14ac:dyDescent="0.3">
      <c r="D6117" t="str">
        <f t="shared" si="126"/>
        <v/>
      </c>
    </row>
    <row r="6118" spans="4:4" x14ac:dyDescent="0.3">
      <c r="D6118" t="str">
        <f t="shared" si="126"/>
        <v/>
      </c>
    </row>
    <row r="6119" spans="4:4" x14ac:dyDescent="0.3">
      <c r="D6119" t="str">
        <f t="shared" si="126"/>
        <v/>
      </c>
    </row>
    <row r="6120" spans="4:4" x14ac:dyDescent="0.3">
      <c r="D6120" t="str">
        <f t="shared" si="126"/>
        <v/>
      </c>
    </row>
    <row r="6121" spans="4:4" x14ac:dyDescent="0.3">
      <c r="D6121" t="str">
        <f t="shared" si="126"/>
        <v/>
      </c>
    </row>
    <row r="6122" spans="4:4" x14ac:dyDescent="0.3">
      <c r="D6122" t="str">
        <f t="shared" si="126"/>
        <v/>
      </c>
    </row>
    <row r="6123" spans="4:4" x14ac:dyDescent="0.3">
      <c r="D6123" t="str">
        <f t="shared" si="126"/>
        <v/>
      </c>
    </row>
    <row r="6124" spans="4:4" x14ac:dyDescent="0.3">
      <c r="D6124" t="str">
        <f t="shared" si="126"/>
        <v/>
      </c>
    </row>
    <row r="6125" spans="4:4" x14ac:dyDescent="0.3">
      <c r="D6125" t="str">
        <f t="shared" si="126"/>
        <v/>
      </c>
    </row>
    <row r="6126" spans="4:4" x14ac:dyDescent="0.3">
      <c r="D6126" t="str">
        <f t="shared" si="126"/>
        <v/>
      </c>
    </row>
    <row r="6127" spans="4:4" x14ac:dyDescent="0.3">
      <c r="D6127" t="str">
        <f t="shared" si="126"/>
        <v/>
      </c>
    </row>
    <row r="6128" spans="4:4" x14ac:dyDescent="0.3">
      <c r="D6128" t="str">
        <f t="shared" si="126"/>
        <v/>
      </c>
    </row>
    <row r="6129" spans="4:4" x14ac:dyDescent="0.3">
      <c r="D6129" t="str">
        <f t="shared" si="126"/>
        <v/>
      </c>
    </row>
    <row r="6130" spans="4:4" x14ac:dyDescent="0.3">
      <c r="D6130" t="str">
        <f t="shared" si="126"/>
        <v/>
      </c>
    </row>
    <row r="6131" spans="4:4" x14ac:dyDescent="0.3">
      <c r="D6131" t="str">
        <f t="shared" si="126"/>
        <v/>
      </c>
    </row>
    <row r="6132" spans="4:4" x14ac:dyDescent="0.3">
      <c r="D6132" t="str">
        <f t="shared" si="126"/>
        <v/>
      </c>
    </row>
    <row r="6133" spans="4:4" x14ac:dyDescent="0.3">
      <c r="D6133" t="str">
        <f t="shared" si="126"/>
        <v/>
      </c>
    </row>
    <row r="6134" spans="4:4" x14ac:dyDescent="0.3">
      <c r="D6134" t="str">
        <f t="shared" si="126"/>
        <v/>
      </c>
    </row>
    <row r="6135" spans="4:4" x14ac:dyDescent="0.3">
      <c r="D6135" t="str">
        <f t="shared" si="126"/>
        <v/>
      </c>
    </row>
    <row r="6136" spans="4:4" x14ac:dyDescent="0.3">
      <c r="D6136" t="str">
        <f t="shared" si="126"/>
        <v/>
      </c>
    </row>
    <row r="6137" spans="4:4" x14ac:dyDescent="0.3">
      <c r="D6137" t="str">
        <f t="shared" si="126"/>
        <v/>
      </c>
    </row>
    <row r="6138" spans="4:4" x14ac:dyDescent="0.3">
      <c r="D6138" t="str">
        <f t="shared" ref="D6138:D6201" si="127">IF(LEFT(A6138,2)="SP",MID(A6138,4,4),IF(LEFT(A6138,1)="X",MID(A6138,3,4),""))</f>
        <v/>
      </c>
    </row>
    <row r="6139" spans="4:4" x14ac:dyDescent="0.3">
      <c r="D6139" t="str">
        <f t="shared" si="127"/>
        <v/>
      </c>
    </row>
    <row r="6140" spans="4:4" x14ac:dyDescent="0.3">
      <c r="D6140" t="str">
        <f t="shared" si="127"/>
        <v/>
      </c>
    </row>
    <row r="6141" spans="4:4" x14ac:dyDescent="0.3">
      <c r="D6141" t="str">
        <f t="shared" si="127"/>
        <v/>
      </c>
    </row>
    <row r="6142" spans="4:4" x14ac:dyDescent="0.3">
      <c r="D6142" t="str">
        <f t="shared" si="127"/>
        <v/>
      </c>
    </row>
    <row r="6143" spans="4:4" x14ac:dyDescent="0.3">
      <c r="D6143" t="str">
        <f t="shared" si="127"/>
        <v/>
      </c>
    </row>
    <row r="6144" spans="4:4" x14ac:dyDescent="0.3">
      <c r="D6144" t="str">
        <f t="shared" si="127"/>
        <v/>
      </c>
    </row>
    <row r="6145" spans="4:4" x14ac:dyDescent="0.3">
      <c r="D6145" t="str">
        <f t="shared" si="127"/>
        <v/>
      </c>
    </row>
    <row r="6146" spans="4:4" x14ac:dyDescent="0.3">
      <c r="D6146" t="str">
        <f t="shared" si="127"/>
        <v/>
      </c>
    </row>
    <row r="6147" spans="4:4" x14ac:dyDescent="0.3">
      <c r="D6147" t="str">
        <f t="shared" si="127"/>
        <v/>
      </c>
    </row>
    <row r="6148" spans="4:4" x14ac:dyDescent="0.3">
      <c r="D6148" t="str">
        <f t="shared" si="127"/>
        <v/>
      </c>
    </row>
    <row r="6149" spans="4:4" x14ac:dyDescent="0.3">
      <c r="D6149" t="str">
        <f t="shared" si="127"/>
        <v/>
      </c>
    </row>
    <row r="6150" spans="4:4" x14ac:dyDescent="0.3">
      <c r="D6150" t="str">
        <f t="shared" si="127"/>
        <v/>
      </c>
    </row>
    <row r="6151" spans="4:4" x14ac:dyDescent="0.3">
      <c r="D6151" t="str">
        <f t="shared" si="127"/>
        <v/>
      </c>
    </row>
    <row r="6152" spans="4:4" x14ac:dyDescent="0.3">
      <c r="D6152" t="str">
        <f t="shared" si="127"/>
        <v/>
      </c>
    </row>
    <row r="6153" spans="4:4" x14ac:dyDescent="0.3">
      <c r="D6153" t="str">
        <f t="shared" si="127"/>
        <v/>
      </c>
    </row>
    <row r="6154" spans="4:4" x14ac:dyDescent="0.3">
      <c r="D6154" t="str">
        <f t="shared" si="127"/>
        <v/>
      </c>
    </row>
    <row r="6155" spans="4:4" x14ac:dyDescent="0.3">
      <c r="D6155" t="str">
        <f t="shared" si="127"/>
        <v/>
      </c>
    </row>
    <row r="6156" spans="4:4" x14ac:dyDescent="0.3">
      <c r="D6156" t="str">
        <f t="shared" si="127"/>
        <v/>
      </c>
    </row>
    <row r="6157" spans="4:4" x14ac:dyDescent="0.3">
      <c r="D6157" t="str">
        <f t="shared" si="127"/>
        <v/>
      </c>
    </row>
    <row r="6158" spans="4:4" x14ac:dyDescent="0.3">
      <c r="D6158" t="str">
        <f t="shared" si="127"/>
        <v/>
      </c>
    </row>
    <row r="6159" spans="4:4" x14ac:dyDescent="0.3">
      <c r="D6159" t="str">
        <f t="shared" si="127"/>
        <v/>
      </c>
    </row>
    <row r="6160" spans="4:4" x14ac:dyDescent="0.3">
      <c r="D6160" t="str">
        <f t="shared" si="127"/>
        <v/>
      </c>
    </row>
    <row r="6161" spans="4:4" x14ac:dyDescent="0.3">
      <c r="D6161" t="str">
        <f t="shared" si="127"/>
        <v/>
      </c>
    </row>
    <row r="6162" spans="4:4" x14ac:dyDescent="0.3">
      <c r="D6162" t="str">
        <f t="shared" si="127"/>
        <v/>
      </c>
    </row>
    <row r="6163" spans="4:4" x14ac:dyDescent="0.3">
      <c r="D6163" t="str">
        <f t="shared" si="127"/>
        <v/>
      </c>
    </row>
    <row r="6164" spans="4:4" x14ac:dyDescent="0.3">
      <c r="D6164" t="str">
        <f t="shared" si="127"/>
        <v/>
      </c>
    </row>
    <row r="6165" spans="4:4" x14ac:dyDescent="0.3">
      <c r="D6165" t="str">
        <f t="shared" si="127"/>
        <v/>
      </c>
    </row>
    <row r="6166" spans="4:4" x14ac:dyDescent="0.3">
      <c r="D6166" t="str">
        <f t="shared" si="127"/>
        <v/>
      </c>
    </row>
    <row r="6167" spans="4:4" x14ac:dyDescent="0.3">
      <c r="D6167" t="str">
        <f t="shared" si="127"/>
        <v/>
      </c>
    </row>
    <row r="6168" spans="4:4" x14ac:dyDescent="0.3">
      <c r="D6168" t="str">
        <f t="shared" si="127"/>
        <v/>
      </c>
    </row>
    <row r="6169" spans="4:4" x14ac:dyDescent="0.3">
      <c r="D6169" t="str">
        <f t="shared" si="127"/>
        <v/>
      </c>
    </row>
    <row r="6170" spans="4:4" x14ac:dyDescent="0.3">
      <c r="D6170" t="str">
        <f t="shared" si="127"/>
        <v/>
      </c>
    </row>
    <row r="6171" spans="4:4" x14ac:dyDescent="0.3">
      <c r="D6171" t="str">
        <f t="shared" si="127"/>
        <v/>
      </c>
    </row>
    <row r="6172" spans="4:4" x14ac:dyDescent="0.3">
      <c r="D6172" t="str">
        <f t="shared" si="127"/>
        <v/>
      </c>
    </row>
    <row r="6173" spans="4:4" x14ac:dyDescent="0.3">
      <c r="D6173" t="str">
        <f t="shared" si="127"/>
        <v/>
      </c>
    </row>
    <row r="6174" spans="4:4" x14ac:dyDescent="0.3">
      <c r="D6174" t="str">
        <f t="shared" si="127"/>
        <v/>
      </c>
    </row>
    <row r="6175" spans="4:4" x14ac:dyDescent="0.3">
      <c r="D6175" t="str">
        <f t="shared" si="127"/>
        <v/>
      </c>
    </row>
    <row r="6176" spans="4:4" x14ac:dyDescent="0.3">
      <c r="D6176" t="str">
        <f t="shared" si="127"/>
        <v/>
      </c>
    </row>
    <row r="6177" spans="4:4" x14ac:dyDescent="0.3">
      <c r="D6177" t="str">
        <f t="shared" si="127"/>
        <v/>
      </c>
    </row>
    <row r="6178" spans="4:4" x14ac:dyDescent="0.3">
      <c r="D6178" t="str">
        <f t="shared" si="127"/>
        <v/>
      </c>
    </row>
    <row r="6179" spans="4:4" x14ac:dyDescent="0.3">
      <c r="D6179" t="str">
        <f t="shared" si="127"/>
        <v/>
      </c>
    </row>
    <row r="6180" spans="4:4" x14ac:dyDescent="0.3">
      <c r="D6180" t="str">
        <f t="shared" si="127"/>
        <v/>
      </c>
    </row>
    <row r="6181" spans="4:4" x14ac:dyDescent="0.3">
      <c r="D6181" t="str">
        <f t="shared" si="127"/>
        <v/>
      </c>
    </row>
    <row r="6182" spans="4:4" x14ac:dyDescent="0.3">
      <c r="D6182" t="str">
        <f t="shared" si="127"/>
        <v/>
      </c>
    </row>
    <row r="6183" spans="4:4" x14ac:dyDescent="0.3">
      <c r="D6183" t="str">
        <f t="shared" si="127"/>
        <v/>
      </c>
    </row>
    <row r="6184" spans="4:4" x14ac:dyDescent="0.3">
      <c r="D6184" t="str">
        <f t="shared" si="127"/>
        <v/>
      </c>
    </row>
    <row r="6185" spans="4:4" x14ac:dyDescent="0.3">
      <c r="D6185" t="str">
        <f t="shared" si="127"/>
        <v/>
      </c>
    </row>
    <row r="6186" spans="4:4" x14ac:dyDescent="0.3">
      <c r="D6186" t="str">
        <f t="shared" si="127"/>
        <v/>
      </c>
    </row>
    <row r="6187" spans="4:4" x14ac:dyDescent="0.3">
      <c r="D6187" t="str">
        <f t="shared" si="127"/>
        <v/>
      </c>
    </row>
    <row r="6188" spans="4:4" x14ac:dyDescent="0.3">
      <c r="D6188" t="str">
        <f t="shared" si="127"/>
        <v/>
      </c>
    </row>
    <row r="6189" spans="4:4" x14ac:dyDescent="0.3">
      <c r="D6189" t="str">
        <f t="shared" si="127"/>
        <v/>
      </c>
    </row>
    <row r="6190" spans="4:4" x14ac:dyDescent="0.3">
      <c r="D6190" t="str">
        <f t="shared" si="127"/>
        <v/>
      </c>
    </row>
    <row r="6191" spans="4:4" x14ac:dyDescent="0.3">
      <c r="D6191" t="str">
        <f t="shared" si="127"/>
        <v/>
      </c>
    </row>
    <row r="6192" spans="4:4" x14ac:dyDescent="0.3">
      <c r="D6192" t="str">
        <f t="shared" si="127"/>
        <v/>
      </c>
    </row>
    <row r="6193" spans="4:4" x14ac:dyDescent="0.3">
      <c r="D6193" t="str">
        <f t="shared" si="127"/>
        <v/>
      </c>
    </row>
    <row r="6194" spans="4:4" x14ac:dyDescent="0.3">
      <c r="D6194" t="str">
        <f t="shared" si="127"/>
        <v/>
      </c>
    </row>
    <row r="6195" spans="4:4" x14ac:dyDescent="0.3">
      <c r="D6195" t="str">
        <f t="shared" si="127"/>
        <v/>
      </c>
    </row>
    <row r="6196" spans="4:4" x14ac:dyDescent="0.3">
      <c r="D6196" t="str">
        <f t="shared" si="127"/>
        <v/>
      </c>
    </row>
    <row r="6197" spans="4:4" x14ac:dyDescent="0.3">
      <c r="D6197" t="str">
        <f t="shared" si="127"/>
        <v/>
      </c>
    </row>
    <row r="6198" spans="4:4" x14ac:dyDescent="0.3">
      <c r="D6198" t="str">
        <f t="shared" si="127"/>
        <v/>
      </c>
    </row>
    <row r="6199" spans="4:4" x14ac:dyDescent="0.3">
      <c r="D6199" t="str">
        <f t="shared" si="127"/>
        <v/>
      </c>
    </row>
    <row r="6200" spans="4:4" x14ac:dyDescent="0.3">
      <c r="D6200" t="str">
        <f t="shared" si="127"/>
        <v/>
      </c>
    </row>
    <row r="6201" spans="4:4" x14ac:dyDescent="0.3">
      <c r="D6201" t="str">
        <f t="shared" si="127"/>
        <v/>
      </c>
    </row>
    <row r="6202" spans="4:4" x14ac:dyDescent="0.3">
      <c r="D6202" t="str">
        <f t="shared" ref="D6202:D6265" si="128">IF(LEFT(A6202,2)="SP",MID(A6202,4,4),IF(LEFT(A6202,1)="X",MID(A6202,3,4),""))</f>
        <v/>
      </c>
    </row>
    <row r="6203" spans="4:4" x14ac:dyDescent="0.3">
      <c r="D6203" t="str">
        <f t="shared" si="128"/>
        <v/>
      </c>
    </row>
    <row r="6204" spans="4:4" x14ac:dyDescent="0.3">
      <c r="D6204" t="str">
        <f t="shared" si="128"/>
        <v/>
      </c>
    </row>
    <row r="6205" spans="4:4" x14ac:dyDescent="0.3">
      <c r="D6205" t="str">
        <f t="shared" si="128"/>
        <v/>
      </c>
    </row>
    <row r="6206" spans="4:4" x14ac:dyDescent="0.3">
      <c r="D6206" t="str">
        <f t="shared" si="128"/>
        <v/>
      </c>
    </row>
    <row r="6207" spans="4:4" x14ac:dyDescent="0.3">
      <c r="D6207" t="str">
        <f t="shared" si="128"/>
        <v/>
      </c>
    </row>
    <row r="6208" spans="4:4" x14ac:dyDescent="0.3">
      <c r="D6208" t="str">
        <f t="shared" si="128"/>
        <v/>
      </c>
    </row>
    <row r="6209" spans="4:4" x14ac:dyDescent="0.3">
      <c r="D6209" t="str">
        <f t="shared" si="128"/>
        <v/>
      </c>
    </row>
    <row r="6210" spans="4:4" x14ac:dyDescent="0.3">
      <c r="D6210" t="str">
        <f t="shared" si="128"/>
        <v/>
      </c>
    </row>
    <row r="6211" spans="4:4" x14ac:dyDescent="0.3">
      <c r="D6211" t="str">
        <f t="shared" si="128"/>
        <v/>
      </c>
    </row>
    <row r="6212" spans="4:4" x14ac:dyDescent="0.3">
      <c r="D6212" t="str">
        <f t="shared" si="128"/>
        <v/>
      </c>
    </row>
    <row r="6213" spans="4:4" x14ac:dyDescent="0.3">
      <c r="D6213" t="str">
        <f t="shared" si="128"/>
        <v/>
      </c>
    </row>
    <row r="6214" spans="4:4" x14ac:dyDescent="0.3">
      <c r="D6214" t="str">
        <f t="shared" si="128"/>
        <v/>
      </c>
    </row>
    <row r="6215" spans="4:4" x14ac:dyDescent="0.3">
      <c r="D6215" t="str">
        <f t="shared" si="128"/>
        <v/>
      </c>
    </row>
    <row r="6216" spans="4:4" x14ac:dyDescent="0.3">
      <c r="D6216" t="str">
        <f t="shared" si="128"/>
        <v/>
      </c>
    </row>
    <row r="6217" spans="4:4" x14ac:dyDescent="0.3">
      <c r="D6217" t="str">
        <f t="shared" si="128"/>
        <v/>
      </c>
    </row>
    <row r="6218" spans="4:4" x14ac:dyDescent="0.3">
      <c r="D6218" t="str">
        <f t="shared" si="128"/>
        <v/>
      </c>
    </row>
    <row r="6219" spans="4:4" x14ac:dyDescent="0.3">
      <c r="D6219" t="str">
        <f t="shared" si="128"/>
        <v/>
      </c>
    </row>
    <row r="6220" spans="4:4" x14ac:dyDescent="0.3">
      <c r="D6220" t="str">
        <f t="shared" si="128"/>
        <v/>
      </c>
    </row>
    <row r="6221" spans="4:4" x14ac:dyDescent="0.3">
      <c r="D6221" t="str">
        <f t="shared" si="128"/>
        <v/>
      </c>
    </row>
    <row r="6222" spans="4:4" x14ac:dyDescent="0.3">
      <c r="D6222" t="str">
        <f t="shared" si="128"/>
        <v/>
      </c>
    </row>
    <row r="6223" spans="4:4" x14ac:dyDescent="0.3">
      <c r="D6223" t="str">
        <f t="shared" si="128"/>
        <v/>
      </c>
    </row>
    <row r="6224" spans="4:4" x14ac:dyDescent="0.3">
      <c r="D6224" t="str">
        <f t="shared" si="128"/>
        <v/>
      </c>
    </row>
    <row r="6225" spans="4:4" x14ac:dyDescent="0.3">
      <c r="D6225" t="str">
        <f t="shared" si="128"/>
        <v/>
      </c>
    </row>
    <row r="6226" spans="4:4" x14ac:dyDescent="0.3">
      <c r="D6226" t="str">
        <f t="shared" si="128"/>
        <v/>
      </c>
    </row>
    <row r="6227" spans="4:4" x14ac:dyDescent="0.3">
      <c r="D6227" t="str">
        <f t="shared" si="128"/>
        <v/>
      </c>
    </row>
    <row r="6228" spans="4:4" x14ac:dyDescent="0.3">
      <c r="D6228" t="str">
        <f t="shared" si="128"/>
        <v/>
      </c>
    </row>
    <row r="6229" spans="4:4" x14ac:dyDescent="0.3">
      <c r="D6229" t="str">
        <f t="shared" si="128"/>
        <v/>
      </c>
    </row>
    <row r="6230" spans="4:4" x14ac:dyDescent="0.3">
      <c r="D6230" t="str">
        <f t="shared" si="128"/>
        <v/>
      </c>
    </row>
    <row r="6231" spans="4:4" x14ac:dyDescent="0.3">
      <c r="D6231" t="str">
        <f t="shared" si="128"/>
        <v/>
      </c>
    </row>
    <row r="6232" spans="4:4" x14ac:dyDescent="0.3">
      <c r="D6232" t="str">
        <f t="shared" si="128"/>
        <v/>
      </c>
    </row>
    <row r="6233" spans="4:4" x14ac:dyDescent="0.3">
      <c r="D6233" t="str">
        <f t="shared" si="128"/>
        <v/>
      </c>
    </row>
    <row r="6234" spans="4:4" x14ac:dyDescent="0.3">
      <c r="D6234" t="str">
        <f t="shared" si="128"/>
        <v/>
      </c>
    </row>
    <row r="6235" spans="4:4" x14ac:dyDescent="0.3">
      <c r="D6235" t="str">
        <f t="shared" si="128"/>
        <v/>
      </c>
    </row>
    <row r="6236" spans="4:4" x14ac:dyDescent="0.3">
      <c r="D6236" t="str">
        <f t="shared" si="128"/>
        <v/>
      </c>
    </row>
    <row r="6237" spans="4:4" x14ac:dyDescent="0.3">
      <c r="D6237" t="str">
        <f t="shared" si="128"/>
        <v/>
      </c>
    </row>
    <row r="6238" spans="4:4" x14ac:dyDescent="0.3">
      <c r="D6238" t="str">
        <f t="shared" si="128"/>
        <v/>
      </c>
    </row>
    <row r="6239" spans="4:4" x14ac:dyDescent="0.3">
      <c r="D6239" t="str">
        <f t="shared" si="128"/>
        <v/>
      </c>
    </row>
    <row r="6240" spans="4:4" x14ac:dyDescent="0.3">
      <c r="D6240" t="str">
        <f t="shared" si="128"/>
        <v/>
      </c>
    </row>
    <row r="6241" spans="4:4" x14ac:dyDescent="0.3">
      <c r="D6241" t="str">
        <f t="shared" si="128"/>
        <v/>
      </c>
    </row>
    <row r="6242" spans="4:4" x14ac:dyDescent="0.3">
      <c r="D6242" t="str">
        <f t="shared" si="128"/>
        <v/>
      </c>
    </row>
    <row r="6243" spans="4:4" x14ac:dyDescent="0.3">
      <c r="D6243" t="str">
        <f t="shared" si="128"/>
        <v/>
      </c>
    </row>
    <row r="6244" spans="4:4" x14ac:dyDescent="0.3">
      <c r="D6244" t="str">
        <f t="shared" si="128"/>
        <v/>
      </c>
    </row>
    <row r="6245" spans="4:4" x14ac:dyDescent="0.3">
      <c r="D6245" t="str">
        <f t="shared" si="128"/>
        <v/>
      </c>
    </row>
    <row r="6246" spans="4:4" x14ac:dyDescent="0.3">
      <c r="D6246" t="str">
        <f t="shared" si="128"/>
        <v/>
      </c>
    </row>
    <row r="6247" spans="4:4" x14ac:dyDescent="0.3">
      <c r="D6247" t="str">
        <f t="shared" si="128"/>
        <v/>
      </c>
    </row>
    <row r="6248" spans="4:4" x14ac:dyDescent="0.3">
      <c r="D6248" t="str">
        <f t="shared" si="128"/>
        <v/>
      </c>
    </row>
    <row r="6249" spans="4:4" x14ac:dyDescent="0.3">
      <c r="D6249" t="str">
        <f t="shared" si="128"/>
        <v/>
      </c>
    </row>
    <row r="6250" spans="4:4" x14ac:dyDescent="0.3">
      <c r="D6250" t="str">
        <f t="shared" si="128"/>
        <v/>
      </c>
    </row>
    <row r="6251" spans="4:4" x14ac:dyDescent="0.3">
      <c r="D6251" t="str">
        <f t="shared" si="128"/>
        <v/>
      </c>
    </row>
    <row r="6252" spans="4:4" x14ac:dyDescent="0.3">
      <c r="D6252" t="str">
        <f t="shared" si="128"/>
        <v/>
      </c>
    </row>
    <row r="6253" spans="4:4" x14ac:dyDescent="0.3">
      <c r="D6253" t="str">
        <f t="shared" si="128"/>
        <v/>
      </c>
    </row>
    <row r="6254" spans="4:4" x14ac:dyDescent="0.3">
      <c r="D6254" t="str">
        <f t="shared" si="128"/>
        <v/>
      </c>
    </row>
    <row r="6255" spans="4:4" x14ac:dyDescent="0.3">
      <c r="D6255" t="str">
        <f t="shared" si="128"/>
        <v/>
      </c>
    </row>
    <row r="6256" spans="4:4" x14ac:dyDescent="0.3">
      <c r="D6256" t="str">
        <f t="shared" si="128"/>
        <v/>
      </c>
    </row>
    <row r="6257" spans="4:4" x14ac:dyDescent="0.3">
      <c r="D6257" t="str">
        <f t="shared" si="128"/>
        <v/>
      </c>
    </row>
    <row r="6258" spans="4:4" x14ac:dyDescent="0.3">
      <c r="D6258" t="str">
        <f t="shared" si="128"/>
        <v/>
      </c>
    </row>
    <row r="6259" spans="4:4" x14ac:dyDescent="0.3">
      <c r="D6259" t="str">
        <f t="shared" si="128"/>
        <v/>
      </c>
    </row>
    <row r="6260" spans="4:4" x14ac:dyDescent="0.3">
      <c r="D6260" t="str">
        <f t="shared" si="128"/>
        <v/>
      </c>
    </row>
    <row r="6261" spans="4:4" x14ac:dyDescent="0.3">
      <c r="D6261" t="str">
        <f t="shared" si="128"/>
        <v/>
      </c>
    </row>
    <row r="6262" spans="4:4" x14ac:dyDescent="0.3">
      <c r="D6262" t="str">
        <f t="shared" si="128"/>
        <v/>
      </c>
    </row>
    <row r="6263" spans="4:4" x14ac:dyDescent="0.3">
      <c r="D6263" t="str">
        <f t="shared" si="128"/>
        <v/>
      </c>
    </row>
    <row r="6264" spans="4:4" x14ac:dyDescent="0.3">
      <c r="D6264" t="str">
        <f t="shared" si="128"/>
        <v/>
      </c>
    </row>
    <row r="6265" spans="4:4" x14ac:dyDescent="0.3">
      <c r="D6265" t="str">
        <f t="shared" si="128"/>
        <v/>
      </c>
    </row>
    <row r="6266" spans="4:4" x14ac:dyDescent="0.3">
      <c r="D6266" t="str">
        <f t="shared" ref="D6266:D6329" si="129">IF(LEFT(A6266,2)="SP",MID(A6266,4,4),IF(LEFT(A6266,1)="X",MID(A6266,3,4),""))</f>
        <v/>
      </c>
    </row>
    <row r="6267" spans="4:4" x14ac:dyDescent="0.3">
      <c r="D6267" t="str">
        <f t="shared" si="129"/>
        <v/>
      </c>
    </row>
    <row r="6268" spans="4:4" x14ac:dyDescent="0.3">
      <c r="D6268" t="str">
        <f t="shared" si="129"/>
        <v/>
      </c>
    </row>
    <row r="6269" spans="4:4" x14ac:dyDescent="0.3">
      <c r="D6269" t="str">
        <f t="shared" si="129"/>
        <v/>
      </c>
    </row>
    <row r="6270" spans="4:4" x14ac:dyDescent="0.3">
      <c r="D6270" t="str">
        <f t="shared" si="129"/>
        <v/>
      </c>
    </row>
    <row r="6271" spans="4:4" x14ac:dyDescent="0.3">
      <c r="D6271" t="str">
        <f t="shared" si="129"/>
        <v/>
      </c>
    </row>
    <row r="6272" spans="4:4" x14ac:dyDescent="0.3">
      <c r="D6272" t="str">
        <f t="shared" si="129"/>
        <v/>
      </c>
    </row>
    <row r="6273" spans="4:4" x14ac:dyDescent="0.3">
      <c r="D6273" t="str">
        <f t="shared" si="129"/>
        <v/>
      </c>
    </row>
    <row r="6274" spans="4:4" x14ac:dyDescent="0.3">
      <c r="D6274" t="str">
        <f t="shared" si="129"/>
        <v/>
      </c>
    </row>
    <row r="6275" spans="4:4" x14ac:dyDescent="0.3">
      <c r="D6275" t="str">
        <f t="shared" si="129"/>
        <v/>
      </c>
    </row>
    <row r="6276" spans="4:4" x14ac:dyDescent="0.3">
      <c r="D6276" t="str">
        <f t="shared" si="129"/>
        <v/>
      </c>
    </row>
    <row r="6277" spans="4:4" x14ac:dyDescent="0.3">
      <c r="D6277" t="str">
        <f t="shared" si="129"/>
        <v/>
      </c>
    </row>
    <row r="6278" spans="4:4" x14ac:dyDescent="0.3">
      <c r="D6278" t="str">
        <f t="shared" si="129"/>
        <v/>
      </c>
    </row>
    <row r="6279" spans="4:4" x14ac:dyDescent="0.3">
      <c r="D6279" t="str">
        <f t="shared" si="129"/>
        <v/>
      </c>
    </row>
    <row r="6280" spans="4:4" x14ac:dyDescent="0.3">
      <c r="D6280" t="str">
        <f t="shared" si="129"/>
        <v/>
      </c>
    </row>
    <row r="6281" spans="4:4" x14ac:dyDescent="0.3">
      <c r="D6281" t="str">
        <f t="shared" si="129"/>
        <v/>
      </c>
    </row>
    <row r="6282" spans="4:4" x14ac:dyDescent="0.3">
      <c r="D6282" t="str">
        <f t="shared" si="129"/>
        <v/>
      </c>
    </row>
    <row r="6283" spans="4:4" x14ac:dyDescent="0.3">
      <c r="D6283" t="str">
        <f t="shared" si="129"/>
        <v/>
      </c>
    </row>
    <row r="6284" spans="4:4" x14ac:dyDescent="0.3">
      <c r="D6284" t="str">
        <f t="shared" si="129"/>
        <v/>
      </c>
    </row>
    <row r="6285" spans="4:4" x14ac:dyDescent="0.3">
      <c r="D6285" t="str">
        <f t="shared" si="129"/>
        <v/>
      </c>
    </row>
    <row r="6286" spans="4:4" x14ac:dyDescent="0.3">
      <c r="D6286" t="str">
        <f t="shared" si="129"/>
        <v/>
      </c>
    </row>
    <row r="6287" spans="4:4" x14ac:dyDescent="0.3">
      <c r="D6287" t="str">
        <f t="shared" si="129"/>
        <v/>
      </c>
    </row>
    <row r="6288" spans="4:4" x14ac:dyDescent="0.3">
      <c r="D6288" t="str">
        <f t="shared" si="129"/>
        <v/>
      </c>
    </row>
    <row r="6289" spans="4:4" x14ac:dyDescent="0.3">
      <c r="D6289" t="str">
        <f t="shared" si="129"/>
        <v/>
      </c>
    </row>
    <row r="6290" spans="4:4" x14ac:dyDescent="0.3">
      <c r="D6290" t="str">
        <f t="shared" si="129"/>
        <v/>
      </c>
    </row>
    <row r="6291" spans="4:4" x14ac:dyDescent="0.3">
      <c r="D6291" t="str">
        <f t="shared" si="129"/>
        <v/>
      </c>
    </row>
    <row r="6292" spans="4:4" x14ac:dyDescent="0.3">
      <c r="D6292" t="str">
        <f t="shared" si="129"/>
        <v/>
      </c>
    </row>
    <row r="6293" spans="4:4" x14ac:dyDescent="0.3">
      <c r="D6293" t="str">
        <f t="shared" si="129"/>
        <v/>
      </c>
    </row>
    <row r="6294" spans="4:4" x14ac:dyDescent="0.3">
      <c r="D6294" t="str">
        <f t="shared" si="129"/>
        <v/>
      </c>
    </row>
    <row r="6295" spans="4:4" x14ac:dyDescent="0.3">
      <c r="D6295" t="str">
        <f t="shared" si="129"/>
        <v/>
      </c>
    </row>
    <row r="6296" spans="4:4" x14ac:dyDescent="0.3">
      <c r="D6296" t="str">
        <f t="shared" si="129"/>
        <v/>
      </c>
    </row>
    <row r="6297" spans="4:4" x14ac:dyDescent="0.3">
      <c r="D6297" t="str">
        <f t="shared" si="129"/>
        <v/>
      </c>
    </row>
    <row r="6298" spans="4:4" x14ac:dyDescent="0.3">
      <c r="D6298" t="str">
        <f t="shared" si="129"/>
        <v/>
      </c>
    </row>
    <row r="6299" spans="4:4" x14ac:dyDescent="0.3">
      <c r="D6299" t="str">
        <f t="shared" si="129"/>
        <v/>
      </c>
    </row>
    <row r="6300" spans="4:4" x14ac:dyDescent="0.3">
      <c r="D6300" t="str">
        <f t="shared" si="129"/>
        <v/>
      </c>
    </row>
    <row r="6301" spans="4:4" x14ac:dyDescent="0.3">
      <c r="D6301" t="str">
        <f t="shared" si="129"/>
        <v/>
      </c>
    </row>
    <row r="6302" spans="4:4" x14ac:dyDescent="0.3">
      <c r="D6302" t="str">
        <f t="shared" si="129"/>
        <v/>
      </c>
    </row>
    <row r="6303" spans="4:4" x14ac:dyDescent="0.3">
      <c r="D6303" t="str">
        <f t="shared" si="129"/>
        <v/>
      </c>
    </row>
    <row r="6304" spans="4:4" x14ac:dyDescent="0.3">
      <c r="D6304" t="str">
        <f t="shared" si="129"/>
        <v/>
      </c>
    </row>
    <row r="6305" spans="4:4" x14ac:dyDescent="0.3">
      <c r="D6305" t="str">
        <f t="shared" si="129"/>
        <v/>
      </c>
    </row>
    <row r="6306" spans="4:4" x14ac:dyDescent="0.3">
      <c r="D6306" t="str">
        <f t="shared" si="129"/>
        <v/>
      </c>
    </row>
    <row r="6307" spans="4:4" x14ac:dyDescent="0.3">
      <c r="D6307" t="str">
        <f t="shared" si="129"/>
        <v/>
      </c>
    </row>
    <row r="6308" spans="4:4" x14ac:dyDescent="0.3">
      <c r="D6308" t="str">
        <f t="shared" si="129"/>
        <v/>
      </c>
    </row>
    <row r="6309" spans="4:4" x14ac:dyDescent="0.3">
      <c r="D6309" t="str">
        <f t="shared" si="129"/>
        <v/>
      </c>
    </row>
    <row r="6310" spans="4:4" x14ac:dyDescent="0.3">
      <c r="D6310" t="str">
        <f t="shared" si="129"/>
        <v/>
      </c>
    </row>
    <row r="6311" spans="4:4" x14ac:dyDescent="0.3">
      <c r="D6311" t="str">
        <f t="shared" si="129"/>
        <v/>
      </c>
    </row>
    <row r="6312" spans="4:4" x14ac:dyDescent="0.3">
      <c r="D6312" t="str">
        <f t="shared" si="129"/>
        <v/>
      </c>
    </row>
    <row r="6313" spans="4:4" x14ac:dyDescent="0.3">
      <c r="D6313" t="str">
        <f t="shared" si="129"/>
        <v/>
      </c>
    </row>
    <row r="6314" spans="4:4" x14ac:dyDescent="0.3">
      <c r="D6314" t="str">
        <f t="shared" si="129"/>
        <v/>
      </c>
    </row>
    <row r="6315" spans="4:4" x14ac:dyDescent="0.3">
      <c r="D6315" t="str">
        <f t="shared" si="129"/>
        <v/>
      </c>
    </row>
    <row r="6316" spans="4:4" x14ac:dyDescent="0.3">
      <c r="D6316" t="str">
        <f t="shared" si="129"/>
        <v/>
      </c>
    </row>
    <row r="6317" spans="4:4" x14ac:dyDescent="0.3">
      <c r="D6317" t="str">
        <f t="shared" si="129"/>
        <v/>
      </c>
    </row>
    <row r="6318" spans="4:4" x14ac:dyDescent="0.3">
      <c r="D6318" t="str">
        <f t="shared" si="129"/>
        <v/>
      </c>
    </row>
    <row r="6319" spans="4:4" x14ac:dyDescent="0.3">
      <c r="D6319" t="str">
        <f t="shared" si="129"/>
        <v/>
      </c>
    </row>
    <row r="6320" spans="4:4" x14ac:dyDescent="0.3">
      <c r="D6320" t="str">
        <f t="shared" si="129"/>
        <v/>
      </c>
    </row>
    <row r="6321" spans="4:4" x14ac:dyDescent="0.3">
      <c r="D6321" t="str">
        <f t="shared" si="129"/>
        <v/>
      </c>
    </row>
    <row r="6322" spans="4:4" x14ac:dyDescent="0.3">
      <c r="D6322" t="str">
        <f t="shared" si="129"/>
        <v/>
      </c>
    </row>
    <row r="6323" spans="4:4" x14ac:dyDescent="0.3">
      <c r="D6323" t="str">
        <f t="shared" si="129"/>
        <v/>
      </c>
    </row>
    <row r="6324" spans="4:4" x14ac:dyDescent="0.3">
      <c r="D6324" t="str">
        <f t="shared" si="129"/>
        <v/>
      </c>
    </row>
    <row r="6325" spans="4:4" x14ac:dyDescent="0.3">
      <c r="D6325" t="str">
        <f t="shared" si="129"/>
        <v/>
      </c>
    </row>
    <row r="6326" spans="4:4" x14ac:dyDescent="0.3">
      <c r="D6326" t="str">
        <f t="shared" si="129"/>
        <v/>
      </c>
    </row>
    <row r="6327" spans="4:4" x14ac:dyDescent="0.3">
      <c r="D6327" t="str">
        <f t="shared" si="129"/>
        <v/>
      </c>
    </row>
    <row r="6328" spans="4:4" x14ac:dyDescent="0.3">
      <c r="D6328" t="str">
        <f t="shared" si="129"/>
        <v/>
      </c>
    </row>
    <row r="6329" spans="4:4" x14ac:dyDescent="0.3">
      <c r="D6329" t="str">
        <f t="shared" si="129"/>
        <v/>
      </c>
    </row>
    <row r="6330" spans="4:4" x14ac:dyDescent="0.3">
      <c r="D6330" t="str">
        <f t="shared" ref="D6330:D6393" si="130">IF(LEFT(A6330,2)="SP",MID(A6330,4,4),IF(LEFT(A6330,1)="X",MID(A6330,3,4),""))</f>
        <v/>
      </c>
    </row>
    <row r="6331" spans="4:4" x14ac:dyDescent="0.3">
      <c r="D6331" t="str">
        <f t="shared" si="130"/>
        <v/>
      </c>
    </row>
    <row r="6332" spans="4:4" x14ac:dyDescent="0.3">
      <c r="D6332" t="str">
        <f t="shared" si="130"/>
        <v/>
      </c>
    </row>
    <row r="6333" spans="4:4" x14ac:dyDescent="0.3">
      <c r="D6333" t="str">
        <f t="shared" si="130"/>
        <v/>
      </c>
    </row>
    <row r="6334" spans="4:4" x14ac:dyDescent="0.3">
      <c r="D6334" t="str">
        <f t="shared" si="130"/>
        <v/>
      </c>
    </row>
    <row r="6335" spans="4:4" x14ac:dyDescent="0.3">
      <c r="D6335" t="str">
        <f t="shared" si="130"/>
        <v/>
      </c>
    </row>
    <row r="6336" spans="4:4" x14ac:dyDescent="0.3">
      <c r="D6336" t="str">
        <f t="shared" si="130"/>
        <v/>
      </c>
    </row>
    <row r="6337" spans="4:4" x14ac:dyDescent="0.3">
      <c r="D6337" t="str">
        <f t="shared" si="130"/>
        <v/>
      </c>
    </row>
    <row r="6338" spans="4:4" x14ac:dyDescent="0.3">
      <c r="D6338" t="str">
        <f t="shared" si="130"/>
        <v/>
      </c>
    </row>
    <row r="6339" spans="4:4" x14ac:dyDescent="0.3">
      <c r="D6339" t="str">
        <f t="shared" si="130"/>
        <v/>
      </c>
    </row>
    <row r="6340" spans="4:4" x14ac:dyDescent="0.3">
      <c r="D6340" t="str">
        <f t="shared" si="130"/>
        <v/>
      </c>
    </row>
    <row r="6341" spans="4:4" x14ac:dyDescent="0.3">
      <c r="D6341" t="str">
        <f t="shared" si="130"/>
        <v/>
      </c>
    </row>
    <row r="6342" spans="4:4" x14ac:dyDescent="0.3">
      <c r="D6342" t="str">
        <f t="shared" si="130"/>
        <v/>
      </c>
    </row>
    <row r="6343" spans="4:4" x14ac:dyDescent="0.3">
      <c r="D6343" t="str">
        <f t="shared" si="130"/>
        <v/>
      </c>
    </row>
    <row r="6344" spans="4:4" x14ac:dyDescent="0.3">
      <c r="D6344" t="str">
        <f t="shared" si="130"/>
        <v/>
      </c>
    </row>
    <row r="6345" spans="4:4" x14ac:dyDescent="0.3">
      <c r="D6345" t="str">
        <f t="shared" si="130"/>
        <v/>
      </c>
    </row>
    <row r="6346" spans="4:4" x14ac:dyDescent="0.3">
      <c r="D6346" t="str">
        <f t="shared" si="130"/>
        <v/>
      </c>
    </row>
    <row r="6347" spans="4:4" x14ac:dyDescent="0.3">
      <c r="D6347" t="str">
        <f t="shared" si="130"/>
        <v/>
      </c>
    </row>
    <row r="6348" spans="4:4" x14ac:dyDescent="0.3">
      <c r="D6348" t="str">
        <f t="shared" si="130"/>
        <v/>
      </c>
    </row>
    <row r="6349" spans="4:4" x14ac:dyDescent="0.3">
      <c r="D6349" t="str">
        <f t="shared" si="130"/>
        <v/>
      </c>
    </row>
    <row r="6350" spans="4:4" x14ac:dyDescent="0.3">
      <c r="D6350" t="str">
        <f t="shared" si="130"/>
        <v/>
      </c>
    </row>
    <row r="6351" spans="4:4" x14ac:dyDescent="0.3">
      <c r="D6351" t="str">
        <f t="shared" si="130"/>
        <v/>
      </c>
    </row>
    <row r="6352" spans="4:4" x14ac:dyDescent="0.3">
      <c r="D6352" t="str">
        <f t="shared" si="130"/>
        <v/>
      </c>
    </row>
    <row r="6353" spans="4:4" x14ac:dyDescent="0.3">
      <c r="D6353" t="str">
        <f t="shared" si="130"/>
        <v/>
      </c>
    </row>
    <row r="6354" spans="4:4" x14ac:dyDescent="0.3">
      <c r="D6354" t="str">
        <f t="shared" si="130"/>
        <v/>
      </c>
    </row>
    <row r="6355" spans="4:4" x14ac:dyDescent="0.3">
      <c r="D6355" t="str">
        <f t="shared" si="130"/>
        <v/>
      </c>
    </row>
    <row r="6356" spans="4:4" x14ac:dyDescent="0.3">
      <c r="D6356" t="str">
        <f t="shared" si="130"/>
        <v/>
      </c>
    </row>
    <row r="6357" spans="4:4" x14ac:dyDescent="0.3">
      <c r="D6357" t="str">
        <f t="shared" si="130"/>
        <v/>
      </c>
    </row>
    <row r="6358" spans="4:4" x14ac:dyDescent="0.3">
      <c r="D6358" t="str">
        <f t="shared" si="130"/>
        <v/>
      </c>
    </row>
    <row r="6359" spans="4:4" x14ac:dyDescent="0.3">
      <c r="D6359" t="str">
        <f t="shared" si="130"/>
        <v/>
      </c>
    </row>
    <row r="6360" spans="4:4" x14ac:dyDescent="0.3">
      <c r="D6360" t="str">
        <f t="shared" si="130"/>
        <v/>
      </c>
    </row>
    <row r="6361" spans="4:4" x14ac:dyDescent="0.3">
      <c r="D6361" t="str">
        <f t="shared" si="130"/>
        <v/>
      </c>
    </row>
    <row r="6362" spans="4:4" x14ac:dyDescent="0.3">
      <c r="D6362" t="str">
        <f t="shared" si="130"/>
        <v/>
      </c>
    </row>
    <row r="6363" spans="4:4" x14ac:dyDescent="0.3">
      <c r="D6363" t="str">
        <f t="shared" si="130"/>
        <v/>
      </c>
    </row>
    <row r="6364" spans="4:4" x14ac:dyDescent="0.3">
      <c r="D6364" t="str">
        <f t="shared" si="130"/>
        <v/>
      </c>
    </row>
    <row r="6365" spans="4:4" x14ac:dyDescent="0.3">
      <c r="D6365" t="str">
        <f t="shared" si="130"/>
        <v/>
      </c>
    </row>
    <row r="6366" spans="4:4" x14ac:dyDescent="0.3">
      <c r="D6366" t="str">
        <f t="shared" si="130"/>
        <v/>
      </c>
    </row>
    <row r="6367" spans="4:4" x14ac:dyDescent="0.3">
      <c r="D6367" t="str">
        <f t="shared" si="130"/>
        <v/>
      </c>
    </row>
    <row r="6368" spans="4:4" x14ac:dyDescent="0.3">
      <c r="D6368" t="str">
        <f t="shared" si="130"/>
        <v/>
      </c>
    </row>
    <row r="6369" spans="4:4" x14ac:dyDescent="0.3">
      <c r="D6369" t="str">
        <f t="shared" si="130"/>
        <v/>
      </c>
    </row>
    <row r="6370" spans="4:4" x14ac:dyDescent="0.3">
      <c r="D6370" t="str">
        <f t="shared" si="130"/>
        <v/>
      </c>
    </row>
    <row r="6371" spans="4:4" x14ac:dyDescent="0.3">
      <c r="D6371" t="str">
        <f t="shared" si="130"/>
        <v/>
      </c>
    </row>
    <row r="6372" spans="4:4" x14ac:dyDescent="0.3">
      <c r="D6372" t="str">
        <f t="shared" si="130"/>
        <v/>
      </c>
    </row>
    <row r="6373" spans="4:4" x14ac:dyDescent="0.3">
      <c r="D6373" t="str">
        <f t="shared" si="130"/>
        <v/>
      </c>
    </row>
    <row r="6374" spans="4:4" x14ac:dyDescent="0.3">
      <c r="D6374" t="str">
        <f t="shared" si="130"/>
        <v/>
      </c>
    </row>
    <row r="6375" spans="4:4" x14ac:dyDescent="0.3">
      <c r="D6375" t="str">
        <f t="shared" si="130"/>
        <v/>
      </c>
    </row>
    <row r="6376" spans="4:4" x14ac:dyDescent="0.3">
      <c r="D6376" t="str">
        <f t="shared" si="130"/>
        <v/>
      </c>
    </row>
    <row r="6377" spans="4:4" x14ac:dyDescent="0.3">
      <c r="D6377" t="str">
        <f t="shared" si="130"/>
        <v/>
      </c>
    </row>
    <row r="6378" spans="4:4" x14ac:dyDescent="0.3">
      <c r="D6378" t="str">
        <f t="shared" si="130"/>
        <v/>
      </c>
    </row>
    <row r="6379" spans="4:4" x14ac:dyDescent="0.3">
      <c r="D6379" t="str">
        <f t="shared" si="130"/>
        <v/>
      </c>
    </row>
    <row r="6380" spans="4:4" x14ac:dyDescent="0.3">
      <c r="D6380" t="str">
        <f t="shared" si="130"/>
        <v/>
      </c>
    </row>
    <row r="6381" spans="4:4" x14ac:dyDescent="0.3">
      <c r="D6381" t="str">
        <f t="shared" si="130"/>
        <v/>
      </c>
    </row>
    <row r="6382" spans="4:4" x14ac:dyDescent="0.3">
      <c r="D6382" t="str">
        <f t="shared" si="130"/>
        <v/>
      </c>
    </row>
    <row r="6383" spans="4:4" x14ac:dyDescent="0.3">
      <c r="D6383" t="str">
        <f t="shared" si="130"/>
        <v/>
      </c>
    </row>
    <row r="6384" spans="4:4" x14ac:dyDescent="0.3">
      <c r="D6384" t="str">
        <f t="shared" si="130"/>
        <v/>
      </c>
    </row>
    <row r="6385" spans="4:4" x14ac:dyDescent="0.3">
      <c r="D6385" t="str">
        <f t="shared" si="130"/>
        <v/>
      </c>
    </row>
    <row r="6386" spans="4:4" x14ac:dyDescent="0.3">
      <c r="D6386" t="str">
        <f t="shared" si="130"/>
        <v/>
      </c>
    </row>
    <row r="6387" spans="4:4" x14ac:dyDescent="0.3">
      <c r="D6387" t="str">
        <f t="shared" si="130"/>
        <v/>
      </c>
    </row>
    <row r="6388" spans="4:4" x14ac:dyDescent="0.3">
      <c r="D6388" t="str">
        <f t="shared" si="130"/>
        <v/>
      </c>
    </row>
    <row r="6389" spans="4:4" x14ac:dyDescent="0.3">
      <c r="D6389" t="str">
        <f t="shared" si="130"/>
        <v/>
      </c>
    </row>
    <row r="6390" spans="4:4" x14ac:dyDescent="0.3">
      <c r="D6390" t="str">
        <f t="shared" si="130"/>
        <v/>
      </c>
    </row>
    <row r="6391" spans="4:4" x14ac:dyDescent="0.3">
      <c r="D6391" t="str">
        <f t="shared" si="130"/>
        <v/>
      </c>
    </row>
    <row r="6392" spans="4:4" x14ac:dyDescent="0.3">
      <c r="D6392" t="str">
        <f t="shared" si="130"/>
        <v/>
      </c>
    </row>
    <row r="6393" spans="4:4" x14ac:dyDescent="0.3">
      <c r="D6393" t="str">
        <f t="shared" si="130"/>
        <v/>
      </c>
    </row>
    <row r="6394" spans="4:4" x14ac:dyDescent="0.3">
      <c r="D6394" t="str">
        <f t="shared" ref="D6394:D6434" si="131">IF(LEFT(A6394,2)="SP",MID(A6394,4,4),IF(LEFT(A6394,1)="X",MID(A6394,3,4),""))</f>
        <v/>
      </c>
    </row>
    <row r="6395" spans="4:4" x14ac:dyDescent="0.3">
      <c r="D6395" t="str">
        <f t="shared" si="131"/>
        <v/>
      </c>
    </row>
    <row r="6396" spans="4:4" x14ac:dyDescent="0.3">
      <c r="D6396" t="str">
        <f t="shared" si="131"/>
        <v/>
      </c>
    </row>
    <row r="6397" spans="4:4" x14ac:dyDescent="0.3">
      <c r="D6397" t="str">
        <f t="shared" si="131"/>
        <v/>
      </c>
    </row>
    <row r="6398" spans="4:4" x14ac:dyDescent="0.3">
      <c r="D6398" t="str">
        <f t="shared" si="131"/>
        <v/>
      </c>
    </row>
    <row r="6399" spans="4:4" x14ac:dyDescent="0.3">
      <c r="D6399" t="str">
        <f t="shared" si="131"/>
        <v/>
      </c>
    </row>
    <row r="6400" spans="4:4" x14ac:dyDescent="0.3">
      <c r="D6400" t="str">
        <f t="shared" si="131"/>
        <v/>
      </c>
    </row>
    <row r="6401" spans="4:4" x14ac:dyDescent="0.3">
      <c r="D6401" t="str">
        <f t="shared" si="131"/>
        <v/>
      </c>
    </row>
    <row r="6402" spans="4:4" x14ac:dyDescent="0.3">
      <c r="D6402" t="str">
        <f t="shared" si="131"/>
        <v/>
      </c>
    </row>
    <row r="6403" spans="4:4" x14ac:dyDescent="0.3">
      <c r="D6403" t="str">
        <f t="shared" si="131"/>
        <v/>
      </c>
    </row>
    <row r="6404" spans="4:4" x14ac:dyDescent="0.3">
      <c r="D6404" t="str">
        <f t="shared" si="131"/>
        <v/>
      </c>
    </row>
    <row r="6405" spans="4:4" x14ac:dyDescent="0.3">
      <c r="D6405" t="str">
        <f t="shared" si="131"/>
        <v/>
      </c>
    </row>
    <row r="6406" spans="4:4" x14ac:dyDescent="0.3">
      <c r="D6406" t="str">
        <f t="shared" si="131"/>
        <v/>
      </c>
    </row>
    <row r="6407" spans="4:4" x14ac:dyDescent="0.3">
      <c r="D6407" t="str">
        <f t="shared" si="131"/>
        <v/>
      </c>
    </row>
    <row r="6408" spans="4:4" x14ac:dyDescent="0.3">
      <c r="D6408" t="str">
        <f t="shared" si="131"/>
        <v/>
      </c>
    </row>
    <row r="6409" spans="4:4" x14ac:dyDescent="0.3">
      <c r="D6409" t="str">
        <f t="shared" si="131"/>
        <v/>
      </c>
    </row>
    <row r="6410" spans="4:4" x14ac:dyDescent="0.3">
      <c r="D6410" t="str">
        <f t="shared" si="131"/>
        <v/>
      </c>
    </row>
    <row r="6411" spans="4:4" x14ac:dyDescent="0.3">
      <c r="D6411" t="str">
        <f t="shared" si="131"/>
        <v/>
      </c>
    </row>
    <row r="6412" spans="4:4" x14ac:dyDescent="0.3">
      <c r="D6412" t="str">
        <f t="shared" si="131"/>
        <v/>
      </c>
    </row>
    <row r="6413" spans="4:4" x14ac:dyDescent="0.3">
      <c r="D6413" t="str">
        <f t="shared" si="131"/>
        <v/>
      </c>
    </row>
    <row r="6414" spans="4:4" x14ac:dyDescent="0.3">
      <c r="D6414" t="str">
        <f t="shared" si="131"/>
        <v/>
      </c>
    </row>
    <row r="6415" spans="4:4" x14ac:dyDescent="0.3">
      <c r="D6415" t="str">
        <f t="shared" si="131"/>
        <v/>
      </c>
    </row>
    <row r="6416" spans="4:4" x14ac:dyDescent="0.3">
      <c r="D6416" t="str">
        <f t="shared" si="131"/>
        <v/>
      </c>
    </row>
    <row r="6417" spans="4:4" x14ac:dyDescent="0.3">
      <c r="D6417" t="str">
        <f t="shared" si="131"/>
        <v/>
      </c>
    </row>
    <row r="6418" spans="4:4" x14ac:dyDescent="0.3">
      <c r="D6418" t="str">
        <f t="shared" si="131"/>
        <v/>
      </c>
    </row>
    <row r="6419" spans="4:4" x14ac:dyDescent="0.3">
      <c r="D6419" t="str">
        <f t="shared" si="131"/>
        <v/>
      </c>
    </row>
    <row r="6420" spans="4:4" x14ac:dyDescent="0.3">
      <c r="D6420" t="str">
        <f t="shared" si="131"/>
        <v/>
      </c>
    </row>
    <row r="6421" spans="4:4" x14ac:dyDescent="0.3">
      <c r="D6421" t="str">
        <f t="shared" si="131"/>
        <v/>
      </c>
    </row>
    <row r="6422" spans="4:4" x14ac:dyDescent="0.3">
      <c r="D6422" t="str">
        <f t="shared" si="131"/>
        <v/>
      </c>
    </row>
    <row r="6423" spans="4:4" x14ac:dyDescent="0.3">
      <c r="D6423" t="str">
        <f t="shared" si="131"/>
        <v/>
      </c>
    </row>
    <row r="6424" spans="4:4" x14ac:dyDescent="0.3">
      <c r="D6424" t="str">
        <f t="shared" si="131"/>
        <v/>
      </c>
    </row>
    <row r="6425" spans="4:4" x14ac:dyDescent="0.3">
      <c r="D6425" t="str">
        <f t="shared" si="131"/>
        <v/>
      </c>
    </row>
    <row r="6426" spans="4:4" x14ac:dyDescent="0.3">
      <c r="D6426" t="str">
        <f t="shared" si="131"/>
        <v/>
      </c>
    </row>
    <row r="6427" spans="4:4" x14ac:dyDescent="0.3">
      <c r="D6427" t="str">
        <f t="shared" si="131"/>
        <v/>
      </c>
    </row>
    <row r="6428" spans="4:4" x14ac:dyDescent="0.3">
      <c r="D6428" t="str">
        <f t="shared" si="131"/>
        <v/>
      </c>
    </row>
    <row r="6429" spans="4:4" x14ac:dyDescent="0.3">
      <c r="D6429" t="str">
        <f t="shared" si="131"/>
        <v/>
      </c>
    </row>
    <row r="6430" spans="4:4" x14ac:dyDescent="0.3">
      <c r="D6430" t="str">
        <f t="shared" si="131"/>
        <v/>
      </c>
    </row>
    <row r="6431" spans="4:4" x14ac:dyDescent="0.3">
      <c r="D6431" t="str">
        <f t="shared" si="131"/>
        <v/>
      </c>
    </row>
    <row r="6432" spans="4:4" x14ac:dyDescent="0.3">
      <c r="D6432" t="str">
        <f t="shared" si="131"/>
        <v/>
      </c>
    </row>
    <row r="6433" spans="4:4" x14ac:dyDescent="0.3">
      <c r="D6433" t="str">
        <f t="shared" si="131"/>
        <v/>
      </c>
    </row>
    <row r="6434" spans="4:4" x14ac:dyDescent="0.3">
      <c r="D6434" t="str">
        <f t="shared" si="131"/>
        <v/>
      </c>
    </row>
  </sheetData>
  <autoFilter ref="A1:F6434" xr:uid="{00000000-0009-0000-0000-00000D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Charts</vt:lpstr>
      </vt:variant>
      <vt:variant>
        <vt:i4>1</vt:i4>
      </vt:variant>
    </vt:vector>
  </HeadingPairs>
  <TitlesOfParts>
    <vt:vector size="14" baseType="lpstr">
      <vt:lpstr>Arr</vt:lpstr>
      <vt:lpstr>Dep</vt:lpstr>
      <vt:lpstr>ACtypes</vt:lpstr>
      <vt:lpstr>GatesTypes</vt:lpstr>
      <vt:lpstr>Output</vt:lpstr>
      <vt:lpstr>Sheet1</vt:lpstr>
      <vt:lpstr>test3</vt:lpstr>
      <vt:lpstr>test2</vt:lpstr>
      <vt:lpstr>test</vt:lpstr>
      <vt:lpstr>gatecap</vt:lpstr>
      <vt:lpstr>gatecap_C_O1000</vt:lpstr>
      <vt:lpstr>gatecap_C_C1000</vt:lpstr>
      <vt:lpstr>gatecap_C_T1000</vt:lpstr>
      <vt:lpstr>Chart1</vt:lpstr>
    </vt:vector>
  </TitlesOfParts>
  <Company>TU Delft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SHEHARYAR Ali</cp:lastModifiedBy>
  <dcterms:created xsi:type="dcterms:W3CDTF">2020-11-23T13:08:18Z</dcterms:created>
  <dcterms:modified xsi:type="dcterms:W3CDTF">2022-12-01T12:00:02Z</dcterms:modified>
</cp:coreProperties>
</file>